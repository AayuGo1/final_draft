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 activeTab="1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46" i="3" l="1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<sst xmlns="http://schemas.openxmlformats.org/spreadsheetml/2006/main" count="622" uniqueCount="271">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</sst>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workbookViewId="0">
      <pane xSplit="1" ySplit="2" topLeftCell="DH28" activePane="bottomRight" state="frozen"/>
      <selection pane="topRight" activeCell="B1" sqref="B1"/>
      <selection pane="bottomLeft" activeCell="A3" sqref="A3"/>
      <selection pane="bottomRight" activeCell="DJ36" sqref="DJ3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>
        <f>BZ35-Table2[[#This Row],[8F3 ACPDB - 4 WH Dock air curtain]]</f>
        <v>-5.7590000000054715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114324.12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114326.76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-12068880</v>
      </c>
      <c r="DJ36">
        <f>(DA37-Table2[[#This Row],[PNG Meter (Outside)]])*2.936</f>
        <v>-55812.743439999998</v>
      </c>
      <c r="DK36">
        <f>(DB37-Table2[[#This Row],[PNG Meter (Inside)]])*2.936</f>
        <v>-440582.44304000004</v>
      </c>
      <c r="DL36">
        <f>(BH37-Table2[[#This Row],[3F Dough cooler - 2 ]])*1000</f>
        <v>-363666</v>
      </c>
      <c r="DM36">
        <f>(BI37-Table2[[#This Row],[3F Dough Cooler- 1]])*1000</f>
        <v>-913863</v>
      </c>
      <c r="DN36">
        <f>(BJ37-Table2[[#This Row],[4F Dough Production cooling Unit]])*1000</f>
        <v>-14499</v>
      </c>
      <c r="DO36">
        <f>(BQ37-Table2[[#This Row],[3F2 - PDB 3 - Dough Production Area]])*1000</f>
        <v>-324695</v>
      </c>
      <c r="DP36">
        <f>(BR37-Table2[[#This Row],[3F3 - PDB 4 - Dough Area]])*1000</f>
        <v>-180864</v>
      </c>
      <c r="DQ36">
        <f>AC37-Table2[[#This Row],[16F1 Tray washer Panel for Light]]</f>
        <v>-2136407.04</v>
      </c>
      <c r="DR36">
        <f>CQ37-Table2[[#This Row],[2F1 Tray Washer - 1]]</f>
        <v>-3681762.24</v>
      </c>
      <c r="DS36">
        <f>CS37-Table2[[#This Row],[2F5 Destacker]]</f>
        <v>-513948.73599999998</v>
      </c>
      <c r="DT36">
        <f>CU37-Table2[[#This Row],[5F1 Metering (TW-2)]]</f>
        <v>-298260.48499999999</v>
      </c>
      <c r="DU36">
        <f>CV37-Table2[[#This Row],[6F1 Pre soaker Tray washer]]</f>
        <v>-30133.4624</v>
      </c>
      <c r="DV36">
        <f>CZ37-Table2[[#This Row],[6F5 Vent tray Storage]]</f>
        <v>-217828.416</v>
      </c>
      <c r="DW36">
        <f>I37-Table2[[#This Row],[Popeyes Meter ]]</f>
        <v>-6524.5320000000002</v>
      </c>
      <c r="DX36">
        <f>AZ37-Table2[[#This Row],[2F WH Chiller, Segregation Area]]</f>
        <v>-20.788</v>
      </c>
      <c r="DY36">
        <f>BA37-Table2[[#This Row],[3F1 AC Unit WH dock cooling - 2 Nos]]</f>
        <v>-10329</v>
      </c>
      <c r="DZ36">
        <f>BB37-Table2[[#This Row],[3F2 AC Unit WH dock cooling - 3 Nos]]</f>
        <v>-44.639000000000003</v>
      </c>
      <c r="EA36">
        <f>(BK37-Table2[[#This Row],[5F WH Perishable]])*1000</f>
        <v>-563365</v>
      </c>
      <c r="EB36">
        <f>BN37-Table2[[#This Row],[2F3 - PDB 9 - WH Dock Leveler Door ]]</f>
        <v>-7190.1008000000002</v>
      </c>
      <c r="EC36">
        <f>BP37-Table2[[#This Row],[3F1 - PDB 5 - WH HSD]]</f>
        <v>-314029.92</v>
      </c>
      <c r="ED36">
        <f>BX37-Table2[[#This Row],[8F1 WH Dock AHU - Ventilation]]</f>
        <v>-991495.48800000001</v>
      </c>
      <c r="EE36">
        <f>BZ37-Table2[[#This Row],[8F3 ACPDB - 4 WH Dock air curtain]]</f>
        <v>-114326.76</v>
      </c>
      <c r="EF36">
        <f>CA37-Table2[[#This Row],[8F4 WH Light]]</f>
        <v>-1237.8313000000001</v>
      </c>
      <c r="EG36">
        <f>CC37-Table2[[#This Row],[9F1 - PDB 10 - WH Dock door &amp; Office]]</f>
        <v>-150496.67199999999</v>
      </c>
      <c r="EH36">
        <f>CD37-Table2[[#This Row],[9F2 - PDB 11 - WH flycatchers]]</f>
        <v>-446163.84</v>
      </c>
      <c r="EI36">
        <f>CE37-Table2[[#This Row],[9F3 - PDB 12 - Other items]]</f>
        <v>-49125.260799999996</v>
      </c>
      <c r="EJ36">
        <f>CR37-Table2[[#This Row],[2F3 - PDB 1 - Dock 1 to 4 ]]</f>
        <v>-131108.75200000001</v>
      </c>
      <c r="EK36">
        <f>BM37-Table2[[#This Row],[2F2 - PDB 3 - WH Truck &amp; Battery Charging]]</f>
        <v>-307923.00799999997</v>
      </c>
      <c r="EL36">
        <f>(CK37-Table2[[#This Row],[PDB - 11 Truck Charging]])*1000</f>
        <v>-78003</v>
      </c>
      <c r="EM36">
        <f>P37-Table2[[#This Row],[5F3 Admin Area]]</f>
        <v>-644355.52</v>
      </c>
      <c r="EN36">
        <f>AH37-Table2[[#This Row],[2F5 Main Gate-1 Piller -1]]</f>
        <v>-133019.52799999999</v>
      </c>
      <c r="EO36">
        <f>CW37-Table2[[#This Row],[6F2 Ground Floor AC]]</f>
        <v>-62830.374400000001</v>
      </c>
      <c r="EP36">
        <f>CX37-Table2[[#This Row],[6F3 ACBD -1 (First floor AC)]]</f>
        <v>-33462.284800000001</v>
      </c>
      <c r="EQ36">
        <f>CY37-Table2[[#This Row],[6F4 ACBD - 2 (Second &amp; Third floor AC)]]</f>
        <v>-167706.09599999999</v>
      </c>
      <c r="ER36">
        <f>(BC37-Table2[[#This Row],[4F Old BMC cooling Unit]])</f>
        <v>-113989.152</v>
      </c>
      <c r="ES36">
        <f>BO37-Table2[[#This Row],[2F4 - Old BMC]]</f>
        <v>-53552.422400000003</v>
      </c>
      <c r="ET36">
        <f>Y37-Table2[[#This Row],[14F2 New CK]]</f>
        <v>-1087873.52</v>
      </c>
      <c r="EU36">
        <f>(CL37-Table2[[#This Row],[OLD Ck Panel-1]])*1000</f>
        <v>-733599</v>
      </c>
      <c r="EV36">
        <f>CM37-Table2[[#This Row],[2F4 Old CK Blast (Blue star)]]</f>
        <v>-551.4</v>
      </c>
      <c r="EW36">
        <f>CN37-Table2[[#This Row],[3F6 Old CK Blast (Carrier)]]</f>
        <v>-45149.1</v>
      </c>
      <c r="EX36">
        <f>(CO37-Table2[[#This Row],[Old CK Panel -2]])*1000</f>
        <v>-1649779</v>
      </c>
      <c r="EY36">
        <f>N37-Table2[[#This Row],[4F1 Main UPS 1/C -1]]</f>
        <v>-1865132</v>
      </c>
      <c r="EZ36">
        <f>Z37-Table2[[#This Row],[15F1 Main UPS Panel - I/C - 2]]</f>
        <v>-2777.8894</v>
      </c>
      <c r="FA36">
        <f>BF37-Table2[[#This Row],[2F CLC -1 AC unit - 2]]</f>
        <v>-1712.0419999999999</v>
      </c>
      <c r="FB36">
        <f>(BG37-Table2[[#This Row],[2F CLC Anti room]])*1000</f>
        <v>-74930</v>
      </c>
      <c r="FC36">
        <f>BW37-Table2[[#This Row],[7F3 CLC Power Panel]]</f>
        <v>-567920.576</v>
      </c>
      <c r="FD36">
        <f>(CI37-Table2[[#This Row],[PDB - 17 CLC Section ]])*1000</f>
        <v>-214090</v>
      </c>
      <c r="FE36">
        <f>(W37-Table2[[#This Row],[13F3 Water &amp; Lift Old CK]])*1000</f>
        <v>-1590403.9</v>
      </c>
      <c r="FF36">
        <f>AA37-Table2[[#This Row],[15F2 New ETP Panel]]</f>
        <v>-667411.71200000006</v>
      </c>
      <c r="FG36">
        <f>AL37-Table2[[#This Row],[3F4 Old ETP Panel]]</f>
        <v>-330330.91200000001</v>
      </c>
      <c r="FH36">
        <f>AF37-Table2[[#This Row],[2F1 RO Plant]]</f>
        <v>-873296.70400000003</v>
      </c>
      <c r="FI36">
        <f>AK37-Table2[[#This Row],[3F3 Fire Hydrant Panel]]</f>
        <v>-105204.92</v>
      </c>
      <c r="FJ36">
        <f>R37-Table2[[#This Row],[7F1 Freon System Panel]]</f>
        <v>-5516922.8799999999</v>
      </c>
      <c r="FK36">
        <f>(AE37-Table2[[#This Row],[21F1 Refrigeration Ammonia]])*1000</f>
        <v>-12780854.4</v>
      </c>
      <c r="FL36">
        <f>(AG37-Table2[[#This Row],[2F3 Air Compressor]])*1000</f>
        <v>-1394265</v>
      </c>
      <c r="FM36">
        <f>(AX37-Table2[[#This Row],[Solar Reading Panel II]])*1000</f>
        <v>-7230940</v>
      </c>
      <c r="FN36">
        <f>AI37-Table2[[#This Row],[3F1 Maintenance Workshop]]</f>
        <v>-14608.193600000001</v>
      </c>
      <c r="FO36">
        <f>BD37-Table2[[#This Row],[4F B2B unit ]]</f>
        <v>-275769.53600000002</v>
      </c>
      <c r="FP36">
        <f>BL37-Table2[[#This Row],[2F1 - PDB 6 - Bread, B2B section]]</f>
        <v>-72392.566800000001</v>
      </c>
      <c r="FQ36">
        <f>(CG37-Table2[[#This Row],[9F5 - PDB 14 - Bread Lift]])</f>
        <v>-360805.52639999997</v>
      </c>
      <c r="FR36">
        <f>CJ37-Table2[[#This Row],[PDB - 16 Bread Section]]</f>
        <v>-1191.4000000000001</v>
      </c>
      <c r="FS36">
        <f>BU37-Table2[[#This Row],[7F1 Donut Production area]]</f>
        <v>-628731.00800000003</v>
      </c>
      <c r="FT36">
        <f>CB37-Table2[[#This Row],[8F5 Donut Ban Bary]]</f>
        <v>-108601.008</v>
      </c>
      <c r="FU36">
        <f>CF37-Table2[[#This Row],[9F4 - PDB 13 - Donut Sink Geyser area]]</f>
        <v>-155846.19200000001</v>
      </c>
      <c r="FV36">
        <f>BV37-Table2[[#This Row],[7F2 Flour Silo]]</f>
        <v>-1021191.36</v>
      </c>
      <c r="FW36">
        <f>BY37-Table2[[#This Row],[8F2 ACPDB - 3 SILO Ventilation]]</f>
        <v>-157618.54399999999</v>
      </c>
      <c r="FX36">
        <f>J37-Table2[[#This Row],[DG 1010KVA Running Hours]]</f>
        <v>-4272.3999999999996</v>
      </c>
      <c r="FY36">
        <f>K37-Table2[[#This Row],[DG 1010 KVA Meter Reading]]</f>
        <v>-1776237</v>
      </c>
      <c r="FZ36">
        <f>L37-Table2[[#This Row],[GG 1010 KVA Running Hours]]</f>
        <v>-452</v>
      </c>
      <c r="GA36">
        <f>M37-Table2[[#This Row],[GG 1010 KVA Meter Reading]]</f>
        <v>-190.44</v>
      </c>
    </row>
    <row r="37" spans="1:183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>
        <f>Table2[[#This Row],[Date]]</f>
        <v>0</v>
      </c>
      <c r="DI37">
        <f>(DD38-Table2[[#This Row],[MWH Total]])*4000</f>
        <v>0</v>
      </c>
      <c r="DJ37">
        <f>(DA38-Table2[[#This Row],[PNG Meter (Outside)]])*2.936</f>
        <v>0</v>
      </c>
      <c r="DK37">
        <f>(DB38-Table2[[#This Row],[PNG Meter (Inside)]])*2.936</f>
        <v>0</v>
      </c>
      <c r="DL37">
        <f>(BH38-Table2[[#This Row],[3F Dough cooler - 2 ]])*1000</f>
        <v>0</v>
      </c>
      <c r="DM37">
        <f>(BI38-Table2[[#This Row],[3F Dough Cooler- 1]])*1000</f>
        <v>0</v>
      </c>
      <c r="DN37">
        <f>(BJ38-Table2[[#This Row],[4F Dough Production cooling Unit]])*1000</f>
        <v>0</v>
      </c>
      <c r="DO37">
        <f>(BQ38-Table2[[#This Row],[3F2 - PDB 3 - Dough Production Area]])*1000</f>
        <v>0</v>
      </c>
      <c r="DP37">
        <f>(BR38-Table2[[#This Row],[3F3 - PDB 4 - Dough Area]])*1000</f>
        <v>0</v>
      </c>
      <c r="DQ37">
        <f>AC38-Table2[[#This Row],[16F1 Tray washer Panel for Light]]</f>
        <v>0</v>
      </c>
      <c r="DR37">
        <f>CQ38-Table2[[#This Row],[2F1 Tray Washer - 1]]</f>
        <v>0</v>
      </c>
      <c r="DS37">
        <f>CS38-Table2[[#This Row],[2F5 Destacker]]</f>
        <v>0</v>
      </c>
      <c r="DT37">
        <f>CU38-Table2[[#This Row],[5F1 Metering (TW-2)]]</f>
        <v>0</v>
      </c>
      <c r="DU37">
        <f>CV38-Table2[[#This Row],[6F1 Pre soaker Tray washer]]</f>
        <v>0</v>
      </c>
      <c r="DV37">
        <f>CZ38-Table2[[#This Row],[6F5 Vent tray Storage]]</f>
        <v>0</v>
      </c>
      <c r="DW37">
        <f>I38-Table2[[#This Row],[Popeyes Meter ]]</f>
        <v>0</v>
      </c>
      <c r="DX37">
        <f>AZ38-Table2[[#This Row],[2F WH Chiller, Segregation Area]]</f>
        <v>0</v>
      </c>
      <c r="DY37">
        <f>BA38-Table2[[#This Row],[3F1 AC Unit WH dock cooling - 2 Nos]]</f>
        <v>0</v>
      </c>
      <c r="DZ37">
        <f>BB38-Table2[[#This Row],[3F2 AC Unit WH dock cooling - 3 Nos]]</f>
        <v>0</v>
      </c>
      <c r="EA37">
        <f>(BK38-Table2[[#This Row],[5F WH Perishable]])*1000</f>
        <v>0</v>
      </c>
      <c r="EB37">
        <f>BN38-Table2[[#This Row],[2F3 - PDB 9 - WH Dock Leveler Door ]]</f>
        <v>0</v>
      </c>
      <c r="EC37">
        <f>BP38-Table2[[#This Row],[3F1 - PDB 5 - WH HSD]]</f>
        <v>0</v>
      </c>
      <c r="ED37">
        <f>BX38-Table2[[#This Row],[8F1 WH Dock AHU - Ventilation]]</f>
        <v>0</v>
      </c>
      <c r="EE37">
        <f>BZ38-Table2[[#This Row],[8F3 ACPDB - 4 WH Dock air curtain]]</f>
        <v>0</v>
      </c>
      <c r="EF37">
        <f>CA38-Table2[[#This Row],[8F4 WH Light]]</f>
        <v>0</v>
      </c>
      <c r="EG37">
        <f>CC38-Table2[[#This Row],[9F1 - PDB 10 - WH Dock door &amp; Office]]</f>
        <v>0</v>
      </c>
      <c r="EH37">
        <f>CD38-Table2[[#This Row],[9F2 - PDB 11 - WH flycatchers]]</f>
        <v>0</v>
      </c>
      <c r="EI37">
        <f>CE38-Table2[[#This Row],[9F3 - PDB 12 - Other items]]</f>
        <v>0</v>
      </c>
      <c r="EJ37">
        <f>CR38-Table2[[#This Row],[2F3 - PDB 1 - Dock 1 to 4 ]]</f>
        <v>0</v>
      </c>
      <c r="EK37">
        <f>BM38-Table2[[#This Row],[2F2 - PDB 3 - WH Truck &amp; Battery Charging]]</f>
        <v>0</v>
      </c>
      <c r="EL37">
        <f>(CK38-Table2[[#This Row],[PDB - 11 Truck Charging]])*1000</f>
        <v>0</v>
      </c>
      <c r="EM37">
        <f>P38-Table2[[#This Row],[5F3 Admin Area]]</f>
        <v>0</v>
      </c>
      <c r="EN37">
        <f>AH38-Table2[[#This Row],[2F5 Main Gate-1 Piller -1]]</f>
        <v>0</v>
      </c>
      <c r="EO37">
        <f>CW38-Table2[[#This Row],[6F2 Ground Floor AC]]</f>
        <v>0</v>
      </c>
      <c r="EP37">
        <f>CX38-Table2[[#This Row],[6F3 ACBD -1 (First floor AC)]]</f>
        <v>0</v>
      </c>
      <c r="EQ37">
        <f>CY38-Table2[[#This Row],[6F4 ACBD - 2 (Second &amp; Third floor AC)]]</f>
        <v>0</v>
      </c>
      <c r="ER37">
        <f>(BC38-Table2[[#This Row],[4F Old BMC cooling Unit]])</f>
        <v>0</v>
      </c>
      <c r="ES37">
        <f>BO38-Table2[[#This Row],[2F4 - Old BMC]]</f>
        <v>0</v>
      </c>
      <c r="ET37">
        <f>Y38-Table2[[#This Row],[14F2 New CK]]</f>
        <v>0</v>
      </c>
      <c r="EU37">
        <f>(CL38-Table2[[#This Row],[OLD Ck Panel-1]])*1000</f>
        <v>0</v>
      </c>
      <c r="EV37">
        <f>CM38-Table2[[#This Row],[2F4 Old CK Blast (Blue star)]]</f>
        <v>0</v>
      </c>
      <c r="EW37">
        <f>CN38-Table2[[#This Row],[3F6 Old CK Blast (Carrier)]]</f>
        <v>0</v>
      </c>
      <c r="EX37">
        <f>(CO38-Table2[[#This Row],[Old CK Panel -2]])*1000</f>
        <v>0</v>
      </c>
      <c r="EY37">
        <f>N38-Table2[[#This Row],[4F1 Main UPS 1/C -1]]</f>
        <v>0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0</v>
      </c>
      <c r="FC37">
        <f>BW38-Table2[[#This Row],[7F3 CLC Power Panel]]</f>
        <v>0</v>
      </c>
      <c r="FD37">
        <f>(CI38-Table2[[#This Row],[PDB - 17 CLC Section ]])*1000</f>
        <v>0</v>
      </c>
      <c r="FE37">
        <f>(W38-Table2[[#This Row],[13F3 Water &amp; Lift Old CK]])*1000</f>
        <v>0</v>
      </c>
      <c r="FF37">
        <f>AA38-Table2[[#This Row],[15F2 New ETP Panel]]</f>
        <v>0</v>
      </c>
      <c r="FG37">
        <f>AL38-Table2[[#This Row],[3F4 Old ETP Panel]]</f>
        <v>0</v>
      </c>
      <c r="FH37">
        <f>AF38-Table2[[#This Row],[2F1 RO Plant]]</f>
        <v>0</v>
      </c>
      <c r="FI37">
        <f>AK38-Table2[[#This Row],[3F3 Fire Hydrant Panel]]</f>
        <v>0</v>
      </c>
      <c r="FJ37">
        <f>R38-Table2[[#This Row],[7F1 Freon System Panel]]</f>
        <v>0</v>
      </c>
      <c r="FK37">
        <f>(AE38-Table2[[#This Row],[21F1 Refrigeration Ammonia]])*1000</f>
        <v>0</v>
      </c>
      <c r="FL37">
        <f>(AG38-Table2[[#This Row],[2F3 Air Compressor]])*1000</f>
        <v>0</v>
      </c>
      <c r="FM37">
        <f>(AX38-Table2[[#This Row],[Solar Reading Panel II]])*1000</f>
        <v>0</v>
      </c>
      <c r="FN37">
        <f>AI38-Table2[[#This Row],[3F1 Maintenance Workshop]]</f>
        <v>0</v>
      </c>
      <c r="FO37">
        <f>BD38-Table2[[#This Row],[4F B2B unit ]]</f>
        <v>0</v>
      </c>
      <c r="FP37">
        <f>BL38-Table2[[#This Row],[2F1 - PDB 6 - Bread, B2B section]]</f>
        <v>0</v>
      </c>
      <c r="FQ37">
        <f>(CG38-Table2[[#This Row],[9F5 - PDB 14 - Bread Lift]])</f>
        <v>0</v>
      </c>
      <c r="FR37">
        <f>CJ38-Table2[[#This Row],[PDB - 16 Bread Section]]</f>
        <v>0</v>
      </c>
      <c r="FS37">
        <f>BU38-Table2[[#This Row],[7F1 Donut Production area]]</f>
        <v>0</v>
      </c>
      <c r="FT37">
        <f>CB38-Table2[[#This Row],[8F5 Donut Ban Bary]]</f>
        <v>0</v>
      </c>
      <c r="FU37">
        <f>CF38-Table2[[#This Row],[9F4 - PDB 13 - Donut Sink Geyser area]]</f>
        <v>0</v>
      </c>
      <c r="FV37">
        <f>BV38-Table2[[#This Row],[7F2 Flour Silo]]</f>
        <v>0</v>
      </c>
      <c r="FW37">
        <f>BY38-Table2[[#This Row],[8F2 ACPDB - 3 SILO Ventilation]]</f>
        <v>0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>
        <f>Table2[[#This Row],[Date]]</f>
        <v>0</v>
      </c>
      <c r="DI38">
        <f>(DD39-Table2[[#This Row],[MWH Total]])*4000</f>
        <v>0</v>
      </c>
      <c r="DJ38">
        <f>(DA39-Table2[[#This Row],[PNG Meter (Outside)]])*2.936</f>
        <v>0</v>
      </c>
      <c r="DK38">
        <f>(DB39-Table2[[#This Row],[PNG Meter (Inside)]])*2.936</f>
        <v>0</v>
      </c>
      <c r="DL38">
        <f>(BH39-Table2[[#This Row],[3F Dough cooler - 2 ]])*1000</f>
        <v>0</v>
      </c>
      <c r="DM38">
        <f>(BI39-Table2[[#This Row],[3F Dough Cooler- 1]])*1000</f>
        <v>0</v>
      </c>
      <c r="DN38">
        <f>(BJ39-Table2[[#This Row],[4F Dough Production cooling Unit]])*1000</f>
        <v>0</v>
      </c>
      <c r="DO38">
        <f>(BQ39-Table2[[#This Row],[3F2 - PDB 3 - Dough Production Area]])*1000</f>
        <v>0</v>
      </c>
      <c r="DP38">
        <f>(BR39-Table2[[#This Row],[3F3 - PDB 4 - Dough Area]])*1000</f>
        <v>0</v>
      </c>
      <c r="DQ38">
        <f>AC39-Table2[[#This Row],[16F1 Tray washer Panel for Light]]</f>
        <v>0</v>
      </c>
      <c r="DR38">
        <f>CQ39-Table2[[#This Row],[2F1 Tray Washer - 1]]</f>
        <v>0</v>
      </c>
      <c r="DS38">
        <f>CS39-Table2[[#This Row],[2F5 Destacker]]</f>
        <v>0</v>
      </c>
      <c r="DT38">
        <f>CU39-Table2[[#This Row],[5F1 Metering (TW-2)]]</f>
        <v>0</v>
      </c>
      <c r="DU38">
        <f>CV39-Table2[[#This Row],[6F1 Pre soaker Tray washer]]</f>
        <v>0</v>
      </c>
      <c r="DV38">
        <f>CZ39-Table2[[#This Row],[6F5 Vent tray Storage]]</f>
        <v>0</v>
      </c>
      <c r="DW38">
        <f>I39-Table2[[#This Row],[Popeyes Meter ]]</f>
        <v>0</v>
      </c>
      <c r="DX38">
        <f>AZ39-Table2[[#This Row],[2F WH Chiller, Segregation Area]]</f>
        <v>0</v>
      </c>
      <c r="DY38">
        <f>BA39-Table2[[#This Row],[3F1 AC Unit WH dock cooling - 2 Nos]]</f>
        <v>0</v>
      </c>
      <c r="DZ38">
        <f>BB39-Table2[[#This Row],[3F2 AC Unit WH dock cooling - 3 Nos]]</f>
        <v>0</v>
      </c>
      <c r="EA38">
        <f>(BK39-Table2[[#This Row],[5F WH Perishable]])*1000</f>
        <v>0</v>
      </c>
      <c r="EB38">
        <f>BN39-Table2[[#This Row],[2F3 - PDB 9 - WH Dock Leveler Door ]]</f>
        <v>0</v>
      </c>
      <c r="EC38">
        <f>BP39-Table2[[#This Row],[3F1 - PDB 5 - WH HSD]]</f>
        <v>0</v>
      </c>
      <c r="ED38">
        <f>BX39-Table2[[#This Row],[8F1 WH Dock AHU - Ventilation]]</f>
        <v>0</v>
      </c>
      <c r="EE38">
        <f>BZ39-Table2[[#This Row],[8F3 ACPDB - 4 WH Dock air curtain]]</f>
        <v>0</v>
      </c>
      <c r="EF38">
        <f>CA39-Table2[[#This Row],[8F4 WH Light]]</f>
        <v>0</v>
      </c>
      <c r="EG38">
        <f>CC39-Table2[[#This Row],[9F1 - PDB 10 - WH Dock door &amp; Office]]</f>
        <v>0</v>
      </c>
      <c r="EH38">
        <f>CD39-Table2[[#This Row],[9F2 - PDB 11 - WH flycatchers]]</f>
        <v>0</v>
      </c>
      <c r="EI38">
        <f>CE39-Table2[[#This Row],[9F3 - PDB 12 - Other items]]</f>
        <v>0</v>
      </c>
      <c r="EJ38">
        <f>CR39-Table2[[#This Row],[2F3 - PDB 1 - Dock 1 to 4 ]]</f>
        <v>0</v>
      </c>
      <c r="EK38">
        <f>BM39-Table2[[#This Row],[2F2 - PDB 3 - WH Truck &amp; Battery Charging]]</f>
        <v>0</v>
      </c>
      <c r="EL38">
        <f>(CK39-Table2[[#This Row],[PDB - 11 Truck Charging]])*1000</f>
        <v>0</v>
      </c>
      <c r="EM38">
        <f>P39-Table2[[#This Row],[5F3 Admin Area]]</f>
        <v>0</v>
      </c>
      <c r="EN38">
        <f>AH39-Table2[[#This Row],[2F5 Main Gate-1 Piller -1]]</f>
        <v>0</v>
      </c>
      <c r="EO38">
        <f>CW39-Table2[[#This Row],[6F2 Ground Floor AC]]</f>
        <v>0</v>
      </c>
      <c r="EP38">
        <f>CX39-Table2[[#This Row],[6F3 ACBD -1 (First floor AC)]]</f>
        <v>0</v>
      </c>
      <c r="EQ38">
        <f>CY39-Table2[[#This Row],[6F4 ACBD - 2 (Second &amp; Third floor AC)]]</f>
        <v>0</v>
      </c>
      <c r="ER38">
        <f>(BC39-Table2[[#This Row],[4F Old BMC cooling Unit]])</f>
        <v>0</v>
      </c>
      <c r="ES38">
        <f>BO39-Table2[[#This Row],[2F4 - Old BMC]]</f>
        <v>0</v>
      </c>
      <c r="ET38">
        <f>Y39-Table2[[#This Row],[14F2 New CK]]</f>
        <v>0</v>
      </c>
      <c r="EU38">
        <f>(CL39-Table2[[#This Row],[OLD Ck Panel-1]])*1000</f>
        <v>0</v>
      </c>
      <c r="EV38">
        <f>CM39-Table2[[#This Row],[2F4 Old CK Blast (Blue star)]]</f>
        <v>0</v>
      </c>
      <c r="EW38">
        <f>CN39-Table2[[#This Row],[3F6 Old CK Blast (Carrier)]]</f>
        <v>0</v>
      </c>
      <c r="EX38">
        <f>(CO39-Table2[[#This Row],[Old CK Panel -2]])*1000</f>
        <v>0</v>
      </c>
      <c r="EY38">
        <f>N39-Table2[[#This Row],[4F1 Main UPS 1/C -1]]</f>
        <v>0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0</v>
      </c>
      <c r="FC38">
        <f>BW39-Table2[[#This Row],[7F3 CLC Power Panel]]</f>
        <v>0</v>
      </c>
      <c r="FD38">
        <f>(CI39-Table2[[#This Row],[PDB - 17 CLC Section ]])*1000</f>
        <v>0</v>
      </c>
      <c r="FE38">
        <f>(W39-Table2[[#This Row],[13F3 Water &amp; Lift Old CK]])*1000</f>
        <v>0</v>
      </c>
      <c r="FF38">
        <f>AA39-Table2[[#This Row],[15F2 New ETP Panel]]</f>
        <v>0</v>
      </c>
      <c r="FG38">
        <f>AL39-Table2[[#This Row],[3F4 Old ETP Panel]]</f>
        <v>0</v>
      </c>
      <c r="FH38">
        <f>AF39-Table2[[#This Row],[2F1 RO Plant]]</f>
        <v>0</v>
      </c>
      <c r="FI38">
        <f>AK39-Table2[[#This Row],[3F3 Fire Hydrant Panel]]</f>
        <v>0</v>
      </c>
      <c r="FJ38">
        <f>R39-Table2[[#This Row],[7F1 Freon System Panel]]</f>
        <v>0</v>
      </c>
      <c r="FK38">
        <f>(AE39-Table2[[#This Row],[21F1 Refrigeration Ammonia]])*1000</f>
        <v>0</v>
      </c>
      <c r="FL38">
        <f>(AG39-Table2[[#This Row],[2F3 Air Compressor]])*1000</f>
        <v>0</v>
      </c>
      <c r="FM38">
        <f>(AX39-Table2[[#This Row],[Solar Reading Panel II]])*1000</f>
        <v>0</v>
      </c>
      <c r="FN38">
        <f>AI39-Table2[[#This Row],[3F1 Maintenance Workshop]]</f>
        <v>0</v>
      </c>
      <c r="FO38">
        <f>BD39-Table2[[#This Row],[4F B2B unit ]]</f>
        <v>0</v>
      </c>
      <c r="FP38">
        <f>BL39-Table2[[#This Row],[2F1 - PDB 6 - Bread, B2B section]]</f>
        <v>0</v>
      </c>
      <c r="FQ38">
        <f>(CG39-Table2[[#This Row],[9F5 - PDB 14 - Bread Lift]])</f>
        <v>0</v>
      </c>
      <c r="FR38">
        <f>CJ39-Table2[[#This Row],[PDB - 16 Bread Section]]</f>
        <v>0</v>
      </c>
      <c r="FS38">
        <f>BU39-Table2[[#This Row],[7F1 Donut Production area]]</f>
        <v>0</v>
      </c>
      <c r="FT38">
        <f>CB39-Table2[[#This Row],[8F5 Donut Ban Bary]]</f>
        <v>0</v>
      </c>
      <c r="FU38">
        <f>CF39-Table2[[#This Row],[9F4 - PDB 13 - Donut Sink Geyser area]]</f>
        <v>0</v>
      </c>
      <c r="FV38">
        <f>BV39-Table2[[#This Row],[7F2 Flour Silo]]</f>
        <v>0</v>
      </c>
      <c r="FW38">
        <f>BY39-Table2[[#This Row],[8F2 ACPDB - 3 SILO Ventilation]]</f>
        <v>0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>
        <f>Table2[[#This Row],[Date]]</f>
        <v>0</v>
      </c>
      <c r="DI39">
        <f>(DD40-Table2[[#This Row],[MWH Total]])*4000</f>
        <v>0</v>
      </c>
      <c r="DJ39">
        <f>(DA40-Table2[[#This Row],[PNG Meter (Outside)]])*2.936</f>
        <v>0</v>
      </c>
      <c r="DK39">
        <f>(DB40-Table2[[#This Row],[PNG Meter (Inside)]])*2.936</f>
        <v>0</v>
      </c>
      <c r="DL39">
        <f>(BH40-Table2[[#This Row],[3F Dough cooler - 2 ]])*1000</f>
        <v>0</v>
      </c>
      <c r="DM39">
        <f>(BI40-Table2[[#This Row],[3F Dough Cooler- 1]])*1000</f>
        <v>0</v>
      </c>
      <c r="DN39">
        <f>(BJ40-Table2[[#This Row],[4F Dough Production cooling Unit]])*1000</f>
        <v>0</v>
      </c>
      <c r="DO39">
        <f>(BQ40-Table2[[#This Row],[3F2 - PDB 3 - Dough Production Area]])*1000</f>
        <v>0</v>
      </c>
      <c r="DP39">
        <f>(BR40-Table2[[#This Row],[3F3 - PDB 4 - Dough Area]])*1000</f>
        <v>0</v>
      </c>
      <c r="DQ39">
        <f>AC40-Table2[[#This Row],[16F1 Tray washer Panel for Light]]</f>
        <v>0</v>
      </c>
      <c r="DR39">
        <f>CQ40-Table2[[#This Row],[2F1 Tray Washer - 1]]</f>
        <v>0</v>
      </c>
      <c r="DS39">
        <f>CS40-Table2[[#This Row],[2F5 Destacker]]</f>
        <v>0</v>
      </c>
      <c r="DT39">
        <f>CU40-Table2[[#This Row],[5F1 Metering (TW-2)]]</f>
        <v>0</v>
      </c>
      <c r="DU39">
        <f>CV40-Table2[[#This Row],[6F1 Pre soaker Tray washer]]</f>
        <v>0</v>
      </c>
      <c r="DV39">
        <f>CZ40-Table2[[#This Row],[6F5 Vent tray Storage]]</f>
        <v>0</v>
      </c>
      <c r="DW39">
        <f>I40-Table2[[#This Row],[Popeyes Meter ]]</f>
        <v>0</v>
      </c>
      <c r="DX39">
        <f>AZ40-Table2[[#This Row],[2F WH Chiller, Segregation Area]]</f>
        <v>0</v>
      </c>
      <c r="DY39">
        <f>BA40-Table2[[#This Row],[3F1 AC Unit WH dock cooling - 2 Nos]]</f>
        <v>0</v>
      </c>
      <c r="DZ39">
        <f>BB40-Table2[[#This Row],[3F2 AC Unit WH dock cooling - 3 Nos]]</f>
        <v>0</v>
      </c>
      <c r="EA39">
        <f>(BK40-Table2[[#This Row],[5F WH Perishable]])*1000</f>
        <v>0</v>
      </c>
      <c r="EB39">
        <f>BN40-Table2[[#This Row],[2F3 - PDB 9 - WH Dock Leveler Door ]]</f>
        <v>0</v>
      </c>
      <c r="EC39">
        <f>BP40-Table2[[#This Row],[3F1 - PDB 5 - WH HSD]]</f>
        <v>0</v>
      </c>
      <c r="ED39">
        <f>BX40-Table2[[#This Row],[8F1 WH Dock AHU - Ventilation]]</f>
        <v>0</v>
      </c>
      <c r="EE39">
        <f>BZ40-Table2[[#This Row],[8F3 ACPDB - 4 WH Dock air curtain]]</f>
        <v>0</v>
      </c>
      <c r="EF39">
        <f>CA40-Table2[[#This Row],[8F4 WH Light]]</f>
        <v>0</v>
      </c>
      <c r="EG39">
        <f>CC40-Table2[[#This Row],[9F1 - PDB 10 - WH Dock door &amp; Office]]</f>
        <v>0</v>
      </c>
      <c r="EH39">
        <f>CD40-Table2[[#This Row],[9F2 - PDB 11 - WH flycatchers]]</f>
        <v>0</v>
      </c>
      <c r="EI39">
        <f>CE40-Table2[[#This Row],[9F3 - PDB 12 - Other items]]</f>
        <v>0</v>
      </c>
      <c r="EJ39">
        <f>CR40-Table2[[#This Row],[2F3 - PDB 1 - Dock 1 to 4 ]]</f>
        <v>0</v>
      </c>
      <c r="EK39">
        <f>BM40-Table2[[#This Row],[2F2 - PDB 3 - WH Truck &amp; Battery Charging]]</f>
        <v>0</v>
      </c>
      <c r="EL39">
        <f>(CK40-Table2[[#This Row],[PDB - 11 Truck Charging]])*1000</f>
        <v>0</v>
      </c>
      <c r="EM39">
        <f>P40-Table2[[#This Row],[5F3 Admin Area]]</f>
        <v>0</v>
      </c>
      <c r="EN39">
        <f>AH40-Table2[[#This Row],[2F5 Main Gate-1 Piller -1]]</f>
        <v>0</v>
      </c>
      <c r="EO39">
        <f>CW40-Table2[[#This Row],[6F2 Ground Floor AC]]</f>
        <v>0</v>
      </c>
      <c r="EP39">
        <f>CX40-Table2[[#This Row],[6F3 ACBD -1 (First floor AC)]]</f>
        <v>0</v>
      </c>
      <c r="EQ39">
        <f>CY40-Table2[[#This Row],[6F4 ACBD - 2 (Second &amp; Third floor AC)]]</f>
        <v>0</v>
      </c>
      <c r="ER39">
        <f>(BC40-Table2[[#This Row],[4F Old BMC cooling Unit]])</f>
        <v>0</v>
      </c>
      <c r="ES39">
        <f>BO40-Table2[[#This Row],[2F4 - Old BMC]]</f>
        <v>0</v>
      </c>
      <c r="ET39">
        <f>Y40-Table2[[#This Row],[14F2 New CK]]</f>
        <v>0</v>
      </c>
      <c r="EU39">
        <f>(CL40-Table2[[#This Row],[OLD Ck Panel-1]])*1000</f>
        <v>0</v>
      </c>
      <c r="EV39">
        <f>CM40-Table2[[#This Row],[2F4 Old CK Blast (Blue star)]]</f>
        <v>0</v>
      </c>
      <c r="EW39">
        <f>CN40-Table2[[#This Row],[3F6 Old CK Blast (Carrier)]]</f>
        <v>0</v>
      </c>
      <c r="EX39">
        <f>(CO40-Table2[[#This Row],[Old CK Panel -2]])*1000</f>
        <v>0</v>
      </c>
      <c r="EY39">
        <f>N40-Table2[[#This Row],[4F1 Main UPS 1/C -1]]</f>
        <v>0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0</v>
      </c>
      <c r="FC39">
        <f>BW40-Table2[[#This Row],[7F3 CLC Power Panel]]</f>
        <v>0</v>
      </c>
      <c r="FD39">
        <f>(CI40-Table2[[#This Row],[PDB - 17 CLC Section ]])*1000</f>
        <v>0</v>
      </c>
      <c r="FE39">
        <f>(W40-Table2[[#This Row],[13F3 Water &amp; Lift Old CK]])*1000</f>
        <v>0</v>
      </c>
      <c r="FF39">
        <f>AA40-Table2[[#This Row],[15F2 New ETP Panel]]</f>
        <v>0</v>
      </c>
      <c r="FG39">
        <f>AL40-Table2[[#This Row],[3F4 Old ETP Panel]]</f>
        <v>0</v>
      </c>
      <c r="FH39">
        <f>AF40-Table2[[#This Row],[2F1 RO Plant]]</f>
        <v>0</v>
      </c>
      <c r="FI39">
        <f>AK40-Table2[[#This Row],[3F3 Fire Hydrant Panel]]</f>
        <v>0</v>
      </c>
      <c r="FJ39">
        <f>R40-Table2[[#This Row],[7F1 Freon System Panel]]</f>
        <v>0</v>
      </c>
      <c r="FK39">
        <f>(AE40-Table2[[#This Row],[21F1 Refrigeration Ammonia]])*1000</f>
        <v>0</v>
      </c>
      <c r="FL39">
        <f>(AG40-Table2[[#This Row],[2F3 Air Compressor]])*1000</f>
        <v>0</v>
      </c>
      <c r="FM39">
        <f>(AX40-Table2[[#This Row],[Solar Reading Panel II]])*1000</f>
        <v>0</v>
      </c>
      <c r="FN39">
        <f>AI40-Table2[[#This Row],[3F1 Maintenance Workshop]]</f>
        <v>0</v>
      </c>
      <c r="FO39">
        <f>BD40-Table2[[#This Row],[4F B2B unit ]]</f>
        <v>0</v>
      </c>
      <c r="FP39">
        <f>BL40-Table2[[#This Row],[2F1 - PDB 6 - Bread, B2B section]]</f>
        <v>0</v>
      </c>
      <c r="FQ39">
        <f>(CG40-Table2[[#This Row],[9F5 - PDB 14 - Bread Lift]])</f>
        <v>0</v>
      </c>
      <c r="FR39">
        <f>CJ40-Table2[[#This Row],[PDB - 16 Bread Section]]</f>
        <v>0</v>
      </c>
      <c r="FS39">
        <f>BU40-Table2[[#This Row],[7F1 Donut Production area]]</f>
        <v>0</v>
      </c>
      <c r="FT39">
        <f>CB40-Table2[[#This Row],[8F5 Donut Ban Bary]]</f>
        <v>0</v>
      </c>
      <c r="FU39">
        <f>CF40-Table2[[#This Row],[9F4 - PDB 13 - Donut Sink Geyser area]]</f>
        <v>0</v>
      </c>
      <c r="FV39">
        <f>BV40-Table2[[#This Row],[7F2 Flour Silo]]</f>
        <v>0</v>
      </c>
      <c r="FW39">
        <f>BY40-Table2[[#This Row],[8F2 ACPDB - 3 SILO Ventilation]]</f>
        <v>0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>
        <f>Table2[[#This Row],[Date]]</f>
        <v>0</v>
      </c>
      <c r="DI40">
        <f>(DD41-Table2[[#This Row],[MWH Total]])*4000</f>
        <v>0</v>
      </c>
      <c r="DJ40">
        <f>(DA41-Table2[[#This Row],[PNG Meter (Outside)]])*2.936</f>
        <v>0</v>
      </c>
      <c r="DK40">
        <f>(DB41-Table2[[#This Row],[PNG Meter (Inside)]])*2.936</f>
        <v>0</v>
      </c>
      <c r="DL40">
        <f>(BH41-Table2[[#This Row],[3F Dough cooler - 2 ]])*1000</f>
        <v>0</v>
      </c>
      <c r="DM40">
        <f>(BI41-Table2[[#This Row],[3F Dough Cooler- 1]])*1000</f>
        <v>0</v>
      </c>
      <c r="DN40">
        <f>(BJ41-Table2[[#This Row],[4F Dough Production cooling Unit]])*1000</f>
        <v>0</v>
      </c>
      <c r="DO40">
        <f>(BQ41-Table2[[#This Row],[3F2 - PDB 3 - Dough Production Area]])*1000</f>
        <v>0</v>
      </c>
      <c r="DP40">
        <f>(BR41-Table2[[#This Row],[3F3 - PDB 4 - Dough Area]])*1000</f>
        <v>0</v>
      </c>
      <c r="DQ40">
        <f>AC41-Table2[[#This Row],[16F1 Tray washer Panel for Light]]</f>
        <v>0</v>
      </c>
      <c r="DR40">
        <f>CQ41-Table2[[#This Row],[2F1 Tray Washer - 1]]</f>
        <v>0</v>
      </c>
      <c r="DS40">
        <f>CS41-Table2[[#This Row],[2F5 Destacker]]</f>
        <v>0</v>
      </c>
      <c r="DT40">
        <f>CU41-Table2[[#This Row],[5F1 Metering (TW-2)]]</f>
        <v>0</v>
      </c>
      <c r="DU40">
        <f>CV41-Table2[[#This Row],[6F1 Pre soaker Tray washer]]</f>
        <v>0</v>
      </c>
      <c r="DV40">
        <f>CZ41-Table2[[#This Row],[6F5 Vent tray Storage]]</f>
        <v>0</v>
      </c>
      <c r="DW40">
        <f>I41-Table2[[#This Row],[Popeyes Meter ]]</f>
        <v>0</v>
      </c>
      <c r="DX40">
        <f>AZ41-Table2[[#This Row],[2F WH Chiller, Segregation Area]]</f>
        <v>0</v>
      </c>
      <c r="DY40">
        <f>BA41-Table2[[#This Row],[3F1 AC Unit WH dock cooling - 2 Nos]]</f>
        <v>0</v>
      </c>
      <c r="DZ40">
        <f>BB41-Table2[[#This Row],[3F2 AC Unit WH dock cooling - 3 Nos]]</f>
        <v>0</v>
      </c>
      <c r="EA40">
        <f>(BK41-Table2[[#This Row],[5F WH Perishable]])*1000</f>
        <v>0</v>
      </c>
      <c r="EB40">
        <f>BN41-Table2[[#This Row],[2F3 - PDB 9 - WH Dock Leveler Door ]]</f>
        <v>0</v>
      </c>
      <c r="EC40">
        <f>BP41-Table2[[#This Row],[3F1 - PDB 5 - WH HSD]]</f>
        <v>0</v>
      </c>
      <c r="ED40">
        <f>BX41-Table2[[#This Row],[8F1 WH Dock AHU - Ventilation]]</f>
        <v>0</v>
      </c>
      <c r="EE40">
        <f>BZ41-Table2[[#This Row],[8F3 ACPDB - 4 WH Dock air curtain]]</f>
        <v>0</v>
      </c>
      <c r="EF40">
        <f>CA41-Table2[[#This Row],[8F4 WH Light]]</f>
        <v>0</v>
      </c>
      <c r="EG40">
        <f>CC41-Table2[[#This Row],[9F1 - PDB 10 - WH Dock door &amp; Office]]</f>
        <v>0</v>
      </c>
      <c r="EH40">
        <f>CD41-Table2[[#This Row],[9F2 - PDB 11 - WH flycatchers]]</f>
        <v>0</v>
      </c>
      <c r="EI40">
        <f>CE41-Table2[[#This Row],[9F3 - PDB 12 - Other items]]</f>
        <v>0</v>
      </c>
      <c r="EJ40">
        <f>CR41-Table2[[#This Row],[2F3 - PDB 1 - Dock 1 to 4 ]]</f>
        <v>0</v>
      </c>
      <c r="EK40">
        <f>BM41-Table2[[#This Row],[2F2 - PDB 3 - WH Truck &amp; Battery Charging]]</f>
        <v>0</v>
      </c>
      <c r="EL40">
        <f>(CK41-Table2[[#This Row],[PDB - 11 Truck Charging]])*1000</f>
        <v>0</v>
      </c>
      <c r="EM40">
        <f>P41-Table2[[#This Row],[5F3 Admin Area]]</f>
        <v>0</v>
      </c>
      <c r="EN40">
        <f>AH41-Table2[[#This Row],[2F5 Main Gate-1 Piller -1]]</f>
        <v>0</v>
      </c>
      <c r="EO40">
        <f>CW41-Table2[[#This Row],[6F2 Ground Floor AC]]</f>
        <v>0</v>
      </c>
      <c r="EP40">
        <f>CX41-Table2[[#This Row],[6F3 ACBD -1 (First floor AC)]]</f>
        <v>0</v>
      </c>
      <c r="EQ40">
        <f>CY41-Table2[[#This Row],[6F4 ACBD - 2 (Second &amp; Third floor AC)]]</f>
        <v>0</v>
      </c>
      <c r="ER40">
        <f>(BC41-Table2[[#This Row],[4F Old BMC cooling Unit]])</f>
        <v>0</v>
      </c>
      <c r="ES40">
        <f>BO41-Table2[[#This Row],[2F4 - Old BMC]]</f>
        <v>0</v>
      </c>
      <c r="ET40">
        <f>Y41-Table2[[#This Row],[14F2 New CK]]</f>
        <v>0</v>
      </c>
      <c r="EU40">
        <f>(CL41-Table2[[#This Row],[OLD Ck Panel-1]])*1000</f>
        <v>0</v>
      </c>
      <c r="EV40">
        <f>CM41-Table2[[#This Row],[2F4 Old CK Blast (Blue star)]]</f>
        <v>0</v>
      </c>
      <c r="EW40">
        <f>CN41-Table2[[#This Row],[3F6 Old CK Blast (Carrier)]]</f>
        <v>0</v>
      </c>
      <c r="EX40">
        <f>(CO41-Table2[[#This Row],[Old CK Panel -2]])*1000</f>
        <v>0</v>
      </c>
      <c r="EY40">
        <f>N41-Table2[[#This Row],[4F1 Main UPS 1/C -1]]</f>
        <v>0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0</v>
      </c>
      <c r="FC40">
        <f>BW41-Table2[[#This Row],[7F3 CLC Power Panel]]</f>
        <v>0</v>
      </c>
      <c r="FD40">
        <f>(CI41-Table2[[#This Row],[PDB - 17 CLC Section ]])*1000</f>
        <v>0</v>
      </c>
      <c r="FE40">
        <f>(W41-Table2[[#This Row],[13F3 Water &amp; Lift Old CK]])*1000</f>
        <v>0</v>
      </c>
      <c r="FF40">
        <f>AA41-Table2[[#This Row],[15F2 New ETP Panel]]</f>
        <v>0</v>
      </c>
      <c r="FG40">
        <f>AL41-Table2[[#This Row],[3F4 Old ETP Panel]]</f>
        <v>0</v>
      </c>
      <c r="FH40">
        <f>AF41-Table2[[#This Row],[2F1 RO Plant]]</f>
        <v>0</v>
      </c>
      <c r="FI40">
        <f>AK41-Table2[[#This Row],[3F3 Fire Hydrant Panel]]</f>
        <v>0</v>
      </c>
      <c r="FJ40">
        <f>R41-Table2[[#This Row],[7F1 Freon System Panel]]</f>
        <v>0</v>
      </c>
      <c r="FK40">
        <f>(AE41-Table2[[#This Row],[21F1 Refrigeration Ammonia]])*1000</f>
        <v>0</v>
      </c>
      <c r="FL40">
        <f>(AG41-Table2[[#This Row],[2F3 Air Compressor]])*1000</f>
        <v>0</v>
      </c>
      <c r="FM40">
        <f>(AX41-Table2[[#This Row],[Solar Reading Panel II]])*1000</f>
        <v>0</v>
      </c>
      <c r="FN40">
        <f>AI41-Table2[[#This Row],[3F1 Maintenance Workshop]]</f>
        <v>0</v>
      </c>
      <c r="FO40">
        <f>BD41-Table2[[#This Row],[4F B2B unit ]]</f>
        <v>0</v>
      </c>
      <c r="FP40">
        <f>BL41-Table2[[#This Row],[2F1 - PDB 6 - Bread, B2B section]]</f>
        <v>0</v>
      </c>
      <c r="FQ40">
        <f>(CG41-Table2[[#This Row],[9F5 - PDB 14 - Bread Lift]])</f>
        <v>0</v>
      </c>
      <c r="FR40">
        <f>CJ41-Table2[[#This Row],[PDB - 16 Bread Section]]</f>
        <v>0</v>
      </c>
      <c r="FS40">
        <f>BU41-Table2[[#This Row],[7F1 Donut Production area]]</f>
        <v>0</v>
      </c>
      <c r="FT40">
        <f>CB41-Table2[[#This Row],[8F5 Donut Ban Bary]]</f>
        <v>0</v>
      </c>
      <c r="FU40">
        <f>CF41-Table2[[#This Row],[9F4 - PDB 13 - Donut Sink Geyser area]]</f>
        <v>0</v>
      </c>
      <c r="FV40">
        <f>BV41-Table2[[#This Row],[7F2 Flour Silo]]</f>
        <v>0</v>
      </c>
      <c r="FW40">
        <f>BY41-Table2[[#This Row],[8F2 ACPDB - 3 SILO Ventilation]]</f>
        <v>0</v>
      </c>
      <c r="FX40">
        <f>J41-Table2[[#This Row],[DG 1010KVA Running Hours]]</f>
        <v>0</v>
      </c>
      <c r="FY40">
        <f>K41-Table2[[#This Row],[DG 1010 KVA Meter Reading]]</f>
        <v>0</v>
      </c>
      <c r="FZ40">
        <f>L41-Table2[[#This Row],[GG 1010 KVA Running Hours]]</f>
        <v>0</v>
      </c>
      <c r="GA40">
        <f>M41-Table2[[#This Row],[GG 1010 KVA Meter Reading]]</f>
        <v>0</v>
      </c>
    </row>
    <row r="41" spans="1:183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abSelected="1" topLeftCell="J1" zoomScale="76" workbookViewId="0">
      <pane ySplit="9" topLeftCell="A35" activePane="bottomLeft" state="frozen"/>
      <selection pane="bottomLeft" activeCell="Z47" sqref="Z47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-218938.6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-306669.19999999995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-525607.80000000005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-417510.6</v>
      </c>
      <c r="M47" s="46">
        <f t="shared" si="6"/>
        <v>-221776.7</v>
      </c>
      <c r="N47" s="46">
        <f t="shared" si="6"/>
        <v>-53664.1</v>
      </c>
      <c r="O47" s="46">
        <f t="shared" si="6"/>
        <v>-376537.2</v>
      </c>
      <c r="P47" s="46">
        <f t="shared" si="6"/>
        <v>-252465</v>
      </c>
      <c r="Q47" s="46">
        <f t="shared" si="6"/>
        <v>-537445</v>
      </c>
      <c r="R47" s="46">
        <f t="shared" si="6"/>
        <v>-310018.90000000002</v>
      </c>
      <c r="S47" s="46">
        <f t="shared" si="6"/>
        <v>-738471.7</v>
      </c>
      <c r="T47" s="46">
        <f t="shared" si="6"/>
        <v>-1472889</v>
      </c>
      <c r="U47" s="47">
        <f t="shared" si="7"/>
        <v>-954955.6</v>
      </c>
      <c r="V47" s="47">
        <f t="shared" si="7"/>
        <v>-531795.60000000009</v>
      </c>
      <c r="W47" s="47">
        <f t="shared" si="7"/>
        <v>-792135.79999999993</v>
      </c>
      <c r="X47" s="47">
        <f t="shared" si="5"/>
        <v>-2101891.2000000002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2026-08-03T04:49:12Z</dcterms:modified>
</cp:coreProperties>
</file>