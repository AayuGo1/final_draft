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X85" i="4" s="1"/>
  <c r="N85" i="4"/>
  <c r="W85" i="4" s="1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V79" i="4" s="1"/>
  <c r="L79" i="4"/>
  <c r="U79" i="4" s="1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U76" i="4" s="1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X71" i="4" s="1"/>
  <c r="N71" i="4"/>
  <c r="W71" i="4" s="1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X68" i="4" s="1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V54" i="4" s="1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W51" i="4" s="1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W45" i="4" s="1"/>
  <c r="M45" i="4"/>
  <c r="V45" i="4" s="1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W42" i="4" s="1"/>
  <c r="M42" i="4"/>
  <c r="V42" i="4" s="1"/>
  <c r="L42" i="4"/>
  <c r="U42" i="4" s="1"/>
  <c r="T41" i="4"/>
  <c r="S41" i="4"/>
  <c r="R41" i="4"/>
  <c r="Q41" i="4"/>
  <c r="P41" i="4"/>
  <c r="O41" i="4"/>
  <c r="N41" i="4"/>
  <c r="M41" i="4"/>
  <c r="L41" i="4"/>
  <c r="T39" i="4"/>
  <c r="S39" i="4"/>
  <c r="R39" i="4"/>
  <c r="Q39" i="4"/>
  <c r="P39" i="4"/>
  <c r="O39" i="4"/>
  <c r="N39" i="4"/>
  <c r="M39" i="4"/>
  <c r="L39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V36" i="4" s="1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U100" i="4" l="1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W39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U39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X39" i="4"/>
  <c r="W35" i="4"/>
  <c r="V38" i="4"/>
  <c r="X35" i="4"/>
  <c r="V39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M32" i="3"/>
  <c r="V32" i="3" s="1"/>
  <c r="L32" i="3"/>
  <c r="T31" i="3"/>
  <c r="X31" i="3" s="1"/>
  <c r="S31" i="3"/>
  <c r="R31" i="3"/>
  <c r="Q31" i="3"/>
  <c r="P31" i="3"/>
  <c r="O31" i="3"/>
  <c r="N31" i="3"/>
  <c r="M31" i="3"/>
  <c r="L31" i="3"/>
  <c r="U31" i="3" s="1"/>
  <c r="T30" i="3"/>
  <c r="S30" i="3"/>
  <c r="W30" i="3" s="1"/>
  <c r="R30" i="3"/>
  <c r="Q30" i="3"/>
  <c r="P30" i="3"/>
  <c r="O30" i="3"/>
  <c r="X30" i="3" s="1"/>
  <c r="N30" i="3"/>
  <c r="M30" i="3"/>
  <c r="V30" i="3" s="1"/>
  <c r="L30" i="3"/>
  <c r="U30" i="3" s="1"/>
  <c r="T29" i="3"/>
  <c r="S29" i="3"/>
  <c r="R29" i="3"/>
  <c r="Q29" i="3"/>
  <c r="P29" i="3"/>
  <c r="O29" i="3"/>
  <c r="X29" i="3" s="1"/>
  <c r="N29" i="3"/>
  <c r="M29" i="3"/>
  <c r="L29" i="3"/>
  <c r="U29" i="3" s="1"/>
  <c r="X28" i="3"/>
  <c r="T28" i="3"/>
  <c r="S28" i="3"/>
  <c r="R28" i="3"/>
  <c r="Q28" i="3"/>
  <c r="P28" i="3"/>
  <c r="O28" i="3"/>
  <c r="N28" i="3"/>
  <c r="W28" i="3" s="1"/>
  <c r="M28" i="3"/>
  <c r="V28" i="3" s="1"/>
  <c r="L28" i="3"/>
  <c r="T27" i="3"/>
  <c r="X27" i="3" s="1"/>
  <c r="S27" i="3"/>
  <c r="W27" i="3" s="1"/>
  <c r="R27" i="3"/>
  <c r="Q27" i="3"/>
  <c r="P27" i="3"/>
  <c r="O27" i="3"/>
  <c r="N27" i="3"/>
  <c r="M27" i="3"/>
  <c r="V27" i="3" s="1"/>
  <c r="L27" i="3"/>
  <c r="U27" i="3" s="1"/>
  <c r="V26" i="3"/>
  <c r="T26" i="3"/>
  <c r="S26" i="3"/>
  <c r="W26" i="3" s="1"/>
  <c r="R26" i="3"/>
  <c r="Q26" i="3"/>
  <c r="U26" i="3" s="1"/>
  <c r="P26" i="3"/>
  <c r="O26" i="3"/>
  <c r="N26" i="3"/>
  <c r="M26" i="3"/>
  <c r="L26" i="3"/>
  <c r="T25" i="3"/>
  <c r="S25" i="3"/>
  <c r="R25" i="3"/>
  <c r="V25" i="3" s="1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U25" i="3" l="1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16" i="2"/>
  <c r="GA17" i="2"/>
  <c r="GA18" i="2"/>
  <c r="GA19" i="2"/>
  <c r="GA20" i="2"/>
  <c r="GA21" i="2"/>
  <c r="GA22" i="2"/>
  <c r="GA23" i="2"/>
  <c r="GA24" i="2"/>
  <c r="GA3" i="2"/>
  <c r="FZ4" i="2"/>
  <c r="FZ5" i="2"/>
  <c r="FZ6" i="2"/>
  <c r="FZ7" i="2"/>
  <c r="FZ14" i="2"/>
  <c r="FZ15" i="2"/>
  <c r="FZ16" i="2"/>
  <c r="FZ17" i="2"/>
  <c r="FZ18" i="2"/>
  <c r="FZ19" i="2"/>
  <c r="FZ20" i="2"/>
  <c r="FZ21" i="2"/>
  <c r="FZ22" i="2"/>
  <c r="FZ23" i="2"/>
  <c r="FZ24" i="2"/>
  <c r="FZ3" i="2"/>
  <c r="FY4" i="2"/>
  <c r="FY5" i="2"/>
  <c r="FY6" i="2"/>
  <c r="FY7" i="2"/>
  <c r="FY14" i="2"/>
  <c r="FY15" i="2"/>
  <c r="FY16" i="2"/>
  <c r="FY17" i="2"/>
  <c r="FY18" i="2"/>
  <c r="FY19" i="2"/>
  <c r="FY20" i="2"/>
  <c r="FY21" i="2"/>
  <c r="FY22" i="2"/>
  <c r="FY23" i="2"/>
  <c r="FY24" i="2"/>
  <c r="FY3" i="2"/>
  <c r="FX4" i="2"/>
  <c r="FX5" i="2"/>
  <c r="FX6" i="2"/>
  <c r="FX7" i="2"/>
  <c r="FX14" i="2"/>
  <c r="FX15" i="2"/>
  <c r="FX16" i="2"/>
  <c r="FX17" i="2"/>
  <c r="FX18" i="2"/>
  <c r="FX19" i="2"/>
  <c r="FX20" i="2"/>
  <c r="FX21" i="2"/>
  <c r="FX22" i="2"/>
  <c r="FX23" i="2"/>
  <c r="FX24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19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<sst xmlns="http://schemas.openxmlformats.org/spreadsheetml/2006/main" count="503" uniqueCount="230">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</sst>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topLeftCell="DA1" workbookViewId="0">
      <selection activeCell="DJ2" sqref="DJ2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-11571320</v>
      </c>
      <c r="DJ15">
        <f>(DA16-Table2[[#This Row],[PNG Meter (Outside)]])*2.936</f>
        <v>-52158.069359999994</v>
      </c>
      <c r="DK15">
        <f>(DB16-Table2[[#This Row],[PNG Meter (Inside)]])*2.936</f>
        <v>-433665.80836799997</v>
      </c>
      <c r="DL15">
        <f>(BH16-Table2[[#This Row],[3F Dough cooler - 2 ]])*1000</f>
        <v>-356026</v>
      </c>
      <c r="DM15">
        <f>(BI16-Table2[[#This Row],[3F Dough Cooler- 1]])*1000</f>
        <v>-903802</v>
      </c>
      <c r="DN15">
        <f>(BJ16-Table2[[#This Row],[4F Dough Production cooling Unit]])*1000</f>
        <v>-13511</v>
      </c>
      <c r="DO15">
        <f>(BQ16-Table2[[#This Row],[3F2 - PDB 3 - Dough Production Area]])*1000</f>
        <v>-320306</v>
      </c>
      <c r="DP15">
        <f>(BR16-Table2[[#This Row],[3F3 - PDB 4 - Dough Area]])*1000</f>
        <v>-178505</v>
      </c>
      <c r="DQ15">
        <f>AC16-Table2[[#This Row],[16F1 Tray washer Panel for Light]]</f>
        <v>-2120986.2400000002</v>
      </c>
      <c r="DR15">
        <f>CQ16-Table2[[#This Row],[2F1 Tray Washer - 1]]</f>
        <v>-3656770.88</v>
      </c>
      <c r="DS15">
        <f>CS16-Table2[[#This Row],[2F5 Destacker]]</f>
        <v>-507036.25599999999</v>
      </c>
      <c r="DT15">
        <f>CU16-Table2[[#This Row],[5F1 Metering (TW-2)]]</f>
        <v>-292396.05099999998</v>
      </c>
      <c r="DU15">
        <f>CV16-Table2[[#This Row],[6F1 Pre soaker Tray washer]]</f>
        <v>-30124.047999999999</v>
      </c>
      <c r="DV15">
        <f>CZ16-Table2[[#This Row],[6F5 Vent tray Storage]]</f>
        <v>-216284.22399999999</v>
      </c>
      <c r="DW15">
        <f>I16-Table2[[#This Row],[Popeyes Meter ]]</f>
        <v>-5605.7820000000002</v>
      </c>
      <c r="DX15">
        <f>AZ16-Table2[[#This Row],[2F WH Chiller, Segregation Area]]</f>
        <v>-20.788</v>
      </c>
      <c r="DY15">
        <f>BA16-Table2[[#This Row],[3F1 AC Unit WH dock cooling - 2 Nos]]</f>
        <v>-9911.4470000000001</v>
      </c>
      <c r="DZ15">
        <f>BB16-Table2[[#This Row],[3F2 AC Unit WH dock cooling - 3 Nos]]</f>
        <v>-43.671999999999997</v>
      </c>
      <c r="EA15">
        <f>(BK16-Table2[[#This Row],[5F WH Perishable]])*1000</f>
        <v>-557329</v>
      </c>
      <c r="EB15">
        <f>BN16-Table2[[#This Row],[2F3 - PDB 9 - WH Dock Leveler Door ]]</f>
        <v>-7139.2824000000001</v>
      </c>
      <c r="EC15">
        <f>BP16-Table2[[#This Row],[3F1 - PDB 5 - WH HSD]]</f>
        <v>-311257.37599999999</v>
      </c>
      <c r="ED15">
        <f>BX16-Table2[[#This Row],[8F1 WH Dock AHU - Ventilation]]</f>
        <v>-942480.12800000003</v>
      </c>
      <c r="EE15">
        <f>BZ16-Table2[[#This Row],[8F3 ACPDB - 4 WH Dock air curtain]]</f>
        <v>-114219.952</v>
      </c>
      <c r="EF15">
        <f>CA16-Table2[[#This Row],[8F4 WH Light]]</f>
        <v>-1179.6519000000001</v>
      </c>
      <c r="EG15">
        <f>CC16-Table2[[#This Row],[9F1 - PDB 10 - WH Dock door &amp; Office]]</f>
        <v>-147655.96799999999</v>
      </c>
      <c r="EH15">
        <f>CD16-Table2[[#This Row],[9F2 - PDB 11 - WH flycatchers]]</f>
        <v>-442080.76799999998</v>
      </c>
      <c r="EI15">
        <f>CE16-Table2[[#This Row],[9F3 - PDB 12 - Other items]]</f>
        <v>-49125.260799999996</v>
      </c>
      <c r="EJ15">
        <f>CR16-Table2[[#This Row],[2F3 - PDB 1 - Dock 1 to 4 ]]</f>
        <v>-129512.16800000001</v>
      </c>
      <c r="EK15">
        <f>BM16-Table2[[#This Row],[2F2 - PDB 3 - WH Truck &amp; Battery Charging]]</f>
        <v>-297350.36</v>
      </c>
      <c r="EL15">
        <f>(CK16-Table2[[#This Row],[PDB - 11 Truck Charging]])*1000</f>
        <v>-76913</v>
      </c>
      <c r="EM15">
        <f>P16-Table2[[#This Row],[5F3 Admin Area]]</f>
        <v>-636134.07999999996</v>
      </c>
      <c r="EN15">
        <f>AH16-Table2[[#This Row],[2F5 Main Gate-1 Piller -1]]</f>
        <v>-130516.48</v>
      </c>
      <c r="EO15">
        <f>CW16-Table2[[#This Row],[6F2 Ground Floor AC]]</f>
        <v>-62256.134400000003</v>
      </c>
      <c r="EP15">
        <f>CX16-Table2[[#This Row],[6F3 ACBD -1 (First floor AC)]]</f>
        <v>-33227.599999999999</v>
      </c>
      <c r="EQ15">
        <f>CY16-Table2[[#This Row],[6F4 ACBD - 2 (Second &amp; Third floor AC)]]</f>
        <v>-164849.79199999999</v>
      </c>
      <c r="ER15">
        <f>(BC16-Table2[[#This Row],[4F Old BMC cooling Unit]])</f>
        <v>-113978.504</v>
      </c>
      <c r="ES15">
        <f>BO16-Table2[[#This Row],[2F4 - Old BMC]]</f>
        <v>-53512.371200000001</v>
      </c>
      <c r="ET15">
        <f>Y16-Table2[[#This Row],[14F2 New CK]]</f>
        <v>-1061470.8799999999</v>
      </c>
      <c r="EU15">
        <f>(CL16-Table2[[#This Row],[OLD Ck Panel-1]])*1000</f>
        <v>-720532</v>
      </c>
      <c r="EV15">
        <f>CM16-Table2[[#This Row],[2F4 Old CK Blast (Blue star)]]</f>
        <v>-551.4</v>
      </c>
      <c r="EW15">
        <f>CN16-Table2[[#This Row],[3F6 Old CK Blast (Carrier)]]</f>
        <v>-34792.400000000001</v>
      </c>
      <c r="EX15">
        <f>(CO16-Table2[[#This Row],[Old CK Panel -2]])*1000</f>
        <v>-1629401</v>
      </c>
      <c r="EY15">
        <f>N16-Table2[[#This Row],[4F1 Main UPS 1/C -1]]</f>
        <v>-1846169.92</v>
      </c>
      <c r="EZ15">
        <f>Z16-Table2[[#This Row],[15F1 Main UPS Panel - I/C - 2]]</f>
        <v>-2777.8894</v>
      </c>
      <c r="FA15">
        <f>BF16-Table2[[#This Row],[2F CLC -1 AC unit - 2]]</f>
        <v>-1712.0419999999999</v>
      </c>
      <c r="FB15">
        <f>(BG16-Table2[[#This Row],[2F CLC Anti room]])*1000</f>
        <v>-74275</v>
      </c>
      <c r="FC15">
        <f>BW16-Table2[[#This Row],[7F3 CLC Power Panel]]</f>
        <v>-562982.52800000005</v>
      </c>
      <c r="FD15">
        <f>(CI16-Table2[[#This Row],[PDB - 17 CLC Section ]])*1000</f>
        <v>-210895</v>
      </c>
      <c r="FE15">
        <f>(W16-Table2[[#This Row],[13F3 Water &amp; Lift Old CK]])*1000</f>
        <v>-1576977.9000000001</v>
      </c>
      <c r="FF15">
        <f>AA16-Table2[[#This Row],[15F2 New ETP Panel]]</f>
        <v>-661492.47999999998</v>
      </c>
      <c r="FG15">
        <f>AL16-Table2[[#This Row],[3F4 Old ETP Panel]]</f>
        <v>-328771.00799999997</v>
      </c>
      <c r="FH15">
        <f>AF16-Table2[[#This Row],[2F1 RO Plant]]</f>
        <v>-861489.85600000003</v>
      </c>
      <c r="FI15">
        <f>AK16-Table2[[#This Row],[3F3 Fire Hydrant Panel]]</f>
        <v>-104956.624</v>
      </c>
      <c r="FJ15">
        <f>R16-Table2[[#This Row],[7F1 Freon System Panel]]</f>
        <v>-5401349.7599999998</v>
      </c>
      <c r="FK15">
        <f>(AE16-Table2[[#This Row],[21F1 Refrigeration Ammonia]])*1000</f>
        <v>-12637134.4</v>
      </c>
      <c r="FL15">
        <f>(AG16-Table2[[#This Row],[2F3 Air Compressor]])*1000</f>
        <v>-1372191</v>
      </c>
      <c r="FM15">
        <f>(AX16-Table2[[#This Row],[Solar Reading Panel II]])*1000</f>
        <v>-7174966</v>
      </c>
      <c r="FN15">
        <f>AI16-Table2[[#This Row],[3F1 Maintenance Workshop]]</f>
        <v>-14500.5344</v>
      </c>
      <c r="FO15">
        <f>BD16-Table2[[#This Row],[4F B2B unit ]]</f>
        <v>-274563.45600000001</v>
      </c>
      <c r="FP15">
        <f>BL16-Table2[[#This Row],[2F1 - PDB 6 - Bread, B2B section]]</f>
        <v>-68443.148799999995</v>
      </c>
      <c r="FQ15">
        <f>(CG16-Table2[[#This Row],[9F5 - PDB 14 - Bread Lift]])</f>
        <v>-360760.61440000002</v>
      </c>
      <c r="FR15">
        <f>CJ16-Table2[[#This Row],[PDB - 16 Bread Section]]</f>
        <v>-1167.4000000000001</v>
      </c>
      <c r="FS15">
        <f>BU16-Table2[[#This Row],[7F1 Donut Production area]]</f>
        <v>-624033.53599999996</v>
      </c>
      <c r="FT15">
        <f>CB16-Table2[[#This Row],[8F5 Donut Ban Bary]]</f>
        <v>-107403.432</v>
      </c>
      <c r="FU15">
        <f>CF16-Table2[[#This Row],[9F4 - PDB 13 - Donut Sink Geyser area]]</f>
        <v>-155314.576</v>
      </c>
      <c r="FV15">
        <f>BV16-Table2[[#This Row],[7F2 Flour Silo]]</f>
        <v>-1011041.84</v>
      </c>
      <c r="FW15">
        <f>BY16-Table2[[#This Row],[8F2 ACPDB - 3 SILO Ventilation]]</f>
        <v>-156542.272</v>
      </c>
      <c r="FX15">
        <f>J16-Table2[[#This Row],[DG 1010KVA Running Hours]]</f>
        <v>-4248.8</v>
      </c>
      <c r="FY15">
        <f>K16-Table2[[#This Row],[DG 1010 KVA Meter Reading]]</f>
        <v>-1765872</v>
      </c>
      <c r="FZ15">
        <f>L16-Table2[[#This Row],[GG 1010 KVA Running Hours]]</f>
        <v>-430</v>
      </c>
      <c r="GA15">
        <f>M16-Table2[[#This Row],[GG 1010 KVA Meter Reading]]</f>
        <v>-179.23</v>
      </c>
    </row>
    <row r="16" spans="1:183" x14ac:dyDescent="0.35">
      <c r="A16" s="1"/>
      <c r="B16" s="2"/>
      <c r="C16" s="2"/>
      <c r="D16" s="1"/>
      <c r="E16" s="1"/>
      <c r="F16" s="1"/>
      <c r="G16" s="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50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4">
        <f>Table2[[#This Row],[Date]]</f>
        <v>0</v>
      </c>
      <c r="DI16">
        <f>(DD17-Table2[[#This Row],[MWH Total]])*4000</f>
        <v>0</v>
      </c>
      <c r="DJ16">
        <f>(DA17-Table2[[#This Row],[PNG Meter (Outside)]])*2.936</f>
        <v>0</v>
      </c>
      <c r="DK16">
        <f>(DB17-Table2[[#This Row],[PNG Meter (Inside)]])*2.936</f>
        <v>0</v>
      </c>
      <c r="DL16">
        <f>(BH17-Table2[[#This Row],[3F Dough cooler - 2 ]])*1000</f>
        <v>0</v>
      </c>
      <c r="DM16">
        <f>(BI17-Table2[[#This Row],[3F Dough Cooler- 1]])*1000</f>
        <v>0</v>
      </c>
      <c r="DN16">
        <f>(BJ17-Table2[[#This Row],[4F Dough Production cooling Unit]])*1000</f>
        <v>0</v>
      </c>
      <c r="DO16">
        <f>(BQ17-Table2[[#This Row],[3F2 - PDB 3 - Dough Production Area]])*1000</f>
        <v>0</v>
      </c>
      <c r="DP16">
        <f>(BR17-Table2[[#This Row],[3F3 - PDB 4 - Dough Area]])*1000</f>
        <v>0</v>
      </c>
      <c r="DQ16">
        <f>AC17-Table2[[#This Row],[16F1 Tray washer Panel for Light]]</f>
        <v>0</v>
      </c>
      <c r="DR16">
        <f>CQ17-Table2[[#This Row],[2F1 Tray Washer - 1]]</f>
        <v>0</v>
      </c>
      <c r="DS16">
        <f>CS17-Table2[[#This Row],[2F5 Destacker]]</f>
        <v>0</v>
      </c>
      <c r="DT16">
        <f>CU17-Table2[[#This Row],[5F1 Metering (TW-2)]]</f>
        <v>0</v>
      </c>
      <c r="DU16">
        <f>CV17-Table2[[#This Row],[6F1 Pre soaker Tray washer]]</f>
        <v>0</v>
      </c>
      <c r="DV16">
        <f>CZ17-Table2[[#This Row],[6F5 Vent tray Storage]]</f>
        <v>0</v>
      </c>
      <c r="DW16">
        <f>I17-Table2[[#This Row],[Popeyes Meter ]]</f>
        <v>0</v>
      </c>
      <c r="DX16">
        <f>AZ17-Table2[[#This Row],[2F WH Chiller, Segregation Area]]</f>
        <v>0</v>
      </c>
      <c r="DY16">
        <f>BA17-Table2[[#This Row],[3F1 AC Unit WH dock cooling - 2 Nos]]</f>
        <v>0</v>
      </c>
      <c r="DZ16">
        <f>BB17-Table2[[#This Row],[3F2 AC Unit WH dock cooling - 3 Nos]]</f>
        <v>0</v>
      </c>
      <c r="EA16">
        <f>(BK17-Table2[[#This Row],[5F WH Perishable]])*1000</f>
        <v>0</v>
      </c>
      <c r="EB16">
        <f>BN17-Table2[[#This Row],[2F3 - PDB 9 - WH Dock Leveler Door ]]</f>
        <v>0</v>
      </c>
      <c r="EC16">
        <f>BP17-Table2[[#This Row],[3F1 - PDB 5 - WH HSD]]</f>
        <v>0</v>
      </c>
      <c r="ED16">
        <f>BX17-Table2[[#This Row],[8F1 WH Dock AHU - Ventilation]]</f>
        <v>0</v>
      </c>
      <c r="EE16">
        <f>BZ17-Table2[[#This Row],[8F3 ACPDB - 4 WH Dock air curtain]]</f>
        <v>0</v>
      </c>
      <c r="EF16">
        <f>CA17-Table2[[#This Row],[8F4 WH Light]]</f>
        <v>0</v>
      </c>
      <c r="EG16">
        <f>CC17-Table2[[#This Row],[9F1 - PDB 10 - WH Dock door &amp; Office]]</f>
        <v>0</v>
      </c>
      <c r="EH16">
        <f>CD17-Table2[[#This Row],[9F2 - PDB 11 - WH flycatchers]]</f>
        <v>0</v>
      </c>
      <c r="EI16">
        <f>CE17-Table2[[#This Row],[9F3 - PDB 12 - Other items]]</f>
        <v>0</v>
      </c>
      <c r="EJ16">
        <f>CR17-Table2[[#This Row],[2F3 - PDB 1 - Dock 1 to 4 ]]</f>
        <v>0</v>
      </c>
      <c r="EK16">
        <f>BM17-Table2[[#This Row],[2F2 - PDB 3 - WH Truck &amp; Battery Charging]]</f>
        <v>0</v>
      </c>
      <c r="EL16">
        <f>(CK17-Table2[[#This Row],[PDB - 11 Truck Charging]])*1000</f>
        <v>0</v>
      </c>
      <c r="EM16">
        <f>P17-Table2[[#This Row],[5F3 Admin Area]]</f>
        <v>0</v>
      </c>
      <c r="EN16">
        <f>AH17-Table2[[#This Row],[2F5 Main Gate-1 Piller -1]]</f>
        <v>0</v>
      </c>
      <c r="EO16">
        <f>CW17-Table2[[#This Row],[6F2 Ground Floor AC]]</f>
        <v>0</v>
      </c>
      <c r="EP16">
        <f>CX17-Table2[[#This Row],[6F3 ACBD -1 (First floor AC)]]</f>
        <v>0</v>
      </c>
      <c r="EQ16">
        <f>CY17-Table2[[#This Row],[6F4 ACBD - 2 (Second &amp; Third floor AC)]]</f>
        <v>0</v>
      </c>
      <c r="ER16">
        <f>(BC17-Table2[[#This Row],[4F Old BMC cooling Unit]])</f>
        <v>0</v>
      </c>
      <c r="ES16">
        <f>BO17-Table2[[#This Row],[2F4 - Old BMC]]</f>
        <v>0</v>
      </c>
      <c r="ET16">
        <f>Y17-Table2[[#This Row],[14F2 New CK]]</f>
        <v>0</v>
      </c>
      <c r="EU16">
        <f>(CL17-Table2[[#This Row],[OLD Ck Panel-1]])*1000</f>
        <v>0</v>
      </c>
      <c r="EV16">
        <f>CM17-Table2[[#This Row],[2F4 Old CK Blast (Blue star)]]</f>
        <v>0</v>
      </c>
      <c r="EW16">
        <f>CN17-Table2[[#This Row],[3F6 Old CK Blast (Carrier)]]</f>
        <v>0</v>
      </c>
      <c r="EX16">
        <f>(CO17-Table2[[#This Row],[Old CK Panel -2]])*1000</f>
        <v>0</v>
      </c>
      <c r="EY16">
        <f>N17-Table2[[#This Row],[4F1 Main UPS 1/C -1]]</f>
        <v>0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0</v>
      </c>
      <c r="FC16">
        <f>BW17-Table2[[#This Row],[7F3 CLC Power Panel]]</f>
        <v>0</v>
      </c>
      <c r="FD16">
        <f>(CI17-Table2[[#This Row],[PDB - 17 CLC Section ]])*1000</f>
        <v>0</v>
      </c>
      <c r="FE16">
        <f>(W17-Table2[[#This Row],[13F3 Water &amp; Lift Old CK]])*1000</f>
        <v>0</v>
      </c>
      <c r="FF16">
        <f>AA17-Table2[[#This Row],[15F2 New ETP Panel]]</f>
        <v>0</v>
      </c>
      <c r="FG16">
        <f>AL17-Table2[[#This Row],[3F4 Old ETP Panel]]</f>
        <v>0</v>
      </c>
      <c r="FH16">
        <f>AF17-Table2[[#This Row],[2F1 RO Plant]]</f>
        <v>0</v>
      </c>
      <c r="FI16">
        <f>AK17-Table2[[#This Row],[3F3 Fire Hydrant Panel]]</f>
        <v>0</v>
      </c>
      <c r="FJ16">
        <f>R17-Table2[[#This Row],[7F1 Freon System Panel]]</f>
        <v>0</v>
      </c>
      <c r="FK16">
        <f>(AE17-Table2[[#This Row],[21F1 Refrigeration Ammonia]])*1000</f>
        <v>0</v>
      </c>
      <c r="FL16">
        <f>(AG17-Table2[[#This Row],[2F3 Air Compressor]])*1000</f>
        <v>0</v>
      </c>
      <c r="FM16">
        <f>(AX17-Table2[[#This Row],[Solar Reading Panel II]])*1000</f>
        <v>0</v>
      </c>
      <c r="FN16">
        <f>AI17-Table2[[#This Row],[3F1 Maintenance Workshop]]</f>
        <v>0</v>
      </c>
      <c r="FO16">
        <f>BD17-Table2[[#This Row],[4F B2B unit ]]</f>
        <v>0</v>
      </c>
      <c r="FP16">
        <f>BL17-Table2[[#This Row],[2F1 - PDB 6 - Bread, B2B section]]</f>
        <v>0</v>
      </c>
      <c r="FQ16">
        <f>(CG17-Table2[[#This Row],[9F5 - PDB 14 - Bread Lift]])</f>
        <v>0</v>
      </c>
      <c r="FR16">
        <f>CJ17-Table2[[#This Row],[PDB - 16 Bread Section]]</f>
        <v>0</v>
      </c>
      <c r="FS16">
        <f>BU17-Table2[[#This Row],[7F1 Donut Production area]]</f>
        <v>0</v>
      </c>
      <c r="FT16">
        <f>CB17-Table2[[#This Row],[8F5 Donut Ban Bary]]</f>
        <v>0</v>
      </c>
      <c r="FU16">
        <f>CF17-Table2[[#This Row],[9F4 - PDB 13 - Donut Sink Geyser area]]</f>
        <v>0</v>
      </c>
      <c r="FV16">
        <f>BV17-Table2[[#This Row],[7F2 Flour Silo]]</f>
        <v>0</v>
      </c>
      <c r="FW16">
        <f>BY17-Table2[[#This Row],[8F2 ACPDB - 3 SILO Ventilation]]</f>
        <v>0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/>
      <c r="B17" s="2"/>
      <c r="C17" s="2"/>
      <c r="D17" s="1"/>
      <c r="E17" s="1"/>
      <c r="F17" s="1"/>
      <c r="G17" s="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50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4">
        <f>Table2[[#This Row],[Date]]</f>
        <v>0</v>
      </c>
      <c r="DI17">
        <f>(DD18-Table2[[#This Row],[MWH Total]])*4000</f>
        <v>0</v>
      </c>
      <c r="DJ17">
        <f>(DA18-Table2[[#This Row],[PNG Meter (Outside)]])*2.936</f>
        <v>0</v>
      </c>
      <c r="DK17">
        <f>(DB18-Table2[[#This Row],[PNG Meter (Inside)]])*2.936</f>
        <v>0</v>
      </c>
      <c r="DL17">
        <f>(BH18-Table2[[#This Row],[3F Dough cooler - 2 ]])*1000</f>
        <v>0</v>
      </c>
      <c r="DM17">
        <f>(BI18-Table2[[#This Row],[3F Dough Cooler- 1]])*1000</f>
        <v>0</v>
      </c>
      <c r="DN17">
        <f>(BJ18-Table2[[#This Row],[4F Dough Production cooling Unit]])*1000</f>
        <v>0</v>
      </c>
      <c r="DO17">
        <f>(BQ18-Table2[[#This Row],[3F2 - PDB 3 - Dough Production Area]])*1000</f>
        <v>0</v>
      </c>
      <c r="DP17">
        <f>(BR18-Table2[[#This Row],[3F3 - PDB 4 - Dough Area]])*1000</f>
        <v>0</v>
      </c>
      <c r="DQ17">
        <f>AC18-Table2[[#This Row],[16F1 Tray washer Panel for Light]]</f>
        <v>0</v>
      </c>
      <c r="DR17">
        <f>CQ18-Table2[[#This Row],[2F1 Tray Washer - 1]]</f>
        <v>0</v>
      </c>
      <c r="DS17">
        <f>CS18-Table2[[#This Row],[2F5 Destacker]]</f>
        <v>0</v>
      </c>
      <c r="DT17">
        <f>CU18-Table2[[#This Row],[5F1 Metering (TW-2)]]</f>
        <v>0</v>
      </c>
      <c r="DU17">
        <f>CV18-Table2[[#This Row],[6F1 Pre soaker Tray washer]]</f>
        <v>0</v>
      </c>
      <c r="DV17">
        <f>CZ18-Table2[[#This Row],[6F5 Vent tray Storage]]</f>
        <v>0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0</v>
      </c>
      <c r="DZ17">
        <f>BB18-Table2[[#This Row],[3F2 AC Unit WH dock cooling - 3 Nos]]</f>
        <v>0</v>
      </c>
      <c r="EA17">
        <f>(BK18-Table2[[#This Row],[5F WH Perishable]])*1000</f>
        <v>0</v>
      </c>
      <c r="EB17">
        <f>BN18-Table2[[#This Row],[2F3 - PDB 9 - WH Dock Leveler Door ]]</f>
        <v>0</v>
      </c>
      <c r="EC17">
        <f>BP18-Table2[[#This Row],[3F1 - PDB 5 - WH HSD]]</f>
        <v>0</v>
      </c>
      <c r="ED17">
        <f>BX18-Table2[[#This Row],[8F1 WH Dock AHU - Ventilation]]</f>
        <v>0</v>
      </c>
      <c r="EE17">
        <f>BZ18-Table2[[#This Row],[8F3 ACPDB - 4 WH Dock air curtain]]</f>
        <v>0</v>
      </c>
      <c r="EF17">
        <f>CA18-Table2[[#This Row],[8F4 WH Light]]</f>
        <v>0</v>
      </c>
      <c r="EG17">
        <f>CC18-Table2[[#This Row],[9F1 - PDB 10 - WH Dock door &amp; Office]]</f>
        <v>0</v>
      </c>
      <c r="EH17">
        <f>CD18-Table2[[#This Row],[9F2 - PDB 11 - WH flycatchers]]</f>
        <v>0</v>
      </c>
      <c r="EI17">
        <f>CE18-Table2[[#This Row],[9F3 - PDB 12 - Other items]]</f>
        <v>0</v>
      </c>
      <c r="EJ17">
        <f>CR18-Table2[[#This Row],[2F3 - PDB 1 - Dock 1 to 4 ]]</f>
        <v>0</v>
      </c>
      <c r="EK17">
        <f>BM18-Table2[[#This Row],[2F2 - PDB 3 - WH Truck &amp; Battery Charging]]</f>
        <v>0</v>
      </c>
      <c r="EL17">
        <f>(CK18-Table2[[#This Row],[PDB - 11 Truck Charging]])*1000</f>
        <v>0</v>
      </c>
      <c r="EM17">
        <f>P18-Table2[[#This Row],[5F3 Admin Area]]</f>
        <v>0</v>
      </c>
      <c r="EN17">
        <f>AH18-Table2[[#This Row],[2F5 Main Gate-1 Piller -1]]</f>
        <v>0</v>
      </c>
      <c r="EO17">
        <f>CW18-Table2[[#This Row],[6F2 Ground Floor AC]]</f>
        <v>0</v>
      </c>
      <c r="EP17">
        <f>CX18-Table2[[#This Row],[6F3 ACBD -1 (First floor AC)]]</f>
        <v>0</v>
      </c>
      <c r="EQ17">
        <f>CY18-Table2[[#This Row],[6F4 ACBD - 2 (Second &amp; Third floor AC)]]</f>
        <v>0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0</v>
      </c>
      <c r="EU17">
        <f>(CL18-Table2[[#This Row],[OLD Ck Panel-1]])*1000</f>
        <v>0</v>
      </c>
      <c r="EV17">
        <f>CM18-Table2[[#This Row],[2F4 Old CK Blast (Blue star)]]</f>
        <v>0</v>
      </c>
      <c r="EW17">
        <f>CN18-Table2[[#This Row],[3F6 Old CK Blast (Carrier)]]</f>
        <v>0</v>
      </c>
      <c r="EX17">
        <f>(CO18-Table2[[#This Row],[Old CK Panel -2]])*1000</f>
        <v>0</v>
      </c>
      <c r="EY17">
        <f>N18-Table2[[#This Row],[4F1 Main UPS 1/C -1]]</f>
        <v>0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0</v>
      </c>
      <c r="FC17">
        <f>BW18-Table2[[#This Row],[7F3 CLC Power Panel]]</f>
        <v>0</v>
      </c>
      <c r="FD17">
        <f>(CI18-Table2[[#This Row],[PDB - 17 CLC Section ]])*1000</f>
        <v>0</v>
      </c>
      <c r="FE17">
        <f>(W18-Table2[[#This Row],[13F3 Water &amp; Lift Old CK]])*1000</f>
        <v>0</v>
      </c>
      <c r="FF17">
        <f>AA18-Table2[[#This Row],[15F2 New ETP Panel]]</f>
        <v>0</v>
      </c>
      <c r="FG17">
        <f>AL18-Table2[[#This Row],[3F4 Old ETP Panel]]</f>
        <v>0</v>
      </c>
      <c r="FH17">
        <f>AF18-Table2[[#This Row],[2F1 RO Plant]]</f>
        <v>0</v>
      </c>
      <c r="FI17">
        <f>AK18-Table2[[#This Row],[3F3 Fire Hydrant Panel]]</f>
        <v>0</v>
      </c>
      <c r="FJ17">
        <f>R18-Table2[[#This Row],[7F1 Freon System Panel]]</f>
        <v>0</v>
      </c>
      <c r="FK17">
        <f>(AE18-Table2[[#This Row],[21F1 Refrigeration Ammonia]])*1000</f>
        <v>0</v>
      </c>
      <c r="FL17">
        <f>(AG18-Table2[[#This Row],[2F3 Air Compressor]])*1000</f>
        <v>0</v>
      </c>
      <c r="FM17">
        <f>(AX18-Table2[[#This Row],[Solar Reading Panel II]])*1000</f>
        <v>0</v>
      </c>
      <c r="FN17">
        <f>AI18-Table2[[#This Row],[3F1 Maintenance Workshop]]</f>
        <v>0</v>
      </c>
      <c r="FO17">
        <f>BD18-Table2[[#This Row],[4F B2B unit ]]</f>
        <v>0</v>
      </c>
      <c r="FP17">
        <f>BL18-Table2[[#This Row],[2F1 - PDB 6 - Bread, B2B section]]</f>
        <v>0</v>
      </c>
      <c r="FQ17">
        <f>(CG18-Table2[[#This Row],[9F5 - PDB 14 - Bread Lift]])</f>
        <v>0</v>
      </c>
      <c r="FR17">
        <f>CJ18-Table2[[#This Row],[PDB - 16 Bread Section]]</f>
        <v>0</v>
      </c>
      <c r="FS17">
        <f>BU18-Table2[[#This Row],[7F1 Donut Production area]]</f>
        <v>0</v>
      </c>
      <c r="FT17">
        <f>CB18-Table2[[#This Row],[8F5 Donut Ban Bary]]</f>
        <v>0</v>
      </c>
      <c r="FU17">
        <f>CF18-Table2[[#This Row],[9F4 - PDB 13 - Donut Sink Geyser area]]</f>
        <v>0</v>
      </c>
      <c r="FV17">
        <f>BV18-Table2[[#This Row],[7F2 Flour Silo]]</f>
        <v>0</v>
      </c>
      <c r="FW17">
        <f>BY18-Table2[[#This Row],[8F2 ACPDB - 3 SILO Ventilation]]</f>
        <v>0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/>
      <c r="B18" s="2"/>
      <c r="C18" s="2"/>
      <c r="D18" s="1"/>
      <c r="E18" s="1"/>
      <c r="F18" s="1"/>
      <c r="G18" s="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4">
        <f>Table2[[#This Row],[Date]]</f>
        <v>0</v>
      </c>
      <c r="DI18">
        <f>(DD19-Table2[[#This Row],[MWH Total]])*4000</f>
        <v>0</v>
      </c>
      <c r="DJ18">
        <f>(DA19-Table2[[#This Row],[PNG Meter (Outside)]])*2.936</f>
        <v>0</v>
      </c>
      <c r="DK18">
        <f>(DB19-Table2[[#This Row],[PNG Meter (Inside)]])*2.936</f>
        <v>0</v>
      </c>
      <c r="DL18">
        <f>(BH19-Table2[[#This Row],[3F Dough cooler - 2 ]])*1000</f>
        <v>0</v>
      </c>
      <c r="DM18">
        <f>(BI19-Table2[[#This Row],[3F Dough Cooler- 1]])*1000</f>
        <v>0</v>
      </c>
      <c r="DN18">
        <f>(BJ19-Table2[[#This Row],[4F Dough Production cooling Unit]])*1000</f>
        <v>0</v>
      </c>
      <c r="DO18">
        <f>(BQ19-Table2[[#This Row],[3F2 - PDB 3 - Dough Production Area]])*1000</f>
        <v>0</v>
      </c>
      <c r="DP18">
        <f>(BR19-Table2[[#This Row],[3F3 - PDB 4 - Dough Area]])*1000</f>
        <v>0</v>
      </c>
      <c r="DQ18">
        <f>AC19-Table2[[#This Row],[16F1 Tray washer Panel for Light]]</f>
        <v>0</v>
      </c>
      <c r="DR18">
        <f>CQ19-Table2[[#This Row],[2F1 Tray Washer - 1]]</f>
        <v>0</v>
      </c>
      <c r="DS18">
        <f>CS19-Table2[[#This Row],[2F5 Destacker]]</f>
        <v>0</v>
      </c>
      <c r="DT18">
        <f>CU19-Table2[[#This Row],[5F1 Metering (TW-2)]]</f>
        <v>0</v>
      </c>
      <c r="DU18">
        <f>CV19-Table2[[#This Row],[6F1 Pre soaker Tray washer]]</f>
        <v>0</v>
      </c>
      <c r="DV18">
        <f>CZ19-Table2[[#This Row],[6F5 Vent tray Storage]]</f>
        <v>0</v>
      </c>
      <c r="DW18">
        <f>I19-Table2[[#This Row],[Popeyes Meter ]]</f>
        <v>0</v>
      </c>
      <c r="DX18">
        <f>AZ19-Table2[[#This Row],[2F WH Chiller, Segregation Area]]</f>
        <v>0</v>
      </c>
      <c r="DY18">
        <f>BA19-Table2[[#This Row],[3F1 AC Unit WH dock cooling - 2 Nos]]</f>
        <v>0</v>
      </c>
      <c r="DZ18">
        <f>BB19-Table2[[#This Row],[3F2 AC Unit WH dock cooling - 3 Nos]]</f>
        <v>0</v>
      </c>
      <c r="EA18">
        <f>(BK19-Table2[[#This Row],[5F WH Perishable]])*1000</f>
        <v>0</v>
      </c>
      <c r="EB18">
        <f>BN19-Table2[[#This Row],[2F3 - PDB 9 - WH Dock Leveler Door ]]</f>
        <v>0</v>
      </c>
      <c r="EC18">
        <f>BP19-Table2[[#This Row],[3F1 - PDB 5 - WH HSD]]</f>
        <v>0</v>
      </c>
      <c r="ED18">
        <f>BX19-Table2[[#This Row],[8F1 WH Dock AHU - Ventilation]]</f>
        <v>0</v>
      </c>
      <c r="EE18">
        <f>BZ19-Table2[[#This Row],[8F3 ACPDB - 4 WH Dock air curtain]]</f>
        <v>0</v>
      </c>
      <c r="EF18">
        <f>CA19-Table2[[#This Row],[8F4 WH Light]]</f>
        <v>0</v>
      </c>
      <c r="EG18">
        <f>CC19-Table2[[#This Row],[9F1 - PDB 10 - WH Dock door &amp; Office]]</f>
        <v>0</v>
      </c>
      <c r="EH18">
        <f>CD19-Table2[[#This Row],[9F2 - PDB 11 - WH flycatchers]]</f>
        <v>0</v>
      </c>
      <c r="EI18">
        <f>CE19-Table2[[#This Row],[9F3 - PDB 12 - Other items]]</f>
        <v>0</v>
      </c>
      <c r="EJ18">
        <f>CR19-Table2[[#This Row],[2F3 - PDB 1 - Dock 1 to 4 ]]</f>
        <v>0</v>
      </c>
      <c r="EK18">
        <f>BM19-Table2[[#This Row],[2F2 - PDB 3 - WH Truck &amp; Battery Charging]]</f>
        <v>0</v>
      </c>
      <c r="EL18">
        <f>(CK19-Table2[[#This Row],[PDB - 11 Truck Charging]])*1000</f>
        <v>0</v>
      </c>
      <c r="EM18">
        <f>P19-Table2[[#This Row],[5F3 Admin Area]]</f>
        <v>0</v>
      </c>
      <c r="EN18">
        <f>AH19-Table2[[#This Row],[2F5 Main Gate-1 Piller -1]]</f>
        <v>0</v>
      </c>
      <c r="EO18">
        <f>CW19-Table2[[#This Row],[6F2 Ground Floor AC]]</f>
        <v>0</v>
      </c>
      <c r="EP18">
        <f>CX19-Table2[[#This Row],[6F3 ACBD -1 (First floor AC)]]</f>
        <v>0</v>
      </c>
      <c r="EQ18">
        <f>CY19-Table2[[#This Row],[6F4 ACBD - 2 (Second &amp; Third floor AC)]]</f>
        <v>0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0</v>
      </c>
      <c r="EU18">
        <f>(CL19-Table2[[#This Row],[OLD Ck Panel-1]])*1000</f>
        <v>0</v>
      </c>
      <c r="EV18">
        <f>CM19-Table2[[#This Row],[2F4 Old CK Blast (Blue star)]]</f>
        <v>0</v>
      </c>
      <c r="EW18">
        <f>CN19-Table2[[#This Row],[3F6 Old CK Blast (Carrier)]]</f>
        <v>0</v>
      </c>
      <c r="EX18">
        <f>(CO19-Table2[[#This Row],[Old CK Panel -2]])*1000</f>
        <v>0</v>
      </c>
      <c r="EY18">
        <f>N19-Table2[[#This Row],[4F1 Main UPS 1/C -1]]</f>
        <v>0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0</v>
      </c>
      <c r="FC18">
        <f>BW19-Table2[[#This Row],[7F3 CLC Power Panel]]</f>
        <v>0</v>
      </c>
      <c r="FD18">
        <f>(CI19-Table2[[#This Row],[PDB - 17 CLC Section ]])*1000</f>
        <v>0</v>
      </c>
      <c r="FE18">
        <f>(W19-Table2[[#This Row],[13F3 Water &amp; Lift Old CK]])*1000</f>
        <v>0</v>
      </c>
      <c r="FF18">
        <f>AA19-Table2[[#This Row],[15F2 New ETP Panel]]</f>
        <v>0</v>
      </c>
      <c r="FG18">
        <f>AL19-Table2[[#This Row],[3F4 Old ETP Panel]]</f>
        <v>0</v>
      </c>
      <c r="FH18">
        <f>AF19-Table2[[#This Row],[2F1 RO Plant]]</f>
        <v>0</v>
      </c>
      <c r="FI18">
        <f>AK19-Table2[[#This Row],[3F3 Fire Hydrant Panel]]</f>
        <v>0</v>
      </c>
      <c r="FJ18">
        <f>R19-Table2[[#This Row],[7F1 Freon System Panel]]</f>
        <v>0</v>
      </c>
      <c r="FK18">
        <f>(AE19-Table2[[#This Row],[21F1 Refrigeration Ammonia]])*1000</f>
        <v>0</v>
      </c>
      <c r="FL18">
        <f>(AG19-Table2[[#This Row],[2F3 Air Compressor]])*1000</f>
        <v>0</v>
      </c>
      <c r="FM18">
        <f>(AX19-Table2[[#This Row],[Solar Reading Panel II]])*1000</f>
        <v>0</v>
      </c>
      <c r="FN18">
        <f>AI19-Table2[[#This Row],[3F1 Maintenance Workshop]]</f>
        <v>0</v>
      </c>
      <c r="FO18">
        <f>BD19-Table2[[#This Row],[4F B2B unit ]]</f>
        <v>0</v>
      </c>
      <c r="FP18">
        <f>BL19-Table2[[#This Row],[2F1 - PDB 6 - Bread, B2B section]]</f>
        <v>0</v>
      </c>
      <c r="FQ18">
        <f>(CG19-Table2[[#This Row],[9F5 - PDB 14 - Bread Lift]])</f>
        <v>0</v>
      </c>
      <c r="FR18">
        <f>CJ19-Table2[[#This Row],[PDB - 16 Bread Section]]</f>
        <v>0</v>
      </c>
      <c r="FS18">
        <f>BU19-Table2[[#This Row],[7F1 Donut Production area]]</f>
        <v>0</v>
      </c>
      <c r="FT18">
        <f>CB19-Table2[[#This Row],[8F5 Donut Ban Bary]]</f>
        <v>0</v>
      </c>
      <c r="FU18">
        <f>CF19-Table2[[#This Row],[9F4 - PDB 13 - Donut Sink Geyser area]]</f>
        <v>0</v>
      </c>
      <c r="FV18">
        <f>BV19-Table2[[#This Row],[7F2 Flour Silo]]</f>
        <v>0</v>
      </c>
      <c r="FW18">
        <f>BY19-Table2[[#This Row],[8F2 ACPDB - 3 SILO Ventilation]]</f>
        <v>0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/>
      <c r="B19" s="2"/>
      <c r="C19" s="2"/>
      <c r="D19" s="1"/>
      <c r="E19" s="1"/>
      <c r="F19" s="1"/>
      <c r="G19" s="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4">
        <f>Table2[[#This Row],[Date]]</f>
        <v>0</v>
      </c>
      <c r="DI19">
        <f>(DD20-Table2[[#This Row],[MWH Total]])*4000</f>
        <v>0</v>
      </c>
      <c r="DJ19">
        <f>(DA20-Table2[[#This Row],[PNG Meter (Outside)]])*2.936</f>
        <v>0</v>
      </c>
      <c r="DK19">
        <f>(DB20-Table2[[#This Row],[PNG Meter (Inside)]])*2.936</f>
        <v>0</v>
      </c>
      <c r="DL19">
        <f>(BH20-Table2[[#This Row],[3F Dough cooler - 2 ]])*1000</f>
        <v>0</v>
      </c>
      <c r="DM19">
        <f>(BI20-Table2[[#This Row],[3F Dough Cooler- 1]])*1000</f>
        <v>0</v>
      </c>
      <c r="DN19">
        <f>(BJ20-Table2[[#This Row],[4F Dough Production cooling Unit]])*1000</f>
        <v>0</v>
      </c>
      <c r="DO19">
        <f>(BQ20-Table2[[#This Row],[3F2 - PDB 3 - Dough Production Area]])*1000</f>
        <v>0</v>
      </c>
      <c r="DP19">
        <f>(BR20-Table2[[#This Row],[3F3 - PDB 4 - Dough Area]])*1000</f>
        <v>0</v>
      </c>
      <c r="DQ19">
        <f>AC20-Table2[[#This Row],[16F1 Tray washer Panel for Light]]</f>
        <v>0</v>
      </c>
      <c r="DR19">
        <f>CQ20-Table2[[#This Row],[2F1 Tray Washer - 1]]</f>
        <v>0</v>
      </c>
      <c r="DS19">
        <f>CS20-Table2[[#This Row],[2F5 Destacker]]</f>
        <v>0</v>
      </c>
      <c r="DT19">
        <f>CU20-Table2[[#This Row],[5F1 Metering (TW-2)]]</f>
        <v>0</v>
      </c>
      <c r="DU19">
        <f>CV20-Table2[[#This Row],[6F1 Pre soaker Tray washer]]</f>
        <v>0</v>
      </c>
      <c r="DV19">
        <f>CZ20-Table2[[#This Row],[6F5 Vent tray Storage]]</f>
        <v>0</v>
      </c>
      <c r="DW19">
        <f>I20-Table2[[#This Row],[Popeyes Meter ]]</f>
        <v>0</v>
      </c>
      <c r="DX19">
        <f>AZ20-Table2[[#This Row],[2F WH Chiller, Segregation Area]]</f>
        <v>0</v>
      </c>
      <c r="DY19">
        <f>BA20-Table2[[#This Row],[3F1 AC Unit WH dock cooling - 2 Nos]]</f>
        <v>0</v>
      </c>
      <c r="DZ19">
        <f>BB20-Table2[[#This Row],[3F2 AC Unit WH dock cooling - 3 Nos]]</f>
        <v>0</v>
      </c>
      <c r="EA19">
        <f>(BK20-Table2[[#This Row],[5F WH Perishable]])*1000</f>
        <v>0</v>
      </c>
      <c r="EB19">
        <f>BN20-Table2[[#This Row],[2F3 - PDB 9 - WH Dock Leveler Door ]]</f>
        <v>0</v>
      </c>
      <c r="EC19">
        <f>BP20-Table2[[#This Row],[3F1 - PDB 5 - WH HSD]]</f>
        <v>0</v>
      </c>
      <c r="ED19">
        <f>BX20-Table2[[#This Row],[8F1 WH Dock AHU - Ventilation]]</f>
        <v>0</v>
      </c>
      <c r="EE19">
        <f>BZ20-Table2[[#This Row],[8F3 ACPDB - 4 WH Dock air curtain]]</f>
        <v>0</v>
      </c>
      <c r="EF19">
        <f>CA20-Table2[[#This Row],[8F4 WH Light]]</f>
        <v>0</v>
      </c>
      <c r="EG19">
        <f>CC20-Table2[[#This Row],[9F1 - PDB 10 - WH Dock door &amp; Office]]</f>
        <v>0</v>
      </c>
      <c r="EH19">
        <f>CD20-Table2[[#This Row],[9F2 - PDB 11 - WH flycatchers]]</f>
        <v>0</v>
      </c>
      <c r="EI19">
        <f>CE20-Table2[[#This Row],[9F3 - PDB 12 - Other items]]</f>
        <v>0</v>
      </c>
      <c r="EJ19">
        <f>CR20-Table2[[#This Row],[2F3 - PDB 1 - Dock 1 to 4 ]]</f>
        <v>0</v>
      </c>
      <c r="EK19">
        <f>BM20-Table2[[#This Row],[2F2 - PDB 3 - WH Truck &amp; Battery Charging]]</f>
        <v>0</v>
      </c>
      <c r="EL19">
        <f>(CK20-Table2[[#This Row],[PDB - 11 Truck Charging]])*1000</f>
        <v>0</v>
      </c>
      <c r="EM19">
        <f>P20-Table2[[#This Row],[5F3 Admin Area]]</f>
        <v>0</v>
      </c>
      <c r="EN19">
        <f>AH20-Table2[[#This Row],[2F5 Main Gate-1 Piller -1]]</f>
        <v>0</v>
      </c>
      <c r="EO19">
        <f>CW20-Table2[[#This Row],[6F2 Ground Floor AC]]</f>
        <v>0</v>
      </c>
      <c r="EP19">
        <f>CX20-Table2[[#This Row],[6F3 ACBD -1 (First floor AC)]]</f>
        <v>0</v>
      </c>
      <c r="EQ19">
        <f>CY20-Table2[[#This Row],[6F4 ACBD - 2 (Second &amp; Third floor AC)]]</f>
        <v>0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0</v>
      </c>
      <c r="EU19">
        <f>(CL20-Table2[[#This Row],[OLD Ck Panel-1]])*1000</f>
        <v>0</v>
      </c>
      <c r="EV19">
        <f>CM20-Table2[[#This Row],[2F4 Old CK Blast (Blue star)]]</f>
        <v>0</v>
      </c>
      <c r="EW19">
        <f>CN20-Table2[[#This Row],[3F6 Old CK Blast (Carrier)]]</f>
        <v>0</v>
      </c>
      <c r="EX19">
        <f>(CO20-Table2[[#This Row],[Old CK Panel -2]])*1000</f>
        <v>0</v>
      </c>
      <c r="EY19">
        <f>N20-Table2[[#This Row],[4F1 Main UPS 1/C -1]]</f>
        <v>0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0</v>
      </c>
      <c r="FC19">
        <f>BW20-Table2[[#This Row],[7F3 CLC Power Panel]]</f>
        <v>0</v>
      </c>
      <c r="FD19">
        <f>(CI20-Table2[[#This Row],[PDB - 17 CLC Section ]])*1000</f>
        <v>0</v>
      </c>
      <c r="FE19">
        <f>(W20-Table2[[#This Row],[13F3 Water &amp; Lift Old CK]])*1000</f>
        <v>0</v>
      </c>
      <c r="FF19">
        <f>AA20-Table2[[#This Row],[15F2 New ETP Panel]]</f>
        <v>0</v>
      </c>
      <c r="FG19">
        <f>AL20-Table2[[#This Row],[3F4 Old ETP Panel]]</f>
        <v>0</v>
      </c>
      <c r="FH19">
        <f>AF20-Table2[[#This Row],[2F1 RO Plant]]</f>
        <v>0</v>
      </c>
      <c r="FI19">
        <f>AK20-Table2[[#This Row],[3F3 Fire Hydrant Panel]]</f>
        <v>0</v>
      </c>
      <c r="FJ19">
        <f>R20-Table2[[#This Row],[7F1 Freon System Panel]]</f>
        <v>0</v>
      </c>
      <c r="FK19">
        <f>(AE20-Table2[[#This Row],[21F1 Refrigeration Ammonia]])*1000</f>
        <v>0</v>
      </c>
      <c r="FL19">
        <f>(AG20-Table2[[#This Row],[2F3 Air Compressor]])*1000</f>
        <v>0</v>
      </c>
      <c r="FM19">
        <f>(AX20-Table2[[#This Row],[Solar Reading Panel II]])*1000</f>
        <v>0</v>
      </c>
      <c r="FN19">
        <f>AI20-Table2[[#This Row],[3F1 Maintenance Workshop]]</f>
        <v>0</v>
      </c>
      <c r="FO19">
        <f>BD20-Table2[[#This Row],[4F B2B unit ]]</f>
        <v>0</v>
      </c>
      <c r="FP19">
        <f>BL20-Table2[[#This Row],[2F1 - PDB 6 - Bread, B2B section]]</f>
        <v>0</v>
      </c>
      <c r="FQ19">
        <f>(CG20-Table2[[#This Row],[9F5 - PDB 14 - Bread Lift]])</f>
        <v>0</v>
      </c>
      <c r="FR19">
        <f>CJ20-Table2[[#This Row],[PDB - 16 Bread Section]]</f>
        <v>0</v>
      </c>
      <c r="FS19">
        <f>BU20-Table2[[#This Row],[7F1 Donut Production area]]</f>
        <v>0</v>
      </c>
      <c r="FT19">
        <f>CB20-Table2[[#This Row],[8F5 Donut Ban Bary]]</f>
        <v>0</v>
      </c>
      <c r="FU19">
        <f>CF20-Table2[[#This Row],[9F4 - PDB 13 - Donut Sink Geyser area]]</f>
        <v>0</v>
      </c>
      <c r="FV19">
        <f>BV20-Table2[[#This Row],[7F2 Flour Silo]]</f>
        <v>0</v>
      </c>
      <c r="FW19">
        <f>BY20-Table2[[#This Row],[8F2 ACPDB - 3 SILO Ventilation]]</f>
        <v>0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/>
      <c r="B20" s="2"/>
      <c r="C20" s="2"/>
      <c r="D20" s="1"/>
      <c r="E20" s="1"/>
      <c r="F20" s="1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AC21-Table2[[#This Row],[16F1 Tray washer Panel for Light]]</f>
        <v>0</v>
      </c>
      <c r="DR20">
        <f>CQ21-Table2[[#This Row],[2F1 Tray Washer - 1]]</f>
        <v>0</v>
      </c>
      <c r="DS20">
        <f>CS21-Table2[[#This Row],[2F5 Destacker]]</f>
        <v>0</v>
      </c>
      <c r="DT20">
        <f>CU21-Table2[[#This Row],[5F1 Metering (TW-2)]]</f>
        <v>0</v>
      </c>
      <c r="DU20">
        <f>CV21-Table2[[#This Row],[6F1 Pre soaker Tray washer]]</f>
        <v>0</v>
      </c>
      <c r="DV20">
        <f>CZ21-Table2[[#This Row],[6F5 Vent tray Storage]]</f>
        <v>0</v>
      </c>
      <c r="DW20">
        <f>I21-Table2[[#This Row],[Popeyes Meter ]]</f>
        <v>0</v>
      </c>
      <c r="DX20">
        <f>AZ21-Table2[[#This Row],[2F WH Chiller, Segregation Area]]</f>
        <v>0</v>
      </c>
      <c r="DY20">
        <f>BA21-Table2[[#This Row],[3F1 AC Unit WH dock cooling - 2 Nos]]</f>
        <v>0</v>
      </c>
      <c r="DZ20">
        <f>BB21-Table2[[#This Row],[3F2 AC Unit WH dock cooling - 3 Nos]]</f>
        <v>0</v>
      </c>
      <c r="EA20">
        <f>(BK21-Table2[[#This Row],[5F WH Perishable]])*1000</f>
        <v>0</v>
      </c>
      <c r="EB20">
        <f>BN21-Table2[[#This Row],[2F3 - PDB 9 - WH Dock Leveler Door ]]</f>
        <v>0</v>
      </c>
      <c r="EC20">
        <f>BP21-Table2[[#This Row],[3F1 - PDB 5 - WH HSD]]</f>
        <v>0</v>
      </c>
      <c r="ED20">
        <f>BX21-Table2[[#This Row],[8F1 WH Dock AHU - Ventilation]]</f>
        <v>0</v>
      </c>
      <c r="EE20">
        <f>BZ21-Table2[[#This Row],[8F3 ACPDB - 4 WH Dock air curtain]]</f>
        <v>0</v>
      </c>
      <c r="EF20">
        <f>CA21-Table2[[#This Row],[8F4 WH Light]]</f>
        <v>0</v>
      </c>
      <c r="EG20">
        <f>CC21-Table2[[#This Row],[9F1 - PDB 10 - WH Dock door &amp; Office]]</f>
        <v>0</v>
      </c>
      <c r="EH20">
        <f>CD21-Table2[[#This Row],[9F2 - PDB 11 - WH flycatchers]]</f>
        <v>0</v>
      </c>
      <c r="EI20">
        <f>CE21-Table2[[#This Row],[9F3 - PDB 12 - Other items]]</f>
        <v>0</v>
      </c>
      <c r="EJ20">
        <f>CR21-Table2[[#This Row],[2F3 - PDB 1 - Dock 1 to 4 ]]</f>
        <v>0</v>
      </c>
      <c r="EK20">
        <f>BM21-Table2[[#This Row],[2F2 - PDB 3 - WH Truck &amp; Battery Charging]]</f>
        <v>0</v>
      </c>
      <c r="EL20">
        <f>(CK21-Table2[[#This Row],[PDB - 11 Truck Charging]])*1000</f>
        <v>0</v>
      </c>
      <c r="EM20">
        <f>P21-Table2[[#This Row],[5F3 Admin Area]]</f>
        <v>0</v>
      </c>
      <c r="EN20">
        <f>AH21-Table2[[#This Row],[2F5 Main Gate-1 Piller -1]]</f>
        <v>0</v>
      </c>
      <c r="EO20">
        <f>CW21-Table2[[#This Row],[6F2 Ground Floor AC]]</f>
        <v>0</v>
      </c>
      <c r="EP20">
        <f>CX21-Table2[[#This Row],[6F3 ACBD -1 (First floor AC)]]</f>
        <v>0</v>
      </c>
      <c r="EQ20">
        <f>CY21-Table2[[#This Row],[6F4 ACBD - 2 (Second &amp; Third floor AC)]]</f>
        <v>0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0</v>
      </c>
      <c r="EU20">
        <f>(CL21-Table2[[#This Row],[OLD Ck Panel-1]])*1000</f>
        <v>0</v>
      </c>
      <c r="EV20">
        <f>CM21-Table2[[#This Row],[2F4 Old CK Blast (Blue star)]]</f>
        <v>0</v>
      </c>
      <c r="EW20">
        <f>CN21-Table2[[#This Row],[3F6 Old CK Blast (Carrier)]]</f>
        <v>0</v>
      </c>
      <c r="EX20">
        <f>(CO21-Table2[[#This Row],[Old CK Panel -2]])*1000</f>
        <v>0</v>
      </c>
      <c r="EY20">
        <f>N21-Table2[[#This Row],[4F1 Main UPS 1/C -1]]</f>
        <v>0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0</v>
      </c>
      <c r="FC20">
        <f>BW21-Table2[[#This Row],[7F3 CLC Power Panel]]</f>
        <v>0</v>
      </c>
      <c r="FD20">
        <f>(CI21-Table2[[#This Row],[PDB - 17 CLC Section ]])*1000</f>
        <v>0</v>
      </c>
      <c r="FE20">
        <f>(W21-Table2[[#This Row],[13F3 Water &amp; Lift Old CK]])*1000</f>
        <v>0</v>
      </c>
      <c r="FF20">
        <f>AA21-Table2[[#This Row],[15F2 New ETP Panel]]</f>
        <v>0</v>
      </c>
      <c r="FG20">
        <f>AL21-Table2[[#This Row],[3F4 Old ETP Panel]]</f>
        <v>0</v>
      </c>
      <c r="FH20">
        <f>AF21-Table2[[#This Row],[2F1 RO Plant]]</f>
        <v>0</v>
      </c>
      <c r="FI20">
        <f>AK21-Table2[[#This Row],[3F3 Fire Hydrant Panel]]</f>
        <v>0</v>
      </c>
      <c r="FJ20">
        <f>R21-Table2[[#This Row],[7F1 Freon System Panel]]</f>
        <v>0</v>
      </c>
      <c r="FK20">
        <f>(AE21-Table2[[#This Row],[21F1 Refrigeration Ammonia]])*1000</f>
        <v>0</v>
      </c>
      <c r="FL20">
        <f>(AG21-Table2[[#This Row],[2F3 Air Compressor]])*1000</f>
        <v>0</v>
      </c>
      <c r="FM20">
        <f>(AX21-Table2[[#This Row],[Solar Reading Panel II]])*1000</f>
        <v>0</v>
      </c>
      <c r="FN20">
        <f>AI21-Table2[[#This Row],[3F1 Maintenance Workshop]]</f>
        <v>0</v>
      </c>
      <c r="FO20">
        <f>BD21-Table2[[#This Row],[4F B2B unit ]]</f>
        <v>0</v>
      </c>
      <c r="FP20">
        <f>BL21-Table2[[#This Row],[2F1 - PDB 6 - Bread, B2B section]]</f>
        <v>0</v>
      </c>
      <c r="FQ20">
        <f>(CG21-Table2[[#This Row],[9F5 - PDB 14 - Bread Lift]])</f>
        <v>0</v>
      </c>
      <c r="FR20">
        <f>CJ21-Table2[[#This Row],[PDB - 16 Bread Section]]</f>
        <v>0</v>
      </c>
      <c r="FS20">
        <f>BU21-Table2[[#This Row],[7F1 Donut Production area]]</f>
        <v>0</v>
      </c>
      <c r="FT20">
        <f>CB21-Table2[[#This Row],[8F5 Donut Ban Bary]]</f>
        <v>0</v>
      </c>
      <c r="FU20">
        <f>CF21-Table2[[#This Row],[9F4 - PDB 13 - Donut Sink Geyser area]]</f>
        <v>0</v>
      </c>
      <c r="FV20">
        <f>BV21-Table2[[#This Row],[7F2 Flour Silo]]</f>
        <v>0</v>
      </c>
      <c r="FW20">
        <f>BY21-Table2[[#This Row],[8F2 ACPDB - 3 SILO Ventilation]]</f>
        <v>0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/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opLeftCell="O8" zoomScale="76" workbookViewId="0">
      <selection activeCell="A24" sqref="A24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-218856.4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-306478.19999999995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-525334.59999999986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-408831.4</v>
      </c>
      <c r="M25" s="46">
        <f t="shared" si="1"/>
        <v>-219230.5</v>
      </c>
      <c r="N25" s="46">
        <f t="shared" si="1"/>
        <v>-46062.1</v>
      </c>
      <c r="O25" s="46">
        <f t="shared" si="1"/>
        <v>-368386.4</v>
      </c>
      <c r="P25" s="46">
        <f t="shared" si="1"/>
        <v>-247476.6</v>
      </c>
      <c r="Q25" s="46">
        <f t="shared" si="1"/>
        <v>-526619.1</v>
      </c>
      <c r="R25" s="46">
        <f t="shared" si="1"/>
        <v>-307275.7</v>
      </c>
      <c r="S25" s="46">
        <f t="shared" si="1"/>
        <v>-713509</v>
      </c>
      <c r="T25" s="46">
        <f t="shared" si="1"/>
        <v>-1436857</v>
      </c>
      <c r="U25" s="47">
        <f t="shared" si="4"/>
        <v>-935450.5</v>
      </c>
      <c r="V25" s="47">
        <f t="shared" si="4"/>
        <v>-526506.19999999995</v>
      </c>
      <c r="W25" s="47">
        <f t="shared" si="4"/>
        <v>-759571.1</v>
      </c>
      <c r="X25" s="47">
        <f t="shared" si="2"/>
        <v>-2052720</v>
      </c>
    </row>
    <row r="26" spans="1:24" ht="20" customHeight="1" x14ac:dyDescent="0.35">
      <c r="A26" s="29"/>
      <c r="B26" s="30"/>
      <c r="C26" s="29"/>
      <c r="D26" s="31"/>
      <c r="E26" s="31"/>
      <c r="F26" s="31"/>
      <c r="G26" s="31"/>
      <c r="H26" s="32"/>
      <c r="I26" s="34"/>
      <c r="J26" s="34"/>
      <c r="L26" s="46">
        <f t="shared" si="3"/>
        <v>0</v>
      </c>
      <c r="M26" s="46">
        <f t="shared" si="3"/>
        <v>0</v>
      </c>
      <c r="N26" s="46">
        <f t="shared" si="3"/>
        <v>0</v>
      </c>
      <c r="O26" s="46">
        <f t="shared" si="3"/>
        <v>0</v>
      </c>
      <c r="P26" s="46">
        <f t="shared" si="3"/>
        <v>0</v>
      </c>
      <c r="Q26" s="46">
        <f t="shared" si="3"/>
        <v>0</v>
      </c>
      <c r="R26" s="46">
        <f t="shared" si="3"/>
        <v>0</v>
      </c>
      <c r="S26" s="46">
        <f t="shared" si="3"/>
        <v>0</v>
      </c>
      <c r="T26" s="46">
        <f t="shared" si="3"/>
        <v>0</v>
      </c>
      <c r="U26" s="47">
        <f t="shared" si="4"/>
        <v>0</v>
      </c>
      <c r="V26" s="47">
        <f t="shared" si="4"/>
        <v>0</v>
      </c>
      <c r="W26" s="47">
        <f t="shared" si="4"/>
        <v>0</v>
      </c>
      <c r="X26" s="47">
        <f t="shared" si="2"/>
        <v>0</v>
      </c>
    </row>
    <row r="27" spans="1:24" ht="42.75" customHeight="1" x14ac:dyDescent="0.35">
      <c r="A27" s="37"/>
      <c r="B27" s="38"/>
      <c r="C27" s="37"/>
      <c r="D27" s="39"/>
      <c r="E27" s="39"/>
      <c r="F27" s="39"/>
      <c r="G27" s="39"/>
      <c r="H27" s="40"/>
      <c r="I27" s="34"/>
      <c r="J27" s="42"/>
      <c r="L27" s="46">
        <f t="shared" si="3"/>
        <v>0</v>
      </c>
      <c r="M27" s="46">
        <f t="shared" si="3"/>
        <v>0</v>
      </c>
      <c r="N27" s="46">
        <f t="shared" si="3"/>
        <v>0</v>
      </c>
      <c r="O27" s="46">
        <f t="shared" si="3"/>
        <v>0</v>
      </c>
      <c r="P27" s="46">
        <f t="shared" si="3"/>
        <v>0</v>
      </c>
      <c r="Q27" s="46">
        <f t="shared" si="3"/>
        <v>0</v>
      </c>
      <c r="R27" s="46">
        <f t="shared" si="3"/>
        <v>0</v>
      </c>
      <c r="S27" s="46">
        <f t="shared" si="3"/>
        <v>0</v>
      </c>
      <c r="T27" s="46">
        <f t="shared" si="3"/>
        <v>0</v>
      </c>
      <c r="U27" s="47">
        <f t="shared" si="4"/>
        <v>0</v>
      </c>
      <c r="V27" s="47">
        <f t="shared" si="4"/>
        <v>0</v>
      </c>
      <c r="W27" s="47">
        <f t="shared" si="4"/>
        <v>0</v>
      </c>
      <c r="X27" s="47">
        <f t="shared" si="2"/>
        <v>0</v>
      </c>
    </row>
    <row r="28" spans="1:24" ht="20" customHeight="1" x14ac:dyDescent="0.35">
      <c r="A28" s="29"/>
      <c r="B28" s="30"/>
      <c r="C28" s="29"/>
      <c r="D28" s="31"/>
      <c r="E28" s="31"/>
      <c r="F28" s="31"/>
      <c r="G28" s="31"/>
      <c r="H28" s="32"/>
      <c r="I28" s="34"/>
      <c r="J28" s="34"/>
      <c r="L28" s="46">
        <f t="shared" si="3"/>
        <v>0</v>
      </c>
      <c r="M28" s="46">
        <f t="shared" si="3"/>
        <v>0</v>
      </c>
      <c r="N28" s="46">
        <f t="shared" si="3"/>
        <v>0</v>
      </c>
      <c r="O28" s="46">
        <f t="shared" si="3"/>
        <v>0</v>
      </c>
      <c r="P28" s="46">
        <f t="shared" si="3"/>
        <v>0</v>
      </c>
      <c r="Q28" s="46">
        <f t="shared" si="3"/>
        <v>0</v>
      </c>
      <c r="R28" s="46">
        <f t="shared" si="3"/>
        <v>0</v>
      </c>
      <c r="S28" s="46">
        <f t="shared" si="3"/>
        <v>0</v>
      </c>
      <c r="T28" s="46">
        <f t="shared" si="3"/>
        <v>0</v>
      </c>
      <c r="U28" s="47">
        <f t="shared" si="4"/>
        <v>0</v>
      </c>
      <c r="V28" s="47">
        <f t="shared" si="4"/>
        <v>0</v>
      </c>
      <c r="W28" s="47">
        <f t="shared" si="4"/>
        <v>0</v>
      </c>
      <c r="X28" s="47">
        <f t="shared" si="2"/>
        <v>0</v>
      </c>
    </row>
    <row r="29" spans="1:24" ht="20" customHeight="1" x14ac:dyDescent="0.35">
      <c r="A29" s="29"/>
      <c r="B29" s="30"/>
      <c r="C29" s="29"/>
      <c r="D29" s="31"/>
      <c r="E29" s="31"/>
      <c r="F29" s="31"/>
      <c r="G29" s="31"/>
      <c r="H29" s="32"/>
      <c r="I29" s="34"/>
      <c r="J29" s="34"/>
      <c r="L29" s="46">
        <f t="shared" si="3"/>
        <v>0</v>
      </c>
      <c r="M29" s="46">
        <f t="shared" si="3"/>
        <v>0</v>
      </c>
      <c r="N29" s="46">
        <f t="shared" si="3"/>
        <v>0</v>
      </c>
      <c r="O29" s="46">
        <f t="shared" si="3"/>
        <v>0</v>
      </c>
      <c r="P29" s="46">
        <f t="shared" si="3"/>
        <v>0</v>
      </c>
      <c r="Q29" s="46">
        <f t="shared" si="3"/>
        <v>0</v>
      </c>
      <c r="R29" s="46">
        <f t="shared" si="3"/>
        <v>0</v>
      </c>
      <c r="S29" s="46">
        <f t="shared" si="3"/>
        <v>0</v>
      </c>
      <c r="T29" s="46">
        <f t="shared" si="3"/>
        <v>0</v>
      </c>
      <c r="U29" s="47">
        <f t="shared" si="4"/>
        <v>0</v>
      </c>
      <c r="V29" s="47">
        <f t="shared" si="4"/>
        <v>0</v>
      </c>
      <c r="W29" s="47">
        <f t="shared" si="4"/>
        <v>0</v>
      </c>
      <c r="X29" s="47">
        <f t="shared" si="2"/>
        <v>0</v>
      </c>
    </row>
    <row r="30" spans="1:24" ht="20" customHeight="1" x14ac:dyDescent="0.35">
      <c r="A30" s="29"/>
      <c r="B30" s="30"/>
      <c r="C30" s="29"/>
      <c r="D30" s="31"/>
      <c r="E30" s="31"/>
      <c r="F30" s="31"/>
      <c r="G30" s="31"/>
      <c r="H30" s="32"/>
      <c r="I30" s="34"/>
      <c r="J30" s="34"/>
      <c r="L30" s="46">
        <f t="shared" si="3"/>
        <v>0</v>
      </c>
      <c r="M30" s="46">
        <f t="shared" si="3"/>
        <v>0</v>
      </c>
      <c r="N30" s="46">
        <f t="shared" si="3"/>
        <v>0</v>
      </c>
      <c r="O30" s="46">
        <f t="shared" si="3"/>
        <v>0</v>
      </c>
      <c r="P30" s="46">
        <f t="shared" si="3"/>
        <v>0</v>
      </c>
      <c r="Q30" s="46">
        <f t="shared" si="3"/>
        <v>0</v>
      </c>
      <c r="R30" s="46">
        <f t="shared" si="3"/>
        <v>0</v>
      </c>
      <c r="S30" s="46">
        <f t="shared" si="3"/>
        <v>0</v>
      </c>
      <c r="T30" s="46">
        <f t="shared" si="3"/>
        <v>0</v>
      </c>
      <c r="U30" s="47">
        <f t="shared" si="4"/>
        <v>0</v>
      </c>
      <c r="V30" s="47">
        <f t="shared" si="4"/>
        <v>0</v>
      </c>
      <c r="W30" s="47">
        <f t="shared" si="4"/>
        <v>0</v>
      </c>
      <c r="X30" s="47">
        <f t="shared" si="2"/>
        <v>0</v>
      </c>
    </row>
    <row r="31" spans="1:24" ht="20" customHeight="1" x14ac:dyDescent="0.35">
      <c r="A31" s="29"/>
      <c r="B31" s="30"/>
      <c r="C31" s="29"/>
      <c r="D31" s="31"/>
      <c r="E31" s="31"/>
      <c r="F31" s="31"/>
      <c r="G31" s="31"/>
      <c r="H31" s="32"/>
      <c r="I31" s="34"/>
      <c r="J31" s="34"/>
      <c r="L31" s="46">
        <f t="shared" si="3"/>
        <v>0</v>
      </c>
      <c r="M31" s="46">
        <f t="shared" si="3"/>
        <v>0</v>
      </c>
      <c r="N31" s="46">
        <f t="shared" si="3"/>
        <v>0</v>
      </c>
      <c r="O31" s="46">
        <f t="shared" si="3"/>
        <v>0</v>
      </c>
      <c r="P31" s="46">
        <f t="shared" si="3"/>
        <v>0</v>
      </c>
      <c r="Q31" s="46">
        <f t="shared" si="3"/>
        <v>0</v>
      </c>
      <c r="R31" s="46">
        <f t="shared" si="3"/>
        <v>0</v>
      </c>
      <c r="S31" s="46">
        <f t="shared" si="3"/>
        <v>0</v>
      </c>
      <c r="T31" s="46">
        <f t="shared" si="3"/>
        <v>0</v>
      </c>
      <c r="U31" s="47">
        <f t="shared" si="4"/>
        <v>0</v>
      </c>
      <c r="V31" s="47">
        <f t="shared" si="4"/>
        <v>0</v>
      </c>
      <c r="W31" s="47">
        <f t="shared" si="4"/>
        <v>0</v>
      </c>
      <c r="X31" s="47">
        <f t="shared" si="2"/>
        <v>0</v>
      </c>
    </row>
    <row r="32" spans="1:24" ht="20" customHeight="1" x14ac:dyDescent="0.35">
      <c r="A32" s="29"/>
      <c r="B32" s="30"/>
      <c r="C32" s="29"/>
      <c r="D32" s="31"/>
      <c r="E32" s="31"/>
      <c r="F32" s="31"/>
      <c r="G32" s="31"/>
      <c r="H32" s="32"/>
      <c r="I32" s="34"/>
      <c r="J32" s="34"/>
      <c r="L32" s="46">
        <f t="shared" si="3"/>
        <v>0</v>
      </c>
      <c r="M32" s="46">
        <f t="shared" si="3"/>
        <v>0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0</v>
      </c>
      <c r="R32" s="46">
        <f t="shared" si="3"/>
        <v>0</v>
      </c>
      <c r="S32" s="46">
        <f t="shared" si="3"/>
        <v>0</v>
      </c>
      <c r="T32" s="46">
        <f t="shared" si="3"/>
        <v>0</v>
      </c>
      <c r="U32" s="47">
        <f t="shared" si="4"/>
        <v>0</v>
      </c>
      <c r="V32" s="47">
        <f t="shared" si="4"/>
        <v>0</v>
      </c>
      <c r="W32" s="47">
        <f t="shared" si="4"/>
        <v>0</v>
      </c>
      <c r="X32" s="47">
        <f t="shared" si="2"/>
        <v>0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A26" zoomScale="76" workbookViewId="0">
      <selection activeCell="A40" sqref="A40:J4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-706087.8</v>
      </c>
      <c r="X8" s="43">
        <f t="shared" si="0"/>
        <v>-1975776.3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:T39" si="10">IFERROR(B40-B39,0)</f>
        <v>3794</v>
      </c>
      <c r="M39" s="46">
        <f t="shared" si="10"/>
        <v>24.299999999988358</v>
      </c>
      <c r="N39" s="46">
        <f t="shared" si="10"/>
        <v>2329</v>
      </c>
      <c r="O39" s="46">
        <f t="shared" si="10"/>
        <v>3180.7000000000116</v>
      </c>
      <c r="P39" s="46">
        <f t="shared" si="10"/>
        <v>2123.7999999999884</v>
      </c>
      <c r="Q39" s="46">
        <f t="shared" si="10"/>
        <v>7163.4000000000233</v>
      </c>
      <c r="R39" s="46">
        <f t="shared" si="10"/>
        <v>224.5</v>
      </c>
      <c r="S39" s="46">
        <f t="shared" si="10"/>
        <v>7804.1999999999534</v>
      </c>
      <c r="T39" s="46">
        <f t="shared" si="10"/>
        <v>11767</v>
      </c>
      <c r="U39" s="47">
        <f t="shared" si="4"/>
        <v>10957.400000000023</v>
      </c>
      <c r="V39" s="47">
        <f t="shared" si="4"/>
        <v>248.79999999998836</v>
      </c>
      <c r="W39" s="47">
        <f t="shared" si="4"/>
        <v>10133.199999999953</v>
      </c>
      <c r="X39" s="47">
        <f t="shared" si="2"/>
        <v>17071.5</v>
      </c>
    </row>
    <row r="40" spans="1:24" ht="20" customHeight="1" x14ac:dyDescent="0.35">
      <c r="A40" s="59" t="s">
        <v>223</v>
      </c>
      <c r="B40" s="30">
        <v>408303.2</v>
      </c>
      <c r="C40" s="29">
        <v>219230.5</v>
      </c>
      <c r="D40" s="31">
        <v>45713.8</v>
      </c>
      <c r="E40" s="31">
        <v>368009.9</v>
      </c>
      <c r="F40" s="31">
        <v>247244.9</v>
      </c>
      <c r="G40" s="31">
        <v>525614.4</v>
      </c>
      <c r="H40" s="32">
        <v>307257.40000000002</v>
      </c>
      <c r="I40" s="33">
        <v>712530.5</v>
      </c>
      <c r="J40" s="34">
        <v>1435394</v>
      </c>
      <c r="L40" s="46">
        <f t="shared" si="3"/>
        <v>-408303.2</v>
      </c>
      <c r="M40" s="46">
        <f t="shared" si="3"/>
        <v>-219230.5</v>
      </c>
      <c r="N40" s="46">
        <f t="shared" si="3"/>
        <v>-45713.8</v>
      </c>
      <c r="O40" s="46">
        <f t="shared" si="3"/>
        <v>-368009.9</v>
      </c>
      <c r="P40" s="46">
        <f t="shared" si="3"/>
        <v>-247244.9</v>
      </c>
      <c r="Q40" s="46">
        <f t="shared" si="3"/>
        <v>-525614.4</v>
      </c>
      <c r="R40" s="46">
        <f t="shared" si="3"/>
        <v>-307257.40000000002</v>
      </c>
      <c r="S40" s="46">
        <f t="shared" si="3"/>
        <v>-712530.5</v>
      </c>
      <c r="T40" s="46">
        <f t="shared" si="3"/>
        <v>-1435394</v>
      </c>
      <c r="U40" s="47">
        <f t="shared" si="4"/>
        <v>-933917.60000000009</v>
      </c>
      <c r="V40" s="47">
        <f t="shared" si="4"/>
        <v>-526487.9</v>
      </c>
      <c r="W40" s="47">
        <f t="shared" si="4"/>
        <v>-758244.3</v>
      </c>
      <c r="X40" s="47">
        <f t="shared" si="2"/>
        <v>-2050648.8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11">IFERROR(B45-B44,0)</f>
        <v>0</v>
      </c>
      <c r="M44" s="46">
        <f t="shared" si="11"/>
        <v>0</v>
      </c>
      <c r="N44" s="46">
        <f t="shared" si="11"/>
        <v>0</v>
      </c>
      <c r="O44" s="46">
        <f t="shared" si="11"/>
        <v>0</v>
      </c>
      <c r="P44" s="46">
        <f t="shared" si="11"/>
        <v>0</v>
      </c>
      <c r="Q44" s="46">
        <f t="shared" si="11"/>
        <v>0</v>
      </c>
      <c r="R44" s="46">
        <f t="shared" si="11"/>
        <v>0</v>
      </c>
      <c r="S44" s="46">
        <f t="shared" si="11"/>
        <v>0</v>
      </c>
      <c r="T44" s="46">
        <f t="shared" si="11"/>
        <v>0</v>
      </c>
      <c r="U44" s="47">
        <f t="shared" ref="U44:W107" si="12">L44+Q44</f>
        <v>0</v>
      </c>
      <c r="V44" s="47">
        <f t="shared" si="12"/>
        <v>0</v>
      </c>
      <c r="W44" s="47">
        <f t="shared" si="12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11"/>
        <v>0</v>
      </c>
      <c r="M45" s="46">
        <f t="shared" si="11"/>
        <v>0</v>
      </c>
      <c r="N45" s="46">
        <f t="shared" si="11"/>
        <v>0</v>
      </c>
      <c r="O45" s="46">
        <f t="shared" si="11"/>
        <v>0</v>
      </c>
      <c r="P45" s="46">
        <f t="shared" si="11"/>
        <v>0</v>
      </c>
      <c r="Q45" s="46">
        <f t="shared" si="11"/>
        <v>0</v>
      </c>
      <c r="R45" s="46">
        <f t="shared" si="11"/>
        <v>0</v>
      </c>
      <c r="S45" s="46">
        <f t="shared" si="11"/>
        <v>0</v>
      </c>
      <c r="T45" s="46">
        <f t="shared" si="11"/>
        <v>0</v>
      </c>
      <c r="U45" s="47">
        <f t="shared" si="12"/>
        <v>0</v>
      </c>
      <c r="V45" s="47">
        <f t="shared" si="12"/>
        <v>0</v>
      </c>
      <c r="W45" s="47">
        <f t="shared" si="12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11"/>
        <v>0</v>
      </c>
      <c r="M46" s="46">
        <f t="shared" si="11"/>
        <v>0</v>
      </c>
      <c r="N46" s="46">
        <f t="shared" si="11"/>
        <v>0</v>
      </c>
      <c r="O46" s="46">
        <f t="shared" si="11"/>
        <v>0</v>
      </c>
      <c r="P46" s="46">
        <f t="shared" si="11"/>
        <v>0</v>
      </c>
      <c r="Q46" s="46">
        <f t="shared" si="11"/>
        <v>0</v>
      </c>
      <c r="R46" s="46">
        <f t="shared" si="11"/>
        <v>0</v>
      </c>
      <c r="S46" s="46">
        <f t="shared" si="11"/>
        <v>0</v>
      </c>
      <c r="T46" s="46">
        <f t="shared" si="11"/>
        <v>0</v>
      </c>
      <c r="U46" s="47">
        <f t="shared" si="12"/>
        <v>0</v>
      </c>
      <c r="V46" s="47">
        <f t="shared" si="12"/>
        <v>0</v>
      </c>
      <c r="W46" s="47">
        <f t="shared" si="12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11"/>
        <v>0</v>
      </c>
      <c r="M47" s="46">
        <f t="shared" si="11"/>
        <v>0</v>
      </c>
      <c r="N47" s="46">
        <f t="shared" si="11"/>
        <v>0</v>
      </c>
      <c r="O47" s="46">
        <f t="shared" si="11"/>
        <v>0</v>
      </c>
      <c r="P47" s="46">
        <f t="shared" si="11"/>
        <v>0</v>
      </c>
      <c r="Q47" s="46">
        <f t="shared" si="11"/>
        <v>0</v>
      </c>
      <c r="R47" s="46">
        <f t="shared" si="11"/>
        <v>0</v>
      </c>
      <c r="S47" s="46">
        <f t="shared" si="11"/>
        <v>0</v>
      </c>
      <c r="T47" s="46">
        <f t="shared" si="11"/>
        <v>0</v>
      </c>
      <c r="U47" s="47">
        <f t="shared" si="12"/>
        <v>0</v>
      </c>
      <c r="V47" s="47">
        <f t="shared" si="12"/>
        <v>0</v>
      </c>
      <c r="W47" s="47">
        <f t="shared" si="12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11"/>
        <v>0</v>
      </c>
      <c r="M48" s="46">
        <f t="shared" si="11"/>
        <v>0</v>
      </c>
      <c r="N48" s="46">
        <f t="shared" si="11"/>
        <v>0</v>
      </c>
      <c r="O48" s="46">
        <f t="shared" si="11"/>
        <v>0</v>
      </c>
      <c r="P48" s="46">
        <f t="shared" si="11"/>
        <v>0</v>
      </c>
      <c r="Q48" s="46">
        <f t="shared" si="11"/>
        <v>0</v>
      </c>
      <c r="R48" s="46">
        <f t="shared" si="11"/>
        <v>0</v>
      </c>
      <c r="S48" s="46">
        <f t="shared" si="11"/>
        <v>0</v>
      </c>
      <c r="T48" s="46">
        <f t="shared" si="11"/>
        <v>0</v>
      </c>
      <c r="U48" s="47">
        <f t="shared" si="12"/>
        <v>0</v>
      </c>
      <c r="V48" s="47">
        <f t="shared" si="12"/>
        <v>0</v>
      </c>
      <c r="W48" s="47">
        <f t="shared" si="12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11"/>
        <v>0</v>
      </c>
      <c r="M49" s="46">
        <f t="shared" si="11"/>
        <v>0</v>
      </c>
      <c r="N49" s="46">
        <f t="shared" si="11"/>
        <v>0</v>
      </c>
      <c r="O49" s="46">
        <f t="shared" si="11"/>
        <v>0</v>
      </c>
      <c r="P49" s="46">
        <f t="shared" si="11"/>
        <v>0</v>
      </c>
      <c r="Q49" s="46">
        <f t="shared" si="11"/>
        <v>0</v>
      </c>
      <c r="R49" s="46">
        <f t="shared" si="11"/>
        <v>0</v>
      </c>
      <c r="S49" s="46">
        <f t="shared" si="11"/>
        <v>0</v>
      </c>
      <c r="T49" s="46">
        <f t="shared" si="11"/>
        <v>0</v>
      </c>
      <c r="U49" s="47">
        <f t="shared" si="12"/>
        <v>0</v>
      </c>
      <c r="V49" s="47">
        <f t="shared" si="12"/>
        <v>0</v>
      </c>
      <c r="W49" s="47">
        <f t="shared" si="12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11"/>
        <v>0</v>
      </c>
      <c r="M50" s="46">
        <f t="shared" si="11"/>
        <v>0</v>
      </c>
      <c r="N50" s="46">
        <f t="shared" si="11"/>
        <v>0</v>
      </c>
      <c r="O50" s="46">
        <f t="shared" si="11"/>
        <v>0</v>
      </c>
      <c r="P50" s="46">
        <f t="shared" si="11"/>
        <v>0</v>
      </c>
      <c r="Q50" s="46">
        <f t="shared" si="11"/>
        <v>0</v>
      </c>
      <c r="R50" s="46">
        <f t="shared" si="11"/>
        <v>0</v>
      </c>
      <c r="S50" s="46">
        <f t="shared" si="11"/>
        <v>0</v>
      </c>
      <c r="T50" s="46">
        <f t="shared" si="11"/>
        <v>0</v>
      </c>
      <c r="U50" s="47">
        <f t="shared" si="12"/>
        <v>0</v>
      </c>
      <c r="V50" s="47">
        <f t="shared" si="12"/>
        <v>0</v>
      </c>
      <c r="W50" s="47">
        <f t="shared" si="12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11"/>
        <v>0</v>
      </c>
      <c r="M51" s="46">
        <f t="shared" si="11"/>
        <v>0</v>
      </c>
      <c r="N51" s="46">
        <f t="shared" si="11"/>
        <v>0</v>
      </c>
      <c r="O51" s="46">
        <f t="shared" si="11"/>
        <v>0</v>
      </c>
      <c r="P51" s="46">
        <f t="shared" si="11"/>
        <v>0</v>
      </c>
      <c r="Q51" s="46">
        <f t="shared" si="11"/>
        <v>0</v>
      </c>
      <c r="R51" s="46">
        <f t="shared" si="11"/>
        <v>0</v>
      </c>
      <c r="S51" s="46">
        <f t="shared" si="11"/>
        <v>0</v>
      </c>
      <c r="T51" s="46">
        <f t="shared" si="11"/>
        <v>0</v>
      </c>
      <c r="U51" s="47">
        <f t="shared" si="12"/>
        <v>0</v>
      </c>
      <c r="V51" s="47">
        <f t="shared" si="12"/>
        <v>0</v>
      </c>
      <c r="W51" s="47">
        <f t="shared" si="12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11"/>
        <v>0</v>
      </c>
      <c r="M52" s="46">
        <f t="shared" si="11"/>
        <v>0</v>
      </c>
      <c r="N52" s="46">
        <f t="shared" si="11"/>
        <v>0</v>
      </c>
      <c r="O52" s="46">
        <f t="shared" si="11"/>
        <v>0</v>
      </c>
      <c r="P52" s="46">
        <f t="shared" si="11"/>
        <v>0</v>
      </c>
      <c r="Q52" s="46">
        <f t="shared" si="11"/>
        <v>0</v>
      </c>
      <c r="R52" s="46">
        <f t="shared" si="11"/>
        <v>0</v>
      </c>
      <c r="S52" s="46">
        <f t="shared" si="11"/>
        <v>0</v>
      </c>
      <c r="T52" s="46">
        <f t="shared" si="11"/>
        <v>0</v>
      </c>
      <c r="U52" s="47">
        <f t="shared" si="12"/>
        <v>0</v>
      </c>
      <c r="V52" s="47">
        <f t="shared" si="12"/>
        <v>0</v>
      </c>
      <c r="W52" s="47">
        <f t="shared" si="12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11"/>
        <v>0</v>
      </c>
      <c r="M53" s="46">
        <f t="shared" si="11"/>
        <v>0</v>
      </c>
      <c r="N53" s="46">
        <f t="shared" si="11"/>
        <v>0</v>
      </c>
      <c r="O53" s="46">
        <f t="shared" si="11"/>
        <v>0</v>
      </c>
      <c r="P53" s="46">
        <f t="shared" si="11"/>
        <v>0</v>
      </c>
      <c r="Q53" s="46">
        <f t="shared" si="11"/>
        <v>0</v>
      </c>
      <c r="R53" s="46">
        <f t="shared" si="11"/>
        <v>0</v>
      </c>
      <c r="S53" s="46">
        <f t="shared" si="11"/>
        <v>0</v>
      </c>
      <c r="T53" s="46">
        <f t="shared" si="11"/>
        <v>0</v>
      </c>
      <c r="U53" s="47">
        <f t="shared" si="12"/>
        <v>0</v>
      </c>
      <c r="V53" s="47">
        <f t="shared" si="12"/>
        <v>0</v>
      </c>
      <c r="W53" s="47">
        <f t="shared" si="12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11"/>
        <v>0</v>
      </c>
      <c r="M54" s="46">
        <f t="shared" si="11"/>
        <v>0</v>
      </c>
      <c r="N54" s="46">
        <f t="shared" si="11"/>
        <v>0</v>
      </c>
      <c r="O54" s="46">
        <f t="shared" si="11"/>
        <v>0</v>
      </c>
      <c r="P54" s="46">
        <f t="shared" si="11"/>
        <v>0</v>
      </c>
      <c r="Q54" s="46">
        <f t="shared" si="11"/>
        <v>0</v>
      </c>
      <c r="R54" s="46">
        <f t="shared" si="11"/>
        <v>0</v>
      </c>
      <c r="S54" s="46">
        <f t="shared" si="11"/>
        <v>0</v>
      </c>
      <c r="T54" s="46">
        <f t="shared" si="11"/>
        <v>0</v>
      </c>
      <c r="U54" s="47">
        <f t="shared" si="12"/>
        <v>0</v>
      </c>
      <c r="V54" s="47">
        <f t="shared" si="12"/>
        <v>0</v>
      </c>
      <c r="W54" s="47">
        <f t="shared" si="12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11"/>
        <v>0</v>
      </c>
      <c r="M55" s="46">
        <f t="shared" si="11"/>
        <v>0</v>
      </c>
      <c r="N55" s="46">
        <f t="shared" si="11"/>
        <v>0</v>
      </c>
      <c r="O55" s="46">
        <f t="shared" si="11"/>
        <v>0</v>
      </c>
      <c r="P55" s="46">
        <f t="shared" si="11"/>
        <v>0</v>
      </c>
      <c r="Q55" s="46">
        <f t="shared" si="11"/>
        <v>0</v>
      </c>
      <c r="R55" s="46">
        <f t="shared" si="11"/>
        <v>0</v>
      </c>
      <c r="S55" s="46">
        <f t="shared" si="11"/>
        <v>0</v>
      </c>
      <c r="T55" s="46">
        <f t="shared" si="11"/>
        <v>0</v>
      </c>
      <c r="U55" s="47">
        <f t="shared" si="12"/>
        <v>0</v>
      </c>
      <c r="V55" s="47">
        <f t="shared" si="12"/>
        <v>0</v>
      </c>
      <c r="W55" s="47">
        <f t="shared" si="12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11"/>
        <v>0</v>
      </c>
      <c r="M56" s="46">
        <f t="shared" si="11"/>
        <v>0</v>
      </c>
      <c r="N56" s="46">
        <f t="shared" si="11"/>
        <v>0</v>
      </c>
      <c r="O56" s="46">
        <f t="shared" si="11"/>
        <v>0</v>
      </c>
      <c r="P56" s="46">
        <f t="shared" si="11"/>
        <v>0</v>
      </c>
      <c r="Q56" s="46">
        <f t="shared" si="11"/>
        <v>0</v>
      </c>
      <c r="R56" s="46">
        <f t="shared" si="11"/>
        <v>0</v>
      </c>
      <c r="S56" s="46">
        <f t="shared" si="11"/>
        <v>0</v>
      </c>
      <c r="T56" s="46">
        <f t="shared" si="11"/>
        <v>0</v>
      </c>
      <c r="U56" s="47">
        <f t="shared" si="12"/>
        <v>0</v>
      </c>
      <c r="V56" s="47">
        <f t="shared" si="12"/>
        <v>0</v>
      </c>
      <c r="W56" s="47">
        <f t="shared" si="12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11"/>
        <v>0</v>
      </c>
      <c r="M57" s="46">
        <f t="shared" si="11"/>
        <v>0</v>
      </c>
      <c r="N57" s="46">
        <f t="shared" si="11"/>
        <v>0</v>
      </c>
      <c r="O57" s="46">
        <f t="shared" si="11"/>
        <v>0</v>
      </c>
      <c r="P57" s="46">
        <f t="shared" si="11"/>
        <v>0</v>
      </c>
      <c r="Q57" s="46">
        <f t="shared" si="11"/>
        <v>0</v>
      </c>
      <c r="R57" s="46">
        <f t="shared" si="11"/>
        <v>0</v>
      </c>
      <c r="S57" s="46">
        <f t="shared" si="11"/>
        <v>0</v>
      </c>
      <c r="T57" s="46">
        <f t="shared" si="11"/>
        <v>0</v>
      </c>
      <c r="U57" s="47">
        <f t="shared" si="12"/>
        <v>0</v>
      </c>
      <c r="V57" s="47">
        <f t="shared" si="12"/>
        <v>0</v>
      </c>
      <c r="W57" s="47">
        <f t="shared" si="12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11"/>
        <v>0</v>
      </c>
      <c r="M58" s="46">
        <f t="shared" si="11"/>
        <v>0</v>
      </c>
      <c r="N58" s="46">
        <f t="shared" si="11"/>
        <v>0</v>
      </c>
      <c r="O58" s="46">
        <f t="shared" si="11"/>
        <v>0</v>
      </c>
      <c r="P58" s="46">
        <f t="shared" si="11"/>
        <v>0</v>
      </c>
      <c r="Q58" s="46">
        <f t="shared" si="11"/>
        <v>0</v>
      </c>
      <c r="R58" s="46">
        <f t="shared" si="11"/>
        <v>0</v>
      </c>
      <c r="S58" s="46">
        <f t="shared" si="11"/>
        <v>0</v>
      </c>
      <c r="T58" s="46">
        <f t="shared" si="11"/>
        <v>0</v>
      </c>
      <c r="U58" s="47">
        <f t="shared" si="12"/>
        <v>0</v>
      </c>
      <c r="V58" s="47">
        <f t="shared" si="12"/>
        <v>0</v>
      </c>
      <c r="W58" s="47">
        <f t="shared" si="12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11"/>
        <v>0</v>
      </c>
      <c r="M59" s="46">
        <f t="shared" si="11"/>
        <v>0</v>
      </c>
      <c r="N59" s="46">
        <f t="shared" si="11"/>
        <v>0</v>
      </c>
      <c r="O59" s="46">
        <f t="shared" si="11"/>
        <v>0</v>
      </c>
      <c r="P59" s="46">
        <f t="shared" si="11"/>
        <v>0</v>
      </c>
      <c r="Q59" s="46">
        <f t="shared" si="11"/>
        <v>0</v>
      </c>
      <c r="R59" s="46">
        <f t="shared" si="11"/>
        <v>0</v>
      </c>
      <c r="S59" s="46">
        <f t="shared" si="11"/>
        <v>0</v>
      </c>
      <c r="T59" s="46">
        <f t="shared" si="11"/>
        <v>0</v>
      </c>
      <c r="U59" s="47">
        <f t="shared" si="12"/>
        <v>0</v>
      </c>
      <c r="V59" s="47">
        <f t="shared" si="12"/>
        <v>0</v>
      </c>
      <c r="W59" s="47">
        <f t="shared" si="12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11"/>
        <v>0</v>
      </c>
      <c r="M60" s="46">
        <f t="shared" si="11"/>
        <v>0</v>
      </c>
      <c r="N60" s="46">
        <f t="shared" si="11"/>
        <v>0</v>
      </c>
      <c r="O60" s="46">
        <f t="shared" si="11"/>
        <v>0</v>
      </c>
      <c r="P60" s="46">
        <f t="shared" si="11"/>
        <v>0</v>
      </c>
      <c r="Q60" s="46">
        <f t="shared" si="11"/>
        <v>0</v>
      </c>
      <c r="R60" s="46">
        <f t="shared" si="11"/>
        <v>0</v>
      </c>
      <c r="S60" s="46">
        <f t="shared" si="11"/>
        <v>0</v>
      </c>
      <c r="T60" s="46">
        <f t="shared" si="11"/>
        <v>0</v>
      </c>
      <c r="U60" s="47">
        <f t="shared" si="12"/>
        <v>0</v>
      </c>
      <c r="V60" s="47">
        <f t="shared" si="12"/>
        <v>0</v>
      </c>
      <c r="W60" s="47">
        <f t="shared" si="12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11"/>
        <v>0</v>
      </c>
      <c r="M61" s="46">
        <f t="shared" si="11"/>
        <v>0</v>
      </c>
      <c r="N61" s="46">
        <f t="shared" si="11"/>
        <v>0</v>
      </c>
      <c r="O61" s="46">
        <f t="shared" si="11"/>
        <v>0</v>
      </c>
      <c r="P61" s="46">
        <f t="shared" si="11"/>
        <v>0</v>
      </c>
      <c r="Q61" s="46">
        <f t="shared" si="11"/>
        <v>0</v>
      </c>
      <c r="R61" s="46">
        <f t="shared" si="11"/>
        <v>0</v>
      </c>
      <c r="S61" s="46">
        <f t="shared" si="11"/>
        <v>0</v>
      </c>
      <c r="T61" s="46">
        <f t="shared" si="11"/>
        <v>0</v>
      </c>
      <c r="U61" s="47">
        <f t="shared" si="12"/>
        <v>0</v>
      </c>
      <c r="V61" s="47">
        <f t="shared" si="12"/>
        <v>0</v>
      </c>
      <c r="W61" s="47">
        <f t="shared" si="12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11"/>
        <v>0</v>
      </c>
      <c r="M62" s="46">
        <f t="shared" si="11"/>
        <v>0</v>
      </c>
      <c r="N62" s="46">
        <f t="shared" si="11"/>
        <v>0</v>
      </c>
      <c r="O62" s="46">
        <f t="shared" si="11"/>
        <v>0</v>
      </c>
      <c r="P62" s="46">
        <f t="shared" si="11"/>
        <v>0</v>
      </c>
      <c r="Q62" s="46">
        <f t="shared" si="11"/>
        <v>0</v>
      </c>
      <c r="R62" s="46">
        <f t="shared" si="11"/>
        <v>0</v>
      </c>
      <c r="S62" s="46">
        <f t="shared" si="11"/>
        <v>0</v>
      </c>
      <c r="T62" s="46">
        <f t="shared" si="11"/>
        <v>0</v>
      </c>
      <c r="U62" s="47">
        <f t="shared" si="12"/>
        <v>0</v>
      </c>
      <c r="V62" s="47">
        <f t="shared" si="12"/>
        <v>0</v>
      </c>
      <c r="W62" s="47">
        <f t="shared" si="12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11"/>
        <v>0</v>
      </c>
      <c r="M63" s="46">
        <f t="shared" si="11"/>
        <v>0</v>
      </c>
      <c r="N63" s="46">
        <f t="shared" si="11"/>
        <v>0</v>
      </c>
      <c r="O63" s="46">
        <f t="shared" si="11"/>
        <v>0</v>
      </c>
      <c r="P63" s="46">
        <f t="shared" si="11"/>
        <v>0</v>
      </c>
      <c r="Q63" s="46">
        <f t="shared" si="11"/>
        <v>0</v>
      </c>
      <c r="R63" s="46">
        <f t="shared" si="11"/>
        <v>0</v>
      </c>
      <c r="S63" s="46">
        <f t="shared" si="11"/>
        <v>0</v>
      </c>
      <c r="T63" s="46">
        <f t="shared" si="11"/>
        <v>0</v>
      </c>
      <c r="U63" s="47">
        <f t="shared" si="12"/>
        <v>0</v>
      </c>
      <c r="V63" s="47">
        <f t="shared" si="12"/>
        <v>0</v>
      </c>
      <c r="W63" s="47">
        <f t="shared" si="12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11"/>
        <v>0</v>
      </c>
      <c r="M64" s="46">
        <f t="shared" si="11"/>
        <v>0</v>
      </c>
      <c r="N64" s="46">
        <f t="shared" si="11"/>
        <v>0</v>
      </c>
      <c r="O64" s="46">
        <f t="shared" si="11"/>
        <v>0</v>
      </c>
      <c r="P64" s="46">
        <f t="shared" si="11"/>
        <v>0</v>
      </c>
      <c r="Q64" s="46">
        <f t="shared" si="11"/>
        <v>0</v>
      </c>
      <c r="R64" s="46">
        <f t="shared" si="11"/>
        <v>0</v>
      </c>
      <c r="S64" s="46">
        <f t="shared" si="11"/>
        <v>0</v>
      </c>
      <c r="T64" s="46">
        <f t="shared" si="11"/>
        <v>0</v>
      </c>
      <c r="U64" s="47">
        <f t="shared" si="12"/>
        <v>0</v>
      </c>
      <c r="V64" s="47">
        <f t="shared" si="12"/>
        <v>0</v>
      </c>
      <c r="W64" s="47">
        <f t="shared" si="12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11"/>
        <v>0</v>
      </c>
      <c r="M65" s="46">
        <f t="shared" si="11"/>
        <v>0</v>
      </c>
      <c r="N65" s="46">
        <f t="shared" si="11"/>
        <v>0</v>
      </c>
      <c r="O65" s="46">
        <f t="shared" si="11"/>
        <v>0</v>
      </c>
      <c r="P65" s="46">
        <f t="shared" si="11"/>
        <v>0</v>
      </c>
      <c r="Q65" s="46">
        <f t="shared" si="11"/>
        <v>0</v>
      </c>
      <c r="R65" s="46">
        <f t="shared" si="11"/>
        <v>0</v>
      </c>
      <c r="S65" s="46">
        <f t="shared" si="11"/>
        <v>0</v>
      </c>
      <c r="T65" s="46">
        <f t="shared" si="11"/>
        <v>0</v>
      </c>
      <c r="U65" s="47">
        <f t="shared" si="12"/>
        <v>0</v>
      </c>
      <c r="V65" s="47">
        <f t="shared" si="12"/>
        <v>0</v>
      </c>
      <c r="W65" s="47">
        <f t="shared" si="12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11"/>
        <v>0</v>
      </c>
      <c r="M66" s="46">
        <f t="shared" si="11"/>
        <v>0</v>
      </c>
      <c r="N66" s="46">
        <f t="shared" si="11"/>
        <v>0</v>
      </c>
      <c r="O66" s="46">
        <f t="shared" si="11"/>
        <v>0</v>
      </c>
      <c r="P66" s="46">
        <f t="shared" si="11"/>
        <v>0</v>
      </c>
      <c r="Q66" s="46">
        <f t="shared" si="11"/>
        <v>0</v>
      </c>
      <c r="R66" s="46">
        <f t="shared" si="11"/>
        <v>0</v>
      </c>
      <c r="S66" s="46">
        <f t="shared" si="11"/>
        <v>0</v>
      </c>
      <c r="T66" s="46">
        <f t="shared" si="11"/>
        <v>0</v>
      </c>
      <c r="U66" s="47">
        <f t="shared" si="12"/>
        <v>0</v>
      </c>
      <c r="V66" s="47">
        <f t="shared" si="12"/>
        <v>0</v>
      </c>
      <c r="W66" s="47">
        <f t="shared" si="12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11"/>
        <v>0</v>
      </c>
      <c r="M67" s="46">
        <f t="shared" si="11"/>
        <v>0</v>
      </c>
      <c r="N67" s="46">
        <f t="shared" si="11"/>
        <v>0</v>
      </c>
      <c r="O67" s="46">
        <f t="shared" si="11"/>
        <v>0</v>
      </c>
      <c r="P67" s="46">
        <f t="shared" si="11"/>
        <v>0</v>
      </c>
      <c r="Q67" s="46">
        <f t="shared" si="11"/>
        <v>0</v>
      </c>
      <c r="R67" s="46">
        <f t="shared" si="11"/>
        <v>0</v>
      </c>
      <c r="S67" s="46">
        <f t="shared" si="11"/>
        <v>0</v>
      </c>
      <c r="T67" s="46">
        <f t="shared" si="11"/>
        <v>0</v>
      </c>
      <c r="U67" s="47">
        <f t="shared" si="12"/>
        <v>0</v>
      </c>
      <c r="V67" s="47">
        <f t="shared" si="12"/>
        <v>0</v>
      </c>
      <c r="W67" s="47">
        <f t="shared" si="12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11"/>
        <v>0</v>
      </c>
      <c r="M68" s="46">
        <f t="shared" si="11"/>
        <v>0</v>
      </c>
      <c r="N68" s="46">
        <f t="shared" si="11"/>
        <v>0</v>
      </c>
      <c r="O68" s="46">
        <f t="shared" si="11"/>
        <v>0</v>
      </c>
      <c r="P68" s="46">
        <f t="shared" si="11"/>
        <v>0</v>
      </c>
      <c r="Q68" s="46">
        <f t="shared" si="11"/>
        <v>0</v>
      </c>
      <c r="R68" s="46">
        <f t="shared" si="11"/>
        <v>0</v>
      </c>
      <c r="S68" s="46">
        <f t="shared" si="11"/>
        <v>0</v>
      </c>
      <c r="T68" s="46">
        <f t="shared" si="11"/>
        <v>0</v>
      </c>
      <c r="U68" s="47">
        <f t="shared" si="12"/>
        <v>0</v>
      </c>
      <c r="V68" s="47">
        <f t="shared" si="12"/>
        <v>0</v>
      </c>
      <c r="W68" s="47">
        <f t="shared" si="12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11"/>
        <v>0</v>
      </c>
      <c r="M69" s="46">
        <f t="shared" si="11"/>
        <v>0</v>
      </c>
      <c r="N69" s="46">
        <f t="shared" si="11"/>
        <v>0</v>
      </c>
      <c r="O69" s="46">
        <f t="shared" si="11"/>
        <v>0</v>
      </c>
      <c r="P69" s="46">
        <f t="shared" si="11"/>
        <v>0</v>
      </c>
      <c r="Q69" s="46">
        <f t="shared" si="11"/>
        <v>0</v>
      </c>
      <c r="R69" s="46">
        <f t="shared" si="11"/>
        <v>0</v>
      </c>
      <c r="S69" s="46">
        <f t="shared" si="11"/>
        <v>0</v>
      </c>
      <c r="T69" s="46">
        <f t="shared" si="11"/>
        <v>0</v>
      </c>
      <c r="U69" s="47">
        <f t="shared" si="12"/>
        <v>0</v>
      </c>
      <c r="V69" s="47">
        <f t="shared" si="12"/>
        <v>0</v>
      </c>
      <c r="W69" s="47">
        <f t="shared" si="12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11"/>
        <v>0</v>
      </c>
      <c r="M70" s="46">
        <f t="shared" si="11"/>
        <v>0</v>
      </c>
      <c r="N70" s="46">
        <f t="shared" si="11"/>
        <v>0</v>
      </c>
      <c r="O70" s="46">
        <f t="shared" si="11"/>
        <v>0</v>
      </c>
      <c r="P70" s="46">
        <f t="shared" si="11"/>
        <v>0</v>
      </c>
      <c r="Q70" s="46">
        <f t="shared" si="11"/>
        <v>0</v>
      </c>
      <c r="R70" s="46">
        <f t="shared" si="11"/>
        <v>0</v>
      </c>
      <c r="S70" s="46">
        <f t="shared" si="11"/>
        <v>0</v>
      </c>
      <c r="T70" s="46">
        <f t="shared" si="11"/>
        <v>0</v>
      </c>
      <c r="U70" s="47">
        <f t="shared" si="12"/>
        <v>0</v>
      </c>
      <c r="V70" s="47">
        <f t="shared" si="12"/>
        <v>0</v>
      </c>
      <c r="W70" s="47">
        <f t="shared" si="12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11"/>
        <v>0</v>
      </c>
      <c r="M71" s="46">
        <f t="shared" si="11"/>
        <v>0</v>
      </c>
      <c r="N71" s="46">
        <f t="shared" si="11"/>
        <v>0</v>
      </c>
      <c r="O71" s="46">
        <f t="shared" si="11"/>
        <v>0</v>
      </c>
      <c r="P71" s="46">
        <f t="shared" si="11"/>
        <v>0</v>
      </c>
      <c r="Q71" s="46">
        <f t="shared" si="11"/>
        <v>0</v>
      </c>
      <c r="R71" s="46">
        <f t="shared" si="11"/>
        <v>0</v>
      </c>
      <c r="S71" s="46">
        <f t="shared" si="11"/>
        <v>0</v>
      </c>
      <c r="T71" s="46">
        <f t="shared" si="11"/>
        <v>0</v>
      </c>
      <c r="U71" s="47">
        <f t="shared" si="12"/>
        <v>0</v>
      </c>
      <c r="V71" s="47">
        <f t="shared" si="12"/>
        <v>0</v>
      </c>
      <c r="W71" s="47">
        <f t="shared" si="12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11"/>
        <v>0</v>
      </c>
      <c r="M72" s="46">
        <f t="shared" si="11"/>
        <v>0</v>
      </c>
      <c r="N72" s="46">
        <f t="shared" si="11"/>
        <v>0</v>
      </c>
      <c r="O72" s="46">
        <f t="shared" ref="O72:T114" si="13">IFERROR(E73-E72,0)</f>
        <v>0</v>
      </c>
      <c r="P72" s="46">
        <f t="shared" si="13"/>
        <v>0</v>
      </c>
      <c r="Q72" s="46">
        <f t="shared" si="13"/>
        <v>0</v>
      </c>
      <c r="R72" s="46">
        <f t="shared" si="13"/>
        <v>0</v>
      </c>
      <c r="S72" s="46">
        <f t="shared" si="13"/>
        <v>0</v>
      </c>
      <c r="T72" s="46">
        <f t="shared" si="13"/>
        <v>0</v>
      </c>
      <c r="U72" s="47">
        <f t="shared" si="12"/>
        <v>0</v>
      </c>
      <c r="V72" s="47">
        <f t="shared" si="12"/>
        <v>0</v>
      </c>
      <c r="W72" s="47">
        <f t="shared" si="12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14">IFERROR(B74-B73,0)</f>
        <v>0</v>
      </c>
      <c r="M73" s="46">
        <f t="shared" si="14"/>
        <v>0</v>
      </c>
      <c r="N73" s="46">
        <f t="shared" si="14"/>
        <v>0</v>
      </c>
      <c r="O73" s="46">
        <f t="shared" si="13"/>
        <v>0</v>
      </c>
      <c r="P73" s="46">
        <f t="shared" si="13"/>
        <v>0</v>
      </c>
      <c r="Q73" s="46">
        <f t="shared" si="13"/>
        <v>0</v>
      </c>
      <c r="R73" s="46">
        <f t="shared" si="13"/>
        <v>0</v>
      </c>
      <c r="S73" s="46">
        <f t="shared" si="13"/>
        <v>0</v>
      </c>
      <c r="T73" s="46">
        <f t="shared" si="13"/>
        <v>0</v>
      </c>
      <c r="U73" s="47">
        <f t="shared" si="12"/>
        <v>0</v>
      </c>
      <c r="V73" s="47">
        <f t="shared" si="12"/>
        <v>0</v>
      </c>
      <c r="W73" s="47">
        <f t="shared" si="12"/>
        <v>0</v>
      </c>
      <c r="X73" s="47">
        <f t="shared" ref="X73:X136" si="15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14"/>
        <v>0</v>
      </c>
      <c r="M74" s="46">
        <f t="shared" si="14"/>
        <v>0</v>
      </c>
      <c r="N74" s="46">
        <f t="shared" si="14"/>
        <v>0</v>
      </c>
      <c r="O74" s="46">
        <f t="shared" si="13"/>
        <v>0</v>
      </c>
      <c r="P74" s="46">
        <f t="shared" si="13"/>
        <v>0</v>
      </c>
      <c r="Q74" s="46">
        <f t="shared" si="13"/>
        <v>0</v>
      </c>
      <c r="R74" s="46">
        <f t="shared" si="13"/>
        <v>0</v>
      </c>
      <c r="S74" s="46">
        <f t="shared" si="13"/>
        <v>0</v>
      </c>
      <c r="T74" s="46">
        <f t="shared" si="13"/>
        <v>0</v>
      </c>
      <c r="U74" s="47">
        <f t="shared" si="12"/>
        <v>0</v>
      </c>
      <c r="V74" s="47">
        <f t="shared" si="12"/>
        <v>0</v>
      </c>
      <c r="W74" s="47">
        <f t="shared" si="12"/>
        <v>0</v>
      </c>
      <c r="X74" s="47">
        <f t="shared" si="15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14"/>
        <v>0</v>
      </c>
      <c r="M75" s="46">
        <f t="shared" si="14"/>
        <v>0</v>
      </c>
      <c r="N75" s="46">
        <f t="shared" si="14"/>
        <v>0</v>
      </c>
      <c r="O75" s="46">
        <f t="shared" si="13"/>
        <v>0</v>
      </c>
      <c r="P75" s="46">
        <f t="shared" si="13"/>
        <v>0</v>
      </c>
      <c r="Q75" s="46">
        <f t="shared" si="13"/>
        <v>0</v>
      </c>
      <c r="R75" s="46">
        <f t="shared" si="13"/>
        <v>0</v>
      </c>
      <c r="S75" s="46">
        <f t="shared" si="13"/>
        <v>0</v>
      </c>
      <c r="T75" s="46">
        <f t="shared" si="13"/>
        <v>0</v>
      </c>
      <c r="U75" s="47">
        <f t="shared" si="12"/>
        <v>0</v>
      </c>
      <c r="V75" s="47">
        <f t="shared" si="12"/>
        <v>0</v>
      </c>
      <c r="W75" s="47">
        <f t="shared" si="12"/>
        <v>0</v>
      </c>
      <c r="X75" s="47">
        <f t="shared" si="15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14"/>
        <v>0</v>
      </c>
      <c r="M76" s="46">
        <f t="shared" si="14"/>
        <v>0</v>
      </c>
      <c r="N76" s="46">
        <f t="shared" si="14"/>
        <v>0</v>
      </c>
      <c r="O76" s="46">
        <f t="shared" si="13"/>
        <v>0</v>
      </c>
      <c r="P76" s="46">
        <f t="shared" si="13"/>
        <v>0</v>
      </c>
      <c r="Q76" s="46">
        <f t="shared" si="13"/>
        <v>0</v>
      </c>
      <c r="R76" s="46">
        <f t="shared" si="13"/>
        <v>0</v>
      </c>
      <c r="S76" s="46">
        <f t="shared" si="13"/>
        <v>0</v>
      </c>
      <c r="T76" s="46">
        <f t="shared" si="13"/>
        <v>0</v>
      </c>
      <c r="U76" s="47">
        <f t="shared" si="12"/>
        <v>0</v>
      </c>
      <c r="V76" s="47">
        <f t="shared" si="12"/>
        <v>0</v>
      </c>
      <c r="W76" s="47">
        <f t="shared" si="12"/>
        <v>0</v>
      </c>
      <c r="X76" s="47">
        <f t="shared" si="15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14"/>
        <v>0</v>
      </c>
      <c r="M77" s="46">
        <f t="shared" si="14"/>
        <v>0</v>
      </c>
      <c r="N77" s="46">
        <f t="shared" si="14"/>
        <v>0</v>
      </c>
      <c r="O77" s="46">
        <f t="shared" si="13"/>
        <v>0</v>
      </c>
      <c r="P77" s="46">
        <f t="shared" si="13"/>
        <v>0</v>
      </c>
      <c r="Q77" s="46">
        <f t="shared" si="13"/>
        <v>0</v>
      </c>
      <c r="R77" s="46">
        <f t="shared" si="13"/>
        <v>0</v>
      </c>
      <c r="S77" s="46">
        <f t="shared" si="13"/>
        <v>0</v>
      </c>
      <c r="T77" s="46">
        <f t="shared" si="13"/>
        <v>0</v>
      </c>
      <c r="U77" s="47">
        <f t="shared" si="12"/>
        <v>0</v>
      </c>
      <c r="V77" s="47">
        <f t="shared" si="12"/>
        <v>0</v>
      </c>
      <c r="W77" s="47">
        <f t="shared" si="12"/>
        <v>0</v>
      </c>
      <c r="X77" s="47">
        <f t="shared" si="15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14"/>
        <v>0</v>
      </c>
      <c r="M78" s="46">
        <f t="shared" si="14"/>
        <v>0</v>
      </c>
      <c r="N78" s="46">
        <f t="shared" si="14"/>
        <v>0</v>
      </c>
      <c r="O78" s="46">
        <f t="shared" si="13"/>
        <v>0</v>
      </c>
      <c r="P78" s="46">
        <f t="shared" si="13"/>
        <v>0</v>
      </c>
      <c r="Q78" s="46">
        <f t="shared" si="13"/>
        <v>0</v>
      </c>
      <c r="R78" s="46">
        <f t="shared" si="13"/>
        <v>0</v>
      </c>
      <c r="S78" s="46">
        <f t="shared" si="13"/>
        <v>0</v>
      </c>
      <c r="T78" s="46">
        <f t="shared" si="13"/>
        <v>0</v>
      </c>
      <c r="U78" s="47">
        <f t="shared" si="12"/>
        <v>0</v>
      </c>
      <c r="V78" s="47">
        <f t="shared" si="12"/>
        <v>0</v>
      </c>
      <c r="W78" s="47">
        <f t="shared" si="12"/>
        <v>0</v>
      </c>
      <c r="X78" s="47">
        <f t="shared" si="15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14"/>
        <v>0</v>
      </c>
      <c r="M79" s="46">
        <f t="shared" si="14"/>
        <v>0</v>
      </c>
      <c r="N79" s="46">
        <f t="shared" si="14"/>
        <v>0</v>
      </c>
      <c r="O79" s="46">
        <f t="shared" si="13"/>
        <v>0</v>
      </c>
      <c r="P79" s="46">
        <f t="shared" si="13"/>
        <v>0</v>
      </c>
      <c r="Q79" s="46">
        <f t="shared" si="13"/>
        <v>0</v>
      </c>
      <c r="R79" s="46">
        <f t="shared" si="13"/>
        <v>0</v>
      </c>
      <c r="S79" s="46">
        <f t="shared" si="13"/>
        <v>0</v>
      </c>
      <c r="T79" s="46">
        <f t="shared" si="13"/>
        <v>0</v>
      </c>
      <c r="U79" s="47">
        <f t="shared" si="12"/>
        <v>0</v>
      </c>
      <c r="V79" s="47">
        <f t="shared" si="12"/>
        <v>0</v>
      </c>
      <c r="W79" s="47">
        <f t="shared" si="12"/>
        <v>0</v>
      </c>
      <c r="X79" s="47">
        <f t="shared" si="15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14"/>
        <v>0</v>
      </c>
      <c r="M80" s="46">
        <f t="shared" si="14"/>
        <v>0</v>
      </c>
      <c r="N80" s="46">
        <f t="shared" si="14"/>
        <v>0</v>
      </c>
      <c r="O80" s="46">
        <f t="shared" si="13"/>
        <v>0</v>
      </c>
      <c r="P80" s="46">
        <f t="shared" si="13"/>
        <v>0</v>
      </c>
      <c r="Q80" s="46">
        <f t="shared" si="13"/>
        <v>0</v>
      </c>
      <c r="R80" s="46">
        <f t="shared" si="13"/>
        <v>0</v>
      </c>
      <c r="S80" s="46">
        <f t="shared" si="13"/>
        <v>0</v>
      </c>
      <c r="T80" s="46">
        <f t="shared" si="13"/>
        <v>0</v>
      </c>
      <c r="U80" s="47">
        <f t="shared" si="12"/>
        <v>0</v>
      </c>
      <c r="V80" s="47">
        <f t="shared" si="12"/>
        <v>0</v>
      </c>
      <c r="W80" s="47">
        <f t="shared" si="12"/>
        <v>0</v>
      </c>
      <c r="X80" s="47">
        <f t="shared" si="15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14"/>
        <v>0</v>
      </c>
      <c r="M81" s="46">
        <f t="shared" si="14"/>
        <v>0</v>
      </c>
      <c r="N81" s="46">
        <f t="shared" si="14"/>
        <v>0</v>
      </c>
      <c r="O81" s="46">
        <f t="shared" si="13"/>
        <v>0</v>
      </c>
      <c r="P81" s="46">
        <f t="shared" si="13"/>
        <v>0</v>
      </c>
      <c r="Q81" s="46">
        <f t="shared" si="13"/>
        <v>0</v>
      </c>
      <c r="R81" s="46">
        <f t="shared" si="13"/>
        <v>0</v>
      </c>
      <c r="S81" s="46">
        <f t="shared" si="13"/>
        <v>0</v>
      </c>
      <c r="T81" s="46">
        <f t="shared" si="13"/>
        <v>0</v>
      </c>
      <c r="U81" s="47">
        <f t="shared" si="12"/>
        <v>0</v>
      </c>
      <c r="V81" s="47">
        <f t="shared" si="12"/>
        <v>0</v>
      </c>
      <c r="W81" s="47">
        <f t="shared" si="12"/>
        <v>0</v>
      </c>
      <c r="X81" s="47">
        <f t="shared" si="15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14"/>
        <v>0</v>
      </c>
      <c r="M82" s="46">
        <f t="shared" si="14"/>
        <v>0</v>
      </c>
      <c r="N82" s="46">
        <f t="shared" si="14"/>
        <v>0</v>
      </c>
      <c r="O82" s="46">
        <f t="shared" si="13"/>
        <v>0</v>
      </c>
      <c r="P82" s="46">
        <f t="shared" si="13"/>
        <v>0</v>
      </c>
      <c r="Q82" s="46">
        <f t="shared" si="13"/>
        <v>0</v>
      </c>
      <c r="R82" s="46">
        <f t="shared" si="13"/>
        <v>0</v>
      </c>
      <c r="S82" s="46">
        <f t="shared" si="13"/>
        <v>0</v>
      </c>
      <c r="T82" s="46">
        <f t="shared" si="13"/>
        <v>0</v>
      </c>
      <c r="U82" s="47">
        <f t="shared" si="12"/>
        <v>0</v>
      </c>
      <c r="V82" s="47">
        <f t="shared" si="12"/>
        <v>0</v>
      </c>
      <c r="W82" s="47">
        <f t="shared" si="12"/>
        <v>0</v>
      </c>
      <c r="X82" s="47">
        <f t="shared" si="15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14"/>
        <v>0</v>
      </c>
      <c r="M83" s="46">
        <f t="shared" si="14"/>
        <v>0</v>
      </c>
      <c r="N83" s="46">
        <f t="shared" si="14"/>
        <v>0</v>
      </c>
      <c r="O83" s="46">
        <f t="shared" si="13"/>
        <v>0</v>
      </c>
      <c r="P83" s="46">
        <f t="shared" si="13"/>
        <v>0</v>
      </c>
      <c r="Q83" s="46">
        <f t="shared" si="13"/>
        <v>0</v>
      </c>
      <c r="R83" s="46">
        <f t="shared" si="13"/>
        <v>0</v>
      </c>
      <c r="S83" s="46">
        <f t="shared" si="13"/>
        <v>0</v>
      </c>
      <c r="T83" s="46">
        <f t="shared" si="13"/>
        <v>0</v>
      </c>
      <c r="U83" s="47">
        <f t="shared" si="12"/>
        <v>0</v>
      </c>
      <c r="V83" s="47">
        <f t="shared" si="12"/>
        <v>0</v>
      </c>
      <c r="W83" s="47">
        <f t="shared" si="12"/>
        <v>0</v>
      </c>
      <c r="X83" s="47">
        <f t="shared" si="15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14"/>
        <v>0</v>
      </c>
      <c r="M84" s="46">
        <f t="shared" si="14"/>
        <v>0</v>
      </c>
      <c r="N84" s="46">
        <f t="shared" si="14"/>
        <v>0</v>
      </c>
      <c r="O84" s="46">
        <f t="shared" si="13"/>
        <v>0</v>
      </c>
      <c r="P84" s="46">
        <f t="shared" si="13"/>
        <v>0</v>
      </c>
      <c r="Q84" s="46">
        <f t="shared" si="13"/>
        <v>0</v>
      </c>
      <c r="R84" s="46">
        <f t="shared" si="13"/>
        <v>0</v>
      </c>
      <c r="S84" s="46">
        <f t="shared" si="13"/>
        <v>0</v>
      </c>
      <c r="T84" s="46">
        <f t="shared" si="13"/>
        <v>0</v>
      </c>
      <c r="U84" s="47">
        <f t="shared" si="12"/>
        <v>0</v>
      </c>
      <c r="V84" s="47">
        <f t="shared" si="12"/>
        <v>0</v>
      </c>
      <c r="W84" s="47">
        <f t="shared" si="12"/>
        <v>0</v>
      </c>
      <c r="X84" s="47">
        <f t="shared" si="15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14"/>
        <v>0</v>
      </c>
      <c r="M85" s="46">
        <f t="shared" si="14"/>
        <v>0</v>
      </c>
      <c r="N85" s="46">
        <f t="shared" si="14"/>
        <v>0</v>
      </c>
      <c r="O85" s="46">
        <f t="shared" si="13"/>
        <v>0</v>
      </c>
      <c r="P85" s="46">
        <f t="shared" si="13"/>
        <v>0</v>
      </c>
      <c r="Q85" s="46">
        <f t="shared" si="13"/>
        <v>0</v>
      </c>
      <c r="R85" s="46">
        <f t="shared" si="13"/>
        <v>0</v>
      </c>
      <c r="S85" s="46">
        <f t="shared" si="13"/>
        <v>0</v>
      </c>
      <c r="T85" s="46">
        <f t="shared" si="13"/>
        <v>0</v>
      </c>
      <c r="U85" s="47">
        <f t="shared" si="12"/>
        <v>0</v>
      </c>
      <c r="V85" s="47">
        <f t="shared" si="12"/>
        <v>0</v>
      </c>
      <c r="W85" s="47">
        <f t="shared" si="12"/>
        <v>0</v>
      </c>
      <c r="X85" s="47">
        <f t="shared" si="15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14"/>
        <v>0</v>
      </c>
      <c r="M86" s="46">
        <f t="shared" si="14"/>
        <v>0</v>
      </c>
      <c r="N86" s="46">
        <f t="shared" si="14"/>
        <v>0</v>
      </c>
      <c r="O86" s="46">
        <f t="shared" si="13"/>
        <v>0</v>
      </c>
      <c r="P86" s="46">
        <f t="shared" si="13"/>
        <v>0</v>
      </c>
      <c r="Q86" s="46">
        <f t="shared" si="13"/>
        <v>0</v>
      </c>
      <c r="R86" s="46">
        <f t="shared" si="13"/>
        <v>0</v>
      </c>
      <c r="S86" s="46">
        <f t="shared" si="13"/>
        <v>0</v>
      </c>
      <c r="T86" s="46">
        <f t="shared" si="13"/>
        <v>0</v>
      </c>
      <c r="U86" s="47">
        <f t="shared" si="12"/>
        <v>0</v>
      </c>
      <c r="V86" s="47">
        <f t="shared" si="12"/>
        <v>0</v>
      </c>
      <c r="W86" s="47">
        <f t="shared" si="12"/>
        <v>0</v>
      </c>
      <c r="X86" s="47">
        <f t="shared" si="15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14"/>
        <v>0</v>
      </c>
      <c r="M87" s="46">
        <f t="shared" si="14"/>
        <v>0</v>
      </c>
      <c r="N87" s="46">
        <f t="shared" si="14"/>
        <v>0</v>
      </c>
      <c r="O87" s="46">
        <f t="shared" si="13"/>
        <v>0</v>
      </c>
      <c r="P87" s="46">
        <f t="shared" si="13"/>
        <v>0</v>
      </c>
      <c r="Q87" s="46">
        <f t="shared" si="13"/>
        <v>0</v>
      </c>
      <c r="R87" s="46">
        <f t="shared" si="13"/>
        <v>0</v>
      </c>
      <c r="S87" s="46">
        <f t="shared" si="13"/>
        <v>0</v>
      </c>
      <c r="T87" s="46">
        <f t="shared" si="13"/>
        <v>0</v>
      </c>
      <c r="U87" s="47">
        <f t="shared" si="12"/>
        <v>0</v>
      </c>
      <c r="V87" s="47">
        <f t="shared" si="12"/>
        <v>0</v>
      </c>
      <c r="W87" s="47">
        <f t="shared" si="12"/>
        <v>0</v>
      </c>
      <c r="X87" s="47">
        <f t="shared" si="15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14"/>
        <v>0</v>
      </c>
      <c r="M88" s="46">
        <f t="shared" si="14"/>
        <v>0</v>
      </c>
      <c r="N88" s="46">
        <f t="shared" si="14"/>
        <v>0</v>
      </c>
      <c r="O88" s="46">
        <f t="shared" si="13"/>
        <v>0</v>
      </c>
      <c r="P88" s="46">
        <f t="shared" si="13"/>
        <v>0</v>
      </c>
      <c r="Q88" s="46">
        <f t="shared" si="13"/>
        <v>0</v>
      </c>
      <c r="R88" s="46">
        <f t="shared" si="13"/>
        <v>0</v>
      </c>
      <c r="S88" s="46">
        <f t="shared" si="13"/>
        <v>0</v>
      </c>
      <c r="T88" s="46">
        <f t="shared" si="13"/>
        <v>0</v>
      </c>
      <c r="U88" s="47">
        <f t="shared" si="12"/>
        <v>0</v>
      </c>
      <c r="V88" s="47">
        <f t="shared" si="12"/>
        <v>0</v>
      </c>
      <c r="W88" s="47">
        <f t="shared" si="12"/>
        <v>0</v>
      </c>
      <c r="X88" s="47">
        <f t="shared" si="15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14"/>
        <v>0</v>
      </c>
      <c r="M89" s="46">
        <f t="shared" si="14"/>
        <v>0</v>
      </c>
      <c r="N89" s="46">
        <f t="shared" si="14"/>
        <v>0</v>
      </c>
      <c r="O89" s="46">
        <f t="shared" si="13"/>
        <v>0</v>
      </c>
      <c r="P89" s="46">
        <f t="shared" si="13"/>
        <v>0</v>
      </c>
      <c r="Q89" s="46">
        <f t="shared" si="13"/>
        <v>0</v>
      </c>
      <c r="R89" s="46">
        <f t="shared" si="13"/>
        <v>0</v>
      </c>
      <c r="S89" s="46">
        <f t="shared" si="13"/>
        <v>0</v>
      </c>
      <c r="T89" s="46">
        <f t="shared" si="13"/>
        <v>0</v>
      </c>
      <c r="U89" s="47">
        <f t="shared" si="12"/>
        <v>0</v>
      </c>
      <c r="V89" s="47">
        <f t="shared" si="12"/>
        <v>0</v>
      </c>
      <c r="W89" s="47">
        <f t="shared" si="12"/>
        <v>0</v>
      </c>
      <c r="X89" s="47">
        <f t="shared" si="15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14"/>
        <v>0</v>
      </c>
      <c r="M90" s="46">
        <f t="shared" si="14"/>
        <v>0</v>
      </c>
      <c r="N90" s="46">
        <f t="shared" si="14"/>
        <v>0</v>
      </c>
      <c r="O90" s="46">
        <f t="shared" si="13"/>
        <v>0</v>
      </c>
      <c r="P90" s="46">
        <f t="shared" si="13"/>
        <v>0</v>
      </c>
      <c r="Q90" s="46">
        <f t="shared" si="13"/>
        <v>0</v>
      </c>
      <c r="R90" s="46">
        <f t="shared" si="13"/>
        <v>0</v>
      </c>
      <c r="S90" s="46">
        <f t="shared" si="13"/>
        <v>0</v>
      </c>
      <c r="T90" s="46">
        <f t="shared" si="13"/>
        <v>0</v>
      </c>
      <c r="U90" s="47">
        <f t="shared" si="12"/>
        <v>0</v>
      </c>
      <c r="V90" s="47">
        <f t="shared" si="12"/>
        <v>0</v>
      </c>
      <c r="W90" s="47">
        <f t="shared" si="12"/>
        <v>0</v>
      </c>
      <c r="X90" s="47">
        <f t="shared" si="15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14"/>
        <v>0</v>
      </c>
      <c r="M91" s="46">
        <f t="shared" si="14"/>
        <v>0</v>
      </c>
      <c r="N91" s="46">
        <f t="shared" si="14"/>
        <v>0</v>
      </c>
      <c r="O91" s="46">
        <f t="shared" si="13"/>
        <v>0</v>
      </c>
      <c r="P91" s="46">
        <f t="shared" si="13"/>
        <v>0</v>
      </c>
      <c r="Q91" s="46">
        <f t="shared" si="13"/>
        <v>0</v>
      </c>
      <c r="R91" s="46">
        <f t="shared" si="13"/>
        <v>0</v>
      </c>
      <c r="S91" s="46">
        <f t="shared" si="13"/>
        <v>0</v>
      </c>
      <c r="T91" s="46">
        <f t="shared" si="13"/>
        <v>0</v>
      </c>
      <c r="U91" s="47">
        <f t="shared" si="12"/>
        <v>0</v>
      </c>
      <c r="V91" s="47">
        <f t="shared" si="12"/>
        <v>0</v>
      </c>
      <c r="W91" s="47">
        <f t="shared" si="12"/>
        <v>0</v>
      </c>
      <c r="X91" s="47">
        <f t="shared" si="15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14"/>
        <v>0</v>
      </c>
      <c r="M92" s="46">
        <f t="shared" si="14"/>
        <v>0</v>
      </c>
      <c r="N92" s="46">
        <f t="shared" si="14"/>
        <v>0</v>
      </c>
      <c r="O92" s="46">
        <f t="shared" si="13"/>
        <v>0</v>
      </c>
      <c r="P92" s="46">
        <f t="shared" si="13"/>
        <v>0</v>
      </c>
      <c r="Q92" s="46">
        <f t="shared" si="13"/>
        <v>0</v>
      </c>
      <c r="R92" s="46">
        <f t="shared" si="13"/>
        <v>0</v>
      </c>
      <c r="S92" s="46">
        <f t="shared" si="13"/>
        <v>0</v>
      </c>
      <c r="T92" s="46">
        <f t="shared" si="13"/>
        <v>0</v>
      </c>
      <c r="U92" s="47">
        <f t="shared" si="12"/>
        <v>0</v>
      </c>
      <c r="V92" s="47">
        <f t="shared" si="12"/>
        <v>0</v>
      </c>
      <c r="W92" s="47">
        <f t="shared" si="12"/>
        <v>0</v>
      </c>
      <c r="X92" s="47">
        <f t="shared" si="15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14"/>
        <v>0</v>
      </c>
      <c r="M93" s="46">
        <f t="shared" si="14"/>
        <v>0</v>
      </c>
      <c r="N93" s="46">
        <f t="shared" si="14"/>
        <v>0</v>
      </c>
      <c r="O93" s="46">
        <f t="shared" si="13"/>
        <v>0</v>
      </c>
      <c r="P93" s="46">
        <f t="shared" si="13"/>
        <v>0</v>
      </c>
      <c r="Q93" s="46">
        <f t="shared" si="13"/>
        <v>0</v>
      </c>
      <c r="R93" s="46">
        <f t="shared" si="13"/>
        <v>0</v>
      </c>
      <c r="S93" s="46">
        <f t="shared" si="13"/>
        <v>0</v>
      </c>
      <c r="T93" s="46">
        <f t="shared" si="13"/>
        <v>0</v>
      </c>
      <c r="U93" s="47">
        <f t="shared" si="12"/>
        <v>0</v>
      </c>
      <c r="V93" s="47">
        <f t="shared" si="12"/>
        <v>0</v>
      </c>
      <c r="W93" s="47">
        <f t="shared" si="12"/>
        <v>0</v>
      </c>
      <c r="X93" s="47">
        <f t="shared" si="15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14"/>
        <v>0</v>
      </c>
      <c r="M94" s="46">
        <f t="shared" si="14"/>
        <v>0</v>
      </c>
      <c r="N94" s="46">
        <f t="shared" si="14"/>
        <v>0</v>
      </c>
      <c r="O94" s="46">
        <f t="shared" si="13"/>
        <v>0</v>
      </c>
      <c r="P94" s="46">
        <f t="shared" si="13"/>
        <v>0</v>
      </c>
      <c r="Q94" s="46">
        <f t="shared" si="13"/>
        <v>0</v>
      </c>
      <c r="R94" s="46">
        <f t="shared" si="13"/>
        <v>0</v>
      </c>
      <c r="S94" s="46">
        <f t="shared" si="13"/>
        <v>0</v>
      </c>
      <c r="T94" s="46">
        <f t="shared" si="13"/>
        <v>0</v>
      </c>
      <c r="U94" s="47">
        <f t="shared" si="12"/>
        <v>0</v>
      </c>
      <c r="V94" s="47">
        <f t="shared" si="12"/>
        <v>0</v>
      </c>
      <c r="W94" s="47">
        <f t="shared" si="12"/>
        <v>0</v>
      </c>
      <c r="X94" s="47">
        <f t="shared" si="15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14"/>
        <v>0</v>
      </c>
      <c r="M95" s="46">
        <f t="shared" si="14"/>
        <v>0</v>
      </c>
      <c r="N95" s="46">
        <f t="shared" si="14"/>
        <v>0</v>
      </c>
      <c r="O95" s="46">
        <f t="shared" si="13"/>
        <v>0</v>
      </c>
      <c r="P95" s="46">
        <f t="shared" si="13"/>
        <v>0</v>
      </c>
      <c r="Q95" s="46">
        <f t="shared" si="13"/>
        <v>0</v>
      </c>
      <c r="R95" s="46">
        <f t="shared" si="13"/>
        <v>0</v>
      </c>
      <c r="S95" s="46">
        <f t="shared" si="13"/>
        <v>0</v>
      </c>
      <c r="T95" s="46">
        <f t="shared" si="13"/>
        <v>0</v>
      </c>
      <c r="U95" s="47">
        <f t="shared" si="12"/>
        <v>0</v>
      </c>
      <c r="V95" s="47">
        <f t="shared" si="12"/>
        <v>0</v>
      </c>
      <c r="W95" s="47">
        <f t="shared" si="12"/>
        <v>0</v>
      </c>
      <c r="X95" s="47">
        <f t="shared" si="15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14"/>
        <v>0</v>
      </c>
      <c r="M96" s="46">
        <f t="shared" si="14"/>
        <v>0</v>
      </c>
      <c r="N96" s="46">
        <f t="shared" si="14"/>
        <v>0</v>
      </c>
      <c r="O96" s="46">
        <f t="shared" si="13"/>
        <v>0</v>
      </c>
      <c r="P96" s="46">
        <f t="shared" si="13"/>
        <v>0</v>
      </c>
      <c r="Q96" s="46">
        <f t="shared" si="13"/>
        <v>0</v>
      </c>
      <c r="R96" s="46">
        <f t="shared" si="13"/>
        <v>0</v>
      </c>
      <c r="S96" s="46">
        <f t="shared" si="13"/>
        <v>0</v>
      </c>
      <c r="T96" s="46">
        <f t="shared" si="13"/>
        <v>0</v>
      </c>
      <c r="U96" s="47">
        <f t="shared" si="12"/>
        <v>0</v>
      </c>
      <c r="V96" s="47">
        <f t="shared" si="12"/>
        <v>0</v>
      </c>
      <c r="W96" s="47">
        <f t="shared" si="12"/>
        <v>0</v>
      </c>
      <c r="X96" s="47">
        <f t="shared" si="15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14"/>
        <v>0</v>
      </c>
      <c r="M97" s="46">
        <f t="shared" si="14"/>
        <v>0</v>
      </c>
      <c r="N97" s="46">
        <f t="shared" si="14"/>
        <v>0</v>
      </c>
      <c r="O97" s="46">
        <f t="shared" si="13"/>
        <v>0</v>
      </c>
      <c r="P97" s="46">
        <f t="shared" si="13"/>
        <v>0</v>
      </c>
      <c r="Q97" s="46">
        <f t="shared" si="13"/>
        <v>0</v>
      </c>
      <c r="R97" s="46">
        <f t="shared" si="13"/>
        <v>0</v>
      </c>
      <c r="S97" s="46">
        <f t="shared" si="13"/>
        <v>0</v>
      </c>
      <c r="T97" s="46">
        <f t="shared" si="13"/>
        <v>0</v>
      </c>
      <c r="U97" s="47">
        <f t="shared" si="12"/>
        <v>0</v>
      </c>
      <c r="V97" s="47">
        <f t="shared" si="12"/>
        <v>0</v>
      </c>
      <c r="W97" s="47">
        <f t="shared" si="12"/>
        <v>0</v>
      </c>
      <c r="X97" s="47">
        <f t="shared" si="15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14"/>
        <v>0</v>
      </c>
      <c r="M98" s="46">
        <f t="shared" si="14"/>
        <v>0</v>
      </c>
      <c r="N98" s="46">
        <f t="shared" si="14"/>
        <v>0</v>
      </c>
      <c r="O98" s="46">
        <f t="shared" si="13"/>
        <v>0</v>
      </c>
      <c r="P98" s="46">
        <f t="shared" si="13"/>
        <v>0</v>
      </c>
      <c r="Q98" s="46">
        <f t="shared" si="13"/>
        <v>0</v>
      </c>
      <c r="R98" s="46">
        <f t="shared" si="13"/>
        <v>0</v>
      </c>
      <c r="S98" s="46">
        <f t="shared" si="13"/>
        <v>0</v>
      </c>
      <c r="T98" s="46">
        <f t="shared" si="13"/>
        <v>0</v>
      </c>
      <c r="U98" s="47">
        <f t="shared" si="12"/>
        <v>0</v>
      </c>
      <c r="V98" s="47">
        <f t="shared" si="12"/>
        <v>0</v>
      </c>
      <c r="W98" s="47">
        <f t="shared" si="12"/>
        <v>0</v>
      </c>
      <c r="X98" s="47">
        <f t="shared" si="15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14"/>
        <v>0</v>
      </c>
      <c r="M99" s="46">
        <f t="shared" si="14"/>
        <v>0</v>
      </c>
      <c r="N99" s="46">
        <f t="shared" si="14"/>
        <v>0</v>
      </c>
      <c r="O99" s="46">
        <f t="shared" si="13"/>
        <v>0</v>
      </c>
      <c r="P99" s="46">
        <f t="shared" si="13"/>
        <v>0</v>
      </c>
      <c r="Q99" s="46">
        <f t="shared" si="13"/>
        <v>0</v>
      </c>
      <c r="R99" s="46">
        <f t="shared" si="13"/>
        <v>0</v>
      </c>
      <c r="S99" s="46">
        <f t="shared" si="13"/>
        <v>0</v>
      </c>
      <c r="T99" s="46">
        <f t="shared" si="13"/>
        <v>0</v>
      </c>
      <c r="U99" s="47">
        <f t="shared" si="12"/>
        <v>0</v>
      </c>
      <c r="V99" s="47">
        <f t="shared" si="12"/>
        <v>0</v>
      </c>
      <c r="W99" s="47">
        <f t="shared" si="12"/>
        <v>0</v>
      </c>
      <c r="X99" s="47">
        <f t="shared" si="15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14"/>
        <v>0</v>
      </c>
      <c r="M100" s="46">
        <f t="shared" si="14"/>
        <v>0</v>
      </c>
      <c r="N100" s="46">
        <f t="shared" si="14"/>
        <v>0</v>
      </c>
      <c r="O100" s="46">
        <f t="shared" si="13"/>
        <v>0</v>
      </c>
      <c r="P100" s="46">
        <f t="shared" si="13"/>
        <v>0</v>
      </c>
      <c r="Q100" s="46">
        <f t="shared" si="13"/>
        <v>0</v>
      </c>
      <c r="R100" s="46">
        <f t="shared" si="13"/>
        <v>0</v>
      </c>
      <c r="S100" s="46">
        <f t="shared" si="13"/>
        <v>0</v>
      </c>
      <c r="T100" s="46">
        <f t="shared" si="13"/>
        <v>0</v>
      </c>
      <c r="U100" s="47">
        <f t="shared" si="12"/>
        <v>0</v>
      </c>
      <c r="V100" s="47">
        <f t="shared" si="12"/>
        <v>0</v>
      </c>
      <c r="W100" s="47">
        <f t="shared" si="12"/>
        <v>0</v>
      </c>
      <c r="X100" s="47">
        <f t="shared" si="15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14"/>
        <v>0</v>
      </c>
      <c r="M101" s="46">
        <f t="shared" si="14"/>
        <v>0</v>
      </c>
      <c r="N101" s="46">
        <f t="shared" si="14"/>
        <v>0</v>
      </c>
      <c r="O101" s="46">
        <f t="shared" si="13"/>
        <v>0</v>
      </c>
      <c r="P101" s="46">
        <f t="shared" si="13"/>
        <v>0</v>
      </c>
      <c r="Q101" s="46">
        <f t="shared" si="13"/>
        <v>0</v>
      </c>
      <c r="R101" s="46">
        <f t="shared" si="13"/>
        <v>0</v>
      </c>
      <c r="S101" s="46">
        <f t="shared" si="13"/>
        <v>0</v>
      </c>
      <c r="T101" s="46">
        <f t="shared" si="13"/>
        <v>0</v>
      </c>
      <c r="U101" s="47">
        <f t="shared" si="12"/>
        <v>0</v>
      </c>
      <c r="V101" s="47">
        <f t="shared" si="12"/>
        <v>0</v>
      </c>
      <c r="W101" s="47">
        <f t="shared" si="12"/>
        <v>0</v>
      </c>
      <c r="X101" s="47">
        <f t="shared" si="15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14"/>
        <v>0</v>
      </c>
      <c r="M102" s="46">
        <f t="shared" si="14"/>
        <v>0</v>
      </c>
      <c r="N102" s="46">
        <f t="shared" si="14"/>
        <v>0</v>
      </c>
      <c r="O102" s="46">
        <f t="shared" si="13"/>
        <v>0</v>
      </c>
      <c r="P102" s="46">
        <f t="shared" si="13"/>
        <v>0</v>
      </c>
      <c r="Q102" s="46">
        <f t="shared" si="13"/>
        <v>0</v>
      </c>
      <c r="R102" s="46">
        <f t="shared" si="13"/>
        <v>0</v>
      </c>
      <c r="S102" s="46">
        <f t="shared" si="13"/>
        <v>0</v>
      </c>
      <c r="T102" s="46">
        <f t="shared" si="13"/>
        <v>0</v>
      </c>
      <c r="U102" s="47">
        <f t="shared" si="12"/>
        <v>0</v>
      </c>
      <c r="V102" s="47">
        <f t="shared" si="12"/>
        <v>0</v>
      </c>
      <c r="W102" s="47">
        <f t="shared" si="12"/>
        <v>0</v>
      </c>
      <c r="X102" s="47">
        <f t="shared" si="15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14"/>
        <v>0</v>
      </c>
      <c r="M103" s="46">
        <f t="shared" si="14"/>
        <v>0</v>
      </c>
      <c r="N103" s="46">
        <f t="shared" si="14"/>
        <v>0</v>
      </c>
      <c r="O103" s="46">
        <f t="shared" si="13"/>
        <v>0</v>
      </c>
      <c r="P103" s="46">
        <f t="shared" si="13"/>
        <v>0</v>
      </c>
      <c r="Q103" s="46">
        <f t="shared" si="13"/>
        <v>0</v>
      </c>
      <c r="R103" s="46">
        <f t="shared" si="13"/>
        <v>0</v>
      </c>
      <c r="S103" s="46">
        <f t="shared" si="13"/>
        <v>0</v>
      </c>
      <c r="T103" s="46">
        <f t="shared" si="13"/>
        <v>0</v>
      </c>
      <c r="U103" s="47">
        <f t="shared" si="12"/>
        <v>0</v>
      </c>
      <c r="V103" s="47">
        <f t="shared" si="12"/>
        <v>0</v>
      </c>
      <c r="W103" s="47">
        <f t="shared" si="12"/>
        <v>0</v>
      </c>
      <c r="X103" s="47">
        <f t="shared" si="15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14"/>
        <v>0</v>
      </c>
      <c r="M104" s="46">
        <f t="shared" si="14"/>
        <v>0</v>
      </c>
      <c r="N104" s="46">
        <f t="shared" si="14"/>
        <v>0</v>
      </c>
      <c r="O104" s="46">
        <f t="shared" si="13"/>
        <v>0</v>
      </c>
      <c r="P104" s="46">
        <f t="shared" si="13"/>
        <v>0</v>
      </c>
      <c r="Q104" s="46">
        <f t="shared" si="13"/>
        <v>0</v>
      </c>
      <c r="R104" s="46">
        <f t="shared" si="13"/>
        <v>0</v>
      </c>
      <c r="S104" s="46">
        <f t="shared" si="13"/>
        <v>0</v>
      </c>
      <c r="T104" s="46">
        <f t="shared" si="13"/>
        <v>0</v>
      </c>
      <c r="U104" s="47">
        <f t="shared" si="12"/>
        <v>0</v>
      </c>
      <c r="V104" s="47">
        <f t="shared" si="12"/>
        <v>0</v>
      </c>
      <c r="W104" s="47">
        <f t="shared" si="12"/>
        <v>0</v>
      </c>
      <c r="X104" s="47">
        <f t="shared" si="15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14"/>
        <v>0</v>
      </c>
      <c r="M105" s="46">
        <f t="shared" si="14"/>
        <v>0</v>
      </c>
      <c r="N105" s="46">
        <f t="shared" si="14"/>
        <v>0</v>
      </c>
      <c r="O105" s="46">
        <f t="shared" si="13"/>
        <v>0</v>
      </c>
      <c r="P105" s="46">
        <f t="shared" si="13"/>
        <v>0</v>
      </c>
      <c r="Q105" s="46">
        <f t="shared" si="13"/>
        <v>0</v>
      </c>
      <c r="R105" s="46">
        <f t="shared" si="13"/>
        <v>0</v>
      </c>
      <c r="S105" s="46">
        <f t="shared" si="13"/>
        <v>0</v>
      </c>
      <c r="T105" s="46">
        <f t="shared" si="13"/>
        <v>0</v>
      </c>
      <c r="U105" s="47">
        <f t="shared" si="12"/>
        <v>0</v>
      </c>
      <c r="V105" s="47">
        <f t="shared" si="12"/>
        <v>0</v>
      </c>
      <c r="W105" s="47">
        <f t="shared" si="12"/>
        <v>0</v>
      </c>
      <c r="X105" s="47">
        <f t="shared" si="15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14"/>
        <v>0</v>
      </c>
      <c r="M106" s="46">
        <f t="shared" si="14"/>
        <v>0</v>
      </c>
      <c r="N106" s="46">
        <f t="shared" si="14"/>
        <v>0</v>
      </c>
      <c r="O106" s="46">
        <f t="shared" si="13"/>
        <v>0</v>
      </c>
      <c r="P106" s="46">
        <f t="shared" si="13"/>
        <v>0</v>
      </c>
      <c r="Q106" s="46">
        <f t="shared" si="13"/>
        <v>0</v>
      </c>
      <c r="R106" s="46">
        <f t="shared" si="13"/>
        <v>0</v>
      </c>
      <c r="S106" s="46">
        <f t="shared" si="13"/>
        <v>0</v>
      </c>
      <c r="T106" s="46">
        <f t="shared" si="13"/>
        <v>0</v>
      </c>
      <c r="U106" s="47">
        <f t="shared" si="12"/>
        <v>0</v>
      </c>
      <c r="V106" s="47">
        <f t="shared" si="12"/>
        <v>0</v>
      </c>
      <c r="W106" s="47">
        <f t="shared" si="12"/>
        <v>0</v>
      </c>
      <c r="X106" s="47">
        <f t="shared" si="15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14"/>
        <v>0</v>
      </c>
      <c r="M107" s="46">
        <f t="shared" si="14"/>
        <v>0</v>
      </c>
      <c r="N107" s="46">
        <f t="shared" si="14"/>
        <v>0</v>
      </c>
      <c r="O107" s="46">
        <f t="shared" si="13"/>
        <v>0</v>
      </c>
      <c r="P107" s="46">
        <f t="shared" si="13"/>
        <v>0</v>
      </c>
      <c r="Q107" s="46">
        <f t="shared" si="13"/>
        <v>0</v>
      </c>
      <c r="R107" s="46">
        <f t="shared" si="13"/>
        <v>0</v>
      </c>
      <c r="S107" s="46">
        <f t="shared" si="13"/>
        <v>0</v>
      </c>
      <c r="T107" s="46">
        <f t="shared" si="13"/>
        <v>0</v>
      </c>
      <c r="U107" s="47">
        <f t="shared" si="12"/>
        <v>0</v>
      </c>
      <c r="V107" s="47">
        <f t="shared" si="12"/>
        <v>0</v>
      </c>
      <c r="W107" s="47">
        <f t="shared" si="12"/>
        <v>0</v>
      </c>
      <c r="X107" s="47">
        <f t="shared" si="15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14"/>
        <v>0</v>
      </c>
      <c r="M108" s="46">
        <f t="shared" si="14"/>
        <v>0</v>
      </c>
      <c r="N108" s="46">
        <f t="shared" si="14"/>
        <v>0</v>
      </c>
      <c r="O108" s="46">
        <f t="shared" si="13"/>
        <v>0</v>
      </c>
      <c r="P108" s="46">
        <f t="shared" si="13"/>
        <v>0</v>
      </c>
      <c r="Q108" s="46">
        <f t="shared" si="13"/>
        <v>0</v>
      </c>
      <c r="R108" s="46">
        <f t="shared" si="13"/>
        <v>0</v>
      </c>
      <c r="S108" s="46">
        <f t="shared" si="13"/>
        <v>0</v>
      </c>
      <c r="T108" s="46">
        <f t="shared" si="13"/>
        <v>0</v>
      </c>
      <c r="U108" s="47">
        <f t="shared" ref="U108:W151" si="16">L108+Q108</f>
        <v>0</v>
      </c>
      <c r="V108" s="47">
        <f t="shared" si="16"/>
        <v>0</v>
      </c>
      <c r="W108" s="47">
        <f t="shared" si="16"/>
        <v>0</v>
      </c>
      <c r="X108" s="47">
        <f t="shared" si="15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14"/>
        <v>0</v>
      </c>
      <c r="M109" s="46">
        <f t="shared" si="14"/>
        <v>0</v>
      </c>
      <c r="N109" s="46">
        <f t="shared" si="14"/>
        <v>0</v>
      </c>
      <c r="O109" s="46">
        <f t="shared" si="13"/>
        <v>0</v>
      </c>
      <c r="P109" s="46">
        <f t="shared" si="13"/>
        <v>0</v>
      </c>
      <c r="Q109" s="46">
        <f t="shared" si="13"/>
        <v>0</v>
      </c>
      <c r="R109" s="46">
        <f t="shared" si="13"/>
        <v>0</v>
      </c>
      <c r="S109" s="46">
        <f t="shared" si="13"/>
        <v>0</v>
      </c>
      <c r="T109" s="46">
        <f t="shared" si="13"/>
        <v>0</v>
      </c>
      <c r="U109" s="47">
        <f t="shared" si="16"/>
        <v>0</v>
      </c>
      <c r="V109" s="47">
        <f t="shared" si="16"/>
        <v>0</v>
      </c>
      <c r="W109" s="47">
        <f t="shared" si="16"/>
        <v>0</v>
      </c>
      <c r="X109" s="47">
        <f t="shared" si="15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14"/>
        <v>0</v>
      </c>
      <c r="M110" s="46">
        <f t="shared" si="14"/>
        <v>0</v>
      </c>
      <c r="N110" s="46">
        <f t="shared" si="14"/>
        <v>0</v>
      </c>
      <c r="O110" s="46">
        <f t="shared" si="13"/>
        <v>0</v>
      </c>
      <c r="P110" s="46">
        <f t="shared" si="13"/>
        <v>0</v>
      </c>
      <c r="Q110" s="46">
        <f t="shared" si="13"/>
        <v>0</v>
      </c>
      <c r="R110" s="46">
        <f t="shared" si="13"/>
        <v>0</v>
      </c>
      <c r="S110" s="46">
        <f t="shared" si="13"/>
        <v>0</v>
      </c>
      <c r="T110" s="46">
        <f t="shared" si="13"/>
        <v>0</v>
      </c>
      <c r="U110" s="47">
        <f t="shared" si="16"/>
        <v>0</v>
      </c>
      <c r="V110" s="47">
        <f t="shared" si="16"/>
        <v>0</v>
      </c>
      <c r="W110" s="47">
        <f t="shared" si="16"/>
        <v>0</v>
      </c>
      <c r="X110" s="47">
        <f t="shared" si="15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14"/>
        <v>0</v>
      </c>
      <c r="M111" s="46">
        <f t="shared" si="14"/>
        <v>0</v>
      </c>
      <c r="N111" s="46">
        <f t="shared" si="14"/>
        <v>0</v>
      </c>
      <c r="O111" s="46">
        <f t="shared" si="13"/>
        <v>0</v>
      </c>
      <c r="P111" s="46">
        <f t="shared" si="13"/>
        <v>0</v>
      </c>
      <c r="Q111" s="46">
        <f t="shared" si="13"/>
        <v>0</v>
      </c>
      <c r="R111" s="46">
        <f t="shared" si="13"/>
        <v>0</v>
      </c>
      <c r="S111" s="46">
        <f t="shared" si="13"/>
        <v>0</v>
      </c>
      <c r="T111" s="46">
        <f t="shared" si="13"/>
        <v>0</v>
      </c>
      <c r="U111" s="47">
        <f t="shared" si="16"/>
        <v>0</v>
      </c>
      <c r="V111" s="47">
        <f t="shared" si="16"/>
        <v>0</v>
      </c>
      <c r="W111" s="47">
        <f t="shared" si="16"/>
        <v>0</v>
      </c>
      <c r="X111" s="47">
        <f t="shared" si="15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14"/>
        <v>0</v>
      </c>
      <c r="M112" s="46">
        <f t="shared" si="14"/>
        <v>0</v>
      </c>
      <c r="N112" s="46">
        <f t="shared" si="14"/>
        <v>0</v>
      </c>
      <c r="O112" s="46">
        <f t="shared" si="13"/>
        <v>0</v>
      </c>
      <c r="P112" s="46">
        <f t="shared" si="13"/>
        <v>0</v>
      </c>
      <c r="Q112" s="46">
        <f t="shared" si="13"/>
        <v>0</v>
      </c>
      <c r="R112" s="46">
        <f t="shared" si="13"/>
        <v>0</v>
      </c>
      <c r="S112" s="46">
        <f t="shared" si="13"/>
        <v>0</v>
      </c>
      <c r="T112" s="46">
        <f t="shared" si="13"/>
        <v>0</v>
      </c>
      <c r="U112" s="47">
        <f t="shared" si="16"/>
        <v>0</v>
      </c>
      <c r="V112" s="47">
        <f t="shared" si="16"/>
        <v>0</v>
      </c>
      <c r="W112" s="47">
        <f t="shared" si="16"/>
        <v>0</v>
      </c>
      <c r="X112" s="47">
        <f t="shared" si="15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14"/>
        <v>0</v>
      </c>
      <c r="M113" s="46">
        <f t="shared" si="14"/>
        <v>0</v>
      </c>
      <c r="N113" s="46">
        <f t="shared" si="14"/>
        <v>0</v>
      </c>
      <c r="O113" s="46">
        <f t="shared" si="13"/>
        <v>0</v>
      </c>
      <c r="P113" s="46">
        <f t="shared" si="13"/>
        <v>0</v>
      </c>
      <c r="Q113" s="46">
        <f t="shared" si="13"/>
        <v>0</v>
      </c>
      <c r="R113" s="46">
        <f t="shared" si="13"/>
        <v>0</v>
      </c>
      <c r="S113" s="46">
        <f t="shared" si="13"/>
        <v>0</v>
      </c>
      <c r="T113" s="46">
        <f t="shared" si="13"/>
        <v>0</v>
      </c>
      <c r="U113" s="47">
        <f t="shared" si="16"/>
        <v>0</v>
      </c>
      <c r="V113" s="47">
        <f t="shared" si="16"/>
        <v>0</v>
      </c>
      <c r="W113" s="47">
        <f t="shared" si="16"/>
        <v>0</v>
      </c>
      <c r="X113" s="47">
        <f t="shared" si="15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14"/>
        <v>0</v>
      </c>
      <c r="M114" s="46">
        <f t="shared" si="14"/>
        <v>0</v>
      </c>
      <c r="N114" s="46">
        <f t="shared" si="14"/>
        <v>0</v>
      </c>
      <c r="O114" s="46">
        <f t="shared" si="13"/>
        <v>0</v>
      </c>
      <c r="P114" s="46">
        <f t="shared" si="13"/>
        <v>0</v>
      </c>
      <c r="Q114" s="46">
        <f t="shared" si="13"/>
        <v>0</v>
      </c>
      <c r="R114" s="46">
        <f t="shared" ref="R114:T151" si="17">IFERROR(H115-H114,0)</f>
        <v>0</v>
      </c>
      <c r="S114" s="46">
        <f t="shared" si="17"/>
        <v>0</v>
      </c>
      <c r="T114" s="46">
        <f t="shared" si="17"/>
        <v>0</v>
      </c>
      <c r="U114" s="47">
        <f t="shared" si="16"/>
        <v>0</v>
      </c>
      <c r="V114" s="47">
        <f t="shared" si="16"/>
        <v>0</v>
      </c>
      <c r="W114" s="47">
        <f t="shared" si="16"/>
        <v>0</v>
      </c>
      <c r="X114" s="47">
        <f t="shared" si="15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14"/>
        <v>0</v>
      </c>
      <c r="M115" s="46">
        <f t="shared" si="14"/>
        <v>0</v>
      </c>
      <c r="N115" s="46">
        <f t="shared" si="14"/>
        <v>0</v>
      </c>
      <c r="O115" s="46">
        <f t="shared" si="14"/>
        <v>0</v>
      </c>
      <c r="P115" s="46">
        <f t="shared" si="14"/>
        <v>0</v>
      </c>
      <c r="Q115" s="46">
        <f t="shared" si="14"/>
        <v>0</v>
      </c>
      <c r="R115" s="46">
        <f t="shared" si="17"/>
        <v>0</v>
      </c>
      <c r="S115" s="46">
        <f t="shared" si="17"/>
        <v>0</v>
      </c>
      <c r="T115" s="46">
        <f t="shared" si="17"/>
        <v>0</v>
      </c>
      <c r="U115" s="47">
        <f t="shared" si="16"/>
        <v>0</v>
      </c>
      <c r="V115" s="47">
        <f t="shared" si="16"/>
        <v>0</v>
      </c>
      <c r="W115" s="47">
        <f t="shared" si="16"/>
        <v>0</v>
      </c>
      <c r="X115" s="47">
        <f t="shared" si="15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14"/>
        <v>0</v>
      </c>
      <c r="M116" s="46">
        <f t="shared" si="14"/>
        <v>0</v>
      </c>
      <c r="N116" s="46">
        <f t="shared" si="14"/>
        <v>0</v>
      </c>
      <c r="O116" s="46">
        <f t="shared" si="14"/>
        <v>0</v>
      </c>
      <c r="P116" s="46">
        <f t="shared" si="14"/>
        <v>0</v>
      </c>
      <c r="Q116" s="46">
        <f t="shared" si="14"/>
        <v>0</v>
      </c>
      <c r="R116" s="46">
        <f t="shared" si="17"/>
        <v>0</v>
      </c>
      <c r="S116" s="46">
        <f t="shared" si="17"/>
        <v>0</v>
      </c>
      <c r="T116" s="46">
        <f t="shared" si="17"/>
        <v>0</v>
      </c>
      <c r="U116" s="47">
        <f t="shared" si="16"/>
        <v>0</v>
      </c>
      <c r="V116" s="47">
        <f t="shared" si="16"/>
        <v>0</v>
      </c>
      <c r="W116" s="47">
        <f t="shared" si="16"/>
        <v>0</v>
      </c>
      <c r="X116" s="47">
        <f t="shared" si="15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14"/>
        <v>0</v>
      </c>
      <c r="M117" s="46">
        <f t="shared" si="14"/>
        <v>0</v>
      </c>
      <c r="N117" s="46">
        <f t="shared" si="14"/>
        <v>0</v>
      </c>
      <c r="O117" s="46">
        <f t="shared" si="14"/>
        <v>0</v>
      </c>
      <c r="P117" s="46">
        <f t="shared" si="14"/>
        <v>0</v>
      </c>
      <c r="Q117" s="46">
        <f t="shared" si="14"/>
        <v>0</v>
      </c>
      <c r="R117" s="46">
        <f t="shared" si="17"/>
        <v>0</v>
      </c>
      <c r="S117" s="46">
        <f t="shared" si="17"/>
        <v>0</v>
      </c>
      <c r="T117" s="46">
        <f t="shared" si="17"/>
        <v>0</v>
      </c>
      <c r="U117" s="47">
        <f t="shared" si="16"/>
        <v>0</v>
      </c>
      <c r="V117" s="47">
        <f t="shared" si="16"/>
        <v>0</v>
      </c>
      <c r="W117" s="47">
        <f t="shared" si="16"/>
        <v>0</v>
      </c>
      <c r="X117" s="47">
        <f t="shared" si="15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14"/>
        <v>0</v>
      </c>
      <c r="M118" s="46">
        <f t="shared" si="14"/>
        <v>0</v>
      </c>
      <c r="N118" s="46">
        <f t="shared" si="14"/>
        <v>0</v>
      </c>
      <c r="O118" s="46">
        <f t="shared" si="14"/>
        <v>0</v>
      </c>
      <c r="P118" s="46">
        <f t="shared" si="14"/>
        <v>0</v>
      </c>
      <c r="Q118" s="46">
        <f t="shared" si="14"/>
        <v>0</v>
      </c>
      <c r="R118" s="46">
        <f t="shared" si="17"/>
        <v>0</v>
      </c>
      <c r="S118" s="46">
        <f t="shared" si="17"/>
        <v>0</v>
      </c>
      <c r="T118" s="46">
        <f t="shared" si="17"/>
        <v>0</v>
      </c>
      <c r="U118" s="47">
        <f t="shared" si="16"/>
        <v>0</v>
      </c>
      <c r="V118" s="47">
        <f t="shared" si="16"/>
        <v>0</v>
      </c>
      <c r="W118" s="47">
        <f t="shared" si="16"/>
        <v>0</v>
      </c>
      <c r="X118" s="47">
        <f t="shared" si="15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14"/>
        <v>0</v>
      </c>
      <c r="M119" s="46">
        <f t="shared" si="14"/>
        <v>0</v>
      </c>
      <c r="N119" s="46">
        <f t="shared" si="14"/>
        <v>0</v>
      </c>
      <c r="O119" s="46">
        <f t="shared" si="14"/>
        <v>0</v>
      </c>
      <c r="P119" s="46">
        <f t="shared" si="14"/>
        <v>0</v>
      </c>
      <c r="Q119" s="46">
        <f t="shared" si="14"/>
        <v>0</v>
      </c>
      <c r="R119" s="46">
        <f t="shared" si="17"/>
        <v>0</v>
      </c>
      <c r="S119" s="46">
        <f t="shared" si="17"/>
        <v>0</v>
      </c>
      <c r="T119" s="46">
        <f t="shared" si="17"/>
        <v>0</v>
      </c>
      <c r="U119" s="47">
        <f t="shared" si="16"/>
        <v>0</v>
      </c>
      <c r="V119" s="47">
        <f t="shared" si="16"/>
        <v>0</v>
      </c>
      <c r="W119" s="47">
        <f t="shared" si="16"/>
        <v>0</v>
      </c>
      <c r="X119" s="47">
        <f t="shared" si="15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14"/>
        <v>0</v>
      </c>
      <c r="M120" s="46">
        <f t="shared" si="14"/>
        <v>0</v>
      </c>
      <c r="N120" s="46">
        <f t="shared" si="14"/>
        <v>0</v>
      </c>
      <c r="O120" s="46">
        <f t="shared" si="14"/>
        <v>0</v>
      </c>
      <c r="P120" s="46">
        <f t="shared" si="14"/>
        <v>0</v>
      </c>
      <c r="Q120" s="46">
        <f t="shared" si="14"/>
        <v>0</v>
      </c>
      <c r="R120" s="46">
        <f t="shared" si="17"/>
        <v>0</v>
      </c>
      <c r="S120" s="46">
        <f t="shared" si="17"/>
        <v>0</v>
      </c>
      <c r="T120" s="46">
        <f t="shared" si="17"/>
        <v>0</v>
      </c>
      <c r="U120" s="47">
        <f t="shared" si="16"/>
        <v>0</v>
      </c>
      <c r="V120" s="47">
        <f t="shared" si="16"/>
        <v>0</v>
      </c>
      <c r="W120" s="47">
        <f t="shared" si="16"/>
        <v>0</v>
      </c>
      <c r="X120" s="47">
        <f t="shared" si="15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14"/>
        <v>0</v>
      </c>
      <c r="M121" s="46">
        <f t="shared" si="14"/>
        <v>0</v>
      </c>
      <c r="N121" s="46">
        <f t="shared" si="14"/>
        <v>0</v>
      </c>
      <c r="O121" s="46">
        <f t="shared" si="14"/>
        <v>0</v>
      </c>
      <c r="P121" s="46">
        <f t="shared" si="14"/>
        <v>0</v>
      </c>
      <c r="Q121" s="46">
        <f t="shared" si="14"/>
        <v>0</v>
      </c>
      <c r="R121" s="46">
        <f t="shared" si="17"/>
        <v>0</v>
      </c>
      <c r="S121" s="46">
        <f t="shared" si="17"/>
        <v>0</v>
      </c>
      <c r="T121" s="46">
        <f t="shared" si="17"/>
        <v>0</v>
      </c>
      <c r="U121" s="47">
        <f t="shared" si="16"/>
        <v>0</v>
      </c>
      <c r="V121" s="47">
        <f t="shared" si="16"/>
        <v>0</v>
      </c>
      <c r="W121" s="47">
        <f t="shared" si="16"/>
        <v>0</v>
      </c>
      <c r="X121" s="47">
        <f t="shared" si="15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14"/>
        <v>0</v>
      </c>
      <c r="M122" s="46">
        <f t="shared" si="14"/>
        <v>0</v>
      </c>
      <c r="N122" s="46">
        <f t="shared" si="14"/>
        <v>0</v>
      </c>
      <c r="O122" s="46">
        <f t="shared" si="14"/>
        <v>0</v>
      </c>
      <c r="P122" s="46">
        <f t="shared" si="14"/>
        <v>0</v>
      </c>
      <c r="Q122" s="46">
        <f t="shared" si="14"/>
        <v>0</v>
      </c>
      <c r="R122" s="46">
        <f t="shared" si="17"/>
        <v>0</v>
      </c>
      <c r="S122" s="46">
        <f t="shared" si="17"/>
        <v>0</v>
      </c>
      <c r="T122" s="46">
        <f t="shared" si="17"/>
        <v>0</v>
      </c>
      <c r="U122" s="47">
        <f t="shared" si="16"/>
        <v>0</v>
      </c>
      <c r="V122" s="47">
        <f t="shared" si="16"/>
        <v>0</v>
      </c>
      <c r="W122" s="47">
        <f t="shared" si="16"/>
        <v>0</v>
      </c>
      <c r="X122" s="47">
        <f t="shared" si="15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14"/>
        <v>0</v>
      </c>
      <c r="M123" s="46">
        <f t="shared" si="14"/>
        <v>0</v>
      </c>
      <c r="N123" s="46">
        <f t="shared" si="14"/>
        <v>0</v>
      </c>
      <c r="O123" s="46">
        <f t="shared" si="14"/>
        <v>0</v>
      </c>
      <c r="P123" s="46">
        <f t="shared" si="14"/>
        <v>0</v>
      </c>
      <c r="Q123" s="46">
        <f t="shared" si="14"/>
        <v>0</v>
      </c>
      <c r="R123" s="46">
        <f t="shared" si="17"/>
        <v>0</v>
      </c>
      <c r="S123" s="46">
        <f t="shared" si="17"/>
        <v>0</v>
      </c>
      <c r="T123" s="46">
        <f t="shared" si="17"/>
        <v>0</v>
      </c>
      <c r="U123" s="47">
        <f t="shared" si="16"/>
        <v>0</v>
      </c>
      <c r="V123" s="47">
        <f t="shared" si="16"/>
        <v>0</v>
      </c>
      <c r="W123" s="47">
        <f t="shared" si="16"/>
        <v>0</v>
      </c>
      <c r="X123" s="47">
        <f t="shared" si="15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14"/>
        <v>0</v>
      </c>
      <c r="M124" s="46">
        <f t="shared" si="14"/>
        <v>0</v>
      </c>
      <c r="N124" s="46">
        <f t="shared" si="14"/>
        <v>0</v>
      </c>
      <c r="O124" s="46">
        <f t="shared" si="14"/>
        <v>0</v>
      </c>
      <c r="P124" s="46">
        <f t="shared" si="14"/>
        <v>0</v>
      </c>
      <c r="Q124" s="46">
        <f t="shared" si="14"/>
        <v>0</v>
      </c>
      <c r="R124" s="46">
        <f t="shared" si="17"/>
        <v>0</v>
      </c>
      <c r="S124" s="46">
        <f t="shared" si="17"/>
        <v>0</v>
      </c>
      <c r="T124" s="46">
        <f t="shared" si="17"/>
        <v>0</v>
      </c>
      <c r="U124" s="47">
        <f t="shared" si="16"/>
        <v>0</v>
      </c>
      <c r="V124" s="47">
        <f t="shared" si="16"/>
        <v>0</v>
      </c>
      <c r="W124" s="47">
        <f t="shared" si="16"/>
        <v>0</v>
      </c>
      <c r="X124" s="47">
        <f t="shared" si="15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14"/>
        <v>0</v>
      </c>
      <c r="M125" s="46">
        <f t="shared" si="14"/>
        <v>0</v>
      </c>
      <c r="N125" s="46">
        <f t="shared" si="14"/>
        <v>0</v>
      </c>
      <c r="O125" s="46">
        <f t="shared" si="14"/>
        <v>0</v>
      </c>
      <c r="P125" s="46">
        <f t="shared" si="14"/>
        <v>0</v>
      </c>
      <c r="Q125" s="46">
        <f t="shared" si="14"/>
        <v>0</v>
      </c>
      <c r="R125" s="46">
        <f t="shared" si="17"/>
        <v>0</v>
      </c>
      <c r="S125" s="46">
        <f t="shared" si="17"/>
        <v>0</v>
      </c>
      <c r="T125" s="46">
        <f t="shared" si="17"/>
        <v>0</v>
      </c>
      <c r="U125" s="47">
        <f t="shared" si="16"/>
        <v>0</v>
      </c>
      <c r="V125" s="47">
        <f t="shared" si="16"/>
        <v>0</v>
      </c>
      <c r="W125" s="47">
        <f t="shared" si="16"/>
        <v>0</v>
      </c>
      <c r="X125" s="47">
        <f t="shared" si="15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14"/>
        <v>0</v>
      </c>
      <c r="M126" s="46">
        <f t="shared" si="14"/>
        <v>0</v>
      </c>
      <c r="N126" s="46">
        <f t="shared" si="14"/>
        <v>0</v>
      </c>
      <c r="O126" s="46">
        <f t="shared" si="14"/>
        <v>0</v>
      </c>
      <c r="P126" s="46">
        <f t="shared" si="14"/>
        <v>0</v>
      </c>
      <c r="Q126" s="46">
        <f t="shared" si="14"/>
        <v>0</v>
      </c>
      <c r="R126" s="46">
        <f t="shared" si="17"/>
        <v>0</v>
      </c>
      <c r="S126" s="46">
        <f t="shared" si="17"/>
        <v>0</v>
      </c>
      <c r="T126" s="46">
        <f t="shared" si="17"/>
        <v>0</v>
      </c>
      <c r="U126" s="47">
        <f t="shared" si="16"/>
        <v>0</v>
      </c>
      <c r="V126" s="47">
        <f t="shared" si="16"/>
        <v>0</v>
      </c>
      <c r="W126" s="47">
        <f t="shared" si="16"/>
        <v>0</v>
      </c>
      <c r="X126" s="47">
        <f t="shared" si="15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14"/>
        <v>0</v>
      </c>
      <c r="M127" s="46">
        <f t="shared" si="14"/>
        <v>0</v>
      </c>
      <c r="N127" s="46">
        <f t="shared" si="14"/>
        <v>0</v>
      </c>
      <c r="O127" s="46">
        <f t="shared" si="14"/>
        <v>0</v>
      </c>
      <c r="P127" s="46">
        <f t="shared" si="14"/>
        <v>0</v>
      </c>
      <c r="Q127" s="46">
        <f t="shared" si="14"/>
        <v>0</v>
      </c>
      <c r="R127" s="46">
        <f t="shared" si="17"/>
        <v>0</v>
      </c>
      <c r="S127" s="46">
        <f t="shared" si="17"/>
        <v>0</v>
      </c>
      <c r="T127" s="46">
        <f t="shared" si="17"/>
        <v>0</v>
      </c>
      <c r="U127" s="47">
        <f t="shared" si="16"/>
        <v>0</v>
      </c>
      <c r="V127" s="47">
        <f t="shared" si="16"/>
        <v>0</v>
      </c>
      <c r="W127" s="47">
        <f t="shared" si="16"/>
        <v>0</v>
      </c>
      <c r="X127" s="47">
        <f t="shared" si="15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14"/>
        <v>0</v>
      </c>
      <c r="M128" s="46">
        <f t="shared" si="14"/>
        <v>0</v>
      </c>
      <c r="N128" s="46">
        <f t="shared" si="14"/>
        <v>0</v>
      </c>
      <c r="O128" s="46">
        <f t="shared" si="14"/>
        <v>0</v>
      </c>
      <c r="P128" s="46">
        <f t="shared" si="14"/>
        <v>0</v>
      </c>
      <c r="Q128" s="46">
        <f t="shared" si="14"/>
        <v>0</v>
      </c>
      <c r="R128" s="46">
        <f t="shared" si="17"/>
        <v>0</v>
      </c>
      <c r="S128" s="46">
        <f t="shared" si="17"/>
        <v>0</v>
      </c>
      <c r="T128" s="46">
        <f t="shared" si="17"/>
        <v>0</v>
      </c>
      <c r="U128" s="47">
        <f t="shared" si="16"/>
        <v>0</v>
      </c>
      <c r="V128" s="47">
        <f t="shared" si="16"/>
        <v>0</v>
      </c>
      <c r="W128" s="47">
        <f t="shared" si="16"/>
        <v>0</v>
      </c>
      <c r="X128" s="47">
        <f t="shared" si="15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14"/>
        <v>0</v>
      </c>
      <c r="M129" s="46">
        <f t="shared" si="14"/>
        <v>0</v>
      </c>
      <c r="N129" s="46">
        <f t="shared" si="14"/>
        <v>0</v>
      </c>
      <c r="O129" s="46">
        <f t="shared" si="14"/>
        <v>0</v>
      </c>
      <c r="P129" s="46">
        <f t="shared" si="14"/>
        <v>0</v>
      </c>
      <c r="Q129" s="46">
        <f t="shared" si="14"/>
        <v>0</v>
      </c>
      <c r="R129" s="46">
        <f t="shared" si="17"/>
        <v>0</v>
      </c>
      <c r="S129" s="46">
        <f t="shared" si="17"/>
        <v>0</v>
      </c>
      <c r="T129" s="46">
        <f t="shared" si="17"/>
        <v>0</v>
      </c>
      <c r="U129" s="47">
        <f t="shared" si="16"/>
        <v>0</v>
      </c>
      <c r="V129" s="47">
        <f t="shared" si="16"/>
        <v>0</v>
      </c>
      <c r="W129" s="47">
        <f t="shared" si="16"/>
        <v>0</v>
      </c>
      <c r="X129" s="47">
        <f t="shared" si="15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14"/>
        <v>0</v>
      </c>
      <c r="M130" s="46">
        <f t="shared" si="14"/>
        <v>0</v>
      </c>
      <c r="N130" s="46">
        <f t="shared" si="14"/>
        <v>0</v>
      </c>
      <c r="O130" s="46">
        <f t="shared" si="14"/>
        <v>0</v>
      </c>
      <c r="P130" s="46">
        <f t="shared" si="14"/>
        <v>0</v>
      </c>
      <c r="Q130" s="46">
        <f t="shared" si="14"/>
        <v>0</v>
      </c>
      <c r="R130" s="46">
        <f t="shared" si="17"/>
        <v>0</v>
      </c>
      <c r="S130" s="46">
        <f t="shared" si="17"/>
        <v>0</v>
      </c>
      <c r="T130" s="46">
        <f t="shared" si="17"/>
        <v>0</v>
      </c>
      <c r="U130" s="47">
        <f t="shared" si="16"/>
        <v>0</v>
      </c>
      <c r="V130" s="47">
        <f t="shared" si="16"/>
        <v>0</v>
      </c>
      <c r="W130" s="47">
        <f t="shared" si="16"/>
        <v>0</v>
      </c>
      <c r="X130" s="47">
        <f t="shared" si="15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14"/>
        <v>0</v>
      </c>
      <c r="M131" s="46">
        <f t="shared" si="14"/>
        <v>0</v>
      </c>
      <c r="N131" s="46">
        <f t="shared" si="14"/>
        <v>0</v>
      </c>
      <c r="O131" s="46">
        <f t="shared" si="14"/>
        <v>0</v>
      </c>
      <c r="P131" s="46">
        <f t="shared" si="14"/>
        <v>0</v>
      </c>
      <c r="Q131" s="46">
        <f t="shared" si="14"/>
        <v>0</v>
      </c>
      <c r="R131" s="46">
        <f t="shared" si="17"/>
        <v>0</v>
      </c>
      <c r="S131" s="46">
        <f t="shared" si="17"/>
        <v>0</v>
      </c>
      <c r="T131" s="46">
        <f t="shared" si="17"/>
        <v>0</v>
      </c>
      <c r="U131" s="47">
        <f t="shared" si="16"/>
        <v>0</v>
      </c>
      <c r="V131" s="47">
        <f t="shared" si="16"/>
        <v>0</v>
      </c>
      <c r="W131" s="47">
        <f t="shared" si="16"/>
        <v>0</v>
      </c>
      <c r="X131" s="47">
        <f t="shared" si="15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14"/>
        <v>0</v>
      </c>
      <c r="M132" s="46">
        <f t="shared" si="14"/>
        <v>0</v>
      </c>
      <c r="N132" s="46">
        <f t="shared" si="14"/>
        <v>0</v>
      </c>
      <c r="O132" s="46">
        <f t="shared" si="14"/>
        <v>0</v>
      </c>
      <c r="P132" s="46">
        <f t="shared" si="14"/>
        <v>0</v>
      </c>
      <c r="Q132" s="46">
        <f t="shared" si="14"/>
        <v>0</v>
      </c>
      <c r="R132" s="46">
        <f t="shared" si="17"/>
        <v>0</v>
      </c>
      <c r="S132" s="46">
        <f t="shared" si="17"/>
        <v>0</v>
      </c>
      <c r="T132" s="46">
        <f t="shared" si="17"/>
        <v>0</v>
      </c>
      <c r="U132" s="47">
        <f t="shared" si="16"/>
        <v>0</v>
      </c>
      <c r="V132" s="47">
        <f t="shared" si="16"/>
        <v>0</v>
      </c>
      <c r="W132" s="47">
        <f t="shared" si="16"/>
        <v>0</v>
      </c>
      <c r="X132" s="47">
        <f t="shared" si="15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14"/>
        <v>0</v>
      </c>
      <c r="M133" s="46">
        <f t="shared" si="14"/>
        <v>0</v>
      </c>
      <c r="N133" s="46">
        <f t="shared" si="14"/>
        <v>0</v>
      </c>
      <c r="O133" s="46">
        <f t="shared" si="14"/>
        <v>0</v>
      </c>
      <c r="P133" s="46">
        <f t="shared" si="14"/>
        <v>0</v>
      </c>
      <c r="Q133" s="46">
        <f t="shared" si="14"/>
        <v>0</v>
      </c>
      <c r="R133" s="46">
        <f t="shared" si="17"/>
        <v>0</v>
      </c>
      <c r="S133" s="46">
        <f t="shared" si="17"/>
        <v>0</v>
      </c>
      <c r="T133" s="46">
        <f t="shared" si="17"/>
        <v>0</v>
      </c>
      <c r="U133" s="47">
        <f t="shared" si="16"/>
        <v>0</v>
      </c>
      <c r="V133" s="47">
        <f t="shared" si="16"/>
        <v>0</v>
      </c>
      <c r="W133" s="47">
        <f t="shared" si="16"/>
        <v>0</v>
      </c>
      <c r="X133" s="47">
        <f t="shared" si="15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14"/>
        <v>0</v>
      </c>
      <c r="M134" s="46">
        <f t="shared" si="14"/>
        <v>0</v>
      </c>
      <c r="N134" s="46">
        <f t="shared" si="14"/>
        <v>0</v>
      </c>
      <c r="O134" s="46">
        <f t="shared" si="14"/>
        <v>0</v>
      </c>
      <c r="P134" s="46">
        <f t="shared" si="14"/>
        <v>0</v>
      </c>
      <c r="Q134" s="46">
        <f t="shared" si="14"/>
        <v>0</v>
      </c>
      <c r="R134" s="46">
        <f t="shared" si="17"/>
        <v>0</v>
      </c>
      <c r="S134" s="46">
        <f t="shared" si="17"/>
        <v>0</v>
      </c>
      <c r="T134" s="46">
        <f t="shared" si="17"/>
        <v>0</v>
      </c>
      <c r="U134" s="47">
        <f t="shared" si="16"/>
        <v>0</v>
      </c>
      <c r="V134" s="47">
        <f t="shared" si="16"/>
        <v>0</v>
      </c>
      <c r="W134" s="47">
        <f t="shared" si="16"/>
        <v>0</v>
      </c>
      <c r="X134" s="47">
        <f t="shared" si="15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14"/>
        <v>0</v>
      </c>
      <c r="M135" s="46">
        <f t="shared" si="14"/>
        <v>0</v>
      </c>
      <c r="N135" s="46">
        <f t="shared" si="14"/>
        <v>0</v>
      </c>
      <c r="O135" s="46">
        <f t="shared" si="14"/>
        <v>0</v>
      </c>
      <c r="P135" s="46">
        <f t="shared" si="14"/>
        <v>0</v>
      </c>
      <c r="Q135" s="46">
        <f t="shared" si="14"/>
        <v>0</v>
      </c>
      <c r="R135" s="46">
        <f t="shared" si="17"/>
        <v>0</v>
      </c>
      <c r="S135" s="46">
        <f t="shared" si="17"/>
        <v>0</v>
      </c>
      <c r="T135" s="46">
        <f t="shared" si="17"/>
        <v>0</v>
      </c>
      <c r="U135" s="47">
        <f t="shared" si="16"/>
        <v>0</v>
      </c>
      <c r="V135" s="47">
        <f t="shared" si="16"/>
        <v>0</v>
      </c>
      <c r="W135" s="47">
        <f t="shared" si="16"/>
        <v>0</v>
      </c>
      <c r="X135" s="47">
        <f t="shared" si="15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14"/>
        <v>0</v>
      </c>
      <c r="M136" s="46">
        <f t="shared" si="14"/>
        <v>0</v>
      </c>
      <c r="N136" s="46">
        <f t="shared" si="14"/>
        <v>0</v>
      </c>
      <c r="O136" s="46">
        <f t="shared" ref="O136:Q151" si="18">IFERROR(E137-E136,0)</f>
        <v>0</v>
      </c>
      <c r="P136" s="46">
        <f t="shared" si="18"/>
        <v>0</v>
      </c>
      <c r="Q136" s="46">
        <f t="shared" si="18"/>
        <v>0</v>
      </c>
      <c r="R136" s="46">
        <f t="shared" si="17"/>
        <v>0</v>
      </c>
      <c r="S136" s="46">
        <f t="shared" si="17"/>
        <v>0</v>
      </c>
      <c r="T136" s="46">
        <f t="shared" si="17"/>
        <v>0</v>
      </c>
      <c r="U136" s="47">
        <f t="shared" si="16"/>
        <v>0</v>
      </c>
      <c r="V136" s="47">
        <f t="shared" si="16"/>
        <v>0</v>
      </c>
      <c r="W136" s="47">
        <f t="shared" si="16"/>
        <v>0</v>
      </c>
      <c r="X136" s="47">
        <f t="shared" si="15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19">IFERROR(B138-B137,0)</f>
        <v>0</v>
      </c>
      <c r="M137" s="46">
        <f t="shared" si="19"/>
        <v>0</v>
      </c>
      <c r="N137" s="46">
        <f t="shared" si="19"/>
        <v>0</v>
      </c>
      <c r="O137" s="46">
        <f t="shared" si="18"/>
        <v>0</v>
      </c>
      <c r="P137" s="46">
        <f t="shared" si="18"/>
        <v>0</v>
      </c>
      <c r="Q137" s="46">
        <f t="shared" si="18"/>
        <v>0</v>
      </c>
      <c r="R137" s="46">
        <f t="shared" si="17"/>
        <v>0</v>
      </c>
      <c r="S137" s="46">
        <f t="shared" si="17"/>
        <v>0</v>
      </c>
      <c r="T137" s="46">
        <f t="shared" si="17"/>
        <v>0</v>
      </c>
      <c r="U137" s="47">
        <f t="shared" si="16"/>
        <v>0</v>
      </c>
      <c r="V137" s="47">
        <f t="shared" si="16"/>
        <v>0</v>
      </c>
      <c r="W137" s="47">
        <f t="shared" si="16"/>
        <v>0</v>
      </c>
      <c r="X137" s="47">
        <f t="shared" ref="X137:X152" si="20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19"/>
        <v>0</v>
      </c>
      <c r="M138" s="46">
        <f t="shared" si="19"/>
        <v>0</v>
      </c>
      <c r="N138" s="46">
        <f t="shared" si="19"/>
        <v>0</v>
      </c>
      <c r="O138" s="46">
        <f t="shared" si="18"/>
        <v>0</v>
      </c>
      <c r="P138" s="46">
        <f t="shared" si="18"/>
        <v>0</v>
      </c>
      <c r="Q138" s="46">
        <f t="shared" si="18"/>
        <v>0</v>
      </c>
      <c r="R138" s="46">
        <f t="shared" si="17"/>
        <v>0</v>
      </c>
      <c r="S138" s="46">
        <f t="shared" si="17"/>
        <v>0</v>
      </c>
      <c r="T138" s="46">
        <f t="shared" si="17"/>
        <v>0</v>
      </c>
      <c r="U138" s="47">
        <f t="shared" si="16"/>
        <v>0</v>
      </c>
      <c r="V138" s="47">
        <f t="shared" si="16"/>
        <v>0</v>
      </c>
      <c r="W138" s="47">
        <f t="shared" si="16"/>
        <v>0</v>
      </c>
      <c r="X138" s="47">
        <f t="shared" si="20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9"/>
        <v>0</v>
      </c>
      <c r="M139" s="46">
        <f t="shared" si="19"/>
        <v>0</v>
      </c>
      <c r="N139" s="46">
        <f t="shared" si="19"/>
        <v>0</v>
      </c>
      <c r="O139" s="46">
        <f t="shared" si="18"/>
        <v>0</v>
      </c>
      <c r="P139" s="46">
        <f t="shared" si="18"/>
        <v>0</v>
      </c>
      <c r="Q139" s="46">
        <f t="shared" si="18"/>
        <v>0</v>
      </c>
      <c r="R139" s="46">
        <f t="shared" si="17"/>
        <v>0</v>
      </c>
      <c r="S139" s="46">
        <f t="shared" si="17"/>
        <v>0</v>
      </c>
      <c r="T139" s="46">
        <f t="shared" si="17"/>
        <v>0</v>
      </c>
      <c r="U139" s="47">
        <f t="shared" si="16"/>
        <v>0</v>
      </c>
      <c r="V139" s="47">
        <f t="shared" si="16"/>
        <v>0</v>
      </c>
      <c r="W139" s="47">
        <f t="shared" si="16"/>
        <v>0</v>
      </c>
      <c r="X139" s="47">
        <f t="shared" si="20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9"/>
        <v>0</v>
      </c>
      <c r="M140" s="46">
        <f t="shared" si="19"/>
        <v>0</v>
      </c>
      <c r="N140" s="46">
        <f t="shared" si="19"/>
        <v>0</v>
      </c>
      <c r="O140" s="46">
        <f t="shared" si="18"/>
        <v>0</v>
      </c>
      <c r="P140" s="46">
        <f t="shared" si="18"/>
        <v>0</v>
      </c>
      <c r="Q140" s="46">
        <f t="shared" si="18"/>
        <v>0</v>
      </c>
      <c r="R140" s="46">
        <f t="shared" si="17"/>
        <v>0</v>
      </c>
      <c r="S140" s="46">
        <f t="shared" si="17"/>
        <v>0</v>
      </c>
      <c r="T140" s="46">
        <f t="shared" si="17"/>
        <v>0</v>
      </c>
      <c r="U140" s="47">
        <f t="shared" si="16"/>
        <v>0</v>
      </c>
      <c r="V140" s="47">
        <f t="shared" si="16"/>
        <v>0</v>
      </c>
      <c r="W140" s="47">
        <f t="shared" si="16"/>
        <v>0</v>
      </c>
      <c r="X140" s="47">
        <f t="shared" si="20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9"/>
        <v>0</v>
      </c>
      <c r="M141" s="46">
        <f t="shared" si="19"/>
        <v>0</v>
      </c>
      <c r="N141" s="46">
        <f t="shared" si="19"/>
        <v>0</v>
      </c>
      <c r="O141" s="46">
        <f t="shared" si="18"/>
        <v>0</v>
      </c>
      <c r="P141" s="46">
        <f t="shared" si="18"/>
        <v>0</v>
      </c>
      <c r="Q141" s="46">
        <f t="shared" si="18"/>
        <v>0</v>
      </c>
      <c r="R141" s="46">
        <f t="shared" si="17"/>
        <v>0</v>
      </c>
      <c r="S141" s="46">
        <f t="shared" si="17"/>
        <v>0</v>
      </c>
      <c r="T141" s="46">
        <f t="shared" si="17"/>
        <v>0</v>
      </c>
      <c r="U141" s="47">
        <f t="shared" si="16"/>
        <v>0</v>
      </c>
      <c r="V141" s="47">
        <f t="shared" si="16"/>
        <v>0</v>
      </c>
      <c r="W141" s="47">
        <f t="shared" si="16"/>
        <v>0</v>
      </c>
      <c r="X141" s="47">
        <f t="shared" si="20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9"/>
        <v>0</v>
      </c>
      <c r="M142" s="46">
        <f t="shared" si="19"/>
        <v>0</v>
      </c>
      <c r="N142" s="46">
        <f t="shared" si="19"/>
        <v>0</v>
      </c>
      <c r="O142" s="46">
        <f t="shared" si="18"/>
        <v>0</v>
      </c>
      <c r="P142" s="46">
        <f t="shared" si="18"/>
        <v>0</v>
      </c>
      <c r="Q142" s="46">
        <f t="shared" si="18"/>
        <v>0</v>
      </c>
      <c r="R142" s="46">
        <f t="shared" si="17"/>
        <v>0</v>
      </c>
      <c r="S142" s="46">
        <f t="shared" si="17"/>
        <v>0</v>
      </c>
      <c r="T142" s="46">
        <f t="shared" si="17"/>
        <v>0</v>
      </c>
      <c r="U142" s="47">
        <f t="shared" si="16"/>
        <v>0</v>
      </c>
      <c r="V142" s="47">
        <f t="shared" si="16"/>
        <v>0</v>
      </c>
      <c r="W142" s="47">
        <f t="shared" si="16"/>
        <v>0</v>
      </c>
      <c r="X142" s="47">
        <f t="shared" si="20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9"/>
        <v>0</v>
      </c>
      <c r="M143" s="46">
        <f t="shared" si="19"/>
        <v>0</v>
      </c>
      <c r="N143" s="46">
        <f t="shared" si="19"/>
        <v>0</v>
      </c>
      <c r="O143" s="46">
        <f t="shared" si="18"/>
        <v>0</v>
      </c>
      <c r="P143" s="46">
        <f t="shared" si="18"/>
        <v>0</v>
      </c>
      <c r="Q143" s="46">
        <f t="shared" si="18"/>
        <v>0</v>
      </c>
      <c r="R143" s="46">
        <f t="shared" si="17"/>
        <v>0</v>
      </c>
      <c r="S143" s="46">
        <f t="shared" si="17"/>
        <v>0</v>
      </c>
      <c r="T143" s="46">
        <f t="shared" si="17"/>
        <v>0</v>
      </c>
      <c r="U143" s="47">
        <f t="shared" si="16"/>
        <v>0</v>
      </c>
      <c r="V143" s="47">
        <f t="shared" si="16"/>
        <v>0</v>
      </c>
      <c r="W143" s="47">
        <f t="shared" si="16"/>
        <v>0</v>
      </c>
      <c r="X143" s="47">
        <f t="shared" si="20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9"/>
        <v>0</v>
      </c>
      <c r="M144" s="46">
        <f t="shared" si="19"/>
        <v>0</v>
      </c>
      <c r="N144" s="46">
        <f t="shared" si="19"/>
        <v>0</v>
      </c>
      <c r="O144" s="46">
        <f t="shared" si="18"/>
        <v>0</v>
      </c>
      <c r="P144" s="46">
        <f t="shared" si="18"/>
        <v>0</v>
      </c>
      <c r="Q144" s="46">
        <f t="shared" si="18"/>
        <v>0</v>
      </c>
      <c r="R144" s="46">
        <f t="shared" si="17"/>
        <v>0</v>
      </c>
      <c r="S144" s="46">
        <f t="shared" si="17"/>
        <v>0</v>
      </c>
      <c r="T144" s="46">
        <f t="shared" si="17"/>
        <v>0</v>
      </c>
      <c r="U144" s="47">
        <f t="shared" si="16"/>
        <v>0</v>
      </c>
      <c r="V144" s="47">
        <f t="shared" si="16"/>
        <v>0</v>
      </c>
      <c r="W144" s="47">
        <f t="shared" si="16"/>
        <v>0</v>
      </c>
      <c r="X144" s="47">
        <f t="shared" si="20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9"/>
        <v>0</v>
      </c>
      <c r="M145" s="46">
        <f t="shared" si="19"/>
        <v>0</v>
      </c>
      <c r="N145" s="46">
        <f t="shared" si="19"/>
        <v>0</v>
      </c>
      <c r="O145" s="46">
        <f t="shared" si="18"/>
        <v>0</v>
      </c>
      <c r="P145" s="46">
        <f t="shared" si="18"/>
        <v>0</v>
      </c>
      <c r="Q145" s="46">
        <f t="shared" si="18"/>
        <v>0</v>
      </c>
      <c r="R145" s="46">
        <f t="shared" si="17"/>
        <v>0</v>
      </c>
      <c r="S145" s="46">
        <f t="shared" si="17"/>
        <v>0</v>
      </c>
      <c r="T145" s="46">
        <f t="shared" si="17"/>
        <v>0</v>
      </c>
      <c r="U145" s="47">
        <f t="shared" si="16"/>
        <v>0</v>
      </c>
      <c r="V145" s="47">
        <f t="shared" si="16"/>
        <v>0</v>
      </c>
      <c r="W145" s="47">
        <f t="shared" si="16"/>
        <v>0</v>
      </c>
      <c r="X145" s="47">
        <f t="shared" si="20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9"/>
        <v>0</v>
      </c>
      <c r="M146" s="46">
        <f t="shared" si="19"/>
        <v>0</v>
      </c>
      <c r="N146" s="46">
        <f t="shared" si="19"/>
        <v>0</v>
      </c>
      <c r="O146" s="46">
        <f t="shared" si="18"/>
        <v>0</v>
      </c>
      <c r="P146" s="46">
        <f t="shared" si="18"/>
        <v>0</v>
      </c>
      <c r="Q146" s="46">
        <f t="shared" si="18"/>
        <v>0</v>
      </c>
      <c r="R146" s="46">
        <f t="shared" si="17"/>
        <v>0</v>
      </c>
      <c r="S146" s="46">
        <f t="shared" si="17"/>
        <v>0</v>
      </c>
      <c r="T146" s="46">
        <f t="shared" si="17"/>
        <v>0</v>
      </c>
      <c r="U146" s="47">
        <f t="shared" si="16"/>
        <v>0</v>
      </c>
      <c r="V146" s="47">
        <f t="shared" si="16"/>
        <v>0</v>
      </c>
      <c r="W146" s="47">
        <f t="shared" si="16"/>
        <v>0</v>
      </c>
      <c r="X146" s="47">
        <f t="shared" si="20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9"/>
        <v>0</v>
      </c>
      <c r="M147" s="46">
        <f t="shared" si="19"/>
        <v>0</v>
      </c>
      <c r="N147" s="46">
        <f t="shared" si="19"/>
        <v>0</v>
      </c>
      <c r="O147" s="46">
        <f t="shared" si="18"/>
        <v>0</v>
      </c>
      <c r="P147" s="46">
        <f t="shared" si="18"/>
        <v>0</v>
      </c>
      <c r="Q147" s="46">
        <f t="shared" si="18"/>
        <v>0</v>
      </c>
      <c r="R147" s="46">
        <f t="shared" si="17"/>
        <v>0</v>
      </c>
      <c r="S147" s="46">
        <f t="shared" si="17"/>
        <v>0</v>
      </c>
      <c r="T147" s="46">
        <f t="shared" si="17"/>
        <v>0</v>
      </c>
      <c r="U147" s="47">
        <f t="shared" si="16"/>
        <v>0</v>
      </c>
      <c r="V147" s="47">
        <f t="shared" si="16"/>
        <v>0</v>
      </c>
      <c r="W147" s="47">
        <f t="shared" si="16"/>
        <v>0</v>
      </c>
      <c r="X147" s="47">
        <f t="shared" si="20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9"/>
        <v>0</v>
      </c>
      <c r="M148" s="46">
        <f t="shared" si="19"/>
        <v>0</v>
      </c>
      <c r="N148" s="46">
        <f t="shared" si="19"/>
        <v>0</v>
      </c>
      <c r="O148" s="46">
        <f t="shared" si="18"/>
        <v>0</v>
      </c>
      <c r="P148" s="46">
        <f t="shared" si="18"/>
        <v>0</v>
      </c>
      <c r="Q148" s="46">
        <f t="shared" si="18"/>
        <v>0</v>
      </c>
      <c r="R148" s="46">
        <f t="shared" si="17"/>
        <v>0</v>
      </c>
      <c r="S148" s="46">
        <f t="shared" si="17"/>
        <v>0</v>
      </c>
      <c r="T148" s="46">
        <f t="shared" si="17"/>
        <v>0</v>
      </c>
      <c r="U148" s="47">
        <f t="shared" si="16"/>
        <v>0</v>
      </c>
      <c r="V148" s="47">
        <f t="shared" si="16"/>
        <v>0</v>
      </c>
      <c r="W148" s="47">
        <f t="shared" si="16"/>
        <v>0</v>
      </c>
      <c r="X148" s="47">
        <f t="shared" si="20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9"/>
        <v>0</v>
      </c>
      <c r="M149" s="46">
        <f t="shared" si="19"/>
        <v>0</v>
      </c>
      <c r="N149" s="46">
        <f t="shared" si="19"/>
        <v>0</v>
      </c>
      <c r="O149" s="46">
        <f t="shared" si="18"/>
        <v>0</v>
      </c>
      <c r="P149" s="46">
        <f t="shared" si="18"/>
        <v>0</v>
      </c>
      <c r="Q149" s="46">
        <f t="shared" si="18"/>
        <v>0</v>
      </c>
      <c r="R149" s="46">
        <f t="shared" si="17"/>
        <v>0</v>
      </c>
      <c r="S149" s="46">
        <f t="shared" si="17"/>
        <v>0</v>
      </c>
      <c r="T149" s="46">
        <f t="shared" si="17"/>
        <v>0</v>
      </c>
      <c r="U149" s="47">
        <f t="shared" si="16"/>
        <v>0</v>
      </c>
      <c r="V149" s="47">
        <f t="shared" si="16"/>
        <v>0</v>
      </c>
      <c r="W149" s="47">
        <f t="shared" si="16"/>
        <v>0</v>
      </c>
      <c r="X149" s="47">
        <f t="shared" si="20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9"/>
        <v>0</v>
      </c>
      <c r="M150" s="46">
        <f t="shared" si="19"/>
        <v>0</v>
      </c>
      <c r="N150" s="46">
        <f t="shared" si="19"/>
        <v>0</v>
      </c>
      <c r="O150" s="46">
        <f t="shared" si="18"/>
        <v>0</v>
      </c>
      <c r="P150" s="46">
        <f t="shared" si="18"/>
        <v>0</v>
      </c>
      <c r="Q150" s="46">
        <f t="shared" si="18"/>
        <v>0</v>
      </c>
      <c r="R150" s="46">
        <f t="shared" si="17"/>
        <v>0</v>
      </c>
      <c r="S150" s="46">
        <f t="shared" si="17"/>
        <v>0</v>
      </c>
      <c r="T150" s="46">
        <f t="shared" si="17"/>
        <v>0</v>
      </c>
      <c r="U150" s="47">
        <f t="shared" si="16"/>
        <v>0</v>
      </c>
      <c r="V150" s="47">
        <f t="shared" si="16"/>
        <v>0</v>
      </c>
      <c r="W150" s="47">
        <f t="shared" si="16"/>
        <v>0</v>
      </c>
      <c r="X150" s="47">
        <f t="shared" si="20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9"/>
        <v>0</v>
      </c>
      <c r="M151" s="46">
        <f t="shared" si="19"/>
        <v>0</v>
      </c>
      <c r="N151" s="46">
        <f t="shared" si="19"/>
        <v>0</v>
      </c>
      <c r="O151" s="46">
        <f t="shared" si="18"/>
        <v>0</v>
      </c>
      <c r="P151" s="46">
        <f t="shared" si="18"/>
        <v>0</v>
      </c>
      <c r="Q151" s="46">
        <f t="shared" si="18"/>
        <v>0</v>
      </c>
      <c r="R151" s="46">
        <f t="shared" si="17"/>
        <v>0</v>
      </c>
      <c r="S151" s="46">
        <f t="shared" si="17"/>
        <v>0</v>
      </c>
      <c r="T151" s="46">
        <f t="shared" si="17"/>
        <v>0</v>
      </c>
      <c r="U151" s="47">
        <f t="shared" si="16"/>
        <v>0</v>
      </c>
      <c r="V151" s="47">
        <f t="shared" si="16"/>
        <v>0</v>
      </c>
      <c r="W151" s="47">
        <f t="shared" si="16"/>
        <v>0</v>
      </c>
      <c r="X151" s="47">
        <f t="shared" si="20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21">L152+Q152</f>
        <v>0</v>
      </c>
      <c r="V152" s="36">
        <f t="shared" si="21"/>
        <v>0</v>
      </c>
      <c r="W152" s="36">
        <f t="shared" si="21"/>
        <v>0</v>
      </c>
      <c r="X152" s="36">
        <f t="shared" si="20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2026-07-10T09:55:22Z</dcterms:modified>
</cp:coreProperties>
</file>