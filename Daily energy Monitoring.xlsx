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V30" i="3" l="1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<sst xmlns="http://schemas.openxmlformats.org/spreadsheetml/2006/main" count="538" uniqueCount="245">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</sst>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opLeftCell="FF3" workbookViewId="0">
      <selection activeCell="GD20" sqref="GD2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8.0000000016298145E-3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49125.268799999998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1.0000000038417056E-3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49125.269800000002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49125.269800000002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-11720320</v>
      </c>
      <c r="DJ21">
        <f>(DA22-Table2[[#This Row],[PNG Meter (Outside)]])*2.936</f>
        <v>-52235.814640000004</v>
      </c>
      <c r="DK21">
        <f>(DB22-Table2[[#This Row],[PNG Meter (Inside)]])*2.936</f>
        <v>-435527.74616799998</v>
      </c>
      <c r="DL21">
        <f>(BH22-Table2[[#This Row],[3F Dough cooler - 2 ]])*1000</f>
        <v>-357993</v>
      </c>
      <c r="DM21">
        <f>(BI22-Table2[[#This Row],[3F Dough Cooler- 1]])*1000</f>
        <v>-906693</v>
      </c>
      <c r="DN21">
        <f>(BJ22-Table2[[#This Row],[4F Dough Production cooling Unit]])*1000</f>
        <v>-13835</v>
      </c>
      <c r="DO21">
        <f>(BQ22-Table2[[#This Row],[3F2 - PDB 3 - Dough Production Area]])*1000</f>
        <v>-321546</v>
      </c>
      <c r="DP21">
        <f>(BR22-Table2[[#This Row],[3F3 - PDB 4 - Dough Area]])*1000</f>
        <v>-179211</v>
      </c>
      <c r="DQ21">
        <f>AC22-Table2[[#This Row],[16F1 Tray washer Panel for Light]]</f>
        <v>-2125404</v>
      </c>
      <c r="DR21">
        <f>CQ22-Table2[[#This Row],[2F1 Tray Washer - 1]]</f>
        <v>-3663969.92</v>
      </c>
      <c r="DS21">
        <f>CS22-Table2[[#This Row],[2F5 Destacker]]</f>
        <v>-509092.32</v>
      </c>
      <c r="DT21">
        <f>CU22-Table2[[#This Row],[5F1 Metering (TW-2)]]</f>
        <v>-294083.90399999998</v>
      </c>
      <c r="DU21">
        <f>CV22-Table2[[#This Row],[6F1 Pre soaker Tray washer]]</f>
        <v>-30124.070400000001</v>
      </c>
      <c r="DV21">
        <f>CZ22-Table2[[#This Row],[6F5 Vent tray Storage]]</f>
        <v>-216724.128</v>
      </c>
      <c r="DW21">
        <f>I22-Table2[[#This Row],[Popeyes Meter ]]</f>
        <v>-5839.6419999999998</v>
      </c>
      <c r="DX21">
        <f>AZ22-Table2[[#This Row],[2F WH Chiller, Segregation Area]]</f>
        <v>-20.788</v>
      </c>
      <c r="DY21">
        <f>BA22-Table2[[#This Row],[3F1 AC Unit WH dock cooling - 2 Nos]]</f>
        <v>-10033</v>
      </c>
      <c r="DZ21">
        <f>BB22-Table2[[#This Row],[3F2 AC Unit WH dock cooling - 3 Nos]]</f>
        <v>-43.951000000000001</v>
      </c>
      <c r="EA21">
        <f>(BK22-Table2[[#This Row],[5F WH Perishable]])*1000</f>
        <v>-559116</v>
      </c>
      <c r="EB21">
        <f>BN22-Table2[[#This Row],[2F3 - PDB 9 - WH Dock Leveler Door ]]</f>
        <v>-7155.4632000000001</v>
      </c>
      <c r="EC21">
        <f>BP22-Table2[[#This Row],[3F1 - PDB 5 - WH HSD]]</f>
        <v>-312135.87199999997</v>
      </c>
      <c r="ED21">
        <f>BX22-Table2[[#This Row],[8F1 WH Dock AHU - Ventilation]]</f>
        <v>-956513.6</v>
      </c>
      <c r="EE21">
        <f>BZ22-Table2[[#This Row],[8F3 ACPDB - 4 WH Dock air curtain]]</f>
        <v>-114251.192</v>
      </c>
      <c r="EF21">
        <f>CA22-Table2[[#This Row],[8F4 WH Light]]</f>
        <v>-1196.3217</v>
      </c>
      <c r="EG21">
        <f>CC22-Table2[[#This Row],[9F1 - PDB 10 - WH Dock door &amp; Office]]</f>
        <v>-148460.51199999999</v>
      </c>
      <c r="EH21">
        <f>CD22-Table2[[#This Row],[9F2 - PDB 11 - WH flycatchers]]</f>
        <v>-443259.07199999999</v>
      </c>
      <c r="EI21">
        <f>CE22-Table2[[#This Row],[9F3 - PDB 12 - Other items]]</f>
        <v>-49125.269800000002</v>
      </c>
      <c r="EJ21">
        <f>CR22-Table2[[#This Row],[2F3 - PDB 1 - Dock 1 to 4 ]]</f>
        <v>-129956.736</v>
      </c>
      <c r="EK21">
        <f>BM22-Table2[[#This Row],[2F2 - PDB 3 - WH Truck &amp; Battery Charging]]</f>
        <v>-300480.89600000001</v>
      </c>
      <c r="EL21">
        <f>(CK22-Table2[[#This Row],[PDB - 11 Truck Charging]])*1000</f>
        <v>-77256</v>
      </c>
      <c r="EM21">
        <f>P22-Table2[[#This Row],[5F3 Admin Area]]</f>
        <v>-638552.51199999999</v>
      </c>
      <c r="EN21">
        <f>AH22-Table2[[#This Row],[2F5 Main Gate-1 Piller -1]]</f>
        <v>-131337.03200000001</v>
      </c>
      <c r="EO21">
        <f>CW22-Table2[[#This Row],[6F2 Ground Floor AC]]</f>
        <v>-62476.908799999997</v>
      </c>
      <c r="EP21">
        <f>CX22-Table2[[#This Row],[6F3 ACBD -1 (First floor AC)]]</f>
        <v>-33317.238400000002</v>
      </c>
      <c r="EQ21">
        <f>CY22-Table2[[#This Row],[6F4 ACBD - 2 (Second &amp; Third floor AC)]]</f>
        <v>-165561.23199999999</v>
      </c>
      <c r="ER21">
        <f>(BC22-Table2[[#This Row],[4F Old BMC cooling Unit]])</f>
        <v>-113982.552</v>
      </c>
      <c r="ES21">
        <f>BO22-Table2[[#This Row],[2F4 - Old BMC]]</f>
        <v>-53526.364800000003</v>
      </c>
      <c r="ET21">
        <f>Y22-Table2[[#This Row],[14F2 New CK]]</f>
        <v>-1069122.8799999999</v>
      </c>
      <c r="EU21">
        <f>(CL22-Table2[[#This Row],[OLD Ck Panel-1]])*1000</f>
        <v>-724308</v>
      </c>
      <c r="EV21">
        <f>CM22-Table2[[#This Row],[2F4 Old CK Blast (Blue star)]]</f>
        <v>-551.4</v>
      </c>
      <c r="EW21">
        <f>CN22-Table2[[#This Row],[3F6 Old CK Blast (Carrier)]]</f>
        <v>-37791.9</v>
      </c>
      <c r="EX21">
        <f>(CO22-Table2[[#This Row],[Old CK Panel -2]])*1000</f>
        <v>-1636493</v>
      </c>
      <c r="EY21">
        <f>N22-Table2[[#This Row],[4F1 Main UPS 1/C -1]]</f>
        <v>-1851581.92</v>
      </c>
      <c r="EZ21">
        <f>Z22-Table2[[#This Row],[15F1 Main UPS Panel - I/C - 2]]</f>
        <v>-2777.8894</v>
      </c>
      <c r="FA21">
        <f>BF22-Table2[[#This Row],[2F CLC -1 AC unit - 2]]</f>
        <v>-1712.0419999999999</v>
      </c>
      <c r="FB21">
        <f>(BG22-Table2[[#This Row],[2F CLC Anti room]])*1000</f>
        <v>-74467</v>
      </c>
      <c r="FC21">
        <f>BW22-Table2[[#This Row],[7F3 CLC Power Panel]]</f>
        <v>-564415.36</v>
      </c>
      <c r="FD21">
        <f>(CI22-Table2[[#This Row],[PDB - 17 CLC Section ]])*1000</f>
        <v>-211824</v>
      </c>
      <c r="FE21">
        <f>(W22-Table2[[#This Row],[13F3 Water &amp; Lift Old CK]])*1000</f>
        <v>-1580474.0999999999</v>
      </c>
      <c r="FF21">
        <f>AA22-Table2[[#This Row],[15F2 New ETP Panel]]</f>
        <v>-663268.41599999997</v>
      </c>
      <c r="FG21">
        <f>AL22-Table2[[#This Row],[3F4 Old ETP Panel]]</f>
        <v>-329217.05599999998</v>
      </c>
      <c r="FH21">
        <f>AF22-Table2[[#This Row],[2F1 RO Plant]]</f>
        <v>-865225.08799999999</v>
      </c>
      <c r="FI21">
        <f>AK22-Table2[[#This Row],[3F3 Fire Hydrant Panel]]</f>
        <v>-105023.088</v>
      </c>
      <c r="FJ21">
        <f>R22-Table2[[#This Row],[7F1 Freon System Panel]]</f>
        <v>-5433979.5199999996</v>
      </c>
      <c r="FK21">
        <f>(AE22-Table2[[#This Row],[21F1 Refrigeration Ammonia]])*1000</f>
        <v>-12680071.200000001</v>
      </c>
      <c r="FL21">
        <f>(AG22-Table2[[#This Row],[2F3 Air Compressor]])*1000</f>
        <v>-1378488</v>
      </c>
      <c r="FM21">
        <f>(AX22-Table2[[#This Row],[Solar Reading Panel II]])*1000</f>
        <v>-7194648</v>
      </c>
      <c r="FN21">
        <f>AI22-Table2[[#This Row],[3F1 Maintenance Workshop]]</f>
        <v>-14527.064</v>
      </c>
      <c r="FO21">
        <f>BD22-Table2[[#This Row],[4F B2B unit ]]</f>
        <v>-274907.64799999999</v>
      </c>
      <c r="FP21">
        <f>BL22-Table2[[#This Row],[2F1 - PDB 6 - Bread, B2B section]]</f>
        <v>-69286.265599999999</v>
      </c>
      <c r="FQ21">
        <f>(CG22-Table2[[#This Row],[9F5 - PDB 14 - Bread Lift]])</f>
        <v>-360780.30560000002</v>
      </c>
      <c r="FR21">
        <f>CJ22-Table2[[#This Row],[PDB - 16 Bread Section]]</f>
        <v>-1173</v>
      </c>
      <c r="FS21">
        <f>BU22-Table2[[#This Row],[7F1 Donut Production area]]</f>
        <v>-625512.19200000004</v>
      </c>
      <c r="FT21">
        <f>CB22-Table2[[#This Row],[8F5 Donut Ban Bary]]</f>
        <v>-107764.216</v>
      </c>
      <c r="FU21">
        <f>CF22-Table2[[#This Row],[9F4 - PDB 13 - Donut Sink Geyser area]]</f>
        <v>-155499.264</v>
      </c>
      <c r="FV21">
        <f>BV22-Table2[[#This Row],[7F2 Flour Silo]]</f>
        <v>-1013964.24</v>
      </c>
      <c r="FW21">
        <f>BY22-Table2[[#This Row],[8F2 ACPDB - 3 SILO Ventilation]]</f>
        <v>-156862.736</v>
      </c>
      <c r="FX21">
        <f>J22-Table2[[#This Row],[DG 1010KVA Running Hours]]</f>
        <v>-4248.8</v>
      </c>
      <c r="FY21">
        <f>K22-Table2[[#This Row],[DG 1010 KVA Meter Reading]]</f>
        <v>-1765872</v>
      </c>
      <c r="FZ21">
        <f>L22-Table2[[#This Row],[GG 1010 KVA Running Hours]]</f>
        <v>-430</v>
      </c>
      <c r="GA21">
        <f>M22-Table2[[#This Row],[GG 1010 KVA Meter Reading]]</f>
        <v>-179.23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topLeftCell="N16" zoomScale="76" workbookViewId="0">
      <selection activeCell="J36" sqref="J36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/>
      <c r="D32" s="31">
        <v>48448.7</v>
      </c>
      <c r="E32" s="31">
        <v>370990.3</v>
      </c>
      <c r="F32" s="31">
        <v>249088.6</v>
      </c>
      <c r="G32" s="31">
        <v>531638.30000000005</v>
      </c>
      <c r="H32" s="32"/>
      <c r="I32" s="34">
        <v>720781.9</v>
      </c>
      <c r="J32" s="34">
        <v>1447668</v>
      </c>
      <c r="L32" s="46">
        <f t="shared" si="3"/>
        <v>-412384</v>
      </c>
      <c r="M32" s="46">
        <f t="shared" si="3"/>
        <v>0</v>
      </c>
      <c r="N32" s="46">
        <f t="shared" si="3"/>
        <v>-48448.7</v>
      </c>
      <c r="O32" s="46">
        <f t="shared" si="3"/>
        <v>-370990.3</v>
      </c>
      <c r="P32" s="46">
        <f t="shared" si="3"/>
        <v>-249088.6</v>
      </c>
      <c r="Q32" s="46">
        <f t="shared" si="3"/>
        <v>-531638.30000000005</v>
      </c>
      <c r="R32" s="46">
        <f t="shared" si="3"/>
        <v>0</v>
      </c>
      <c r="S32" s="46">
        <f t="shared" si="3"/>
        <v>-720781.9</v>
      </c>
      <c r="T32" s="46">
        <f t="shared" si="3"/>
        <v>-1447668</v>
      </c>
      <c r="U32" s="47">
        <f t="shared" si="4"/>
        <v>-944022.3</v>
      </c>
      <c r="V32" s="47">
        <f t="shared" si="4"/>
        <v>0</v>
      </c>
      <c r="W32" s="47">
        <f t="shared" si="4"/>
        <v>-769230.6</v>
      </c>
      <c r="X32" s="47">
        <f t="shared" si="2"/>
        <v>-2067746.9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2026-07-17T05:35:58Z</dcterms:modified>
</cp:coreProperties>
</file>