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Sept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Y3" i="2" l="1"/>
  <c r="DY4" i="2"/>
  <c r="DY5" i="2"/>
  <c r="DY6" i="2"/>
  <c r="DY7" i="2"/>
  <c r="DY8" i="2"/>
  <c r="DZ3" i="2"/>
  <c r="FU17" i="2"/>
  <c r="FU16" i="2"/>
  <c r="FU15" i="2"/>
  <c r="FU14" i="2"/>
  <c r="FU13" i="2"/>
  <c r="FU12" i="2"/>
  <c r="FU11" i="2"/>
  <c r="FU10" i="2"/>
  <c r="FU9" i="2"/>
  <c r="FU8" i="2"/>
  <c r="FU7" i="2"/>
  <c r="FU6" i="2"/>
  <c r="FU5" i="2"/>
  <c r="FU4" i="2"/>
  <c r="DJ10" i="2"/>
  <c r="DJ9" i="2"/>
  <c r="DJ8" i="2"/>
  <c r="DJ7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V5" i="2"/>
  <c r="FW5" i="2"/>
  <c r="FX5" i="2"/>
  <c r="FY5" i="2"/>
  <c r="FZ5" i="2"/>
  <c r="GA5" i="2"/>
  <c r="DH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V6" i="2"/>
  <c r="FW6" i="2"/>
  <c r="FX6" i="2"/>
  <c r="FY6" i="2"/>
  <c r="FZ6" i="2"/>
  <c r="GA6" i="2"/>
  <c r="DH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V7" i="2"/>
  <c r="FW7" i="2"/>
  <c r="FX7" i="2"/>
  <c r="FY7" i="2"/>
  <c r="FZ7" i="2"/>
  <c r="GA7" i="2"/>
  <c r="DH8" i="2"/>
  <c r="DI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V8" i="2"/>
  <c r="FW8" i="2"/>
  <c r="FX8" i="2"/>
  <c r="FY8" i="2"/>
  <c r="FZ8" i="2"/>
  <c r="GA8" i="2"/>
  <c r="DH9" i="2"/>
  <c r="DI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V9" i="2"/>
  <c r="FW9" i="2"/>
  <c r="FX9" i="2"/>
  <c r="FY9" i="2"/>
  <c r="FZ9" i="2"/>
  <c r="GA9" i="2"/>
  <c r="DH10" i="2"/>
  <c r="DI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V12" i="2"/>
  <c r="FW12" i="2"/>
  <c r="FX12" i="2"/>
  <c r="FY12" i="2"/>
  <c r="FZ12" i="2"/>
  <c r="GA12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V13" i="2"/>
  <c r="FW13" i="2"/>
  <c r="FX13" i="2"/>
  <c r="FY13" i="2"/>
  <c r="FZ13" i="2"/>
  <c r="GA13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V14" i="2"/>
  <c r="FW14" i="2"/>
  <c r="FX14" i="2"/>
  <c r="FY14" i="2"/>
  <c r="FZ14" i="2"/>
  <c r="GA14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V15" i="2"/>
  <c r="FW15" i="2"/>
  <c r="FX15" i="2"/>
  <c r="FY15" i="2"/>
  <c r="FZ15" i="2"/>
  <c r="GA15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V16" i="2"/>
  <c r="FW16" i="2"/>
  <c r="FX16" i="2"/>
  <c r="FY16" i="2"/>
  <c r="FZ16" i="2"/>
  <c r="GA16" i="2"/>
  <c r="DF7" i="2"/>
  <c r="DE7" i="2"/>
  <c r="DI6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V4" i="2"/>
  <c r="FW4" i="2"/>
  <c r="FX4" i="2"/>
  <c r="FY4" i="2"/>
  <c r="FZ4" i="2"/>
  <c r="GA4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V17" i="2"/>
  <c r="FW17" i="2"/>
  <c r="FX17" i="2"/>
  <c r="FY17" i="2"/>
  <c r="FZ17" i="2"/>
  <c r="GA17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I7" i="2" l="1"/>
  <c r="DH26" i="2"/>
  <c r="DH27" i="2"/>
  <c r="DH28" i="2"/>
  <c r="DH29" i="2"/>
  <c r="DH30" i="2"/>
  <c r="DH31" i="2"/>
  <c r="DH32" i="2"/>
  <c r="DH33" i="2"/>
  <c r="DH25" i="2" l="1"/>
  <c r="DH24" i="2"/>
  <c r="DH23" i="2"/>
  <c r="DH22" i="2" l="1"/>
  <c r="DH21" i="2" l="1"/>
  <c r="DH20" i="2"/>
  <c r="DH19" i="2"/>
  <c r="DH18" i="2"/>
  <c r="DH17" i="2"/>
  <c r="DH3" i="2" l="1"/>
  <c r="DH4" i="2"/>
  <c r="DJ36" i="2" l="1"/>
  <c r="DJ37" i="2" s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X117" i="3" l="1"/>
  <c r="W117" i="3"/>
  <c r="V117" i="3"/>
  <c r="U117" i="3"/>
  <c r="T116" i="3"/>
  <c r="S116" i="3"/>
  <c r="R116" i="3"/>
  <c r="Q116" i="3"/>
  <c r="P116" i="3"/>
  <c r="O116" i="3"/>
  <c r="N116" i="3"/>
  <c r="M116" i="3"/>
  <c r="L116" i="3"/>
  <c r="T115" i="3"/>
  <c r="S115" i="3"/>
  <c r="R115" i="3"/>
  <c r="Q115" i="3"/>
  <c r="P115" i="3"/>
  <c r="O115" i="3"/>
  <c r="N115" i="3"/>
  <c r="M115" i="3"/>
  <c r="L115" i="3"/>
  <c r="T114" i="3"/>
  <c r="S114" i="3"/>
  <c r="R114" i="3"/>
  <c r="Q114" i="3"/>
  <c r="U114" i="3" s="1"/>
  <c r="P114" i="3"/>
  <c r="O114" i="3"/>
  <c r="N114" i="3"/>
  <c r="M114" i="3"/>
  <c r="L114" i="3"/>
  <c r="T113" i="3"/>
  <c r="S113" i="3"/>
  <c r="R113" i="3"/>
  <c r="Q113" i="3"/>
  <c r="P113" i="3"/>
  <c r="O113" i="3"/>
  <c r="N113" i="3"/>
  <c r="M113" i="3"/>
  <c r="L113" i="3"/>
  <c r="T112" i="3"/>
  <c r="S112" i="3"/>
  <c r="R112" i="3"/>
  <c r="Q112" i="3"/>
  <c r="P112" i="3"/>
  <c r="O112" i="3"/>
  <c r="N112" i="3"/>
  <c r="M112" i="3"/>
  <c r="L112" i="3"/>
  <c r="U112" i="3" s="1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Q109" i="3"/>
  <c r="P109" i="3"/>
  <c r="O109" i="3"/>
  <c r="N109" i="3"/>
  <c r="M109" i="3"/>
  <c r="L109" i="3"/>
  <c r="T108" i="3"/>
  <c r="S108" i="3"/>
  <c r="R108" i="3"/>
  <c r="V108" i="3" s="1"/>
  <c r="Q108" i="3"/>
  <c r="P108" i="3"/>
  <c r="O108" i="3"/>
  <c r="X108" i="3" s="1"/>
  <c r="N108" i="3"/>
  <c r="W108" i="3" s="1"/>
  <c r="M108" i="3"/>
  <c r="L108" i="3"/>
  <c r="T107" i="3"/>
  <c r="X107" i="3" s="1"/>
  <c r="S107" i="3"/>
  <c r="R107" i="3"/>
  <c r="Q107" i="3"/>
  <c r="P107" i="3"/>
  <c r="O107" i="3"/>
  <c r="N107" i="3"/>
  <c r="M107" i="3"/>
  <c r="L107" i="3"/>
  <c r="U107" i="3" s="1"/>
  <c r="T106" i="3"/>
  <c r="S106" i="3"/>
  <c r="W106" i="3" s="1"/>
  <c r="R106" i="3"/>
  <c r="Q106" i="3"/>
  <c r="P106" i="3"/>
  <c r="O106" i="3"/>
  <c r="N106" i="3"/>
  <c r="M106" i="3"/>
  <c r="L106" i="3"/>
  <c r="T105" i="3"/>
  <c r="S105" i="3"/>
  <c r="R105" i="3"/>
  <c r="Q105" i="3"/>
  <c r="P105" i="3"/>
  <c r="O105" i="3"/>
  <c r="N105" i="3"/>
  <c r="M105" i="3"/>
  <c r="L105" i="3"/>
  <c r="T104" i="3"/>
  <c r="S104" i="3"/>
  <c r="R104" i="3"/>
  <c r="Q104" i="3"/>
  <c r="P104" i="3"/>
  <c r="O104" i="3"/>
  <c r="X104" i="3" s="1"/>
  <c r="N104" i="3"/>
  <c r="M104" i="3"/>
  <c r="L104" i="3"/>
  <c r="T103" i="3"/>
  <c r="S103" i="3"/>
  <c r="W103" i="3" s="1"/>
  <c r="R103" i="3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N102" i="3"/>
  <c r="M102" i="3"/>
  <c r="L102" i="3"/>
  <c r="T101" i="3"/>
  <c r="S101" i="3"/>
  <c r="R101" i="3"/>
  <c r="Q101" i="3"/>
  <c r="P101" i="3"/>
  <c r="O101" i="3"/>
  <c r="N101" i="3"/>
  <c r="M101" i="3"/>
  <c r="L101" i="3"/>
  <c r="T100" i="3"/>
  <c r="S100" i="3"/>
  <c r="R100" i="3"/>
  <c r="Q100" i="3"/>
  <c r="P100" i="3"/>
  <c r="O100" i="3"/>
  <c r="N100" i="3"/>
  <c r="M100" i="3"/>
  <c r="L100" i="3"/>
  <c r="T99" i="3"/>
  <c r="S99" i="3"/>
  <c r="R99" i="3"/>
  <c r="Q99" i="3"/>
  <c r="P99" i="3"/>
  <c r="O99" i="3"/>
  <c r="X99" i="3" s="1"/>
  <c r="N99" i="3"/>
  <c r="M99" i="3"/>
  <c r="L99" i="3"/>
  <c r="T98" i="3"/>
  <c r="S98" i="3"/>
  <c r="R98" i="3"/>
  <c r="Q98" i="3"/>
  <c r="P98" i="3"/>
  <c r="O98" i="3"/>
  <c r="N98" i="3"/>
  <c r="M98" i="3"/>
  <c r="L98" i="3"/>
  <c r="T97" i="3"/>
  <c r="S97" i="3"/>
  <c r="R97" i="3"/>
  <c r="Q97" i="3"/>
  <c r="P97" i="3"/>
  <c r="O97" i="3"/>
  <c r="N97" i="3"/>
  <c r="M97" i="3"/>
  <c r="L97" i="3"/>
  <c r="T96" i="3"/>
  <c r="S96" i="3"/>
  <c r="R96" i="3"/>
  <c r="Q96" i="3"/>
  <c r="P96" i="3"/>
  <c r="O96" i="3"/>
  <c r="N96" i="3"/>
  <c r="M96" i="3"/>
  <c r="L96" i="3"/>
  <c r="T95" i="3"/>
  <c r="S95" i="3"/>
  <c r="R95" i="3"/>
  <c r="Q95" i="3"/>
  <c r="P95" i="3"/>
  <c r="O95" i="3"/>
  <c r="X95" i="3" s="1"/>
  <c r="N95" i="3"/>
  <c r="W95" i="3" s="1"/>
  <c r="M95" i="3"/>
  <c r="L95" i="3"/>
  <c r="T94" i="3"/>
  <c r="S94" i="3"/>
  <c r="R94" i="3"/>
  <c r="Q94" i="3"/>
  <c r="P94" i="3"/>
  <c r="O94" i="3"/>
  <c r="N94" i="3"/>
  <c r="M94" i="3"/>
  <c r="L94" i="3"/>
  <c r="T93" i="3"/>
  <c r="S93" i="3"/>
  <c r="R93" i="3"/>
  <c r="Q93" i="3"/>
  <c r="P93" i="3"/>
  <c r="O93" i="3"/>
  <c r="N93" i="3"/>
  <c r="M93" i="3"/>
  <c r="L93" i="3"/>
  <c r="T92" i="3"/>
  <c r="S92" i="3"/>
  <c r="R92" i="3"/>
  <c r="Q92" i="3"/>
  <c r="U92" i="3" s="1"/>
  <c r="P92" i="3"/>
  <c r="O92" i="3"/>
  <c r="N92" i="3"/>
  <c r="M92" i="3"/>
  <c r="L92" i="3"/>
  <c r="T91" i="3"/>
  <c r="S91" i="3"/>
  <c r="R91" i="3"/>
  <c r="Q91" i="3"/>
  <c r="P91" i="3"/>
  <c r="O91" i="3"/>
  <c r="N91" i="3"/>
  <c r="M91" i="3"/>
  <c r="L91" i="3"/>
  <c r="T90" i="3"/>
  <c r="S90" i="3"/>
  <c r="R90" i="3"/>
  <c r="V90" i="3" s="1"/>
  <c r="Q90" i="3"/>
  <c r="P90" i="3"/>
  <c r="O90" i="3"/>
  <c r="N90" i="3"/>
  <c r="M90" i="3"/>
  <c r="L90" i="3"/>
  <c r="T89" i="3"/>
  <c r="S89" i="3"/>
  <c r="R89" i="3"/>
  <c r="Q89" i="3"/>
  <c r="P89" i="3"/>
  <c r="O89" i="3"/>
  <c r="N89" i="3"/>
  <c r="M89" i="3"/>
  <c r="L89" i="3"/>
  <c r="T88" i="3"/>
  <c r="S88" i="3"/>
  <c r="R88" i="3"/>
  <c r="Q88" i="3"/>
  <c r="P88" i="3"/>
  <c r="O88" i="3"/>
  <c r="N88" i="3"/>
  <c r="M88" i="3"/>
  <c r="L88" i="3"/>
  <c r="T87" i="3"/>
  <c r="S87" i="3"/>
  <c r="R87" i="3"/>
  <c r="V87" i="3" s="1"/>
  <c r="Q87" i="3"/>
  <c r="P87" i="3"/>
  <c r="O87" i="3"/>
  <c r="N87" i="3"/>
  <c r="M87" i="3"/>
  <c r="L87" i="3"/>
  <c r="U87" i="3" s="1"/>
  <c r="T86" i="3"/>
  <c r="S86" i="3"/>
  <c r="R86" i="3"/>
  <c r="Q86" i="3"/>
  <c r="P86" i="3"/>
  <c r="O86" i="3"/>
  <c r="N86" i="3"/>
  <c r="M86" i="3"/>
  <c r="L86" i="3"/>
  <c r="T85" i="3"/>
  <c r="S85" i="3"/>
  <c r="R85" i="3"/>
  <c r="Q85" i="3"/>
  <c r="P85" i="3"/>
  <c r="O85" i="3"/>
  <c r="N85" i="3"/>
  <c r="M85" i="3"/>
  <c r="L85" i="3"/>
  <c r="T84" i="3"/>
  <c r="S84" i="3"/>
  <c r="R84" i="3"/>
  <c r="Q84" i="3"/>
  <c r="P84" i="3"/>
  <c r="O84" i="3"/>
  <c r="N84" i="3"/>
  <c r="M84" i="3"/>
  <c r="L84" i="3"/>
  <c r="T83" i="3"/>
  <c r="S83" i="3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Q81" i="3"/>
  <c r="P81" i="3"/>
  <c r="O81" i="3"/>
  <c r="N81" i="3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W79" i="3" s="1"/>
  <c r="M79" i="3"/>
  <c r="V79" i="3" s="1"/>
  <c r="L79" i="3"/>
  <c r="U79" i="3" s="1"/>
  <c r="T78" i="3"/>
  <c r="S78" i="3"/>
  <c r="R78" i="3"/>
  <c r="Q78" i="3"/>
  <c r="P78" i="3"/>
  <c r="O78" i="3"/>
  <c r="N78" i="3"/>
  <c r="W78" i="3" s="1"/>
  <c r="M78" i="3"/>
  <c r="V78" i="3" s="1"/>
  <c r="L78" i="3"/>
  <c r="U78" i="3" s="1"/>
  <c r="U77" i="3"/>
  <c r="T77" i="3"/>
  <c r="X77" i="3" s="1"/>
  <c r="S77" i="3"/>
  <c r="R77" i="3"/>
  <c r="Q77" i="3"/>
  <c r="P77" i="3"/>
  <c r="O77" i="3"/>
  <c r="N77" i="3"/>
  <c r="M77" i="3"/>
  <c r="V77" i="3" s="1"/>
  <c r="L77" i="3"/>
  <c r="T76" i="3"/>
  <c r="S76" i="3"/>
  <c r="R76" i="3"/>
  <c r="V76" i="3" s="1"/>
  <c r="Q76" i="3"/>
  <c r="U76" i="3" s="1"/>
  <c r="P76" i="3"/>
  <c r="O76" i="3"/>
  <c r="N76" i="3"/>
  <c r="M76" i="3"/>
  <c r="L76" i="3"/>
  <c r="T75" i="3"/>
  <c r="S75" i="3"/>
  <c r="R75" i="3"/>
  <c r="Q75" i="3"/>
  <c r="P75" i="3"/>
  <c r="O75" i="3"/>
  <c r="N75" i="3"/>
  <c r="M75" i="3"/>
  <c r="L75" i="3"/>
  <c r="T74" i="3"/>
  <c r="S74" i="3"/>
  <c r="R74" i="3"/>
  <c r="Q74" i="3"/>
  <c r="P74" i="3"/>
  <c r="O74" i="3"/>
  <c r="N74" i="3"/>
  <c r="M74" i="3"/>
  <c r="L74" i="3"/>
  <c r="T73" i="3"/>
  <c r="S73" i="3"/>
  <c r="R73" i="3"/>
  <c r="Q73" i="3"/>
  <c r="U73" i="3" s="1"/>
  <c r="P73" i="3"/>
  <c r="O73" i="3"/>
  <c r="X73" i="3" s="1"/>
  <c r="N73" i="3"/>
  <c r="M73" i="3"/>
  <c r="L73" i="3"/>
  <c r="T72" i="3"/>
  <c r="S72" i="3"/>
  <c r="R72" i="3"/>
  <c r="Q72" i="3"/>
  <c r="P72" i="3"/>
  <c r="O72" i="3"/>
  <c r="N72" i="3"/>
  <c r="M72" i="3"/>
  <c r="V72" i="3" s="1"/>
  <c r="L72" i="3"/>
  <c r="U72" i="3" s="1"/>
  <c r="T71" i="3"/>
  <c r="S71" i="3"/>
  <c r="R71" i="3"/>
  <c r="Q71" i="3"/>
  <c r="P71" i="3"/>
  <c r="O71" i="3"/>
  <c r="N71" i="3"/>
  <c r="M71" i="3"/>
  <c r="L71" i="3"/>
  <c r="T70" i="3"/>
  <c r="S70" i="3"/>
  <c r="R70" i="3"/>
  <c r="Q70" i="3"/>
  <c r="P70" i="3"/>
  <c r="O70" i="3"/>
  <c r="N70" i="3"/>
  <c r="W70" i="3" s="1"/>
  <c r="M70" i="3"/>
  <c r="L70" i="3"/>
  <c r="T69" i="3"/>
  <c r="S69" i="3"/>
  <c r="R69" i="3"/>
  <c r="Q69" i="3"/>
  <c r="P69" i="3"/>
  <c r="O69" i="3"/>
  <c r="X69" i="3" s="1"/>
  <c r="N69" i="3"/>
  <c r="W69" i="3" s="1"/>
  <c r="M69" i="3"/>
  <c r="L69" i="3"/>
  <c r="U69" i="3" s="1"/>
  <c r="T68" i="3"/>
  <c r="X68" i="3" s="1"/>
  <c r="S68" i="3"/>
  <c r="W68" i="3" s="1"/>
  <c r="R68" i="3"/>
  <c r="Q68" i="3"/>
  <c r="P68" i="3"/>
  <c r="O68" i="3"/>
  <c r="N68" i="3"/>
  <c r="M68" i="3"/>
  <c r="L68" i="3"/>
  <c r="T67" i="3"/>
  <c r="S67" i="3"/>
  <c r="R67" i="3"/>
  <c r="Q67" i="3"/>
  <c r="P67" i="3"/>
  <c r="O67" i="3"/>
  <c r="N67" i="3"/>
  <c r="M67" i="3"/>
  <c r="L67" i="3"/>
  <c r="T66" i="3"/>
  <c r="S66" i="3"/>
  <c r="R66" i="3"/>
  <c r="V66" i="3" s="1"/>
  <c r="Q66" i="3"/>
  <c r="P66" i="3"/>
  <c r="O66" i="3"/>
  <c r="X66" i="3" s="1"/>
  <c r="N66" i="3"/>
  <c r="W66" i="3" s="1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W64" i="3" s="1"/>
  <c r="R64" i="3"/>
  <c r="Q64" i="3"/>
  <c r="P64" i="3"/>
  <c r="O64" i="3"/>
  <c r="N64" i="3"/>
  <c r="M64" i="3"/>
  <c r="L64" i="3"/>
  <c r="U64" i="3" s="1"/>
  <c r="T63" i="3"/>
  <c r="S63" i="3"/>
  <c r="R63" i="3"/>
  <c r="Q63" i="3"/>
  <c r="P63" i="3"/>
  <c r="O63" i="3"/>
  <c r="N63" i="3"/>
  <c r="M63" i="3"/>
  <c r="L63" i="3"/>
  <c r="T62" i="3"/>
  <c r="S62" i="3"/>
  <c r="R62" i="3"/>
  <c r="Q62" i="3"/>
  <c r="P62" i="3"/>
  <c r="O62" i="3"/>
  <c r="X62" i="3" s="1"/>
  <c r="N62" i="3"/>
  <c r="M62" i="3"/>
  <c r="L62" i="3"/>
  <c r="T61" i="3"/>
  <c r="S61" i="3"/>
  <c r="R61" i="3"/>
  <c r="Q61" i="3"/>
  <c r="P61" i="3"/>
  <c r="O61" i="3"/>
  <c r="N61" i="3"/>
  <c r="W61" i="3" s="1"/>
  <c r="M61" i="3"/>
  <c r="L61" i="3"/>
  <c r="U60" i="3"/>
  <c r="T60" i="3"/>
  <c r="S60" i="3"/>
  <c r="R60" i="3"/>
  <c r="V60" i="3" s="1"/>
  <c r="Q60" i="3"/>
  <c r="P60" i="3"/>
  <c r="O60" i="3"/>
  <c r="N60" i="3"/>
  <c r="M60" i="3"/>
  <c r="L60" i="3"/>
  <c r="T59" i="3"/>
  <c r="S59" i="3"/>
  <c r="R59" i="3"/>
  <c r="V59" i="3" s="1"/>
  <c r="Q59" i="3"/>
  <c r="U59" i="3" s="1"/>
  <c r="P59" i="3"/>
  <c r="O59" i="3"/>
  <c r="N59" i="3"/>
  <c r="M59" i="3"/>
  <c r="L59" i="3"/>
  <c r="T58" i="3"/>
  <c r="S58" i="3"/>
  <c r="R58" i="3"/>
  <c r="Q58" i="3"/>
  <c r="P58" i="3"/>
  <c r="O58" i="3"/>
  <c r="X58" i="3" s="1"/>
  <c r="N58" i="3"/>
  <c r="M58" i="3"/>
  <c r="L58" i="3"/>
  <c r="T57" i="3"/>
  <c r="S57" i="3"/>
  <c r="R57" i="3"/>
  <c r="Q57" i="3"/>
  <c r="P57" i="3"/>
  <c r="O57" i="3"/>
  <c r="N57" i="3"/>
  <c r="M57" i="3"/>
  <c r="L57" i="3"/>
  <c r="T56" i="3"/>
  <c r="S56" i="3"/>
  <c r="R56" i="3"/>
  <c r="Q56" i="3"/>
  <c r="P56" i="3"/>
  <c r="O56" i="3"/>
  <c r="X56" i="3" s="1"/>
  <c r="N56" i="3"/>
  <c r="M56" i="3"/>
  <c r="L56" i="3"/>
  <c r="T55" i="3"/>
  <c r="S55" i="3"/>
  <c r="R55" i="3"/>
  <c r="Q55" i="3"/>
  <c r="P55" i="3"/>
  <c r="O55" i="3"/>
  <c r="X55" i="3" s="1"/>
  <c r="N55" i="3"/>
  <c r="W55" i="3" s="1"/>
  <c r="M55" i="3"/>
  <c r="L55" i="3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W53" i="3" s="1"/>
  <c r="M53" i="3"/>
  <c r="L53" i="3"/>
  <c r="T52" i="3"/>
  <c r="S52" i="3"/>
  <c r="R52" i="3"/>
  <c r="Q52" i="3"/>
  <c r="P52" i="3"/>
  <c r="O52" i="3"/>
  <c r="N52" i="3"/>
  <c r="W52" i="3" s="1"/>
  <c r="M52" i="3"/>
  <c r="V52" i="3" s="1"/>
  <c r="L52" i="3"/>
  <c r="U51" i="3"/>
  <c r="T51" i="3"/>
  <c r="X51" i="3" s="1"/>
  <c r="S51" i="3"/>
  <c r="R51" i="3"/>
  <c r="Q51" i="3"/>
  <c r="P51" i="3"/>
  <c r="O51" i="3"/>
  <c r="N51" i="3"/>
  <c r="M51" i="3"/>
  <c r="V51" i="3" s="1"/>
  <c r="L51" i="3"/>
  <c r="T50" i="3"/>
  <c r="S50" i="3"/>
  <c r="R50" i="3"/>
  <c r="V50" i="3" s="1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M49" i="3"/>
  <c r="V49" i="3" s="1"/>
  <c r="L49" i="3"/>
  <c r="U49" i="3" s="1"/>
  <c r="T48" i="3"/>
  <c r="S48" i="3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X46" i="3" s="1"/>
  <c r="N46" i="3"/>
  <c r="M46" i="3"/>
  <c r="L46" i="3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X41" i="3" s="1"/>
  <c r="N41" i="3"/>
  <c r="M41" i="3"/>
  <c r="L41" i="3"/>
  <c r="T40" i="3"/>
  <c r="S40" i="3"/>
  <c r="R40" i="3"/>
  <c r="Q40" i="3"/>
  <c r="P40" i="3"/>
  <c r="O40" i="3"/>
  <c r="X40" i="3" s="1"/>
  <c r="N40" i="3"/>
  <c r="W40" i="3" s="1"/>
  <c r="M40" i="3"/>
  <c r="L40" i="3"/>
  <c r="U40" i="3" s="1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U35" i="3" s="1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L32" i="3"/>
  <c r="T31" i="3"/>
  <c r="S31" i="3"/>
  <c r="R31" i="3"/>
  <c r="Q31" i="3"/>
  <c r="P31" i="3"/>
  <c r="O31" i="3"/>
  <c r="N31" i="3"/>
  <c r="W31" i="3" s="1"/>
  <c r="M31" i="3"/>
  <c r="L31" i="3"/>
  <c r="U31" i="3" s="1"/>
  <c r="T30" i="3"/>
  <c r="S30" i="3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N29" i="3"/>
  <c r="M29" i="3"/>
  <c r="L29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L26" i="3"/>
  <c r="T25" i="3"/>
  <c r="S25" i="3"/>
  <c r="R25" i="3"/>
  <c r="Q25" i="3"/>
  <c r="P25" i="3"/>
  <c r="O25" i="3"/>
  <c r="N25" i="3"/>
  <c r="M25" i="3"/>
  <c r="L25" i="3"/>
  <c r="U25" i="3" s="1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V19" i="3" s="1"/>
  <c r="L19" i="3"/>
  <c r="U19" i="3" s="1"/>
  <c r="T18" i="3"/>
  <c r="S18" i="3"/>
  <c r="R18" i="3"/>
  <c r="Q18" i="3"/>
  <c r="P18" i="3"/>
  <c r="O18" i="3"/>
  <c r="N18" i="3"/>
  <c r="M18" i="3"/>
  <c r="L18" i="3"/>
  <c r="T17" i="3"/>
  <c r="S17" i="3"/>
  <c r="R17" i="3"/>
  <c r="Q17" i="3"/>
  <c r="P17" i="3"/>
  <c r="O17" i="3"/>
  <c r="N17" i="3"/>
  <c r="M17" i="3"/>
  <c r="L17" i="3"/>
  <c r="T16" i="3"/>
  <c r="S16" i="3"/>
  <c r="R16" i="3"/>
  <c r="Q16" i="3"/>
  <c r="P16" i="3"/>
  <c r="O16" i="3"/>
  <c r="N16" i="3"/>
  <c r="M16" i="3"/>
  <c r="L16" i="3"/>
  <c r="T15" i="3"/>
  <c r="S15" i="3"/>
  <c r="R15" i="3"/>
  <c r="Q15" i="3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Q12" i="3"/>
  <c r="P12" i="3"/>
  <c r="O12" i="3"/>
  <c r="N12" i="3"/>
  <c r="M12" i="3"/>
  <c r="L12" i="3"/>
  <c r="T11" i="3"/>
  <c r="S11" i="3"/>
  <c r="R11" i="3"/>
  <c r="Q11" i="3"/>
  <c r="P11" i="3"/>
  <c r="O11" i="3"/>
  <c r="N11" i="3"/>
  <c r="M11" i="3"/>
  <c r="L11" i="3"/>
  <c r="T10" i="3"/>
  <c r="S10" i="3"/>
  <c r="R10" i="3"/>
  <c r="Q10" i="3"/>
  <c r="P10" i="3"/>
  <c r="O10" i="3"/>
  <c r="N10" i="3"/>
  <c r="M10" i="3"/>
  <c r="L10" i="3"/>
  <c r="V25" i="3" l="1"/>
  <c r="U36" i="3"/>
  <c r="U21" i="3"/>
  <c r="X24" i="3"/>
  <c r="X39" i="3"/>
  <c r="W37" i="3"/>
  <c r="V40" i="3"/>
  <c r="W58" i="3"/>
  <c r="X79" i="3"/>
  <c r="V107" i="3"/>
  <c r="X47" i="3"/>
  <c r="U28" i="3"/>
  <c r="V31" i="3"/>
  <c r="V32" i="3"/>
  <c r="X52" i="3"/>
  <c r="U57" i="3"/>
  <c r="V67" i="3"/>
  <c r="V69" i="3"/>
  <c r="W72" i="3"/>
  <c r="W98" i="3"/>
  <c r="X101" i="3"/>
  <c r="W110" i="3"/>
  <c r="X113" i="3"/>
  <c r="X70" i="3"/>
  <c r="X111" i="3"/>
  <c r="U32" i="3"/>
  <c r="V35" i="3"/>
  <c r="W38" i="3"/>
  <c r="W50" i="3"/>
  <c r="V73" i="3"/>
  <c r="W76" i="3"/>
  <c r="W88" i="3"/>
  <c r="X91" i="3"/>
  <c r="W102" i="3"/>
  <c r="V110" i="3"/>
  <c r="X116" i="3"/>
  <c r="W12" i="3"/>
  <c r="W32" i="3"/>
  <c r="W67" i="3"/>
  <c r="W96" i="3"/>
  <c r="X98" i="3"/>
  <c r="X110" i="3"/>
  <c r="W22" i="3"/>
  <c r="V36" i="3"/>
  <c r="V42" i="3"/>
  <c r="W45" i="3"/>
  <c r="W51" i="3"/>
  <c r="X61" i="3"/>
  <c r="X64" i="3"/>
  <c r="V83" i="3"/>
  <c r="W86" i="3"/>
  <c r="W90" i="3"/>
  <c r="X93" i="3"/>
  <c r="U97" i="3"/>
  <c r="V100" i="3"/>
  <c r="W107" i="3"/>
  <c r="W115" i="3"/>
  <c r="V13" i="3"/>
  <c r="W83" i="3"/>
  <c r="U94" i="3"/>
  <c r="U38" i="3"/>
  <c r="U45" i="3"/>
  <c r="V48" i="3"/>
  <c r="W60" i="3"/>
  <c r="W65" i="3"/>
  <c r="X80" i="3"/>
  <c r="X81" i="3"/>
  <c r="U85" i="3"/>
  <c r="U86" i="3"/>
  <c r="U89" i="3"/>
  <c r="W94" i="3"/>
  <c r="U105" i="3"/>
  <c r="U108" i="3"/>
  <c r="X109" i="3"/>
  <c r="X38" i="3"/>
  <c r="U109" i="3"/>
  <c r="V112" i="3"/>
  <c r="U10" i="3"/>
  <c r="W16" i="3"/>
  <c r="W42" i="3"/>
  <c r="U65" i="3"/>
  <c r="U66" i="3"/>
  <c r="V68" i="3"/>
  <c r="X86" i="3"/>
  <c r="X90" i="3"/>
  <c r="V109" i="3"/>
  <c r="W112" i="3"/>
  <c r="V10" i="3"/>
  <c r="W13" i="3"/>
  <c r="X16" i="3"/>
  <c r="X42" i="3"/>
  <c r="V65" i="3"/>
  <c r="X83" i="3"/>
  <c r="U91" i="3"/>
  <c r="V94" i="3"/>
  <c r="W109" i="3"/>
  <c r="W21" i="3"/>
  <c r="W27" i="3"/>
  <c r="V38" i="3"/>
  <c r="V45" i="3"/>
  <c r="W48" i="3"/>
  <c r="V53" i="3"/>
  <c r="U82" i="3"/>
  <c r="V85" i="3"/>
  <c r="V89" i="3"/>
  <c r="X94" i="3"/>
  <c r="V103" i="3"/>
  <c r="V106" i="3"/>
  <c r="U37" i="3"/>
  <c r="V37" i="3"/>
  <c r="X36" i="3"/>
  <c r="W34" i="3"/>
  <c r="U30" i="3"/>
  <c r="W28" i="3"/>
  <c r="W26" i="3"/>
  <c r="X29" i="3"/>
  <c r="W24" i="3"/>
  <c r="V24" i="3"/>
  <c r="U24" i="3"/>
  <c r="X22" i="3"/>
  <c r="V22" i="3"/>
  <c r="V21" i="3"/>
  <c r="U20" i="3"/>
  <c r="W19" i="3"/>
  <c r="W18" i="3"/>
  <c r="V18" i="3"/>
  <c r="U18" i="3"/>
  <c r="X17" i="3"/>
  <c r="U16" i="3"/>
  <c r="X14" i="3"/>
  <c r="W14" i="3"/>
  <c r="W10" i="3"/>
  <c r="X11" i="3"/>
  <c r="W11" i="3"/>
  <c r="X10" i="3"/>
  <c r="T8" i="3"/>
  <c r="P8" i="3"/>
  <c r="X89" i="3"/>
  <c r="O8" i="3"/>
  <c r="U116" i="3"/>
  <c r="X76" i="3"/>
  <c r="V116" i="3"/>
  <c r="U34" i="3"/>
  <c r="V63" i="3"/>
  <c r="X75" i="3"/>
  <c r="W116" i="3"/>
  <c r="X21" i="3"/>
  <c r="V34" i="3"/>
  <c r="U48" i="3"/>
  <c r="U52" i="3"/>
  <c r="W63" i="3"/>
  <c r="U75" i="3"/>
  <c r="U39" i="3"/>
  <c r="X63" i="3"/>
  <c r="V75" i="3"/>
  <c r="X96" i="3"/>
  <c r="X106" i="3"/>
  <c r="V39" i="3"/>
  <c r="W49" i="3"/>
  <c r="W75" i="3"/>
  <c r="V92" i="3"/>
  <c r="V11" i="3"/>
  <c r="V20" i="3"/>
  <c r="W39" i="3"/>
  <c r="W46" i="3"/>
  <c r="X49" i="3"/>
  <c r="V80" i="3"/>
  <c r="W17" i="3"/>
  <c r="W20" i="3"/>
  <c r="X45" i="3"/>
  <c r="W80" i="3"/>
  <c r="V95" i="3"/>
  <c r="X13" i="3"/>
  <c r="X20" i="3"/>
  <c r="X27" i="3"/>
  <c r="U29" i="3"/>
  <c r="X34" i="3"/>
  <c r="U41" i="3"/>
  <c r="V44" i="3"/>
  <c r="U50" i="3"/>
  <c r="U58" i="3"/>
  <c r="U62" i="3"/>
  <c r="V64" i="3"/>
  <c r="U67" i="3"/>
  <c r="U81" i="3"/>
  <c r="U84" i="3"/>
  <c r="U88" i="3"/>
  <c r="V91" i="3"/>
  <c r="X112" i="3"/>
  <c r="X115" i="3"/>
  <c r="U12" i="3"/>
  <c r="U15" i="3"/>
  <c r="U23" i="3"/>
  <c r="V29" i="3"/>
  <c r="X33" i="3"/>
  <c r="V41" i="3"/>
  <c r="W44" i="3"/>
  <c r="X48" i="3"/>
  <c r="U54" i="3"/>
  <c r="V57" i="3"/>
  <c r="V62" i="3"/>
  <c r="V81" i="3"/>
  <c r="V88" i="3"/>
  <c r="W91" i="3"/>
  <c r="U93" i="3"/>
  <c r="U101" i="3"/>
  <c r="V105" i="3"/>
  <c r="U111" i="3"/>
  <c r="V12" i="3"/>
  <c r="V15" i="3"/>
  <c r="V23" i="3"/>
  <c r="V26" i="3"/>
  <c r="W29" i="3"/>
  <c r="U33" i="3"/>
  <c r="X37" i="3"/>
  <c r="W41" i="3"/>
  <c r="X44" i="3"/>
  <c r="V54" i="3"/>
  <c r="W57" i="3"/>
  <c r="W62" i="3"/>
  <c r="X65" i="3"/>
  <c r="U74" i="3"/>
  <c r="X78" i="3"/>
  <c r="W81" i="3"/>
  <c r="W84" i="3"/>
  <c r="V93" i="3"/>
  <c r="V101" i="3"/>
  <c r="W105" i="3"/>
  <c r="X19" i="3"/>
  <c r="U22" i="3"/>
  <c r="W23" i="3"/>
  <c r="V33" i="3"/>
  <c r="U47" i="3"/>
  <c r="W54" i="3"/>
  <c r="X57" i="3"/>
  <c r="X60" i="3"/>
  <c r="U61" i="3"/>
  <c r="U70" i="3"/>
  <c r="V74" i="3"/>
  <c r="X84" i="3"/>
  <c r="W93" i="3"/>
  <c r="V97" i="3"/>
  <c r="W100" i="3"/>
  <c r="X105" i="3"/>
  <c r="U11" i="3"/>
  <c r="X12" i="3"/>
  <c r="X23" i="3"/>
  <c r="X26" i="3"/>
  <c r="X32" i="3"/>
  <c r="W33" i="3"/>
  <c r="W36" i="3"/>
  <c r="U44" i="3"/>
  <c r="V47" i="3"/>
  <c r="V70" i="3"/>
  <c r="W73" i="3"/>
  <c r="W74" i="3"/>
  <c r="W77" i="3"/>
  <c r="U80" i="3"/>
  <c r="U90" i="3"/>
  <c r="W97" i="3"/>
  <c r="X100" i="3"/>
  <c r="U104" i="3"/>
  <c r="U96" i="3"/>
  <c r="X97" i="3"/>
  <c r="V104" i="3"/>
  <c r="U106" i="3"/>
  <c r="V111" i="3"/>
  <c r="V114" i="3"/>
  <c r="U115" i="3"/>
  <c r="U17" i="3"/>
  <c r="W25" i="3"/>
  <c r="X28" i="3"/>
  <c r="W35" i="3"/>
  <c r="U46" i="3"/>
  <c r="X50" i="3"/>
  <c r="X54" i="3"/>
  <c r="V61" i="3"/>
  <c r="X71" i="3"/>
  <c r="X74" i="3"/>
  <c r="V82" i="3"/>
  <c r="W85" i="3"/>
  <c r="W89" i="3"/>
  <c r="W92" i="3"/>
  <c r="V96" i="3"/>
  <c r="U99" i="3"/>
  <c r="U100" i="3"/>
  <c r="X103" i="3"/>
  <c r="W104" i="3"/>
  <c r="W111" i="3"/>
  <c r="W114" i="3"/>
  <c r="V115" i="3"/>
  <c r="L8" i="3"/>
  <c r="U13" i="3"/>
  <c r="V16" i="3"/>
  <c r="V17" i="3"/>
  <c r="X25" i="3"/>
  <c r="X35" i="3"/>
  <c r="U42" i="3"/>
  <c r="V46" i="3"/>
  <c r="U53" i="3"/>
  <c r="U56" i="3"/>
  <c r="U63" i="3"/>
  <c r="X67" i="3"/>
  <c r="W82" i="3"/>
  <c r="X85" i="3"/>
  <c r="X88" i="3"/>
  <c r="X92" i="3"/>
  <c r="U95" i="3"/>
  <c r="V99" i="3"/>
  <c r="U103" i="3"/>
  <c r="U110" i="3"/>
  <c r="S8" i="3"/>
  <c r="Q8" i="3"/>
  <c r="R8" i="3"/>
  <c r="W15" i="3"/>
  <c r="X31" i="3"/>
  <c r="U43" i="3"/>
  <c r="V56" i="3"/>
  <c r="U68" i="3"/>
  <c r="X72" i="3"/>
  <c r="V84" i="3"/>
  <c r="W87" i="3"/>
  <c r="W99" i="3"/>
  <c r="X15" i="3"/>
  <c r="U27" i="3"/>
  <c r="V43" i="3"/>
  <c r="W56" i="3"/>
  <c r="W59" i="3"/>
  <c r="X87" i="3"/>
  <c r="X102" i="3"/>
  <c r="V27" i="3"/>
  <c r="V30" i="3"/>
  <c r="W43" i="3"/>
  <c r="X59" i="3"/>
  <c r="U71" i="3"/>
  <c r="U113" i="3"/>
  <c r="M8" i="3"/>
  <c r="U14" i="3"/>
  <c r="X18" i="3"/>
  <c r="W30" i="3"/>
  <c r="X43" i="3"/>
  <c r="U55" i="3"/>
  <c r="V71" i="3"/>
  <c r="U83" i="3"/>
  <c r="U98" i="3"/>
  <c r="V113" i="3"/>
  <c r="X114" i="3"/>
  <c r="N8" i="3"/>
  <c r="V14" i="3"/>
  <c r="U26" i="3"/>
  <c r="X30" i="3"/>
  <c r="V55" i="3"/>
  <c r="V58" i="3"/>
  <c r="W71" i="3"/>
  <c r="V86" i="3"/>
  <c r="V98" i="3"/>
  <c r="W101" i="3"/>
  <c r="W113" i="3"/>
  <c r="W8" i="3" l="1"/>
  <c r="V8" i="3"/>
  <c r="U8" i="3"/>
  <c r="X8" i="3"/>
</calcChain>
</file>

<file path=xl/sharedStrings.xml><?xml version="1.0" encoding="utf-8"?>
<sst xmlns="http://schemas.openxmlformats.org/spreadsheetml/2006/main" count="464" uniqueCount="227">
  <si>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</si>
  <si>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</si>
  <si>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</si>
  <si>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</si>
  <si>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</si>
  <si>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</si>
  <si>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</si>
  <si>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</si>
  <si>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</si>
  <si>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</si>
  <si>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</si>
  <si>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</si>
  <si>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</si>
  <si>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</si>
  <si>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</si>
  <si>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</si>
  <si>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</si>
  <si>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</si>
  <si>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</si>
  <si>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</si>
  <si>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</si>
  <si>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</si>
  <si>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</si>
  <si>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</si>
  <si>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</si>
  <si>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</si>
  <si>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</si>
  <si>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</si>
  <si>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</si>
  <si>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</si>
  <si>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</si>
  <si>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</si>
  <si>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</si>
  <si>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</si>
  <si>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</si>
  <si>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</si>
  <si>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</si>
  <si>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</si>
  <si>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</si>
  <si>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</si>
  <si>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</si>
  <si>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</si>
  <si>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</si>
  <si>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</si>
  <si>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</si>
  <si>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</si>
  <si>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</si>
  <si>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</si>
  <si>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</si>
  <si>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</si>
  <si>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</si>
  <si>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</si>
  <si>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</si>
  <si>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</si>
  <si>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</si>
  <si>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</si>
  <si>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</si>
  <si>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</si>
  <si>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</si>
  <si>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</si>
  <si>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</si>
  <si>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</si>
  <si>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</si>
  <si>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</si>
  <si>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</si>
  <si>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</si>
  <si>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</si>
  <si>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</si>
  <si>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</si>
  <si>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</si>
  <si>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</si>
  <si>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</si>
  <si>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</si>
  <si>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</si>
  <si>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</si>
  <si>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</si>
  <si>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</si>
  <si>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</si>
  <si>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</si>
  <si>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</si>
  <si>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</si>
  <si>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</si>
  <si>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</si>
  <si>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</si>
  <si>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</si>
  <si>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</si>
  <si>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</si>
  <si>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</si>
  <si>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</si>
  <si>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</si>
  <si>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</si>
  <si>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</si>
  <si>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</si>
  <si>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</si>
  <si>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</si>
  <si>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</si>
  <si>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</si>
  <si>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</si>
  <si>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</si>
  <si>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</si>
  <si>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</si>
  <si>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</si>
  <si>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</si>
  <si>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</si>
  <si>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</si>
  <si>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</si>
  <si>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</si>
  <si>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</si>
  <si>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</si>
  <si>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</si>
  <si>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</si>
  <si>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</si>
  <si>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</si>
  <si>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</si>
  <si>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</si>
  <si>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</si>
  <si>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</si>
  <si>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</si>
  <si>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</si>
  <si>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</si>
  <si>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</si>
  <si>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</si>
  <si>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</si>
  <si>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</si>
  <si>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</si>
  <si>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</si>
  <si>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</si>
  <si>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</si>
  <si>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</si>
  <si>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</si>
  <si>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</si>
  <si>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</si>
  <si>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</si>
  <si>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</si>
  <si>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</si>
  <si>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</si>
  <si>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</si>
  <si>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</si>
  <si>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</si>
  <si>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</si>
  <si>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</si>
  <si>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</si>
  <si>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</si>
  <si>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</si>
  <si>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</si>
  <si>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</si>
  <si>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</si>
  <si>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</si>
  <si>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</si>
  <si>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</si>
  <si>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</si>
  <si>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</si>
  <si>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</si>
  <si>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</si>
  <si>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</si>
  <si>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</si>
  <si>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</si>
  <si>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</si>
  <si>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</si>
  <si>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</si>
  <si>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</si>
  <si>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</si>
  <si>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</si>
  <si>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</si>
  <si>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</si>
  <si>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</si>
  <si>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</si>
  <si>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</si>
  <si>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</si>
  <si>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</si>
  <si>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</si>
  <si>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</si>
  <si>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</si>
  <si>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</si>
  <si>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</si>
  <si>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</si>
  <si>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</si>
  <si>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</si>
  <si>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</si>
  <si>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</si>
  <si>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</si>
  <si>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</si>
  <si>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 xml:space="preserve">Prateek Chamoli </t>
  </si>
  <si>
    <t>2026/07/01 00.00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</si>
  <si>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</si>
  <si>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</si>
  <si>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</si>
  <si>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</si>
  <si>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</si>
  <si>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</si>
  <si>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</si>
  <si>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</si>
  <si>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</si>
  <si>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</si>
  <si>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</si>
  <si>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</si>
  <si>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</si>
  <si>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</si>
  <si>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</si>
  <si>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</si>
  <si>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</si>
  <si>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</si>
  <si>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</si>
  <si>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</si>
  <si>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</si>
  <si>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</si>
  <si>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</si>
  <si>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</si>
  <si>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PNG-4159</t>
  </si>
  <si>
    <t>PNG-3605</t>
  </si>
  <si>
    <t>10:40</t>
  </si>
  <si>
    <t>10:41</t>
  </si>
  <si>
    <t>Prateek Chamoli</t>
  </si>
  <si>
    <t>10:50</t>
  </si>
  <si>
    <t>10:24</t>
  </si>
  <si>
    <t>10:21</t>
  </si>
  <si>
    <t>10:20</t>
  </si>
  <si>
    <t>4:45</t>
  </si>
  <si>
    <t>9:58</t>
  </si>
  <si>
    <t>2026/09/01 00.00</t>
  </si>
  <si>
    <t>2026/09/02 00.00</t>
  </si>
  <si>
    <t>2026/09/03 00.00</t>
  </si>
  <si>
    <t>2026/09/04 00.00</t>
  </si>
  <si>
    <t>2026/09/05 00.00</t>
  </si>
  <si>
    <t>2026/09/06 00.00</t>
  </si>
  <si>
    <t>2026/09/07 00.00</t>
  </si>
  <si>
    <t>2026/09/08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</si>
</sst>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5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164" fontId="0" fillId="0" borderId="0" xfId="0" applyNumberFormat="1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28" totalsRowShown="0" headerRowDxfId="112" dataDxfId="111">
  <autoFilter ref="A2:DG28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37"/>
  <sheetViews>
    <sheetView tabSelected="1" workbookViewId="0">
      <pane xSplit="1" ySplit="2" topLeftCell="CB3" activePane="bottomRight" state="frozen"/>
      <selection pane="topRight" activeCell="B1" sqref="B1"/>
      <selection pane="bottomLeft" activeCell="A3" sqref="A3"/>
      <selection pane="bottomRight" activeCell="CB3" sqref="CB3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0" customFormat="1" ht="58" customHeight="1" x14ac:dyDescent="0.35">
      <c r="I1" s="8" t="s">
        <v>112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136</v>
      </c>
      <c r="O1" s="8" t="s">
        <v>137</v>
      </c>
      <c r="P1" s="8" t="s">
        <v>120</v>
      </c>
      <c r="Q1" s="11"/>
      <c r="R1" s="8" t="s">
        <v>113</v>
      </c>
      <c r="S1" s="8" t="s">
        <v>114</v>
      </c>
      <c r="T1" s="11"/>
      <c r="U1" s="11"/>
      <c r="V1" s="11"/>
      <c r="W1" s="8" t="s">
        <v>138</v>
      </c>
      <c r="X1" s="8" t="s">
        <v>114</v>
      </c>
      <c r="Y1" s="8" t="s">
        <v>115</v>
      </c>
      <c r="Z1" s="8" t="s">
        <v>136</v>
      </c>
      <c r="AA1" s="12" t="s">
        <v>116</v>
      </c>
      <c r="AB1" s="11"/>
      <c r="AC1" s="8" t="s">
        <v>114</v>
      </c>
      <c r="AD1" s="11"/>
      <c r="AE1" s="8" t="s">
        <v>117</v>
      </c>
      <c r="AF1" s="8" t="s">
        <v>119</v>
      </c>
      <c r="AG1" s="8" t="s">
        <v>118</v>
      </c>
      <c r="AH1" s="8" t="s">
        <v>120</v>
      </c>
      <c r="AI1" s="8" t="s">
        <v>121</v>
      </c>
      <c r="AJ1" s="8" t="s">
        <v>122</v>
      </c>
      <c r="AK1" s="8" t="s">
        <v>123</v>
      </c>
      <c r="AL1" s="8" t="s">
        <v>116</v>
      </c>
      <c r="AM1" s="11"/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8" t="s">
        <v>117</v>
      </c>
      <c r="AX1" s="8" t="s">
        <v>124</v>
      </c>
      <c r="AY1" s="11"/>
      <c r="AZ1" s="8" t="s">
        <v>125</v>
      </c>
      <c r="BA1" s="8" t="s">
        <v>125</v>
      </c>
      <c r="BB1" s="8" t="s">
        <v>125</v>
      </c>
      <c r="BC1" s="8" t="s">
        <v>126</v>
      </c>
      <c r="BD1" s="8" t="s">
        <v>127</v>
      </c>
      <c r="BE1" s="11"/>
      <c r="BF1" s="8" t="s">
        <v>128</v>
      </c>
      <c r="BG1" s="8" t="s">
        <v>128</v>
      </c>
      <c r="BH1" s="8" t="s">
        <v>129</v>
      </c>
      <c r="BI1" s="8" t="s">
        <v>129</v>
      </c>
      <c r="BJ1" s="8" t="s">
        <v>129</v>
      </c>
      <c r="BK1" s="8" t="s">
        <v>125</v>
      </c>
      <c r="BL1" s="8" t="s">
        <v>130</v>
      </c>
      <c r="BM1" s="8" t="s">
        <v>122</v>
      </c>
      <c r="BN1" s="8" t="s">
        <v>125</v>
      </c>
      <c r="BO1" s="8" t="s">
        <v>126</v>
      </c>
      <c r="BP1" s="8" t="s">
        <v>125</v>
      </c>
      <c r="BQ1" s="8" t="s">
        <v>129</v>
      </c>
      <c r="BR1" s="8" t="s">
        <v>129</v>
      </c>
      <c r="BS1" s="11"/>
      <c r="BT1" s="11"/>
      <c r="BU1" s="8" t="s">
        <v>131</v>
      </c>
      <c r="BV1" s="8" t="s">
        <v>132</v>
      </c>
      <c r="BW1" s="8" t="s">
        <v>128</v>
      </c>
      <c r="BX1" s="8" t="s">
        <v>125</v>
      </c>
      <c r="BY1" s="8" t="s">
        <v>132</v>
      </c>
      <c r="BZ1" s="8" t="s">
        <v>125</v>
      </c>
      <c r="CA1" s="8" t="s">
        <v>125</v>
      </c>
      <c r="CB1" s="8" t="s">
        <v>131</v>
      </c>
      <c r="CC1" s="8" t="s">
        <v>125</v>
      </c>
      <c r="CD1" s="8" t="s">
        <v>125</v>
      </c>
      <c r="CE1" s="8" t="s">
        <v>125</v>
      </c>
      <c r="CF1" s="8" t="s">
        <v>131</v>
      </c>
      <c r="CG1" s="8" t="s">
        <v>130</v>
      </c>
      <c r="CH1" s="8" t="s">
        <v>125</v>
      </c>
      <c r="CI1" s="8" t="s">
        <v>128</v>
      </c>
      <c r="CJ1" s="8" t="s">
        <v>130</v>
      </c>
      <c r="CK1" s="8" t="s">
        <v>122</v>
      </c>
      <c r="CL1" s="8" t="s">
        <v>133</v>
      </c>
      <c r="CM1" s="8" t="s">
        <v>134</v>
      </c>
      <c r="CN1" s="8" t="s">
        <v>134</v>
      </c>
      <c r="CO1" s="8" t="s">
        <v>134</v>
      </c>
      <c r="CP1" s="8" t="s">
        <v>114</v>
      </c>
      <c r="CQ1" s="8" t="s">
        <v>114</v>
      </c>
      <c r="CR1" s="8" t="s">
        <v>125</v>
      </c>
      <c r="CS1" s="8" t="s">
        <v>114</v>
      </c>
      <c r="CT1" s="8" t="s">
        <v>114</v>
      </c>
      <c r="CU1" s="8" t="s">
        <v>114</v>
      </c>
      <c r="CV1" s="8" t="s">
        <v>114</v>
      </c>
      <c r="CW1" s="8" t="s">
        <v>120</v>
      </c>
      <c r="CX1" s="8" t="s">
        <v>120</v>
      </c>
      <c r="CY1" s="8" t="s">
        <v>120</v>
      </c>
      <c r="CZ1" s="8" t="s">
        <v>114</v>
      </c>
      <c r="DA1" s="8" t="s">
        <v>208</v>
      </c>
      <c r="DB1" s="8" t="s">
        <v>209</v>
      </c>
      <c r="DC1" s="11"/>
      <c r="DD1" s="8" t="s">
        <v>135</v>
      </c>
      <c r="DE1" s="11"/>
      <c r="DF1" s="16" t="s">
        <v>109</v>
      </c>
      <c r="DG1" s="11"/>
      <c r="DI1" s="14" t="s">
        <v>135</v>
      </c>
      <c r="DJ1" s="58" t="s">
        <v>139</v>
      </c>
      <c r="DK1" s="59"/>
      <c r="DL1" s="57" t="s">
        <v>129</v>
      </c>
      <c r="DM1" s="57"/>
      <c r="DN1" s="57"/>
      <c r="DO1" s="57"/>
      <c r="DP1" s="57"/>
      <c r="DQ1" s="14" t="s">
        <v>174</v>
      </c>
      <c r="DR1" s="60" t="s">
        <v>114</v>
      </c>
      <c r="DS1" s="60"/>
      <c r="DT1" s="60"/>
      <c r="DU1" s="60"/>
      <c r="DV1" s="61"/>
      <c r="DW1" s="13" t="s">
        <v>112</v>
      </c>
      <c r="DX1" s="57" t="s">
        <v>125</v>
      </c>
      <c r="DY1" s="57"/>
      <c r="DZ1" s="57"/>
      <c r="EA1" s="57"/>
      <c r="EB1" s="57"/>
      <c r="EC1" s="57"/>
      <c r="ED1" s="57"/>
      <c r="EE1" s="57"/>
      <c r="EF1" s="57"/>
      <c r="EG1" s="57"/>
      <c r="EH1" s="57"/>
      <c r="EI1" s="57"/>
      <c r="EJ1" s="57"/>
      <c r="EK1" s="57" t="s">
        <v>122</v>
      </c>
      <c r="EL1" s="57"/>
      <c r="EM1" s="58" t="s">
        <v>120</v>
      </c>
      <c r="EN1" s="59"/>
      <c r="EO1" s="59"/>
      <c r="EP1" s="59"/>
      <c r="EQ1" s="59"/>
      <c r="ER1" s="57" t="s">
        <v>126</v>
      </c>
      <c r="ES1" s="57"/>
      <c r="ET1" s="14" t="s">
        <v>115</v>
      </c>
      <c r="EU1" s="57" t="s">
        <v>140</v>
      </c>
      <c r="EV1" s="57"/>
      <c r="EW1" s="57"/>
      <c r="EX1" s="57"/>
      <c r="EY1" s="62" t="s">
        <v>136</v>
      </c>
      <c r="EZ1" s="63"/>
      <c r="FA1" s="57" t="s">
        <v>128</v>
      </c>
      <c r="FB1" s="57"/>
      <c r="FC1" s="57"/>
      <c r="FD1" s="57"/>
      <c r="FE1" s="13" t="s">
        <v>138</v>
      </c>
      <c r="FF1" s="57" t="s">
        <v>116</v>
      </c>
      <c r="FG1" s="57"/>
      <c r="FH1" s="13" t="s">
        <v>119</v>
      </c>
      <c r="FI1" s="13" t="s">
        <v>123</v>
      </c>
      <c r="FJ1" s="13" t="s">
        <v>113</v>
      </c>
      <c r="FK1" s="14" t="s">
        <v>117</v>
      </c>
      <c r="FL1" s="13" t="s">
        <v>118</v>
      </c>
      <c r="FM1" s="13" t="s">
        <v>124</v>
      </c>
      <c r="FN1" s="13" t="s">
        <v>121</v>
      </c>
      <c r="FO1" s="13" t="s">
        <v>127</v>
      </c>
      <c r="FP1" s="58" t="s">
        <v>130</v>
      </c>
      <c r="FQ1" s="59"/>
      <c r="FR1" s="64"/>
      <c r="FS1" s="58" t="s">
        <v>131</v>
      </c>
      <c r="FT1" s="59"/>
      <c r="FU1" s="64"/>
      <c r="FV1" s="62" t="s">
        <v>132</v>
      </c>
      <c r="FW1" s="63"/>
      <c r="FX1" s="62" t="s">
        <v>141</v>
      </c>
      <c r="FY1" s="63"/>
      <c r="FZ1" s="57" t="s">
        <v>142</v>
      </c>
      <c r="GA1" s="57"/>
    </row>
    <row r="2" spans="1:183" s="7" customFormat="1" ht="87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6" t="s">
        <v>28</v>
      </c>
      <c r="AD2" s="6" t="s">
        <v>29</v>
      </c>
      <c r="AE2" s="6" t="s">
        <v>30</v>
      </c>
      <c r="AF2" s="6" t="s">
        <v>31</v>
      </c>
      <c r="AG2" s="6" t="s">
        <v>32</v>
      </c>
      <c r="AH2" s="6" t="s">
        <v>33</v>
      </c>
      <c r="AI2" s="6" t="s">
        <v>34</v>
      </c>
      <c r="AJ2" s="6" t="s">
        <v>35</v>
      </c>
      <c r="AK2" s="6" t="s">
        <v>36</v>
      </c>
      <c r="AL2" s="6" t="s">
        <v>37</v>
      </c>
      <c r="AM2" s="6" t="s">
        <v>38</v>
      </c>
      <c r="AN2" s="6" t="s">
        <v>39</v>
      </c>
      <c r="AO2" s="6" t="s">
        <v>40</v>
      </c>
      <c r="AP2" s="6" t="s">
        <v>41</v>
      </c>
      <c r="AQ2" s="6" t="s">
        <v>42</v>
      </c>
      <c r="AR2" s="6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6" t="s">
        <v>51</v>
      </c>
      <c r="BA2" s="6" t="s">
        <v>52</v>
      </c>
      <c r="BB2" s="6" t="s">
        <v>53</v>
      </c>
      <c r="BC2" s="6" t="s">
        <v>54</v>
      </c>
      <c r="BD2" s="6" t="s">
        <v>55</v>
      </c>
      <c r="BE2" s="6" t="s">
        <v>56</v>
      </c>
      <c r="BF2" s="6" t="s">
        <v>57</v>
      </c>
      <c r="BG2" s="6" t="s">
        <v>58</v>
      </c>
      <c r="BH2" s="6" t="s">
        <v>59</v>
      </c>
      <c r="BI2" s="6" t="s">
        <v>60</v>
      </c>
      <c r="BJ2" s="6" t="s">
        <v>61</v>
      </c>
      <c r="BK2" s="6" t="s">
        <v>62</v>
      </c>
      <c r="BL2" s="6" t="s">
        <v>63</v>
      </c>
      <c r="BM2" s="6" t="s">
        <v>64</v>
      </c>
      <c r="BN2" s="6" t="s">
        <v>65</v>
      </c>
      <c r="BO2" s="6" t="s">
        <v>66</v>
      </c>
      <c r="BP2" s="6" t="s">
        <v>67</v>
      </c>
      <c r="BQ2" s="6" t="s">
        <v>68</v>
      </c>
      <c r="BR2" s="6" t="s">
        <v>69</v>
      </c>
      <c r="BS2" s="6" t="s">
        <v>70</v>
      </c>
      <c r="BT2" s="6" t="s">
        <v>71</v>
      </c>
      <c r="BU2" s="6" t="s">
        <v>72</v>
      </c>
      <c r="BV2" s="6" t="s">
        <v>73</v>
      </c>
      <c r="BW2" s="6" t="s">
        <v>74</v>
      </c>
      <c r="BX2" s="6" t="s">
        <v>75</v>
      </c>
      <c r="BY2" s="6" t="s">
        <v>76</v>
      </c>
      <c r="BZ2" s="6" t="s">
        <v>77</v>
      </c>
      <c r="CA2" s="6" t="s">
        <v>78</v>
      </c>
      <c r="CB2" s="6" t="s">
        <v>79</v>
      </c>
      <c r="CC2" s="6" t="s">
        <v>80</v>
      </c>
      <c r="CD2" s="6" t="s">
        <v>81</v>
      </c>
      <c r="CE2" s="6" t="s">
        <v>82</v>
      </c>
      <c r="CF2" s="6" t="s">
        <v>83</v>
      </c>
      <c r="CG2" s="6" t="s">
        <v>84</v>
      </c>
      <c r="CH2" s="6" t="s">
        <v>85</v>
      </c>
      <c r="CI2" s="6" t="s">
        <v>86</v>
      </c>
      <c r="CJ2" s="6" t="s">
        <v>87</v>
      </c>
      <c r="CK2" s="6" t="s">
        <v>88</v>
      </c>
      <c r="CL2" s="6" t="s">
        <v>89</v>
      </c>
      <c r="CM2" s="6" t="s">
        <v>90</v>
      </c>
      <c r="CN2" s="6" t="s">
        <v>91</v>
      </c>
      <c r="CO2" s="6" t="s">
        <v>92</v>
      </c>
      <c r="CP2" s="6" t="s">
        <v>93</v>
      </c>
      <c r="CQ2" s="6" t="s">
        <v>94</v>
      </c>
      <c r="CR2" s="6" t="s">
        <v>95</v>
      </c>
      <c r="CS2" s="6" t="s">
        <v>96</v>
      </c>
      <c r="CT2" s="6" t="s">
        <v>97</v>
      </c>
      <c r="CU2" s="6" t="s">
        <v>98</v>
      </c>
      <c r="CV2" s="6" t="s">
        <v>99</v>
      </c>
      <c r="CW2" s="6" t="s">
        <v>100</v>
      </c>
      <c r="CX2" s="6" t="s">
        <v>101</v>
      </c>
      <c r="CY2" s="6" t="s">
        <v>102</v>
      </c>
      <c r="CZ2" s="6" t="s">
        <v>103</v>
      </c>
      <c r="DA2" s="6" t="s">
        <v>104</v>
      </c>
      <c r="DB2" s="6" t="s">
        <v>105</v>
      </c>
      <c r="DC2" s="6" t="s">
        <v>106</v>
      </c>
      <c r="DD2" s="6" t="s">
        <v>107</v>
      </c>
      <c r="DE2" s="6" t="s">
        <v>108</v>
      </c>
      <c r="DF2" s="6" t="s">
        <v>109</v>
      </c>
      <c r="DG2" s="6" t="s">
        <v>110</v>
      </c>
      <c r="DH2" s="7" t="s">
        <v>6</v>
      </c>
      <c r="DI2" s="8" t="s">
        <v>143</v>
      </c>
      <c r="DJ2" s="8" t="s">
        <v>208</v>
      </c>
      <c r="DK2" s="8" t="s">
        <v>209</v>
      </c>
      <c r="DL2" s="8" t="s">
        <v>59</v>
      </c>
      <c r="DM2" s="8" t="s">
        <v>60</v>
      </c>
      <c r="DN2" s="8" t="s">
        <v>61</v>
      </c>
      <c r="DO2" s="8" t="s">
        <v>68</v>
      </c>
      <c r="DP2" s="8" t="s">
        <v>69</v>
      </c>
      <c r="DQ2" s="8" t="s">
        <v>28</v>
      </c>
      <c r="DR2" s="8" t="s">
        <v>94</v>
      </c>
      <c r="DS2" s="8" t="s">
        <v>96</v>
      </c>
      <c r="DT2" s="8" t="s">
        <v>98</v>
      </c>
      <c r="DU2" s="8" t="s">
        <v>99</v>
      </c>
      <c r="DV2" s="8" t="s">
        <v>103</v>
      </c>
      <c r="DW2" s="8" t="s">
        <v>8</v>
      </c>
      <c r="DX2" s="8" t="s">
        <v>51</v>
      </c>
      <c r="DY2" s="8" t="s">
        <v>52</v>
      </c>
      <c r="DZ2" s="8" t="s">
        <v>53</v>
      </c>
      <c r="EA2" s="8" t="s">
        <v>62</v>
      </c>
      <c r="EB2" s="8" t="s">
        <v>65</v>
      </c>
      <c r="EC2" s="8" t="s">
        <v>67</v>
      </c>
      <c r="ED2" s="8" t="s">
        <v>75</v>
      </c>
      <c r="EE2" s="8" t="s">
        <v>77</v>
      </c>
      <c r="EF2" s="8" t="s">
        <v>78</v>
      </c>
      <c r="EG2" s="8" t="s">
        <v>80</v>
      </c>
      <c r="EH2" s="8" t="s">
        <v>81</v>
      </c>
      <c r="EI2" s="8" t="s">
        <v>82</v>
      </c>
      <c r="EJ2" s="8" t="s">
        <v>85</v>
      </c>
      <c r="EK2" s="8" t="s">
        <v>64</v>
      </c>
      <c r="EL2" s="8" t="s">
        <v>88</v>
      </c>
      <c r="EM2" s="8" t="s">
        <v>15</v>
      </c>
      <c r="EN2" s="8" t="s">
        <v>33</v>
      </c>
      <c r="EO2" s="8" t="s">
        <v>100</v>
      </c>
      <c r="EP2" s="8" t="s">
        <v>101</v>
      </c>
      <c r="EQ2" s="8" t="s">
        <v>102</v>
      </c>
      <c r="ER2" s="9" t="s">
        <v>54</v>
      </c>
      <c r="ES2" s="9" t="s">
        <v>66</v>
      </c>
      <c r="ET2" s="9" t="s">
        <v>24</v>
      </c>
      <c r="EU2" s="8" t="s">
        <v>89</v>
      </c>
      <c r="EV2" s="8" t="s">
        <v>90</v>
      </c>
      <c r="EW2" s="8" t="s">
        <v>91</v>
      </c>
      <c r="EX2" s="8" t="s">
        <v>92</v>
      </c>
      <c r="EY2" s="8" t="s">
        <v>13</v>
      </c>
      <c r="EZ2" s="8" t="s">
        <v>25</v>
      </c>
      <c r="FA2" s="8" t="s">
        <v>57</v>
      </c>
      <c r="FB2" s="8" t="s">
        <v>58</v>
      </c>
      <c r="FC2" s="8" t="s">
        <v>74</v>
      </c>
      <c r="FD2" s="8" t="s">
        <v>86</v>
      </c>
      <c r="FE2" s="8" t="s">
        <v>22</v>
      </c>
      <c r="FF2" s="8" t="s">
        <v>26</v>
      </c>
      <c r="FG2" s="8" t="s">
        <v>37</v>
      </c>
      <c r="FH2" s="8" t="s">
        <v>31</v>
      </c>
      <c r="FI2" s="8" t="s">
        <v>36</v>
      </c>
      <c r="FJ2" s="8" t="s">
        <v>17</v>
      </c>
      <c r="FK2" s="8" t="s">
        <v>30</v>
      </c>
      <c r="FL2" s="8" t="s">
        <v>32</v>
      </c>
      <c r="FM2" s="8" t="s">
        <v>49</v>
      </c>
      <c r="FN2" s="8" t="s">
        <v>34</v>
      </c>
      <c r="FO2" s="8" t="s">
        <v>55</v>
      </c>
      <c r="FP2" s="8" t="s">
        <v>63</v>
      </c>
      <c r="FQ2" s="8" t="s">
        <v>84</v>
      </c>
      <c r="FR2" s="8" t="s">
        <v>87</v>
      </c>
      <c r="FS2" s="8" t="s">
        <v>72</v>
      </c>
      <c r="FT2" s="8" t="s">
        <v>79</v>
      </c>
      <c r="FU2" s="8" t="s">
        <v>83</v>
      </c>
      <c r="FV2" s="8" t="s">
        <v>73</v>
      </c>
      <c r="FW2" s="8" t="s">
        <v>76</v>
      </c>
      <c r="FX2" s="15" t="s">
        <v>9</v>
      </c>
      <c r="FY2" s="8" t="s">
        <v>10</v>
      </c>
      <c r="FZ2" s="15" t="s">
        <v>11</v>
      </c>
      <c r="GA2" s="8" t="s">
        <v>12</v>
      </c>
    </row>
    <row r="3" spans="1:183" x14ac:dyDescent="0.35">
      <c r="A3" s="1">
        <v>74</v>
      </c>
      <c r="B3" s="2">
        <v>46266.401180555556</v>
      </c>
      <c r="C3" s="2">
        <v>46266.445717592593</v>
      </c>
      <c r="D3" s="1" t="s">
        <v>111</v>
      </c>
      <c r="E3" s="1"/>
      <c r="F3" s="1"/>
      <c r="G3" s="3">
        <v>46266</v>
      </c>
      <c r="H3" s="1" t="s">
        <v>182</v>
      </c>
      <c r="I3" s="5">
        <v>7875.9219999999996</v>
      </c>
      <c r="J3" s="5">
        <v>4279.8999999999996</v>
      </c>
      <c r="K3" s="5">
        <v>1778909</v>
      </c>
      <c r="L3" s="5">
        <v>459</v>
      </c>
      <c r="M3" s="5">
        <v>193.17</v>
      </c>
      <c r="N3" s="5">
        <v>1895610.72</v>
      </c>
      <c r="O3" s="5">
        <v>4653368.6399999997</v>
      </c>
      <c r="P3" s="5">
        <v>656376</v>
      </c>
      <c r="Q3" s="5">
        <v>8171011.8399999999</v>
      </c>
      <c r="R3" s="5">
        <v>5691420.7999999998</v>
      </c>
      <c r="S3" s="5">
        <v>7463463.6799999997</v>
      </c>
      <c r="T3" s="5">
        <v>43103118.471000001</v>
      </c>
      <c r="U3" s="5">
        <v>2140998.56</v>
      </c>
      <c r="V3" s="5">
        <v>5164066.5599999996</v>
      </c>
      <c r="W3" s="5">
        <v>1611.7611999999999</v>
      </c>
      <c r="X3" s="5">
        <v>781729.728</v>
      </c>
      <c r="Y3" s="5">
        <v>1132458.3999999999</v>
      </c>
      <c r="Z3" s="5">
        <v>2777.8894</v>
      </c>
      <c r="AA3" s="5">
        <v>676460.60800000001</v>
      </c>
      <c r="AB3" s="5">
        <v>421986.24</v>
      </c>
      <c r="AC3" s="5">
        <v>2158844.96</v>
      </c>
      <c r="AD3" s="5">
        <v>2946580.6979999999</v>
      </c>
      <c r="AE3" s="5">
        <v>13012.822399999999</v>
      </c>
      <c r="AF3" s="5">
        <v>891606.20799999998</v>
      </c>
      <c r="AG3" s="5">
        <v>1434.942</v>
      </c>
      <c r="AH3" s="5">
        <v>136652.16</v>
      </c>
      <c r="AI3" s="5">
        <v>14775.712</v>
      </c>
      <c r="AJ3" s="5">
        <v>145406.36799999999</v>
      </c>
      <c r="AK3" s="5">
        <v>105550.03200000001</v>
      </c>
      <c r="AL3" s="5">
        <v>332661.08799999999</v>
      </c>
      <c r="AM3" s="5">
        <v>1009.217</v>
      </c>
      <c r="AN3" s="5">
        <v>336.5</v>
      </c>
      <c r="AO3" s="5">
        <v>7.4</v>
      </c>
      <c r="AP3" s="5">
        <v>745990</v>
      </c>
      <c r="AQ3" s="5">
        <v>42905</v>
      </c>
      <c r="AR3" s="5">
        <v>42359</v>
      </c>
      <c r="AS3" s="5">
        <v>32432</v>
      </c>
      <c r="AT3" s="5">
        <v>22148</v>
      </c>
      <c r="AU3" s="5">
        <v>16271</v>
      </c>
      <c r="AV3" s="5">
        <v>6792</v>
      </c>
      <c r="AW3" s="5">
        <v>21.125209999999999</v>
      </c>
      <c r="AX3" s="5">
        <v>7308.6170000000002</v>
      </c>
      <c r="AY3" s="5">
        <v>683.21119999999996</v>
      </c>
      <c r="AZ3" s="5">
        <v>20.788</v>
      </c>
      <c r="BA3" s="5">
        <v>10.946</v>
      </c>
      <c r="BB3" s="5">
        <v>45.975000000000001</v>
      </c>
      <c r="BC3" s="5">
        <v>114024.568</v>
      </c>
      <c r="BD3" s="5">
        <v>277325.02399999998</v>
      </c>
      <c r="BE3" s="5">
        <v>3761.7532000000001</v>
      </c>
      <c r="BF3" s="5">
        <v>1714.182</v>
      </c>
      <c r="BG3" s="5">
        <v>75.879000000000005</v>
      </c>
      <c r="BH3" s="5">
        <v>375.65300000000002</v>
      </c>
      <c r="BI3" s="5">
        <v>928.96699999999998</v>
      </c>
      <c r="BJ3" s="5">
        <v>16.202000000000002</v>
      </c>
      <c r="BK3" s="5">
        <v>571.81500000000005</v>
      </c>
      <c r="BL3" s="5">
        <v>78041.792000000001</v>
      </c>
      <c r="BM3" s="5">
        <v>324156.64</v>
      </c>
      <c r="BN3" s="5">
        <v>7298.6415999999999</v>
      </c>
      <c r="BO3" s="5">
        <v>53589.132799999999</v>
      </c>
      <c r="BP3" s="5">
        <v>317428.89600000001</v>
      </c>
      <c r="BQ3" s="5">
        <v>332.35500000000002</v>
      </c>
      <c r="BR3" s="5">
        <v>185.292</v>
      </c>
      <c r="BS3" s="5">
        <v>1049769.662</v>
      </c>
      <c r="BT3" s="5">
        <v>1400627.8230000001</v>
      </c>
      <c r="BU3" s="5">
        <v>635138.36800000002</v>
      </c>
      <c r="BV3" s="5">
        <v>1039470.24</v>
      </c>
      <c r="BW3" s="5">
        <v>575563.84</v>
      </c>
      <c r="BX3" s="5">
        <v>1054668.72</v>
      </c>
      <c r="BY3" s="5">
        <v>159118.92800000001</v>
      </c>
      <c r="BZ3" s="5">
        <v>115019.47199999999</v>
      </c>
      <c r="CA3" s="5">
        <v>1244.5895</v>
      </c>
      <c r="CB3" s="5">
        <v>109975.944</v>
      </c>
      <c r="CC3" s="5">
        <v>154155.424</v>
      </c>
      <c r="CD3" s="5">
        <v>452512.73599999998</v>
      </c>
      <c r="CE3" s="5">
        <v>49238.8992</v>
      </c>
      <c r="CF3" s="5">
        <v>156717.39199999999</v>
      </c>
      <c r="CG3" s="5">
        <v>36091.894399999997</v>
      </c>
      <c r="CH3" s="5">
        <v>2385.8710000000001</v>
      </c>
      <c r="CI3" s="5">
        <v>218.96899999999999</v>
      </c>
      <c r="CJ3" s="5">
        <v>1191.5999999999999</v>
      </c>
      <c r="CK3" s="5">
        <v>79.527000000000001</v>
      </c>
      <c r="CL3" s="5">
        <v>750.23400000000004</v>
      </c>
      <c r="CM3" s="5">
        <v>551.4</v>
      </c>
      <c r="CN3" s="5">
        <v>58017.4</v>
      </c>
      <c r="CO3" s="5">
        <v>1685.2570000000001</v>
      </c>
      <c r="CP3" s="5">
        <v>300478.52100000001</v>
      </c>
      <c r="CQ3" s="5">
        <v>3723538.24</v>
      </c>
      <c r="CR3" s="5">
        <v>133088.872</v>
      </c>
      <c r="CS3" s="5">
        <v>523974.52799999999</v>
      </c>
      <c r="CT3" s="5">
        <v>3037817.889</v>
      </c>
      <c r="CU3" s="5">
        <v>306955.23300000001</v>
      </c>
      <c r="CV3" s="5">
        <v>30260.793600000001</v>
      </c>
      <c r="CW3" s="5">
        <v>63537.734400000001</v>
      </c>
      <c r="CX3" s="5">
        <v>33620.387199999997</v>
      </c>
      <c r="CY3" s="5">
        <v>171694.09599999999</v>
      </c>
      <c r="CZ3" s="5">
        <v>220311.67999999999</v>
      </c>
      <c r="DA3" s="5">
        <v>19427.54</v>
      </c>
      <c r="DB3" s="5">
        <v>153259.74400000001</v>
      </c>
      <c r="DC3" s="5">
        <v>3222.93</v>
      </c>
      <c r="DD3" s="5">
        <v>3222.84</v>
      </c>
      <c r="DE3" s="5">
        <v>3252.85</v>
      </c>
      <c r="DF3" s="5">
        <v>0.995</v>
      </c>
      <c r="DG3" s="1" t="s">
        <v>211</v>
      </c>
      <c r="DH3" s="4">
        <f>Table2[[#This Row],[Date]]</f>
        <v>46266</v>
      </c>
      <c r="DI3">
        <f>(DD4-Table2[[#This Row],[MWH Total]])*4000</f>
        <v>25920.000000000073</v>
      </c>
      <c r="DJ3">
        <f>(DA4-Table2[[#This Row],[PNG Meter (Outside)]])*2.936</f>
        <v>75.778159999993164</v>
      </c>
      <c r="DK3">
        <f>(DB4-Table2[[#This Row],[PNG Meter (Inside)]])*2.936</f>
        <v>384.37524800001501</v>
      </c>
      <c r="DL3">
        <f>(BH4-Table2[[#This Row],[3F Dough cooler - 2 ]])*1000</f>
        <v>406.00000000000591</v>
      </c>
      <c r="DM3">
        <f>(BI4-Table2[[#This Row],[3F Dough Cooler- 1]])*1000</f>
        <v>488.00000000005639</v>
      </c>
      <c r="DN3">
        <f>(BJ4-Table2[[#This Row],[4F Dough Production cooling Unit]])*1000</f>
        <v>33.99999999999892</v>
      </c>
      <c r="DO3">
        <f>(BQ4-Table2[[#This Row],[3F2 - PDB 3 - Dough Production Area]])*1000</f>
        <v>185.99999999997863</v>
      </c>
      <c r="DP3">
        <f>(BR4-Table2[[#This Row],[3F3 - PDB 4 - Dough Area]])*1000</f>
        <v>115.00000000000909</v>
      </c>
      <c r="DQ3">
        <f>AC4-Table2[[#This Row],[16F1 Tray washer Panel for Light]]</f>
        <v>720.31999999983236</v>
      </c>
      <c r="DR3">
        <f>CQ4-Table2[[#This Row],[2F1 Tray Washer - 1]]</f>
        <v>1015.3599999998696</v>
      </c>
      <c r="DS3">
        <f>CS4-Table2[[#This Row],[2F5 Destacker]]</f>
        <v>315.42400000005728</v>
      </c>
      <c r="DT3">
        <f>CU4-Table2[[#This Row],[5F1 Metering (TW-2)]]</f>
        <v>282.67499999998836</v>
      </c>
      <c r="DU3">
        <f>CV4-Table2[[#This Row],[6F1 Pre soaker Tray washer]]</f>
        <v>0</v>
      </c>
      <c r="DV3">
        <f>CZ4-Table2[[#This Row],[6F5 Vent tray Storage]]</f>
        <v>112.64000000001397</v>
      </c>
      <c r="DW3">
        <f>I4-Table2[[#This Row],[Popeyes Meter ]]</f>
        <v>38.220000000000255</v>
      </c>
      <c r="DX3">
        <f>AZ4-Table2[[#This Row],[2F WH Chiller, Segregation Area]]</f>
        <v>0</v>
      </c>
      <c r="DY3">
        <f>BA4-Table2[[#This Row],[3F1 AC Unit WH dock cooling - 2 Nos]]</f>
        <v>1.6000000000000014E-2</v>
      </c>
      <c r="DZ3">
        <f>BB4-Table2[[#This Row],[3F2 AC Unit WH dock cooling - 3 Nos]]</f>
        <v>3.6000000000001364E-2</v>
      </c>
      <c r="EA3">
        <f>(BK4-Table2[[#This Row],[5F WH Perishable]])*1000</f>
        <v>284.99999999996817</v>
      </c>
      <c r="EB3">
        <f>BN4-Table2[[#This Row],[2F3 - PDB 9 - WH Dock Leveler Door ]]</f>
        <v>4.2111999999997352</v>
      </c>
      <c r="EC3">
        <f>BP4-Table2[[#This Row],[3F1 - PDB 5 - WH HSD]]</f>
        <v>115.20000000001164</v>
      </c>
      <c r="ED3">
        <f>BX4-Table2[[#This Row],[8F1 WH Dock AHU - Ventilation]]</f>
        <v>1473.2800000000279</v>
      </c>
      <c r="EE3">
        <f>BZ4-Table2[[#This Row],[8F3 ACPDB - 4 WH Dock air curtain]]</f>
        <v>17.760000000009313</v>
      </c>
      <c r="EF3">
        <f>CA4-Table2[[#This Row],[8F4 WH Light]]</f>
        <v>0</v>
      </c>
      <c r="EG3">
        <f>CC4-Table2[[#This Row],[9F1 - PDB 10 - WH Dock door &amp; Office]]</f>
        <v>116.46400000000722</v>
      </c>
      <c r="EH3">
        <f>CD4-Table2[[#This Row],[9F2 - PDB 11 - WH flycatchers]]</f>
        <v>140.8640000000014</v>
      </c>
      <c r="EI3">
        <f>CE4-Table2[[#This Row],[9F3 - PDB 12 - Other items]]</f>
        <v>15.187200000000303</v>
      </c>
      <c r="EJ3">
        <f>CR4-Table2[[#This Row],[2F3 - PDB 1 - Dock 1 to 4 ]]</f>
        <v>60.271999999997206</v>
      </c>
      <c r="EK3">
        <f>BM4-Table2[[#This Row],[2F2 - PDB 3 - WH Truck &amp; Battery Charging]]</f>
        <v>531.16800000000512</v>
      </c>
      <c r="EL3">
        <f>(CK4-Table2[[#This Row],[PDB - 11 Truck Charging]])*1000</f>
        <v>25.999999999996248</v>
      </c>
      <c r="EM3">
        <f>P4-Table2[[#This Row],[5F3 Admin Area]]</f>
        <v>20388.608000000007</v>
      </c>
      <c r="EN3">
        <f>AH4-Table2[[#This Row],[2F5 Main Gate-1 Piller -1]]</f>
        <v>126.92799999998533</v>
      </c>
      <c r="EO3">
        <f>CW4-Table2[[#This Row],[6F2 Ground Floor AC]]</f>
        <v>16.396800000002258</v>
      </c>
      <c r="EP3">
        <f>CX4-Table2[[#This Row],[6F3 ACBD -1 (First floor AC)]]</f>
        <v>8.9728000000031898</v>
      </c>
      <c r="EQ3">
        <f>CY4-Table2[[#This Row],[6F4 ACBD - 2 (Second &amp; Third floor AC)]]</f>
        <v>119.11999999999534</v>
      </c>
      <c r="ER3">
        <f>(BC4-Table2[[#This Row],[4F Old BMC cooling Unit]])</f>
        <v>2.6640000000043074</v>
      </c>
      <c r="ES3">
        <f>BO4-Table2[[#This Row],[2F4 - Old BMC]]</f>
        <v>0</v>
      </c>
      <c r="ET3">
        <f>Y4-Table2[[#This Row],[14F2 New CK]]</f>
        <v>1330.7200000002049</v>
      </c>
      <c r="EU3">
        <f>(CL4-Table2[[#This Row],[OLD Ck Panel-1]])*1000</f>
        <v>693.99999999995998</v>
      </c>
      <c r="EV3">
        <f>CM4-Table2[[#This Row],[2F4 Old CK Blast (Blue star)]]</f>
        <v>0</v>
      </c>
      <c r="EW3">
        <f>CN4-Table2[[#This Row],[3F6 Old CK Blast (Carrier)]]</f>
        <v>565.09999999999854</v>
      </c>
      <c r="EX3">
        <f>(CO4-Table2[[#This Row],[Old CK Panel -2]])*1000</f>
        <v>1174.9999999999545</v>
      </c>
      <c r="EY3">
        <f>N4-Table2[[#This Row],[4F1 Main UPS 1/C -1]]</f>
        <v>984.47999999998137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34.999999999996589</v>
      </c>
      <c r="FC3">
        <f>BW4-Table2[[#This Row],[7F3 CLC Power Panel]]</f>
        <v>237.50400000007357</v>
      </c>
      <c r="FD3">
        <f>(CI4-Table2[[#This Row],[PDB - 17 CLC Section ]])*1000</f>
        <v>151.00000000001046</v>
      </c>
      <c r="FE3">
        <f>(W4-Table2[[#This Row],[13F3 Water &amp; Lift Old CK]])*1000</f>
        <v>821.20000000008986</v>
      </c>
      <c r="FF3">
        <f>AA4-Table2[[#This Row],[15F2 New ETP Panel]]</f>
        <v>293.82400000002235</v>
      </c>
      <c r="FG3">
        <f>AL4-Table2[[#This Row],[3F4 Old ETP Panel]]</f>
        <v>74.495999999984633</v>
      </c>
      <c r="FH3">
        <f>AF4-Table2[[#This Row],[2F1 RO Plant]]</f>
        <v>578.17599999997765</v>
      </c>
      <c r="FI3">
        <f>AK4-Table2[[#This Row],[3F3 Fire Hydrant Panel]]</f>
        <v>10.879999999990105</v>
      </c>
      <c r="FJ3">
        <f>R4-Table2[[#This Row],[7F1 Freon System Panel]]</f>
        <v>5857.9199999999255</v>
      </c>
      <c r="FK3">
        <f>(AE4-Table2[[#This Row],[21F1 Refrigeration Ammonia]])*1000</f>
        <v>7736.0000000007858</v>
      </c>
      <c r="FL3">
        <f>(AG4-Table2[[#This Row],[2F3 Air Compressor]])*1000</f>
        <v>1307.9999999999927</v>
      </c>
      <c r="FM3">
        <f>(AX4-Table2[[#This Row],[Solar Reading Panel II]])*1000</f>
        <v>2756.9999999996071</v>
      </c>
      <c r="FN3">
        <f>AI4-Table2[[#This Row],[3F1 Maintenance Workshop]]</f>
        <v>5.1440000000002328</v>
      </c>
      <c r="FO3">
        <f>BD4-Table2[[#This Row],[4F B2B unit ]]</f>
        <v>67.488000000012107</v>
      </c>
      <c r="FP3">
        <f>BL4-Table2[[#This Row],[2F1 - PDB 6 - Bread, B2B section]]</f>
        <v>240.47999999999593</v>
      </c>
      <c r="FQ3">
        <f>(CG4-Table2[[#This Row],[9F5 - PDB 14 - Bread Lift]])</f>
        <v>6.6848000000027241</v>
      </c>
      <c r="FR3">
        <f>CJ4-Table2[[#This Row],[PDB - 16 Bread Section]]</f>
        <v>0</v>
      </c>
      <c r="FS3">
        <f>BU4-Table2[[#This Row],[7F1 Donut Production area]]</f>
        <v>214.27199999999721</v>
      </c>
      <c r="FT3">
        <f>CB4-Table2[[#This Row],[8F5 Donut Ban Bary]]</f>
        <v>13.407999999995809</v>
      </c>
      <c r="FU3">
        <f>CF4-Table2[[#This Row],[9F4 - PDB 13 - Donut Sink Geyser area]]</f>
        <v>27.520000000018626</v>
      </c>
      <c r="FV3">
        <f>BV4-Table2[[#This Row],[7F2 Flour Silo]]</f>
        <v>543.04000000003725</v>
      </c>
      <c r="FW3">
        <f>BY4-Table2[[#This Row],[8F2 ACPDB - 3 SILO Ventilation]]</f>
        <v>42.655999999988126</v>
      </c>
      <c r="FX3">
        <f>J4-Table2[[#This Row],[DG 1010KVA Running Hours]]</f>
        <v>0.4000000000005457</v>
      </c>
      <c r="FY3">
        <f>K4-Table2[[#This Row],[DG 1010 KVA Meter Reading]]</f>
        <v>186</v>
      </c>
      <c r="FZ3">
        <f>L4-Table2[[#This Row],[GG 1010 KVA Running Hours]]</f>
        <v>1</v>
      </c>
      <c r="GA3">
        <f>M4-Table2[[#This Row],[GG 1010 KVA Meter Reading]]</f>
        <v>0.19000000000002615</v>
      </c>
    </row>
    <row r="4" spans="1:183" x14ac:dyDescent="0.35">
      <c r="A4" s="1">
        <v>75</v>
      </c>
      <c r="B4" s="2">
        <v>46267.412916666668</v>
      </c>
      <c r="C4" s="2">
        <v>46267.45103009259</v>
      </c>
      <c r="D4" s="1" t="s">
        <v>111</v>
      </c>
      <c r="E4" s="1"/>
      <c r="F4" s="1"/>
      <c r="G4" s="3">
        <v>46267</v>
      </c>
      <c r="H4" s="1" t="s">
        <v>182</v>
      </c>
      <c r="I4" s="5">
        <v>7914.1419999999998</v>
      </c>
      <c r="J4" s="5">
        <v>4280.3</v>
      </c>
      <c r="K4" s="5">
        <v>1779095</v>
      </c>
      <c r="L4" s="5">
        <v>460</v>
      </c>
      <c r="M4" s="5">
        <v>193.36</v>
      </c>
      <c r="N4" s="5">
        <v>1896595.2</v>
      </c>
      <c r="O4" s="5">
        <v>4655488.6399999997</v>
      </c>
      <c r="P4" s="5">
        <v>676764.60800000001</v>
      </c>
      <c r="Q4" s="5">
        <v>8173900.1600000001</v>
      </c>
      <c r="R4" s="5">
        <v>5697278.7199999997</v>
      </c>
      <c r="S4" s="5">
        <v>7466610.5599999996</v>
      </c>
      <c r="T4" s="5">
        <v>43568545.185999997</v>
      </c>
      <c r="U4" s="5">
        <v>2142333.44</v>
      </c>
      <c r="V4" s="5">
        <v>5165802.5599999996</v>
      </c>
      <c r="W4" s="5">
        <v>1612.5824</v>
      </c>
      <c r="X4" s="5">
        <v>782013.82400000002</v>
      </c>
      <c r="Y4" s="5">
        <v>1133789.1200000001</v>
      </c>
      <c r="Z4" s="5">
        <v>2777.8894</v>
      </c>
      <c r="AA4" s="5">
        <v>676754.43200000003</v>
      </c>
      <c r="AB4" s="5">
        <v>422039.07199999999</v>
      </c>
      <c r="AC4" s="5">
        <v>2159565.2799999998</v>
      </c>
      <c r="AD4" s="5">
        <v>4455451.2259999998</v>
      </c>
      <c r="AE4" s="5">
        <v>13020.5584</v>
      </c>
      <c r="AF4" s="5">
        <v>892184.38399999996</v>
      </c>
      <c r="AG4" s="5">
        <v>1436.25</v>
      </c>
      <c r="AH4" s="5">
        <v>136779.08799999999</v>
      </c>
      <c r="AI4" s="5">
        <v>14780.856</v>
      </c>
      <c r="AJ4" s="5">
        <v>145407.90400000001</v>
      </c>
      <c r="AK4" s="5">
        <v>105560.912</v>
      </c>
      <c r="AL4" s="5">
        <v>332735.58399999997</v>
      </c>
      <c r="AM4" s="5">
        <v>1009.843</v>
      </c>
      <c r="AN4" s="5">
        <v>310.39999999999998</v>
      </c>
      <c r="AO4" s="5">
        <v>7.5</v>
      </c>
      <c r="AP4" s="5">
        <v>756224</v>
      </c>
      <c r="AQ4" s="5">
        <v>42929</v>
      </c>
      <c r="AR4" s="5">
        <v>42383</v>
      </c>
      <c r="AS4" s="5">
        <v>32432</v>
      </c>
      <c r="AT4" s="5">
        <v>22148</v>
      </c>
      <c r="AU4" s="5">
        <v>16295</v>
      </c>
      <c r="AV4" s="5">
        <v>6804</v>
      </c>
      <c r="AW4" s="5">
        <v>21.132822000000001</v>
      </c>
      <c r="AX4" s="5">
        <v>7311.3739999999998</v>
      </c>
      <c r="AY4" s="5">
        <v>683.35176000000001</v>
      </c>
      <c r="AZ4" s="5">
        <v>20.788</v>
      </c>
      <c r="BA4" s="5">
        <v>10.962</v>
      </c>
      <c r="BB4" s="5">
        <v>46.011000000000003</v>
      </c>
      <c r="BC4" s="5">
        <v>114027.232</v>
      </c>
      <c r="BD4" s="5">
        <v>277392.51199999999</v>
      </c>
      <c r="BE4" s="5">
        <v>3763.0531999999998</v>
      </c>
      <c r="BF4" s="5">
        <v>1714.182</v>
      </c>
      <c r="BG4" s="5">
        <v>75.914000000000001</v>
      </c>
      <c r="BH4" s="5">
        <v>376.05900000000003</v>
      </c>
      <c r="BI4" s="5">
        <v>929.45500000000004</v>
      </c>
      <c r="BJ4" s="5">
        <v>16.236000000000001</v>
      </c>
      <c r="BK4" s="5">
        <v>572.1</v>
      </c>
      <c r="BL4" s="5">
        <v>78282.271999999997</v>
      </c>
      <c r="BM4" s="5">
        <v>324687.80800000002</v>
      </c>
      <c r="BN4" s="5">
        <v>7302.8527999999997</v>
      </c>
      <c r="BO4" s="5">
        <v>53589.132799999999</v>
      </c>
      <c r="BP4" s="5">
        <v>317544.09600000002</v>
      </c>
      <c r="BQ4" s="5">
        <v>332.541</v>
      </c>
      <c r="BR4" s="5">
        <v>185.40700000000001</v>
      </c>
      <c r="BS4" s="5">
        <v>1051084.527</v>
      </c>
      <c r="BT4" s="5">
        <v>1400627.84</v>
      </c>
      <c r="BU4" s="5">
        <v>635352.64</v>
      </c>
      <c r="BV4" s="5">
        <v>1040013.28</v>
      </c>
      <c r="BW4" s="5">
        <v>575801.34400000004</v>
      </c>
      <c r="BX4" s="5">
        <v>1056142</v>
      </c>
      <c r="BY4" s="5">
        <v>159161.584</v>
      </c>
      <c r="BZ4" s="5">
        <v>115037.232</v>
      </c>
      <c r="CA4" s="5">
        <v>1244.5895</v>
      </c>
      <c r="CB4" s="5">
        <v>109989.352</v>
      </c>
      <c r="CC4" s="5">
        <v>154271.88800000001</v>
      </c>
      <c r="CD4" s="5">
        <v>452653.6</v>
      </c>
      <c r="CE4" s="5">
        <v>49254.0864</v>
      </c>
      <c r="CF4" s="5">
        <v>156744.91200000001</v>
      </c>
      <c r="CG4" s="5">
        <v>36098.5792</v>
      </c>
      <c r="CH4" s="5">
        <v>2385.8710000000001</v>
      </c>
      <c r="CI4" s="5">
        <v>219.12</v>
      </c>
      <c r="CJ4" s="5">
        <v>1191.5999999999999</v>
      </c>
      <c r="CK4" s="5">
        <v>79.552999999999997</v>
      </c>
      <c r="CL4" s="5">
        <v>750.928</v>
      </c>
      <c r="CM4" s="5">
        <v>551.4</v>
      </c>
      <c r="CN4" s="5">
        <v>58582.5</v>
      </c>
      <c r="CO4" s="5">
        <v>1686.432</v>
      </c>
      <c r="CP4" s="5">
        <v>300734.364</v>
      </c>
      <c r="CQ4" s="5">
        <v>3724553.6</v>
      </c>
      <c r="CR4" s="5">
        <v>133149.144</v>
      </c>
      <c r="CS4" s="5">
        <v>524289.95200000005</v>
      </c>
      <c r="CT4" s="5">
        <v>3041025.8679999998</v>
      </c>
      <c r="CU4" s="5">
        <v>307237.908</v>
      </c>
      <c r="CV4" s="5">
        <v>30260.793600000001</v>
      </c>
      <c r="CW4" s="5">
        <v>63554.131200000003</v>
      </c>
      <c r="CX4" s="5">
        <v>33629.360000000001</v>
      </c>
      <c r="CY4" s="5">
        <v>171813.21599999999</v>
      </c>
      <c r="CZ4" s="5">
        <v>220424.32000000001</v>
      </c>
      <c r="DA4" s="5">
        <v>19453.349999999999</v>
      </c>
      <c r="DB4" s="5">
        <v>153390.66200000001</v>
      </c>
      <c r="DC4" s="5">
        <v>3229.41</v>
      </c>
      <c r="DD4" s="5">
        <v>3229.32</v>
      </c>
      <c r="DE4" s="5">
        <v>3259.34</v>
      </c>
      <c r="DF4" s="5">
        <v>0.996</v>
      </c>
      <c r="DG4" s="1" t="s">
        <v>213</v>
      </c>
      <c r="DH4" s="4">
        <f>Table2[[#This Row],[Date]]</f>
        <v>46267</v>
      </c>
      <c r="DI4">
        <f>(DD5-Table2[[#This Row],[MWH Total]])*4000</f>
        <v>29559.999999999491</v>
      </c>
      <c r="DJ4">
        <f>(DA5-Table2[[#This Row],[PNG Meter (Outside)]])*2.936</f>
        <v>9.0722400000004271</v>
      </c>
      <c r="DK4">
        <f>(DB5-Table2[[#This Row],[PNG Meter (Inside)]])*2.936</f>
        <v>363.30651199999522</v>
      </c>
      <c r="DL4">
        <f>(BH5-Table2[[#This Row],[3F Dough cooler - 2 ]])*1000</f>
        <v>276.99999999998681</v>
      </c>
      <c r="DM4">
        <f>(BI5-Table2[[#This Row],[3F Dough Cooler- 1]])*1000</f>
        <v>480.99999999999454</v>
      </c>
      <c r="DN4">
        <f>(BJ5-Table2[[#This Row],[4F Dough Production cooling Unit]])*1000</f>
        <v>27.999999999998693</v>
      </c>
      <c r="DO4">
        <f>(BQ5-Table2[[#This Row],[3F2 - PDB 3 - Dough Production Area]])*1000</f>
        <v>238.9999999999759</v>
      </c>
      <c r="DP4">
        <f>(BR5-Table2[[#This Row],[3F3 - PDB 4 - Dough Area]])*1000</f>
        <v>139.99999999998636</v>
      </c>
      <c r="DQ4">
        <f>AC5-Table2[[#This Row],[16F1 Tray washer Panel for Light]]</f>
        <v>676.64000000013039</v>
      </c>
      <c r="DR4">
        <f>CQ5-Table2[[#This Row],[2F1 Tray Washer - 1]]</f>
        <v>1396.4799999999814</v>
      </c>
      <c r="DS4">
        <f>CS5-Table2[[#This Row],[2F5 Destacker]]</f>
        <v>398.23999999999069</v>
      </c>
      <c r="DT4">
        <f>CU5-Table2[[#This Row],[5F1 Metering (TW-2)]]</f>
        <v>299.94199999998091</v>
      </c>
      <c r="DU4">
        <f>CV5-Table2[[#This Row],[6F1 Pre soaker Tray washer]]</f>
        <v>0.41599999999743886</v>
      </c>
      <c r="DV4">
        <f>CZ5-Table2[[#This Row],[6F5 Vent tray Storage]]</f>
        <v>96.448000000003958</v>
      </c>
      <c r="DW4">
        <f>I5-Table2[[#This Row],[Popeyes Meter ]]</f>
        <v>60.930000000000291</v>
      </c>
      <c r="DX4">
        <f>AZ5-Table2[[#This Row],[2F WH Chiller, Segregation Area]]</f>
        <v>0</v>
      </c>
      <c r="DY4">
        <f>BA5-Table2[[#This Row],[3F1 AC Unit WH dock cooling - 2 Nos]]</f>
        <v>1.5000000000000568E-2</v>
      </c>
      <c r="DZ4">
        <f>BB5-Table2[[#This Row],[3F2 AC Unit WH dock cooling - 3 Nos]]</f>
        <v>3.4999999999996589E-2</v>
      </c>
      <c r="EA4">
        <f>(BK5-Table2[[#This Row],[5F WH Perishable]])*1000</f>
        <v>278.99999999999636</v>
      </c>
      <c r="EB4">
        <f>BN5-Table2[[#This Row],[2F3 - PDB 9 - WH Dock Leveler Door ]]</f>
        <v>3.4648000000006505</v>
      </c>
      <c r="EC4">
        <f>BP5-Table2[[#This Row],[3F1 - PDB 5 - WH HSD]]</f>
        <v>115.67999999999302</v>
      </c>
      <c r="ED4">
        <f>BX5-Table2[[#This Row],[8F1 WH Dock AHU - Ventilation]]</f>
        <v>1443.2800000000279</v>
      </c>
      <c r="EE4">
        <f>BZ5-Table2[[#This Row],[8F3 ACPDB - 4 WH Dock air curtain]]</f>
        <v>17.584000000002561</v>
      </c>
      <c r="EF4">
        <f>CA5-Table2[[#This Row],[8F4 WH Light]]</f>
        <v>0</v>
      </c>
      <c r="EG4">
        <f>CC5-Table2[[#This Row],[9F1 - PDB 10 - WH Dock door &amp; Office]]</f>
        <v>87.935999999986961</v>
      </c>
      <c r="EH4">
        <f>CD5-Table2[[#This Row],[9F2 - PDB 11 - WH flycatchers]]</f>
        <v>172.70400000002701</v>
      </c>
      <c r="EI4">
        <f>CE5-Table2[[#This Row],[9F3 - PDB 12 - Other items]]</f>
        <v>4.5984000000025844</v>
      </c>
      <c r="EJ4">
        <f>CR5-Table2[[#This Row],[2F3 - PDB 1 - Dock 1 to 4 ]]</f>
        <v>48.695999999996275</v>
      </c>
      <c r="EK4">
        <f>BM5-Table2[[#This Row],[2F2 - PDB 3 - WH Truck &amp; Battery Charging]]</f>
        <v>389.18400000000838</v>
      </c>
      <c r="EL4">
        <f>(CK5-Table2[[#This Row],[PDB - 11 Truck Charging]])*1000</f>
        <v>39.000000000001478</v>
      </c>
      <c r="EM4">
        <f>P5-Table2[[#This Row],[5F3 Admin Area]]</f>
        <v>-19681.984000000055</v>
      </c>
      <c r="EN4">
        <f>AH5-Table2[[#This Row],[2F5 Main Gate-1 Piller -1]]</f>
        <v>111.00800000000163</v>
      </c>
      <c r="EO4">
        <f>CW5-Table2[[#This Row],[6F2 Ground Floor AC]]</f>
        <v>29.587199999994482</v>
      </c>
      <c r="EP4">
        <f>CX5-Table2[[#This Row],[6F3 ACBD -1 (First floor AC)]]</f>
        <v>8.8479999999981374</v>
      </c>
      <c r="EQ4">
        <f>CY5-Table2[[#This Row],[6F4 ACBD - 2 (Second &amp; Third floor AC)]]</f>
        <v>127.05600000001141</v>
      </c>
      <c r="ER4">
        <f>(BC5-Table2[[#This Row],[4F Old BMC cooling Unit]])</f>
        <v>0</v>
      </c>
      <c r="ES4">
        <f>BO5-Table2[[#This Row],[2F4 - Old BMC]]</f>
        <v>0</v>
      </c>
      <c r="ET4">
        <f>Y5-Table2[[#This Row],[14F2 New CK]]</f>
        <v>1379.1199999998789</v>
      </c>
      <c r="EU4">
        <f>(CL5-Table2[[#This Row],[OLD Ck Panel-1]])*1000</f>
        <v>669.99999999995907</v>
      </c>
      <c r="EV4">
        <f>CM5-Table2[[#This Row],[2F4 Old CK Blast (Blue star)]]</f>
        <v>0</v>
      </c>
      <c r="EW4">
        <f>CN5-Table2[[#This Row],[3F6 Old CK Blast (Carrier)]]</f>
        <v>565.19999999999709</v>
      </c>
      <c r="EX4">
        <f>(CO5-Table2[[#This Row],[Old CK Panel -2]])*1000</f>
        <v>1213.9999999999418</v>
      </c>
      <c r="EY4">
        <f>N5-Table2[[#This Row],[4F1 Main UPS 1/C -1]]</f>
        <v>939.52000000001863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33.999999999991815</v>
      </c>
      <c r="FC4">
        <f>BW5-Table2[[#This Row],[7F3 CLC Power Panel]]</f>
        <v>263.48800000001211</v>
      </c>
      <c r="FD4">
        <f>(CI5-Table2[[#This Row],[PDB - 17 CLC Section ]])*1000</f>
        <v>168.00000000000637</v>
      </c>
      <c r="FE4">
        <f>(W5-Table2[[#This Row],[13F3 Water &amp; Lift Old CK]])*1000</f>
        <v>1178.5999999999603</v>
      </c>
      <c r="FF4">
        <f>AA5-Table2[[#This Row],[15F2 New ETP Panel]]</f>
        <v>299.39199999999255</v>
      </c>
      <c r="FG4">
        <f>AL5-Table2[[#This Row],[3F4 Old ETP Panel]]</f>
        <v>64.704000000027008</v>
      </c>
      <c r="FH4">
        <f>AF5-Table2[[#This Row],[2F1 RO Plant]]</f>
        <v>568.64000000001397</v>
      </c>
      <c r="FI4">
        <f>AK5-Table2[[#This Row],[3F3 Fire Hydrant Panel]]</f>
        <v>10.872000000003027</v>
      </c>
      <c r="FJ4">
        <f>R5-Table2[[#This Row],[7F1 Freon System Panel]]</f>
        <v>5611.5200000004843</v>
      </c>
      <c r="FK4">
        <f>(AE5-Table2[[#This Row],[21F1 Refrigeration Ammonia]])*1000</f>
        <v>7338.4000000005472</v>
      </c>
      <c r="FL4">
        <f>(AG5-Table2[[#This Row],[2F3 Air Compressor]])*1000</f>
        <v>1280.9999999999491</v>
      </c>
      <c r="FM4">
        <f>(AX5-Table2[[#This Row],[Solar Reading Panel II]])*1000</f>
        <v>1631.0000000003129</v>
      </c>
      <c r="FN4">
        <f>AI5-Table2[[#This Row],[3F1 Maintenance Workshop]]</f>
        <v>3.5231999999996333</v>
      </c>
      <c r="FO4">
        <f>BD5-Table2[[#This Row],[4F B2B unit ]]</f>
        <v>64.768000000040047</v>
      </c>
      <c r="FP4">
        <f>BL5-Table2[[#This Row],[2F1 - PDB 6 - Bread, B2B section]]</f>
        <v>216.60800000000745</v>
      </c>
      <c r="FQ4">
        <f>(CG5-Table2[[#This Row],[9F5 - PDB 14 - Bread Lift]])</f>
        <v>0.58239999999932479</v>
      </c>
      <c r="FR4">
        <f>CJ5-Table2[[#This Row],[PDB - 16 Bread Section]]</f>
        <v>0</v>
      </c>
      <c r="FS4">
        <f>BU5-Table2[[#This Row],[7F1 Donut Production area]]</f>
        <v>194.11199999996461</v>
      </c>
      <c r="FT4">
        <f>CB5-Table2[[#This Row],[8F5 Donut Ban Bary]]</f>
        <v>18.711999999999534</v>
      </c>
      <c r="FU4">
        <f>CF5-Table2[[#This Row],[9F4 - PDB 13 - Donut Sink Geyser area]]</f>
        <v>23.951999999990221</v>
      </c>
      <c r="FV4">
        <f>BV5-Table2[[#This Row],[7F2 Flour Silo]]</f>
        <v>558</v>
      </c>
      <c r="FW4">
        <f>BY5-Table2[[#This Row],[8F2 ACPDB - 3 SILO Ventilation]]</f>
        <v>42.048000000009779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76</v>
      </c>
      <c r="B5" s="2">
        <v>46268.389791666668</v>
      </c>
      <c r="C5" s="2">
        <v>46268.433379629627</v>
      </c>
      <c r="D5" s="1" t="s">
        <v>111</v>
      </c>
      <c r="E5" s="1"/>
      <c r="F5" s="1"/>
      <c r="G5" s="3">
        <v>46268</v>
      </c>
      <c r="H5" s="1" t="s">
        <v>182</v>
      </c>
      <c r="I5" s="5">
        <v>7975.0720000000001</v>
      </c>
      <c r="J5" s="5">
        <v>4280.3</v>
      </c>
      <c r="K5" s="5">
        <v>1779095</v>
      </c>
      <c r="L5" s="5">
        <v>460</v>
      </c>
      <c r="M5" s="5">
        <v>193.36</v>
      </c>
      <c r="N5" s="5">
        <v>1897534.72</v>
      </c>
      <c r="O5" s="5">
        <v>4657411.5199999996</v>
      </c>
      <c r="P5" s="5">
        <v>657082.62399999995</v>
      </c>
      <c r="Q5" s="5">
        <v>8176175.3600000003</v>
      </c>
      <c r="R5" s="5">
        <v>5702890.2400000002</v>
      </c>
      <c r="S5" s="5">
        <v>7470421.7599999998</v>
      </c>
      <c r="T5" s="5">
        <v>43128872.875</v>
      </c>
      <c r="U5" s="5">
        <v>2143581.44</v>
      </c>
      <c r="V5" s="5">
        <v>5167338.88</v>
      </c>
      <c r="W5" s="5">
        <v>1613.761</v>
      </c>
      <c r="X5" s="5">
        <v>782311.55200000003</v>
      </c>
      <c r="Y5" s="5">
        <v>1135168.24</v>
      </c>
      <c r="Z5" s="5">
        <v>2777.8894</v>
      </c>
      <c r="AA5" s="5">
        <v>677053.82400000002</v>
      </c>
      <c r="AB5" s="5">
        <v>422069.02399999998</v>
      </c>
      <c r="AC5" s="5">
        <v>2160241.92</v>
      </c>
      <c r="AD5" s="5">
        <v>2968282.3569999998</v>
      </c>
      <c r="AE5" s="5">
        <v>13027.8968</v>
      </c>
      <c r="AF5" s="5">
        <v>892753.02399999998</v>
      </c>
      <c r="AG5" s="5">
        <v>1437.5309999999999</v>
      </c>
      <c r="AH5" s="5">
        <v>136890.09599999999</v>
      </c>
      <c r="AI5" s="5">
        <v>14784.379199999999</v>
      </c>
      <c r="AJ5" s="5">
        <v>145409.10399999999</v>
      </c>
      <c r="AK5" s="5">
        <v>105571.784</v>
      </c>
      <c r="AL5" s="5">
        <v>332800.288</v>
      </c>
      <c r="AM5" s="5">
        <v>1010.606</v>
      </c>
      <c r="AN5" s="5">
        <v>342</v>
      </c>
      <c r="AO5" s="5">
        <v>7.5</v>
      </c>
      <c r="AP5" s="5">
        <v>766428</v>
      </c>
      <c r="AQ5" s="5">
        <v>42952</v>
      </c>
      <c r="AR5" s="5">
        <v>42407</v>
      </c>
      <c r="AS5" s="5">
        <v>32432</v>
      </c>
      <c r="AT5" s="5">
        <v>22148</v>
      </c>
      <c r="AU5" s="5">
        <v>16318</v>
      </c>
      <c r="AV5" s="5">
        <v>6815</v>
      </c>
      <c r="AW5" s="5">
        <v>21.139982</v>
      </c>
      <c r="AX5" s="5">
        <v>7313.0050000000001</v>
      </c>
      <c r="AY5" s="5">
        <v>683.45111999999995</v>
      </c>
      <c r="AZ5" s="5">
        <v>20.788</v>
      </c>
      <c r="BA5" s="5">
        <v>10.977</v>
      </c>
      <c r="BB5" s="5">
        <v>46.045999999999999</v>
      </c>
      <c r="BC5" s="5">
        <v>114027.232</v>
      </c>
      <c r="BD5" s="5">
        <v>277457.28000000003</v>
      </c>
      <c r="BE5" s="5">
        <v>3764.2204000000002</v>
      </c>
      <c r="BF5" s="5">
        <v>1714.182</v>
      </c>
      <c r="BG5" s="5">
        <v>75.947999999999993</v>
      </c>
      <c r="BH5" s="5">
        <v>376.33600000000001</v>
      </c>
      <c r="BI5" s="5">
        <v>929.93600000000004</v>
      </c>
      <c r="BJ5" s="5">
        <v>16.263999999999999</v>
      </c>
      <c r="BK5" s="5">
        <v>572.37900000000002</v>
      </c>
      <c r="BL5" s="5">
        <v>78498.880000000005</v>
      </c>
      <c r="BM5" s="5">
        <v>325076.99200000003</v>
      </c>
      <c r="BN5" s="5">
        <v>7306.3176000000003</v>
      </c>
      <c r="BO5" s="5">
        <v>53589.132799999999</v>
      </c>
      <c r="BP5" s="5">
        <v>317659.77600000001</v>
      </c>
      <c r="BQ5" s="5">
        <v>332.78</v>
      </c>
      <c r="BR5" s="5">
        <v>185.547</v>
      </c>
      <c r="BS5" s="5">
        <v>1052301.736</v>
      </c>
      <c r="BT5" s="5">
        <v>1400627.84</v>
      </c>
      <c r="BU5" s="5">
        <v>635546.75199999998</v>
      </c>
      <c r="BV5" s="5">
        <v>1040571.28</v>
      </c>
      <c r="BW5" s="5">
        <v>576064.83200000005</v>
      </c>
      <c r="BX5" s="5">
        <v>1057585.28</v>
      </c>
      <c r="BY5" s="5">
        <v>159203.63200000001</v>
      </c>
      <c r="BZ5" s="5">
        <v>115054.81600000001</v>
      </c>
      <c r="CA5" s="5">
        <v>1244.5895</v>
      </c>
      <c r="CB5" s="5">
        <v>110008.064</v>
      </c>
      <c r="CC5" s="5">
        <v>154359.82399999999</v>
      </c>
      <c r="CD5" s="5">
        <v>452826.304</v>
      </c>
      <c r="CE5" s="5">
        <v>49258.684800000003</v>
      </c>
      <c r="CF5" s="5">
        <v>156768.864</v>
      </c>
      <c r="CG5" s="5">
        <v>36099.161599999999</v>
      </c>
      <c r="CH5" s="5">
        <v>2385.8710000000001</v>
      </c>
      <c r="CI5" s="5">
        <v>219.28800000000001</v>
      </c>
      <c r="CJ5" s="5">
        <v>1191.5999999999999</v>
      </c>
      <c r="CK5" s="5">
        <v>79.591999999999999</v>
      </c>
      <c r="CL5" s="5">
        <v>751.59799999999996</v>
      </c>
      <c r="CM5" s="5">
        <v>551.4</v>
      </c>
      <c r="CN5" s="5">
        <v>59147.7</v>
      </c>
      <c r="CO5" s="5">
        <v>1687.646</v>
      </c>
      <c r="CP5" s="5">
        <v>300984.55499999999</v>
      </c>
      <c r="CQ5" s="5">
        <v>3725950.08</v>
      </c>
      <c r="CR5" s="5">
        <v>133197.84</v>
      </c>
      <c r="CS5" s="5">
        <v>524688.19200000004</v>
      </c>
      <c r="CT5" s="5">
        <v>3044938.4270000001</v>
      </c>
      <c r="CU5" s="5">
        <v>307537.84999999998</v>
      </c>
      <c r="CV5" s="5">
        <v>30261.209599999998</v>
      </c>
      <c r="CW5" s="5">
        <v>63583.718399999998</v>
      </c>
      <c r="CX5" s="5">
        <v>33638.207999999999</v>
      </c>
      <c r="CY5" s="5">
        <v>171940.272</v>
      </c>
      <c r="CZ5" s="5">
        <v>220520.76800000001</v>
      </c>
      <c r="DA5" s="5">
        <v>19456.439999999999</v>
      </c>
      <c r="DB5" s="5">
        <v>153514.40400000001</v>
      </c>
      <c r="DC5" s="5">
        <v>3236.82</v>
      </c>
      <c r="DD5" s="5">
        <v>3236.71</v>
      </c>
      <c r="DE5" s="5">
        <v>3266.58</v>
      </c>
      <c r="DF5" s="5">
        <v>0.995</v>
      </c>
      <c r="DG5" s="1" t="s">
        <v>214</v>
      </c>
      <c r="DH5" s="4">
        <f>Table2[[#This Row],[Date]]</f>
        <v>46268</v>
      </c>
      <c r="DI5">
        <f>(DD6-Table2[[#This Row],[MWH Total]])*4000</f>
        <v>25319.999999999709</v>
      </c>
      <c r="DJ5">
        <f>(DA6-Table2[[#This Row],[PNG Meter (Outside)]])*2.936</f>
        <v>69.964880000005124</v>
      </c>
      <c r="DK5">
        <f>(DB6-Table2[[#This Row],[PNG Meter (Inside)]])*2.936</f>
        <v>342.28181599993093</v>
      </c>
      <c r="DL5">
        <f>(BH6-Table2[[#This Row],[3F Dough cooler - 2 ]])*1000</f>
        <v>401.00000000001046</v>
      </c>
      <c r="DM5">
        <f>(BI6-Table2[[#This Row],[3F Dough Cooler- 1]])*1000</f>
        <v>483.9999999999236</v>
      </c>
      <c r="DN5">
        <f>(BJ6-Table2[[#This Row],[4F Dough Production cooling Unit]])*1000</f>
        <v>36.000000000001364</v>
      </c>
      <c r="DO5">
        <f>(BQ6-Table2[[#This Row],[3F2 - PDB 3 - Dough Production Area]])*1000</f>
        <v>269.00000000000546</v>
      </c>
      <c r="DP5">
        <f>(BR6-Table2[[#This Row],[3F3 - PDB 4 - Dough Area]])*1000</f>
        <v>153.99999999999636</v>
      </c>
      <c r="DQ5">
        <f>AC6-Table2[[#This Row],[16F1 Tray washer Panel for Light]]</f>
        <v>692.8000000002794</v>
      </c>
      <c r="DR5">
        <f>CQ6-Table2[[#This Row],[2F1 Tray Washer - 1]]</f>
        <v>1376.9599999999627</v>
      </c>
      <c r="DS5">
        <f>CS6-Table2[[#This Row],[2F5 Destacker]]</f>
        <v>374.75199999997858</v>
      </c>
      <c r="DT5">
        <f>CU6-Table2[[#This Row],[5F1 Metering (TW-2)]]</f>
        <v>277.69100000004983</v>
      </c>
      <c r="DU5">
        <f>CV6-Table2[[#This Row],[6F1 Pre soaker Tray washer]]</f>
        <v>3.5840000000025611</v>
      </c>
      <c r="DV5">
        <f>CZ6-Table2[[#This Row],[6F5 Vent tray Storage]]</f>
        <v>84.047999999980675</v>
      </c>
      <c r="DW5">
        <f>I6-Table2[[#This Row],[Popeyes Meter ]]</f>
        <v>54.909999999999854</v>
      </c>
      <c r="DX5">
        <f>AZ6-Table2[[#This Row],[2F WH Chiller, Segregation Area]]</f>
        <v>0</v>
      </c>
      <c r="DY5">
        <f>BA6-Table2[[#This Row],[3F1 AC Unit WH dock cooling - 2 Nos]]</f>
        <v>1.7999999999998906E-2</v>
      </c>
      <c r="DZ5">
        <f>BB6-Table2[[#This Row],[3F2 AC Unit WH dock cooling - 3 Nos]]</f>
        <v>4.700000000000415E-2</v>
      </c>
      <c r="EA5">
        <f>(BK6-Table2[[#This Row],[5F WH Perishable]])*1000</f>
        <v>283.00000000001546</v>
      </c>
      <c r="EB5">
        <f>BN6-Table2[[#This Row],[2F3 - PDB 9 - WH Dock Leveler Door ]]</f>
        <v>2.9751999999998588</v>
      </c>
      <c r="EC5">
        <f>BP6-Table2[[#This Row],[3F1 - PDB 5 - WH HSD]]</f>
        <v>118.97599999996601</v>
      </c>
      <c r="ED5">
        <f>BX6-Table2[[#This Row],[8F1 WH Dock AHU - Ventilation]]</f>
        <v>1460.8799999998882</v>
      </c>
      <c r="EE5">
        <f>BZ6-Table2[[#This Row],[8F3 ACPDB - 4 WH Dock air curtain]]</f>
        <v>18.879999999990105</v>
      </c>
      <c r="EF5">
        <f>CA6-Table2[[#This Row],[8F4 WH Light]]</f>
        <v>0</v>
      </c>
      <c r="EG5">
        <f>CC6-Table2[[#This Row],[9F1 - PDB 10 - WH Dock door &amp; Office]]</f>
        <v>127.71199999999953</v>
      </c>
      <c r="EH5">
        <f>CD6-Table2[[#This Row],[9F2 - PDB 11 - WH flycatchers]]</f>
        <v>111.71199999999953</v>
      </c>
      <c r="EI5">
        <f>CE6-Table2[[#This Row],[9F3 - PDB 12 - Other items]]</f>
        <v>4.0735999999960768</v>
      </c>
      <c r="EJ5">
        <f>CR6-Table2[[#This Row],[2F3 - PDB 1 - Dock 1 to 4 ]]</f>
        <v>56.584000000002561</v>
      </c>
      <c r="EK5">
        <f>BM6-Table2[[#This Row],[2F2 - PDB 3 - WH Truck &amp; Battery Charging]]</f>
        <v>642.04799999995157</v>
      </c>
      <c r="EL5">
        <f>(CK6-Table2[[#This Row],[PDB - 11 Truck Charging]])*1000</f>
        <v>33.000000000001251</v>
      </c>
      <c r="EM5">
        <f>P6-Table2[[#This Row],[5F3 Admin Area]]</f>
        <v>393.92000000004191</v>
      </c>
      <c r="EN5">
        <f>AH6-Table2[[#This Row],[2F5 Main Gate-1 Piller -1]]</f>
        <v>114.62400000001071</v>
      </c>
      <c r="EO5">
        <f>CW6-Table2[[#This Row],[6F2 Ground Floor AC]]</f>
        <v>19.916799999999057</v>
      </c>
      <c r="EP5">
        <f>CX6-Table2[[#This Row],[6F3 ACBD -1 (First floor AC)]]</f>
        <v>8.8224000000045635</v>
      </c>
      <c r="EQ5">
        <f>CY6-Table2[[#This Row],[6F4 ACBD - 2 (Second &amp; Third floor AC)]]</f>
        <v>121.5679999999993</v>
      </c>
      <c r="ER5">
        <f>(BC6-Table2[[#This Row],[4F Old BMC cooling Unit]])</f>
        <v>0</v>
      </c>
      <c r="ES5">
        <f>BO6-Table2[[#This Row],[2F4 - Old BMC]]</f>
        <v>0</v>
      </c>
      <c r="ET5">
        <f>Y6-Table2[[#This Row],[14F2 New CK]]</f>
        <v>1690</v>
      </c>
      <c r="EU5">
        <f>(CL6-Table2[[#This Row],[OLD Ck Panel-1]])*1000</f>
        <v>689.00000000007822</v>
      </c>
      <c r="EV5">
        <f>CM6-Table2[[#This Row],[2F4 Old CK Blast (Blue star)]]</f>
        <v>0</v>
      </c>
      <c r="EW5">
        <f>CN6-Table2[[#This Row],[3F6 Old CK Blast (Carrier)]]</f>
        <v>563.80000000000291</v>
      </c>
      <c r="EX5">
        <f>(CO6-Table2[[#This Row],[Old CK Panel -2]])*1000</f>
        <v>1246.0000000000946</v>
      </c>
      <c r="EY5">
        <f>N6-Table2[[#This Row],[4F1 Main UPS 1/C -1]]</f>
        <v>999.36000000010245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35.0000000000108</v>
      </c>
      <c r="FC5">
        <f>BW6-Table2[[#This Row],[7F3 CLC Power Panel]]</f>
        <v>278.9759999999078</v>
      </c>
      <c r="FD5">
        <f>(CI6-Table2[[#This Row],[PDB - 17 CLC Section ]])*1000</f>
        <v>177.99999999999727</v>
      </c>
      <c r="FE5">
        <f>(W6-Table2[[#This Row],[13F3 Water &amp; Lift Old CK]])*1000</f>
        <v>1058.0999999999676</v>
      </c>
      <c r="FF5">
        <f>AA6-Table2[[#This Row],[15F2 New ETP Panel]]</f>
        <v>273.79200000001583</v>
      </c>
      <c r="FG5">
        <f>AL6-Table2[[#This Row],[3F4 Old ETP Panel]]</f>
        <v>71.456000000005588</v>
      </c>
      <c r="FH5">
        <f>AF6-Table2[[#This Row],[2F1 RO Plant]]</f>
        <v>626.11200000008103</v>
      </c>
      <c r="FI5">
        <f>AK6-Table2[[#This Row],[3F3 Fire Hydrant Panel]]</f>
        <v>10.759999999994761</v>
      </c>
      <c r="FJ5">
        <f>R6-Table2[[#This Row],[7F1 Freon System Panel]]</f>
        <v>5582.0800000000745</v>
      </c>
      <c r="FK5">
        <f>(AE6-Table2[[#This Row],[21F1 Refrigeration Ammonia]])*1000</f>
        <v>7868.0000000003929</v>
      </c>
      <c r="FL5">
        <f>(AG6-Table2[[#This Row],[2F3 Air Compressor]])*1000</f>
        <v>1305.0000000000637</v>
      </c>
      <c r="FM5">
        <f>(AX6-Table2[[#This Row],[Solar Reading Panel II]])*1000</f>
        <v>2170.0000000000728</v>
      </c>
      <c r="FN5">
        <f>AI6-Table2[[#This Row],[3F1 Maintenance Workshop]]</f>
        <v>5.7200000000011642</v>
      </c>
      <c r="FO5">
        <f>BD6-Table2[[#This Row],[4F B2B unit ]]</f>
        <v>50.11199999996461</v>
      </c>
      <c r="FP5">
        <f>BL6-Table2[[#This Row],[2F1 - PDB 6 - Bread, B2B section]]</f>
        <v>283.59679999999935</v>
      </c>
      <c r="FQ5">
        <f>(CG6-Table2[[#This Row],[9F5 - PDB 14 - Bread Lift]])</f>
        <v>0.30400000000372529</v>
      </c>
      <c r="FR5">
        <f>CJ6-Table2[[#This Row],[PDB - 16 Bread Section]]</f>
        <v>0</v>
      </c>
      <c r="FS5">
        <f>BU6-Table2[[#This Row],[7F1 Donut Production area]]</f>
        <v>209.2160000000149</v>
      </c>
      <c r="FT5">
        <f>CB6-Table2[[#This Row],[8F5 Donut Ban Bary]]</f>
        <v>15.767999999996391</v>
      </c>
      <c r="FU5">
        <f>CF6-Table2[[#This Row],[9F4 - PDB 13 - Donut Sink Geyser area]]</f>
        <v>24.543999999994412</v>
      </c>
      <c r="FV5">
        <f>BV6-Table2[[#This Row],[7F2 Flour Silo]]</f>
        <v>544.79999999993015</v>
      </c>
      <c r="FW5">
        <f>BY6-Table2[[#This Row],[8F2 ACPDB - 3 SILO Ventilation]]</f>
        <v>42.623999999981606</v>
      </c>
      <c r="FX5">
        <f>J6-Table2[[#This Row],[DG 1010KVA Running Hours]]</f>
        <v>0.3999999999996362</v>
      </c>
      <c r="FY5">
        <f>K6-Table2[[#This Row],[DG 1010 KVA Meter Reading]]</f>
        <v>208</v>
      </c>
      <c r="FZ5">
        <f>L6-Table2[[#This Row],[GG 1010 KVA Running Hours]]</f>
        <v>0</v>
      </c>
      <c r="GA5">
        <f>M6-Table2[[#This Row],[GG 1010 KVA Meter Reading]]</f>
        <v>0.19999999999998863</v>
      </c>
    </row>
    <row r="6" spans="1:183" x14ac:dyDescent="0.35">
      <c r="A6" s="1">
        <v>77</v>
      </c>
      <c r="B6" s="2">
        <v>46269.391562500001</v>
      </c>
      <c r="C6" s="2">
        <v>46269.432210648149</v>
      </c>
      <c r="D6" s="1" t="s">
        <v>111</v>
      </c>
      <c r="E6" s="1"/>
      <c r="F6" s="1"/>
      <c r="G6" s="3">
        <v>46269</v>
      </c>
      <c r="H6" s="1" t="s">
        <v>212</v>
      </c>
      <c r="I6" s="5">
        <v>8029.982</v>
      </c>
      <c r="J6" s="5">
        <v>4280.7</v>
      </c>
      <c r="K6" s="5">
        <v>1779303</v>
      </c>
      <c r="L6" s="5">
        <v>460</v>
      </c>
      <c r="M6" s="5">
        <v>193.56</v>
      </c>
      <c r="N6" s="5">
        <v>1898534.08</v>
      </c>
      <c r="O6" s="5">
        <v>4659409.92</v>
      </c>
      <c r="P6" s="5">
        <v>657476.54399999999</v>
      </c>
      <c r="Q6" s="5">
        <v>8178563.8399999999</v>
      </c>
      <c r="R6" s="5">
        <v>5708472.3200000003</v>
      </c>
      <c r="S6" s="5">
        <v>7474261.7599999998</v>
      </c>
      <c r="T6" s="5">
        <v>43595488.763999999</v>
      </c>
      <c r="U6" s="5">
        <v>2145199.2000000002</v>
      </c>
      <c r="V6" s="5">
        <v>5169062.08</v>
      </c>
      <c r="W6" s="5">
        <v>1614.8190999999999</v>
      </c>
      <c r="X6" s="5">
        <v>782592.89599999995</v>
      </c>
      <c r="Y6" s="5">
        <v>1136858.24</v>
      </c>
      <c r="Z6" s="5">
        <v>2777.8894</v>
      </c>
      <c r="AA6" s="5">
        <v>677327.61600000004</v>
      </c>
      <c r="AB6" s="5">
        <v>422106.24</v>
      </c>
      <c r="AC6" s="5">
        <v>2160934.7200000002</v>
      </c>
      <c r="AD6" s="5">
        <v>4485551.5729999999</v>
      </c>
      <c r="AE6" s="5">
        <v>13035.764800000001</v>
      </c>
      <c r="AF6" s="5">
        <v>893379.13600000006</v>
      </c>
      <c r="AG6" s="5">
        <v>1438.836</v>
      </c>
      <c r="AH6" s="5">
        <v>137004.72</v>
      </c>
      <c r="AI6" s="5">
        <v>14790.099200000001</v>
      </c>
      <c r="AJ6" s="5">
        <v>145410.35200000001</v>
      </c>
      <c r="AK6" s="5">
        <v>105582.54399999999</v>
      </c>
      <c r="AL6" s="5">
        <v>332871.74400000001</v>
      </c>
      <c r="AM6" s="5">
        <v>1011.215</v>
      </c>
      <c r="AN6" s="5">
        <v>291.2</v>
      </c>
      <c r="AO6" s="5">
        <v>7.1</v>
      </c>
      <c r="AP6" s="5">
        <v>776842</v>
      </c>
      <c r="AQ6" s="5">
        <v>42976</v>
      </c>
      <c r="AR6" s="5">
        <v>42431</v>
      </c>
      <c r="AS6" s="5">
        <v>32432</v>
      </c>
      <c r="AT6" s="5">
        <v>22148</v>
      </c>
      <c r="AU6" s="5">
        <v>16342</v>
      </c>
      <c r="AV6" s="5">
        <v>6827</v>
      </c>
      <c r="AW6" s="5">
        <v>21.147644</v>
      </c>
      <c r="AX6" s="5">
        <v>7315.1750000000002</v>
      </c>
      <c r="AY6" s="5">
        <v>683.56831999999997</v>
      </c>
      <c r="AZ6" s="5">
        <v>20.788</v>
      </c>
      <c r="BA6" s="5">
        <v>10.994999999999999</v>
      </c>
      <c r="BB6" s="5">
        <v>46.093000000000004</v>
      </c>
      <c r="BC6" s="5">
        <v>114027.232</v>
      </c>
      <c r="BD6" s="5">
        <v>277507.39199999999</v>
      </c>
      <c r="BE6" s="5">
        <v>3765.5171999999998</v>
      </c>
      <c r="BF6" s="5">
        <v>1714.182</v>
      </c>
      <c r="BG6" s="5">
        <v>75.983000000000004</v>
      </c>
      <c r="BH6" s="5">
        <v>376.73700000000002</v>
      </c>
      <c r="BI6" s="5">
        <v>930.42</v>
      </c>
      <c r="BJ6" s="5">
        <v>16.3</v>
      </c>
      <c r="BK6" s="5">
        <v>572.66200000000003</v>
      </c>
      <c r="BL6" s="5">
        <v>78782.476800000004</v>
      </c>
      <c r="BM6" s="5">
        <v>325719.03999999998</v>
      </c>
      <c r="BN6" s="5">
        <v>7309.2928000000002</v>
      </c>
      <c r="BO6" s="5">
        <v>53589.132799999999</v>
      </c>
      <c r="BP6" s="5">
        <v>317778.75199999998</v>
      </c>
      <c r="BQ6" s="5">
        <v>333.04899999999998</v>
      </c>
      <c r="BR6" s="5">
        <v>185.70099999999999</v>
      </c>
      <c r="BS6" s="5">
        <v>1053914.287</v>
      </c>
      <c r="BT6" s="5">
        <v>1400627.8670000001</v>
      </c>
      <c r="BU6" s="5">
        <v>635755.96799999999</v>
      </c>
      <c r="BV6" s="5">
        <v>1041116.08</v>
      </c>
      <c r="BW6" s="5">
        <v>576343.80799999996</v>
      </c>
      <c r="BX6" s="5">
        <v>1059046.1599999999</v>
      </c>
      <c r="BY6" s="5">
        <v>159246.25599999999</v>
      </c>
      <c r="BZ6" s="5">
        <v>115073.696</v>
      </c>
      <c r="CA6" s="5">
        <v>1244.5895</v>
      </c>
      <c r="CB6" s="5">
        <v>110023.83199999999</v>
      </c>
      <c r="CC6" s="5">
        <v>154487.53599999999</v>
      </c>
      <c r="CD6" s="5">
        <v>452938.016</v>
      </c>
      <c r="CE6" s="5">
        <v>49262.758399999999</v>
      </c>
      <c r="CF6" s="5">
        <v>156793.408</v>
      </c>
      <c r="CG6" s="5">
        <v>36099.465600000003</v>
      </c>
      <c r="CH6" s="5">
        <v>2385.8710000000001</v>
      </c>
      <c r="CI6" s="5">
        <v>219.46600000000001</v>
      </c>
      <c r="CJ6" s="5">
        <v>1191.5999999999999</v>
      </c>
      <c r="CK6" s="5">
        <v>79.625</v>
      </c>
      <c r="CL6" s="5">
        <v>752.28700000000003</v>
      </c>
      <c r="CM6" s="5">
        <v>551.4</v>
      </c>
      <c r="CN6" s="5">
        <v>59711.5</v>
      </c>
      <c r="CO6" s="5">
        <v>1688.8920000000001</v>
      </c>
      <c r="CP6" s="5">
        <v>301220.02500000002</v>
      </c>
      <c r="CQ6" s="5">
        <v>3727327.04</v>
      </c>
      <c r="CR6" s="5">
        <v>133254.424</v>
      </c>
      <c r="CS6" s="5">
        <v>525062.94400000002</v>
      </c>
      <c r="CT6" s="5">
        <v>3048820.7459999998</v>
      </c>
      <c r="CU6" s="5">
        <v>307815.54100000003</v>
      </c>
      <c r="CV6" s="5">
        <v>30264.793600000001</v>
      </c>
      <c r="CW6" s="5">
        <v>63603.635199999997</v>
      </c>
      <c r="CX6" s="5">
        <v>33647.030400000003</v>
      </c>
      <c r="CY6" s="5">
        <v>172061.84</v>
      </c>
      <c r="CZ6" s="5">
        <v>220604.81599999999</v>
      </c>
      <c r="DA6" s="5">
        <v>19480.27</v>
      </c>
      <c r="DB6" s="5">
        <v>153630.98499999999</v>
      </c>
      <c r="DC6" s="5">
        <v>3243.17</v>
      </c>
      <c r="DD6" s="5">
        <v>3243.04</v>
      </c>
      <c r="DE6" s="5">
        <v>3273.09</v>
      </c>
      <c r="DF6" s="5">
        <v>0.995</v>
      </c>
      <c r="DG6" s="1" t="s">
        <v>215</v>
      </c>
      <c r="DH6" s="4">
        <f>Table2[[#This Row],[Date]]</f>
        <v>46269</v>
      </c>
      <c r="DI6">
        <f>(DD7-Table2[[#This Row],[MWH Total]])*4000</f>
        <v>29200.000000000728</v>
      </c>
      <c r="DJ6">
        <f>(DA7-Table2[[#This Row],[PNG Meter (Outside)]])*2.936</f>
        <v>9.3952000000021361</v>
      </c>
      <c r="DK6">
        <f>(DB7-Table2[[#This Row],[PNG Meter (Inside)]])*2.936</f>
        <v>400.03</v>
      </c>
      <c r="DL6">
        <f>(BH7-Table2[[#This Row],[3F Dough cooler - 2 ]])*1000</f>
        <v>209.00000000000318</v>
      </c>
      <c r="DM6">
        <f>(BI7-Table2[[#This Row],[3F Dough Cooler- 1]])*1000</f>
        <v>493.00000000005184</v>
      </c>
      <c r="DN6">
        <f>(BJ7-Table2[[#This Row],[4F Dough Production cooling Unit]])*1000</f>
        <v>44.999999999998153</v>
      </c>
      <c r="DO6">
        <f>(BQ7-Table2[[#This Row],[3F2 - PDB 3 - Dough Production Area]])*1000</f>
        <v>213.00000000002228</v>
      </c>
      <c r="DP6">
        <f>(BR7-Table2[[#This Row],[3F3 - PDB 4 - Dough Area]])*1000</f>
        <v>143.00000000000068</v>
      </c>
      <c r="DQ6">
        <f>AC7-Table2[[#This Row],[16F1 Tray washer Panel for Light]]</f>
        <v>690.71999999973923</v>
      </c>
      <c r="DR6">
        <f>CQ7-Table2[[#This Row],[2F1 Tray Washer - 1]]</f>
        <v>1178.5600000000559</v>
      </c>
      <c r="DS6">
        <f>CS7-Table2[[#This Row],[2F5 Destacker]]</f>
        <v>324.67200000002049</v>
      </c>
      <c r="DT6">
        <f>CU7-Table2[[#This Row],[5F1 Metering (TW-2)]]</f>
        <v>298.3519999999553</v>
      </c>
      <c r="DU6">
        <f>CV7-Table2[[#This Row],[6F1 Pre soaker Tray washer]]</f>
        <v>3.6607999999978347</v>
      </c>
      <c r="DV6">
        <f>CZ7-Table2[[#This Row],[6F5 Vent tray Storage]]</f>
        <v>115.18400000000838</v>
      </c>
      <c r="DW6">
        <f>I7-Table2[[#This Row],[Popeyes Meter ]]</f>
        <v>65.380000000000109</v>
      </c>
      <c r="DX6">
        <f>AZ7-Table2[[#This Row],[2F WH Chiller, Segregation Area]]</f>
        <v>0</v>
      </c>
      <c r="DY6">
        <f>BA7-Table2[[#This Row],[3F1 AC Unit WH dock cooling - 2 Nos]]</f>
        <v>2.1000000000000796E-2</v>
      </c>
      <c r="DZ6">
        <f>BB7-Table2[[#This Row],[3F2 AC Unit WH dock cooling - 3 Nos]]</f>
        <v>3.8999999999994373E-2</v>
      </c>
      <c r="EA6">
        <f>(BK7-Table2[[#This Row],[5F WH Perishable]])*1000</f>
        <v>285.99999999994452</v>
      </c>
      <c r="EB6">
        <f>BN7-Table2[[#This Row],[2F3 - PDB 9 - WH Dock Leveler Door ]]</f>
        <v>6.677599999999984</v>
      </c>
      <c r="EC6">
        <f>BP7-Table2[[#This Row],[3F1 - PDB 5 - WH HSD]]</f>
        <v>117.31200000003446</v>
      </c>
      <c r="ED6">
        <f>BX7-Table2[[#This Row],[8F1 WH Dock AHU - Ventilation]]</f>
        <v>1475.6800000001676</v>
      </c>
      <c r="EE6">
        <f>BZ7-Table2[[#This Row],[8F3 ACPDB - 4 WH Dock air curtain]]</f>
        <v>19.096000000005006</v>
      </c>
      <c r="EF6">
        <f>CA7-Table2[[#This Row],[8F4 WH Light]]</f>
        <v>0</v>
      </c>
      <c r="EG6">
        <f>CC7-Table2[[#This Row],[9F1 - PDB 10 - WH Dock door &amp; Office]]</f>
        <v>89.360000000015134</v>
      </c>
      <c r="EH6">
        <f>CD7-Table2[[#This Row],[9F2 - PDB 11 - WH flycatchers]]</f>
        <v>199.90399999998044</v>
      </c>
      <c r="EI6">
        <f>CE7-Table2[[#This Row],[9F3 - PDB 12 - Other items]]</f>
        <v>4.5728000000017346</v>
      </c>
      <c r="EJ6">
        <f>CR7-Table2[[#This Row],[2F3 - PDB 1 - Dock 1 to 4 ]]</f>
        <v>48.855999999999767</v>
      </c>
      <c r="EK6">
        <f>BM7-Table2[[#This Row],[2F2 - PDB 3 - WH Truck &amp; Battery Charging]]</f>
        <v>738.11200000002282</v>
      </c>
      <c r="EL6">
        <f>(CK7-Table2[[#This Row],[PDB - 11 Truck Charging]])*1000</f>
        <v>37.000000000006139</v>
      </c>
      <c r="EM6">
        <f>P7-Table2[[#This Row],[5F3 Admin Area]]</f>
        <v>387.8399999999674</v>
      </c>
      <c r="EN6">
        <f>AH7-Table2[[#This Row],[2F5 Main Gate-1 Piller -1]]</f>
        <v>113.39199999999255</v>
      </c>
      <c r="EO6">
        <f>CW7-Table2[[#This Row],[6F2 Ground Floor AC]]</f>
        <v>11.897600000003877</v>
      </c>
      <c r="EP6">
        <f>CX7-Table2[[#This Row],[6F3 ACBD -1 (First floor AC)]]</f>
        <v>8.9503999999942607</v>
      </c>
      <c r="EQ6">
        <f>CY7-Table2[[#This Row],[6F4 ACBD - 2 (Second &amp; Third floor AC)]]</f>
        <v>121.16800000000512</v>
      </c>
      <c r="ER6">
        <f>(BC7-Table2[[#This Row],[4F Old BMC cooling Unit]])</f>
        <v>1.8319999999948777</v>
      </c>
      <c r="ES6">
        <f>BO7-Table2[[#This Row],[2F4 - Old BMC]]</f>
        <v>0</v>
      </c>
      <c r="ET6">
        <f>Y7-Table2[[#This Row],[14F2 New CK]]</f>
        <v>1927.5200000000186</v>
      </c>
      <c r="EU6">
        <f>(CL7-Table2[[#This Row],[OLD Ck Panel-1]])*1000</f>
        <v>693.99999999995998</v>
      </c>
      <c r="EV6">
        <f>CM7-Table2[[#This Row],[2F4 Old CK Blast (Blue star)]]</f>
        <v>0</v>
      </c>
      <c r="EW6">
        <f>CN7-Table2[[#This Row],[3F6 Old CK Blast (Carrier)]]</f>
        <v>573.40000000000146</v>
      </c>
      <c r="EX6">
        <f>(CO7-Table2[[#This Row],[Old CK Panel -2]])*1000</f>
        <v>1230.0000000000182</v>
      </c>
      <c r="EY6">
        <f>N7-Table2[[#This Row],[4F1 Main UPS 1/C -1]]</f>
        <v>985.11999999987893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34.999999999996589</v>
      </c>
      <c r="FC6">
        <f>BW7-Table2[[#This Row],[7F3 CLC Power Panel]]</f>
        <v>251.20000000006985</v>
      </c>
      <c r="FD6">
        <f>(CI7-Table2[[#This Row],[PDB - 17 CLC Section ]])*1000</f>
        <v>149.00000000000091</v>
      </c>
      <c r="FE6">
        <f>(W7-Table2[[#This Row],[13F3 Water &amp; Lift Old CK]])*1000</f>
        <v>1384.8000000000411</v>
      </c>
      <c r="FF6">
        <f>AA7-Table2[[#This Row],[15F2 New ETP Panel]]</f>
        <v>288.89599999994971</v>
      </c>
      <c r="FG6">
        <f>AL7-Table2[[#This Row],[3F4 Old ETP Panel]]</f>
        <v>77.760000000009313</v>
      </c>
      <c r="FH6">
        <f>AF7-Table2[[#This Row],[2F1 RO Plant]]</f>
        <v>575.87199999997392</v>
      </c>
      <c r="FI6">
        <f>AK7-Table2[[#This Row],[3F3 Fire Hydrant Panel]]</f>
        <v>10.768000000010943</v>
      </c>
      <c r="FJ6">
        <f>R7-Table2[[#This Row],[7F1 Freon System Panel]]</f>
        <v>5457.9199999999255</v>
      </c>
      <c r="FK6">
        <f>(AE7-Table2[[#This Row],[21F1 Refrigeration Ammonia]])*1000</f>
        <v>7452.7999999991152</v>
      </c>
      <c r="FL6">
        <f>(AG7-Table2[[#This Row],[2F3 Air Compressor]])*1000</f>
        <v>1298.0000000000018</v>
      </c>
      <c r="FM6">
        <f>(AX7-Table2[[#This Row],[Solar Reading Panel II]])*1000</f>
        <v>1347.9999999999563</v>
      </c>
      <c r="FN6">
        <f>AI7-Table2[[#This Row],[3F1 Maintenance Workshop]]</f>
        <v>3.5983999999989464</v>
      </c>
      <c r="FO6">
        <f>BD7-Table2[[#This Row],[4F B2B unit ]]</f>
        <v>84.223999999987427</v>
      </c>
      <c r="FP6">
        <f>BL7-Table2[[#This Row],[2F1 - PDB 6 - Bread, B2B section]]</f>
        <v>285.63839999999618</v>
      </c>
      <c r="FQ6">
        <f>(CG7-Table2[[#This Row],[9F5 - PDB 14 - Bread Lift]])</f>
        <v>0.5151999999943655</v>
      </c>
      <c r="FR6">
        <f>CJ7-Table2[[#This Row],[PDB - 16 Bread Section]]</f>
        <v>0</v>
      </c>
      <c r="FS6">
        <f>BU7-Table2[[#This Row],[7F1 Donut Production area]]</f>
        <v>167.04000000003725</v>
      </c>
      <c r="FT6">
        <f>CB7-Table2[[#This Row],[8F5 Donut Ban Bary]]</f>
        <v>22.120000000009895</v>
      </c>
      <c r="FU6">
        <f>CF7-Table2[[#This Row],[9F4 - PDB 13 - Donut Sink Geyser area]]</f>
        <v>12.687999999994645</v>
      </c>
      <c r="FV6">
        <f>BV7-Table2[[#This Row],[7F2 Flour Silo]]</f>
        <v>383.52000000001863</v>
      </c>
      <c r="FW6">
        <f>BY7-Table2[[#This Row],[8F2 ACPDB - 3 SILO Ventilation]]</f>
        <v>41.776000000012573</v>
      </c>
      <c r="FX6">
        <f>J7-Table2[[#This Row],[DG 1010KVA Running Hours]]</f>
        <v>0</v>
      </c>
      <c r="FY6">
        <f>K7-Table2[[#This Row],[DG 1010 KVA Meter Reading]]</f>
        <v>0</v>
      </c>
      <c r="FZ6">
        <f>L7-Table2[[#This Row],[GG 1010 KVA Running Hours]]</f>
        <v>0</v>
      </c>
      <c r="GA6">
        <f>M7-Table2[[#This Row],[GG 1010 KVA Meter Reading]]</f>
        <v>0</v>
      </c>
    </row>
    <row r="7" spans="1:183" x14ac:dyDescent="0.35">
      <c r="A7" s="1">
        <v>78</v>
      </c>
      <c r="B7" s="2">
        <v>46270.389664351853</v>
      </c>
      <c r="C7" s="2">
        <v>46270.431273148148</v>
      </c>
      <c r="D7" s="1" t="s">
        <v>111</v>
      </c>
      <c r="E7" s="1"/>
      <c r="F7" s="1"/>
      <c r="G7" s="3">
        <v>46270</v>
      </c>
      <c r="H7" s="1" t="s">
        <v>212</v>
      </c>
      <c r="I7" s="5">
        <v>8095.3620000000001</v>
      </c>
      <c r="J7" s="5">
        <v>4280.7</v>
      </c>
      <c r="K7" s="5">
        <v>1779303</v>
      </c>
      <c r="L7" s="5">
        <v>460</v>
      </c>
      <c r="M7" s="5">
        <v>193.56</v>
      </c>
      <c r="N7" s="5">
        <v>1899519.2</v>
      </c>
      <c r="O7" s="5">
        <v>4661371.5199999996</v>
      </c>
      <c r="P7" s="5">
        <v>657864.38399999996</v>
      </c>
      <c r="Q7" s="5">
        <v>8180900.4800000004</v>
      </c>
      <c r="R7" s="5">
        <v>5713930.2400000002</v>
      </c>
      <c r="S7" s="5">
        <v>7477715.2000000002</v>
      </c>
      <c r="T7" s="5">
        <v>43155309.723999999</v>
      </c>
      <c r="U7" s="5">
        <v>2146871.52</v>
      </c>
      <c r="V7" s="5">
        <v>5170611.5199999996</v>
      </c>
      <c r="W7" s="5">
        <v>1616.2039</v>
      </c>
      <c r="X7" s="5">
        <v>782893.24800000002</v>
      </c>
      <c r="Y7" s="5">
        <v>1138785.76</v>
      </c>
      <c r="Z7" s="5">
        <v>2777.8894</v>
      </c>
      <c r="AA7" s="5">
        <v>677616.51199999999</v>
      </c>
      <c r="AB7" s="5">
        <v>422164.22399999999</v>
      </c>
      <c r="AC7" s="5">
        <v>2161625.44</v>
      </c>
      <c r="AD7" s="5">
        <v>2990526.3080000002</v>
      </c>
      <c r="AE7" s="5">
        <v>13043.2176</v>
      </c>
      <c r="AF7" s="5">
        <v>893955.00800000003</v>
      </c>
      <c r="AG7" s="5">
        <v>1440.134</v>
      </c>
      <c r="AH7" s="5">
        <v>137118.11199999999</v>
      </c>
      <c r="AI7" s="5">
        <v>14793.6976</v>
      </c>
      <c r="AJ7" s="5">
        <v>145411.20000000001</v>
      </c>
      <c r="AK7" s="5">
        <v>105593.31200000001</v>
      </c>
      <c r="AL7" s="5">
        <v>332949.50400000002</v>
      </c>
      <c r="AM7" s="5">
        <v>1011.8579999999999</v>
      </c>
      <c r="AN7" s="5">
        <v>213.1</v>
      </c>
      <c r="AO7" s="5">
        <v>6.7</v>
      </c>
      <c r="AP7" s="5">
        <v>787128</v>
      </c>
      <c r="AQ7" s="5">
        <v>43000</v>
      </c>
      <c r="AR7" s="5">
        <v>42455</v>
      </c>
      <c r="AS7" s="5">
        <v>32432</v>
      </c>
      <c r="AT7" s="5">
        <v>22148</v>
      </c>
      <c r="AU7" s="5">
        <v>16366</v>
      </c>
      <c r="AV7" s="5">
        <v>6839</v>
      </c>
      <c r="AW7" s="5">
        <v>21.154852000000002</v>
      </c>
      <c r="AX7" s="5">
        <v>7316.5230000000001</v>
      </c>
      <c r="AY7" s="5">
        <v>683.71896000000004</v>
      </c>
      <c r="AZ7" s="5">
        <v>20.788</v>
      </c>
      <c r="BA7" s="5">
        <v>11.016</v>
      </c>
      <c r="BB7" s="5">
        <v>46.131999999999998</v>
      </c>
      <c r="BC7" s="5">
        <v>114029.064</v>
      </c>
      <c r="BD7" s="5">
        <v>277591.61599999998</v>
      </c>
      <c r="BE7" s="5">
        <v>3766.6768000000002</v>
      </c>
      <c r="BF7" s="5">
        <v>1714.182</v>
      </c>
      <c r="BG7" s="5">
        <v>76.018000000000001</v>
      </c>
      <c r="BH7" s="5">
        <v>376.94600000000003</v>
      </c>
      <c r="BI7" s="5">
        <v>930.91300000000001</v>
      </c>
      <c r="BJ7" s="5">
        <v>16.344999999999999</v>
      </c>
      <c r="BK7" s="5">
        <v>572.94799999999998</v>
      </c>
      <c r="BL7" s="5">
        <v>79068.1152</v>
      </c>
      <c r="BM7" s="5">
        <v>326457.152</v>
      </c>
      <c r="BN7" s="5">
        <v>7315.9704000000002</v>
      </c>
      <c r="BO7" s="5">
        <v>53589.132799999999</v>
      </c>
      <c r="BP7" s="5">
        <v>317896.06400000001</v>
      </c>
      <c r="BQ7" s="5">
        <v>333.262</v>
      </c>
      <c r="BR7" s="5">
        <v>185.84399999999999</v>
      </c>
      <c r="BS7" s="5">
        <v>1055560.172</v>
      </c>
      <c r="BT7" s="5">
        <v>1400627.8670000001</v>
      </c>
      <c r="BU7" s="5">
        <v>635923.00800000003</v>
      </c>
      <c r="BV7" s="5">
        <v>1041499.6</v>
      </c>
      <c r="BW7" s="5">
        <v>576595.00800000003</v>
      </c>
      <c r="BX7" s="5">
        <v>1060521.8400000001</v>
      </c>
      <c r="BY7" s="5">
        <v>159288.03200000001</v>
      </c>
      <c r="BZ7" s="5">
        <v>115092.792</v>
      </c>
      <c r="CA7" s="5">
        <v>1244.5895</v>
      </c>
      <c r="CB7" s="5">
        <v>110045.952</v>
      </c>
      <c r="CC7" s="5">
        <v>154576.89600000001</v>
      </c>
      <c r="CD7" s="5">
        <v>453137.91999999998</v>
      </c>
      <c r="CE7" s="5">
        <v>49267.331200000001</v>
      </c>
      <c r="CF7" s="5">
        <v>156806.09599999999</v>
      </c>
      <c r="CG7" s="5">
        <v>36099.980799999998</v>
      </c>
      <c r="CH7" s="5">
        <v>2385.8710000000001</v>
      </c>
      <c r="CI7" s="5">
        <v>219.61500000000001</v>
      </c>
      <c r="CJ7" s="5">
        <v>1191.5999999999999</v>
      </c>
      <c r="CK7" s="5">
        <v>79.662000000000006</v>
      </c>
      <c r="CL7" s="5">
        <v>752.98099999999999</v>
      </c>
      <c r="CM7" s="5">
        <v>551.4</v>
      </c>
      <c r="CN7" s="5">
        <v>60284.9</v>
      </c>
      <c r="CO7" s="5">
        <v>1690.1220000000001</v>
      </c>
      <c r="CP7" s="5">
        <v>301447.22899999999</v>
      </c>
      <c r="CQ7" s="5">
        <v>3728505.6</v>
      </c>
      <c r="CR7" s="5">
        <v>133303.28</v>
      </c>
      <c r="CS7" s="5">
        <v>525387.61600000004</v>
      </c>
      <c r="CT7" s="5">
        <v>3052327.3309999998</v>
      </c>
      <c r="CU7" s="5">
        <v>308113.89299999998</v>
      </c>
      <c r="CV7" s="5">
        <v>30268.454399999999</v>
      </c>
      <c r="CW7" s="5">
        <v>63615.532800000001</v>
      </c>
      <c r="CX7" s="5">
        <v>33655.980799999998</v>
      </c>
      <c r="CY7" s="5">
        <v>172183.008</v>
      </c>
      <c r="CZ7" s="5">
        <v>220720</v>
      </c>
      <c r="DA7" s="5">
        <v>19483.47</v>
      </c>
      <c r="DB7" s="5">
        <v>153767.23499999999</v>
      </c>
      <c r="DC7" s="5">
        <v>3251.25</v>
      </c>
      <c r="DD7" s="5">
        <v>3250.34</v>
      </c>
      <c r="DE7" s="5">
        <f t="shared" ref="DE7:DF7" si="0">DE6-DE5+DE6</f>
        <v>3279.6000000000004</v>
      </c>
      <c r="DF7" s="5">
        <f t="shared" si="0"/>
        <v>0.995</v>
      </c>
      <c r="DG7" s="1" t="s">
        <v>216</v>
      </c>
      <c r="DH7" s="4">
        <f>Table2[[#This Row],[Date]]</f>
        <v>46270</v>
      </c>
      <c r="DI7">
        <f>(DD8-Table2[[#This Row],[MWH Total]])*4000</f>
        <v>28279.999999998836</v>
      </c>
      <c r="DJ7">
        <f>(DA8-Table2[[#This Row],[PNG Meter (Outside)]])*2.936</f>
        <v>10.569599999995727</v>
      </c>
      <c r="DK7">
        <f>(DB8-Table2[[#This Row],[PNG Meter (Inside)]])*2.936</f>
        <v>176.47415200005332</v>
      </c>
      <c r="DL7">
        <f>(BH8-Table2[[#This Row],[3F Dough cooler - 2 ]])*1000</f>
        <v>169.99999999995907</v>
      </c>
      <c r="DM7">
        <f>(BI8-Table2[[#This Row],[3F Dough Cooler- 1]])*1000</f>
        <v>375</v>
      </c>
      <c r="DN7">
        <f>(BJ8-Table2[[#This Row],[4F Dough Production cooling Unit]])*1000</f>
        <v>19.000000000001904</v>
      </c>
      <c r="DO7">
        <f>(BQ8-Table2[[#This Row],[3F2 - PDB 3 - Dough Production Area]])*1000</f>
        <v>154.99999999997272</v>
      </c>
      <c r="DP7">
        <f>(BR8-Table2[[#This Row],[3F3 - PDB 4 - Dough Area]])*1000</f>
        <v>112.99999999999955</v>
      </c>
      <c r="DQ7">
        <f>AC8-Table2[[#This Row],[16F1 Tray washer Panel for Light]]</f>
        <v>568.31999999983236</v>
      </c>
      <c r="DR7">
        <f>CQ8-Table2[[#This Row],[2F1 Tray Washer - 1]]</f>
        <v>942.08000000007451</v>
      </c>
      <c r="DS7">
        <f>CS8-Table2[[#This Row],[2F5 Destacker]]</f>
        <v>253.82399999990594</v>
      </c>
      <c r="DT7">
        <f>CU8-Table2[[#This Row],[5F1 Metering (TW-2)]]</f>
        <v>168.20000000001164</v>
      </c>
      <c r="DU7">
        <f>CV8-Table2[[#This Row],[6F1 Pre soaker Tray washer]]</f>
        <v>0</v>
      </c>
      <c r="DV7">
        <f>CZ8-Table2[[#This Row],[6F5 Vent tray Storage]]</f>
        <v>48.752000000007683</v>
      </c>
      <c r="DW7">
        <f>I8-Table2[[#This Row],[Popeyes Meter ]]</f>
        <v>23.720000000000255</v>
      </c>
      <c r="DX7">
        <f>AZ8-Table2[[#This Row],[2F WH Chiller, Segregation Area]]</f>
        <v>0</v>
      </c>
      <c r="DY7">
        <f>BA8-Table2[[#This Row],[3F1 AC Unit WH dock cooling - 2 Nos]]</f>
        <v>1.0999999999999233E-2</v>
      </c>
      <c r="DZ7">
        <f>BB8-Table2[[#This Row],[3F2 AC Unit WH dock cooling - 3 Nos]]</f>
        <v>1.8000000000000682E-2</v>
      </c>
      <c r="EA7">
        <f>(BK8-Table2[[#This Row],[5F WH Perishable]])*1000</f>
        <v>216.99999999998454</v>
      </c>
      <c r="EB7">
        <f>BN8-Table2[[#This Row],[2F3 - PDB 9 - WH Dock Leveler Door ]]</f>
        <v>4.5504000000000815</v>
      </c>
      <c r="EC7">
        <f>BP8-Table2[[#This Row],[3F1 - PDB 5 - WH HSD]]</f>
        <v>82.399999999965075</v>
      </c>
      <c r="ED7">
        <f>BX8-Table2[[#This Row],[8F1 WH Dock AHU - Ventilation]]</f>
        <v>1105.1999999999534</v>
      </c>
      <c r="EE7">
        <f>BZ8-Table2[[#This Row],[8F3 ACPDB - 4 WH Dock air curtain]]</f>
        <v>14.240000000005239</v>
      </c>
      <c r="EF7">
        <f>CA8-Table2[[#This Row],[8F4 WH Light]]</f>
        <v>0</v>
      </c>
      <c r="EG7">
        <f>CC8-Table2[[#This Row],[9F1 - PDB 10 - WH Dock door &amp; Office]]</f>
        <v>58.959999999991851</v>
      </c>
      <c r="EH7">
        <f>CD8-Table2[[#This Row],[9F2 - PDB 11 - WH flycatchers]]</f>
        <v>80.672000000020489</v>
      </c>
      <c r="EI7">
        <f>CE8-Table2[[#This Row],[9F3 - PDB 12 - Other items]]</f>
        <v>7.763200000001234</v>
      </c>
      <c r="EJ7">
        <f>CR8-Table2[[#This Row],[2F3 - PDB 1 - Dock 1 to 4 ]]</f>
        <v>46.920000000012806</v>
      </c>
      <c r="EK7">
        <f>BM8-Table2[[#This Row],[2F2 - PDB 3 - WH Truck &amp; Battery Charging]]</f>
        <v>434.55999999999767</v>
      </c>
      <c r="EL7">
        <f>(CK8-Table2[[#This Row],[PDB - 11 Truck Charging]])*1000</f>
        <v>18.000000000000682</v>
      </c>
      <c r="EM7">
        <f>P8-Table2[[#This Row],[5F3 Admin Area]]</f>
        <v>292.60800000000745</v>
      </c>
      <c r="EN7">
        <f>AH8-Table2[[#This Row],[2F5 Main Gate-1 Piller -1]]</f>
        <v>94.432000000000698</v>
      </c>
      <c r="EO7">
        <f>CW8-Table2[[#This Row],[6F2 Ground Floor AC]]</f>
        <v>9.1520000000018626</v>
      </c>
      <c r="EP7">
        <f>CX8-Table2[[#This Row],[6F3 ACBD -1 (First floor AC)]]</f>
        <v>6.6880000000019209</v>
      </c>
      <c r="EQ7">
        <f>CY8-Table2[[#This Row],[6F4 ACBD - 2 (Second &amp; Third floor AC)]]</f>
        <v>85.551999999996042</v>
      </c>
      <c r="ER7">
        <f>(BC8-Table2[[#This Row],[4F Old BMC cooling Unit]])</f>
        <v>0</v>
      </c>
      <c r="ES7">
        <f>BO8-Table2[[#This Row],[2F4 - Old BMC]]</f>
        <v>0</v>
      </c>
      <c r="ET7">
        <f>Y8-Table2[[#This Row],[14F2 New CK]]</f>
        <v>1228.2399999999907</v>
      </c>
      <c r="EU7">
        <f>(CL8-Table2[[#This Row],[OLD Ck Panel-1]])*1000</f>
        <v>489.00000000003274</v>
      </c>
      <c r="EV7">
        <f>CM8-Table2[[#This Row],[2F4 Old CK Blast (Blue star)]]</f>
        <v>0</v>
      </c>
      <c r="EW7">
        <f>CN8-Table2[[#This Row],[3F6 Old CK Blast (Carrier)]]</f>
        <v>424.09999999999854</v>
      </c>
      <c r="EX7">
        <f>(CO8-Table2[[#This Row],[Old CK Panel -2]])*1000</f>
        <v>833.99999999983265</v>
      </c>
      <c r="EY7">
        <f>N8-Table2[[#This Row],[4F1 Main UPS 1/C -1]]</f>
        <v>803.19999999995343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25.999999999996248</v>
      </c>
      <c r="FC7">
        <f>BW8-Table2[[#This Row],[7F3 CLC Power Panel]]</f>
        <v>171.52000000001863</v>
      </c>
      <c r="FD7">
        <f>(CI8-Table2[[#This Row],[PDB - 17 CLC Section ]])*1000</f>
        <v>92.999999999989313</v>
      </c>
      <c r="FE7">
        <f>(W8-Table2[[#This Row],[13F3 Water &amp; Lift Old CK]])*1000</f>
        <v>1000.0999999999749</v>
      </c>
      <c r="FF7">
        <f>AA8-Table2[[#This Row],[15F2 New ETP Panel]]</f>
        <v>243.45600000000559</v>
      </c>
      <c r="FG7">
        <f>AL8-Table2[[#This Row],[3F4 Old ETP Panel]]</f>
        <v>57.887999999977183</v>
      </c>
      <c r="FH7">
        <f>AF8-Table2[[#This Row],[2F1 RO Plant]]</f>
        <v>487.03999999992084</v>
      </c>
      <c r="FI7">
        <f>AK8-Table2[[#This Row],[3F3 Fire Hydrant Panel]]</f>
        <v>9.1199999999953434</v>
      </c>
      <c r="FJ7">
        <f>R8-Table2[[#This Row],[7F1 Freon System Panel]]</f>
        <v>4453.1200000001118</v>
      </c>
      <c r="FK7">
        <f>(AE8-Table2[[#This Row],[21F1 Refrigeration Ammonia]])*1000</f>
        <v>5712.7999999993335</v>
      </c>
      <c r="FL7">
        <f>(AG8-Table2[[#This Row],[2F3 Air Compressor]])*1000</f>
        <v>1057.0000000000164</v>
      </c>
      <c r="FM7">
        <f>(AX8-Table2[[#This Row],[Solar Reading Panel II]])*1000</f>
        <v>775.99999999983993</v>
      </c>
      <c r="FN7">
        <f>AI8-Table2[[#This Row],[3F1 Maintenance Workshop]]</f>
        <v>2.3312000000005355</v>
      </c>
      <c r="FO7">
        <f>BD8-Table2[[#This Row],[4F B2B unit ]]</f>
        <v>18.527999999991152</v>
      </c>
      <c r="FP7">
        <f>BL8-Table2[[#This Row],[2F1 - PDB 6 - Bread, B2B section]]</f>
        <v>170.52640000000247</v>
      </c>
      <c r="FQ7">
        <f>(CG8-Table2[[#This Row],[9F5 - PDB 14 - Bread Lift]])</f>
        <v>0.24960000000282889</v>
      </c>
      <c r="FR7">
        <f>CJ8-Table2[[#This Row],[PDB - 16 Bread Section]]</f>
        <v>0</v>
      </c>
      <c r="FS7">
        <f>BU8-Table2[[#This Row],[7F1 Donut Production area]]</f>
        <v>136.06400000001304</v>
      </c>
      <c r="FT7">
        <f>CB8-Table2[[#This Row],[8F5 Donut Ban Bary]]</f>
        <v>11.823999999993248</v>
      </c>
      <c r="FU7">
        <f>CF8-Table2[[#This Row],[9F4 - PDB 13 - Donut Sink Geyser area]]</f>
        <v>3.7600000000093132</v>
      </c>
      <c r="FV7">
        <f>BV8-Table2[[#This Row],[7F2 Flour Silo]]</f>
        <v>379.44000000006054</v>
      </c>
      <c r="FW7">
        <f>BY8-Table2[[#This Row],[8F2 ACPDB - 3 SILO Ventilation]]</f>
        <v>30.639999999984866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80</v>
      </c>
      <c r="B8" s="2">
        <v>46272.455011574071</v>
      </c>
      <c r="C8" s="2">
        <v>46272.475902777776</v>
      </c>
      <c r="D8" s="1" t="s">
        <v>111</v>
      </c>
      <c r="E8" s="1"/>
      <c r="F8" s="1"/>
      <c r="G8" s="3">
        <v>46271</v>
      </c>
      <c r="H8" s="1" t="s">
        <v>182</v>
      </c>
      <c r="I8" s="5">
        <v>8119.0820000000003</v>
      </c>
      <c r="J8" s="5">
        <v>4280.7</v>
      </c>
      <c r="K8" s="5">
        <v>1779303</v>
      </c>
      <c r="L8" s="5">
        <v>460</v>
      </c>
      <c r="M8" s="5">
        <v>193.56</v>
      </c>
      <c r="N8" s="5">
        <v>1900322.4</v>
      </c>
      <c r="O8" s="5">
        <v>4662980.4800000004</v>
      </c>
      <c r="P8" s="5">
        <v>658156.99199999997</v>
      </c>
      <c r="Q8" s="5">
        <v>8182257.2800000003</v>
      </c>
      <c r="R8" s="5">
        <v>5718383.3600000003</v>
      </c>
      <c r="S8" s="5">
        <v>7480531.8399999999</v>
      </c>
      <c r="T8" s="5">
        <v>43166470.112999998</v>
      </c>
      <c r="U8" s="5">
        <v>2147993.92</v>
      </c>
      <c r="V8" s="5">
        <v>5171832.96</v>
      </c>
      <c r="W8" s="5">
        <v>1617.204</v>
      </c>
      <c r="X8" s="5">
        <v>783074.62399999995</v>
      </c>
      <c r="Y8" s="5">
        <v>1140014</v>
      </c>
      <c r="Z8" s="5">
        <v>2777.8894</v>
      </c>
      <c r="AA8" s="5">
        <v>677859.96799999999</v>
      </c>
      <c r="AB8" s="5">
        <v>422189.08</v>
      </c>
      <c r="AC8" s="5">
        <v>2162193.7599999998</v>
      </c>
      <c r="AD8" s="5">
        <v>2998826.6510000001</v>
      </c>
      <c r="AE8" s="5">
        <v>13048.930399999999</v>
      </c>
      <c r="AF8" s="5">
        <v>894442.04799999995</v>
      </c>
      <c r="AG8" s="5">
        <v>1441.191</v>
      </c>
      <c r="AH8" s="5">
        <v>137212.54399999999</v>
      </c>
      <c r="AI8" s="5">
        <v>14796.0288</v>
      </c>
      <c r="AJ8" s="5">
        <v>145412.016</v>
      </c>
      <c r="AK8" s="5">
        <v>105602.432</v>
      </c>
      <c r="AL8" s="5">
        <v>333007.39199999999</v>
      </c>
      <c r="AM8" s="5">
        <v>1012.353</v>
      </c>
      <c r="AN8" s="5">
        <v>321.3</v>
      </c>
      <c r="AO8" s="5">
        <v>7.6</v>
      </c>
      <c r="AP8" s="5">
        <v>795414</v>
      </c>
      <c r="AQ8" s="5">
        <v>43020</v>
      </c>
      <c r="AR8" s="5">
        <v>42474</v>
      </c>
      <c r="AS8" s="5">
        <v>32432</v>
      </c>
      <c r="AT8" s="5">
        <v>22148</v>
      </c>
      <c r="AU8" s="5">
        <v>16386</v>
      </c>
      <c r="AV8" s="5">
        <v>6849</v>
      </c>
      <c r="AW8" s="5">
        <v>21.160309999999999</v>
      </c>
      <c r="AX8" s="5">
        <v>7317.299</v>
      </c>
      <c r="AY8" s="5">
        <v>683.78031999999996</v>
      </c>
      <c r="AZ8" s="5">
        <v>20.788</v>
      </c>
      <c r="BA8" s="5">
        <v>11.026999999999999</v>
      </c>
      <c r="BB8" s="5">
        <v>46.15</v>
      </c>
      <c r="BC8" s="5">
        <v>114029.064</v>
      </c>
      <c r="BD8" s="5">
        <v>277610.14399999997</v>
      </c>
      <c r="BE8" s="5">
        <v>3767.5383999999999</v>
      </c>
      <c r="BF8" s="5">
        <v>1714.182</v>
      </c>
      <c r="BG8" s="5">
        <v>76.043999999999997</v>
      </c>
      <c r="BH8" s="5">
        <v>377.11599999999999</v>
      </c>
      <c r="BI8" s="5">
        <v>931.28800000000001</v>
      </c>
      <c r="BJ8" s="5">
        <v>16.364000000000001</v>
      </c>
      <c r="BK8" s="5">
        <v>573.16499999999996</v>
      </c>
      <c r="BL8" s="5">
        <v>79238.641600000003</v>
      </c>
      <c r="BM8" s="5">
        <v>326891.712</v>
      </c>
      <c r="BN8" s="5">
        <v>7320.5208000000002</v>
      </c>
      <c r="BO8" s="5">
        <v>53589.132799999999</v>
      </c>
      <c r="BP8" s="5">
        <v>317978.46399999998</v>
      </c>
      <c r="BQ8" s="5">
        <v>333.41699999999997</v>
      </c>
      <c r="BR8" s="5">
        <v>185.95699999999999</v>
      </c>
      <c r="BS8" s="5">
        <v>1056604.523</v>
      </c>
      <c r="BT8" s="5">
        <v>1400627.8670000001</v>
      </c>
      <c r="BU8" s="5">
        <v>636059.07200000004</v>
      </c>
      <c r="BV8" s="5">
        <v>1041879.04</v>
      </c>
      <c r="BW8" s="5">
        <v>576766.52800000005</v>
      </c>
      <c r="BX8" s="5">
        <v>1061627.04</v>
      </c>
      <c r="BY8" s="5">
        <v>159318.67199999999</v>
      </c>
      <c r="BZ8" s="5">
        <v>115107.03200000001</v>
      </c>
      <c r="CA8" s="5">
        <v>1244.5895</v>
      </c>
      <c r="CB8" s="5">
        <v>110057.776</v>
      </c>
      <c r="CC8" s="5">
        <v>154635.856</v>
      </c>
      <c r="CD8" s="5">
        <v>453218.592</v>
      </c>
      <c r="CE8" s="5">
        <v>49275.094400000002</v>
      </c>
      <c r="CF8" s="5">
        <v>156809.856</v>
      </c>
      <c r="CG8" s="5">
        <v>36100.2304</v>
      </c>
      <c r="CH8" s="5">
        <v>2385.8710000000001</v>
      </c>
      <c r="CI8" s="5">
        <v>219.708</v>
      </c>
      <c r="CJ8" s="5">
        <v>1191.5999999999999</v>
      </c>
      <c r="CK8" s="5">
        <v>79.680000000000007</v>
      </c>
      <c r="CL8" s="5">
        <v>753.47</v>
      </c>
      <c r="CM8" s="5">
        <v>551.4</v>
      </c>
      <c r="CN8" s="5">
        <v>60709</v>
      </c>
      <c r="CO8" s="5">
        <v>1690.9559999999999</v>
      </c>
      <c r="CP8" s="5">
        <v>301629.19500000001</v>
      </c>
      <c r="CQ8" s="5">
        <v>3729447.68</v>
      </c>
      <c r="CR8" s="5">
        <v>133350.20000000001</v>
      </c>
      <c r="CS8" s="5">
        <v>525641.43999999994</v>
      </c>
      <c r="CT8" s="5">
        <v>3054952.1320000002</v>
      </c>
      <c r="CU8" s="5">
        <v>308282.09299999999</v>
      </c>
      <c r="CV8" s="5">
        <v>30268.454399999999</v>
      </c>
      <c r="CW8" s="5">
        <v>63624.684800000003</v>
      </c>
      <c r="CX8" s="5">
        <v>33662.668799999999</v>
      </c>
      <c r="CY8" s="5">
        <v>172268.56</v>
      </c>
      <c r="CZ8" s="5">
        <v>220768.75200000001</v>
      </c>
      <c r="DA8" s="5">
        <v>19487.07</v>
      </c>
      <c r="DB8" s="5">
        <v>153827.342</v>
      </c>
      <c r="DC8" s="5">
        <v>3257.54</v>
      </c>
      <c r="DD8" s="5">
        <v>3257.41</v>
      </c>
      <c r="DE8" s="5">
        <v>3287.6</v>
      </c>
      <c r="DF8" s="5">
        <v>0.998</v>
      </c>
      <c r="DG8" s="1" t="s">
        <v>217</v>
      </c>
      <c r="DH8" s="4">
        <f>Table2[[#This Row],[Date]]</f>
        <v>46271</v>
      </c>
      <c r="DI8">
        <f>(DD9-Table2[[#This Row],[MWH Total]])*4000</f>
        <v>22319.999999999709</v>
      </c>
      <c r="DJ8">
        <f>(DA9-Table2[[#This Row],[PNG Meter (Outside)]])*2.936</f>
        <v>8.4263199999970091</v>
      </c>
      <c r="DK8">
        <f>(DB9-Table2[[#This Row],[PNG Meter (Inside)]])*2.936</f>
        <v>248.83774399995966</v>
      </c>
      <c r="DL8">
        <f>(BH9-Table2[[#This Row],[3F Dough cooler - 2 ]])*1000</f>
        <v>473.99999999998954</v>
      </c>
      <c r="DM8">
        <f>(BI9-Table2[[#This Row],[3F Dough Cooler- 1]])*1000</f>
        <v>622.99999999993361</v>
      </c>
      <c r="DN8">
        <f>(BJ9-Table2[[#This Row],[4F Dough Production cooling Unit]])*1000</f>
        <v>32.000000000000028</v>
      </c>
      <c r="DO8">
        <f>(BQ9-Table2[[#This Row],[3F2 - PDB 3 - Dough Production Area]])*1000</f>
        <v>264.00000000001</v>
      </c>
      <c r="DP8">
        <f>(BR9-Table2[[#This Row],[3F3 - PDB 4 - Dough Area]])*1000</f>
        <v>152.00000000001523</v>
      </c>
      <c r="DQ8">
        <f>AC9-Table2[[#This Row],[16F1 Tray washer Panel for Light]]</f>
        <v>823.20000000018626</v>
      </c>
      <c r="DR8">
        <f>CQ9-Table2[[#This Row],[2F1 Tray Washer - 1]]</f>
        <v>1522.2399999997579</v>
      </c>
      <c r="DS8">
        <f>CS9-Table2[[#This Row],[2F5 Destacker]]</f>
        <v>391.29600000008941</v>
      </c>
      <c r="DT8">
        <f>CU9-Table2[[#This Row],[5F1 Metering (TW-2)]]</f>
        <v>260.22100000001956</v>
      </c>
      <c r="DU8">
        <f>CV9-Table2[[#This Row],[6F1 Pre soaker Tray washer]]</f>
        <v>0</v>
      </c>
      <c r="DV8">
        <f>CZ9-Table2[[#This Row],[6F5 Vent tray Storage]]</f>
        <v>59.679999999993015</v>
      </c>
      <c r="DW8">
        <f>I9-Table2[[#This Row],[Popeyes Meter ]]</f>
        <v>13.769999999999527</v>
      </c>
      <c r="DX8">
        <f>AZ9-Table2[[#This Row],[2F WH Chiller, Segregation Area]]</f>
        <v>0</v>
      </c>
      <c r="DY8">
        <f>BA9-Table2[[#This Row],[3F1 AC Unit WH dock cooling - 2 Nos]]</f>
        <v>1.2000000000000455E-2</v>
      </c>
      <c r="DZ8">
        <f>BB9-Table2[[#This Row],[3F2 AC Unit WH dock cooling - 3 Nos]]</f>
        <v>2.9000000000003467E-2</v>
      </c>
      <c r="EA8">
        <f>(BK9-Table2[[#This Row],[5F WH Perishable]])*1000</f>
        <v>359.00000000003729</v>
      </c>
      <c r="EB8">
        <f>BN9-Table2[[#This Row],[2F3 - PDB 9 - WH Dock Leveler Door ]]</f>
        <v>4.6039999999993597</v>
      </c>
      <c r="EC8">
        <f>BP9-Table2[[#This Row],[3F1 - PDB 5 - WH HSD]]</f>
        <v>127.39200000005076</v>
      </c>
      <c r="ED8">
        <f>BX9-Table2[[#This Row],[8F1 WH Dock AHU - Ventilation]]</f>
        <v>1863.4399999999441</v>
      </c>
      <c r="EE8">
        <f>BZ9-Table2[[#This Row],[8F3 ACPDB - 4 WH Dock air curtain]]</f>
        <v>23.527999999991152</v>
      </c>
      <c r="EF8">
        <f>CA9-Table2[[#This Row],[8F4 WH Light]]</f>
        <v>0</v>
      </c>
      <c r="EG8">
        <f>CC9-Table2[[#This Row],[9F1 - PDB 10 - WH Dock door &amp; Office]]</f>
        <v>65.888000000006286</v>
      </c>
      <c r="EH8">
        <f>CD9-Table2[[#This Row],[9F2 - PDB 11 - WH flycatchers]]</f>
        <v>51.135999999998603</v>
      </c>
      <c r="EI8">
        <f>CE9-Table2[[#This Row],[9F3 - PDB 12 - Other items]]</f>
        <v>6.0159999999959837</v>
      </c>
      <c r="EJ8">
        <f>CR9-Table2[[#This Row],[2F3 - PDB 1 - Dock 1 to 4 ]]</f>
        <v>36.703999999997905</v>
      </c>
      <c r="EK8">
        <f>BM9-Table2[[#This Row],[2F2 - PDB 3 - WH Truck &amp; Battery Charging]]</f>
        <v>386.68800000002375</v>
      </c>
      <c r="EL8">
        <f>(CK9-Table2[[#This Row],[PDB - 11 Truck Charging]])*1000</f>
        <v>0</v>
      </c>
      <c r="EM8">
        <f>P9-Table2[[#This Row],[5F3 Admin Area]]</f>
        <v>356.47999999998137</v>
      </c>
      <c r="EN8">
        <f>AH9-Table2[[#This Row],[2F5 Main Gate-1 Piller -1]]</f>
        <v>113.34400000001187</v>
      </c>
      <c r="EO8">
        <f>CW9-Table2[[#This Row],[6F2 Ground Floor AC]]</f>
        <v>20.377599999999802</v>
      </c>
      <c r="EP8">
        <f>CX9-Table2[[#This Row],[6F3 ACBD -1 (First floor AC)]]</f>
        <v>11.731200000001991</v>
      </c>
      <c r="EQ8">
        <f>CY9-Table2[[#This Row],[6F4 ACBD - 2 (Second &amp; Third floor AC)]]</f>
        <v>136.91200000001118</v>
      </c>
      <c r="ER8">
        <f>(BC9-Table2[[#This Row],[4F Old BMC cooling Unit]])</f>
        <v>0</v>
      </c>
      <c r="ES8">
        <f>BO9-Table2[[#This Row],[2F4 - Old BMC]]</f>
        <v>0</v>
      </c>
      <c r="ET8">
        <f>Y9-Table2[[#This Row],[14F2 New CK]]</f>
        <v>815.28000000002794</v>
      </c>
      <c r="EU8">
        <f>(CL9-Table2[[#This Row],[OLD Ck Panel-1]])*1000</f>
        <v>339.99999999991815</v>
      </c>
      <c r="EV8">
        <f>CM9-Table2[[#This Row],[2F4 Old CK Blast (Blue star)]]</f>
        <v>0</v>
      </c>
      <c r="EW8">
        <f>CN9-Table2[[#This Row],[3F6 Old CK Blast (Carrier)]]</f>
        <v>240</v>
      </c>
      <c r="EX8">
        <f>(CO9-Table2[[#This Row],[Old CK Panel -2]])*1000</f>
        <v>1324.0000000000691</v>
      </c>
      <c r="EY8">
        <f>N9-Table2[[#This Row],[4F1 Main UPS 1/C -1]]</f>
        <v>1063.3600000001024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42.000000000001592</v>
      </c>
      <c r="FC8">
        <f>BW9-Table2[[#This Row],[7F3 CLC Power Panel]]</f>
        <v>167.29599999997299</v>
      </c>
      <c r="FD8">
        <f>(CI9-Table2[[#This Row],[PDB - 17 CLC Section ]])*1000</f>
        <v>106.99999999999932</v>
      </c>
      <c r="FE8">
        <f>(W9-Table2[[#This Row],[13F3 Water &amp; Lift Old CK]])*1000</f>
        <v>2066.0000000000309</v>
      </c>
      <c r="FF8">
        <f>AA9-Table2[[#This Row],[15F2 New ETP Panel]]</f>
        <v>331.00800000003073</v>
      </c>
      <c r="FG8">
        <f>AL9-Table2[[#This Row],[3F4 Old ETP Panel]]</f>
        <v>85.407999999995809</v>
      </c>
      <c r="FH8">
        <f>AF9-Table2[[#This Row],[2F1 RO Plant]]</f>
        <v>728.83200000005309</v>
      </c>
      <c r="FI8">
        <f>AK9-Table2[[#This Row],[3F3 Fire Hydrant Panel]]</f>
        <v>13.448000000003958</v>
      </c>
      <c r="FJ8">
        <f>R9-Table2[[#This Row],[7F1 Freon System Panel]]</f>
        <v>5881.5999999996275</v>
      </c>
      <c r="FK8">
        <f>(AE9-Table2[[#This Row],[21F1 Refrigeration Ammonia]])*1000</f>
        <v>7386.4000000012311</v>
      </c>
      <c r="FL8">
        <f>(AG9-Table2[[#This Row],[2F3 Air Compressor]])*1000</f>
        <v>1347.9999999999563</v>
      </c>
      <c r="FM8">
        <f>(AX9-Table2[[#This Row],[Solar Reading Panel II]])*1000</f>
        <v>1753.9999999999054</v>
      </c>
      <c r="FN8">
        <f>AI9-Table2[[#This Row],[3F1 Maintenance Workshop]]</f>
        <v>1.934400000000096</v>
      </c>
      <c r="FO8">
        <f>BD9-Table2[[#This Row],[4F B2B unit ]]</f>
        <v>61.376000000047497</v>
      </c>
      <c r="FP8">
        <f>BL9-Table2[[#This Row],[2F1 - PDB 6 - Bread, B2B section]]</f>
        <v>163.1247999999905</v>
      </c>
      <c r="FQ8">
        <f>(CG9-Table2[[#This Row],[9F5 - PDB 14 - Bread Lift]])</f>
        <v>0.72959999999875436</v>
      </c>
      <c r="FR8">
        <f>CJ9-Table2[[#This Row],[PDB - 16 Bread Section]]</f>
        <v>0</v>
      </c>
      <c r="FS8">
        <f>BU9-Table2[[#This Row],[7F1 Donut Production area]]</f>
        <v>164.41599999996834</v>
      </c>
      <c r="FT8">
        <f>CB9-Table2[[#This Row],[8F5 Donut Ban Bary]]</f>
        <v>48.024000000004889</v>
      </c>
      <c r="FU8">
        <f>CF9-Table2[[#This Row],[9F4 - PDB 13 - Donut Sink Geyser area]]</f>
        <v>22.095999999990454</v>
      </c>
      <c r="FV8">
        <f>BV9-Table2[[#This Row],[7F2 Flour Silo]]</f>
        <v>454.79999999993015</v>
      </c>
      <c r="FW8">
        <f>BY9-Table2[[#This Row],[8F2 ACPDB - 3 SILO Ventilation]]</f>
        <v>55.104000000021188</v>
      </c>
      <c r="FX8">
        <f>J9-Table2[[#This Row],[DG 1010KVA Running Hours]]</f>
        <v>0</v>
      </c>
      <c r="FY8">
        <f>K9-Table2[[#This Row],[DG 1010 KVA Meter Reading]]</f>
        <v>0</v>
      </c>
      <c r="FZ8">
        <f>L9-Table2[[#This Row],[GG 1010 KVA Running Hours]]</f>
        <v>0</v>
      </c>
      <c r="GA8">
        <f>M9-Table2[[#This Row],[GG 1010 KVA Meter Reading]]</f>
        <v>0</v>
      </c>
    </row>
    <row r="9" spans="1:183" x14ac:dyDescent="0.35">
      <c r="A9" s="1">
        <v>79</v>
      </c>
      <c r="B9" s="2">
        <v>46272.403969907406</v>
      </c>
      <c r="C9" s="2">
        <v>46272.445208333331</v>
      </c>
      <c r="D9" s="1" t="s">
        <v>111</v>
      </c>
      <c r="E9" s="1"/>
      <c r="F9" s="1"/>
      <c r="G9" s="3">
        <v>46272</v>
      </c>
      <c r="H9" s="1" t="s">
        <v>182</v>
      </c>
      <c r="I9" s="5">
        <v>8132.8519999999999</v>
      </c>
      <c r="J9" s="5">
        <v>4280.7</v>
      </c>
      <c r="K9" s="5">
        <v>1779303</v>
      </c>
      <c r="L9" s="5">
        <v>460</v>
      </c>
      <c r="M9" s="5">
        <v>193.56</v>
      </c>
      <c r="N9" s="5">
        <v>1901385.76</v>
      </c>
      <c r="O9" s="5">
        <v>4665087.04</v>
      </c>
      <c r="P9" s="5">
        <v>658513.47199999995</v>
      </c>
      <c r="Q9" s="5">
        <v>8184044.7999999998</v>
      </c>
      <c r="R9" s="5">
        <v>5724264.96</v>
      </c>
      <c r="S9" s="5">
        <v>7484411.5199999996</v>
      </c>
      <c r="T9" s="5">
        <v>43633900.619999997</v>
      </c>
      <c r="U9" s="5">
        <v>2149144</v>
      </c>
      <c r="V9" s="5">
        <v>5173889.5999999996</v>
      </c>
      <c r="W9" s="5">
        <v>1619.27</v>
      </c>
      <c r="X9" s="5">
        <v>783317.95200000005</v>
      </c>
      <c r="Y9" s="5">
        <v>1140829.28</v>
      </c>
      <c r="Z9" s="5">
        <v>2777.8894</v>
      </c>
      <c r="AA9" s="5">
        <v>678190.97600000002</v>
      </c>
      <c r="AB9" s="5">
        <v>422208.51199999999</v>
      </c>
      <c r="AC9" s="5">
        <v>2163016.96</v>
      </c>
      <c r="AD9" s="5">
        <v>4528025.7050000001</v>
      </c>
      <c r="AE9" s="5">
        <v>13056.316800000001</v>
      </c>
      <c r="AF9" s="5">
        <v>895170.88</v>
      </c>
      <c r="AG9" s="5">
        <v>1442.539</v>
      </c>
      <c r="AH9" s="5">
        <v>137325.88800000001</v>
      </c>
      <c r="AI9" s="5">
        <v>14797.9632</v>
      </c>
      <c r="AJ9" s="5">
        <v>145413.20000000001</v>
      </c>
      <c r="AK9" s="5">
        <v>105615.88</v>
      </c>
      <c r="AL9" s="5">
        <v>333092.8</v>
      </c>
      <c r="AM9" s="5">
        <v>1013.0650000000001</v>
      </c>
      <c r="AN9" s="5">
        <v>287</v>
      </c>
      <c r="AO9" s="5">
        <v>7.4</v>
      </c>
      <c r="AP9" s="5">
        <v>807580</v>
      </c>
      <c r="AQ9" s="5">
        <v>43026</v>
      </c>
      <c r="AR9" s="5">
        <v>42480</v>
      </c>
      <c r="AS9" s="5">
        <v>32432</v>
      </c>
      <c r="AT9" s="5">
        <v>22148</v>
      </c>
      <c r="AU9" s="5">
        <v>16415</v>
      </c>
      <c r="AV9" s="5">
        <v>6868</v>
      </c>
      <c r="AW9" s="5">
        <v>21.167573999999998</v>
      </c>
      <c r="AX9" s="5">
        <v>7319.0529999999999</v>
      </c>
      <c r="AY9" s="5">
        <v>683.85648000000003</v>
      </c>
      <c r="AZ9" s="5">
        <v>20.788</v>
      </c>
      <c r="BA9" s="5">
        <v>11.039</v>
      </c>
      <c r="BB9" s="5">
        <v>46.179000000000002</v>
      </c>
      <c r="BC9" s="5">
        <v>114029.064</v>
      </c>
      <c r="BD9" s="5">
        <v>277671.52</v>
      </c>
      <c r="BE9" s="5">
        <v>3769.1927999999998</v>
      </c>
      <c r="BF9" s="5">
        <v>1714.182</v>
      </c>
      <c r="BG9" s="5">
        <v>76.085999999999999</v>
      </c>
      <c r="BH9" s="5">
        <v>377.59</v>
      </c>
      <c r="BI9" s="5">
        <v>931.91099999999994</v>
      </c>
      <c r="BJ9" s="5">
        <v>16.396000000000001</v>
      </c>
      <c r="BK9" s="5">
        <v>573.524</v>
      </c>
      <c r="BL9" s="5">
        <v>79401.766399999993</v>
      </c>
      <c r="BM9" s="5">
        <v>327278.40000000002</v>
      </c>
      <c r="BN9" s="5">
        <v>7325.1247999999996</v>
      </c>
      <c r="BO9" s="5">
        <v>53589.132799999999</v>
      </c>
      <c r="BP9" s="5">
        <v>318105.85600000003</v>
      </c>
      <c r="BQ9" s="5">
        <v>333.68099999999998</v>
      </c>
      <c r="BR9" s="5">
        <v>186.10900000000001</v>
      </c>
      <c r="BS9" s="5">
        <v>1057804.834</v>
      </c>
      <c r="BT9" s="5">
        <v>1400633.297</v>
      </c>
      <c r="BU9" s="5">
        <v>636223.48800000001</v>
      </c>
      <c r="BV9" s="5">
        <v>1042333.84</v>
      </c>
      <c r="BW9" s="5">
        <v>576933.82400000002</v>
      </c>
      <c r="BX9" s="5">
        <v>1063490.48</v>
      </c>
      <c r="BY9" s="5">
        <v>159373.77600000001</v>
      </c>
      <c r="BZ9" s="5">
        <v>115130.56</v>
      </c>
      <c r="CA9" s="5">
        <v>1244.5895</v>
      </c>
      <c r="CB9" s="5">
        <v>110105.8</v>
      </c>
      <c r="CC9" s="5">
        <v>154701.74400000001</v>
      </c>
      <c r="CD9" s="5">
        <v>453269.728</v>
      </c>
      <c r="CE9" s="5">
        <v>49281.110399999998</v>
      </c>
      <c r="CF9" s="5">
        <v>156831.95199999999</v>
      </c>
      <c r="CG9" s="5">
        <v>36100.959999999999</v>
      </c>
      <c r="CH9" s="5">
        <v>2385.8710000000001</v>
      </c>
      <c r="CI9" s="5">
        <v>219.815</v>
      </c>
      <c r="CJ9" s="5">
        <v>1191.5999999999999</v>
      </c>
      <c r="CK9" s="5">
        <v>79.680000000000007</v>
      </c>
      <c r="CL9" s="5">
        <v>753.81</v>
      </c>
      <c r="CM9" s="5">
        <v>551.4</v>
      </c>
      <c r="CN9" s="5">
        <v>60949</v>
      </c>
      <c r="CO9" s="5">
        <v>1692.28</v>
      </c>
      <c r="CP9" s="5">
        <v>301907.93</v>
      </c>
      <c r="CQ9" s="5">
        <v>3730969.92</v>
      </c>
      <c r="CR9" s="5">
        <v>133386.90400000001</v>
      </c>
      <c r="CS9" s="5">
        <v>526032.73600000003</v>
      </c>
      <c r="CT9" s="5">
        <v>3059143.946</v>
      </c>
      <c r="CU9" s="5">
        <v>308542.31400000001</v>
      </c>
      <c r="CV9" s="5">
        <v>30268.454399999999</v>
      </c>
      <c r="CW9" s="5">
        <v>63645.062400000003</v>
      </c>
      <c r="CX9" s="5">
        <v>33674.400000000001</v>
      </c>
      <c r="CY9" s="5">
        <v>172405.47200000001</v>
      </c>
      <c r="CZ9" s="5">
        <v>220828.432</v>
      </c>
      <c r="DA9" s="5">
        <v>19489.939999999999</v>
      </c>
      <c r="DB9" s="5">
        <v>153912.09599999999</v>
      </c>
      <c r="DC9" s="5">
        <v>3263.12</v>
      </c>
      <c r="DD9" s="5">
        <v>3262.99</v>
      </c>
      <c r="DE9" s="5">
        <v>3293.2</v>
      </c>
      <c r="DF9" s="5">
        <v>0.999</v>
      </c>
      <c r="DG9" s="1" t="s">
        <v>210</v>
      </c>
      <c r="DH9" s="4">
        <f>Table2[[#This Row],[Date]]</f>
        <v>46272</v>
      </c>
      <c r="DI9">
        <f>(DD10-Table2[[#This Row],[MWH Total]])*4000</f>
        <v>25600.000000000364</v>
      </c>
      <c r="DJ9">
        <f>(DA10-Table2[[#This Row],[PNG Meter (Outside)]])*2.936</f>
        <v>8.2501600000038451</v>
      </c>
      <c r="DK9">
        <f>(DB10-Table2[[#This Row],[PNG Meter (Inside)]])*2.936</f>
        <v>353.41219200000887</v>
      </c>
      <c r="DL9">
        <f>(BH10-Table2[[#This Row],[3F Dough cooler - 2 ]])*1000</f>
        <v>393.0000000000291</v>
      </c>
      <c r="DM9">
        <f>(BI10-Table2[[#This Row],[3F Dough Cooler- 1]])*1000</f>
        <v>475.99999999999909</v>
      </c>
      <c r="DN9">
        <f>(BJ10-Table2[[#This Row],[4F Dough Production cooling Unit]])*1000</f>
        <v>15.000000000000568</v>
      </c>
      <c r="DO9">
        <f>(BQ10-Table2[[#This Row],[3F2 - PDB 3 - Dough Production Area]])*1000</f>
        <v>201.99999999999818</v>
      </c>
      <c r="DP9">
        <f>(BR10-Table2[[#This Row],[3F3 - PDB 4 - Dough Area]])*1000</f>
        <v>121.99999999998568</v>
      </c>
      <c r="DQ9">
        <f>AC10-Table2[[#This Row],[16F1 Tray washer Panel for Light]]</f>
        <v>671.83999999985099</v>
      </c>
      <c r="DR9">
        <f>CQ10-Table2[[#This Row],[2F1 Tray Washer - 1]]</f>
        <v>1028.4799999999814</v>
      </c>
      <c r="DS9">
        <f>CS10-Table2[[#This Row],[2F5 Destacker]]</f>
        <v>293.37599999993108</v>
      </c>
      <c r="DT9">
        <f>CU10-Table2[[#This Row],[5F1 Metering (TW-2)]]</f>
        <v>272.81599999999162</v>
      </c>
      <c r="DU9">
        <f>CV10-Table2[[#This Row],[6F1 Pre soaker Tray washer]]</f>
        <v>0</v>
      </c>
      <c r="DV9">
        <f>CZ10-Table2[[#This Row],[6F5 Vent tray Storage]]</f>
        <v>96.464000000007218</v>
      </c>
      <c r="DW9">
        <f>I10-Table2[[#This Row],[Popeyes Meter ]]</f>
        <v>65.080000000000837</v>
      </c>
      <c r="DX9">
        <f>AZ10-Table2[[#This Row],[2F WH Chiller, Segregation Area]]</f>
        <v>0</v>
      </c>
      <c r="DY9">
        <f>BA10-Table2[[#This Row],[3F1 AC Unit WH dock cooling - 2 Nos]]</f>
        <v>2.4000000000000909E-2</v>
      </c>
      <c r="DZ9">
        <f>BB10-Table2[[#This Row],[3F2 AC Unit WH dock cooling - 3 Nos]]</f>
        <v>3.6000000000001364E-2</v>
      </c>
      <c r="EA9">
        <f>(BK10-Table2[[#This Row],[5F WH Perishable]])*1000</f>
        <v>278.00000000002001</v>
      </c>
      <c r="EB9">
        <f>BN10-Table2[[#This Row],[2F3 - PDB 9 - WH Dock Leveler Door ]]</f>
        <v>4.4536000000007334</v>
      </c>
      <c r="EC9">
        <f>BP10-Table2[[#This Row],[3F1 - PDB 5 - WH HSD]]</f>
        <v>114.01599999994505</v>
      </c>
      <c r="ED9">
        <f>BX10-Table2[[#This Row],[8F1 WH Dock AHU - Ventilation]]</f>
        <v>1397.9199999999255</v>
      </c>
      <c r="EE9">
        <f>BZ10-Table2[[#This Row],[8F3 ACPDB - 4 WH Dock air curtain]]</f>
        <v>17.343999999997322</v>
      </c>
      <c r="EF9">
        <f>CA10-Table2[[#This Row],[8F4 WH Light]]</f>
        <v>0</v>
      </c>
      <c r="EG9">
        <f>CC10-Table2[[#This Row],[9F1 - PDB 10 - WH Dock door &amp; Office]]</f>
        <v>129.2960000000021</v>
      </c>
      <c r="EH9">
        <f>CD10-Table2[[#This Row],[9F2 - PDB 11 - WH flycatchers]]</f>
        <v>165.82400000002235</v>
      </c>
      <c r="EI9">
        <f>CE10-Table2[[#This Row],[9F3 - PDB 12 - Other items]]</f>
        <v>11.619200000001001</v>
      </c>
      <c r="EJ9">
        <f>CR10-Table2[[#This Row],[2F3 - PDB 1 - Dock 1 to 4 ]]</f>
        <v>48.127999999996973</v>
      </c>
      <c r="EK9">
        <f>BM10-Table2[[#This Row],[2F2 - PDB 3 - WH Truck &amp; Battery Charging]]</f>
        <v>482.46399999997811</v>
      </c>
      <c r="EL9">
        <f>(CK10-Table2[[#This Row],[PDB - 11 Truck Charging]])*1000</f>
        <v>38.999999999987267</v>
      </c>
      <c r="EM9">
        <f>P10-Table2[[#This Row],[5F3 Admin Area]]</f>
        <v>350.97600000002421</v>
      </c>
      <c r="EN9">
        <f>AH10-Table2[[#This Row],[2F5 Main Gate-1 Piller -1]]</f>
        <v>109.04000000000815</v>
      </c>
      <c r="EO9">
        <f>CW10-Table2[[#This Row],[6F2 Ground Floor AC]]</f>
        <v>28.755199999999604</v>
      </c>
      <c r="EP9">
        <f>CX10-Table2[[#This Row],[6F3 ACBD -1 (First floor AC)]]</f>
        <v>8.556799999998475</v>
      </c>
      <c r="EQ9">
        <f>CY10-Table2[[#This Row],[6F4 ACBD - 2 (Second &amp; Third floor AC)]]</f>
        <v>105.6479999999865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1463.4399999999441</v>
      </c>
      <c r="EU9">
        <f>(CL10-Table2[[#This Row],[OLD Ck Panel-1]])*1000</f>
        <v>650.00000000009095</v>
      </c>
      <c r="EV9">
        <f>CM10-Table2[[#This Row],[2F4 Old CK Blast (Blue star)]]</f>
        <v>0</v>
      </c>
      <c r="EW9">
        <f>CN10-Table2[[#This Row],[3F6 Old CK Blast (Carrier)]]</f>
        <v>529.5</v>
      </c>
      <c r="EX9">
        <f>(CO10-Table2[[#This Row],[Old CK Panel -2]])*1000</f>
        <v>1258.0000000000382</v>
      </c>
      <c r="EY9">
        <f>N10-Table2[[#This Row],[4F1 Main UPS 1/C -1]]</f>
        <v>957.11999999987893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34.000000000006025</v>
      </c>
      <c r="FC9">
        <f>BW10-Table2[[#This Row],[7F3 CLC Power Panel]]</f>
        <v>275.90399999998044</v>
      </c>
      <c r="FD9">
        <f>(CI10-Table2[[#This Row],[PDB - 17 CLC Section ]])*1000</f>
        <v>171.99999999999704</v>
      </c>
      <c r="FE9">
        <f>(W10-Table2[[#This Row],[13F3 Water &amp; Lift Old CK]])*1000</f>
        <v>1122.5999999999203</v>
      </c>
      <c r="FF9">
        <f>AA10-Table2[[#This Row],[15F2 New ETP Panel]]</f>
        <v>273.59999999997672</v>
      </c>
      <c r="FG9">
        <f>AL10-Table2[[#This Row],[3F4 Old ETP Panel]]</f>
        <v>74.207999999984168</v>
      </c>
      <c r="FH9">
        <f>AF10-Table2[[#This Row],[2F1 RO Plant]]</f>
        <v>532.03200000000652</v>
      </c>
      <c r="FI9">
        <f>AK10-Table2[[#This Row],[3F3 Fire Hydrant Panel]]</f>
        <v>14.19199999999546</v>
      </c>
      <c r="FJ9">
        <f>R10-Table2[[#This Row],[7F1 Freon System Panel]]</f>
        <v>5854.0800000000745</v>
      </c>
      <c r="FK9">
        <f>(AE10-Table2[[#This Row],[21F1 Refrigeration Ammonia]])*1000</f>
        <v>7130.4000000000087</v>
      </c>
      <c r="FL9">
        <f>(AG10-Table2[[#This Row],[2F3 Air Compressor]])*1000</f>
        <v>1034.0000000001055</v>
      </c>
      <c r="FM9">
        <f>(AX10-Table2[[#This Row],[Solar Reading Panel II]])*1000</f>
        <v>2938.0000000001019</v>
      </c>
      <c r="FN9">
        <f>AI10-Table2[[#This Row],[3F1 Maintenance Workshop]]</f>
        <v>5.5072000000000116</v>
      </c>
      <c r="FO9">
        <f>BD10-Table2[[#This Row],[4F B2B unit ]]</f>
        <v>52.608000000007451</v>
      </c>
      <c r="FP9">
        <f>BL10-Table2[[#This Row],[2F1 - PDB 6 - Bread, B2B section]]</f>
        <v>270.24640000000363</v>
      </c>
      <c r="FQ9">
        <f>(CG10-Table2[[#This Row],[9F5 - PDB 14 - Bread Lift]])</f>
        <v>0.64639999999781139</v>
      </c>
      <c r="FR9">
        <f>CJ10-Table2[[#This Row],[PDB - 16 Bread Section]]</f>
        <v>0</v>
      </c>
      <c r="FS9">
        <f>BU10-Table2[[#This Row],[7F1 Donut Production area]]</f>
        <v>196.22400000004563</v>
      </c>
      <c r="FT9">
        <f>CB10-Table2[[#This Row],[8F5 Donut Ban Bary]]</f>
        <v>22.479999999995925</v>
      </c>
      <c r="FU9">
        <f>CF10-Table2[[#This Row],[9F4 - PDB 13 - Donut Sink Geyser area]]</f>
        <v>31.888000000006286</v>
      </c>
      <c r="FV9">
        <f>BV10-Table2[[#This Row],[7F2 Flour Silo]]</f>
        <v>355.20000000006985</v>
      </c>
      <c r="FW9">
        <f>BY10-Table2[[#This Row],[8F2 ACPDB - 3 SILO Ventilation]]</f>
        <v>38.576000000000931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81</v>
      </c>
      <c r="B10" s="2">
        <v>46273.378148148149</v>
      </c>
      <c r="C10" s="2">
        <v>46273.415578703702</v>
      </c>
      <c r="D10" s="1" t="s">
        <v>111</v>
      </c>
      <c r="E10" s="1"/>
      <c r="F10" s="1"/>
      <c r="G10" s="3">
        <v>46273</v>
      </c>
      <c r="H10" s="1" t="s">
        <v>182</v>
      </c>
      <c r="I10" s="5">
        <v>8197.9320000000007</v>
      </c>
      <c r="J10" s="5">
        <v>4280.7</v>
      </c>
      <c r="K10" s="5">
        <v>1779303</v>
      </c>
      <c r="L10" s="5">
        <v>460</v>
      </c>
      <c r="M10" s="5">
        <v>193.56</v>
      </c>
      <c r="N10" s="5">
        <v>1902342.88</v>
      </c>
      <c r="O10" s="5">
        <v>4666730.88</v>
      </c>
      <c r="P10" s="5">
        <v>658864.44799999997</v>
      </c>
      <c r="Q10" s="5">
        <v>8187073.2800000003</v>
      </c>
      <c r="R10" s="5">
        <v>5730119.04</v>
      </c>
      <c r="S10" s="5">
        <v>7487632</v>
      </c>
      <c r="T10" s="5">
        <v>43645428.891000003</v>
      </c>
      <c r="U10" s="5">
        <v>2150496.3199999998</v>
      </c>
      <c r="V10" s="5">
        <v>5175565.4400000004</v>
      </c>
      <c r="W10" s="5">
        <v>1620.3925999999999</v>
      </c>
      <c r="X10" s="5">
        <v>783589.76</v>
      </c>
      <c r="Y10" s="5">
        <v>1142292.72</v>
      </c>
      <c r="Z10" s="5">
        <v>2777.8894</v>
      </c>
      <c r="AA10" s="5">
        <v>678464.576</v>
      </c>
      <c r="AB10" s="5">
        <v>422258.016</v>
      </c>
      <c r="AC10" s="5">
        <v>2163688.7999999998</v>
      </c>
      <c r="AD10" s="5">
        <v>4542716.585</v>
      </c>
      <c r="AE10" s="5">
        <v>13063.447200000001</v>
      </c>
      <c r="AF10" s="5">
        <v>895702.91200000001</v>
      </c>
      <c r="AG10" s="5">
        <v>1443.5730000000001</v>
      </c>
      <c r="AH10" s="5">
        <v>137434.92800000001</v>
      </c>
      <c r="AI10" s="5">
        <v>14803.4704</v>
      </c>
      <c r="AJ10" s="5">
        <v>145414.736</v>
      </c>
      <c r="AK10" s="5">
        <v>105630.072</v>
      </c>
      <c r="AL10" s="5">
        <v>333167.00799999997</v>
      </c>
      <c r="AM10" s="5">
        <v>1013.644</v>
      </c>
      <c r="AN10" s="5">
        <v>278.5</v>
      </c>
      <c r="AO10" s="5">
        <v>7.2</v>
      </c>
      <c r="AP10" s="5">
        <v>816973</v>
      </c>
      <c r="AQ10" s="5">
        <v>43026</v>
      </c>
      <c r="AR10" s="5">
        <v>42480</v>
      </c>
      <c r="AS10" s="5">
        <v>32432</v>
      </c>
      <c r="AT10" s="5">
        <v>22148</v>
      </c>
      <c r="AU10" s="5">
        <v>16438</v>
      </c>
      <c r="AV10" s="5">
        <v>6885</v>
      </c>
      <c r="AW10" s="5">
        <v>21.174499999999998</v>
      </c>
      <c r="AX10" s="5">
        <v>7321.991</v>
      </c>
      <c r="AY10" s="5">
        <v>683.97904000000005</v>
      </c>
      <c r="AZ10" s="5">
        <v>20.788</v>
      </c>
      <c r="BA10" s="5">
        <v>11.063000000000001</v>
      </c>
      <c r="BB10" s="5">
        <v>46.215000000000003</v>
      </c>
      <c r="BC10" s="5">
        <v>114029.064</v>
      </c>
      <c r="BD10" s="5">
        <v>277724.12800000003</v>
      </c>
      <c r="BE10" s="5">
        <v>3770.4416000000001</v>
      </c>
      <c r="BF10" s="5">
        <v>1714.182</v>
      </c>
      <c r="BG10" s="5">
        <v>76.12</v>
      </c>
      <c r="BH10" s="5">
        <v>377.983</v>
      </c>
      <c r="BI10" s="5">
        <v>932.38699999999994</v>
      </c>
      <c r="BJ10" s="5">
        <v>16.411000000000001</v>
      </c>
      <c r="BK10" s="5">
        <v>573.80200000000002</v>
      </c>
      <c r="BL10" s="5">
        <v>79672.012799999997</v>
      </c>
      <c r="BM10" s="5">
        <v>327760.864</v>
      </c>
      <c r="BN10" s="5">
        <v>7329.5784000000003</v>
      </c>
      <c r="BO10" s="5">
        <v>53589.132799999999</v>
      </c>
      <c r="BP10" s="5">
        <v>318219.87199999997</v>
      </c>
      <c r="BQ10" s="5">
        <v>333.88299999999998</v>
      </c>
      <c r="BR10" s="5">
        <v>186.23099999999999</v>
      </c>
      <c r="BS10" s="5">
        <v>1059136.426</v>
      </c>
      <c r="BT10" s="5">
        <v>1400633.3189999999</v>
      </c>
      <c r="BU10" s="5">
        <v>636419.71200000006</v>
      </c>
      <c r="BV10" s="5">
        <v>1042689.04</v>
      </c>
      <c r="BW10" s="5">
        <v>577209.728</v>
      </c>
      <c r="BX10" s="5">
        <v>1064888.3999999999</v>
      </c>
      <c r="BY10" s="5">
        <v>159412.35200000001</v>
      </c>
      <c r="BZ10" s="5">
        <v>115147.90399999999</v>
      </c>
      <c r="CA10" s="5">
        <v>1244.5895</v>
      </c>
      <c r="CB10" s="5">
        <v>110128.28</v>
      </c>
      <c r="CC10" s="5">
        <v>154831.04000000001</v>
      </c>
      <c r="CD10" s="5">
        <v>453435.55200000003</v>
      </c>
      <c r="CE10" s="5">
        <v>49292.729599999999</v>
      </c>
      <c r="CF10" s="5">
        <v>156863.84</v>
      </c>
      <c r="CG10" s="5">
        <v>36101.606399999997</v>
      </c>
      <c r="CH10" s="5">
        <v>2385.8710000000001</v>
      </c>
      <c r="CI10" s="5">
        <v>219.98699999999999</v>
      </c>
      <c r="CJ10" s="5">
        <v>1191.5999999999999</v>
      </c>
      <c r="CK10" s="5">
        <v>79.718999999999994</v>
      </c>
      <c r="CL10" s="5">
        <v>754.46</v>
      </c>
      <c r="CM10" s="5">
        <v>551.4</v>
      </c>
      <c r="CN10" s="5">
        <v>61478.5</v>
      </c>
      <c r="CO10" s="5">
        <v>1693.538</v>
      </c>
      <c r="CP10" s="5">
        <v>302137.87099999998</v>
      </c>
      <c r="CQ10" s="5">
        <v>3731998.4</v>
      </c>
      <c r="CR10" s="5">
        <v>133435.03200000001</v>
      </c>
      <c r="CS10" s="5">
        <v>526326.11199999996</v>
      </c>
      <c r="CT10" s="5">
        <v>3062423.6639999999</v>
      </c>
      <c r="CU10" s="5">
        <v>308815.13</v>
      </c>
      <c r="CV10" s="5">
        <v>30268.454399999999</v>
      </c>
      <c r="CW10" s="5">
        <v>63673.817600000002</v>
      </c>
      <c r="CX10" s="5">
        <v>33682.9568</v>
      </c>
      <c r="CY10" s="5">
        <v>172511.12</v>
      </c>
      <c r="CZ10" s="5">
        <v>220924.89600000001</v>
      </c>
      <c r="DA10" s="5">
        <v>19492.75</v>
      </c>
      <c r="DB10" s="5">
        <v>154032.46799999999</v>
      </c>
      <c r="DC10" s="5">
        <v>3269.52</v>
      </c>
      <c r="DD10" s="5">
        <v>3269.39</v>
      </c>
      <c r="DE10" s="5">
        <v>3299.63</v>
      </c>
      <c r="DF10" s="5">
        <v>0.998</v>
      </c>
      <c r="DG10" s="1" t="s">
        <v>218</v>
      </c>
      <c r="DH10" s="4">
        <f>Table2[[#This Row],[Date]]</f>
        <v>46273</v>
      </c>
      <c r="DI10">
        <f>(DD11-Table2[[#This Row],[MWH Total]])*4000</f>
        <v>-13077560</v>
      </c>
      <c r="DJ10">
        <f>(DA11-Table2[[#This Row],[PNG Meter (Outside)]])*2.936</f>
        <v>-57230.714</v>
      </c>
      <c r="DK10">
        <f>(DB11-Table2[[#This Row],[PNG Meter (Inside)]])*2.936</f>
        <v>-452239.32604799996</v>
      </c>
      <c r="DL10">
        <f>(BH11-Table2[[#This Row],[3F Dough cooler - 2 ]])*1000</f>
        <v>-377983</v>
      </c>
      <c r="DM10">
        <f>(BI11-Table2[[#This Row],[3F Dough Cooler- 1]])*1000</f>
        <v>-932387</v>
      </c>
      <c r="DN10">
        <f>(BJ11-Table2[[#This Row],[4F Dough Production cooling Unit]])*1000</f>
        <v>-16411</v>
      </c>
      <c r="DO10">
        <f>(BQ11-Table2[[#This Row],[3F2 - PDB 3 - Dough Production Area]])*1000</f>
        <v>-333883</v>
      </c>
      <c r="DP10">
        <f>(BR11-Table2[[#This Row],[3F3 - PDB 4 - Dough Area]])*1000</f>
        <v>-186231</v>
      </c>
      <c r="DQ10">
        <f>AC11-Table2[[#This Row],[16F1 Tray washer Panel for Light]]</f>
        <v>-2163688.7999999998</v>
      </c>
      <c r="DR10">
        <f>CQ11-Table2[[#This Row],[2F1 Tray Washer - 1]]</f>
        <v>-3731998.4</v>
      </c>
      <c r="DS10">
        <f>CS11-Table2[[#This Row],[2F5 Destacker]]</f>
        <v>-526326.11199999996</v>
      </c>
      <c r="DT10">
        <f>CU11-Table2[[#This Row],[5F1 Metering (TW-2)]]</f>
        <v>-308815.13</v>
      </c>
      <c r="DU10">
        <f>CV11-Table2[[#This Row],[6F1 Pre soaker Tray washer]]</f>
        <v>-30268.454399999999</v>
      </c>
      <c r="DV10">
        <f>CZ11-Table2[[#This Row],[6F5 Vent tray Storage]]</f>
        <v>-220924.89600000001</v>
      </c>
      <c r="DW10">
        <f>I11-Table2[[#This Row],[Popeyes Meter ]]</f>
        <v>-8197.9320000000007</v>
      </c>
      <c r="DX10">
        <f>AZ11-Table2[[#This Row],[2F WH Chiller, Segregation Area]]</f>
        <v>-20.788</v>
      </c>
      <c r="DY10">
        <f>BA11-Table2[[#This Row],[3F1 AC Unit WH dock cooling - 2 Nos]]</f>
        <v>-11.063000000000001</v>
      </c>
      <c r="DZ10">
        <f>BB11-Table2[[#This Row],[3F2 AC Unit WH dock cooling - 3 Nos]]</f>
        <v>-46.215000000000003</v>
      </c>
      <c r="EA10">
        <f>(BK11-Table2[[#This Row],[5F WH Perishable]])*1000</f>
        <v>-573802</v>
      </c>
      <c r="EB10">
        <f>BN11-Table2[[#This Row],[2F3 - PDB 9 - WH Dock Leveler Door ]]</f>
        <v>-7329.5784000000003</v>
      </c>
      <c r="EC10">
        <f>BP11-Table2[[#This Row],[3F1 - PDB 5 - WH HSD]]</f>
        <v>-318219.87199999997</v>
      </c>
      <c r="ED10">
        <f>BX11-Table2[[#This Row],[8F1 WH Dock AHU - Ventilation]]</f>
        <v>-1064888.3999999999</v>
      </c>
      <c r="EE10">
        <f>BZ11-Table2[[#This Row],[8F3 ACPDB - 4 WH Dock air curtain]]</f>
        <v>-115147.90399999999</v>
      </c>
      <c r="EF10">
        <f>CA11-Table2[[#This Row],[8F4 WH Light]]</f>
        <v>-1244.5895</v>
      </c>
      <c r="EG10">
        <f>CC11-Table2[[#This Row],[9F1 - PDB 10 - WH Dock door &amp; Office]]</f>
        <v>-154831.04000000001</v>
      </c>
      <c r="EH10">
        <f>CD11-Table2[[#This Row],[9F2 - PDB 11 - WH flycatchers]]</f>
        <v>-453435.55200000003</v>
      </c>
      <c r="EI10">
        <f>CE11-Table2[[#This Row],[9F3 - PDB 12 - Other items]]</f>
        <v>-49292.729599999999</v>
      </c>
      <c r="EJ10">
        <f>CR11-Table2[[#This Row],[2F3 - PDB 1 - Dock 1 to 4 ]]</f>
        <v>-133435.03200000001</v>
      </c>
      <c r="EK10">
        <f>BM11-Table2[[#This Row],[2F2 - PDB 3 - WH Truck &amp; Battery Charging]]</f>
        <v>-327760.864</v>
      </c>
      <c r="EL10">
        <f>(CK11-Table2[[#This Row],[PDB - 11 Truck Charging]])*1000</f>
        <v>-79719</v>
      </c>
      <c r="EM10">
        <f>P11-Table2[[#This Row],[5F3 Admin Area]]</f>
        <v>-658864.44799999997</v>
      </c>
      <c r="EN10">
        <f>AH11-Table2[[#This Row],[2F5 Main Gate-1 Piller -1]]</f>
        <v>-137434.92800000001</v>
      </c>
      <c r="EO10">
        <f>CW11-Table2[[#This Row],[6F2 Ground Floor AC]]</f>
        <v>-63673.817600000002</v>
      </c>
      <c r="EP10">
        <f>CX11-Table2[[#This Row],[6F3 ACBD -1 (First floor AC)]]</f>
        <v>-33682.9568</v>
      </c>
      <c r="EQ10">
        <f>CY11-Table2[[#This Row],[6F4 ACBD - 2 (Second &amp; Third floor AC)]]</f>
        <v>-172511.12</v>
      </c>
      <c r="ER10">
        <f>(BC11-Table2[[#This Row],[4F Old BMC cooling Unit]])</f>
        <v>-114029.064</v>
      </c>
      <c r="ES10">
        <f>BO11-Table2[[#This Row],[2F4 - Old BMC]]</f>
        <v>-53589.132799999999</v>
      </c>
      <c r="ET10">
        <f>Y11-Table2[[#This Row],[14F2 New CK]]</f>
        <v>-1142292.72</v>
      </c>
      <c r="EU10">
        <f>(CL11-Table2[[#This Row],[OLD Ck Panel-1]])*1000</f>
        <v>-754460</v>
      </c>
      <c r="EV10">
        <f>CM11-Table2[[#This Row],[2F4 Old CK Blast (Blue star)]]</f>
        <v>-551.4</v>
      </c>
      <c r="EW10">
        <f>CN11-Table2[[#This Row],[3F6 Old CK Blast (Carrier)]]</f>
        <v>-61478.5</v>
      </c>
      <c r="EX10">
        <f>(CO11-Table2[[#This Row],[Old CK Panel -2]])*1000</f>
        <v>-1693538</v>
      </c>
      <c r="EY10">
        <f>N11-Table2[[#This Row],[4F1 Main UPS 1/C -1]]</f>
        <v>-1902342.88</v>
      </c>
      <c r="EZ10">
        <f>Z11-Table2[[#This Row],[15F1 Main UPS Panel - I/C - 2]]</f>
        <v>-2777.8894</v>
      </c>
      <c r="FA10">
        <f>BF11-Table2[[#This Row],[2F CLC -1 AC unit - 2]]</f>
        <v>-1714.182</v>
      </c>
      <c r="FB10">
        <f>(BG11-Table2[[#This Row],[2F CLC Anti room]])*1000</f>
        <v>-76120</v>
      </c>
      <c r="FC10">
        <f>BW11-Table2[[#This Row],[7F3 CLC Power Panel]]</f>
        <v>-577209.728</v>
      </c>
      <c r="FD10">
        <f>(CI11-Table2[[#This Row],[PDB - 17 CLC Section ]])*1000</f>
        <v>-219987</v>
      </c>
      <c r="FE10">
        <f>(W11-Table2[[#This Row],[13F3 Water &amp; Lift Old CK]])*1000</f>
        <v>-1620392.5999999999</v>
      </c>
      <c r="FF10">
        <f>AA11-Table2[[#This Row],[15F2 New ETP Panel]]</f>
        <v>-678464.576</v>
      </c>
      <c r="FG10">
        <f>AL11-Table2[[#This Row],[3F4 Old ETP Panel]]</f>
        <v>-333167.00799999997</v>
      </c>
      <c r="FH10">
        <f>AF11-Table2[[#This Row],[2F1 RO Plant]]</f>
        <v>-895702.91200000001</v>
      </c>
      <c r="FI10">
        <f>AK11-Table2[[#This Row],[3F3 Fire Hydrant Panel]]</f>
        <v>-105630.072</v>
      </c>
      <c r="FJ10">
        <f>R11-Table2[[#This Row],[7F1 Freon System Panel]]</f>
        <v>-5730119.04</v>
      </c>
      <c r="FK10">
        <f>(AE11-Table2[[#This Row],[21F1 Refrigeration Ammonia]])*1000</f>
        <v>-13063447.200000001</v>
      </c>
      <c r="FL10">
        <f>(AG11-Table2[[#This Row],[2F3 Air Compressor]])*1000</f>
        <v>-1443573</v>
      </c>
      <c r="FM10">
        <f>(AX11-Table2[[#This Row],[Solar Reading Panel II]])*1000</f>
        <v>-7321991</v>
      </c>
      <c r="FN10">
        <f>AI11-Table2[[#This Row],[3F1 Maintenance Workshop]]</f>
        <v>-14803.4704</v>
      </c>
      <c r="FO10">
        <f>BD11-Table2[[#This Row],[4F B2B unit ]]</f>
        <v>-277724.12800000003</v>
      </c>
      <c r="FP10">
        <f>BL11-Table2[[#This Row],[2F1 - PDB 6 - Bread, B2B section]]</f>
        <v>-79672.012799999997</v>
      </c>
      <c r="FQ10">
        <f>(CG11-Table2[[#This Row],[9F5 - PDB 14 - Bread Lift]])</f>
        <v>-36101.606399999997</v>
      </c>
      <c r="FR10">
        <f>CJ11-Table2[[#This Row],[PDB - 16 Bread Section]]</f>
        <v>-1191.5999999999999</v>
      </c>
      <c r="FS10">
        <f>BU11-Table2[[#This Row],[7F1 Donut Production area]]</f>
        <v>-636419.71200000006</v>
      </c>
      <c r="FT10">
        <f>CB11-Table2[[#This Row],[8F5 Donut Ban Bary]]</f>
        <v>-110128.28</v>
      </c>
      <c r="FU10">
        <f>CF11-Table2[[#This Row],[9F4 - PDB 13 - Donut Sink Geyser area]]</f>
        <v>-156863.84</v>
      </c>
      <c r="FV10">
        <f>BV11-Table2[[#This Row],[7F2 Flour Silo]]</f>
        <v>-1042689.04</v>
      </c>
      <c r="FW10">
        <f>BY11-Table2[[#This Row],[8F2 ACPDB - 3 SILO Ventilation]]</f>
        <v>-159412.35200000001</v>
      </c>
      <c r="FX10">
        <f>J11-Table2[[#This Row],[DG 1010KVA Running Hours]]</f>
        <v>-4280.7</v>
      </c>
      <c r="FY10">
        <f>K11-Table2[[#This Row],[DG 1010 KVA Meter Reading]]</f>
        <v>-1779303</v>
      </c>
      <c r="FZ10">
        <f>L11-Table2[[#This Row],[GG 1010 KVA Running Hours]]</f>
        <v>-460</v>
      </c>
      <c r="GA10">
        <f>M11-Table2[[#This Row],[GG 1010 KVA Meter Reading]]</f>
        <v>-193.56</v>
      </c>
    </row>
    <row r="11" spans="1:183" x14ac:dyDescent="0.35">
      <c r="A11" s="1"/>
      <c r="B11" s="2"/>
      <c r="C11" s="2"/>
      <c r="D11" s="1"/>
      <c r="E11" s="1"/>
      <c r="F11" s="1"/>
      <c r="G11" s="3"/>
      <c r="H11" s="1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1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1"/>
      <c r="DB11" s="5"/>
      <c r="DC11" s="5"/>
      <c r="DD11" s="5"/>
      <c r="DE11" s="5"/>
      <c r="DF11" s="5"/>
      <c r="DG11" s="1"/>
      <c r="DH11" s="4">
        <f>Table2[[#This Row],[Date]]</f>
        <v>0</v>
      </c>
      <c r="DI11">
        <f>(DD12-Table2[[#This Row],[MWH Total]])*4000</f>
        <v>0</v>
      </c>
      <c r="DJ11">
        <f>(DA12-Table2[[#This Row],[PNG Meter (Outside)]])*2.936</f>
        <v>0</v>
      </c>
      <c r="DK11">
        <f>(DB12-Table2[[#This Row],[PNG Meter (Inside)]])*2.936</f>
        <v>0</v>
      </c>
      <c r="DL11">
        <f>(BH12-Table2[[#This Row],[3F Dough cooler - 2 ]])*1000</f>
        <v>0</v>
      </c>
      <c r="DM11">
        <f>(BI12-Table2[[#This Row],[3F Dough Cooler- 1]])*1000</f>
        <v>0</v>
      </c>
      <c r="DN11">
        <f>(BJ12-Table2[[#This Row],[4F Dough Production cooling Unit]])*1000</f>
        <v>0</v>
      </c>
      <c r="DO11">
        <f>(BQ12-Table2[[#This Row],[3F2 - PDB 3 - Dough Production Area]])*1000</f>
        <v>0</v>
      </c>
      <c r="DP11">
        <f>(BR12-Table2[[#This Row],[3F3 - PDB 4 - Dough Area]])*1000</f>
        <v>0</v>
      </c>
      <c r="DQ11">
        <f>AC12-Table2[[#This Row],[16F1 Tray washer Panel for Light]]</f>
        <v>0</v>
      </c>
      <c r="DR11">
        <f>CQ12-Table2[[#This Row],[2F1 Tray Washer - 1]]</f>
        <v>0</v>
      </c>
      <c r="DS11">
        <f>CS12-Table2[[#This Row],[2F5 Destacker]]</f>
        <v>0</v>
      </c>
      <c r="DT11">
        <f>CU12-Table2[[#This Row],[5F1 Metering (TW-2)]]</f>
        <v>0</v>
      </c>
      <c r="DU11">
        <f>CV12-Table2[[#This Row],[6F1 Pre soaker Tray washer]]</f>
        <v>0</v>
      </c>
      <c r="DV11">
        <f>CZ12-Table2[[#This Row],[6F5 Vent tray Storage]]</f>
        <v>0</v>
      </c>
      <c r="DW11">
        <f>I12-Table2[[#This Row],[Popeyes Meter ]]</f>
        <v>0</v>
      </c>
      <c r="DX11">
        <f>AZ12-Table2[[#This Row],[2F WH Chiller, Segregation Area]]</f>
        <v>0</v>
      </c>
      <c r="DY11">
        <f>BA12-Table2[[#This Row],[3F1 AC Unit WH dock cooling - 2 Nos]]</f>
        <v>0</v>
      </c>
      <c r="DZ11">
        <f>BB12-Table2[[#This Row],[3F2 AC Unit WH dock cooling - 3 Nos]]</f>
        <v>0</v>
      </c>
      <c r="EA11">
        <f>(BK12-Table2[[#This Row],[5F WH Perishable]])*1000</f>
        <v>0</v>
      </c>
      <c r="EB11">
        <f>BN12-Table2[[#This Row],[2F3 - PDB 9 - WH Dock Leveler Door ]]</f>
        <v>0</v>
      </c>
      <c r="EC11">
        <f>BP12-Table2[[#This Row],[3F1 - PDB 5 - WH HSD]]</f>
        <v>0</v>
      </c>
      <c r="ED11">
        <f>BX12-Table2[[#This Row],[8F1 WH Dock AHU - Ventilation]]</f>
        <v>0</v>
      </c>
      <c r="EE11">
        <f>BZ12-Table2[[#This Row],[8F3 ACPDB - 4 WH Dock air curtain]]</f>
        <v>0</v>
      </c>
      <c r="EF11">
        <f>CA12-Table2[[#This Row],[8F4 WH Light]]</f>
        <v>0</v>
      </c>
      <c r="EG11">
        <f>CC12-Table2[[#This Row],[9F1 - PDB 10 - WH Dock door &amp; Office]]</f>
        <v>0</v>
      </c>
      <c r="EH11">
        <f>CD12-Table2[[#This Row],[9F2 - PDB 11 - WH flycatchers]]</f>
        <v>0</v>
      </c>
      <c r="EI11">
        <f>CE12-Table2[[#This Row],[9F3 - PDB 12 - Other items]]</f>
        <v>0</v>
      </c>
      <c r="EJ11">
        <f>CR12-Table2[[#This Row],[2F3 - PDB 1 - Dock 1 to 4 ]]</f>
        <v>0</v>
      </c>
      <c r="EK11">
        <f>BM12-Table2[[#This Row],[2F2 - PDB 3 - WH Truck &amp; Battery Charging]]</f>
        <v>0</v>
      </c>
      <c r="EL11">
        <f>(CK12-Table2[[#This Row],[PDB - 11 Truck Charging]])*1000</f>
        <v>0</v>
      </c>
      <c r="EM11">
        <f>P12-Table2[[#This Row],[5F3 Admin Area]]</f>
        <v>0</v>
      </c>
      <c r="EN11">
        <f>AH12-Table2[[#This Row],[2F5 Main Gate-1 Piller -1]]</f>
        <v>0</v>
      </c>
      <c r="EO11">
        <f>CW12-Table2[[#This Row],[6F2 Ground Floor AC]]</f>
        <v>0</v>
      </c>
      <c r="EP11">
        <f>CX12-Table2[[#This Row],[6F3 ACBD -1 (First floor AC)]]</f>
        <v>0</v>
      </c>
      <c r="EQ11">
        <f>CY12-Table2[[#This Row],[6F4 ACBD - 2 (Second &amp; Third floor AC)]]</f>
        <v>0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0</v>
      </c>
      <c r="EU11">
        <f>(CL12-Table2[[#This Row],[OLD Ck Panel-1]])*1000</f>
        <v>0</v>
      </c>
      <c r="EV11">
        <f>CM12-Table2[[#This Row],[2F4 Old CK Blast (Blue star)]]</f>
        <v>0</v>
      </c>
      <c r="EW11">
        <f>CN12-Table2[[#This Row],[3F6 Old CK Blast (Carrier)]]</f>
        <v>0</v>
      </c>
      <c r="EX11">
        <f>(CO12-Table2[[#This Row],[Old CK Panel -2]])*1000</f>
        <v>0</v>
      </c>
      <c r="EY11">
        <f>N12-Table2[[#This Row],[4F1 Main UPS 1/C -1]]</f>
        <v>0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0</v>
      </c>
      <c r="FC11">
        <f>BW12-Table2[[#This Row],[7F3 CLC Power Panel]]</f>
        <v>0</v>
      </c>
      <c r="FD11">
        <f>(CI12-Table2[[#This Row],[PDB - 17 CLC Section ]])*1000</f>
        <v>0</v>
      </c>
      <c r="FE11">
        <f>(W12-Table2[[#This Row],[13F3 Water &amp; Lift Old CK]])*1000</f>
        <v>0</v>
      </c>
      <c r="FF11">
        <f>AA12-Table2[[#This Row],[15F2 New ETP Panel]]</f>
        <v>0</v>
      </c>
      <c r="FG11">
        <f>AL12-Table2[[#This Row],[3F4 Old ETP Panel]]</f>
        <v>0</v>
      </c>
      <c r="FH11">
        <f>AF12-Table2[[#This Row],[2F1 RO Plant]]</f>
        <v>0</v>
      </c>
      <c r="FI11">
        <f>AK12-Table2[[#This Row],[3F3 Fire Hydrant Panel]]</f>
        <v>0</v>
      </c>
      <c r="FJ11">
        <f>R12-Table2[[#This Row],[7F1 Freon System Panel]]</f>
        <v>0</v>
      </c>
      <c r="FK11">
        <f>(AE12-Table2[[#This Row],[21F1 Refrigeration Ammonia]])*1000</f>
        <v>0</v>
      </c>
      <c r="FL11">
        <f>(AG12-Table2[[#This Row],[2F3 Air Compressor]])*1000</f>
        <v>0</v>
      </c>
      <c r="FM11">
        <f>(AX12-Table2[[#This Row],[Solar Reading Panel II]])*1000</f>
        <v>0</v>
      </c>
      <c r="FN11">
        <f>AI12-Table2[[#This Row],[3F1 Maintenance Workshop]]</f>
        <v>0</v>
      </c>
      <c r="FO11">
        <f>BD12-Table2[[#This Row],[4F B2B unit ]]</f>
        <v>0</v>
      </c>
      <c r="FP11">
        <f>BL12-Table2[[#This Row],[2F1 - PDB 6 - Bread, B2B section]]</f>
        <v>0</v>
      </c>
      <c r="FQ11">
        <f>(CG12-Table2[[#This Row],[9F5 - PDB 14 - Bread Lift]])</f>
        <v>0</v>
      </c>
      <c r="FR11">
        <f>CJ12-Table2[[#This Row],[PDB - 16 Bread Section]]</f>
        <v>0</v>
      </c>
      <c r="FS11">
        <f>BU12-Table2[[#This Row],[7F1 Donut Production area]]</f>
        <v>0</v>
      </c>
      <c r="FT11">
        <f>CB12-Table2[[#This Row],[8F5 Donut Ban Bary]]</f>
        <v>0</v>
      </c>
      <c r="FU11">
        <f>CF12-Table2[[#This Row],[9F4 - PDB 13 - Donut Sink Geyser area]]</f>
        <v>0</v>
      </c>
      <c r="FV11">
        <f>BV12-Table2[[#This Row],[7F2 Flour Silo]]</f>
        <v>0</v>
      </c>
      <c r="FW11">
        <f>BY12-Table2[[#This Row],[8F2 ACPDB - 3 SILO Ventilation]]</f>
        <v>0</v>
      </c>
      <c r="FX11">
        <f>J12-Table2[[#This Row],[DG 1010KVA Running Hours]]</f>
        <v>0</v>
      </c>
      <c r="FY11">
        <f>K12-Table2[[#This Row],[DG 1010 KVA Meter Reading]]</f>
        <v>0</v>
      </c>
      <c r="FZ11">
        <f>L12-Table2[[#This Row],[GG 1010 KVA Running Hours]]</f>
        <v>0</v>
      </c>
      <c r="GA11">
        <f>M12-Table2[[#This Row],[GG 1010 KVA Meter Reading]]</f>
        <v>0</v>
      </c>
    </row>
    <row r="12" spans="1:183" x14ac:dyDescent="0.35">
      <c r="A12" s="1"/>
      <c r="B12" s="2"/>
      <c r="C12" s="2"/>
      <c r="D12" s="1"/>
      <c r="E12" s="1"/>
      <c r="F12" s="1"/>
      <c r="G12" s="3"/>
      <c r="H12" s="1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1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1"/>
      <c r="DH12" s="4">
        <f>Table2[[#This Row],[Date]]</f>
        <v>0</v>
      </c>
      <c r="DI12">
        <f>(DD13-Table2[[#This Row],[MWH Total]])*4000</f>
        <v>0</v>
      </c>
      <c r="DJ12">
        <f>(DA13-Table2[[#This Row],[PNG Meter (Outside)]])*2.936</f>
        <v>0</v>
      </c>
      <c r="DK12">
        <f>(DB13-Table2[[#This Row],[PNG Meter (Inside)]])*2.936</f>
        <v>0</v>
      </c>
      <c r="DL12">
        <f>(BH13-Table2[[#This Row],[3F Dough cooler - 2 ]])*1000</f>
        <v>0</v>
      </c>
      <c r="DM12">
        <f>(BI13-Table2[[#This Row],[3F Dough Cooler- 1]])*1000</f>
        <v>0</v>
      </c>
      <c r="DN12">
        <f>(BJ13-Table2[[#This Row],[4F Dough Production cooling Unit]])*1000</f>
        <v>0</v>
      </c>
      <c r="DO12">
        <f>(BQ13-Table2[[#This Row],[3F2 - PDB 3 - Dough Production Area]])*1000</f>
        <v>0</v>
      </c>
      <c r="DP12">
        <f>(BR13-Table2[[#This Row],[3F3 - PDB 4 - Dough Area]])*1000</f>
        <v>0</v>
      </c>
      <c r="DQ12">
        <f>AC13-Table2[[#This Row],[16F1 Tray washer Panel for Light]]</f>
        <v>0</v>
      </c>
      <c r="DR12">
        <f>CQ13-Table2[[#This Row],[2F1 Tray Washer - 1]]</f>
        <v>0</v>
      </c>
      <c r="DS12">
        <f>CS13-Table2[[#This Row],[2F5 Destacker]]</f>
        <v>0</v>
      </c>
      <c r="DT12">
        <f>CU13-Table2[[#This Row],[5F1 Metering (TW-2)]]</f>
        <v>0</v>
      </c>
      <c r="DU12">
        <f>CV13-Table2[[#This Row],[6F1 Pre soaker Tray washer]]</f>
        <v>0</v>
      </c>
      <c r="DV12">
        <f>CZ13-Table2[[#This Row],[6F5 Vent tray Storage]]</f>
        <v>0</v>
      </c>
      <c r="DW12">
        <f>I13-Table2[[#This Row],[Popeyes Meter ]]</f>
        <v>0</v>
      </c>
      <c r="DX12">
        <f>AZ13-Table2[[#This Row],[2F WH Chiller, Segregation Area]]</f>
        <v>0</v>
      </c>
      <c r="DY12">
        <f>BA13-Table2[[#This Row],[3F1 AC Unit WH dock cooling - 2 Nos]]</f>
        <v>0</v>
      </c>
      <c r="DZ12">
        <f>BB13-Table2[[#This Row],[3F2 AC Unit WH dock cooling - 3 Nos]]</f>
        <v>0</v>
      </c>
      <c r="EA12">
        <f>(BK13-Table2[[#This Row],[5F WH Perishable]])*1000</f>
        <v>0</v>
      </c>
      <c r="EB12">
        <f>BN13-Table2[[#This Row],[2F3 - PDB 9 - WH Dock Leveler Door ]]</f>
        <v>0</v>
      </c>
      <c r="EC12">
        <f>BP13-Table2[[#This Row],[3F1 - PDB 5 - WH HSD]]</f>
        <v>0</v>
      </c>
      <c r="ED12">
        <f>BX13-Table2[[#This Row],[8F1 WH Dock AHU - Ventilation]]</f>
        <v>0</v>
      </c>
      <c r="EE12">
        <f>BZ13-Table2[[#This Row],[8F3 ACPDB - 4 WH Dock air curtain]]</f>
        <v>0</v>
      </c>
      <c r="EF12">
        <f>CA13-Table2[[#This Row],[8F4 WH Light]]</f>
        <v>0</v>
      </c>
      <c r="EG12">
        <f>CC13-Table2[[#This Row],[9F1 - PDB 10 - WH Dock door &amp; Office]]</f>
        <v>0</v>
      </c>
      <c r="EH12">
        <f>CD13-Table2[[#This Row],[9F2 - PDB 11 - WH flycatchers]]</f>
        <v>0</v>
      </c>
      <c r="EI12">
        <f>CE13-Table2[[#This Row],[9F3 - PDB 12 - Other items]]</f>
        <v>0</v>
      </c>
      <c r="EJ12">
        <f>CR13-Table2[[#This Row],[2F3 - PDB 1 - Dock 1 to 4 ]]</f>
        <v>0</v>
      </c>
      <c r="EK12">
        <f>BM13-Table2[[#This Row],[2F2 - PDB 3 - WH Truck &amp; Battery Charging]]</f>
        <v>0</v>
      </c>
      <c r="EL12">
        <f>(CK13-Table2[[#This Row],[PDB - 11 Truck Charging]])*1000</f>
        <v>0</v>
      </c>
      <c r="EM12">
        <f>P13-Table2[[#This Row],[5F3 Admin Area]]</f>
        <v>0</v>
      </c>
      <c r="EN12">
        <f>AH13-Table2[[#This Row],[2F5 Main Gate-1 Piller -1]]</f>
        <v>0</v>
      </c>
      <c r="EO12">
        <f>CW13-Table2[[#This Row],[6F2 Ground Floor AC]]</f>
        <v>0</v>
      </c>
      <c r="EP12">
        <f>CX13-Table2[[#This Row],[6F3 ACBD -1 (First floor AC)]]</f>
        <v>0</v>
      </c>
      <c r="EQ12">
        <f>CY13-Table2[[#This Row],[6F4 ACBD - 2 (Second &amp; Third floor AC)]]</f>
        <v>0</v>
      </c>
      <c r="ER12">
        <f>(BC13-Table2[[#This Row],[4F Old BMC cooling Unit]])</f>
        <v>0</v>
      </c>
      <c r="ES12">
        <f>BO13-Table2[[#This Row],[2F4 - Old BMC]]</f>
        <v>0</v>
      </c>
      <c r="ET12">
        <f>Y13-Table2[[#This Row],[14F2 New CK]]</f>
        <v>0</v>
      </c>
      <c r="EU12">
        <f>(CL13-Table2[[#This Row],[OLD Ck Panel-1]])*1000</f>
        <v>0</v>
      </c>
      <c r="EV12">
        <f>CM13-Table2[[#This Row],[2F4 Old CK Blast (Blue star)]]</f>
        <v>0</v>
      </c>
      <c r="EW12">
        <f>CN13-Table2[[#This Row],[3F6 Old CK Blast (Carrier)]]</f>
        <v>0</v>
      </c>
      <c r="EX12">
        <f>(CO13-Table2[[#This Row],[Old CK Panel -2]])*1000</f>
        <v>0</v>
      </c>
      <c r="EY12">
        <f>N13-Table2[[#This Row],[4F1 Main UPS 1/C -1]]</f>
        <v>0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0</v>
      </c>
      <c r="FC12">
        <f>BW13-Table2[[#This Row],[7F3 CLC Power Panel]]</f>
        <v>0</v>
      </c>
      <c r="FD12">
        <f>(CI13-Table2[[#This Row],[PDB - 17 CLC Section ]])*1000</f>
        <v>0</v>
      </c>
      <c r="FE12">
        <f>(W13-Table2[[#This Row],[13F3 Water &amp; Lift Old CK]])*1000</f>
        <v>0</v>
      </c>
      <c r="FF12">
        <f>AA13-Table2[[#This Row],[15F2 New ETP Panel]]</f>
        <v>0</v>
      </c>
      <c r="FG12">
        <f>AL13-Table2[[#This Row],[3F4 Old ETP Panel]]</f>
        <v>0</v>
      </c>
      <c r="FH12">
        <f>AF13-Table2[[#This Row],[2F1 RO Plant]]</f>
        <v>0</v>
      </c>
      <c r="FI12">
        <f>AK13-Table2[[#This Row],[3F3 Fire Hydrant Panel]]</f>
        <v>0</v>
      </c>
      <c r="FJ12">
        <f>R13-Table2[[#This Row],[7F1 Freon System Panel]]</f>
        <v>0</v>
      </c>
      <c r="FK12">
        <f>(AE13-Table2[[#This Row],[21F1 Refrigeration Ammonia]])*1000</f>
        <v>0</v>
      </c>
      <c r="FL12">
        <f>(AG13-Table2[[#This Row],[2F3 Air Compressor]])*1000</f>
        <v>0</v>
      </c>
      <c r="FM12">
        <f>(AX13-Table2[[#This Row],[Solar Reading Panel II]])*1000</f>
        <v>0</v>
      </c>
      <c r="FN12">
        <f>AI13-Table2[[#This Row],[3F1 Maintenance Workshop]]</f>
        <v>0</v>
      </c>
      <c r="FO12">
        <f>BD13-Table2[[#This Row],[4F B2B unit ]]</f>
        <v>0</v>
      </c>
      <c r="FP12">
        <f>BL13-Table2[[#This Row],[2F1 - PDB 6 - Bread, B2B section]]</f>
        <v>0</v>
      </c>
      <c r="FQ12">
        <f>(CG13-Table2[[#This Row],[9F5 - PDB 14 - Bread Lift]])</f>
        <v>0</v>
      </c>
      <c r="FR12">
        <f>CJ13-Table2[[#This Row],[PDB - 16 Bread Section]]</f>
        <v>0</v>
      </c>
      <c r="FS12">
        <f>BU13-Table2[[#This Row],[7F1 Donut Production area]]</f>
        <v>0</v>
      </c>
      <c r="FT12">
        <f>CB13-Table2[[#This Row],[8F5 Donut Ban Bary]]</f>
        <v>0</v>
      </c>
      <c r="FU12">
        <f>CF13-Table2[[#This Row],[9F4 - PDB 13 - Donut Sink Geyser area]]</f>
        <v>0</v>
      </c>
      <c r="FV12">
        <f>BV13-Table2[[#This Row],[7F2 Flour Silo]]</f>
        <v>0</v>
      </c>
      <c r="FW12">
        <f>BY13-Table2[[#This Row],[8F2 ACPDB - 3 SILO Ventilation]]</f>
        <v>0</v>
      </c>
      <c r="FX12">
        <f>J13-Table2[[#This Row],[DG 1010KVA Running Hours]]</f>
        <v>0</v>
      </c>
      <c r="FY12">
        <f>K13-Table2[[#This Row],[DG 1010 KVA Meter Reading]]</f>
        <v>0</v>
      </c>
      <c r="FZ12">
        <f>L13-Table2[[#This Row],[GG 1010 KVA Running Hours]]</f>
        <v>0</v>
      </c>
      <c r="GA12">
        <f>M13-Table2[[#This Row],[GG 1010 KVA Meter Reading]]</f>
        <v>0</v>
      </c>
    </row>
    <row r="13" spans="1:183" x14ac:dyDescent="0.35">
      <c r="A13" s="1"/>
      <c r="B13" s="2"/>
      <c r="C13" s="2"/>
      <c r="D13" s="1"/>
      <c r="E13" s="1"/>
      <c r="F13" s="1"/>
      <c r="G13" s="3"/>
      <c r="H13" s="1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1"/>
      <c r="DH13" s="4">
        <f>Table2[[#This Row],[Date]]</f>
        <v>0</v>
      </c>
      <c r="DI13">
        <f>(DD14-Table2[[#This Row],[MWH Total]])*4000</f>
        <v>0</v>
      </c>
      <c r="DJ13">
        <f>(DA14-Table2[[#This Row],[PNG Meter (Outside)]])*2.936</f>
        <v>0</v>
      </c>
      <c r="DK13">
        <f>(DB14-Table2[[#This Row],[PNG Meter (Inside)]])*2.936</f>
        <v>0</v>
      </c>
      <c r="DL13">
        <f>(BH14-Table2[[#This Row],[3F Dough cooler - 2 ]])*1000</f>
        <v>0</v>
      </c>
      <c r="DM13">
        <f>(BI14-Table2[[#This Row],[3F Dough Cooler- 1]])*1000</f>
        <v>0</v>
      </c>
      <c r="DN13">
        <f>(BJ14-Table2[[#This Row],[4F Dough Production cooling Unit]])*1000</f>
        <v>0</v>
      </c>
      <c r="DO13">
        <f>(BQ14-Table2[[#This Row],[3F2 - PDB 3 - Dough Production Area]])*1000</f>
        <v>0</v>
      </c>
      <c r="DP13">
        <f>(BR14-Table2[[#This Row],[3F3 - PDB 4 - Dough Area]])*1000</f>
        <v>0</v>
      </c>
      <c r="DQ13">
        <f>AC14-Table2[[#This Row],[16F1 Tray washer Panel for Light]]</f>
        <v>0</v>
      </c>
      <c r="DR13">
        <f>CQ14-Table2[[#This Row],[2F1 Tray Washer - 1]]</f>
        <v>0</v>
      </c>
      <c r="DS13">
        <f>CS14-Table2[[#This Row],[2F5 Destacker]]</f>
        <v>0</v>
      </c>
      <c r="DT13">
        <f>CU14-Table2[[#This Row],[5F1 Metering (TW-2)]]</f>
        <v>0</v>
      </c>
      <c r="DU13">
        <f>CV14-Table2[[#This Row],[6F1 Pre soaker Tray washer]]</f>
        <v>0</v>
      </c>
      <c r="DV13">
        <f>CZ14-Table2[[#This Row],[6F5 Vent tray Storage]]</f>
        <v>0</v>
      </c>
      <c r="DW13">
        <f>I14-Table2[[#This Row],[Popeyes Meter ]]</f>
        <v>0</v>
      </c>
      <c r="DX13">
        <f>AZ14-Table2[[#This Row],[2F WH Chiller, Segregation Area]]</f>
        <v>0</v>
      </c>
      <c r="DY13">
        <f>BA14-Table2[[#This Row],[3F1 AC Unit WH dock cooling - 2 Nos]]</f>
        <v>0</v>
      </c>
      <c r="DZ13">
        <f>BB14-Table2[[#This Row],[3F2 AC Unit WH dock cooling - 3 Nos]]</f>
        <v>0</v>
      </c>
      <c r="EA13">
        <f>(BK14-Table2[[#This Row],[5F WH Perishable]])*1000</f>
        <v>0</v>
      </c>
      <c r="EB13">
        <f>BN14-Table2[[#This Row],[2F3 - PDB 9 - WH Dock Leveler Door ]]</f>
        <v>0</v>
      </c>
      <c r="EC13">
        <f>BP14-Table2[[#This Row],[3F1 - PDB 5 - WH HSD]]</f>
        <v>0</v>
      </c>
      <c r="ED13">
        <f>BX14-Table2[[#This Row],[8F1 WH Dock AHU - Ventilation]]</f>
        <v>0</v>
      </c>
      <c r="EE13">
        <f>BZ14-Table2[[#This Row],[8F3 ACPDB - 4 WH Dock air curtain]]</f>
        <v>0</v>
      </c>
      <c r="EF13">
        <f>CA14-Table2[[#This Row],[8F4 WH Light]]</f>
        <v>0</v>
      </c>
      <c r="EG13">
        <f>CC14-Table2[[#This Row],[9F1 - PDB 10 - WH Dock door &amp; Office]]</f>
        <v>0</v>
      </c>
      <c r="EH13">
        <f>CD14-Table2[[#This Row],[9F2 - PDB 11 - WH flycatchers]]</f>
        <v>0</v>
      </c>
      <c r="EI13">
        <f>CE14-Table2[[#This Row],[9F3 - PDB 12 - Other items]]</f>
        <v>0</v>
      </c>
      <c r="EJ13">
        <f>CR14-Table2[[#This Row],[2F3 - PDB 1 - Dock 1 to 4 ]]</f>
        <v>0</v>
      </c>
      <c r="EK13">
        <f>BM14-Table2[[#This Row],[2F2 - PDB 3 - WH Truck &amp; Battery Charging]]</f>
        <v>0</v>
      </c>
      <c r="EL13">
        <f>(CK14-Table2[[#This Row],[PDB - 11 Truck Charging]])*1000</f>
        <v>0</v>
      </c>
      <c r="EM13">
        <f>P14-Table2[[#This Row],[5F3 Admin Area]]</f>
        <v>0</v>
      </c>
      <c r="EN13">
        <f>AH14-Table2[[#This Row],[2F5 Main Gate-1 Piller -1]]</f>
        <v>0</v>
      </c>
      <c r="EO13">
        <f>CW14-Table2[[#This Row],[6F2 Ground Floor AC]]</f>
        <v>0</v>
      </c>
      <c r="EP13">
        <f>CX14-Table2[[#This Row],[6F3 ACBD -1 (First floor AC)]]</f>
        <v>0</v>
      </c>
      <c r="EQ13">
        <f>CY14-Table2[[#This Row],[6F4 ACBD - 2 (Second &amp; Third floor AC)]]</f>
        <v>0</v>
      </c>
      <c r="ER13">
        <f>(BC14-Table2[[#This Row],[4F Old BMC cooling Unit]])</f>
        <v>0</v>
      </c>
      <c r="ES13">
        <f>BO14-Table2[[#This Row],[2F4 - Old BMC]]</f>
        <v>0</v>
      </c>
      <c r="ET13">
        <f>Y14-Table2[[#This Row],[14F2 New CK]]</f>
        <v>0</v>
      </c>
      <c r="EU13">
        <f>(CL14-Table2[[#This Row],[OLD Ck Panel-1]])*1000</f>
        <v>0</v>
      </c>
      <c r="EV13">
        <f>CM14-Table2[[#This Row],[2F4 Old CK Blast (Blue star)]]</f>
        <v>0</v>
      </c>
      <c r="EW13">
        <f>CN14-Table2[[#This Row],[3F6 Old CK Blast (Carrier)]]</f>
        <v>0</v>
      </c>
      <c r="EX13">
        <f>(CO14-Table2[[#This Row],[Old CK Panel -2]])*1000</f>
        <v>0</v>
      </c>
      <c r="EY13">
        <f>N14-Table2[[#This Row],[4F1 Main UPS 1/C -1]]</f>
        <v>0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0</v>
      </c>
      <c r="FC13">
        <f>BW14-Table2[[#This Row],[7F3 CLC Power Panel]]</f>
        <v>0</v>
      </c>
      <c r="FD13">
        <f>(CI14-Table2[[#This Row],[PDB - 17 CLC Section ]])*1000</f>
        <v>0</v>
      </c>
      <c r="FE13">
        <f>(W14-Table2[[#This Row],[13F3 Water &amp; Lift Old CK]])*1000</f>
        <v>0</v>
      </c>
      <c r="FF13">
        <f>AA14-Table2[[#This Row],[15F2 New ETP Panel]]</f>
        <v>0</v>
      </c>
      <c r="FG13">
        <f>AL14-Table2[[#This Row],[3F4 Old ETP Panel]]</f>
        <v>0</v>
      </c>
      <c r="FH13">
        <f>AF14-Table2[[#This Row],[2F1 RO Plant]]</f>
        <v>0</v>
      </c>
      <c r="FI13">
        <f>AK14-Table2[[#This Row],[3F3 Fire Hydrant Panel]]</f>
        <v>0</v>
      </c>
      <c r="FJ13">
        <f>R14-Table2[[#This Row],[7F1 Freon System Panel]]</f>
        <v>0</v>
      </c>
      <c r="FK13">
        <f>(AE14-Table2[[#This Row],[21F1 Refrigeration Ammonia]])*1000</f>
        <v>0</v>
      </c>
      <c r="FL13">
        <f>(AG14-Table2[[#This Row],[2F3 Air Compressor]])*1000</f>
        <v>0</v>
      </c>
      <c r="FM13">
        <f>(AX14-Table2[[#This Row],[Solar Reading Panel II]])*1000</f>
        <v>0</v>
      </c>
      <c r="FN13">
        <f>AI14-Table2[[#This Row],[3F1 Maintenance Workshop]]</f>
        <v>0</v>
      </c>
      <c r="FO13">
        <f>BD14-Table2[[#This Row],[4F B2B unit ]]</f>
        <v>0</v>
      </c>
      <c r="FP13">
        <f>BL14-Table2[[#This Row],[2F1 - PDB 6 - Bread, B2B section]]</f>
        <v>0</v>
      </c>
      <c r="FQ13">
        <f>(CG14-Table2[[#This Row],[9F5 - PDB 14 - Bread Lift]])</f>
        <v>0</v>
      </c>
      <c r="FR13">
        <f>CJ14-Table2[[#This Row],[PDB - 16 Bread Section]]</f>
        <v>0</v>
      </c>
      <c r="FS13">
        <f>BU14-Table2[[#This Row],[7F1 Donut Production area]]</f>
        <v>0</v>
      </c>
      <c r="FT13">
        <f>CB14-Table2[[#This Row],[8F5 Donut Ban Bary]]</f>
        <v>0</v>
      </c>
      <c r="FU13">
        <f>CF14-Table2[[#This Row],[9F4 - PDB 13 - Donut Sink Geyser area]]</f>
        <v>0</v>
      </c>
      <c r="FV13">
        <f>BV14-Table2[[#This Row],[7F2 Flour Silo]]</f>
        <v>0</v>
      </c>
      <c r="FW13">
        <f>BY14-Table2[[#This Row],[8F2 ACPDB - 3 SILO Ventilation]]</f>
        <v>0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/>
      <c r="B14" s="2"/>
      <c r="C14" s="2"/>
      <c r="D14" s="1"/>
      <c r="E14" s="1"/>
      <c r="F14" s="1"/>
      <c r="G14" s="3"/>
      <c r="H14" s="1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1"/>
      <c r="DH14" s="4">
        <f>Table2[[#This Row],[Date]]</f>
        <v>0</v>
      </c>
      <c r="DI14">
        <f>(DD15-Table2[[#This Row],[MWH Total]])*4000</f>
        <v>0</v>
      </c>
      <c r="DJ14">
        <f>(DA15-Table2[[#This Row],[PNG Meter (Outside)]])*2.936</f>
        <v>0</v>
      </c>
      <c r="DK14">
        <f>(DB15-Table2[[#This Row],[PNG Meter (Inside)]])*2.936</f>
        <v>0</v>
      </c>
      <c r="DL14">
        <f>(BH15-Table2[[#This Row],[3F Dough cooler - 2 ]])*1000</f>
        <v>0</v>
      </c>
      <c r="DM14">
        <f>(BI15-Table2[[#This Row],[3F Dough Cooler- 1]])*1000</f>
        <v>0</v>
      </c>
      <c r="DN14">
        <f>(BJ15-Table2[[#This Row],[4F Dough Production cooling Unit]])*1000</f>
        <v>0</v>
      </c>
      <c r="DO14">
        <f>(BQ15-Table2[[#This Row],[3F2 - PDB 3 - Dough Production Area]])*1000</f>
        <v>0</v>
      </c>
      <c r="DP14">
        <f>(BR15-Table2[[#This Row],[3F3 - PDB 4 - Dough Area]])*1000</f>
        <v>0</v>
      </c>
      <c r="DQ14">
        <f>AC15-Table2[[#This Row],[16F1 Tray washer Panel for Light]]</f>
        <v>0</v>
      </c>
      <c r="DR14">
        <f>CQ15-Table2[[#This Row],[2F1 Tray Washer - 1]]</f>
        <v>0</v>
      </c>
      <c r="DS14">
        <f>CS15-Table2[[#This Row],[2F5 Destacker]]</f>
        <v>0</v>
      </c>
      <c r="DT14">
        <f>CU15-Table2[[#This Row],[5F1 Metering (TW-2)]]</f>
        <v>0</v>
      </c>
      <c r="DU14">
        <f>CV15-Table2[[#This Row],[6F1 Pre soaker Tray washer]]</f>
        <v>0</v>
      </c>
      <c r="DV14">
        <f>CZ15-Table2[[#This Row],[6F5 Vent tray Storage]]</f>
        <v>0</v>
      </c>
      <c r="DW14">
        <f>I15-Table2[[#This Row],[Popeyes Meter ]]</f>
        <v>0</v>
      </c>
      <c r="DX14">
        <f>AZ15-Table2[[#This Row],[2F WH Chiller, Segregation Area]]</f>
        <v>0</v>
      </c>
      <c r="DY14">
        <f>BA15-Table2[[#This Row],[3F1 AC Unit WH dock cooling - 2 Nos]]</f>
        <v>0</v>
      </c>
      <c r="DZ14">
        <f>BB15-Table2[[#This Row],[3F2 AC Unit WH dock cooling - 3 Nos]]</f>
        <v>0</v>
      </c>
      <c r="EA14">
        <f>(BK15-Table2[[#This Row],[5F WH Perishable]])*1000</f>
        <v>0</v>
      </c>
      <c r="EB14">
        <f>BN15-Table2[[#This Row],[2F3 - PDB 9 - WH Dock Leveler Door ]]</f>
        <v>0</v>
      </c>
      <c r="EC14">
        <f>BP15-Table2[[#This Row],[3F1 - PDB 5 - WH HSD]]</f>
        <v>0</v>
      </c>
      <c r="ED14">
        <f>BX15-Table2[[#This Row],[8F1 WH Dock AHU - Ventilation]]</f>
        <v>0</v>
      </c>
      <c r="EE14">
        <f>BZ15-Table2[[#This Row],[8F3 ACPDB - 4 WH Dock air curtain]]</f>
        <v>0</v>
      </c>
      <c r="EF14">
        <f>CA15-Table2[[#This Row],[8F4 WH Light]]</f>
        <v>0</v>
      </c>
      <c r="EG14">
        <f>CC15-Table2[[#This Row],[9F1 - PDB 10 - WH Dock door &amp; Office]]</f>
        <v>0</v>
      </c>
      <c r="EH14">
        <f>CD15-Table2[[#This Row],[9F2 - PDB 11 - WH flycatchers]]</f>
        <v>0</v>
      </c>
      <c r="EI14">
        <f>CE15-Table2[[#This Row],[9F3 - PDB 12 - Other items]]</f>
        <v>0</v>
      </c>
      <c r="EJ14">
        <f>CR15-Table2[[#This Row],[2F3 - PDB 1 - Dock 1 to 4 ]]</f>
        <v>0</v>
      </c>
      <c r="EK14">
        <f>BM15-Table2[[#This Row],[2F2 - PDB 3 - WH Truck &amp; Battery Charging]]</f>
        <v>0</v>
      </c>
      <c r="EL14">
        <f>(CK15-Table2[[#This Row],[PDB - 11 Truck Charging]])*1000</f>
        <v>0</v>
      </c>
      <c r="EM14">
        <f>P15-Table2[[#This Row],[5F3 Admin Area]]</f>
        <v>0</v>
      </c>
      <c r="EN14">
        <f>AH15-Table2[[#This Row],[2F5 Main Gate-1 Piller -1]]</f>
        <v>0</v>
      </c>
      <c r="EO14">
        <f>CW15-Table2[[#This Row],[6F2 Ground Floor AC]]</f>
        <v>0</v>
      </c>
      <c r="EP14">
        <f>CX15-Table2[[#This Row],[6F3 ACBD -1 (First floor AC)]]</f>
        <v>0</v>
      </c>
      <c r="EQ14">
        <f>CY15-Table2[[#This Row],[6F4 ACBD - 2 (Second &amp; Third floor AC)]]</f>
        <v>0</v>
      </c>
      <c r="ER14">
        <f>(BC15-Table2[[#This Row],[4F Old BMC cooling Unit]])</f>
        <v>0</v>
      </c>
      <c r="ES14">
        <f>BO15-Table2[[#This Row],[2F4 - Old BMC]]</f>
        <v>0</v>
      </c>
      <c r="ET14">
        <f>Y15-Table2[[#This Row],[14F2 New CK]]</f>
        <v>0</v>
      </c>
      <c r="EU14">
        <f>(CL15-Table2[[#This Row],[OLD Ck Panel-1]])*1000</f>
        <v>0</v>
      </c>
      <c r="EV14">
        <f>CM15-Table2[[#This Row],[2F4 Old CK Blast (Blue star)]]</f>
        <v>0</v>
      </c>
      <c r="EW14">
        <f>CN15-Table2[[#This Row],[3F6 Old CK Blast (Carrier)]]</f>
        <v>0</v>
      </c>
      <c r="EX14">
        <f>(CO15-Table2[[#This Row],[Old CK Panel -2]])*1000</f>
        <v>0</v>
      </c>
      <c r="EY14">
        <f>N15-Table2[[#This Row],[4F1 Main UPS 1/C -1]]</f>
        <v>0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0</v>
      </c>
      <c r="FC14">
        <f>BW15-Table2[[#This Row],[7F3 CLC Power Panel]]</f>
        <v>0</v>
      </c>
      <c r="FD14">
        <f>(CI15-Table2[[#This Row],[PDB - 17 CLC Section ]])*1000</f>
        <v>0</v>
      </c>
      <c r="FE14">
        <f>(W15-Table2[[#This Row],[13F3 Water &amp; Lift Old CK]])*1000</f>
        <v>0</v>
      </c>
      <c r="FF14">
        <f>AA15-Table2[[#This Row],[15F2 New ETP Panel]]</f>
        <v>0</v>
      </c>
      <c r="FG14">
        <f>AL15-Table2[[#This Row],[3F4 Old ETP Panel]]</f>
        <v>0</v>
      </c>
      <c r="FH14">
        <f>AF15-Table2[[#This Row],[2F1 RO Plant]]</f>
        <v>0</v>
      </c>
      <c r="FI14">
        <f>AK15-Table2[[#This Row],[3F3 Fire Hydrant Panel]]</f>
        <v>0</v>
      </c>
      <c r="FJ14">
        <f>R15-Table2[[#This Row],[7F1 Freon System Panel]]</f>
        <v>0</v>
      </c>
      <c r="FK14">
        <f>(AE15-Table2[[#This Row],[21F1 Refrigeration Ammonia]])*1000</f>
        <v>0</v>
      </c>
      <c r="FL14">
        <f>(AG15-Table2[[#This Row],[2F3 Air Compressor]])*1000</f>
        <v>0</v>
      </c>
      <c r="FM14">
        <f>(AX15-Table2[[#This Row],[Solar Reading Panel II]])*1000</f>
        <v>0</v>
      </c>
      <c r="FN14">
        <f>AI15-Table2[[#This Row],[3F1 Maintenance Workshop]]</f>
        <v>0</v>
      </c>
      <c r="FO14">
        <f>BD15-Table2[[#This Row],[4F B2B unit ]]</f>
        <v>0</v>
      </c>
      <c r="FP14">
        <f>BL15-Table2[[#This Row],[2F1 - PDB 6 - Bread, B2B section]]</f>
        <v>0</v>
      </c>
      <c r="FQ14">
        <f>(CG15-Table2[[#This Row],[9F5 - PDB 14 - Bread Lift]])</f>
        <v>0</v>
      </c>
      <c r="FR14">
        <f>CJ15-Table2[[#This Row],[PDB - 16 Bread Section]]</f>
        <v>0</v>
      </c>
      <c r="FS14">
        <f>BU15-Table2[[#This Row],[7F1 Donut Production area]]</f>
        <v>0</v>
      </c>
      <c r="FT14">
        <f>CB15-Table2[[#This Row],[8F5 Donut Ban Bary]]</f>
        <v>0</v>
      </c>
      <c r="FU14">
        <f>CF15-Table2[[#This Row],[9F4 - PDB 13 - Donut Sink Geyser area]]</f>
        <v>0</v>
      </c>
      <c r="FV14">
        <f>BV15-Table2[[#This Row],[7F2 Flour Silo]]</f>
        <v>0</v>
      </c>
      <c r="FW14">
        <f>BY15-Table2[[#This Row],[8F2 ACPDB - 3 SILO Ventilation]]</f>
        <v>0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/>
      <c r="B15" s="2"/>
      <c r="C15" s="2"/>
      <c r="D15" s="1"/>
      <c r="E15" s="1"/>
      <c r="F15" s="1"/>
      <c r="G15" s="3"/>
      <c r="H15" s="1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1"/>
      <c r="DH15" s="4">
        <f>Table2[[#This Row],[Date]]</f>
        <v>0</v>
      </c>
      <c r="DI15">
        <f>(DD16-Table2[[#This Row],[MWH Total]])*4000</f>
        <v>0</v>
      </c>
      <c r="DJ15">
        <f>(DA16-Table2[[#This Row],[PNG Meter (Outside)]])*2.936</f>
        <v>0</v>
      </c>
      <c r="DK15">
        <f>(DB16-Table2[[#This Row],[PNG Meter (Inside)]])*2.936</f>
        <v>0</v>
      </c>
      <c r="DL15">
        <f>(BH16-Table2[[#This Row],[3F Dough cooler - 2 ]])*1000</f>
        <v>0</v>
      </c>
      <c r="DM15">
        <f>(BI16-Table2[[#This Row],[3F Dough Cooler- 1]])*1000</f>
        <v>0</v>
      </c>
      <c r="DN15">
        <f>(BJ16-Table2[[#This Row],[4F Dough Production cooling Unit]])*1000</f>
        <v>0</v>
      </c>
      <c r="DO15">
        <f>(BQ16-Table2[[#This Row],[3F2 - PDB 3 - Dough Production Area]])*1000</f>
        <v>0</v>
      </c>
      <c r="DP15">
        <f>(BR16-Table2[[#This Row],[3F3 - PDB 4 - Dough Area]])*1000</f>
        <v>0</v>
      </c>
      <c r="DQ15">
        <f>AC16-Table2[[#This Row],[16F1 Tray washer Panel for Light]]</f>
        <v>0</v>
      </c>
      <c r="DR15">
        <f>CQ16-Table2[[#This Row],[2F1 Tray Washer - 1]]</f>
        <v>0</v>
      </c>
      <c r="DS15">
        <f>CS16-Table2[[#This Row],[2F5 Destacker]]</f>
        <v>0</v>
      </c>
      <c r="DT15">
        <f>CU16-Table2[[#This Row],[5F1 Metering (TW-2)]]</f>
        <v>0</v>
      </c>
      <c r="DU15">
        <f>CV16-Table2[[#This Row],[6F1 Pre soaker Tray washer]]</f>
        <v>0</v>
      </c>
      <c r="DV15">
        <f>CZ16-Table2[[#This Row],[6F5 Vent tray Storage]]</f>
        <v>0</v>
      </c>
      <c r="DW15">
        <f>I16-Table2[[#This Row],[Popeyes Meter ]]</f>
        <v>0</v>
      </c>
      <c r="DX15">
        <f>AZ16-Table2[[#This Row],[2F WH Chiller, Segregation Area]]</f>
        <v>0</v>
      </c>
      <c r="DY15">
        <f>BA16-Table2[[#This Row],[3F1 AC Unit WH dock cooling - 2 Nos]]</f>
        <v>0</v>
      </c>
      <c r="DZ15">
        <f>BB16-Table2[[#This Row],[3F2 AC Unit WH dock cooling - 3 Nos]]</f>
        <v>0</v>
      </c>
      <c r="EA15">
        <f>(BK16-Table2[[#This Row],[5F WH Perishable]])*1000</f>
        <v>0</v>
      </c>
      <c r="EB15">
        <f>BN16-Table2[[#This Row],[2F3 - PDB 9 - WH Dock Leveler Door ]]</f>
        <v>0</v>
      </c>
      <c r="EC15">
        <f>BP16-Table2[[#This Row],[3F1 - PDB 5 - WH HSD]]</f>
        <v>0</v>
      </c>
      <c r="ED15">
        <f>BX16-Table2[[#This Row],[8F1 WH Dock AHU - Ventilation]]</f>
        <v>0</v>
      </c>
      <c r="EE15">
        <f>BZ16-Table2[[#This Row],[8F3 ACPDB - 4 WH Dock air curtain]]</f>
        <v>0</v>
      </c>
      <c r="EF15">
        <f>CA16-Table2[[#This Row],[8F4 WH Light]]</f>
        <v>0</v>
      </c>
      <c r="EG15">
        <f>CC16-Table2[[#This Row],[9F1 - PDB 10 - WH Dock door &amp; Office]]</f>
        <v>0</v>
      </c>
      <c r="EH15">
        <f>CD16-Table2[[#This Row],[9F2 - PDB 11 - WH flycatchers]]</f>
        <v>0</v>
      </c>
      <c r="EI15">
        <f>CE16-Table2[[#This Row],[9F3 - PDB 12 - Other items]]</f>
        <v>0</v>
      </c>
      <c r="EJ15">
        <f>CR16-Table2[[#This Row],[2F3 - PDB 1 - Dock 1 to 4 ]]</f>
        <v>0</v>
      </c>
      <c r="EK15">
        <f>BM16-Table2[[#This Row],[2F2 - PDB 3 - WH Truck &amp; Battery Charging]]</f>
        <v>0</v>
      </c>
      <c r="EL15">
        <f>(CK16-Table2[[#This Row],[PDB - 11 Truck Charging]])*1000</f>
        <v>0</v>
      </c>
      <c r="EM15">
        <f>P16-Table2[[#This Row],[5F3 Admin Area]]</f>
        <v>0</v>
      </c>
      <c r="EN15">
        <f>AH16-Table2[[#This Row],[2F5 Main Gate-1 Piller -1]]</f>
        <v>0</v>
      </c>
      <c r="EO15">
        <f>CW16-Table2[[#This Row],[6F2 Ground Floor AC]]</f>
        <v>0</v>
      </c>
      <c r="EP15">
        <f>CX16-Table2[[#This Row],[6F3 ACBD -1 (First floor AC)]]</f>
        <v>0</v>
      </c>
      <c r="EQ15">
        <f>CY16-Table2[[#This Row],[6F4 ACBD - 2 (Second &amp; Third floor AC)]]</f>
        <v>0</v>
      </c>
      <c r="ER15">
        <f>(BC16-Table2[[#This Row],[4F Old BMC cooling Unit]])</f>
        <v>0</v>
      </c>
      <c r="ES15">
        <f>BO16-Table2[[#This Row],[2F4 - Old BMC]]</f>
        <v>0</v>
      </c>
      <c r="ET15">
        <f>Y16-Table2[[#This Row],[14F2 New CK]]</f>
        <v>0</v>
      </c>
      <c r="EU15">
        <f>(CL16-Table2[[#This Row],[OLD Ck Panel-1]])*1000</f>
        <v>0</v>
      </c>
      <c r="EV15">
        <f>CM16-Table2[[#This Row],[2F4 Old CK Blast (Blue star)]]</f>
        <v>0</v>
      </c>
      <c r="EW15">
        <f>CN16-Table2[[#This Row],[3F6 Old CK Blast (Carrier)]]</f>
        <v>0</v>
      </c>
      <c r="EX15">
        <f>(CO16-Table2[[#This Row],[Old CK Panel -2]])*1000</f>
        <v>0</v>
      </c>
      <c r="EY15">
        <f>N16-Table2[[#This Row],[4F1 Main UPS 1/C -1]]</f>
        <v>0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0</v>
      </c>
      <c r="FC15">
        <f>BW16-Table2[[#This Row],[7F3 CLC Power Panel]]</f>
        <v>0</v>
      </c>
      <c r="FD15">
        <f>(CI16-Table2[[#This Row],[PDB - 17 CLC Section ]])*1000</f>
        <v>0</v>
      </c>
      <c r="FE15">
        <f>(W16-Table2[[#This Row],[13F3 Water &amp; Lift Old CK]])*1000</f>
        <v>0</v>
      </c>
      <c r="FF15">
        <f>AA16-Table2[[#This Row],[15F2 New ETP Panel]]</f>
        <v>0</v>
      </c>
      <c r="FG15">
        <f>AL16-Table2[[#This Row],[3F4 Old ETP Panel]]</f>
        <v>0</v>
      </c>
      <c r="FH15">
        <f>AF16-Table2[[#This Row],[2F1 RO Plant]]</f>
        <v>0</v>
      </c>
      <c r="FI15">
        <f>AK16-Table2[[#This Row],[3F3 Fire Hydrant Panel]]</f>
        <v>0</v>
      </c>
      <c r="FJ15">
        <f>R16-Table2[[#This Row],[7F1 Freon System Panel]]</f>
        <v>0</v>
      </c>
      <c r="FK15">
        <f>(AE16-Table2[[#This Row],[21F1 Refrigeration Ammonia]])*1000</f>
        <v>0</v>
      </c>
      <c r="FL15">
        <f>(AG16-Table2[[#This Row],[2F3 Air Compressor]])*1000</f>
        <v>0</v>
      </c>
      <c r="FM15">
        <f>(AX16-Table2[[#This Row],[Solar Reading Panel II]])*1000</f>
        <v>0</v>
      </c>
      <c r="FN15">
        <f>AI16-Table2[[#This Row],[3F1 Maintenance Workshop]]</f>
        <v>0</v>
      </c>
      <c r="FO15">
        <f>BD16-Table2[[#This Row],[4F B2B unit ]]</f>
        <v>0</v>
      </c>
      <c r="FP15">
        <f>BL16-Table2[[#This Row],[2F1 - PDB 6 - Bread, B2B section]]</f>
        <v>0</v>
      </c>
      <c r="FQ15">
        <f>(CG16-Table2[[#This Row],[9F5 - PDB 14 - Bread Lift]])</f>
        <v>0</v>
      </c>
      <c r="FR15">
        <f>CJ16-Table2[[#This Row],[PDB - 16 Bread Section]]</f>
        <v>0</v>
      </c>
      <c r="FS15">
        <f>BU16-Table2[[#This Row],[7F1 Donut Production area]]</f>
        <v>0</v>
      </c>
      <c r="FT15">
        <f>CB16-Table2[[#This Row],[8F5 Donut Ban Bary]]</f>
        <v>0</v>
      </c>
      <c r="FU15">
        <f>CF16-Table2[[#This Row],[9F4 - PDB 13 - Donut Sink Geyser area]]</f>
        <v>0</v>
      </c>
      <c r="FV15">
        <f>BV16-Table2[[#This Row],[7F2 Flour Silo]]</f>
        <v>0</v>
      </c>
      <c r="FW15">
        <f>BY16-Table2[[#This Row],[8F2 ACPDB - 3 SILO Ventilation]]</f>
        <v>0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/>
      <c r="B16" s="2"/>
      <c r="C16" s="2"/>
      <c r="D16" s="1"/>
      <c r="E16" s="1"/>
      <c r="F16" s="1"/>
      <c r="G16" s="3"/>
      <c r="H16" s="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1"/>
      <c r="DH16" s="4">
        <f>Table2[[#This Row],[Date]]</f>
        <v>0</v>
      </c>
      <c r="DI16">
        <f>(DD17-Table2[[#This Row],[MWH Total]])*4000</f>
        <v>0</v>
      </c>
      <c r="DJ16">
        <f>(DA17-Table2[[#This Row],[PNG Meter (Outside)]])*2.936</f>
        <v>0</v>
      </c>
      <c r="DK16">
        <f>(DB17-Table2[[#This Row],[PNG Meter (Inside)]])*2.936</f>
        <v>0</v>
      </c>
      <c r="DL16">
        <f>(BH17-Table2[[#This Row],[3F Dough cooler - 2 ]])*1000</f>
        <v>0</v>
      </c>
      <c r="DM16">
        <f>(BI17-Table2[[#This Row],[3F Dough Cooler- 1]])*1000</f>
        <v>0</v>
      </c>
      <c r="DN16">
        <f>(BJ17-Table2[[#This Row],[4F Dough Production cooling Unit]])*1000</f>
        <v>0</v>
      </c>
      <c r="DO16">
        <f>(BQ17-Table2[[#This Row],[3F2 - PDB 3 - Dough Production Area]])*1000</f>
        <v>0</v>
      </c>
      <c r="DP16">
        <f>(BR17-Table2[[#This Row],[3F3 - PDB 4 - Dough Area]])*1000</f>
        <v>0</v>
      </c>
      <c r="DQ16">
        <f>AC17-Table2[[#This Row],[16F1 Tray washer Panel for Light]]</f>
        <v>0</v>
      </c>
      <c r="DR16">
        <f>CQ17-Table2[[#This Row],[2F1 Tray Washer - 1]]</f>
        <v>0</v>
      </c>
      <c r="DS16">
        <f>CS17-Table2[[#This Row],[2F5 Destacker]]</f>
        <v>0</v>
      </c>
      <c r="DT16">
        <f>CU17-Table2[[#This Row],[5F1 Metering (TW-2)]]</f>
        <v>0</v>
      </c>
      <c r="DU16">
        <f>CV17-Table2[[#This Row],[6F1 Pre soaker Tray washer]]</f>
        <v>0</v>
      </c>
      <c r="DV16">
        <f>CZ17-Table2[[#This Row],[6F5 Vent tray Storage]]</f>
        <v>0</v>
      </c>
      <c r="DW16">
        <f>I17-Table2[[#This Row],[Popeyes Meter ]]</f>
        <v>0</v>
      </c>
      <c r="DX16">
        <f>AZ17-Table2[[#This Row],[2F WH Chiller, Segregation Area]]</f>
        <v>0</v>
      </c>
      <c r="DY16">
        <f>BA17-Table2[[#This Row],[3F1 AC Unit WH dock cooling - 2 Nos]]</f>
        <v>0</v>
      </c>
      <c r="DZ16">
        <f>BB17-Table2[[#This Row],[3F2 AC Unit WH dock cooling - 3 Nos]]</f>
        <v>0</v>
      </c>
      <c r="EA16">
        <f>(BK17-Table2[[#This Row],[5F WH Perishable]])*1000</f>
        <v>0</v>
      </c>
      <c r="EB16">
        <f>BN17-Table2[[#This Row],[2F3 - PDB 9 - WH Dock Leveler Door ]]</f>
        <v>0</v>
      </c>
      <c r="EC16">
        <f>BP17-Table2[[#This Row],[3F1 - PDB 5 - WH HSD]]</f>
        <v>0</v>
      </c>
      <c r="ED16">
        <f>BX17-Table2[[#This Row],[8F1 WH Dock AHU - Ventilation]]</f>
        <v>0</v>
      </c>
      <c r="EE16">
        <f>BZ17-Table2[[#This Row],[8F3 ACPDB - 4 WH Dock air curtain]]</f>
        <v>0</v>
      </c>
      <c r="EF16">
        <f>CA17-Table2[[#This Row],[8F4 WH Light]]</f>
        <v>0</v>
      </c>
      <c r="EG16">
        <f>CC17-Table2[[#This Row],[9F1 - PDB 10 - WH Dock door &amp; Office]]</f>
        <v>0</v>
      </c>
      <c r="EH16">
        <f>CD17-Table2[[#This Row],[9F2 - PDB 11 - WH flycatchers]]</f>
        <v>0</v>
      </c>
      <c r="EI16">
        <f>CE17-Table2[[#This Row],[9F3 - PDB 12 - Other items]]</f>
        <v>0</v>
      </c>
      <c r="EJ16">
        <f>CR17-Table2[[#This Row],[2F3 - PDB 1 - Dock 1 to 4 ]]</f>
        <v>0</v>
      </c>
      <c r="EK16">
        <f>BM17-Table2[[#This Row],[2F2 - PDB 3 - WH Truck &amp; Battery Charging]]</f>
        <v>0</v>
      </c>
      <c r="EL16">
        <f>(CK17-Table2[[#This Row],[PDB - 11 Truck Charging]])*1000</f>
        <v>0</v>
      </c>
      <c r="EM16">
        <f>P17-Table2[[#This Row],[5F3 Admin Area]]</f>
        <v>0</v>
      </c>
      <c r="EN16">
        <f>AH17-Table2[[#This Row],[2F5 Main Gate-1 Piller -1]]</f>
        <v>0</v>
      </c>
      <c r="EO16">
        <f>CW17-Table2[[#This Row],[6F2 Ground Floor AC]]</f>
        <v>0</v>
      </c>
      <c r="EP16">
        <f>CX17-Table2[[#This Row],[6F3 ACBD -1 (First floor AC)]]</f>
        <v>0</v>
      </c>
      <c r="EQ16">
        <f>CY17-Table2[[#This Row],[6F4 ACBD - 2 (Second &amp; Third floor AC)]]</f>
        <v>0</v>
      </c>
      <c r="ER16">
        <f>(BC17-Table2[[#This Row],[4F Old BMC cooling Unit]])</f>
        <v>0</v>
      </c>
      <c r="ES16">
        <f>BO17-Table2[[#This Row],[2F4 - Old BMC]]</f>
        <v>0</v>
      </c>
      <c r="ET16">
        <f>Y17-Table2[[#This Row],[14F2 New CK]]</f>
        <v>0</v>
      </c>
      <c r="EU16">
        <f>(CL17-Table2[[#This Row],[OLD Ck Panel-1]])*1000</f>
        <v>0</v>
      </c>
      <c r="EV16">
        <f>CM17-Table2[[#This Row],[2F4 Old CK Blast (Blue star)]]</f>
        <v>0</v>
      </c>
      <c r="EW16">
        <f>CN17-Table2[[#This Row],[3F6 Old CK Blast (Carrier)]]</f>
        <v>0</v>
      </c>
      <c r="EX16">
        <f>(CO17-Table2[[#This Row],[Old CK Panel -2]])*1000</f>
        <v>0</v>
      </c>
      <c r="EY16">
        <f>N17-Table2[[#This Row],[4F1 Main UPS 1/C -1]]</f>
        <v>0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0</v>
      </c>
      <c r="FC16">
        <f>BW17-Table2[[#This Row],[7F3 CLC Power Panel]]</f>
        <v>0</v>
      </c>
      <c r="FD16">
        <f>(CI17-Table2[[#This Row],[PDB - 17 CLC Section ]])*1000</f>
        <v>0</v>
      </c>
      <c r="FE16">
        <f>(W17-Table2[[#This Row],[13F3 Water &amp; Lift Old CK]])*1000</f>
        <v>0</v>
      </c>
      <c r="FF16">
        <f>AA17-Table2[[#This Row],[15F2 New ETP Panel]]</f>
        <v>0</v>
      </c>
      <c r="FG16">
        <f>AL17-Table2[[#This Row],[3F4 Old ETP Panel]]</f>
        <v>0</v>
      </c>
      <c r="FH16">
        <f>AF17-Table2[[#This Row],[2F1 RO Plant]]</f>
        <v>0</v>
      </c>
      <c r="FI16">
        <f>AK17-Table2[[#This Row],[3F3 Fire Hydrant Panel]]</f>
        <v>0</v>
      </c>
      <c r="FJ16">
        <f>R17-Table2[[#This Row],[7F1 Freon System Panel]]</f>
        <v>0</v>
      </c>
      <c r="FK16">
        <f>(AE17-Table2[[#This Row],[21F1 Refrigeration Ammonia]])*1000</f>
        <v>0</v>
      </c>
      <c r="FL16">
        <f>(AG17-Table2[[#This Row],[2F3 Air Compressor]])*1000</f>
        <v>0</v>
      </c>
      <c r="FM16">
        <f>(AX17-Table2[[#This Row],[Solar Reading Panel II]])*1000</f>
        <v>0</v>
      </c>
      <c r="FN16">
        <f>AI17-Table2[[#This Row],[3F1 Maintenance Workshop]]</f>
        <v>0</v>
      </c>
      <c r="FO16">
        <f>BD17-Table2[[#This Row],[4F B2B unit ]]</f>
        <v>0</v>
      </c>
      <c r="FP16">
        <f>BL17-Table2[[#This Row],[2F1 - PDB 6 - Bread, B2B section]]</f>
        <v>0</v>
      </c>
      <c r="FQ16">
        <f>(CG17-Table2[[#This Row],[9F5 - PDB 14 - Bread Lift]])</f>
        <v>0</v>
      </c>
      <c r="FR16">
        <f>CJ17-Table2[[#This Row],[PDB - 16 Bread Section]]</f>
        <v>0</v>
      </c>
      <c r="FS16">
        <f>BU17-Table2[[#This Row],[7F1 Donut Production area]]</f>
        <v>0</v>
      </c>
      <c r="FT16">
        <f>CB17-Table2[[#This Row],[8F5 Donut Ban Bary]]</f>
        <v>0</v>
      </c>
      <c r="FU16">
        <f>CF17-Table2[[#This Row],[9F4 - PDB 13 - Donut Sink Geyser area]]</f>
        <v>0</v>
      </c>
      <c r="FV16">
        <f>BV17-Table2[[#This Row],[7F2 Flour Silo]]</f>
        <v>0</v>
      </c>
      <c r="FW16">
        <f>BY17-Table2[[#This Row],[8F2 ACPDB - 3 SILO Ventilation]]</f>
        <v>0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/>
      <c r="B17" s="2"/>
      <c r="C17" s="2"/>
      <c r="D17" s="1"/>
      <c r="E17" s="1"/>
      <c r="F17" s="1"/>
      <c r="G17" s="3"/>
      <c r="H17" s="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1"/>
      <c r="DH17" s="4">
        <f>Table2[[#This Row],[Date]]</f>
        <v>0</v>
      </c>
      <c r="DI17">
        <f>(DD18-Table2[[#This Row],[MWH Total]])*4000</f>
        <v>0</v>
      </c>
      <c r="DJ17">
        <f>(DA18-Table2[[#This Row],[PNG Meter (Outside)]])*2.936</f>
        <v>0</v>
      </c>
      <c r="DK17">
        <f>(DB18-Table2[[#This Row],[PNG Meter (Inside)]])*2.936</f>
        <v>0</v>
      </c>
      <c r="DL17">
        <f>(BH18-Table2[[#This Row],[3F Dough cooler - 2 ]])*1000</f>
        <v>0</v>
      </c>
      <c r="DM17">
        <f>(BI18-Table2[[#This Row],[3F Dough Cooler- 1]])*1000</f>
        <v>0</v>
      </c>
      <c r="DN17">
        <f>(BJ18-Table2[[#This Row],[4F Dough Production cooling Unit]])*1000</f>
        <v>0</v>
      </c>
      <c r="DO17">
        <f>(BQ18-Table2[[#This Row],[3F2 - PDB 3 - Dough Production Area]])*1000</f>
        <v>0</v>
      </c>
      <c r="DP17">
        <f>(BR18-Table2[[#This Row],[3F3 - PDB 4 - Dough Area]])*1000</f>
        <v>0</v>
      </c>
      <c r="DQ17">
        <f>AC18-Table2[[#This Row],[16F1 Tray washer Panel for Light]]</f>
        <v>0</v>
      </c>
      <c r="DR17">
        <f>CQ18-Table2[[#This Row],[2F1 Tray Washer - 1]]</f>
        <v>0</v>
      </c>
      <c r="DS17">
        <f>CS18-Table2[[#This Row],[2F5 Destacker]]</f>
        <v>0</v>
      </c>
      <c r="DT17">
        <f>CU18-Table2[[#This Row],[5F1 Metering (TW-2)]]</f>
        <v>0</v>
      </c>
      <c r="DU17">
        <f>CV18-Table2[[#This Row],[6F1 Pre soaker Tray washer]]</f>
        <v>0</v>
      </c>
      <c r="DV17">
        <f>CZ18-Table2[[#This Row],[6F5 Vent tray Storage]]</f>
        <v>0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0</v>
      </c>
      <c r="DZ17">
        <f>BB18-Table2[[#This Row],[3F2 AC Unit WH dock cooling - 3 Nos]]</f>
        <v>0</v>
      </c>
      <c r="EA17">
        <f>(BK18-Table2[[#This Row],[5F WH Perishable]])*1000</f>
        <v>0</v>
      </c>
      <c r="EB17">
        <f>BN18-Table2[[#This Row],[2F3 - PDB 9 - WH Dock Leveler Door ]]</f>
        <v>0</v>
      </c>
      <c r="EC17">
        <f>BP18-Table2[[#This Row],[3F1 - PDB 5 - WH HSD]]</f>
        <v>0</v>
      </c>
      <c r="ED17">
        <f>BX18-Table2[[#This Row],[8F1 WH Dock AHU - Ventilation]]</f>
        <v>0</v>
      </c>
      <c r="EE17">
        <f>BZ18-Table2[[#This Row],[8F3 ACPDB - 4 WH Dock air curtain]]</f>
        <v>0</v>
      </c>
      <c r="EF17">
        <f>CA18-Table2[[#This Row],[8F4 WH Light]]</f>
        <v>0</v>
      </c>
      <c r="EG17">
        <f>CC18-Table2[[#This Row],[9F1 - PDB 10 - WH Dock door &amp; Office]]</f>
        <v>0</v>
      </c>
      <c r="EH17">
        <f>CD18-Table2[[#This Row],[9F2 - PDB 11 - WH flycatchers]]</f>
        <v>0</v>
      </c>
      <c r="EI17">
        <f>CE18-Table2[[#This Row],[9F3 - PDB 12 - Other items]]</f>
        <v>0</v>
      </c>
      <c r="EJ17">
        <f>CR18-Table2[[#This Row],[2F3 - PDB 1 - Dock 1 to 4 ]]</f>
        <v>0</v>
      </c>
      <c r="EK17">
        <f>BM18-Table2[[#This Row],[2F2 - PDB 3 - WH Truck &amp; Battery Charging]]</f>
        <v>0</v>
      </c>
      <c r="EL17">
        <f>(CK18-Table2[[#This Row],[PDB - 11 Truck Charging]])*1000</f>
        <v>0</v>
      </c>
      <c r="EM17">
        <f>P18-Table2[[#This Row],[5F3 Admin Area]]</f>
        <v>0</v>
      </c>
      <c r="EN17">
        <f>AH18-Table2[[#This Row],[2F5 Main Gate-1 Piller -1]]</f>
        <v>0</v>
      </c>
      <c r="EO17">
        <f>CW18-Table2[[#This Row],[6F2 Ground Floor AC]]</f>
        <v>0</v>
      </c>
      <c r="EP17">
        <f>CX18-Table2[[#This Row],[6F3 ACBD -1 (First floor AC)]]</f>
        <v>0</v>
      </c>
      <c r="EQ17">
        <f>CY18-Table2[[#This Row],[6F4 ACBD - 2 (Second &amp; Third floor AC)]]</f>
        <v>0</v>
      </c>
      <c r="ER17">
        <f>(BC18-Table2[[#This Row],[4F Old BMC cooling Unit]])</f>
        <v>0</v>
      </c>
      <c r="ES17">
        <f>BO18-Table2[[#This Row],[2F4 - Old BMC]]</f>
        <v>0</v>
      </c>
      <c r="ET17">
        <f>Y18-Table2[[#This Row],[14F2 New CK]]</f>
        <v>0</v>
      </c>
      <c r="EU17">
        <f>(CL18-Table2[[#This Row],[OLD Ck Panel-1]])*1000</f>
        <v>0</v>
      </c>
      <c r="EV17">
        <f>CM18-Table2[[#This Row],[2F4 Old CK Blast (Blue star)]]</f>
        <v>0</v>
      </c>
      <c r="EW17">
        <f>CN18-Table2[[#This Row],[3F6 Old CK Blast (Carrier)]]</f>
        <v>0</v>
      </c>
      <c r="EX17">
        <f>(CO18-Table2[[#This Row],[Old CK Panel -2]])*1000</f>
        <v>0</v>
      </c>
      <c r="EY17">
        <f>N18-Table2[[#This Row],[4F1 Main UPS 1/C -1]]</f>
        <v>0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0</v>
      </c>
      <c r="FC17">
        <f>BW18-Table2[[#This Row],[7F3 CLC Power Panel]]</f>
        <v>0</v>
      </c>
      <c r="FD17">
        <f>(CI18-Table2[[#This Row],[PDB - 17 CLC Section ]])*1000</f>
        <v>0</v>
      </c>
      <c r="FE17">
        <f>(W18-Table2[[#This Row],[13F3 Water &amp; Lift Old CK]])*1000</f>
        <v>0</v>
      </c>
      <c r="FF17">
        <f>AA18-Table2[[#This Row],[15F2 New ETP Panel]]</f>
        <v>0</v>
      </c>
      <c r="FG17">
        <f>AL18-Table2[[#This Row],[3F4 Old ETP Panel]]</f>
        <v>0</v>
      </c>
      <c r="FH17">
        <f>AF18-Table2[[#This Row],[2F1 RO Plant]]</f>
        <v>0</v>
      </c>
      <c r="FI17">
        <f>AK18-Table2[[#This Row],[3F3 Fire Hydrant Panel]]</f>
        <v>0</v>
      </c>
      <c r="FJ17">
        <f>R18-Table2[[#This Row],[7F1 Freon System Panel]]</f>
        <v>0</v>
      </c>
      <c r="FK17">
        <f>(AE18-Table2[[#This Row],[21F1 Refrigeration Ammonia]])*1000</f>
        <v>0</v>
      </c>
      <c r="FL17">
        <f>(AG18-Table2[[#This Row],[2F3 Air Compressor]])*1000</f>
        <v>0</v>
      </c>
      <c r="FM17">
        <f>(AX18-Table2[[#This Row],[Solar Reading Panel II]])*1000</f>
        <v>0</v>
      </c>
      <c r="FN17">
        <f>AI18-Table2[[#This Row],[3F1 Maintenance Workshop]]</f>
        <v>0</v>
      </c>
      <c r="FO17">
        <f>BD18-Table2[[#This Row],[4F B2B unit ]]</f>
        <v>0</v>
      </c>
      <c r="FP17">
        <f>BL18-Table2[[#This Row],[2F1 - PDB 6 - Bread, B2B section]]</f>
        <v>0</v>
      </c>
      <c r="FQ17">
        <f>(CG18-Table2[[#This Row],[9F5 - PDB 14 - Bread Lift]])</f>
        <v>0</v>
      </c>
      <c r="FR17">
        <f>CJ18-Table2[[#This Row],[PDB - 16 Bread Section]]</f>
        <v>0</v>
      </c>
      <c r="FS17">
        <f>BU18-Table2[[#This Row],[7F1 Donut Production area]]</f>
        <v>0</v>
      </c>
      <c r="FT17">
        <f>CB18-Table2[[#This Row],[8F5 Donut Ban Bary]]</f>
        <v>0</v>
      </c>
      <c r="FU17">
        <f>CF18-Table2[[#This Row],[9F4 - PDB 13 - Donut Sink Geyser area]]</f>
        <v>0</v>
      </c>
      <c r="FV17">
        <f>BV18-Table2[[#This Row],[7F2 Flour Silo]]</f>
        <v>0</v>
      </c>
      <c r="FW17">
        <f>BY18-Table2[[#This Row],[8F2 ACPDB - 3 SILO Ventilation]]</f>
        <v>0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/>
      <c r="B18" s="56"/>
      <c r="C18" s="56"/>
      <c r="D18" s="1"/>
      <c r="E18" s="1"/>
      <c r="F18" s="1"/>
      <c r="G18" s="3"/>
      <c r="H18" s="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1"/>
      <c r="DH18" s="4">
        <f>Table2[[#This Row],[Date]]</f>
        <v>0</v>
      </c>
      <c r="DI18">
        <f>(DD19-Table2[[#This Row],[MWH Total]])*4000</f>
        <v>0</v>
      </c>
      <c r="DJ18">
        <f>(DA19-Table2[[#This Row],[PNG Meter (Outside)]])*2.936</f>
        <v>0</v>
      </c>
      <c r="DK18">
        <f>(DB19-Table2[[#This Row],[PNG Meter (Inside)]])*2.936</f>
        <v>0</v>
      </c>
      <c r="DL18">
        <f>(BH19-Table2[[#This Row],[3F Dough cooler - 2 ]])*1000</f>
        <v>0</v>
      </c>
      <c r="DM18">
        <f>(BI19-Table2[[#This Row],[3F Dough Cooler- 1]])*1000</f>
        <v>0</v>
      </c>
      <c r="DN18">
        <f>(BJ19-Table2[[#This Row],[4F Dough Production cooling Unit]])*1000</f>
        <v>0</v>
      </c>
      <c r="DO18">
        <f>(BQ19-Table2[[#This Row],[3F2 - PDB 3 - Dough Production Area]])*1000</f>
        <v>0</v>
      </c>
      <c r="DP18">
        <f>(BR19-Table2[[#This Row],[3F3 - PDB 4 - Dough Area]])*1000</f>
        <v>0</v>
      </c>
      <c r="DQ18">
        <f>AC19-Table2[[#This Row],[16F1 Tray washer Panel for Light]]</f>
        <v>0</v>
      </c>
      <c r="DR18">
        <f>CQ19-Table2[[#This Row],[2F1 Tray Washer - 1]]</f>
        <v>0</v>
      </c>
      <c r="DS18">
        <f>CS19-Table2[[#This Row],[2F5 Destacker]]</f>
        <v>0</v>
      </c>
      <c r="DT18">
        <f>CU19-Table2[[#This Row],[5F1 Metering (TW-2)]]</f>
        <v>0</v>
      </c>
      <c r="DU18">
        <f>CV19-Table2[[#This Row],[6F1 Pre soaker Tray washer]]</f>
        <v>0</v>
      </c>
      <c r="DV18">
        <f>CZ19-Table2[[#This Row],[6F5 Vent tray Storage]]</f>
        <v>0</v>
      </c>
      <c r="DW18">
        <f>I19-Table2[[#This Row],[Popeyes Meter ]]</f>
        <v>0</v>
      </c>
      <c r="DX18">
        <f>AZ19-Table2[[#This Row],[2F WH Chiller, Segregation Area]]</f>
        <v>0</v>
      </c>
      <c r="DY18">
        <f>BA19-Table2[[#This Row],[3F1 AC Unit WH dock cooling - 2 Nos]]</f>
        <v>0</v>
      </c>
      <c r="DZ18">
        <f>BB19-Table2[[#This Row],[3F2 AC Unit WH dock cooling - 3 Nos]]</f>
        <v>0</v>
      </c>
      <c r="EA18">
        <f>(BK19-Table2[[#This Row],[5F WH Perishable]])*1000</f>
        <v>0</v>
      </c>
      <c r="EB18">
        <f>BN19-Table2[[#This Row],[2F3 - PDB 9 - WH Dock Leveler Door ]]</f>
        <v>0</v>
      </c>
      <c r="EC18">
        <f>BP19-Table2[[#This Row],[3F1 - PDB 5 - WH HSD]]</f>
        <v>0</v>
      </c>
      <c r="ED18">
        <f>BX19-Table2[[#This Row],[8F1 WH Dock AHU - Ventilation]]</f>
        <v>0</v>
      </c>
      <c r="EE18">
        <f>BZ19-Table2[[#This Row],[8F3 ACPDB - 4 WH Dock air curtain]]</f>
        <v>0</v>
      </c>
      <c r="EF18">
        <f>CA19-Table2[[#This Row],[8F4 WH Light]]</f>
        <v>0</v>
      </c>
      <c r="EG18">
        <f>CC19-Table2[[#This Row],[9F1 - PDB 10 - WH Dock door &amp; Office]]</f>
        <v>0</v>
      </c>
      <c r="EH18">
        <f>CD19-Table2[[#This Row],[9F2 - PDB 11 - WH flycatchers]]</f>
        <v>0</v>
      </c>
      <c r="EI18">
        <f>CE19-Table2[[#This Row],[9F3 - PDB 12 - Other items]]</f>
        <v>0</v>
      </c>
      <c r="EJ18">
        <f>CR19-Table2[[#This Row],[2F3 - PDB 1 - Dock 1 to 4 ]]</f>
        <v>0</v>
      </c>
      <c r="EK18">
        <f>BM19-Table2[[#This Row],[2F2 - PDB 3 - WH Truck &amp; Battery Charging]]</f>
        <v>0</v>
      </c>
      <c r="EL18">
        <f>(CK19-Table2[[#This Row],[PDB - 11 Truck Charging]])*1000</f>
        <v>0</v>
      </c>
      <c r="EM18">
        <f>P19-Table2[[#This Row],[5F3 Admin Area]]</f>
        <v>0</v>
      </c>
      <c r="EN18">
        <f>AH19-Table2[[#This Row],[2F5 Main Gate-1 Piller -1]]</f>
        <v>0</v>
      </c>
      <c r="EO18">
        <f>CW19-Table2[[#This Row],[6F2 Ground Floor AC]]</f>
        <v>0</v>
      </c>
      <c r="EP18">
        <f>CX19-Table2[[#This Row],[6F3 ACBD -1 (First floor AC)]]</f>
        <v>0</v>
      </c>
      <c r="EQ18">
        <f>CY19-Table2[[#This Row],[6F4 ACBD - 2 (Second &amp; Third floor AC)]]</f>
        <v>0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0</v>
      </c>
      <c r="EU18">
        <f>(CL19-Table2[[#This Row],[OLD Ck Panel-1]])*1000</f>
        <v>0</v>
      </c>
      <c r="EV18">
        <f>CM19-Table2[[#This Row],[2F4 Old CK Blast (Blue star)]]</f>
        <v>0</v>
      </c>
      <c r="EW18">
        <f>CN19-Table2[[#This Row],[3F6 Old CK Blast (Carrier)]]</f>
        <v>0</v>
      </c>
      <c r="EX18">
        <f>(CO19-Table2[[#This Row],[Old CK Panel -2]])*1000</f>
        <v>0</v>
      </c>
      <c r="EY18">
        <f>N19-Table2[[#This Row],[4F1 Main UPS 1/C -1]]</f>
        <v>0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0</v>
      </c>
      <c r="FC18">
        <f>BW19-Table2[[#This Row],[7F3 CLC Power Panel]]</f>
        <v>0</v>
      </c>
      <c r="FD18">
        <f>(CI19-Table2[[#This Row],[PDB - 17 CLC Section ]])*1000</f>
        <v>0</v>
      </c>
      <c r="FE18">
        <f>(W19-Table2[[#This Row],[13F3 Water &amp; Lift Old CK]])*1000</f>
        <v>0</v>
      </c>
      <c r="FF18">
        <f>AA19-Table2[[#This Row],[15F2 New ETP Panel]]</f>
        <v>0</v>
      </c>
      <c r="FG18">
        <f>AL19-Table2[[#This Row],[3F4 Old ETP Panel]]</f>
        <v>0</v>
      </c>
      <c r="FH18">
        <f>AF19-Table2[[#This Row],[2F1 RO Plant]]</f>
        <v>0</v>
      </c>
      <c r="FI18">
        <f>AK19-Table2[[#This Row],[3F3 Fire Hydrant Panel]]</f>
        <v>0</v>
      </c>
      <c r="FJ18">
        <f>R19-Table2[[#This Row],[7F1 Freon System Panel]]</f>
        <v>0</v>
      </c>
      <c r="FK18">
        <f>(AE19-Table2[[#This Row],[21F1 Refrigeration Ammonia]])*1000</f>
        <v>0</v>
      </c>
      <c r="FL18">
        <f>(AG19-Table2[[#This Row],[2F3 Air Compressor]])*1000</f>
        <v>0</v>
      </c>
      <c r="FM18">
        <f>(AX19-Table2[[#This Row],[Solar Reading Panel II]])*1000</f>
        <v>0</v>
      </c>
      <c r="FN18">
        <f>AI19-Table2[[#This Row],[3F1 Maintenance Workshop]]</f>
        <v>0</v>
      </c>
      <c r="FO18">
        <f>BD19-Table2[[#This Row],[4F B2B unit ]]</f>
        <v>0</v>
      </c>
      <c r="FP18">
        <f>BL19-Table2[[#This Row],[2F1 - PDB 6 - Bread, B2B section]]</f>
        <v>0</v>
      </c>
      <c r="FQ18">
        <f>(CG19-Table2[[#This Row],[9F5 - PDB 14 - Bread Lift]])</f>
        <v>0</v>
      </c>
      <c r="FR18">
        <f>CJ19-Table2[[#This Row],[PDB - 16 Bread Section]]</f>
        <v>0</v>
      </c>
      <c r="FS18">
        <f>BU19-Table2[[#This Row],[7F1 Donut Production area]]</f>
        <v>0</v>
      </c>
      <c r="FT18">
        <f>CB19-Table2[[#This Row],[8F5 Donut Ban Bary]]</f>
        <v>0</v>
      </c>
      <c r="FU18">
        <f>CF19-Table2[[#This Row],[9F4 - PDB 13 - Donut Sink Geyser area]]</f>
        <v>0</v>
      </c>
      <c r="FV18">
        <f>BV19-Table2[[#This Row],[7F2 Flour Silo]]</f>
        <v>0</v>
      </c>
      <c r="FW18">
        <f>BY19-Table2[[#This Row],[8F2 ACPDB - 3 SILO Ventilation]]</f>
        <v>0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/>
      <c r="B19" s="56"/>
      <c r="C19" s="56"/>
      <c r="D19" s="1"/>
      <c r="E19" s="1"/>
      <c r="F19" s="1"/>
      <c r="G19" s="3"/>
      <c r="H19" s="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1"/>
      <c r="DH19" s="4">
        <f>Table2[[#This Row],[Date]]</f>
        <v>0</v>
      </c>
      <c r="DI19">
        <f>(DD20-Table2[[#This Row],[MWH Total]])*4000</f>
        <v>0</v>
      </c>
      <c r="DJ19">
        <f>(DA20-Table2[[#This Row],[PNG Meter (Outside)]])*2.936</f>
        <v>0</v>
      </c>
      <c r="DK19">
        <f>(DB20-Table2[[#This Row],[PNG Meter (Inside)]])*2.936</f>
        <v>0</v>
      </c>
      <c r="DL19">
        <f>(BH20-Table2[[#This Row],[3F Dough cooler - 2 ]])*1000</f>
        <v>0</v>
      </c>
      <c r="DM19">
        <f>(BI20-Table2[[#This Row],[3F Dough Cooler- 1]])*1000</f>
        <v>0</v>
      </c>
      <c r="DN19">
        <f>(BJ20-Table2[[#This Row],[4F Dough Production cooling Unit]])*1000</f>
        <v>0</v>
      </c>
      <c r="DO19">
        <f>(BQ20-Table2[[#This Row],[3F2 - PDB 3 - Dough Production Area]])*1000</f>
        <v>0</v>
      </c>
      <c r="DP19">
        <f>(BR20-Table2[[#This Row],[3F3 - PDB 4 - Dough Area]])*1000</f>
        <v>0</v>
      </c>
      <c r="DQ19">
        <f>AC20-Table2[[#This Row],[16F1 Tray washer Panel for Light]]</f>
        <v>0</v>
      </c>
      <c r="DR19">
        <f>CQ20-Table2[[#This Row],[2F1 Tray Washer - 1]]</f>
        <v>0</v>
      </c>
      <c r="DS19">
        <f>CS20-Table2[[#This Row],[2F5 Destacker]]</f>
        <v>0</v>
      </c>
      <c r="DT19">
        <f>CU20-Table2[[#This Row],[5F1 Metering (TW-2)]]</f>
        <v>0</v>
      </c>
      <c r="DU19">
        <f>CV20-Table2[[#This Row],[6F1 Pre soaker Tray washer]]</f>
        <v>0</v>
      </c>
      <c r="DV19">
        <f>CZ20-Table2[[#This Row],[6F5 Vent tray Storage]]</f>
        <v>0</v>
      </c>
      <c r="DW19">
        <f>I20-Table2[[#This Row],[Popeyes Meter ]]</f>
        <v>0</v>
      </c>
      <c r="DX19">
        <f>AZ20-Table2[[#This Row],[2F WH Chiller, Segregation Area]]</f>
        <v>0</v>
      </c>
      <c r="DY19">
        <f>BA20-Table2[[#This Row],[3F1 AC Unit WH dock cooling - 2 Nos]]</f>
        <v>0</v>
      </c>
      <c r="DZ19">
        <f>BB20-Table2[[#This Row],[3F2 AC Unit WH dock cooling - 3 Nos]]</f>
        <v>0</v>
      </c>
      <c r="EA19">
        <f>(BK20-Table2[[#This Row],[5F WH Perishable]])*1000</f>
        <v>0</v>
      </c>
      <c r="EB19">
        <f>BN20-Table2[[#This Row],[2F3 - PDB 9 - WH Dock Leveler Door ]]</f>
        <v>0</v>
      </c>
      <c r="EC19">
        <f>BP20-Table2[[#This Row],[3F1 - PDB 5 - WH HSD]]</f>
        <v>0</v>
      </c>
      <c r="ED19">
        <f>BX20-Table2[[#This Row],[8F1 WH Dock AHU - Ventilation]]</f>
        <v>0</v>
      </c>
      <c r="EE19">
        <f>BZ20-Table2[[#This Row],[8F3 ACPDB - 4 WH Dock air curtain]]</f>
        <v>0</v>
      </c>
      <c r="EF19">
        <f>CA20-Table2[[#This Row],[8F4 WH Light]]</f>
        <v>0</v>
      </c>
      <c r="EG19">
        <f>CC20-Table2[[#This Row],[9F1 - PDB 10 - WH Dock door &amp; Office]]</f>
        <v>0</v>
      </c>
      <c r="EH19">
        <f>CD20-Table2[[#This Row],[9F2 - PDB 11 - WH flycatchers]]</f>
        <v>0</v>
      </c>
      <c r="EI19">
        <f>CE20-Table2[[#This Row],[9F3 - PDB 12 - Other items]]</f>
        <v>0</v>
      </c>
      <c r="EJ19">
        <f>CR20-Table2[[#This Row],[2F3 - PDB 1 - Dock 1 to 4 ]]</f>
        <v>0</v>
      </c>
      <c r="EK19">
        <f>BM20-Table2[[#This Row],[2F2 - PDB 3 - WH Truck &amp; Battery Charging]]</f>
        <v>0</v>
      </c>
      <c r="EL19">
        <f>(CK20-Table2[[#This Row],[PDB - 11 Truck Charging]])*1000</f>
        <v>0</v>
      </c>
      <c r="EM19">
        <f>P20-Table2[[#This Row],[5F3 Admin Area]]</f>
        <v>0</v>
      </c>
      <c r="EN19">
        <f>AH20-Table2[[#This Row],[2F5 Main Gate-1 Piller -1]]</f>
        <v>0</v>
      </c>
      <c r="EO19">
        <f>CW20-Table2[[#This Row],[6F2 Ground Floor AC]]</f>
        <v>0</v>
      </c>
      <c r="EP19">
        <f>CX20-Table2[[#This Row],[6F3 ACBD -1 (First floor AC)]]</f>
        <v>0</v>
      </c>
      <c r="EQ19">
        <f>CY20-Table2[[#This Row],[6F4 ACBD - 2 (Second &amp; Third floor AC)]]</f>
        <v>0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0</v>
      </c>
      <c r="EU19">
        <f>(CL20-Table2[[#This Row],[OLD Ck Panel-1]])*1000</f>
        <v>0</v>
      </c>
      <c r="EV19">
        <f>CM20-Table2[[#This Row],[2F4 Old CK Blast (Blue star)]]</f>
        <v>0</v>
      </c>
      <c r="EW19">
        <f>CN20-Table2[[#This Row],[3F6 Old CK Blast (Carrier)]]</f>
        <v>0</v>
      </c>
      <c r="EX19">
        <f>(CO20-Table2[[#This Row],[Old CK Panel -2]])*1000</f>
        <v>0</v>
      </c>
      <c r="EY19">
        <f>N20-Table2[[#This Row],[4F1 Main UPS 1/C -1]]</f>
        <v>0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0</v>
      </c>
      <c r="FC19">
        <f>BW20-Table2[[#This Row],[7F3 CLC Power Panel]]</f>
        <v>0</v>
      </c>
      <c r="FD19">
        <f>(CI20-Table2[[#This Row],[PDB - 17 CLC Section ]])*1000</f>
        <v>0</v>
      </c>
      <c r="FE19">
        <f>(W20-Table2[[#This Row],[13F3 Water &amp; Lift Old CK]])*1000</f>
        <v>0</v>
      </c>
      <c r="FF19">
        <f>AA20-Table2[[#This Row],[15F2 New ETP Panel]]</f>
        <v>0</v>
      </c>
      <c r="FG19">
        <f>AL20-Table2[[#This Row],[3F4 Old ETP Panel]]</f>
        <v>0</v>
      </c>
      <c r="FH19">
        <f>AF20-Table2[[#This Row],[2F1 RO Plant]]</f>
        <v>0</v>
      </c>
      <c r="FI19">
        <f>AK20-Table2[[#This Row],[3F3 Fire Hydrant Panel]]</f>
        <v>0</v>
      </c>
      <c r="FJ19">
        <f>R20-Table2[[#This Row],[7F1 Freon System Panel]]</f>
        <v>0</v>
      </c>
      <c r="FK19">
        <f>(AE20-Table2[[#This Row],[21F1 Refrigeration Ammonia]])*1000</f>
        <v>0</v>
      </c>
      <c r="FL19">
        <f>(AG20-Table2[[#This Row],[2F3 Air Compressor]])*1000</f>
        <v>0</v>
      </c>
      <c r="FM19">
        <f>(AX20-Table2[[#This Row],[Solar Reading Panel II]])*1000</f>
        <v>0</v>
      </c>
      <c r="FN19">
        <f>AI20-Table2[[#This Row],[3F1 Maintenance Workshop]]</f>
        <v>0</v>
      </c>
      <c r="FO19">
        <f>BD20-Table2[[#This Row],[4F B2B unit ]]</f>
        <v>0</v>
      </c>
      <c r="FP19">
        <f>BL20-Table2[[#This Row],[2F1 - PDB 6 - Bread, B2B section]]</f>
        <v>0</v>
      </c>
      <c r="FQ19">
        <f>(CG20-Table2[[#This Row],[9F5 - PDB 14 - Bread Lift]])</f>
        <v>0</v>
      </c>
      <c r="FR19">
        <f>CJ20-Table2[[#This Row],[PDB - 16 Bread Section]]</f>
        <v>0</v>
      </c>
      <c r="FS19">
        <f>BU20-Table2[[#This Row],[7F1 Donut Production area]]</f>
        <v>0</v>
      </c>
      <c r="FT19">
        <f>CB20-Table2[[#This Row],[8F5 Donut Ban Bary]]</f>
        <v>0</v>
      </c>
      <c r="FU19">
        <f>CF20-Table2[[#This Row],[9F4 - PDB 13 - Donut Sink Geyser area]]</f>
        <v>0</v>
      </c>
      <c r="FV19">
        <f>BV20-Table2[[#This Row],[7F2 Flour Silo]]</f>
        <v>0</v>
      </c>
      <c r="FW19">
        <f>BY20-Table2[[#This Row],[8F2 ACPDB - 3 SILO Ventilation]]</f>
        <v>0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/>
      <c r="B20" s="56"/>
      <c r="C20" s="56"/>
      <c r="D20" s="1"/>
      <c r="E20" s="1"/>
      <c r="F20" s="1"/>
      <c r="G20" s="3"/>
      <c r="H20" s="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1"/>
      <c r="DH20" s="4">
        <f>Table2[[#This Row],[Date]]</f>
        <v>0</v>
      </c>
      <c r="DI20">
        <f>(DD21-Table2[[#This Row],[MWH Total]])*4000</f>
        <v>0</v>
      </c>
      <c r="DJ20">
        <f>(DA21-Table2[[#This Row],[PNG Meter (Outside)]])*2.936</f>
        <v>0</v>
      </c>
      <c r="DK20">
        <f>(DB21-Table2[[#This Row],[PNG Meter (Inside)]])*2.936</f>
        <v>0</v>
      </c>
      <c r="DL20">
        <f>(BH21-Table2[[#This Row],[3F Dough cooler - 2 ]])*1000</f>
        <v>0</v>
      </c>
      <c r="DM20">
        <f>(BI21-Table2[[#This Row],[3F Dough Cooler- 1]])*1000</f>
        <v>0</v>
      </c>
      <c r="DN20">
        <f>(BJ21-Table2[[#This Row],[4F Dough Production cooling Unit]])*1000</f>
        <v>0</v>
      </c>
      <c r="DO20">
        <f>(BQ21-Table2[[#This Row],[3F2 - PDB 3 - Dough Production Area]])*1000</f>
        <v>0</v>
      </c>
      <c r="DP20">
        <f>(BR21-Table2[[#This Row],[3F3 - PDB 4 - Dough Area]])*1000</f>
        <v>0</v>
      </c>
      <c r="DQ20">
        <f>AC21-Table2[[#This Row],[16F1 Tray washer Panel for Light]]</f>
        <v>0</v>
      </c>
      <c r="DR20">
        <f>CQ21-Table2[[#This Row],[2F1 Tray Washer - 1]]</f>
        <v>0</v>
      </c>
      <c r="DS20">
        <f>CS21-Table2[[#This Row],[2F5 Destacker]]</f>
        <v>0</v>
      </c>
      <c r="DT20">
        <f>CU21-Table2[[#This Row],[5F1 Metering (TW-2)]]</f>
        <v>0</v>
      </c>
      <c r="DU20">
        <f>CV21-Table2[[#This Row],[6F1 Pre soaker Tray washer]]</f>
        <v>0</v>
      </c>
      <c r="DV20">
        <f>CZ21-Table2[[#This Row],[6F5 Vent tray Storage]]</f>
        <v>0</v>
      </c>
      <c r="DW20">
        <f>I21-Table2[[#This Row],[Popeyes Meter ]]</f>
        <v>0</v>
      </c>
      <c r="DX20">
        <f>AZ21-Table2[[#This Row],[2F WH Chiller, Segregation Area]]</f>
        <v>0</v>
      </c>
      <c r="DY20">
        <f>BA21-Table2[[#This Row],[3F1 AC Unit WH dock cooling - 2 Nos]]</f>
        <v>0</v>
      </c>
      <c r="DZ20">
        <f>BB21-Table2[[#This Row],[3F2 AC Unit WH dock cooling - 3 Nos]]</f>
        <v>0</v>
      </c>
      <c r="EA20">
        <f>(BK21-Table2[[#This Row],[5F WH Perishable]])*1000</f>
        <v>0</v>
      </c>
      <c r="EB20">
        <f>BN21-Table2[[#This Row],[2F3 - PDB 9 - WH Dock Leveler Door ]]</f>
        <v>0</v>
      </c>
      <c r="EC20">
        <f>BP21-Table2[[#This Row],[3F1 - PDB 5 - WH HSD]]</f>
        <v>0</v>
      </c>
      <c r="ED20">
        <f>BX21-Table2[[#This Row],[8F1 WH Dock AHU - Ventilation]]</f>
        <v>0</v>
      </c>
      <c r="EE20">
        <f>BZ21-Table2[[#This Row],[8F3 ACPDB - 4 WH Dock air curtain]]</f>
        <v>0</v>
      </c>
      <c r="EF20">
        <f>CA21-Table2[[#This Row],[8F4 WH Light]]</f>
        <v>0</v>
      </c>
      <c r="EG20">
        <f>CC21-Table2[[#This Row],[9F1 - PDB 10 - WH Dock door &amp; Office]]</f>
        <v>0</v>
      </c>
      <c r="EH20">
        <f>CD21-Table2[[#This Row],[9F2 - PDB 11 - WH flycatchers]]</f>
        <v>0</v>
      </c>
      <c r="EI20">
        <f>CE21-Table2[[#This Row],[9F3 - PDB 12 - Other items]]</f>
        <v>0</v>
      </c>
      <c r="EJ20">
        <f>CR21-Table2[[#This Row],[2F3 - PDB 1 - Dock 1 to 4 ]]</f>
        <v>0</v>
      </c>
      <c r="EK20">
        <f>BM21-Table2[[#This Row],[2F2 - PDB 3 - WH Truck &amp; Battery Charging]]</f>
        <v>0</v>
      </c>
      <c r="EL20">
        <f>(CK21-Table2[[#This Row],[PDB - 11 Truck Charging]])*1000</f>
        <v>0</v>
      </c>
      <c r="EM20">
        <f>P21-Table2[[#This Row],[5F3 Admin Area]]</f>
        <v>0</v>
      </c>
      <c r="EN20">
        <f>AH21-Table2[[#This Row],[2F5 Main Gate-1 Piller -1]]</f>
        <v>0</v>
      </c>
      <c r="EO20">
        <f>CW21-Table2[[#This Row],[6F2 Ground Floor AC]]</f>
        <v>0</v>
      </c>
      <c r="EP20">
        <f>CX21-Table2[[#This Row],[6F3 ACBD -1 (First floor AC)]]</f>
        <v>0</v>
      </c>
      <c r="EQ20">
        <f>CY21-Table2[[#This Row],[6F4 ACBD - 2 (Second &amp; Third floor AC)]]</f>
        <v>0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0</v>
      </c>
      <c r="EU20">
        <f>(CL21-Table2[[#This Row],[OLD Ck Panel-1]])*1000</f>
        <v>0</v>
      </c>
      <c r="EV20">
        <f>CM21-Table2[[#This Row],[2F4 Old CK Blast (Blue star)]]</f>
        <v>0</v>
      </c>
      <c r="EW20">
        <f>CN21-Table2[[#This Row],[3F6 Old CK Blast (Carrier)]]</f>
        <v>0</v>
      </c>
      <c r="EX20">
        <f>(CO21-Table2[[#This Row],[Old CK Panel -2]])*1000</f>
        <v>0</v>
      </c>
      <c r="EY20">
        <f>N21-Table2[[#This Row],[4F1 Main UPS 1/C -1]]</f>
        <v>0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0</v>
      </c>
      <c r="FC20">
        <f>BW21-Table2[[#This Row],[7F3 CLC Power Panel]]</f>
        <v>0</v>
      </c>
      <c r="FD20">
        <f>(CI21-Table2[[#This Row],[PDB - 17 CLC Section ]])*1000</f>
        <v>0</v>
      </c>
      <c r="FE20">
        <f>(W21-Table2[[#This Row],[13F3 Water &amp; Lift Old CK]])*1000</f>
        <v>0</v>
      </c>
      <c r="FF20">
        <f>AA21-Table2[[#This Row],[15F2 New ETP Panel]]</f>
        <v>0</v>
      </c>
      <c r="FG20">
        <f>AL21-Table2[[#This Row],[3F4 Old ETP Panel]]</f>
        <v>0</v>
      </c>
      <c r="FH20">
        <f>AF21-Table2[[#This Row],[2F1 RO Plant]]</f>
        <v>0</v>
      </c>
      <c r="FI20">
        <f>AK21-Table2[[#This Row],[3F3 Fire Hydrant Panel]]</f>
        <v>0</v>
      </c>
      <c r="FJ20">
        <f>R21-Table2[[#This Row],[7F1 Freon System Panel]]</f>
        <v>0</v>
      </c>
      <c r="FK20">
        <f>(AE21-Table2[[#This Row],[21F1 Refrigeration Ammonia]])*1000</f>
        <v>0</v>
      </c>
      <c r="FL20">
        <f>(AG21-Table2[[#This Row],[2F3 Air Compressor]])*1000</f>
        <v>0</v>
      </c>
      <c r="FM20">
        <f>(AX21-Table2[[#This Row],[Solar Reading Panel II]])*1000</f>
        <v>0</v>
      </c>
      <c r="FN20">
        <f>AI21-Table2[[#This Row],[3F1 Maintenance Workshop]]</f>
        <v>0</v>
      </c>
      <c r="FO20">
        <f>BD21-Table2[[#This Row],[4F B2B unit ]]</f>
        <v>0</v>
      </c>
      <c r="FP20">
        <f>BL21-Table2[[#This Row],[2F1 - PDB 6 - Bread, B2B section]]</f>
        <v>0</v>
      </c>
      <c r="FQ20">
        <f>(CG21-Table2[[#This Row],[9F5 - PDB 14 - Bread Lift]])</f>
        <v>0</v>
      </c>
      <c r="FR20">
        <f>CJ21-Table2[[#This Row],[PDB - 16 Bread Section]]</f>
        <v>0</v>
      </c>
      <c r="FS20">
        <f>BU21-Table2[[#This Row],[7F1 Donut Production area]]</f>
        <v>0</v>
      </c>
      <c r="FT20">
        <f>CB21-Table2[[#This Row],[8F5 Donut Ban Bary]]</f>
        <v>0</v>
      </c>
      <c r="FU20">
        <f>CF21-Table2[[#This Row],[9F4 - PDB 13 - Donut Sink Geyser area]]</f>
        <v>0</v>
      </c>
      <c r="FV20">
        <f>BV21-Table2[[#This Row],[7F2 Flour Silo]]</f>
        <v>0</v>
      </c>
      <c r="FW20">
        <f>BY21-Table2[[#This Row],[8F2 ACPDB - 3 SILO Ventilation]]</f>
        <v>0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/>
      <c r="B21" s="56"/>
      <c r="C21" s="56"/>
      <c r="D21" s="1"/>
      <c r="E21" s="1"/>
      <c r="F21" s="1"/>
      <c r="G21" s="3"/>
      <c r="H21" s="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AC22-Table2[[#This Row],[16F1 Tray washer Panel for Light]]</f>
        <v>0</v>
      </c>
      <c r="DR21">
        <f>CQ22-Table2[[#This Row],[2F1 Tray Washer - 1]]</f>
        <v>0</v>
      </c>
      <c r="DS21">
        <f>CS22-Table2[[#This Row],[2F5 Destacker]]</f>
        <v>0</v>
      </c>
      <c r="DT21">
        <f>CU22-Table2[[#This Row],[5F1 Metering (TW-2)]]</f>
        <v>0</v>
      </c>
      <c r="DU21">
        <f>CV22-Table2[[#This Row],[6F1 Pre soaker Tray washer]]</f>
        <v>0</v>
      </c>
      <c r="DV21">
        <f>CZ22-Table2[[#This Row],[6F5 Vent tray Storage]]</f>
        <v>0</v>
      </c>
      <c r="DW21">
        <f>I22-Table2[[#This Row],[Popeyes Meter ]]</f>
        <v>0</v>
      </c>
      <c r="DX21">
        <f>AZ22-Table2[[#This Row],[2F WH Chiller, Segregation Area]]</f>
        <v>0</v>
      </c>
      <c r="DY21">
        <f>BA22-Table2[[#This Row],[3F1 AC Unit WH dock cooling - 2 Nos]]</f>
        <v>0</v>
      </c>
      <c r="DZ21">
        <f>BB22-Table2[[#This Row],[3F2 AC Unit WH dock cooling - 3 Nos]]</f>
        <v>0</v>
      </c>
      <c r="EA21">
        <f>(BK22-Table2[[#This Row],[5F WH Perishable]])*1000</f>
        <v>0</v>
      </c>
      <c r="EB21">
        <f>BN22-Table2[[#This Row],[2F3 - PDB 9 - WH Dock Leveler Door ]]</f>
        <v>0</v>
      </c>
      <c r="EC21">
        <f>BP22-Table2[[#This Row],[3F1 - PDB 5 - WH HSD]]</f>
        <v>0</v>
      </c>
      <c r="ED21">
        <f>BX22-Table2[[#This Row],[8F1 WH Dock AHU - Ventilation]]</f>
        <v>0</v>
      </c>
      <c r="EE21">
        <f>BZ22-Table2[[#This Row],[8F3 ACPDB - 4 WH Dock air curtain]]</f>
        <v>0</v>
      </c>
      <c r="EF21">
        <f>CA22-Table2[[#This Row],[8F4 WH Light]]</f>
        <v>0</v>
      </c>
      <c r="EG21">
        <f>CC22-Table2[[#This Row],[9F1 - PDB 10 - WH Dock door &amp; Office]]</f>
        <v>0</v>
      </c>
      <c r="EH21">
        <f>CD22-Table2[[#This Row],[9F2 - PDB 11 - WH flycatchers]]</f>
        <v>0</v>
      </c>
      <c r="EI21">
        <f>CE22-Table2[[#This Row],[9F3 - PDB 12 - Other items]]</f>
        <v>0</v>
      </c>
      <c r="EJ21">
        <f>CR22-Table2[[#This Row],[2F3 - PDB 1 - Dock 1 to 4 ]]</f>
        <v>0</v>
      </c>
      <c r="EK21">
        <f>BM22-Table2[[#This Row],[2F2 - PDB 3 - WH Truck &amp; Battery Charging]]</f>
        <v>0</v>
      </c>
      <c r="EL21">
        <f>(CK22-Table2[[#This Row],[PDB - 11 Truck Charging]])*1000</f>
        <v>0</v>
      </c>
      <c r="EM21">
        <f>P22-Table2[[#This Row],[5F3 Admin Area]]</f>
        <v>0</v>
      </c>
      <c r="EN21">
        <f>AH22-Table2[[#This Row],[2F5 Main Gate-1 Piller -1]]</f>
        <v>0</v>
      </c>
      <c r="EO21">
        <f>CW22-Table2[[#This Row],[6F2 Ground Floor AC]]</f>
        <v>0</v>
      </c>
      <c r="EP21">
        <f>CX22-Table2[[#This Row],[6F3 ACBD -1 (First floor AC)]]</f>
        <v>0</v>
      </c>
      <c r="EQ21">
        <f>CY22-Table2[[#This Row],[6F4 ACBD - 2 (Second &amp; Third floor AC)]]</f>
        <v>0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0</v>
      </c>
      <c r="EU21">
        <f>(CL22-Table2[[#This Row],[OLD Ck Panel-1]])*1000</f>
        <v>0</v>
      </c>
      <c r="EV21">
        <f>CM22-Table2[[#This Row],[2F4 Old CK Blast (Blue star)]]</f>
        <v>0</v>
      </c>
      <c r="EW21">
        <f>CN22-Table2[[#This Row],[3F6 Old CK Blast (Carrier)]]</f>
        <v>0</v>
      </c>
      <c r="EX21">
        <f>(CO22-Table2[[#This Row],[Old CK Panel -2]])*1000</f>
        <v>0</v>
      </c>
      <c r="EY21">
        <f>N22-Table2[[#This Row],[4F1 Main UPS 1/C -1]]</f>
        <v>0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0</v>
      </c>
      <c r="FC21">
        <f>BW22-Table2[[#This Row],[7F3 CLC Power Panel]]</f>
        <v>0</v>
      </c>
      <c r="FD21">
        <f>(CI22-Table2[[#This Row],[PDB - 17 CLC Section ]])*1000</f>
        <v>0</v>
      </c>
      <c r="FE21">
        <f>(W22-Table2[[#This Row],[13F3 Water &amp; Lift Old CK]])*1000</f>
        <v>0</v>
      </c>
      <c r="FF21">
        <f>AA22-Table2[[#This Row],[15F2 New ETP Panel]]</f>
        <v>0</v>
      </c>
      <c r="FG21">
        <f>AL22-Table2[[#This Row],[3F4 Old ETP Panel]]</f>
        <v>0</v>
      </c>
      <c r="FH21">
        <f>AF22-Table2[[#This Row],[2F1 RO Plant]]</f>
        <v>0</v>
      </c>
      <c r="FI21">
        <f>AK22-Table2[[#This Row],[3F3 Fire Hydrant Panel]]</f>
        <v>0</v>
      </c>
      <c r="FJ21">
        <f>R22-Table2[[#This Row],[7F1 Freon System Panel]]</f>
        <v>0</v>
      </c>
      <c r="FK21">
        <f>(AE22-Table2[[#This Row],[21F1 Refrigeration Ammonia]])*1000</f>
        <v>0</v>
      </c>
      <c r="FL21">
        <f>(AG22-Table2[[#This Row],[2F3 Air Compressor]])*1000</f>
        <v>0</v>
      </c>
      <c r="FM21">
        <f>(AX22-Table2[[#This Row],[Solar Reading Panel II]])*1000</f>
        <v>0</v>
      </c>
      <c r="FN21">
        <f>AI22-Table2[[#This Row],[3F1 Maintenance Workshop]]</f>
        <v>0</v>
      </c>
      <c r="FO21">
        <f>BD22-Table2[[#This Row],[4F B2B unit ]]</f>
        <v>0</v>
      </c>
      <c r="FP21">
        <f>BL22-Table2[[#This Row],[2F1 - PDB 6 - Bread, B2B section]]</f>
        <v>0</v>
      </c>
      <c r="FQ21">
        <f>(CG22-Table2[[#This Row],[9F5 - PDB 14 - Bread Lift]])</f>
        <v>0</v>
      </c>
      <c r="FR21">
        <f>CJ22-Table2[[#This Row],[PDB - 16 Bread Section]]</f>
        <v>0</v>
      </c>
      <c r="FS21">
        <f>BU22-Table2[[#This Row],[7F1 Donut Production area]]</f>
        <v>0</v>
      </c>
      <c r="FT21">
        <f>CB22-Table2[[#This Row],[8F5 Donut Ban Bary]]</f>
        <v>0</v>
      </c>
      <c r="FU21">
        <f>CF22-Table2[[#This Row],[9F4 - PDB 13 - Donut Sink Geyser area]]</f>
        <v>0</v>
      </c>
      <c r="FV21">
        <f>BV22-Table2[[#This Row],[7F2 Flour Silo]]</f>
        <v>0</v>
      </c>
      <c r="FW21">
        <f>BY22-Table2[[#This Row],[8F2 ACPDB - 3 SILO Ventilation]]</f>
        <v>0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/>
      <c r="B22" s="56"/>
      <c r="C22" s="56"/>
      <c r="D22" s="1"/>
      <c r="E22" s="1"/>
      <c r="F22" s="1"/>
      <c r="G22" s="3"/>
      <c r="H22" s="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56"/>
      <c r="C23" s="56"/>
      <c r="D23" s="1"/>
      <c r="E23" s="1"/>
      <c r="F23" s="1"/>
      <c r="G23" s="3"/>
      <c r="H23" s="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56"/>
      <c r="C24" s="56"/>
      <c r="D24" s="1"/>
      <c r="E24" s="1"/>
      <c r="F24" s="1"/>
      <c r="G24" s="3"/>
      <c r="H24" s="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56"/>
      <c r="C25" s="56"/>
      <c r="D25" s="1"/>
      <c r="E25" s="1"/>
      <c r="F25" s="1"/>
      <c r="G25" s="3"/>
      <c r="H25" s="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1"/>
      <c r="DH25" s="4">
        <f>Table2[[#This Row],[Date]]</f>
        <v>0</v>
      </c>
      <c r="DI25">
        <f>(DD26-Table2[[#This Row],[MWH Total]])*4000</f>
        <v>0</v>
      </c>
      <c r="DJ25">
        <f>(DA26-Table2[[#This Row],[PNG Meter (Outside)]])*2.936</f>
        <v>0</v>
      </c>
      <c r="DK25">
        <f>(DB26-Table2[[#This Row],[PNG Meter (Inside)]])*2.936</f>
        <v>0</v>
      </c>
      <c r="DL25">
        <f>(BH26-Table2[[#This Row],[3F Dough cooler - 2 ]])*1000</f>
        <v>0</v>
      </c>
      <c r="DM25">
        <f>(BI26-Table2[[#This Row],[3F Dough Cooler- 1]])*1000</f>
        <v>0</v>
      </c>
      <c r="DN25">
        <f>(BJ26-Table2[[#This Row],[4F Dough Production cooling Unit]])*1000</f>
        <v>0</v>
      </c>
      <c r="DO25">
        <f>(BQ26-Table2[[#This Row],[3F2 - PDB 3 - Dough Production Area]])*1000</f>
        <v>0</v>
      </c>
      <c r="DP25">
        <f>(BR26-Table2[[#This Row],[3F3 - PDB 4 - Dough Area]])*1000</f>
        <v>0</v>
      </c>
      <c r="DQ25">
        <f>AC26-Table2[[#This Row],[16F1 Tray washer Panel for Light]]</f>
        <v>0</v>
      </c>
      <c r="DR25">
        <f>CQ26-Table2[[#This Row],[2F1 Tray Washer - 1]]</f>
        <v>0</v>
      </c>
      <c r="DS25">
        <f>CS26-Table2[[#This Row],[2F5 Destacker]]</f>
        <v>0</v>
      </c>
      <c r="DT25">
        <f>CU26-Table2[[#This Row],[5F1 Metering (TW-2)]]</f>
        <v>0</v>
      </c>
      <c r="DU25">
        <f>CV26-Table2[[#This Row],[6F1 Pre soaker Tray washer]]</f>
        <v>0</v>
      </c>
      <c r="DV25">
        <f>CZ26-Table2[[#This Row],[6F5 Vent tray Storage]]</f>
        <v>0</v>
      </c>
      <c r="DW25">
        <f>I26-Table2[[#This Row],[Popeyes Meter ]]</f>
        <v>0</v>
      </c>
      <c r="DX25">
        <f>AZ26-Table2[[#This Row],[2F WH Chiller, Segregation Area]]</f>
        <v>0</v>
      </c>
      <c r="DY25">
        <f>BA26-Table2[[#This Row],[3F1 AC Unit WH dock cooling - 2 Nos]]</f>
        <v>0</v>
      </c>
      <c r="DZ25">
        <f>BB26-Table2[[#This Row],[3F2 AC Unit WH dock cooling - 3 Nos]]</f>
        <v>0</v>
      </c>
      <c r="EA25">
        <f>(BK26-Table2[[#This Row],[5F WH Perishable]])*1000</f>
        <v>0</v>
      </c>
      <c r="EB25">
        <f>BN26-Table2[[#This Row],[2F3 - PDB 9 - WH Dock Leveler Door ]]</f>
        <v>0</v>
      </c>
      <c r="EC25">
        <f>BP26-Table2[[#This Row],[3F1 - PDB 5 - WH HSD]]</f>
        <v>0</v>
      </c>
      <c r="ED25">
        <f>BX26-Table2[[#This Row],[8F1 WH Dock AHU - Ventilation]]</f>
        <v>0</v>
      </c>
      <c r="EE25">
        <f>BZ26-Table2[[#This Row],[8F3 ACPDB - 4 WH Dock air curtain]]</f>
        <v>0</v>
      </c>
      <c r="EF25">
        <f>CA26-Table2[[#This Row],[8F4 WH Light]]</f>
        <v>0</v>
      </c>
      <c r="EG25">
        <f>CC26-Table2[[#This Row],[9F1 - PDB 10 - WH Dock door &amp; Office]]</f>
        <v>0</v>
      </c>
      <c r="EH25">
        <f>CD26-Table2[[#This Row],[9F2 - PDB 11 - WH flycatchers]]</f>
        <v>0</v>
      </c>
      <c r="EI25">
        <f>CE26-Table2[[#This Row],[9F3 - PDB 12 - Other items]]</f>
        <v>0</v>
      </c>
      <c r="EJ25">
        <f>CR26-Table2[[#This Row],[2F3 - PDB 1 - Dock 1 to 4 ]]</f>
        <v>0</v>
      </c>
      <c r="EK25">
        <f>BM26-Table2[[#This Row],[2F2 - PDB 3 - WH Truck &amp; Battery Charging]]</f>
        <v>0</v>
      </c>
      <c r="EL25">
        <f>(CK26-Table2[[#This Row],[PDB - 11 Truck Charging]])*1000</f>
        <v>0</v>
      </c>
      <c r="EM25">
        <f>P26-Table2[[#This Row],[5F3 Admin Area]]</f>
        <v>0</v>
      </c>
      <c r="EN25">
        <f>AH26-Table2[[#This Row],[2F5 Main Gate-1 Piller -1]]</f>
        <v>0</v>
      </c>
      <c r="EO25">
        <f>CW26-Table2[[#This Row],[6F2 Ground Floor AC]]</f>
        <v>0</v>
      </c>
      <c r="EP25">
        <f>CX26-Table2[[#This Row],[6F3 ACBD -1 (First floor AC)]]</f>
        <v>0</v>
      </c>
      <c r="EQ25">
        <f>CY26-Table2[[#This Row],[6F4 ACBD - 2 (Second &amp; Third floor AC)]]</f>
        <v>0</v>
      </c>
      <c r="ER25">
        <f>(BC26-Table2[[#This Row],[4F Old BMC cooling Unit]])</f>
        <v>0</v>
      </c>
      <c r="ES25">
        <f>BO26-Table2[[#This Row],[2F4 - Old BMC]]</f>
        <v>0</v>
      </c>
      <c r="ET25">
        <f>Y26-Table2[[#This Row],[14F2 New CK]]</f>
        <v>0</v>
      </c>
      <c r="EU25">
        <f>(CL26-Table2[[#This Row],[OLD Ck Panel-1]])*1000</f>
        <v>0</v>
      </c>
      <c r="EV25">
        <f>CM26-Table2[[#This Row],[2F4 Old CK Blast (Blue star)]]</f>
        <v>0</v>
      </c>
      <c r="EW25">
        <f>CN26-Table2[[#This Row],[3F6 Old CK Blast (Carrier)]]</f>
        <v>0</v>
      </c>
      <c r="EX25">
        <f>(CO26-Table2[[#This Row],[Old CK Panel -2]])*1000</f>
        <v>0</v>
      </c>
      <c r="EY25">
        <f>N26-Table2[[#This Row],[4F1 Main UPS 1/C -1]]</f>
        <v>0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0</v>
      </c>
      <c r="FC25">
        <f>BW26-Table2[[#This Row],[7F3 CLC Power Panel]]</f>
        <v>0</v>
      </c>
      <c r="FD25">
        <f>(CI26-Table2[[#This Row],[PDB - 17 CLC Section ]])*1000</f>
        <v>0</v>
      </c>
      <c r="FE25">
        <f>(W26-Table2[[#This Row],[13F3 Water &amp; Lift Old CK]])*1000</f>
        <v>0</v>
      </c>
      <c r="FF25">
        <f>AA26-Table2[[#This Row],[15F2 New ETP Panel]]</f>
        <v>0</v>
      </c>
      <c r="FG25">
        <f>AL26-Table2[[#This Row],[3F4 Old ETP Panel]]</f>
        <v>0</v>
      </c>
      <c r="FH25">
        <f>AF26-Table2[[#This Row],[2F1 RO Plant]]</f>
        <v>0</v>
      </c>
      <c r="FI25">
        <f>AK26-Table2[[#This Row],[3F3 Fire Hydrant Panel]]</f>
        <v>0</v>
      </c>
      <c r="FJ25">
        <f>R26-Table2[[#This Row],[7F1 Freon System Panel]]</f>
        <v>0</v>
      </c>
      <c r="FK25">
        <f>(AE26-Table2[[#This Row],[21F1 Refrigeration Ammonia]])*1000</f>
        <v>0</v>
      </c>
      <c r="FL25">
        <f>(AG26-Table2[[#This Row],[2F3 Air Compressor]])*1000</f>
        <v>0</v>
      </c>
      <c r="FM25">
        <f>(AX26-Table2[[#This Row],[Solar Reading Panel II]])*1000</f>
        <v>0</v>
      </c>
      <c r="FN25">
        <f>AI26-Table2[[#This Row],[3F1 Maintenance Workshop]]</f>
        <v>0</v>
      </c>
      <c r="FO25">
        <f>BD26-Table2[[#This Row],[4F B2B unit ]]</f>
        <v>0</v>
      </c>
      <c r="FP25">
        <f>BL26-Table2[[#This Row],[2F1 - PDB 6 - Bread, B2B section]]</f>
        <v>0</v>
      </c>
      <c r="FQ25">
        <f>(CG26-Table2[[#This Row],[9F5 - PDB 14 - Bread Lift]])</f>
        <v>0</v>
      </c>
      <c r="FR25">
        <f>CJ26-Table2[[#This Row],[PDB - 16 Bread Section]]</f>
        <v>0</v>
      </c>
      <c r="FS25">
        <f>BU26-Table2[[#This Row],[7F1 Donut Production area]]</f>
        <v>0</v>
      </c>
      <c r="FT25">
        <f>CB26-Table2[[#This Row],[8F5 Donut Ban Bary]]</f>
        <v>0</v>
      </c>
      <c r="FU25">
        <f>CF26-Table2[[#This Row],[9F4 - PDB 13 - Donut Sink Geyser area]]</f>
        <v>0</v>
      </c>
      <c r="FV25">
        <f>BV26-Table2[[#This Row],[7F2 Flour Silo]]</f>
        <v>0</v>
      </c>
      <c r="FW25">
        <f>BY26-Table2[[#This Row],[8F2 ACPDB - 3 SILO Ventilation]]</f>
        <v>0</v>
      </c>
      <c r="FX25">
        <f>J26-Table2[[#This Row],[DG 1010KVA Running Hours]]</f>
        <v>0</v>
      </c>
      <c r="FY25">
        <f>K26-Table2[[#This Row],[DG 1010 KVA Meter Reading]]</f>
        <v>0</v>
      </c>
      <c r="FZ25">
        <f>L26-Table2[[#This Row],[GG 1010 KVA Running Hours]]</f>
        <v>0</v>
      </c>
      <c r="GA25">
        <f>M26-Table2[[#This Row],[GG 1010 KVA Meter Reading]]</f>
        <v>0</v>
      </c>
    </row>
    <row r="26" spans="1:183" x14ac:dyDescent="0.35">
      <c r="A26" s="1"/>
      <c r="B26" s="56"/>
      <c r="C26" s="56"/>
      <c r="D26" s="1"/>
      <c r="E26" s="1"/>
      <c r="F26" s="1"/>
      <c r="G26" s="3"/>
      <c r="H26" s="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1"/>
      <c r="DH26" s="4">
        <f>Table2[[#This Row],[Date]]</f>
        <v>0</v>
      </c>
      <c r="DI26">
        <f>(DD27-Table2[[#This Row],[MWH Total]])*4000</f>
        <v>0</v>
      </c>
      <c r="DJ26">
        <f>(DA27-Table2[[#This Row],[PNG Meter (Outside)]])*2.936</f>
        <v>0</v>
      </c>
      <c r="DK26">
        <f>(DB27-Table2[[#This Row],[PNG Meter (Inside)]])*2.936</f>
        <v>0</v>
      </c>
      <c r="DL26">
        <f>(BH27-Table2[[#This Row],[3F Dough cooler - 2 ]])*1000</f>
        <v>0</v>
      </c>
      <c r="DM26">
        <f>(BI27-Table2[[#This Row],[3F Dough Cooler- 1]])*1000</f>
        <v>0</v>
      </c>
      <c r="DN26">
        <f>(BJ27-Table2[[#This Row],[4F Dough Production cooling Unit]])*1000</f>
        <v>0</v>
      </c>
      <c r="DO26">
        <f>(BQ27-Table2[[#This Row],[3F2 - PDB 3 - Dough Production Area]])*1000</f>
        <v>0</v>
      </c>
      <c r="DP26">
        <f>(BR27-Table2[[#This Row],[3F3 - PDB 4 - Dough Area]])*1000</f>
        <v>0</v>
      </c>
      <c r="DQ26">
        <f>AC27-Table2[[#This Row],[16F1 Tray washer Panel for Light]]</f>
        <v>0</v>
      </c>
      <c r="DR26">
        <f>CQ27-Table2[[#This Row],[2F1 Tray Washer - 1]]</f>
        <v>0</v>
      </c>
      <c r="DS26">
        <f>CS27-Table2[[#This Row],[2F5 Destacker]]</f>
        <v>0</v>
      </c>
      <c r="DT26">
        <f>CU27-Table2[[#This Row],[5F1 Metering (TW-2)]]</f>
        <v>0</v>
      </c>
      <c r="DU26">
        <f>CV27-Table2[[#This Row],[6F1 Pre soaker Tray washer]]</f>
        <v>0</v>
      </c>
      <c r="DV26">
        <f>CZ27-Table2[[#This Row],[6F5 Vent tray Storage]]</f>
        <v>0</v>
      </c>
      <c r="DW26">
        <f>I27-Table2[[#This Row],[Popeyes Meter ]]</f>
        <v>0</v>
      </c>
      <c r="DX26">
        <f>AZ27-Table2[[#This Row],[2F WH Chiller, Segregation Area]]</f>
        <v>0</v>
      </c>
      <c r="DY26">
        <f>BA27-Table2[[#This Row],[3F1 AC Unit WH dock cooling - 2 Nos]]</f>
        <v>0</v>
      </c>
      <c r="DZ26">
        <f>BB27-Table2[[#This Row],[3F2 AC Unit WH dock cooling - 3 Nos]]</f>
        <v>0</v>
      </c>
      <c r="EA26">
        <f>(BK27-Table2[[#This Row],[5F WH Perishable]])*1000</f>
        <v>0</v>
      </c>
      <c r="EB26">
        <f>BN27-Table2[[#This Row],[2F3 - PDB 9 - WH Dock Leveler Door ]]</f>
        <v>0</v>
      </c>
      <c r="EC26">
        <f>BP27-Table2[[#This Row],[3F1 - PDB 5 - WH HSD]]</f>
        <v>0</v>
      </c>
      <c r="ED26">
        <f>BX27-Table2[[#This Row],[8F1 WH Dock AHU - Ventilation]]</f>
        <v>0</v>
      </c>
      <c r="EE26">
        <f>BZ27-Table2[[#This Row],[8F3 ACPDB - 4 WH Dock air curtain]]</f>
        <v>0</v>
      </c>
      <c r="EF26">
        <f>CA27-Table2[[#This Row],[8F4 WH Light]]</f>
        <v>0</v>
      </c>
      <c r="EG26">
        <f>CC27-Table2[[#This Row],[9F1 - PDB 10 - WH Dock door &amp; Office]]</f>
        <v>0</v>
      </c>
      <c r="EH26">
        <f>CD27-Table2[[#This Row],[9F2 - PDB 11 - WH flycatchers]]</f>
        <v>0</v>
      </c>
      <c r="EI26">
        <f>CE27-Table2[[#This Row],[9F3 - PDB 12 - Other items]]</f>
        <v>0</v>
      </c>
      <c r="EJ26">
        <f>CR27-Table2[[#This Row],[2F3 - PDB 1 - Dock 1 to 4 ]]</f>
        <v>0</v>
      </c>
      <c r="EK26">
        <f>BM27-Table2[[#This Row],[2F2 - PDB 3 - WH Truck &amp; Battery Charging]]</f>
        <v>0</v>
      </c>
      <c r="EL26">
        <f>(CK27-Table2[[#This Row],[PDB - 11 Truck Charging]])*1000</f>
        <v>0</v>
      </c>
      <c r="EM26">
        <f>P27-Table2[[#This Row],[5F3 Admin Area]]</f>
        <v>0</v>
      </c>
      <c r="EN26">
        <f>AH27-Table2[[#This Row],[2F5 Main Gate-1 Piller -1]]</f>
        <v>0</v>
      </c>
      <c r="EO26">
        <f>CW27-Table2[[#This Row],[6F2 Ground Floor AC]]</f>
        <v>0</v>
      </c>
      <c r="EP26">
        <f>CX27-Table2[[#This Row],[6F3 ACBD -1 (First floor AC)]]</f>
        <v>0</v>
      </c>
      <c r="EQ26">
        <f>CY27-Table2[[#This Row],[6F4 ACBD - 2 (Second &amp; Third floor AC)]]</f>
        <v>0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0</v>
      </c>
      <c r="EU26">
        <f>(CL27-Table2[[#This Row],[OLD Ck Panel-1]])*1000</f>
        <v>0</v>
      </c>
      <c r="EV26">
        <f>CM27-Table2[[#This Row],[2F4 Old CK Blast (Blue star)]]</f>
        <v>0</v>
      </c>
      <c r="EW26">
        <f>CN27-Table2[[#This Row],[3F6 Old CK Blast (Carrier)]]</f>
        <v>0</v>
      </c>
      <c r="EX26">
        <f>(CO27-Table2[[#This Row],[Old CK Panel -2]])*1000</f>
        <v>0</v>
      </c>
      <c r="EY26">
        <f>N27-Table2[[#This Row],[4F1 Main UPS 1/C -1]]</f>
        <v>0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0</v>
      </c>
      <c r="FC26">
        <f>BW27-Table2[[#This Row],[7F3 CLC Power Panel]]</f>
        <v>0</v>
      </c>
      <c r="FD26">
        <f>(CI27-Table2[[#This Row],[PDB - 17 CLC Section ]])*1000</f>
        <v>0</v>
      </c>
      <c r="FE26">
        <f>(W27-Table2[[#This Row],[13F3 Water &amp; Lift Old CK]])*1000</f>
        <v>0</v>
      </c>
      <c r="FF26">
        <f>AA27-Table2[[#This Row],[15F2 New ETP Panel]]</f>
        <v>0</v>
      </c>
      <c r="FG26">
        <f>AL27-Table2[[#This Row],[3F4 Old ETP Panel]]</f>
        <v>0</v>
      </c>
      <c r="FH26">
        <f>AF27-Table2[[#This Row],[2F1 RO Plant]]</f>
        <v>0</v>
      </c>
      <c r="FI26">
        <f>AK27-Table2[[#This Row],[3F3 Fire Hydrant Panel]]</f>
        <v>0</v>
      </c>
      <c r="FJ26">
        <f>R27-Table2[[#This Row],[7F1 Freon System Panel]]</f>
        <v>0</v>
      </c>
      <c r="FK26">
        <f>(AE27-Table2[[#This Row],[21F1 Refrigeration Ammonia]])*1000</f>
        <v>0</v>
      </c>
      <c r="FL26">
        <f>(AG27-Table2[[#This Row],[2F3 Air Compressor]])*1000</f>
        <v>0</v>
      </c>
      <c r="FM26">
        <f>(AX27-Table2[[#This Row],[Solar Reading Panel II]])*1000</f>
        <v>0</v>
      </c>
      <c r="FN26">
        <f>AI27-Table2[[#This Row],[3F1 Maintenance Workshop]]</f>
        <v>0</v>
      </c>
      <c r="FO26">
        <f>BD27-Table2[[#This Row],[4F B2B unit ]]</f>
        <v>0</v>
      </c>
      <c r="FP26">
        <f>BL27-Table2[[#This Row],[2F1 - PDB 6 - Bread, B2B section]]</f>
        <v>0</v>
      </c>
      <c r="FQ26">
        <f>(CG27-Table2[[#This Row],[9F5 - PDB 14 - Bread Lift]])</f>
        <v>0</v>
      </c>
      <c r="FR26">
        <f>CJ27-Table2[[#This Row],[PDB - 16 Bread Section]]</f>
        <v>0</v>
      </c>
      <c r="FS26">
        <f>BU27-Table2[[#This Row],[7F1 Donut Production area]]</f>
        <v>0</v>
      </c>
      <c r="FT26">
        <f>CB27-Table2[[#This Row],[8F5 Donut Ban Bary]]</f>
        <v>0</v>
      </c>
      <c r="FU26">
        <f>CF27-Table2[[#This Row],[9F4 - PDB 13 - Donut Sink Geyser area]]</f>
        <v>0</v>
      </c>
      <c r="FV26">
        <f>BV27-Table2[[#This Row],[7F2 Flour Silo]]</f>
        <v>0</v>
      </c>
      <c r="FW26">
        <f>BY27-Table2[[#This Row],[8F2 ACPDB - 3 SILO Ventilation]]</f>
        <v>0</v>
      </c>
      <c r="FX26">
        <f>J27-Table2[[#This Row],[DG 1010KVA Running Hours]]</f>
        <v>0</v>
      </c>
      <c r="FY26">
        <f>K27-Table2[[#This Row],[DG 1010 KVA Meter Reading]]</f>
        <v>0</v>
      </c>
      <c r="FZ26">
        <f>L27-Table2[[#This Row],[GG 1010 KVA Running Hours]]</f>
        <v>0</v>
      </c>
      <c r="GA26">
        <f>M27-Table2[[#This Row],[GG 1010 KVA Meter Reading]]</f>
        <v>0</v>
      </c>
    </row>
    <row r="27" spans="1:183" x14ac:dyDescent="0.35">
      <c r="A27" s="1"/>
      <c r="B27" s="56"/>
      <c r="C27" s="56"/>
      <c r="D27" s="1"/>
      <c r="E27" s="1"/>
      <c r="F27" s="1"/>
      <c r="G27" s="3"/>
      <c r="H27" s="1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1"/>
      <c r="DH27" s="4">
        <f>Table2[[#This Row],[Date]]</f>
        <v>0</v>
      </c>
      <c r="DI27">
        <f>(DD28-Table2[[#This Row],[MWH Total]])*4000</f>
        <v>0</v>
      </c>
      <c r="DJ27">
        <f>(DA28-Table2[[#This Row],[PNG Meter (Outside)]])*2.936</f>
        <v>0</v>
      </c>
      <c r="DK27">
        <f>(DB28-Table2[[#This Row],[PNG Meter (Inside)]])*2.936</f>
        <v>0</v>
      </c>
      <c r="DL27">
        <f>(BH28-Table2[[#This Row],[3F Dough cooler - 2 ]])*1000</f>
        <v>0</v>
      </c>
      <c r="DM27">
        <f>(BI28-Table2[[#This Row],[3F Dough Cooler- 1]])*1000</f>
        <v>0</v>
      </c>
      <c r="DN27">
        <f>(BJ28-Table2[[#This Row],[4F Dough Production cooling Unit]])*1000</f>
        <v>0</v>
      </c>
      <c r="DO27">
        <f>(BQ28-Table2[[#This Row],[3F2 - PDB 3 - Dough Production Area]])*1000</f>
        <v>0</v>
      </c>
      <c r="DP27">
        <f>(BR28-Table2[[#This Row],[3F3 - PDB 4 - Dough Area]])*1000</f>
        <v>0</v>
      </c>
      <c r="DQ27">
        <f>AC28-Table2[[#This Row],[16F1 Tray washer Panel for Light]]</f>
        <v>0</v>
      </c>
      <c r="DR27">
        <f>CQ28-Table2[[#This Row],[2F1 Tray Washer - 1]]</f>
        <v>0</v>
      </c>
      <c r="DS27">
        <f>CS28-Table2[[#This Row],[2F5 Destacker]]</f>
        <v>0</v>
      </c>
      <c r="DT27">
        <f>CU28-Table2[[#This Row],[5F1 Metering (TW-2)]]</f>
        <v>0</v>
      </c>
      <c r="DU27">
        <f>CV28-Table2[[#This Row],[6F1 Pre soaker Tray washer]]</f>
        <v>0</v>
      </c>
      <c r="DV27">
        <f>CZ28-Table2[[#This Row],[6F5 Vent tray Storage]]</f>
        <v>0</v>
      </c>
      <c r="DW27">
        <f>I28-Table2[[#This Row],[Popeyes Meter ]]</f>
        <v>0</v>
      </c>
      <c r="DX27">
        <f>AZ28-Table2[[#This Row],[2F WH Chiller, Segregation Area]]</f>
        <v>0</v>
      </c>
      <c r="DY27">
        <f>BA28-Table2[[#This Row],[3F1 AC Unit WH dock cooling - 2 Nos]]</f>
        <v>0</v>
      </c>
      <c r="DZ27">
        <f>BB28-Table2[[#This Row],[3F2 AC Unit WH dock cooling - 3 Nos]]</f>
        <v>0</v>
      </c>
      <c r="EA27">
        <f>(BK28-Table2[[#This Row],[5F WH Perishable]])*1000</f>
        <v>0</v>
      </c>
      <c r="EB27">
        <f>BN28-Table2[[#This Row],[2F3 - PDB 9 - WH Dock Leveler Door ]]</f>
        <v>0</v>
      </c>
      <c r="EC27">
        <f>BP28-Table2[[#This Row],[3F1 - PDB 5 - WH HSD]]</f>
        <v>0</v>
      </c>
      <c r="ED27">
        <f>BX28-Table2[[#This Row],[8F1 WH Dock AHU - Ventilation]]</f>
        <v>0</v>
      </c>
      <c r="EE27">
        <f>BZ28-Table2[[#This Row],[8F3 ACPDB - 4 WH Dock air curtain]]</f>
        <v>0</v>
      </c>
      <c r="EF27">
        <f>CA28-Table2[[#This Row],[8F4 WH Light]]</f>
        <v>0</v>
      </c>
      <c r="EG27">
        <f>CC28-Table2[[#This Row],[9F1 - PDB 10 - WH Dock door &amp; Office]]</f>
        <v>0</v>
      </c>
      <c r="EH27">
        <f>CD28-Table2[[#This Row],[9F2 - PDB 11 - WH flycatchers]]</f>
        <v>0</v>
      </c>
      <c r="EI27">
        <f>CE28-Table2[[#This Row],[9F3 - PDB 12 - Other items]]</f>
        <v>0</v>
      </c>
      <c r="EJ27">
        <f>CR28-Table2[[#This Row],[2F3 - PDB 1 - Dock 1 to 4 ]]</f>
        <v>0</v>
      </c>
      <c r="EK27">
        <f>BM28-Table2[[#This Row],[2F2 - PDB 3 - WH Truck &amp; Battery Charging]]</f>
        <v>0</v>
      </c>
      <c r="EL27">
        <f>(CK28-Table2[[#This Row],[PDB - 11 Truck Charging]])*1000</f>
        <v>0</v>
      </c>
      <c r="EM27">
        <f>P28-Table2[[#This Row],[5F3 Admin Area]]</f>
        <v>0</v>
      </c>
      <c r="EN27">
        <f>AH28-Table2[[#This Row],[2F5 Main Gate-1 Piller -1]]</f>
        <v>0</v>
      </c>
      <c r="EO27">
        <f>CW28-Table2[[#This Row],[6F2 Ground Floor AC]]</f>
        <v>0</v>
      </c>
      <c r="EP27">
        <f>CX28-Table2[[#This Row],[6F3 ACBD -1 (First floor AC)]]</f>
        <v>0</v>
      </c>
      <c r="EQ27">
        <f>CY28-Table2[[#This Row],[6F4 ACBD - 2 (Second &amp; Third floor AC)]]</f>
        <v>0</v>
      </c>
      <c r="ER27">
        <f>(BC28-Table2[[#This Row],[4F Old BMC cooling Unit]])</f>
        <v>0</v>
      </c>
      <c r="ES27">
        <f>BO28-Table2[[#This Row],[2F4 - Old BMC]]</f>
        <v>0</v>
      </c>
      <c r="ET27">
        <f>Y28-Table2[[#This Row],[14F2 New CK]]</f>
        <v>0</v>
      </c>
      <c r="EU27">
        <f>(CL28-Table2[[#This Row],[OLD Ck Panel-1]])*1000</f>
        <v>0</v>
      </c>
      <c r="EV27">
        <f>CM28-Table2[[#This Row],[2F4 Old CK Blast (Blue star)]]</f>
        <v>0</v>
      </c>
      <c r="EW27">
        <f>CN28-Table2[[#This Row],[3F6 Old CK Blast (Carrier)]]</f>
        <v>0</v>
      </c>
      <c r="EX27">
        <f>(CO28-Table2[[#This Row],[Old CK Panel -2]])*1000</f>
        <v>0</v>
      </c>
      <c r="EY27">
        <f>N28-Table2[[#This Row],[4F1 Main UPS 1/C -1]]</f>
        <v>0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0</v>
      </c>
      <c r="FC27">
        <f>BW28-Table2[[#This Row],[7F3 CLC Power Panel]]</f>
        <v>0</v>
      </c>
      <c r="FD27">
        <f>(CI28-Table2[[#This Row],[PDB - 17 CLC Section ]])*1000</f>
        <v>0</v>
      </c>
      <c r="FE27">
        <f>(W28-Table2[[#This Row],[13F3 Water &amp; Lift Old CK]])*1000</f>
        <v>0</v>
      </c>
      <c r="FF27">
        <f>AA28-Table2[[#This Row],[15F2 New ETP Panel]]</f>
        <v>0</v>
      </c>
      <c r="FG27">
        <f>AL28-Table2[[#This Row],[3F4 Old ETP Panel]]</f>
        <v>0</v>
      </c>
      <c r="FH27">
        <f>AF28-Table2[[#This Row],[2F1 RO Plant]]</f>
        <v>0</v>
      </c>
      <c r="FI27">
        <f>AK28-Table2[[#This Row],[3F3 Fire Hydrant Panel]]</f>
        <v>0</v>
      </c>
      <c r="FJ27">
        <f>R28-Table2[[#This Row],[7F1 Freon System Panel]]</f>
        <v>0</v>
      </c>
      <c r="FK27">
        <f>(AE28-Table2[[#This Row],[21F1 Refrigeration Ammonia]])*1000</f>
        <v>0</v>
      </c>
      <c r="FL27">
        <f>(AG28-Table2[[#This Row],[2F3 Air Compressor]])*1000</f>
        <v>0</v>
      </c>
      <c r="FM27">
        <f>(AX28-Table2[[#This Row],[Solar Reading Panel II]])*1000</f>
        <v>0</v>
      </c>
      <c r="FN27">
        <f>AI28-Table2[[#This Row],[3F1 Maintenance Workshop]]</f>
        <v>0</v>
      </c>
      <c r="FO27">
        <f>BD28-Table2[[#This Row],[4F B2B unit ]]</f>
        <v>0</v>
      </c>
      <c r="FP27">
        <f>BL28-Table2[[#This Row],[2F1 - PDB 6 - Bread, B2B section]]</f>
        <v>0</v>
      </c>
      <c r="FQ27">
        <f>(CG28-Table2[[#This Row],[9F5 - PDB 14 - Bread Lift]])</f>
        <v>0</v>
      </c>
      <c r="FR27">
        <f>CJ28-Table2[[#This Row],[PDB - 16 Bread Section]]</f>
        <v>0</v>
      </c>
      <c r="FS27">
        <f>BU28-Table2[[#This Row],[7F1 Donut Production area]]</f>
        <v>0</v>
      </c>
      <c r="FT27">
        <f>CB28-Table2[[#This Row],[8F5 Donut Ban Bary]]</f>
        <v>0</v>
      </c>
      <c r="FU27">
        <f>CF28-Table2[[#This Row],[9F4 - PDB 13 - Donut Sink Geyser area]]</f>
        <v>0</v>
      </c>
      <c r="FV27">
        <f>BV28-Table2[[#This Row],[7F2 Flour Silo]]</f>
        <v>0</v>
      </c>
      <c r="FW27">
        <f>BY28-Table2[[#This Row],[8F2 ACPDB - 3 SILO Ventilation]]</f>
        <v>0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/>
      <c r="B28" s="56"/>
      <c r="C28" s="56"/>
      <c r="D28" s="1"/>
      <c r="E28" s="1"/>
      <c r="F28" s="1"/>
      <c r="G28" s="3"/>
      <c r="H28" s="1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1"/>
      <c r="DH28" s="4">
        <f>Table2[[#This Row],[Date]]</f>
        <v>0</v>
      </c>
      <c r="DI28">
        <f>(DD29-Table2[[#This Row],[MWH Total]])*4000</f>
        <v>0</v>
      </c>
      <c r="DJ28">
        <f>(DA29-Table2[[#This Row],[PNG Meter (Outside)]])*2.936</f>
        <v>0</v>
      </c>
      <c r="DK28">
        <f>(DB29-Table2[[#This Row],[PNG Meter (Inside)]])*2.936</f>
        <v>0</v>
      </c>
      <c r="DL28">
        <f>(BH29-Table2[[#This Row],[3F Dough cooler - 2 ]])*1000</f>
        <v>0</v>
      </c>
      <c r="DM28">
        <f>(BI29-Table2[[#This Row],[3F Dough Cooler- 1]])*1000</f>
        <v>0</v>
      </c>
      <c r="DN28">
        <f>(BJ29-Table2[[#This Row],[4F Dough Production cooling Unit]])*1000</f>
        <v>0</v>
      </c>
      <c r="DO28">
        <f>(BQ29-Table2[[#This Row],[3F2 - PDB 3 - Dough Production Area]])*1000</f>
        <v>0</v>
      </c>
      <c r="DP28">
        <f>(BR29-Table2[[#This Row],[3F3 - PDB 4 - Dough Area]])*1000</f>
        <v>0</v>
      </c>
      <c r="DQ28">
        <f>AC29-Table2[[#This Row],[16F1 Tray washer Panel for Light]]</f>
        <v>0</v>
      </c>
      <c r="DR28">
        <f>CQ29-Table2[[#This Row],[2F1 Tray Washer - 1]]</f>
        <v>0</v>
      </c>
      <c r="DS28">
        <f>CS29-Table2[[#This Row],[2F5 Destacker]]</f>
        <v>0</v>
      </c>
      <c r="DT28">
        <f>CU29-Table2[[#This Row],[5F1 Metering (TW-2)]]</f>
        <v>0</v>
      </c>
      <c r="DU28">
        <f>CV29-Table2[[#This Row],[6F1 Pre soaker Tray washer]]</f>
        <v>0</v>
      </c>
      <c r="DV28">
        <f>CZ29-Table2[[#This Row],[6F5 Vent tray Storage]]</f>
        <v>0</v>
      </c>
      <c r="DW28">
        <f>I29-Table2[[#This Row],[Popeyes Meter ]]</f>
        <v>0</v>
      </c>
      <c r="DX28">
        <f>AZ29-Table2[[#This Row],[2F WH Chiller, Segregation Area]]</f>
        <v>0</v>
      </c>
      <c r="DY28">
        <f>BA29-Table2[[#This Row],[3F1 AC Unit WH dock cooling - 2 Nos]]</f>
        <v>0</v>
      </c>
      <c r="DZ28">
        <f>BB29-Table2[[#This Row],[3F2 AC Unit WH dock cooling - 3 Nos]]</f>
        <v>0</v>
      </c>
      <c r="EA28">
        <f>(BK29-Table2[[#This Row],[5F WH Perishable]])*1000</f>
        <v>0</v>
      </c>
      <c r="EB28">
        <f>BN29-Table2[[#This Row],[2F3 - PDB 9 - WH Dock Leveler Door ]]</f>
        <v>0</v>
      </c>
      <c r="EC28">
        <f>BP29-Table2[[#This Row],[3F1 - PDB 5 - WH HSD]]</f>
        <v>0</v>
      </c>
      <c r="ED28">
        <f>BX29-Table2[[#This Row],[8F1 WH Dock AHU - Ventilation]]</f>
        <v>0</v>
      </c>
      <c r="EE28">
        <f>BZ29-Table2[[#This Row],[8F3 ACPDB - 4 WH Dock air curtain]]</f>
        <v>0</v>
      </c>
      <c r="EF28">
        <f>CA29-Table2[[#This Row],[8F4 WH Light]]</f>
        <v>0</v>
      </c>
      <c r="EG28">
        <f>CC29-Table2[[#This Row],[9F1 - PDB 10 - WH Dock door &amp; Office]]</f>
        <v>0</v>
      </c>
      <c r="EH28">
        <f>CD29-Table2[[#This Row],[9F2 - PDB 11 - WH flycatchers]]</f>
        <v>0</v>
      </c>
      <c r="EI28">
        <f>CE29-Table2[[#This Row],[9F3 - PDB 12 - Other items]]</f>
        <v>0</v>
      </c>
      <c r="EJ28">
        <f>CR29-Table2[[#This Row],[2F3 - PDB 1 - Dock 1 to 4 ]]</f>
        <v>0</v>
      </c>
      <c r="EK28">
        <f>BM29-Table2[[#This Row],[2F2 - PDB 3 - WH Truck &amp; Battery Charging]]</f>
        <v>0</v>
      </c>
      <c r="EL28">
        <f>(CK29-Table2[[#This Row],[PDB - 11 Truck Charging]])*1000</f>
        <v>0</v>
      </c>
      <c r="EM28">
        <f>P29-Table2[[#This Row],[5F3 Admin Area]]</f>
        <v>0</v>
      </c>
      <c r="EN28">
        <f>AH29-Table2[[#This Row],[2F5 Main Gate-1 Piller -1]]</f>
        <v>0</v>
      </c>
      <c r="EO28">
        <f>CW29-Table2[[#This Row],[6F2 Ground Floor AC]]</f>
        <v>0</v>
      </c>
      <c r="EP28">
        <f>CX29-Table2[[#This Row],[6F3 ACBD -1 (First floor AC)]]</f>
        <v>0</v>
      </c>
      <c r="EQ28">
        <f>CY29-Table2[[#This Row],[6F4 ACBD - 2 (Second &amp; Third floor AC)]]</f>
        <v>0</v>
      </c>
      <c r="ER28">
        <f>(BC29-Table2[[#This Row],[4F Old BMC cooling Unit]])</f>
        <v>0</v>
      </c>
      <c r="ES28">
        <f>BO29-Table2[[#This Row],[2F4 - Old BMC]]</f>
        <v>0</v>
      </c>
      <c r="ET28">
        <f>Y29-Table2[[#This Row],[14F2 New CK]]</f>
        <v>0</v>
      </c>
      <c r="EU28">
        <f>(CL29-Table2[[#This Row],[OLD Ck Panel-1]])*1000</f>
        <v>0</v>
      </c>
      <c r="EV28">
        <f>CM29-Table2[[#This Row],[2F4 Old CK Blast (Blue star)]]</f>
        <v>0</v>
      </c>
      <c r="EW28">
        <f>CN29-Table2[[#This Row],[3F6 Old CK Blast (Carrier)]]</f>
        <v>0</v>
      </c>
      <c r="EX28">
        <f>(CO29-Table2[[#This Row],[Old CK Panel -2]])*1000</f>
        <v>0</v>
      </c>
      <c r="EY28">
        <f>N29-Table2[[#This Row],[4F1 Main UPS 1/C -1]]</f>
        <v>0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0</v>
      </c>
      <c r="FC28">
        <f>BW29-Table2[[#This Row],[7F3 CLC Power Panel]]</f>
        <v>0</v>
      </c>
      <c r="FD28">
        <f>(CI29-Table2[[#This Row],[PDB - 17 CLC Section ]])*1000</f>
        <v>0</v>
      </c>
      <c r="FE28">
        <f>(W29-Table2[[#This Row],[13F3 Water &amp; Lift Old CK]])*1000</f>
        <v>0</v>
      </c>
      <c r="FF28">
        <f>AA29-Table2[[#This Row],[15F2 New ETP Panel]]</f>
        <v>0</v>
      </c>
      <c r="FG28">
        <f>AL29-Table2[[#This Row],[3F4 Old ETP Panel]]</f>
        <v>0</v>
      </c>
      <c r="FH28">
        <f>AF29-Table2[[#This Row],[2F1 RO Plant]]</f>
        <v>0</v>
      </c>
      <c r="FI28">
        <f>AK29-Table2[[#This Row],[3F3 Fire Hydrant Panel]]</f>
        <v>0</v>
      </c>
      <c r="FJ28">
        <f>R29-Table2[[#This Row],[7F1 Freon System Panel]]</f>
        <v>0</v>
      </c>
      <c r="FK28">
        <f>(AE29-Table2[[#This Row],[21F1 Refrigeration Ammonia]])*1000</f>
        <v>0</v>
      </c>
      <c r="FL28">
        <f>(AG29-Table2[[#This Row],[2F3 Air Compressor]])*1000</f>
        <v>0</v>
      </c>
      <c r="FM28">
        <f>(AX29-Table2[[#This Row],[Solar Reading Panel II]])*1000</f>
        <v>0</v>
      </c>
      <c r="FN28">
        <f>AI29-Table2[[#This Row],[3F1 Maintenance Workshop]]</f>
        <v>0</v>
      </c>
      <c r="FO28">
        <f>BD29-Table2[[#This Row],[4F B2B unit ]]</f>
        <v>0</v>
      </c>
      <c r="FP28">
        <f>BL29-Table2[[#This Row],[2F1 - PDB 6 - Bread, B2B section]]</f>
        <v>0</v>
      </c>
      <c r="FQ28">
        <f>(CG29-Table2[[#This Row],[9F5 - PDB 14 - Bread Lift]])</f>
        <v>0</v>
      </c>
      <c r="FR28">
        <f>CJ29-Table2[[#This Row],[PDB - 16 Bread Section]]</f>
        <v>0</v>
      </c>
      <c r="FS28">
        <f>BU29-Table2[[#This Row],[7F1 Donut Production area]]</f>
        <v>0</v>
      </c>
      <c r="FT28">
        <f>CB29-Table2[[#This Row],[8F5 Donut Ban Bary]]</f>
        <v>0</v>
      </c>
      <c r="FU28">
        <f>CF29-Table2[[#This Row],[9F4 - PDB 13 - Donut Sink Geyser area]]</f>
        <v>0</v>
      </c>
      <c r="FV28">
        <f>BV29-Table2[[#This Row],[7F2 Flour Silo]]</f>
        <v>0</v>
      </c>
      <c r="FW28">
        <f>BY29-Table2[[#This Row],[8F2 ACPDB - 3 SILO Ventilation]]</f>
        <v>0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B29" s="56"/>
      <c r="C29" s="56"/>
      <c r="G29" s="3"/>
      <c r="DH29" s="4" t="e">
        <f>Table2[[#This Row],[Date]]</f>
        <v>#VALUE!</v>
      </c>
      <c r="DI29" t="e">
        <f>(DD30-Table2[[#This Row],[MWH Total]])*4000</f>
        <v>#VALUE!</v>
      </c>
      <c r="DJ29" t="e">
        <f>(DA30-Table2[[#This Row],[PNG Meter (Outside)]])*2.936</f>
        <v>#VALUE!</v>
      </c>
      <c r="DK29" t="e">
        <f>(DB30-Table2[[#This Row],[PNG Meter (Inside)]])*2.936</f>
        <v>#VALUE!</v>
      </c>
      <c r="DL29" t="e">
        <f>(BH30-Table2[[#This Row],[3F Dough cooler - 2 ]])*1000</f>
        <v>#VALUE!</v>
      </c>
      <c r="DM29" t="e">
        <f>(BI30-Table2[[#This Row],[3F Dough Cooler- 1]])*1000</f>
        <v>#VALUE!</v>
      </c>
      <c r="DN29" t="e">
        <f>(BJ30-Table2[[#This Row],[4F Dough Production cooling Unit]])*1000</f>
        <v>#VALUE!</v>
      </c>
      <c r="DO29" t="e">
        <f>(BQ30-Table2[[#This Row],[3F2 - PDB 3 - Dough Production Area]])*1000</f>
        <v>#VALUE!</v>
      </c>
      <c r="DP29" t="e">
        <f>(BR30-Table2[[#This Row],[3F3 - PDB 4 - Dough Area]])*1000</f>
        <v>#VALUE!</v>
      </c>
      <c r="DQ29" t="e">
        <f>AC30-Table2[[#This Row],[16F1 Tray washer Panel for Light]]</f>
        <v>#VALUE!</v>
      </c>
      <c r="DR29" t="e">
        <f>CQ30-Table2[[#This Row],[2F1 Tray Washer - 1]]</f>
        <v>#VALUE!</v>
      </c>
      <c r="DS29" t="e">
        <f>CS30-Table2[[#This Row],[2F5 Destacker]]</f>
        <v>#VALUE!</v>
      </c>
      <c r="DT29" t="e">
        <f>CU30-Table2[[#This Row],[5F1 Metering (TW-2)]]</f>
        <v>#VALUE!</v>
      </c>
      <c r="DU29" t="e">
        <f>CV30-Table2[[#This Row],[6F1 Pre soaker Tray washer]]</f>
        <v>#VALUE!</v>
      </c>
      <c r="DV29" t="e">
        <f>CZ30-Table2[[#This Row],[6F5 Vent tray Storage]]</f>
        <v>#VALUE!</v>
      </c>
      <c r="DW29" t="e">
        <f>I30-Table2[[#This Row],[Popeyes Meter ]]</f>
        <v>#VALUE!</v>
      </c>
      <c r="DX29" t="e">
        <f>AZ30-Table2[[#This Row],[2F WH Chiller, Segregation Area]]</f>
        <v>#VALUE!</v>
      </c>
      <c r="DY29" t="e">
        <f>BA30-Table2[[#This Row],[3F1 AC Unit WH dock cooling - 2 Nos]]</f>
        <v>#VALUE!</v>
      </c>
      <c r="DZ29" t="e">
        <f>BB30-Table2[[#This Row],[3F2 AC Unit WH dock cooling - 3 Nos]]</f>
        <v>#VALUE!</v>
      </c>
      <c r="EA29" t="e">
        <f>(BK30-Table2[[#This Row],[5F WH Perishable]])*1000</f>
        <v>#VALUE!</v>
      </c>
      <c r="EB29" t="e">
        <f>BN30-Table2[[#This Row],[2F3 - PDB 9 - WH Dock Leveler Door ]]</f>
        <v>#VALUE!</v>
      </c>
      <c r="EC29" t="e">
        <f>BP30-Table2[[#This Row],[3F1 - PDB 5 - WH HSD]]</f>
        <v>#VALUE!</v>
      </c>
      <c r="ED29" t="e">
        <f>BX30-Table2[[#This Row],[8F1 WH Dock AHU - Ventilation]]</f>
        <v>#VALUE!</v>
      </c>
      <c r="EE29" t="e">
        <f>BZ30-Table2[[#This Row],[8F3 ACPDB - 4 WH Dock air curtain]]</f>
        <v>#VALUE!</v>
      </c>
      <c r="EF29" t="e">
        <f>CA30-Table2[[#This Row],[8F4 WH Light]]</f>
        <v>#VALUE!</v>
      </c>
      <c r="EG29" t="e">
        <f>CC30-Table2[[#This Row],[9F1 - PDB 10 - WH Dock door &amp; Office]]</f>
        <v>#VALUE!</v>
      </c>
      <c r="EH29" t="e">
        <f>CD30-Table2[[#This Row],[9F2 - PDB 11 - WH flycatchers]]</f>
        <v>#VALUE!</v>
      </c>
      <c r="EI29" t="e">
        <f>CE30-Table2[[#This Row],[9F3 - PDB 12 - Other items]]</f>
        <v>#VALUE!</v>
      </c>
      <c r="EJ29" t="e">
        <f>CR30-Table2[[#This Row],[2F3 - PDB 1 - Dock 1 to 4 ]]</f>
        <v>#VALUE!</v>
      </c>
      <c r="EK29" t="e">
        <f>BM30-Table2[[#This Row],[2F2 - PDB 3 - WH Truck &amp; Battery Charging]]</f>
        <v>#VALUE!</v>
      </c>
      <c r="EL29" t="e">
        <f>(CK30-Table2[[#This Row],[PDB - 11 Truck Charging]])*1000</f>
        <v>#VALUE!</v>
      </c>
      <c r="EM29" t="e">
        <f>P30-Table2[[#This Row],[5F3 Admin Area]]</f>
        <v>#VALUE!</v>
      </c>
      <c r="EN29" t="e">
        <f>AH30-Table2[[#This Row],[2F5 Main Gate-1 Piller -1]]</f>
        <v>#VALUE!</v>
      </c>
      <c r="EO29" t="e">
        <f>CW30-Table2[[#This Row],[6F2 Ground Floor AC]]</f>
        <v>#VALUE!</v>
      </c>
      <c r="EP29" t="e">
        <f>CX30-Table2[[#This Row],[6F3 ACBD -1 (First floor AC)]]</f>
        <v>#VALUE!</v>
      </c>
      <c r="EQ29" t="e">
        <f>CY30-Table2[[#This Row],[6F4 ACBD - 2 (Second &amp; Third floor AC)]]</f>
        <v>#VALUE!</v>
      </c>
      <c r="ER29" t="e">
        <f>(BC30-Table2[[#This Row],[4F Old BMC cooling Unit]])</f>
        <v>#VALUE!</v>
      </c>
      <c r="ES29" t="e">
        <f>BO30-Table2[[#This Row],[2F4 - Old BMC]]</f>
        <v>#VALUE!</v>
      </c>
      <c r="ET29" t="e">
        <f>Y30-Table2[[#This Row],[14F2 New CK]]</f>
        <v>#VALUE!</v>
      </c>
      <c r="EU29" t="e">
        <f>(CL30-Table2[[#This Row],[OLD Ck Panel-1]])*1000</f>
        <v>#VALUE!</v>
      </c>
      <c r="EV29" t="e">
        <f>CM30-Table2[[#This Row],[2F4 Old CK Blast (Blue star)]]</f>
        <v>#VALUE!</v>
      </c>
      <c r="EW29" t="e">
        <f>CN30-Table2[[#This Row],[3F6 Old CK Blast (Carrier)]]</f>
        <v>#VALUE!</v>
      </c>
      <c r="EX29" t="e">
        <f>(CO30-Table2[[#This Row],[Old CK Panel -2]])*1000</f>
        <v>#VALUE!</v>
      </c>
      <c r="EY29" t="e">
        <f>N30-Table2[[#This Row],[4F1 Main UPS 1/C -1]]</f>
        <v>#VALUE!</v>
      </c>
      <c r="EZ29" t="e">
        <f>Z30-Table2[[#This Row],[15F1 Main UPS Panel - I/C - 2]]</f>
        <v>#VALUE!</v>
      </c>
      <c r="FA29" t="e">
        <f>BF30-Table2[[#This Row],[2F CLC -1 AC unit - 2]]</f>
        <v>#VALUE!</v>
      </c>
      <c r="FB29" t="e">
        <f>(BG30-Table2[[#This Row],[2F CLC Anti room]])*1000</f>
        <v>#VALUE!</v>
      </c>
      <c r="FC29" t="e">
        <f>BW30-Table2[[#This Row],[7F3 CLC Power Panel]]</f>
        <v>#VALUE!</v>
      </c>
      <c r="FD29" t="e">
        <f>(CI30-Table2[[#This Row],[PDB - 17 CLC Section ]])*1000</f>
        <v>#VALUE!</v>
      </c>
      <c r="FE29" t="e">
        <f>(W30-Table2[[#This Row],[13F3 Water &amp; Lift Old CK]])*1000</f>
        <v>#VALUE!</v>
      </c>
      <c r="FF29" t="e">
        <f>AA30-Table2[[#This Row],[15F2 New ETP Panel]]</f>
        <v>#VALUE!</v>
      </c>
      <c r="FG29" t="e">
        <f>AL30-Table2[[#This Row],[3F4 Old ETP Panel]]</f>
        <v>#VALUE!</v>
      </c>
      <c r="FH29" t="e">
        <f>AF30-Table2[[#This Row],[2F1 RO Plant]]</f>
        <v>#VALUE!</v>
      </c>
      <c r="FI29" t="e">
        <f>AK30-Table2[[#This Row],[3F3 Fire Hydrant Panel]]</f>
        <v>#VALUE!</v>
      </c>
      <c r="FJ29" t="e">
        <f>R30-Table2[[#This Row],[7F1 Freon System Panel]]</f>
        <v>#VALUE!</v>
      </c>
      <c r="FK29" t="e">
        <f>(AE30-Table2[[#This Row],[21F1 Refrigeration Ammonia]])*1000</f>
        <v>#VALUE!</v>
      </c>
      <c r="FL29" t="e">
        <f>(AG30-Table2[[#This Row],[2F3 Air Compressor]])*1000</f>
        <v>#VALUE!</v>
      </c>
      <c r="FM29" t="e">
        <f>(AX30-Table2[[#This Row],[Solar Reading Panel II]])*1000</f>
        <v>#VALUE!</v>
      </c>
      <c r="FN29" t="e">
        <f>AI30-Table2[[#This Row],[3F1 Maintenance Workshop]]</f>
        <v>#VALUE!</v>
      </c>
      <c r="FO29" t="e">
        <f>BD30-Table2[[#This Row],[4F B2B unit ]]</f>
        <v>#VALUE!</v>
      </c>
      <c r="FP29" t="e">
        <f>BL30-Table2[[#This Row],[2F1 - PDB 6 - Bread, B2B section]]</f>
        <v>#VALUE!</v>
      </c>
      <c r="FQ29" t="e">
        <f>(CG30-Table2[[#This Row],[9F5 - PDB 14 - Bread Lift]])</f>
        <v>#VALUE!</v>
      </c>
      <c r="FR29" t="e">
        <f>CJ30-Table2[[#This Row],[PDB - 16 Bread Section]]</f>
        <v>#VALUE!</v>
      </c>
      <c r="FS29" t="e">
        <f>BU30-Table2[[#This Row],[7F1 Donut Production area]]</f>
        <v>#VALUE!</v>
      </c>
      <c r="FT29" t="e">
        <f>CB30-Table2[[#This Row],[8F5 Donut Ban Bary]]</f>
        <v>#VALUE!</v>
      </c>
      <c r="FU29" t="e">
        <f>CF30-Table2[[#This Row],[9F4 - PDB 13 - Donut Sink Geyser area]]</f>
        <v>#VALUE!</v>
      </c>
      <c r="FV29" t="e">
        <f>BV30-Table2[[#This Row],[7F2 Flour Silo]]</f>
        <v>#VALUE!</v>
      </c>
      <c r="FW29" t="e">
        <f>BY30-Table2[[#This Row],[8F2 ACPDB - 3 SILO Ventilation]]</f>
        <v>#VALUE!</v>
      </c>
      <c r="FX29" t="e">
        <f>J30-Table2[[#This Row],[DG 1010KVA Running Hours]]</f>
        <v>#VALUE!</v>
      </c>
      <c r="FY29" t="e">
        <f>K30-Table2[[#This Row],[DG 1010 KVA Meter Reading]]</f>
        <v>#VALUE!</v>
      </c>
      <c r="FZ29" t="e">
        <f>L30-Table2[[#This Row],[GG 1010 KVA Running Hours]]</f>
        <v>#VALUE!</v>
      </c>
      <c r="GA29" t="e">
        <f>M30-Table2[[#This Row],[GG 1010 KVA Meter Reading]]</f>
        <v>#VALUE!</v>
      </c>
    </row>
    <row r="30" spans="1:183" x14ac:dyDescent="0.35">
      <c r="B30" s="56"/>
      <c r="C30" s="56"/>
      <c r="G30" s="3"/>
      <c r="DH30" s="4" t="e">
        <f>Table2[[#This Row],[Date]]</f>
        <v>#VALUE!</v>
      </c>
      <c r="DI30" t="e">
        <f>(DD31-Table2[[#This Row],[MWH Total]])*4000</f>
        <v>#VALUE!</v>
      </c>
      <c r="DJ30" t="e">
        <f>(DA31-Table2[[#This Row],[PNG Meter (Outside)]])*2.936</f>
        <v>#VALUE!</v>
      </c>
      <c r="DK30" t="e">
        <f>(DB31-Table2[[#This Row],[PNG Meter (Inside)]])*2.936</f>
        <v>#VALUE!</v>
      </c>
      <c r="DL30" t="e">
        <f>(BH31-Table2[[#This Row],[3F Dough cooler - 2 ]])*1000</f>
        <v>#VALUE!</v>
      </c>
      <c r="DM30" t="e">
        <f>(BI31-Table2[[#This Row],[3F Dough Cooler- 1]])*1000</f>
        <v>#VALUE!</v>
      </c>
      <c r="DN30" t="e">
        <f>(BJ31-Table2[[#This Row],[4F Dough Production cooling Unit]])*1000</f>
        <v>#VALUE!</v>
      </c>
      <c r="DO30" t="e">
        <f>(BQ31-Table2[[#This Row],[3F2 - PDB 3 - Dough Production Area]])*1000</f>
        <v>#VALUE!</v>
      </c>
      <c r="DP30" t="e">
        <f>(BR31-Table2[[#This Row],[3F3 - PDB 4 - Dough Area]])*1000</f>
        <v>#VALUE!</v>
      </c>
      <c r="DQ30" t="e">
        <f>AC31-Table2[[#This Row],[16F1 Tray washer Panel for Light]]</f>
        <v>#VALUE!</v>
      </c>
      <c r="DR30" t="e">
        <f>CQ31-Table2[[#This Row],[2F1 Tray Washer - 1]]</f>
        <v>#VALUE!</v>
      </c>
      <c r="DS30" t="e">
        <f>CS31-Table2[[#This Row],[2F5 Destacker]]</f>
        <v>#VALUE!</v>
      </c>
      <c r="DT30" t="e">
        <f>CU31-Table2[[#This Row],[5F1 Metering (TW-2)]]</f>
        <v>#VALUE!</v>
      </c>
      <c r="DU30" t="e">
        <f>CV31-Table2[[#This Row],[6F1 Pre soaker Tray washer]]</f>
        <v>#VALUE!</v>
      </c>
      <c r="DV30" t="e">
        <f>CZ31-Table2[[#This Row],[6F5 Vent tray Storage]]</f>
        <v>#VALUE!</v>
      </c>
      <c r="DW30" t="e">
        <f>I31-Table2[[#This Row],[Popeyes Meter ]]</f>
        <v>#VALUE!</v>
      </c>
      <c r="DX30" t="e">
        <f>AZ31-Table2[[#This Row],[2F WH Chiller, Segregation Area]]</f>
        <v>#VALUE!</v>
      </c>
      <c r="DY30" t="e">
        <f>BA31-Table2[[#This Row],[3F1 AC Unit WH dock cooling - 2 Nos]]</f>
        <v>#VALUE!</v>
      </c>
      <c r="DZ30" t="e">
        <f>BB31-Table2[[#This Row],[3F2 AC Unit WH dock cooling - 3 Nos]]</f>
        <v>#VALUE!</v>
      </c>
      <c r="EA30" t="e">
        <f>(BK31-Table2[[#This Row],[5F WH Perishable]])*1000</f>
        <v>#VALUE!</v>
      </c>
      <c r="EB30" t="e">
        <f>BN31-Table2[[#This Row],[2F3 - PDB 9 - WH Dock Leveler Door ]]</f>
        <v>#VALUE!</v>
      </c>
      <c r="EC30" t="e">
        <f>BP31-Table2[[#This Row],[3F1 - PDB 5 - WH HSD]]</f>
        <v>#VALUE!</v>
      </c>
      <c r="ED30" t="e">
        <f>BX31-Table2[[#This Row],[8F1 WH Dock AHU - Ventilation]]</f>
        <v>#VALUE!</v>
      </c>
      <c r="EE30" t="e">
        <f>BZ31-Table2[[#This Row],[8F3 ACPDB - 4 WH Dock air curtain]]</f>
        <v>#VALUE!</v>
      </c>
      <c r="EF30" t="e">
        <f>CA31-Table2[[#This Row],[8F4 WH Light]]</f>
        <v>#VALUE!</v>
      </c>
      <c r="EG30" t="e">
        <f>CC31-Table2[[#This Row],[9F1 - PDB 10 - WH Dock door &amp; Office]]</f>
        <v>#VALUE!</v>
      </c>
      <c r="EH30" t="e">
        <f>CD31-Table2[[#This Row],[9F2 - PDB 11 - WH flycatchers]]</f>
        <v>#VALUE!</v>
      </c>
      <c r="EI30" t="e">
        <f>CE31-Table2[[#This Row],[9F3 - PDB 12 - Other items]]</f>
        <v>#VALUE!</v>
      </c>
      <c r="EJ30" t="e">
        <f>CR31-Table2[[#This Row],[2F3 - PDB 1 - Dock 1 to 4 ]]</f>
        <v>#VALUE!</v>
      </c>
      <c r="EK30" t="e">
        <f>BM31-Table2[[#This Row],[2F2 - PDB 3 - WH Truck &amp; Battery Charging]]</f>
        <v>#VALUE!</v>
      </c>
      <c r="EL30" t="e">
        <f>(CK31-Table2[[#This Row],[PDB - 11 Truck Charging]])*1000</f>
        <v>#VALUE!</v>
      </c>
      <c r="EM30" t="e">
        <f>P31-Table2[[#This Row],[5F3 Admin Area]]</f>
        <v>#VALUE!</v>
      </c>
      <c r="EN30" t="e">
        <f>AH31-Table2[[#This Row],[2F5 Main Gate-1 Piller -1]]</f>
        <v>#VALUE!</v>
      </c>
      <c r="EO30" t="e">
        <f>CW31-Table2[[#This Row],[6F2 Ground Floor AC]]</f>
        <v>#VALUE!</v>
      </c>
      <c r="EP30" t="e">
        <f>CX31-Table2[[#This Row],[6F3 ACBD -1 (First floor AC)]]</f>
        <v>#VALUE!</v>
      </c>
      <c r="EQ30" t="e">
        <f>CY31-Table2[[#This Row],[6F4 ACBD - 2 (Second &amp; Third floor AC)]]</f>
        <v>#VALUE!</v>
      </c>
      <c r="ER30" t="e">
        <f>(BC31-Table2[[#This Row],[4F Old BMC cooling Unit]])</f>
        <v>#VALUE!</v>
      </c>
      <c r="ES30" t="e">
        <f>BO31-Table2[[#This Row],[2F4 - Old BMC]]</f>
        <v>#VALUE!</v>
      </c>
      <c r="ET30" t="e">
        <f>Y31-Table2[[#This Row],[14F2 New CK]]</f>
        <v>#VALUE!</v>
      </c>
      <c r="EU30" t="e">
        <f>(CL31-Table2[[#This Row],[OLD Ck Panel-1]])*1000</f>
        <v>#VALUE!</v>
      </c>
      <c r="EV30" t="e">
        <f>CM31-Table2[[#This Row],[2F4 Old CK Blast (Blue star)]]</f>
        <v>#VALUE!</v>
      </c>
      <c r="EW30" t="e">
        <f>CN31-Table2[[#This Row],[3F6 Old CK Blast (Carrier)]]</f>
        <v>#VALUE!</v>
      </c>
      <c r="EX30" t="e">
        <f>(CO31-Table2[[#This Row],[Old CK Panel -2]])*1000</f>
        <v>#VALUE!</v>
      </c>
      <c r="EY30" t="e">
        <f>N31-Table2[[#This Row],[4F1 Main UPS 1/C -1]]</f>
        <v>#VALUE!</v>
      </c>
      <c r="EZ30" t="e">
        <f>Z31-Table2[[#This Row],[15F1 Main UPS Panel - I/C - 2]]</f>
        <v>#VALUE!</v>
      </c>
      <c r="FA30" t="e">
        <f>BF31-Table2[[#This Row],[2F CLC -1 AC unit - 2]]</f>
        <v>#VALUE!</v>
      </c>
      <c r="FB30" t="e">
        <f>(BG31-Table2[[#This Row],[2F CLC Anti room]])*1000</f>
        <v>#VALUE!</v>
      </c>
      <c r="FC30" t="e">
        <f>BW31-Table2[[#This Row],[7F3 CLC Power Panel]]</f>
        <v>#VALUE!</v>
      </c>
      <c r="FD30" t="e">
        <f>(CI31-Table2[[#This Row],[PDB - 17 CLC Section ]])*1000</f>
        <v>#VALUE!</v>
      </c>
      <c r="FE30" t="e">
        <f>(W31-Table2[[#This Row],[13F3 Water &amp; Lift Old CK]])*1000</f>
        <v>#VALUE!</v>
      </c>
      <c r="FF30" t="e">
        <f>AA31-Table2[[#This Row],[15F2 New ETP Panel]]</f>
        <v>#VALUE!</v>
      </c>
      <c r="FG30" t="e">
        <f>AL31-Table2[[#This Row],[3F4 Old ETP Panel]]</f>
        <v>#VALUE!</v>
      </c>
      <c r="FH30" t="e">
        <f>AF31-Table2[[#This Row],[2F1 RO Plant]]</f>
        <v>#VALUE!</v>
      </c>
      <c r="FI30" t="e">
        <f>AK31-Table2[[#This Row],[3F3 Fire Hydrant Panel]]</f>
        <v>#VALUE!</v>
      </c>
      <c r="FJ30" t="e">
        <f>R31-Table2[[#This Row],[7F1 Freon System Panel]]</f>
        <v>#VALUE!</v>
      </c>
      <c r="FK30" t="e">
        <f>(AE31-Table2[[#This Row],[21F1 Refrigeration Ammonia]])*1000</f>
        <v>#VALUE!</v>
      </c>
      <c r="FL30" t="e">
        <f>(AG31-Table2[[#This Row],[2F3 Air Compressor]])*1000</f>
        <v>#VALUE!</v>
      </c>
      <c r="FM30" t="e">
        <f>(AX31-Table2[[#This Row],[Solar Reading Panel II]])*1000</f>
        <v>#VALUE!</v>
      </c>
      <c r="FN30" t="e">
        <f>AI31-Table2[[#This Row],[3F1 Maintenance Workshop]]</f>
        <v>#VALUE!</v>
      </c>
      <c r="FO30" t="e">
        <f>BD31-Table2[[#This Row],[4F B2B unit ]]</f>
        <v>#VALUE!</v>
      </c>
      <c r="FP30" t="e">
        <f>BL31-Table2[[#This Row],[2F1 - PDB 6 - Bread, B2B section]]</f>
        <v>#VALUE!</v>
      </c>
      <c r="FQ30" t="e">
        <f>(CG31-Table2[[#This Row],[9F5 - PDB 14 - Bread Lift]])</f>
        <v>#VALUE!</v>
      </c>
      <c r="FR30" t="e">
        <f>CJ31-Table2[[#This Row],[PDB - 16 Bread Section]]</f>
        <v>#VALUE!</v>
      </c>
      <c r="FS30" t="e">
        <f>BU31-Table2[[#This Row],[7F1 Donut Production area]]</f>
        <v>#VALUE!</v>
      </c>
      <c r="FT30" t="e">
        <f>CB31-Table2[[#This Row],[8F5 Donut Ban Bary]]</f>
        <v>#VALUE!</v>
      </c>
      <c r="FU30" t="e">
        <f>CF31-Table2[[#This Row],[9F4 - PDB 13 - Donut Sink Geyser area]]</f>
        <v>#VALUE!</v>
      </c>
      <c r="FV30" t="e">
        <f>BV31-Table2[[#This Row],[7F2 Flour Silo]]</f>
        <v>#VALUE!</v>
      </c>
      <c r="FW30" t="e">
        <f>BY31-Table2[[#This Row],[8F2 ACPDB - 3 SILO Ventilation]]</f>
        <v>#VALUE!</v>
      </c>
      <c r="FX30" t="e">
        <f>J31-Table2[[#This Row],[DG 1010KVA Running Hours]]</f>
        <v>#VALUE!</v>
      </c>
      <c r="FY30" t="e">
        <f>K31-Table2[[#This Row],[DG 1010 KVA Meter Reading]]</f>
        <v>#VALUE!</v>
      </c>
      <c r="FZ30" t="e">
        <f>L31-Table2[[#This Row],[GG 1010 KVA Running Hours]]</f>
        <v>#VALUE!</v>
      </c>
      <c r="GA30" t="e">
        <f>M31-Table2[[#This Row],[GG 1010 KVA Meter Reading]]</f>
        <v>#VALUE!</v>
      </c>
    </row>
    <row r="31" spans="1:183" x14ac:dyDescent="0.35">
      <c r="B31" s="56"/>
      <c r="C31" s="56"/>
      <c r="G31" s="3"/>
      <c r="DH31" s="4" t="e">
        <f>Table2[[#This Row],[Date]]</f>
        <v>#VALUE!</v>
      </c>
      <c r="DI31" t="e">
        <f>(DD32-Table2[[#This Row],[MWH Total]])*4000</f>
        <v>#VALUE!</v>
      </c>
      <c r="DJ31" t="e">
        <f>(DA32-Table2[[#This Row],[PNG Meter (Outside)]])*2.936</f>
        <v>#VALUE!</v>
      </c>
      <c r="DK31" t="e">
        <f>(DB32-Table2[[#This Row],[PNG Meter (Inside)]])*2.936</f>
        <v>#VALUE!</v>
      </c>
      <c r="DL31" t="e">
        <f>(BH32-Table2[[#This Row],[3F Dough cooler - 2 ]])*1000</f>
        <v>#VALUE!</v>
      </c>
      <c r="DM31" t="e">
        <f>(BI32-Table2[[#This Row],[3F Dough Cooler- 1]])*1000</f>
        <v>#VALUE!</v>
      </c>
      <c r="DN31" t="e">
        <f>(BJ32-Table2[[#This Row],[4F Dough Production cooling Unit]])*1000</f>
        <v>#VALUE!</v>
      </c>
      <c r="DO31" t="e">
        <f>(BQ32-Table2[[#This Row],[3F2 - PDB 3 - Dough Production Area]])*1000</f>
        <v>#VALUE!</v>
      </c>
      <c r="DP31" t="e">
        <f>(BR32-Table2[[#This Row],[3F3 - PDB 4 - Dough Area]])*1000</f>
        <v>#VALUE!</v>
      </c>
      <c r="DQ31" t="e">
        <f>AC32-Table2[[#This Row],[16F1 Tray washer Panel for Light]]</f>
        <v>#VALUE!</v>
      </c>
      <c r="DR31" t="e">
        <f>CQ32-Table2[[#This Row],[2F1 Tray Washer - 1]]</f>
        <v>#VALUE!</v>
      </c>
      <c r="DS31" t="e">
        <f>CS32-Table2[[#This Row],[2F5 Destacker]]</f>
        <v>#VALUE!</v>
      </c>
      <c r="DT31" t="e">
        <f>CU32-Table2[[#This Row],[5F1 Metering (TW-2)]]</f>
        <v>#VALUE!</v>
      </c>
      <c r="DU31" t="e">
        <f>CV32-Table2[[#This Row],[6F1 Pre soaker Tray washer]]</f>
        <v>#VALUE!</v>
      </c>
      <c r="DV31" t="e">
        <f>CZ32-Table2[[#This Row],[6F5 Vent tray Storage]]</f>
        <v>#VALUE!</v>
      </c>
      <c r="DW31" t="e">
        <f>I32-Table2[[#This Row],[Popeyes Meter ]]</f>
        <v>#VALUE!</v>
      </c>
      <c r="DX31" t="e">
        <f>AZ32-Table2[[#This Row],[2F WH Chiller, Segregation Area]]</f>
        <v>#VALUE!</v>
      </c>
      <c r="DY31" t="e">
        <f>BA32-Table2[[#This Row],[3F1 AC Unit WH dock cooling - 2 Nos]]</f>
        <v>#VALUE!</v>
      </c>
      <c r="DZ31" t="e">
        <f>BB32-Table2[[#This Row],[3F2 AC Unit WH dock cooling - 3 Nos]]</f>
        <v>#VALUE!</v>
      </c>
      <c r="EA31" t="e">
        <f>(BK32-Table2[[#This Row],[5F WH Perishable]])*1000</f>
        <v>#VALUE!</v>
      </c>
      <c r="EB31" t="e">
        <f>BN32-Table2[[#This Row],[2F3 - PDB 9 - WH Dock Leveler Door ]]</f>
        <v>#VALUE!</v>
      </c>
      <c r="EC31" t="e">
        <f>BP32-Table2[[#This Row],[3F1 - PDB 5 - WH HSD]]</f>
        <v>#VALUE!</v>
      </c>
      <c r="ED31" t="e">
        <f>BX32-Table2[[#This Row],[8F1 WH Dock AHU - Ventilation]]</f>
        <v>#VALUE!</v>
      </c>
      <c r="EE31" t="e">
        <f>BZ32-Table2[[#This Row],[8F3 ACPDB - 4 WH Dock air curtain]]</f>
        <v>#VALUE!</v>
      </c>
      <c r="EF31" t="e">
        <f>CA32-Table2[[#This Row],[8F4 WH Light]]</f>
        <v>#VALUE!</v>
      </c>
      <c r="EG31" t="e">
        <f>CC32-Table2[[#This Row],[9F1 - PDB 10 - WH Dock door &amp; Office]]</f>
        <v>#VALUE!</v>
      </c>
      <c r="EH31" t="e">
        <f>CD32-Table2[[#This Row],[9F2 - PDB 11 - WH flycatchers]]</f>
        <v>#VALUE!</v>
      </c>
      <c r="EI31" t="e">
        <f>CE32-Table2[[#This Row],[9F3 - PDB 12 - Other items]]</f>
        <v>#VALUE!</v>
      </c>
      <c r="EJ31" t="e">
        <f>CR32-Table2[[#This Row],[2F3 - PDB 1 - Dock 1 to 4 ]]</f>
        <v>#VALUE!</v>
      </c>
      <c r="EK31" t="e">
        <f>BM32-Table2[[#This Row],[2F2 - PDB 3 - WH Truck &amp; Battery Charging]]</f>
        <v>#VALUE!</v>
      </c>
      <c r="EL31" t="e">
        <f>(CK32-Table2[[#This Row],[PDB - 11 Truck Charging]])*1000</f>
        <v>#VALUE!</v>
      </c>
      <c r="EM31" t="e">
        <f>P32-Table2[[#This Row],[5F3 Admin Area]]</f>
        <v>#VALUE!</v>
      </c>
      <c r="EN31" t="e">
        <f>AH32-Table2[[#This Row],[2F5 Main Gate-1 Piller -1]]</f>
        <v>#VALUE!</v>
      </c>
      <c r="EO31" t="e">
        <f>CW32-Table2[[#This Row],[6F2 Ground Floor AC]]</f>
        <v>#VALUE!</v>
      </c>
      <c r="EP31" t="e">
        <f>CX32-Table2[[#This Row],[6F3 ACBD -1 (First floor AC)]]</f>
        <v>#VALUE!</v>
      </c>
      <c r="EQ31" t="e">
        <f>CY32-Table2[[#This Row],[6F4 ACBD - 2 (Second &amp; Third floor AC)]]</f>
        <v>#VALUE!</v>
      </c>
      <c r="ER31" t="e">
        <f>(BC32-Table2[[#This Row],[4F Old BMC cooling Unit]])</f>
        <v>#VALUE!</v>
      </c>
      <c r="ES31" t="e">
        <f>BO32-Table2[[#This Row],[2F4 - Old BMC]]</f>
        <v>#VALUE!</v>
      </c>
      <c r="ET31" t="e">
        <f>Y32-Table2[[#This Row],[14F2 New CK]]</f>
        <v>#VALUE!</v>
      </c>
      <c r="EU31" t="e">
        <f>(CL32-Table2[[#This Row],[OLD Ck Panel-1]])*1000</f>
        <v>#VALUE!</v>
      </c>
      <c r="EV31" t="e">
        <f>CM32-Table2[[#This Row],[2F4 Old CK Blast (Blue star)]]</f>
        <v>#VALUE!</v>
      </c>
      <c r="EW31" t="e">
        <f>CN32-Table2[[#This Row],[3F6 Old CK Blast (Carrier)]]</f>
        <v>#VALUE!</v>
      </c>
      <c r="EX31" t="e">
        <f>(CO32-Table2[[#This Row],[Old CK Panel -2]])*1000</f>
        <v>#VALUE!</v>
      </c>
      <c r="EY31" t="e">
        <f>N32-Table2[[#This Row],[4F1 Main UPS 1/C -1]]</f>
        <v>#VALUE!</v>
      </c>
      <c r="EZ31" t="e">
        <f>Z32-Table2[[#This Row],[15F1 Main UPS Panel - I/C - 2]]</f>
        <v>#VALUE!</v>
      </c>
      <c r="FA31" t="e">
        <f>BF32-Table2[[#This Row],[2F CLC -1 AC unit - 2]]</f>
        <v>#VALUE!</v>
      </c>
      <c r="FB31" t="e">
        <f>(BG32-Table2[[#This Row],[2F CLC Anti room]])*1000</f>
        <v>#VALUE!</v>
      </c>
      <c r="FC31" t="e">
        <f>BW32-Table2[[#This Row],[7F3 CLC Power Panel]]</f>
        <v>#VALUE!</v>
      </c>
      <c r="FD31" t="e">
        <f>(CI32-Table2[[#This Row],[PDB - 17 CLC Section ]])*1000</f>
        <v>#VALUE!</v>
      </c>
      <c r="FE31" t="e">
        <f>(W32-Table2[[#This Row],[13F3 Water &amp; Lift Old CK]])*1000</f>
        <v>#VALUE!</v>
      </c>
      <c r="FF31" t="e">
        <f>AA32-Table2[[#This Row],[15F2 New ETP Panel]]</f>
        <v>#VALUE!</v>
      </c>
      <c r="FG31" t="e">
        <f>AL32-Table2[[#This Row],[3F4 Old ETP Panel]]</f>
        <v>#VALUE!</v>
      </c>
      <c r="FH31" t="e">
        <f>AF32-Table2[[#This Row],[2F1 RO Plant]]</f>
        <v>#VALUE!</v>
      </c>
      <c r="FI31" t="e">
        <f>AK32-Table2[[#This Row],[3F3 Fire Hydrant Panel]]</f>
        <v>#VALUE!</v>
      </c>
      <c r="FJ31" t="e">
        <f>R32-Table2[[#This Row],[7F1 Freon System Panel]]</f>
        <v>#VALUE!</v>
      </c>
      <c r="FK31" t="e">
        <f>(AE32-Table2[[#This Row],[21F1 Refrigeration Ammonia]])*1000</f>
        <v>#VALUE!</v>
      </c>
      <c r="FL31" t="e">
        <f>(AG32-Table2[[#This Row],[2F3 Air Compressor]])*1000</f>
        <v>#VALUE!</v>
      </c>
      <c r="FM31" t="e">
        <f>(AX32-Table2[[#This Row],[Solar Reading Panel II]])*1000</f>
        <v>#VALUE!</v>
      </c>
      <c r="FN31" t="e">
        <f>AI32-Table2[[#This Row],[3F1 Maintenance Workshop]]</f>
        <v>#VALUE!</v>
      </c>
      <c r="FO31" t="e">
        <f>BD32-Table2[[#This Row],[4F B2B unit ]]</f>
        <v>#VALUE!</v>
      </c>
      <c r="FP31" t="e">
        <f>BL32-Table2[[#This Row],[2F1 - PDB 6 - Bread, B2B section]]</f>
        <v>#VALUE!</v>
      </c>
      <c r="FQ31" t="e">
        <f>(CG32-Table2[[#This Row],[9F5 - PDB 14 - Bread Lift]])</f>
        <v>#VALUE!</v>
      </c>
      <c r="FR31" t="e">
        <f>CJ32-Table2[[#This Row],[PDB - 16 Bread Section]]</f>
        <v>#VALUE!</v>
      </c>
      <c r="FS31" t="e">
        <f>BU32-Table2[[#This Row],[7F1 Donut Production area]]</f>
        <v>#VALUE!</v>
      </c>
      <c r="FT31" t="e">
        <f>CB32-Table2[[#This Row],[8F5 Donut Ban Bary]]</f>
        <v>#VALUE!</v>
      </c>
      <c r="FU31" t="e">
        <f>CF32-Table2[[#This Row],[9F4 - PDB 13 - Donut Sink Geyser area]]</f>
        <v>#VALUE!</v>
      </c>
      <c r="FV31" t="e">
        <f>BV32-Table2[[#This Row],[7F2 Flour Silo]]</f>
        <v>#VALUE!</v>
      </c>
      <c r="FW31" t="e">
        <f>BY32-Table2[[#This Row],[8F2 ACPDB - 3 SILO Ventilation]]</f>
        <v>#VALUE!</v>
      </c>
      <c r="FX31" t="e">
        <f>J32-Table2[[#This Row],[DG 1010KVA Running Hours]]</f>
        <v>#VALUE!</v>
      </c>
      <c r="FY31" t="e">
        <f>K32-Table2[[#This Row],[DG 1010 KVA Meter Reading]]</f>
        <v>#VALUE!</v>
      </c>
      <c r="FZ31" t="e">
        <f>L32-Table2[[#This Row],[GG 1010 KVA Running Hours]]</f>
        <v>#VALUE!</v>
      </c>
      <c r="GA31" t="e">
        <f>M32-Table2[[#This Row],[GG 1010 KVA Meter Reading]]</f>
        <v>#VALUE!</v>
      </c>
    </row>
    <row r="32" spans="1:183" x14ac:dyDescent="0.35">
      <c r="B32" s="56"/>
      <c r="C32" s="56"/>
      <c r="G32" s="3"/>
      <c r="DH32" s="4" t="e">
        <f>Table2[[#This Row],[Date]]</f>
        <v>#VALUE!</v>
      </c>
      <c r="DI32" t="e">
        <f>(DD33-Table2[[#This Row],[MWH Total]])*4000</f>
        <v>#VALUE!</v>
      </c>
      <c r="DJ32" t="e">
        <f>(DA33-Table2[[#This Row],[PNG Meter (Outside)]])*2.936</f>
        <v>#VALUE!</v>
      </c>
      <c r="DK32" t="e">
        <f>(DB33-Table2[[#This Row],[PNG Meter (Inside)]])*2.936</f>
        <v>#VALUE!</v>
      </c>
      <c r="DL32" t="e">
        <f>(BH33-Table2[[#This Row],[3F Dough cooler - 2 ]])*1000</f>
        <v>#VALUE!</v>
      </c>
      <c r="DM32" t="e">
        <f>(BI33-Table2[[#This Row],[3F Dough Cooler- 1]])*1000</f>
        <v>#VALUE!</v>
      </c>
      <c r="DN32" t="e">
        <f>(BJ33-Table2[[#This Row],[4F Dough Production cooling Unit]])*1000</f>
        <v>#VALUE!</v>
      </c>
      <c r="DO32" t="e">
        <f>(BQ33-Table2[[#This Row],[3F2 - PDB 3 - Dough Production Area]])*1000</f>
        <v>#VALUE!</v>
      </c>
      <c r="DP32" t="e">
        <f>(BR33-Table2[[#This Row],[3F3 - PDB 4 - Dough Area]])*1000</f>
        <v>#VALUE!</v>
      </c>
      <c r="DQ32" t="e">
        <f>AC33-Table2[[#This Row],[16F1 Tray washer Panel for Light]]</f>
        <v>#VALUE!</v>
      </c>
      <c r="DR32" t="e">
        <f>CQ33-Table2[[#This Row],[2F1 Tray Washer - 1]]</f>
        <v>#VALUE!</v>
      </c>
      <c r="DS32" t="e">
        <f>CS33-Table2[[#This Row],[2F5 Destacker]]</f>
        <v>#VALUE!</v>
      </c>
      <c r="DT32" t="e">
        <f>CU33-Table2[[#This Row],[5F1 Metering (TW-2)]]</f>
        <v>#VALUE!</v>
      </c>
      <c r="DU32" t="e">
        <f>CV33-Table2[[#This Row],[6F1 Pre soaker Tray washer]]</f>
        <v>#VALUE!</v>
      </c>
      <c r="DV32" t="e">
        <f>CZ33-Table2[[#This Row],[6F5 Vent tray Storage]]</f>
        <v>#VALUE!</v>
      </c>
      <c r="DW32" t="e">
        <f>I33-Table2[[#This Row],[Popeyes Meter ]]</f>
        <v>#VALUE!</v>
      </c>
      <c r="DX32" t="e">
        <f>AZ33-Table2[[#This Row],[2F WH Chiller, Segregation Area]]</f>
        <v>#VALUE!</v>
      </c>
      <c r="DY32" t="e">
        <f>BA33-Table2[[#This Row],[3F1 AC Unit WH dock cooling - 2 Nos]]</f>
        <v>#VALUE!</v>
      </c>
      <c r="DZ32" t="e">
        <f>BB33-Table2[[#This Row],[3F2 AC Unit WH dock cooling - 3 Nos]]</f>
        <v>#VALUE!</v>
      </c>
      <c r="EA32" t="e">
        <f>(BK33-Table2[[#This Row],[5F WH Perishable]])*1000</f>
        <v>#VALUE!</v>
      </c>
      <c r="EB32" t="e">
        <f>BN33-Table2[[#This Row],[2F3 - PDB 9 - WH Dock Leveler Door ]]</f>
        <v>#VALUE!</v>
      </c>
      <c r="EC32" t="e">
        <f>BP33-Table2[[#This Row],[3F1 - PDB 5 - WH HSD]]</f>
        <v>#VALUE!</v>
      </c>
      <c r="ED32" t="e">
        <f>BX33-Table2[[#This Row],[8F1 WH Dock AHU - Ventilation]]</f>
        <v>#VALUE!</v>
      </c>
      <c r="EE32" t="e">
        <f>BZ33-Table2[[#This Row],[8F3 ACPDB - 4 WH Dock air curtain]]</f>
        <v>#VALUE!</v>
      </c>
      <c r="EF32" t="e">
        <f>CA33-Table2[[#This Row],[8F4 WH Light]]</f>
        <v>#VALUE!</v>
      </c>
      <c r="EG32" t="e">
        <f>CC33-Table2[[#This Row],[9F1 - PDB 10 - WH Dock door &amp; Office]]</f>
        <v>#VALUE!</v>
      </c>
      <c r="EH32" t="e">
        <f>CD33-Table2[[#This Row],[9F2 - PDB 11 - WH flycatchers]]</f>
        <v>#VALUE!</v>
      </c>
      <c r="EI32" t="e">
        <f>CE33-Table2[[#This Row],[9F3 - PDB 12 - Other items]]</f>
        <v>#VALUE!</v>
      </c>
      <c r="EJ32" t="e">
        <f>CR33-Table2[[#This Row],[2F3 - PDB 1 - Dock 1 to 4 ]]</f>
        <v>#VALUE!</v>
      </c>
      <c r="EK32" t="e">
        <f>BM33-Table2[[#This Row],[2F2 - PDB 3 - WH Truck &amp; Battery Charging]]</f>
        <v>#VALUE!</v>
      </c>
      <c r="EL32" t="e">
        <f>(CK33-Table2[[#This Row],[PDB - 11 Truck Charging]])*1000</f>
        <v>#VALUE!</v>
      </c>
      <c r="EM32" t="e">
        <f>P33-Table2[[#This Row],[5F3 Admin Area]]</f>
        <v>#VALUE!</v>
      </c>
      <c r="EN32" t="e">
        <f>AH33-Table2[[#This Row],[2F5 Main Gate-1 Piller -1]]</f>
        <v>#VALUE!</v>
      </c>
      <c r="EO32" t="e">
        <f>CW33-Table2[[#This Row],[6F2 Ground Floor AC]]</f>
        <v>#VALUE!</v>
      </c>
      <c r="EP32" t="e">
        <f>CX33-Table2[[#This Row],[6F3 ACBD -1 (First floor AC)]]</f>
        <v>#VALUE!</v>
      </c>
      <c r="EQ32" t="e">
        <f>CY33-Table2[[#This Row],[6F4 ACBD - 2 (Second &amp; Third floor AC)]]</f>
        <v>#VALUE!</v>
      </c>
      <c r="ER32" t="e">
        <f>(BC33-Table2[[#This Row],[4F Old BMC cooling Unit]])</f>
        <v>#VALUE!</v>
      </c>
      <c r="ES32" t="e">
        <f>BO33-Table2[[#This Row],[2F4 - Old BMC]]</f>
        <v>#VALUE!</v>
      </c>
      <c r="ET32" t="e">
        <f>Y33-Table2[[#This Row],[14F2 New CK]]</f>
        <v>#VALUE!</v>
      </c>
      <c r="EU32" t="e">
        <f>(CL33-Table2[[#This Row],[OLD Ck Panel-1]])*1000</f>
        <v>#VALUE!</v>
      </c>
      <c r="EV32" t="e">
        <f>CM33-Table2[[#This Row],[2F4 Old CK Blast (Blue star)]]</f>
        <v>#VALUE!</v>
      </c>
      <c r="EW32" t="e">
        <f>CN33-Table2[[#This Row],[3F6 Old CK Blast (Carrier)]]</f>
        <v>#VALUE!</v>
      </c>
      <c r="EX32" t="e">
        <f>(CO33-Table2[[#This Row],[Old CK Panel -2]])*1000</f>
        <v>#VALUE!</v>
      </c>
      <c r="EY32" t="e">
        <f>N33-Table2[[#This Row],[4F1 Main UPS 1/C -1]]</f>
        <v>#VALUE!</v>
      </c>
      <c r="EZ32" t="e">
        <f>Z33-Table2[[#This Row],[15F1 Main UPS Panel - I/C - 2]]</f>
        <v>#VALUE!</v>
      </c>
      <c r="FA32" t="e">
        <f>BF33-Table2[[#This Row],[2F CLC -1 AC unit - 2]]</f>
        <v>#VALUE!</v>
      </c>
      <c r="FB32" t="e">
        <f>(BG33-Table2[[#This Row],[2F CLC Anti room]])*1000</f>
        <v>#VALUE!</v>
      </c>
      <c r="FC32" t="e">
        <f>BW33-Table2[[#This Row],[7F3 CLC Power Panel]]</f>
        <v>#VALUE!</v>
      </c>
      <c r="FD32" t="e">
        <f>(CI33-Table2[[#This Row],[PDB - 17 CLC Section ]])*1000</f>
        <v>#VALUE!</v>
      </c>
      <c r="FE32" t="e">
        <f>(W33-Table2[[#This Row],[13F3 Water &amp; Lift Old CK]])*1000</f>
        <v>#VALUE!</v>
      </c>
      <c r="FF32" t="e">
        <f>AA33-Table2[[#This Row],[15F2 New ETP Panel]]</f>
        <v>#VALUE!</v>
      </c>
      <c r="FG32" t="e">
        <f>AL33-Table2[[#This Row],[3F4 Old ETP Panel]]</f>
        <v>#VALUE!</v>
      </c>
      <c r="FH32" t="e">
        <f>AF33-Table2[[#This Row],[2F1 RO Plant]]</f>
        <v>#VALUE!</v>
      </c>
      <c r="FI32" t="e">
        <f>AK33-Table2[[#This Row],[3F3 Fire Hydrant Panel]]</f>
        <v>#VALUE!</v>
      </c>
      <c r="FJ32" t="e">
        <f>R33-Table2[[#This Row],[7F1 Freon System Panel]]</f>
        <v>#VALUE!</v>
      </c>
      <c r="FK32" t="e">
        <f>(AE33-Table2[[#This Row],[21F1 Refrigeration Ammonia]])*1000</f>
        <v>#VALUE!</v>
      </c>
      <c r="FL32" t="e">
        <f>(AG33-Table2[[#This Row],[2F3 Air Compressor]])*1000</f>
        <v>#VALUE!</v>
      </c>
      <c r="FM32" t="e">
        <f>(AX33-Table2[[#This Row],[Solar Reading Panel II]])*1000</f>
        <v>#VALUE!</v>
      </c>
      <c r="FN32" t="e">
        <f>AI33-Table2[[#This Row],[3F1 Maintenance Workshop]]</f>
        <v>#VALUE!</v>
      </c>
      <c r="FO32" t="e">
        <f>BD33-Table2[[#This Row],[4F B2B unit ]]</f>
        <v>#VALUE!</v>
      </c>
      <c r="FP32" t="e">
        <f>BL33-Table2[[#This Row],[2F1 - PDB 6 - Bread, B2B section]]</f>
        <v>#VALUE!</v>
      </c>
      <c r="FQ32" t="e">
        <f>(CG33-Table2[[#This Row],[9F5 - PDB 14 - Bread Lift]])</f>
        <v>#VALUE!</v>
      </c>
      <c r="FR32" t="e">
        <f>CJ33-Table2[[#This Row],[PDB - 16 Bread Section]]</f>
        <v>#VALUE!</v>
      </c>
      <c r="FS32" t="e">
        <f>BU33-Table2[[#This Row],[7F1 Donut Production area]]</f>
        <v>#VALUE!</v>
      </c>
      <c r="FT32" t="e">
        <f>CB33-Table2[[#This Row],[8F5 Donut Ban Bary]]</f>
        <v>#VALUE!</v>
      </c>
      <c r="FU32" t="e">
        <f>CF33-Table2[[#This Row],[9F4 - PDB 13 - Donut Sink Geyser area]]</f>
        <v>#VALUE!</v>
      </c>
      <c r="FV32" t="e">
        <f>BV33-Table2[[#This Row],[7F2 Flour Silo]]</f>
        <v>#VALUE!</v>
      </c>
      <c r="FW32" t="e">
        <f>BY33-Table2[[#This Row],[8F2 ACPDB - 3 SILO Ventilation]]</f>
        <v>#VALUE!</v>
      </c>
      <c r="FX32" t="e">
        <f>J33-Table2[[#This Row],[DG 1010KVA Running Hours]]</f>
        <v>#VALUE!</v>
      </c>
      <c r="FY32" t="e">
        <f>K33-Table2[[#This Row],[DG 1010 KVA Meter Reading]]</f>
        <v>#VALUE!</v>
      </c>
      <c r="FZ32" t="e">
        <f>L33-Table2[[#This Row],[GG 1010 KVA Running Hours]]</f>
        <v>#VALUE!</v>
      </c>
      <c r="GA32" t="e">
        <f>M33-Table2[[#This Row],[GG 1010 KVA Meter Reading]]</f>
        <v>#VALUE!</v>
      </c>
    </row>
    <row r="33" spans="2:183" x14ac:dyDescent="0.35">
      <c r="B33" s="56"/>
      <c r="C33" s="56"/>
      <c r="DH33" s="4" t="e">
        <f>Table2[[#This Row],[Date]]</f>
        <v>#VALUE!</v>
      </c>
      <c r="DI33" t="e">
        <f>(DD34-Table2[[#This Row],[MWH Total]])*4000</f>
        <v>#VALUE!</v>
      </c>
      <c r="DJ33" t="e">
        <f>(DA34-Table2[[#This Row],[PNG Meter (Outside)]])*2.936</f>
        <v>#VALUE!</v>
      </c>
      <c r="DK33" t="e">
        <f>(DB34-Table2[[#This Row],[PNG Meter (Inside)]])*2.936</f>
        <v>#VALUE!</v>
      </c>
      <c r="DL33" t="e">
        <f>(BH34-Table2[[#This Row],[3F Dough cooler - 2 ]])*1000</f>
        <v>#VALUE!</v>
      </c>
      <c r="DM33" t="e">
        <f>(BI34-Table2[[#This Row],[3F Dough Cooler- 1]])*1000</f>
        <v>#VALUE!</v>
      </c>
      <c r="DN33" t="e">
        <f>(BJ34-Table2[[#This Row],[4F Dough Production cooling Unit]])*1000</f>
        <v>#VALUE!</v>
      </c>
      <c r="DO33" t="e">
        <f>(BQ34-Table2[[#This Row],[3F2 - PDB 3 - Dough Production Area]])*1000</f>
        <v>#VALUE!</v>
      </c>
      <c r="DP33" t="e">
        <f>(BR34-Table2[[#This Row],[3F3 - PDB 4 - Dough Area]])*1000</f>
        <v>#VALUE!</v>
      </c>
      <c r="DQ33" t="e">
        <f>AC34-Table2[[#This Row],[16F1 Tray washer Panel for Light]]</f>
        <v>#VALUE!</v>
      </c>
      <c r="DR33" t="e">
        <f>CQ34-Table2[[#This Row],[2F1 Tray Washer - 1]]</f>
        <v>#VALUE!</v>
      </c>
      <c r="DS33" t="e">
        <f>CS34-Table2[[#This Row],[2F5 Destacker]]</f>
        <v>#VALUE!</v>
      </c>
      <c r="DT33" t="e">
        <f>CU34-Table2[[#This Row],[5F1 Metering (TW-2)]]</f>
        <v>#VALUE!</v>
      </c>
      <c r="DU33" t="e">
        <f>CV34-Table2[[#This Row],[6F1 Pre soaker Tray washer]]</f>
        <v>#VALUE!</v>
      </c>
      <c r="DV33" t="e">
        <f>CZ34-Table2[[#This Row],[6F5 Vent tray Storage]]</f>
        <v>#VALUE!</v>
      </c>
      <c r="DW33" t="e">
        <f>I34-Table2[[#This Row],[Popeyes Meter ]]</f>
        <v>#VALUE!</v>
      </c>
      <c r="DX33" t="e">
        <f>AZ34-Table2[[#This Row],[2F WH Chiller, Segregation Area]]</f>
        <v>#VALUE!</v>
      </c>
      <c r="DY33" t="e">
        <f>BA34-Table2[[#This Row],[3F1 AC Unit WH dock cooling - 2 Nos]]</f>
        <v>#VALUE!</v>
      </c>
      <c r="DZ33" t="e">
        <f>BB34-Table2[[#This Row],[3F2 AC Unit WH dock cooling - 3 Nos]]</f>
        <v>#VALUE!</v>
      </c>
      <c r="EA33" t="e">
        <f>(BK34-Table2[[#This Row],[5F WH Perishable]])*1000</f>
        <v>#VALUE!</v>
      </c>
      <c r="EB33" t="e">
        <f>BN34-Table2[[#This Row],[2F3 - PDB 9 - WH Dock Leveler Door ]]</f>
        <v>#VALUE!</v>
      </c>
      <c r="EC33" t="e">
        <f>BP34-Table2[[#This Row],[3F1 - PDB 5 - WH HSD]]</f>
        <v>#VALUE!</v>
      </c>
      <c r="ED33" t="e">
        <f>BX34-Table2[[#This Row],[8F1 WH Dock AHU - Ventilation]]</f>
        <v>#VALUE!</v>
      </c>
      <c r="EE33" t="e">
        <f>BZ34-Table2[[#This Row],[8F3 ACPDB - 4 WH Dock air curtain]]</f>
        <v>#VALUE!</v>
      </c>
      <c r="EF33" t="e">
        <f>CA34-Table2[[#This Row],[8F4 WH Light]]</f>
        <v>#VALUE!</v>
      </c>
      <c r="EG33" t="e">
        <f>CC34-Table2[[#This Row],[9F1 - PDB 10 - WH Dock door &amp; Office]]</f>
        <v>#VALUE!</v>
      </c>
      <c r="EH33" t="e">
        <f>CD34-Table2[[#This Row],[9F2 - PDB 11 - WH flycatchers]]</f>
        <v>#VALUE!</v>
      </c>
      <c r="EI33" t="e">
        <f>CE34-Table2[[#This Row],[9F3 - PDB 12 - Other items]]</f>
        <v>#VALUE!</v>
      </c>
      <c r="EJ33" t="e">
        <f>CR34-Table2[[#This Row],[2F3 - PDB 1 - Dock 1 to 4 ]]</f>
        <v>#VALUE!</v>
      </c>
      <c r="EK33" t="e">
        <f>BM34-Table2[[#This Row],[2F2 - PDB 3 - WH Truck &amp; Battery Charging]]</f>
        <v>#VALUE!</v>
      </c>
      <c r="EL33" t="e">
        <f>(CK34-Table2[[#This Row],[PDB - 11 Truck Charging]])*1000</f>
        <v>#VALUE!</v>
      </c>
      <c r="EM33" t="e">
        <f>P34-Table2[[#This Row],[5F3 Admin Area]]</f>
        <v>#VALUE!</v>
      </c>
      <c r="EN33" t="e">
        <f>AH34-Table2[[#This Row],[2F5 Main Gate-1 Piller -1]]</f>
        <v>#VALUE!</v>
      </c>
      <c r="EO33" t="e">
        <f>CW34-Table2[[#This Row],[6F2 Ground Floor AC]]</f>
        <v>#VALUE!</v>
      </c>
      <c r="EP33" t="e">
        <f>CX34-Table2[[#This Row],[6F3 ACBD -1 (First floor AC)]]</f>
        <v>#VALUE!</v>
      </c>
      <c r="EQ33" t="e">
        <f>CY34-Table2[[#This Row],[6F4 ACBD - 2 (Second &amp; Third floor AC)]]</f>
        <v>#VALUE!</v>
      </c>
      <c r="ER33" t="e">
        <f>(BC34-Table2[[#This Row],[4F Old BMC cooling Unit]])</f>
        <v>#VALUE!</v>
      </c>
      <c r="ES33" t="e">
        <f>BO34-Table2[[#This Row],[2F4 - Old BMC]]</f>
        <v>#VALUE!</v>
      </c>
      <c r="ET33" t="e">
        <f>Y34-Table2[[#This Row],[14F2 New CK]]</f>
        <v>#VALUE!</v>
      </c>
      <c r="EU33" t="e">
        <f>(CL34-Table2[[#This Row],[OLD Ck Panel-1]])*1000</f>
        <v>#VALUE!</v>
      </c>
      <c r="EV33" t="e">
        <f>CM34-Table2[[#This Row],[2F4 Old CK Blast (Blue star)]]</f>
        <v>#VALUE!</v>
      </c>
      <c r="EW33" t="e">
        <f>CN34-Table2[[#This Row],[3F6 Old CK Blast (Carrier)]]</f>
        <v>#VALUE!</v>
      </c>
      <c r="EX33" t="e">
        <f>(CO34-Table2[[#This Row],[Old CK Panel -2]])*1000</f>
        <v>#VALUE!</v>
      </c>
      <c r="EY33" t="e">
        <f>N34-Table2[[#This Row],[4F1 Main UPS 1/C -1]]</f>
        <v>#VALUE!</v>
      </c>
      <c r="EZ33" t="e">
        <f>Z34-Table2[[#This Row],[15F1 Main UPS Panel - I/C - 2]]</f>
        <v>#VALUE!</v>
      </c>
      <c r="FA33" t="e">
        <f>BF34-Table2[[#This Row],[2F CLC -1 AC unit - 2]]</f>
        <v>#VALUE!</v>
      </c>
      <c r="FB33" t="e">
        <f>(BG34-Table2[[#This Row],[2F CLC Anti room]])*1000</f>
        <v>#VALUE!</v>
      </c>
      <c r="FC33" t="e">
        <f>BW34-Table2[[#This Row],[7F3 CLC Power Panel]]</f>
        <v>#VALUE!</v>
      </c>
      <c r="FD33" t="e">
        <f>(CI34-Table2[[#This Row],[PDB - 17 CLC Section ]])*1000</f>
        <v>#VALUE!</v>
      </c>
      <c r="FE33" t="e">
        <f>(W34-Table2[[#This Row],[13F3 Water &amp; Lift Old CK]])*1000</f>
        <v>#VALUE!</v>
      </c>
      <c r="FF33" t="e">
        <f>AA34-Table2[[#This Row],[15F2 New ETP Panel]]</f>
        <v>#VALUE!</v>
      </c>
      <c r="FG33" t="e">
        <f>AL34-Table2[[#This Row],[3F4 Old ETP Panel]]</f>
        <v>#VALUE!</v>
      </c>
      <c r="FH33" t="e">
        <f>AF34-Table2[[#This Row],[2F1 RO Plant]]</f>
        <v>#VALUE!</v>
      </c>
      <c r="FI33" t="e">
        <f>AK34-Table2[[#This Row],[3F3 Fire Hydrant Panel]]</f>
        <v>#VALUE!</v>
      </c>
      <c r="FJ33" t="e">
        <f>R34-Table2[[#This Row],[7F1 Freon System Panel]]</f>
        <v>#VALUE!</v>
      </c>
      <c r="FK33" t="e">
        <f>(AE34-Table2[[#This Row],[21F1 Refrigeration Ammonia]])*1000</f>
        <v>#VALUE!</v>
      </c>
      <c r="FL33" t="e">
        <f>(AG34-Table2[[#This Row],[2F3 Air Compressor]])*1000</f>
        <v>#VALUE!</v>
      </c>
      <c r="FM33" t="e">
        <f>(AX34-Table2[[#This Row],[Solar Reading Panel II]])*1000</f>
        <v>#VALUE!</v>
      </c>
      <c r="FN33" t="e">
        <f>AI34-Table2[[#This Row],[3F1 Maintenance Workshop]]</f>
        <v>#VALUE!</v>
      </c>
      <c r="FO33" t="e">
        <f>BD34-Table2[[#This Row],[4F B2B unit ]]</f>
        <v>#VALUE!</v>
      </c>
      <c r="FP33" t="e">
        <f>BL34-Table2[[#This Row],[2F1 - PDB 6 - Bread, B2B section]]</f>
        <v>#VALUE!</v>
      </c>
      <c r="FQ33" t="e">
        <f>(CG34-Table2[[#This Row],[9F5 - PDB 14 - Bread Lift]])</f>
        <v>#VALUE!</v>
      </c>
      <c r="FR33" t="e">
        <f>CJ34-Table2[[#This Row],[PDB - 16 Bread Section]]</f>
        <v>#VALUE!</v>
      </c>
      <c r="FS33" t="e">
        <f>BU34-Table2[[#This Row],[7F1 Donut Production area]]</f>
        <v>#VALUE!</v>
      </c>
      <c r="FT33" t="e">
        <f>CB34-Table2[[#This Row],[8F5 Donut Ban Bary]]</f>
        <v>#VALUE!</v>
      </c>
      <c r="FU33" t="e">
        <f>CF34-Table2[[#This Row],[9F4 - PDB 13 - Donut Sink Geyser area]]</f>
        <v>#VALUE!</v>
      </c>
      <c r="FV33" t="e">
        <f>BV34-Table2[[#This Row],[7F2 Flour Silo]]</f>
        <v>#VALUE!</v>
      </c>
      <c r="FW33" t="e">
        <f>BY34-Table2[[#This Row],[8F2 ACPDB - 3 SILO Ventilation]]</f>
        <v>#VALUE!</v>
      </c>
      <c r="FX33" t="e">
        <f>J34-Table2[[#This Row],[DG 1010KVA Running Hours]]</f>
        <v>#VALUE!</v>
      </c>
      <c r="FY33" t="e">
        <f>K34-Table2[[#This Row],[DG 1010 KVA Meter Reading]]</f>
        <v>#VALUE!</v>
      </c>
      <c r="FZ33" t="e">
        <f>L34-Table2[[#This Row],[GG 1010 KVA Running Hours]]</f>
        <v>#VALUE!</v>
      </c>
      <c r="GA33" t="e">
        <f>M34-Table2[[#This Row],[GG 1010 KVA Meter Reading]]</f>
        <v>#VALUE!</v>
      </c>
    </row>
    <row r="34" spans="2:183" x14ac:dyDescent="0.35">
      <c r="B34" s="56"/>
      <c r="C34" s="56"/>
      <c r="DI34" t="e">
        <f>(DD35-Table2[[#This Row],[MWH Total]])*4000</f>
        <v>#VALUE!</v>
      </c>
      <c r="DJ34" t="e">
        <f>(DA35-Table2[[#This Row],[PNG Meter (Outside)]])*2.936</f>
        <v>#VALUE!</v>
      </c>
      <c r="DK34" t="e">
        <f>(DB35-Table2[[#This Row],[PNG Meter (Inside)]])*2.936</f>
        <v>#VALUE!</v>
      </c>
      <c r="DL34" t="e">
        <f>(BH35-Table2[[#This Row],[3F Dough cooler - 2 ]])*1000</f>
        <v>#VALUE!</v>
      </c>
      <c r="DM34" t="e">
        <f>(BI35-Table2[[#This Row],[3F Dough Cooler- 1]])*1000</f>
        <v>#VALUE!</v>
      </c>
      <c r="DN34" t="e">
        <f>(BJ35-Table2[[#This Row],[4F Dough Production cooling Unit]])*1000</f>
        <v>#VALUE!</v>
      </c>
      <c r="DO34" t="e">
        <f>(BQ35-Table2[[#This Row],[3F2 - PDB 3 - Dough Production Area]])*1000</f>
        <v>#VALUE!</v>
      </c>
      <c r="DP34" t="e">
        <f>(BR35-Table2[[#This Row],[3F3 - PDB 4 - Dough Area]])*1000</f>
        <v>#VALUE!</v>
      </c>
      <c r="DQ34" t="e">
        <f>AC35-Table2[[#This Row],[16F1 Tray washer Panel for Light]]</f>
        <v>#VALUE!</v>
      </c>
      <c r="DR34" t="e">
        <f>CQ35-Table2[[#This Row],[2F1 Tray Washer - 1]]</f>
        <v>#VALUE!</v>
      </c>
      <c r="DS34" t="e">
        <f>CS35-Table2[[#This Row],[2F5 Destacker]]</f>
        <v>#VALUE!</v>
      </c>
      <c r="DT34" t="e">
        <f>CU35-Table2[[#This Row],[5F1 Metering (TW-2)]]</f>
        <v>#VALUE!</v>
      </c>
      <c r="DU34" t="e">
        <f>CV35-Table2[[#This Row],[6F1 Pre soaker Tray washer]]</f>
        <v>#VALUE!</v>
      </c>
      <c r="DV34" t="e">
        <f>CZ35-Table2[[#This Row],[6F5 Vent tray Storage]]</f>
        <v>#VALUE!</v>
      </c>
      <c r="DW34" t="e">
        <f>I35-Table2[[#This Row],[Popeyes Meter ]]</f>
        <v>#VALUE!</v>
      </c>
      <c r="DX34" t="e">
        <f>AZ35-Table2[[#This Row],[2F WH Chiller, Segregation Area]]</f>
        <v>#VALUE!</v>
      </c>
      <c r="DY34" t="e">
        <f>BA35-Table2[[#This Row],[3F1 AC Unit WH dock cooling - 2 Nos]]</f>
        <v>#VALUE!</v>
      </c>
      <c r="DZ34" t="e">
        <f>BB35-Table2[[#This Row],[3F2 AC Unit WH dock cooling - 3 Nos]]</f>
        <v>#VALUE!</v>
      </c>
      <c r="EA34" t="e">
        <f>(BK35-Table2[[#This Row],[5F WH Perishable]])*1000</f>
        <v>#VALUE!</v>
      </c>
      <c r="EB34" t="e">
        <f>BN35-Table2[[#This Row],[2F3 - PDB 9 - WH Dock Leveler Door ]]</f>
        <v>#VALUE!</v>
      </c>
      <c r="EC34" t="e">
        <f>BP35-Table2[[#This Row],[3F1 - PDB 5 - WH HSD]]</f>
        <v>#VALUE!</v>
      </c>
      <c r="ED34" t="e">
        <f>BX35-Table2[[#This Row],[8F1 WH Dock AHU - Ventilation]]</f>
        <v>#VALUE!</v>
      </c>
      <c r="EE34" t="e">
        <f>BZ35-Table2[[#This Row],[8F3 ACPDB - 4 WH Dock air curtain]]</f>
        <v>#VALUE!</v>
      </c>
      <c r="EF34" t="e">
        <f>CA35-Table2[[#This Row],[8F4 WH Light]]</f>
        <v>#VALUE!</v>
      </c>
      <c r="EG34" t="e">
        <f>CC35-Table2[[#This Row],[9F1 - PDB 10 - WH Dock door &amp; Office]]</f>
        <v>#VALUE!</v>
      </c>
      <c r="EH34" t="e">
        <f>CD35-Table2[[#This Row],[9F2 - PDB 11 - WH flycatchers]]</f>
        <v>#VALUE!</v>
      </c>
      <c r="EI34" t="e">
        <f>CE35-Table2[[#This Row],[9F3 - PDB 12 - Other items]]</f>
        <v>#VALUE!</v>
      </c>
      <c r="EJ34" t="e">
        <f>CR35-Table2[[#This Row],[2F3 - PDB 1 - Dock 1 to 4 ]]</f>
        <v>#VALUE!</v>
      </c>
      <c r="EK34" t="e">
        <f>BM35-Table2[[#This Row],[2F2 - PDB 3 - WH Truck &amp; Battery Charging]]</f>
        <v>#VALUE!</v>
      </c>
      <c r="EL34" t="e">
        <f>(CK35-Table2[[#This Row],[PDB - 11 Truck Charging]])*1000</f>
        <v>#VALUE!</v>
      </c>
      <c r="EM34" t="e">
        <f>P35-Table2[[#This Row],[5F3 Admin Area]]</f>
        <v>#VALUE!</v>
      </c>
      <c r="EN34" t="e">
        <f>AH35-Table2[[#This Row],[2F5 Main Gate-1 Piller -1]]</f>
        <v>#VALUE!</v>
      </c>
      <c r="EO34" t="e">
        <f>CW35-Table2[[#This Row],[6F2 Ground Floor AC]]</f>
        <v>#VALUE!</v>
      </c>
      <c r="EP34" t="e">
        <f>CX35-Table2[[#This Row],[6F3 ACBD -1 (First floor AC)]]</f>
        <v>#VALUE!</v>
      </c>
      <c r="EQ34" t="e">
        <f>CY35-Table2[[#This Row],[6F4 ACBD - 2 (Second &amp; Third floor AC)]]</f>
        <v>#VALUE!</v>
      </c>
      <c r="ER34" t="e">
        <f>(BC35-Table2[[#This Row],[4F Old BMC cooling Unit]])</f>
        <v>#VALUE!</v>
      </c>
      <c r="ES34" t="e">
        <f>BO35-Table2[[#This Row],[2F4 - Old BMC]]</f>
        <v>#VALUE!</v>
      </c>
      <c r="ET34" t="e">
        <f>Y35-Table2[[#This Row],[14F2 New CK]]</f>
        <v>#VALUE!</v>
      </c>
      <c r="EU34" t="e">
        <f>(CL35-Table2[[#This Row],[OLD Ck Panel-1]])*1000</f>
        <v>#VALUE!</v>
      </c>
      <c r="EV34" t="e">
        <f>CM35-Table2[[#This Row],[2F4 Old CK Blast (Blue star)]]</f>
        <v>#VALUE!</v>
      </c>
      <c r="EW34" t="e">
        <f>CN35-Table2[[#This Row],[3F6 Old CK Blast (Carrier)]]</f>
        <v>#VALUE!</v>
      </c>
      <c r="EX34" t="e">
        <f>(CO35-Table2[[#This Row],[Old CK Panel -2]])*1000</f>
        <v>#VALUE!</v>
      </c>
      <c r="EY34" t="e">
        <f>N35-Table2[[#This Row],[4F1 Main UPS 1/C -1]]</f>
        <v>#VALUE!</v>
      </c>
      <c r="EZ34" t="e">
        <f>Z35-Table2[[#This Row],[15F1 Main UPS Panel - I/C - 2]]</f>
        <v>#VALUE!</v>
      </c>
      <c r="FA34" t="e">
        <f>BF35-Table2[[#This Row],[2F CLC -1 AC unit - 2]]</f>
        <v>#VALUE!</v>
      </c>
      <c r="FB34" t="e">
        <f>(BG35-Table2[[#This Row],[2F CLC Anti room]])*1000</f>
        <v>#VALUE!</v>
      </c>
      <c r="FC34" t="e">
        <f>BW35-Table2[[#This Row],[7F3 CLC Power Panel]]</f>
        <v>#VALUE!</v>
      </c>
      <c r="FD34" t="e">
        <f>(CI35-Table2[[#This Row],[PDB - 17 CLC Section ]])*1000</f>
        <v>#VALUE!</v>
      </c>
      <c r="FE34" t="e">
        <f>(W35-Table2[[#This Row],[13F3 Water &amp; Lift Old CK]])*1000</f>
        <v>#VALUE!</v>
      </c>
      <c r="FF34" t="e">
        <f>AA35-Table2[[#This Row],[15F2 New ETP Panel]]</f>
        <v>#VALUE!</v>
      </c>
      <c r="FG34" t="e">
        <f>AL35-Table2[[#This Row],[3F4 Old ETP Panel]]</f>
        <v>#VALUE!</v>
      </c>
      <c r="FH34" t="e">
        <f>AF35-Table2[[#This Row],[2F1 RO Plant]]</f>
        <v>#VALUE!</v>
      </c>
      <c r="FI34" t="e">
        <f>AK35-Table2[[#This Row],[3F3 Fire Hydrant Panel]]</f>
        <v>#VALUE!</v>
      </c>
      <c r="FJ34" t="e">
        <f>R35-Table2[[#This Row],[7F1 Freon System Panel]]</f>
        <v>#VALUE!</v>
      </c>
      <c r="FK34" t="e">
        <f>(AE35-Table2[[#This Row],[21F1 Refrigeration Ammonia]])*1000</f>
        <v>#VALUE!</v>
      </c>
      <c r="FL34" t="e">
        <f>(AG35-Table2[[#This Row],[2F3 Air Compressor]])*1000</f>
        <v>#VALUE!</v>
      </c>
      <c r="FM34" t="e">
        <f>(AX35-Table2[[#This Row],[Solar Reading Panel II]])*1000</f>
        <v>#VALUE!</v>
      </c>
      <c r="FN34" t="e">
        <f>AI35-Table2[[#This Row],[3F1 Maintenance Workshop]]</f>
        <v>#VALUE!</v>
      </c>
      <c r="FO34" t="e">
        <f>BD35-Table2[[#This Row],[4F B2B unit ]]</f>
        <v>#VALUE!</v>
      </c>
      <c r="FP34" t="e">
        <f>BL35-Table2[[#This Row],[2F1 - PDB 6 - Bread, B2B section]]</f>
        <v>#VALUE!</v>
      </c>
      <c r="FQ34" t="e">
        <f>(CG35-Table2[[#This Row],[9F5 - PDB 14 - Bread Lift]])</f>
        <v>#VALUE!</v>
      </c>
      <c r="FR34" t="e">
        <f>CJ35-Table2[[#This Row],[PDB - 16 Bread Section]]</f>
        <v>#VALUE!</v>
      </c>
      <c r="FS34" t="e">
        <f>BU35-Table2[[#This Row],[7F1 Donut Production area]]</f>
        <v>#VALUE!</v>
      </c>
      <c r="FT34" t="e">
        <f>CB35-Table2[[#This Row],[8F5 Donut Ban Bary]]</f>
        <v>#VALUE!</v>
      </c>
      <c r="FU34" t="e">
        <f>CF35-Table2[[#This Row],[9F4 - PDB 13 - Donut Sink Geyser area]]</f>
        <v>#VALUE!</v>
      </c>
      <c r="FV34" t="e">
        <f>BV35-Table2[[#This Row],[7F2 Flour Silo]]</f>
        <v>#VALUE!</v>
      </c>
      <c r="FW34" t="e">
        <f>BY35-Table2[[#This Row],[8F2 ACPDB - 3 SILO Ventilation]]</f>
        <v>#VALUE!</v>
      </c>
      <c r="FX34" t="e">
        <f>J35-Table2[[#This Row],[DG 1010KVA Running Hours]]</f>
        <v>#VALUE!</v>
      </c>
      <c r="FY34" t="e">
        <f>K35-Table2[[#This Row],[DG 1010 KVA Meter Reading]]</f>
        <v>#VALUE!</v>
      </c>
      <c r="FZ34" t="e">
        <f>L35-Table2[[#This Row],[GG 1010 KVA Running Hours]]</f>
        <v>#VALUE!</v>
      </c>
      <c r="GA34" t="e">
        <f>M35-Table2[[#This Row],[GG 1010 KVA Meter Reading]]</f>
        <v>#VALUE!</v>
      </c>
    </row>
    <row r="35" spans="2:183" x14ac:dyDescent="0.35">
      <c r="B35" s="56"/>
      <c r="C35" s="56"/>
    </row>
    <row r="36" spans="2:183" x14ac:dyDescent="0.35">
      <c r="B36" s="56"/>
      <c r="C36" s="56"/>
      <c r="DJ36">
        <f>SUM(DJ3:DK24)</f>
        <v>-507009.86582399998</v>
      </c>
    </row>
    <row r="37" spans="2:183" x14ac:dyDescent="0.35">
      <c r="B37" s="56"/>
      <c r="C37" s="56"/>
      <c r="DJ37">
        <f>DJ36/26</f>
        <v>-19500.379454769231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7"/>
  <sheetViews>
    <sheetView zoomScale="76" workbookViewId="0">
      <pane ySplit="9" topLeftCell="A10" activePane="bottomLeft" state="frozen"/>
      <selection pane="bottomLeft" activeCell="K21" sqref="K21"/>
    </sheetView>
  </sheetViews>
  <sheetFormatPr defaultRowHeight="13" x14ac:dyDescent="0.35"/>
  <cols>
    <col min="1" max="1" width="18.54296875" style="20" customWidth="1"/>
    <col min="2" max="2" width="11.26953125" style="20" customWidth="1"/>
    <col min="3" max="10" width="10.6328125" style="20" customWidth="1"/>
    <col min="11" max="11" width="8.7265625" style="20"/>
    <col min="12" max="19" width="15.453125" style="21" customWidth="1"/>
    <col min="20" max="20" width="11.26953125" style="21" customWidth="1"/>
    <col min="21" max="23" width="11.453125" style="20" customWidth="1"/>
    <col min="24" max="24" width="12.6328125" style="20" customWidth="1"/>
    <col min="25" max="16384" width="8.7265625" style="20"/>
  </cols>
  <sheetData>
    <row r="1" spans="1:24" ht="14.25" customHeight="1" x14ac:dyDescent="0.3">
      <c r="A1" s="18" t="s">
        <v>144</v>
      </c>
      <c r="B1" s="18"/>
      <c r="C1" s="18"/>
      <c r="D1" s="19"/>
      <c r="E1" s="19"/>
      <c r="F1" s="19"/>
      <c r="G1" s="19"/>
      <c r="H1" s="19"/>
      <c r="I1" s="18" t="s">
        <v>145</v>
      </c>
      <c r="J1" s="18"/>
    </row>
    <row r="2" spans="1:24" ht="14.25" customHeight="1" x14ac:dyDescent="0.3">
      <c r="A2" s="18" t="s">
        <v>146</v>
      </c>
      <c r="B2" s="18"/>
      <c r="C2" s="18"/>
      <c r="D2" s="19"/>
      <c r="E2" s="19"/>
      <c r="F2" s="19"/>
      <c r="G2" s="19"/>
      <c r="H2" s="19"/>
      <c r="I2" s="19"/>
      <c r="J2" s="19"/>
    </row>
    <row r="3" spans="1:24" ht="14.25" customHeight="1" x14ac:dyDescent="0.3">
      <c r="A3" s="18" t="s">
        <v>147</v>
      </c>
      <c r="B3" s="18"/>
      <c r="C3" s="19"/>
      <c r="D3" s="19"/>
      <c r="E3" s="19"/>
      <c r="F3" s="19"/>
      <c r="G3" s="19"/>
      <c r="H3" s="19"/>
      <c r="I3" s="19"/>
      <c r="J3" s="19"/>
    </row>
    <row r="4" spans="1:24" ht="14.25" customHeight="1" x14ac:dyDescent="0.3">
      <c r="A4" s="18" t="s">
        <v>148</v>
      </c>
      <c r="B4" s="18"/>
      <c r="C4" s="18"/>
      <c r="D4" s="19"/>
      <c r="E4" s="19"/>
      <c r="F4" s="19"/>
      <c r="G4" s="19"/>
      <c r="H4" s="19"/>
      <c r="I4" s="19"/>
      <c r="J4" s="19"/>
    </row>
    <row r="5" spans="1:24" ht="14.25" customHeight="1" x14ac:dyDescent="0.3">
      <c r="A5" s="18" t="s">
        <v>149</v>
      </c>
      <c r="B5" s="18"/>
      <c r="C5" s="19"/>
      <c r="D5" s="19"/>
      <c r="E5" s="19"/>
      <c r="F5" s="19"/>
      <c r="G5" s="19"/>
      <c r="H5" s="19"/>
      <c r="I5" s="19"/>
      <c r="J5" s="19"/>
    </row>
    <row r="6" spans="1:24" ht="14.25" customHeight="1" x14ac:dyDescent="0.3">
      <c r="A6" s="18" t="s">
        <v>150</v>
      </c>
      <c r="B6" s="18"/>
      <c r="C6" s="18"/>
      <c r="D6" s="19"/>
      <c r="E6" s="19"/>
      <c r="F6" s="19"/>
      <c r="G6" s="19"/>
      <c r="H6" s="19"/>
      <c r="I6" s="19"/>
      <c r="J6" s="19"/>
    </row>
    <row r="7" spans="1:24" ht="14.25" customHeight="1" x14ac:dyDescent="0.3">
      <c r="A7" s="18" t="s">
        <v>151</v>
      </c>
      <c r="B7" s="18"/>
      <c r="C7" s="19"/>
      <c r="D7" s="19"/>
      <c r="E7" s="19"/>
      <c r="F7" s="19"/>
      <c r="G7" s="19"/>
      <c r="H7" s="19"/>
      <c r="I7" s="19"/>
      <c r="J7" s="19"/>
    </row>
    <row r="8" spans="1:24" ht="29" customHeight="1" x14ac:dyDescent="0.3">
      <c r="A8" s="22" t="s">
        <v>152</v>
      </c>
      <c r="B8" s="22"/>
      <c r="C8" s="23"/>
      <c r="D8" s="23"/>
      <c r="E8" s="23"/>
      <c r="F8" s="23"/>
      <c r="G8" s="23"/>
      <c r="H8" s="23"/>
      <c r="I8" s="23"/>
      <c r="J8" s="23"/>
      <c r="L8" s="42">
        <f t="shared" ref="L8:X8" si="0">SUBTOTAL(9,L10:L11116)</f>
        <v>-422940.5</v>
      </c>
      <c r="M8" s="42">
        <f t="shared" si="0"/>
        <v>-230723.3</v>
      </c>
      <c r="N8" s="42">
        <f t="shared" si="0"/>
        <v>-64819</v>
      </c>
      <c r="O8" s="42">
        <f t="shared" si="0"/>
        <v>-388120.5</v>
      </c>
      <c r="P8" s="42">
        <f t="shared" si="0"/>
        <v>-259768.6</v>
      </c>
      <c r="Q8" s="42">
        <f t="shared" si="0"/>
        <v>-543544.80000000005</v>
      </c>
      <c r="R8" s="42">
        <f t="shared" si="0"/>
        <v>-323519.2</v>
      </c>
      <c r="S8" s="42">
        <f t="shared" si="0"/>
        <v>-773868.4</v>
      </c>
      <c r="T8" s="42">
        <f t="shared" si="0"/>
        <v>-1521670</v>
      </c>
      <c r="U8" s="42">
        <f t="shared" si="0"/>
        <v>-966485.3</v>
      </c>
      <c r="V8" s="42">
        <f t="shared" si="0"/>
        <v>-554242.5</v>
      </c>
      <c r="W8" s="42">
        <f t="shared" si="0"/>
        <v>-838687.4</v>
      </c>
      <c r="X8" s="42">
        <f t="shared" si="0"/>
        <v>-2169559.1</v>
      </c>
    </row>
    <row r="9" spans="1:24" ht="52" x14ac:dyDescent="0.35">
      <c r="A9" s="24" t="s">
        <v>153</v>
      </c>
      <c r="B9" s="25" t="s">
        <v>154</v>
      </c>
      <c r="C9" s="24" t="s">
        <v>155</v>
      </c>
      <c r="D9" s="24" t="s">
        <v>156</v>
      </c>
      <c r="E9" s="24" t="s">
        <v>157</v>
      </c>
      <c r="F9" s="24" t="s">
        <v>158</v>
      </c>
      <c r="G9" s="24" t="s">
        <v>159</v>
      </c>
      <c r="H9" s="26" t="s">
        <v>160</v>
      </c>
      <c r="I9" s="27" t="s">
        <v>161</v>
      </c>
      <c r="J9" s="24" t="s">
        <v>162</v>
      </c>
      <c r="L9" s="43" t="s">
        <v>165</v>
      </c>
      <c r="M9" s="43" t="s">
        <v>166</v>
      </c>
      <c r="N9" s="43" t="s">
        <v>167</v>
      </c>
      <c r="O9" s="43" t="s">
        <v>168</v>
      </c>
      <c r="P9" s="43" t="s">
        <v>169</v>
      </c>
      <c r="Q9" s="43" t="s">
        <v>170</v>
      </c>
      <c r="R9" s="43" t="s">
        <v>171</v>
      </c>
      <c r="S9" s="43" t="s">
        <v>172</v>
      </c>
      <c r="T9" s="43" t="s">
        <v>173</v>
      </c>
      <c r="U9" s="44" t="s">
        <v>163</v>
      </c>
      <c r="V9" s="44" t="s">
        <v>126</v>
      </c>
      <c r="W9" s="44" t="s">
        <v>128</v>
      </c>
      <c r="X9" s="44" t="s">
        <v>164</v>
      </c>
    </row>
    <row r="10" spans="1:24" ht="20" customHeight="1" x14ac:dyDescent="0.35">
      <c r="A10" s="28" t="s">
        <v>219</v>
      </c>
      <c r="B10" s="29">
        <v>422940.5</v>
      </c>
      <c r="C10" s="28">
        <v>230723.3</v>
      </c>
      <c r="D10" s="30">
        <v>64819</v>
      </c>
      <c r="E10" s="30">
        <v>388120.5</v>
      </c>
      <c r="F10" s="30">
        <v>259768.6</v>
      </c>
      <c r="G10" s="30">
        <v>543544.80000000005</v>
      </c>
      <c r="H10" s="28">
        <v>323519.2</v>
      </c>
      <c r="I10" s="30">
        <v>773868.4</v>
      </c>
      <c r="J10" s="33">
        <v>1521670</v>
      </c>
      <c r="L10" s="45">
        <f t="shared" ref="L10:T37" si="1">IFERROR(B11-B10,0)</f>
        <v>0</v>
      </c>
      <c r="M10" s="45">
        <f t="shared" si="1"/>
        <v>547.80000000001746</v>
      </c>
      <c r="N10" s="45">
        <f t="shared" si="1"/>
        <v>389.30000000000291</v>
      </c>
      <c r="O10" s="45">
        <f t="shared" si="1"/>
        <v>369.79999999998836</v>
      </c>
      <c r="P10" s="45">
        <f t="shared" si="1"/>
        <v>216.79999999998836</v>
      </c>
      <c r="Q10" s="45">
        <f t="shared" si="1"/>
        <v>2.7999999999301508</v>
      </c>
      <c r="R10" s="45">
        <f t="shared" si="1"/>
        <v>676.39999999996508</v>
      </c>
      <c r="S10" s="45">
        <f t="shared" si="1"/>
        <v>1278.2999999999302</v>
      </c>
      <c r="T10" s="45">
        <f t="shared" si="1"/>
        <v>1432</v>
      </c>
      <c r="U10" s="46">
        <f t="shared" ref="U10:W72" si="2">L10+Q10</f>
        <v>2.7999999999301508</v>
      </c>
      <c r="V10" s="46">
        <f t="shared" si="2"/>
        <v>1224.1999999999825</v>
      </c>
      <c r="W10" s="46">
        <f t="shared" si="2"/>
        <v>1667.5999999999331</v>
      </c>
      <c r="X10" s="46">
        <f t="shared" ref="X10:X37" si="3">O10+P10+T10</f>
        <v>2018.5999999999767</v>
      </c>
    </row>
    <row r="11" spans="1:24" ht="20" customHeight="1" x14ac:dyDescent="0.35">
      <c r="A11" s="28" t="s">
        <v>220</v>
      </c>
      <c r="B11" s="29">
        <v>422940.5</v>
      </c>
      <c r="C11" s="28">
        <v>231271.1</v>
      </c>
      <c r="D11" s="30">
        <v>65208.3</v>
      </c>
      <c r="E11" s="30">
        <v>388490.3</v>
      </c>
      <c r="F11" s="30">
        <v>259985.4</v>
      </c>
      <c r="G11" s="30">
        <v>543547.6</v>
      </c>
      <c r="H11" s="28">
        <v>324195.59999999998</v>
      </c>
      <c r="I11" s="30">
        <v>775146.7</v>
      </c>
      <c r="J11" s="33">
        <v>1523102</v>
      </c>
      <c r="L11" s="45">
        <f t="shared" si="1"/>
        <v>0</v>
      </c>
      <c r="M11" s="45">
        <f t="shared" si="1"/>
        <v>519.39999999999418</v>
      </c>
      <c r="N11" s="45">
        <f t="shared" si="1"/>
        <v>382.19999999999709</v>
      </c>
      <c r="O11" s="45">
        <f t="shared" si="1"/>
        <v>372</v>
      </c>
      <c r="P11" s="45">
        <f t="shared" si="1"/>
        <v>217</v>
      </c>
      <c r="Q11" s="45">
        <f t="shared" si="1"/>
        <v>2.5999999999767169</v>
      </c>
      <c r="R11" s="45">
        <f t="shared" si="1"/>
        <v>1019.3000000000466</v>
      </c>
      <c r="S11" s="45">
        <f t="shared" si="1"/>
        <v>1240.1000000000931</v>
      </c>
      <c r="T11" s="45">
        <f t="shared" si="1"/>
        <v>1472</v>
      </c>
      <c r="U11" s="46">
        <f t="shared" si="2"/>
        <v>2.5999999999767169</v>
      </c>
      <c r="V11" s="46">
        <f t="shared" si="2"/>
        <v>1538.7000000000407</v>
      </c>
      <c r="W11" s="46">
        <f t="shared" si="2"/>
        <v>1622.3000000000902</v>
      </c>
      <c r="X11" s="46">
        <f t="shared" si="3"/>
        <v>2061</v>
      </c>
    </row>
    <row r="12" spans="1:24" ht="20" customHeight="1" x14ac:dyDescent="0.35">
      <c r="A12" s="28" t="s">
        <v>221</v>
      </c>
      <c r="B12" s="29">
        <v>422940.5</v>
      </c>
      <c r="C12" s="28">
        <v>231790.5</v>
      </c>
      <c r="D12" s="30">
        <v>65590.5</v>
      </c>
      <c r="E12" s="30">
        <v>388862.3</v>
      </c>
      <c r="F12" s="30">
        <v>260202.4</v>
      </c>
      <c r="G12" s="30">
        <v>543550.19999999995</v>
      </c>
      <c r="H12" s="28">
        <v>325214.90000000002</v>
      </c>
      <c r="I12" s="30">
        <v>776386.8</v>
      </c>
      <c r="J12" s="33">
        <v>1524574</v>
      </c>
      <c r="L12" s="45">
        <f t="shared" si="1"/>
        <v>0</v>
      </c>
      <c r="M12" s="45">
        <f t="shared" si="1"/>
        <v>487.79999999998836</v>
      </c>
      <c r="N12" s="45">
        <f t="shared" si="1"/>
        <v>382.5</v>
      </c>
      <c r="O12" s="45">
        <f t="shared" si="1"/>
        <v>374.70000000001164</v>
      </c>
      <c r="P12" s="45">
        <f t="shared" si="1"/>
        <v>215.60000000000582</v>
      </c>
      <c r="Q12" s="45">
        <f t="shared" si="1"/>
        <v>0</v>
      </c>
      <c r="R12" s="45">
        <f t="shared" si="1"/>
        <v>908.19999999995343</v>
      </c>
      <c r="S12" s="45">
        <f t="shared" si="1"/>
        <v>1273.2999999999302</v>
      </c>
      <c r="T12" s="45">
        <f t="shared" si="1"/>
        <v>1457</v>
      </c>
      <c r="U12" s="46">
        <f t="shared" si="2"/>
        <v>0</v>
      </c>
      <c r="V12" s="46">
        <f t="shared" si="2"/>
        <v>1395.9999999999418</v>
      </c>
      <c r="W12" s="46">
        <f t="shared" si="2"/>
        <v>1655.7999999999302</v>
      </c>
      <c r="X12" s="46">
        <f t="shared" si="3"/>
        <v>2047.3000000000175</v>
      </c>
    </row>
    <row r="13" spans="1:24" ht="20" customHeight="1" x14ac:dyDescent="0.35">
      <c r="A13" s="28" t="s">
        <v>222</v>
      </c>
      <c r="B13" s="29">
        <v>422940.5</v>
      </c>
      <c r="C13" s="28">
        <v>232278.3</v>
      </c>
      <c r="D13" s="30">
        <v>65973</v>
      </c>
      <c r="E13" s="30">
        <v>389237</v>
      </c>
      <c r="F13" s="30">
        <v>260418</v>
      </c>
      <c r="G13" s="30">
        <v>543550.19999999995</v>
      </c>
      <c r="H13" s="28">
        <v>326123.09999999998</v>
      </c>
      <c r="I13" s="30">
        <v>777660.1</v>
      </c>
      <c r="J13" s="33">
        <v>1526031</v>
      </c>
      <c r="L13" s="45">
        <f t="shared" si="1"/>
        <v>0</v>
      </c>
      <c r="M13" s="45">
        <f t="shared" si="1"/>
        <v>468.5</v>
      </c>
      <c r="N13" s="45">
        <f t="shared" si="1"/>
        <v>385.60000000000582</v>
      </c>
      <c r="O13" s="45">
        <f t="shared" si="1"/>
        <v>377.20000000001164</v>
      </c>
      <c r="P13" s="45">
        <f t="shared" si="1"/>
        <v>217.5</v>
      </c>
      <c r="Q13" s="45">
        <f t="shared" si="1"/>
        <v>0</v>
      </c>
      <c r="R13" s="45">
        <f t="shared" si="1"/>
        <v>642</v>
      </c>
      <c r="S13" s="45">
        <f t="shared" si="1"/>
        <v>1292.7000000000698</v>
      </c>
      <c r="T13" s="45">
        <f t="shared" si="1"/>
        <v>1479</v>
      </c>
      <c r="U13" s="46">
        <f t="shared" si="2"/>
        <v>0</v>
      </c>
      <c r="V13" s="46">
        <f t="shared" si="2"/>
        <v>1110.5</v>
      </c>
      <c r="W13" s="46">
        <f t="shared" si="2"/>
        <v>1678.3000000000757</v>
      </c>
      <c r="X13" s="46">
        <f t="shared" si="3"/>
        <v>2073.7000000000116</v>
      </c>
    </row>
    <row r="14" spans="1:24" ht="20" customHeight="1" x14ac:dyDescent="0.35">
      <c r="A14" s="28" t="s">
        <v>223</v>
      </c>
      <c r="B14" s="29">
        <v>422940.5</v>
      </c>
      <c r="C14" s="28">
        <v>232746.8</v>
      </c>
      <c r="D14" s="30">
        <v>66358.600000000006</v>
      </c>
      <c r="E14" s="30">
        <v>389614.2</v>
      </c>
      <c r="F14" s="30">
        <v>260635.5</v>
      </c>
      <c r="G14" s="30">
        <v>543550.19999999995</v>
      </c>
      <c r="H14" s="28">
        <v>326765.09999999998</v>
      </c>
      <c r="I14" s="30">
        <v>778952.8</v>
      </c>
      <c r="J14" s="33">
        <v>1527510</v>
      </c>
      <c r="L14" s="45">
        <f t="shared" si="1"/>
        <v>0</v>
      </c>
      <c r="M14" s="45">
        <f t="shared" si="1"/>
        <v>465.80000000001746</v>
      </c>
      <c r="N14" s="45">
        <f t="shared" si="1"/>
        <v>393.09999999999127</v>
      </c>
      <c r="O14" s="45">
        <f t="shared" si="1"/>
        <v>372.29999999998836</v>
      </c>
      <c r="P14" s="45">
        <f t="shared" si="1"/>
        <v>217.20000000001164</v>
      </c>
      <c r="Q14" s="45">
        <f t="shared" si="1"/>
        <v>0</v>
      </c>
      <c r="R14" s="45">
        <f t="shared" si="1"/>
        <v>715.90000000002328</v>
      </c>
      <c r="S14" s="45">
        <f t="shared" si="1"/>
        <v>1186.8999999999069</v>
      </c>
      <c r="T14" s="45">
        <f t="shared" si="1"/>
        <v>1423</v>
      </c>
      <c r="U14" s="46">
        <f t="shared" si="2"/>
        <v>0</v>
      </c>
      <c r="V14" s="46">
        <f t="shared" si="2"/>
        <v>1181.7000000000407</v>
      </c>
      <c r="W14" s="46">
        <f t="shared" si="2"/>
        <v>1579.9999999998981</v>
      </c>
      <c r="X14" s="46">
        <f t="shared" si="3"/>
        <v>2012.5</v>
      </c>
    </row>
    <row r="15" spans="1:24" ht="20" customHeight="1" x14ac:dyDescent="0.35">
      <c r="A15" s="28" t="s">
        <v>224</v>
      </c>
      <c r="B15" s="29">
        <v>422940.5</v>
      </c>
      <c r="C15" s="28">
        <v>233212.6</v>
      </c>
      <c r="D15" s="30">
        <v>66751.7</v>
      </c>
      <c r="E15" s="30">
        <v>389986.5</v>
      </c>
      <c r="F15" s="30">
        <v>260852.7</v>
      </c>
      <c r="G15" s="30">
        <v>543550.19999999995</v>
      </c>
      <c r="H15" s="28">
        <v>327481</v>
      </c>
      <c r="I15" s="30">
        <v>780139.7</v>
      </c>
      <c r="J15" s="33">
        <v>1528933</v>
      </c>
      <c r="L15" s="45">
        <f t="shared" si="1"/>
        <v>0</v>
      </c>
      <c r="M15" s="45">
        <f t="shared" si="1"/>
        <v>512.19999999998254</v>
      </c>
      <c r="N15" s="45">
        <f t="shared" si="1"/>
        <v>375.40000000000873</v>
      </c>
      <c r="O15" s="45">
        <f t="shared" si="1"/>
        <v>381.5</v>
      </c>
      <c r="P15" s="45">
        <f t="shared" si="1"/>
        <v>222.09999999997672</v>
      </c>
      <c r="Q15" s="45">
        <f t="shared" si="1"/>
        <v>0</v>
      </c>
      <c r="R15" s="45">
        <f t="shared" si="1"/>
        <v>580.70000000001164</v>
      </c>
      <c r="S15" s="45">
        <f t="shared" si="1"/>
        <v>825.10000000009313</v>
      </c>
      <c r="T15" s="45">
        <f t="shared" si="1"/>
        <v>1508</v>
      </c>
      <c r="U15" s="46">
        <f t="shared" si="2"/>
        <v>0</v>
      </c>
      <c r="V15" s="46">
        <f t="shared" si="2"/>
        <v>1092.8999999999942</v>
      </c>
      <c r="W15" s="46">
        <f t="shared" si="2"/>
        <v>1200.5000000001019</v>
      </c>
      <c r="X15" s="46">
        <f t="shared" si="3"/>
        <v>2111.5999999999767</v>
      </c>
    </row>
    <row r="16" spans="1:24" ht="20" customHeight="1" x14ac:dyDescent="0.35">
      <c r="A16" s="28" t="s">
        <v>225</v>
      </c>
      <c r="B16" s="29">
        <v>422940.5</v>
      </c>
      <c r="C16" s="28">
        <v>233724.79999999999</v>
      </c>
      <c r="D16" s="30">
        <v>67127.100000000006</v>
      </c>
      <c r="E16" s="30">
        <v>390368</v>
      </c>
      <c r="F16" s="30">
        <v>261074.8</v>
      </c>
      <c r="G16" s="30">
        <v>543550.19999999995</v>
      </c>
      <c r="H16" s="28">
        <v>328061.7</v>
      </c>
      <c r="I16" s="30">
        <v>780964.8</v>
      </c>
      <c r="J16" s="33">
        <v>1530441</v>
      </c>
      <c r="L16" s="45">
        <f t="shared" si="1"/>
        <v>216</v>
      </c>
      <c r="M16" s="45">
        <f t="shared" si="1"/>
        <v>363</v>
      </c>
      <c r="N16" s="45">
        <f t="shared" si="1"/>
        <v>382.89999999999418</v>
      </c>
      <c r="O16" s="45">
        <f t="shared" si="1"/>
        <v>371.90000000002328</v>
      </c>
      <c r="P16" s="45">
        <f t="shared" si="1"/>
        <v>212.80000000001746</v>
      </c>
      <c r="Q16" s="45">
        <f t="shared" si="1"/>
        <v>351</v>
      </c>
      <c r="R16" s="45">
        <f t="shared" si="1"/>
        <v>546.20000000001164</v>
      </c>
      <c r="S16" s="45">
        <f t="shared" si="1"/>
        <v>1236.2999999999302</v>
      </c>
      <c r="T16" s="45">
        <f t="shared" si="1"/>
        <v>1429</v>
      </c>
      <c r="U16" s="46">
        <f t="shared" si="2"/>
        <v>567</v>
      </c>
      <c r="V16" s="46">
        <f t="shared" si="2"/>
        <v>909.20000000001164</v>
      </c>
      <c r="W16" s="46">
        <f t="shared" si="2"/>
        <v>1619.1999999999243</v>
      </c>
      <c r="X16" s="46">
        <f t="shared" si="3"/>
        <v>2013.7000000000407</v>
      </c>
    </row>
    <row r="17" spans="1:24" ht="20" customHeight="1" x14ac:dyDescent="0.35">
      <c r="A17" s="28" t="s">
        <v>226</v>
      </c>
      <c r="B17" s="29">
        <v>423156.5</v>
      </c>
      <c r="C17" s="28">
        <v>234087.8</v>
      </c>
      <c r="D17" s="30">
        <v>67510</v>
      </c>
      <c r="E17" s="30">
        <v>390739.9</v>
      </c>
      <c r="F17" s="30">
        <v>261287.6</v>
      </c>
      <c r="G17" s="30">
        <v>543901.19999999995</v>
      </c>
      <c r="H17" s="28">
        <v>328607.90000000002</v>
      </c>
      <c r="I17" s="30">
        <v>782201.1</v>
      </c>
      <c r="J17" s="33">
        <v>1531870</v>
      </c>
      <c r="L17" s="45">
        <f t="shared" si="1"/>
        <v>-423156.5</v>
      </c>
      <c r="M17" s="45">
        <f t="shared" si="1"/>
        <v>-234087.8</v>
      </c>
      <c r="N17" s="45">
        <f t="shared" si="1"/>
        <v>-67510</v>
      </c>
      <c r="O17" s="45">
        <f t="shared" si="1"/>
        <v>-390739.9</v>
      </c>
      <c r="P17" s="45">
        <f t="shared" si="1"/>
        <v>-261287.6</v>
      </c>
      <c r="Q17" s="45">
        <f t="shared" si="1"/>
        <v>-543901.19999999995</v>
      </c>
      <c r="R17" s="45">
        <f t="shared" si="1"/>
        <v>-328607.90000000002</v>
      </c>
      <c r="S17" s="45">
        <f t="shared" si="1"/>
        <v>-782201.1</v>
      </c>
      <c r="T17" s="45">
        <f t="shared" si="1"/>
        <v>-1531870</v>
      </c>
      <c r="U17" s="46">
        <f t="shared" si="2"/>
        <v>-967057.7</v>
      </c>
      <c r="V17" s="46">
        <f t="shared" si="2"/>
        <v>-562695.69999999995</v>
      </c>
      <c r="W17" s="46">
        <f t="shared" si="2"/>
        <v>-849711.1</v>
      </c>
      <c r="X17" s="46">
        <f t="shared" si="3"/>
        <v>-2183897.5</v>
      </c>
    </row>
    <row r="18" spans="1:24" ht="20" customHeight="1" x14ac:dyDescent="0.35">
      <c r="A18" s="28"/>
      <c r="B18" s="29"/>
      <c r="C18" s="28"/>
      <c r="D18" s="30"/>
      <c r="E18" s="30"/>
      <c r="F18" s="30"/>
      <c r="G18" s="30"/>
      <c r="H18" s="28"/>
      <c r="I18" s="30"/>
      <c r="J18" s="33"/>
      <c r="L18" s="45">
        <f t="shared" si="1"/>
        <v>0</v>
      </c>
      <c r="M18" s="45">
        <f t="shared" si="1"/>
        <v>0</v>
      </c>
      <c r="N18" s="45">
        <f t="shared" si="1"/>
        <v>0</v>
      </c>
      <c r="O18" s="45">
        <f t="shared" si="1"/>
        <v>0</v>
      </c>
      <c r="P18" s="45">
        <f t="shared" si="1"/>
        <v>0</v>
      </c>
      <c r="Q18" s="45">
        <f t="shared" si="1"/>
        <v>0</v>
      </c>
      <c r="R18" s="45">
        <f t="shared" si="1"/>
        <v>0</v>
      </c>
      <c r="S18" s="45">
        <f t="shared" si="1"/>
        <v>0</v>
      </c>
      <c r="T18" s="45">
        <f t="shared" si="1"/>
        <v>0</v>
      </c>
      <c r="U18" s="46">
        <f t="shared" si="2"/>
        <v>0</v>
      </c>
      <c r="V18" s="46">
        <f t="shared" si="2"/>
        <v>0</v>
      </c>
      <c r="W18" s="46">
        <f t="shared" si="2"/>
        <v>0</v>
      </c>
      <c r="X18" s="46">
        <f t="shared" si="3"/>
        <v>0</v>
      </c>
    </row>
    <row r="19" spans="1:24" ht="20" customHeight="1" x14ac:dyDescent="0.35">
      <c r="A19" s="28"/>
      <c r="B19" s="29"/>
      <c r="C19" s="28"/>
      <c r="D19" s="30"/>
      <c r="E19" s="30"/>
      <c r="F19" s="30"/>
      <c r="G19" s="30"/>
      <c r="H19" s="28"/>
      <c r="I19" s="30"/>
      <c r="J19" s="33"/>
      <c r="L19" s="45">
        <f t="shared" si="1"/>
        <v>0</v>
      </c>
      <c r="M19" s="45">
        <f t="shared" si="1"/>
        <v>0</v>
      </c>
      <c r="N19" s="45">
        <f t="shared" si="1"/>
        <v>0</v>
      </c>
      <c r="O19" s="45">
        <f t="shared" si="1"/>
        <v>0</v>
      </c>
      <c r="P19" s="45">
        <f t="shared" si="1"/>
        <v>0</v>
      </c>
      <c r="Q19" s="45">
        <f t="shared" si="1"/>
        <v>0</v>
      </c>
      <c r="R19" s="45">
        <f t="shared" si="1"/>
        <v>0</v>
      </c>
      <c r="S19" s="45">
        <f t="shared" si="1"/>
        <v>0</v>
      </c>
      <c r="T19" s="45">
        <f t="shared" si="1"/>
        <v>0</v>
      </c>
      <c r="U19" s="46">
        <f t="shared" si="2"/>
        <v>0</v>
      </c>
      <c r="V19" s="46">
        <f t="shared" si="2"/>
        <v>0</v>
      </c>
      <c r="W19" s="46">
        <f t="shared" si="2"/>
        <v>0</v>
      </c>
      <c r="X19" s="46">
        <f t="shared" si="3"/>
        <v>0</v>
      </c>
    </row>
    <row r="20" spans="1:24" ht="20" customHeight="1" x14ac:dyDescent="0.35">
      <c r="A20" s="28"/>
      <c r="B20" s="29"/>
      <c r="C20" s="28"/>
      <c r="D20" s="30"/>
      <c r="E20" s="30"/>
      <c r="F20" s="30"/>
      <c r="G20" s="30"/>
      <c r="H20" s="28"/>
      <c r="I20" s="30"/>
      <c r="J20" s="33"/>
      <c r="L20" s="45">
        <f t="shared" si="1"/>
        <v>0</v>
      </c>
      <c r="M20" s="45">
        <f t="shared" si="1"/>
        <v>0</v>
      </c>
      <c r="N20" s="45">
        <f t="shared" si="1"/>
        <v>0</v>
      </c>
      <c r="O20" s="45">
        <f t="shared" si="1"/>
        <v>0</v>
      </c>
      <c r="P20" s="45">
        <f t="shared" si="1"/>
        <v>0</v>
      </c>
      <c r="Q20" s="45">
        <f t="shared" si="1"/>
        <v>0</v>
      </c>
      <c r="R20" s="45">
        <f t="shared" si="1"/>
        <v>0</v>
      </c>
      <c r="S20" s="45">
        <f t="shared" si="1"/>
        <v>0</v>
      </c>
      <c r="T20" s="45">
        <f t="shared" si="1"/>
        <v>0</v>
      </c>
      <c r="U20" s="46">
        <f t="shared" si="2"/>
        <v>0</v>
      </c>
      <c r="V20" s="46">
        <f t="shared" si="2"/>
        <v>0</v>
      </c>
      <c r="W20" s="46">
        <f t="shared" si="2"/>
        <v>0</v>
      </c>
      <c r="X20" s="46">
        <f t="shared" si="3"/>
        <v>0</v>
      </c>
    </row>
    <row r="21" spans="1:24" ht="20" customHeight="1" x14ac:dyDescent="0.35">
      <c r="A21" s="28"/>
      <c r="B21" s="29"/>
      <c r="C21" s="30"/>
      <c r="D21" s="30"/>
      <c r="E21" s="30"/>
      <c r="F21" s="30"/>
      <c r="G21" s="30"/>
      <c r="H21" s="30"/>
      <c r="I21" s="30"/>
      <c r="J21" s="33"/>
      <c r="L21" s="45">
        <f t="shared" si="1"/>
        <v>0</v>
      </c>
      <c r="M21" s="45">
        <f t="shared" si="1"/>
        <v>0</v>
      </c>
      <c r="N21" s="45">
        <f t="shared" si="1"/>
        <v>0</v>
      </c>
      <c r="O21" s="45">
        <f t="shared" si="1"/>
        <v>0</v>
      </c>
      <c r="P21" s="45">
        <f t="shared" si="1"/>
        <v>0</v>
      </c>
      <c r="Q21" s="45">
        <f t="shared" si="1"/>
        <v>0</v>
      </c>
      <c r="R21" s="45">
        <f t="shared" si="1"/>
        <v>0</v>
      </c>
      <c r="S21" s="45">
        <f t="shared" si="1"/>
        <v>0</v>
      </c>
      <c r="T21" s="45">
        <f t="shared" si="1"/>
        <v>0</v>
      </c>
      <c r="U21" s="46">
        <f t="shared" si="2"/>
        <v>0</v>
      </c>
      <c r="V21" s="46">
        <f t="shared" si="2"/>
        <v>0</v>
      </c>
      <c r="W21" s="46">
        <f t="shared" si="2"/>
        <v>0</v>
      </c>
      <c r="X21" s="46">
        <f t="shared" si="3"/>
        <v>0</v>
      </c>
    </row>
    <row r="22" spans="1:24" ht="20" customHeight="1" x14ac:dyDescent="0.35">
      <c r="A22" s="28"/>
      <c r="B22" s="29"/>
      <c r="C22" s="30"/>
      <c r="D22" s="30"/>
      <c r="E22" s="30"/>
      <c r="F22" s="30"/>
      <c r="G22" s="30"/>
      <c r="H22" s="30"/>
      <c r="I22" s="30"/>
      <c r="J22" s="33"/>
      <c r="L22" s="45">
        <f t="shared" si="1"/>
        <v>0</v>
      </c>
      <c r="M22" s="45">
        <f t="shared" si="1"/>
        <v>0</v>
      </c>
      <c r="N22" s="45">
        <f t="shared" si="1"/>
        <v>0</v>
      </c>
      <c r="O22" s="45">
        <f t="shared" si="1"/>
        <v>0</v>
      </c>
      <c r="P22" s="45">
        <f t="shared" si="1"/>
        <v>0</v>
      </c>
      <c r="Q22" s="45">
        <f t="shared" si="1"/>
        <v>0</v>
      </c>
      <c r="R22" s="45">
        <f t="shared" si="1"/>
        <v>0</v>
      </c>
      <c r="S22" s="45">
        <f t="shared" si="1"/>
        <v>0</v>
      </c>
      <c r="T22" s="45">
        <f t="shared" si="1"/>
        <v>0</v>
      </c>
      <c r="U22" s="46">
        <f t="shared" si="2"/>
        <v>0</v>
      </c>
      <c r="V22" s="46">
        <f t="shared" si="2"/>
        <v>0</v>
      </c>
      <c r="W22" s="46">
        <f t="shared" si="2"/>
        <v>0</v>
      </c>
      <c r="X22" s="46">
        <f t="shared" si="3"/>
        <v>0</v>
      </c>
    </row>
    <row r="23" spans="1:24" ht="20" customHeight="1" x14ac:dyDescent="0.35">
      <c r="A23" s="28"/>
      <c r="B23" s="29"/>
      <c r="C23" s="30"/>
      <c r="D23" s="30"/>
      <c r="E23" s="30"/>
      <c r="F23" s="30"/>
      <c r="G23" s="30"/>
      <c r="H23" s="30"/>
      <c r="I23" s="30"/>
      <c r="J23" s="33"/>
      <c r="L23" s="45">
        <f t="shared" si="1"/>
        <v>0</v>
      </c>
      <c r="M23" s="45">
        <f t="shared" si="1"/>
        <v>0</v>
      </c>
      <c r="N23" s="45">
        <f t="shared" si="1"/>
        <v>0</v>
      </c>
      <c r="O23" s="45">
        <f t="shared" si="1"/>
        <v>0</v>
      </c>
      <c r="P23" s="45">
        <f t="shared" si="1"/>
        <v>0</v>
      </c>
      <c r="Q23" s="45">
        <f t="shared" si="1"/>
        <v>0</v>
      </c>
      <c r="R23" s="45">
        <f t="shared" si="1"/>
        <v>0</v>
      </c>
      <c r="S23" s="45">
        <f t="shared" si="1"/>
        <v>0</v>
      </c>
      <c r="T23" s="45">
        <f t="shared" si="1"/>
        <v>0</v>
      </c>
      <c r="U23" s="46">
        <f t="shared" si="2"/>
        <v>0</v>
      </c>
      <c r="V23" s="46">
        <f t="shared" si="2"/>
        <v>0</v>
      </c>
      <c r="W23" s="46">
        <f t="shared" si="2"/>
        <v>0</v>
      </c>
      <c r="X23" s="46">
        <f t="shared" si="3"/>
        <v>0</v>
      </c>
    </row>
    <row r="24" spans="1:24" ht="20" customHeight="1" x14ac:dyDescent="0.35">
      <c r="A24" s="28"/>
      <c r="B24" s="29"/>
      <c r="C24" s="30"/>
      <c r="D24" s="30"/>
      <c r="E24" s="30"/>
      <c r="F24" s="30"/>
      <c r="G24" s="30"/>
      <c r="H24" s="30"/>
      <c r="I24" s="30"/>
      <c r="J24" s="33"/>
      <c r="L24" s="45">
        <f t="shared" si="1"/>
        <v>0</v>
      </c>
      <c r="M24" s="45">
        <f t="shared" si="1"/>
        <v>0</v>
      </c>
      <c r="N24" s="45">
        <f t="shared" si="1"/>
        <v>0</v>
      </c>
      <c r="O24" s="45">
        <f t="shared" si="1"/>
        <v>0</v>
      </c>
      <c r="P24" s="45">
        <f t="shared" si="1"/>
        <v>0</v>
      </c>
      <c r="Q24" s="45">
        <f t="shared" si="1"/>
        <v>0</v>
      </c>
      <c r="R24" s="45">
        <f t="shared" si="1"/>
        <v>0</v>
      </c>
      <c r="S24" s="45">
        <f t="shared" si="1"/>
        <v>0</v>
      </c>
      <c r="T24" s="45">
        <f t="shared" si="1"/>
        <v>0</v>
      </c>
      <c r="U24" s="46">
        <f t="shared" si="2"/>
        <v>0</v>
      </c>
      <c r="V24" s="46">
        <f t="shared" si="2"/>
        <v>0</v>
      </c>
      <c r="W24" s="46">
        <f t="shared" si="2"/>
        <v>0</v>
      </c>
      <c r="X24" s="46">
        <f t="shared" si="3"/>
        <v>0</v>
      </c>
    </row>
    <row r="25" spans="1:24" ht="20" customHeight="1" x14ac:dyDescent="0.35">
      <c r="A25" s="28"/>
      <c r="B25" s="29"/>
      <c r="C25" s="30"/>
      <c r="D25" s="30"/>
      <c r="E25" s="30"/>
      <c r="F25" s="30"/>
      <c r="G25" s="30"/>
      <c r="H25" s="30"/>
      <c r="I25" s="30"/>
      <c r="J25" s="33"/>
      <c r="L25" s="45">
        <f t="shared" si="1"/>
        <v>0</v>
      </c>
      <c r="M25" s="45">
        <f t="shared" si="1"/>
        <v>0</v>
      </c>
      <c r="N25" s="45">
        <f t="shared" si="1"/>
        <v>0</v>
      </c>
      <c r="O25" s="45">
        <f t="shared" si="1"/>
        <v>0</v>
      </c>
      <c r="P25" s="45">
        <f t="shared" si="1"/>
        <v>0</v>
      </c>
      <c r="Q25" s="45">
        <f t="shared" si="1"/>
        <v>0</v>
      </c>
      <c r="R25" s="45">
        <f t="shared" si="1"/>
        <v>0</v>
      </c>
      <c r="S25" s="45">
        <f t="shared" si="1"/>
        <v>0</v>
      </c>
      <c r="T25" s="45">
        <f t="shared" si="1"/>
        <v>0</v>
      </c>
      <c r="U25" s="46">
        <f t="shared" si="2"/>
        <v>0</v>
      </c>
      <c r="V25" s="46">
        <f t="shared" si="2"/>
        <v>0</v>
      </c>
      <c r="W25" s="46">
        <f t="shared" si="2"/>
        <v>0</v>
      </c>
      <c r="X25" s="46">
        <f t="shared" si="3"/>
        <v>0</v>
      </c>
    </row>
    <row r="26" spans="1:24" ht="20" customHeight="1" x14ac:dyDescent="0.35">
      <c r="A26" s="28"/>
      <c r="B26" s="29"/>
      <c r="C26" s="30"/>
      <c r="D26" s="30"/>
      <c r="E26" s="30"/>
      <c r="F26" s="30"/>
      <c r="G26" s="30"/>
      <c r="H26" s="30"/>
      <c r="I26" s="30"/>
      <c r="J26" s="33"/>
      <c r="L26" s="45">
        <f t="shared" si="1"/>
        <v>0</v>
      </c>
      <c r="M26" s="45">
        <f t="shared" si="1"/>
        <v>0</v>
      </c>
      <c r="N26" s="45">
        <f t="shared" si="1"/>
        <v>0</v>
      </c>
      <c r="O26" s="45">
        <f t="shared" si="1"/>
        <v>0</v>
      </c>
      <c r="P26" s="45">
        <f t="shared" si="1"/>
        <v>0</v>
      </c>
      <c r="Q26" s="45">
        <f t="shared" si="1"/>
        <v>0</v>
      </c>
      <c r="R26" s="45">
        <f t="shared" si="1"/>
        <v>0</v>
      </c>
      <c r="S26" s="45">
        <f t="shared" si="1"/>
        <v>0</v>
      </c>
      <c r="T26" s="45">
        <f t="shared" si="1"/>
        <v>0</v>
      </c>
      <c r="U26" s="46">
        <f t="shared" si="2"/>
        <v>0</v>
      </c>
      <c r="V26" s="46">
        <f t="shared" si="2"/>
        <v>0</v>
      </c>
      <c r="W26" s="46">
        <f t="shared" si="2"/>
        <v>0</v>
      </c>
      <c r="X26" s="46">
        <f t="shared" si="3"/>
        <v>0</v>
      </c>
    </row>
    <row r="27" spans="1:24" ht="16.75" customHeight="1" x14ac:dyDescent="0.35">
      <c r="A27" s="28"/>
      <c r="B27" s="29"/>
      <c r="C27" s="30"/>
      <c r="D27" s="30"/>
      <c r="E27" s="30"/>
      <c r="F27" s="30"/>
      <c r="G27" s="30"/>
      <c r="H27" s="30"/>
      <c r="I27" s="30"/>
      <c r="J27" s="33"/>
      <c r="L27" s="45">
        <f t="shared" si="1"/>
        <v>0</v>
      </c>
      <c r="M27" s="45">
        <f t="shared" si="1"/>
        <v>0</v>
      </c>
      <c r="N27" s="45">
        <f t="shared" si="1"/>
        <v>0</v>
      </c>
      <c r="O27" s="45">
        <f t="shared" si="1"/>
        <v>0</v>
      </c>
      <c r="P27" s="45">
        <f t="shared" si="1"/>
        <v>0</v>
      </c>
      <c r="Q27" s="45">
        <f t="shared" si="1"/>
        <v>0</v>
      </c>
      <c r="R27" s="45">
        <f t="shared" si="1"/>
        <v>0</v>
      </c>
      <c r="S27" s="45">
        <f t="shared" si="1"/>
        <v>0</v>
      </c>
      <c r="T27" s="45">
        <f t="shared" si="1"/>
        <v>0</v>
      </c>
      <c r="U27" s="46">
        <f t="shared" si="2"/>
        <v>0</v>
      </c>
      <c r="V27" s="46">
        <f t="shared" si="2"/>
        <v>0</v>
      </c>
      <c r="W27" s="46">
        <f t="shared" si="2"/>
        <v>0</v>
      </c>
      <c r="X27" s="46">
        <f t="shared" si="3"/>
        <v>0</v>
      </c>
    </row>
    <row r="28" spans="1:24" ht="20" customHeight="1" x14ac:dyDescent="0.35">
      <c r="A28" s="28"/>
      <c r="B28" s="29"/>
      <c r="C28" s="30"/>
      <c r="D28" s="30"/>
      <c r="E28" s="30"/>
      <c r="F28" s="30"/>
      <c r="G28" s="30"/>
      <c r="H28" s="30"/>
      <c r="I28" s="30"/>
      <c r="J28" s="33"/>
      <c r="L28" s="45">
        <f t="shared" si="1"/>
        <v>0</v>
      </c>
      <c r="M28" s="45">
        <f t="shared" si="1"/>
        <v>0</v>
      </c>
      <c r="N28" s="45">
        <f t="shared" si="1"/>
        <v>0</v>
      </c>
      <c r="O28" s="45">
        <f t="shared" si="1"/>
        <v>0</v>
      </c>
      <c r="P28" s="45">
        <f t="shared" si="1"/>
        <v>0</v>
      </c>
      <c r="Q28" s="45">
        <f t="shared" si="1"/>
        <v>0</v>
      </c>
      <c r="R28" s="45">
        <f t="shared" si="1"/>
        <v>0</v>
      </c>
      <c r="S28" s="45">
        <f t="shared" si="1"/>
        <v>0</v>
      </c>
      <c r="T28" s="45">
        <f t="shared" si="1"/>
        <v>0</v>
      </c>
      <c r="U28" s="46">
        <f t="shared" si="2"/>
        <v>0</v>
      </c>
      <c r="V28" s="46">
        <f t="shared" si="2"/>
        <v>0</v>
      </c>
      <c r="W28" s="46">
        <f t="shared" si="2"/>
        <v>0</v>
      </c>
      <c r="X28" s="46">
        <f t="shared" si="3"/>
        <v>0</v>
      </c>
    </row>
    <row r="29" spans="1:24" ht="20" customHeight="1" x14ac:dyDescent="0.35">
      <c r="A29" s="28"/>
      <c r="B29" s="29"/>
      <c r="C29" s="30"/>
      <c r="D29" s="30"/>
      <c r="E29" s="30"/>
      <c r="F29" s="30"/>
      <c r="G29" s="30"/>
      <c r="H29" s="30"/>
      <c r="I29" s="30"/>
      <c r="J29" s="33"/>
      <c r="L29" s="45">
        <f t="shared" si="1"/>
        <v>0</v>
      </c>
      <c r="M29" s="45">
        <f t="shared" si="1"/>
        <v>0</v>
      </c>
      <c r="N29" s="45">
        <f t="shared" si="1"/>
        <v>0</v>
      </c>
      <c r="O29" s="45">
        <f t="shared" si="1"/>
        <v>0</v>
      </c>
      <c r="P29" s="45">
        <f t="shared" si="1"/>
        <v>0</v>
      </c>
      <c r="Q29" s="45">
        <f t="shared" si="1"/>
        <v>0</v>
      </c>
      <c r="R29" s="45">
        <f t="shared" si="1"/>
        <v>0</v>
      </c>
      <c r="S29" s="45">
        <f t="shared" si="1"/>
        <v>0</v>
      </c>
      <c r="T29" s="45">
        <f t="shared" si="1"/>
        <v>0</v>
      </c>
      <c r="U29" s="46">
        <f t="shared" si="2"/>
        <v>0</v>
      </c>
      <c r="V29" s="46">
        <f t="shared" si="2"/>
        <v>0</v>
      </c>
      <c r="W29" s="46">
        <f t="shared" si="2"/>
        <v>0</v>
      </c>
      <c r="X29" s="46">
        <f t="shared" si="3"/>
        <v>0</v>
      </c>
    </row>
    <row r="30" spans="1:24" ht="20" customHeight="1" x14ac:dyDescent="0.35">
      <c r="A30" s="28"/>
      <c r="B30" s="29"/>
      <c r="C30" s="30"/>
      <c r="D30" s="30"/>
      <c r="E30" s="30"/>
      <c r="F30" s="30"/>
      <c r="G30" s="30"/>
      <c r="H30" s="30"/>
      <c r="I30" s="30"/>
      <c r="J30" s="33"/>
      <c r="L30" s="45">
        <f t="shared" si="1"/>
        <v>0</v>
      </c>
      <c r="M30" s="45">
        <f t="shared" si="1"/>
        <v>0</v>
      </c>
      <c r="N30" s="45">
        <f t="shared" si="1"/>
        <v>0</v>
      </c>
      <c r="O30" s="45">
        <f t="shared" si="1"/>
        <v>0</v>
      </c>
      <c r="P30" s="45">
        <f t="shared" si="1"/>
        <v>0</v>
      </c>
      <c r="Q30" s="45">
        <f t="shared" si="1"/>
        <v>0</v>
      </c>
      <c r="R30" s="45">
        <f t="shared" si="1"/>
        <v>0</v>
      </c>
      <c r="S30" s="45">
        <f t="shared" si="1"/>
        <v>0</v>
      </c>
      <c r="T30" s="45">
        <f t="shared" si="1"/>
        <v>0</v>
      </c>
      <c r="U30" s="46">
        <f t="shared" si="2"/>
        <v>0</v>
      </c>
      <c r="V30" s="46">
        <f t="shared" si="2"/>
        <v>0</v>
      </c>
      <c r="W30" s="46">
        <f t="shared" si="2"/>
        <v>0</v>
      </c>
      <c r="X30" s="46">
        <f t="shared" si="3"/>
        <v>0</v>
      </c>
    </row>
    <row r="31" spans="1:24" ht="20" customHeight="1" x14ac:dyDescent="0.35">
      <c r="A31" s="28"/>
      <c r="B31" s="29"/>
      <c r="C31" s="30"/>
      <c r="D31" s="30"/>
      <c r="E31" s="30"/>
      <c r="F31" s="30"/>
      <c r="G31" s="30"/>
      <c r="H31" s="30"/>
      <c r="I31" s="30"/>
      <c r="J31" s="33"/>
      <c r="L31" s="45">
        <f t="shared" si="1"/>
        <v>0</v>
      </c>
      <c r="M31" s="45">
        <f t="shared" si="1"/>
        <v>0</v>
      </c>
      <c r="N31" s="45">
        <f t="shared" si="1"/>
        <v>0</v>
      </c>
      <c r="O31" s="45">
        <f t="shared" si="1"/>
        <v>0</v>
      </c>
      <c r="P31" s="45">
        <f t="shared" si="1"/>
        <v>0</v>
      </c>
      <c r="Q31" s="45">
        <f t="shared" si="1"/>
        <v>0</v>
      </c>
      <c r="R31" s="45">
        <f t="shared" si="1"/>
        <v>0</v>
      </c>
      <c r="S31" s="45">
        <f t="shared" si="1"/>
        <v>0</v>
      </c>
      <c r="T31" s="45">
        <f t="shared" si="1"/>
        <v>0</v>
      </c>
      <c r="U31" s="46">
        <f t="shared" si="2"/>
        <v>0</v>
      </c>
      <c r="V31" s="46">
        <f t="shared" si="2"/>
        <v>0</v>
      </c>
      <c r="W31" s="46">
        <f t="shared" si="2"/>
        <v>0</v>
      </c>
      <c r="X31" s="46">
        <f t="shared" si="3"/>
        <v>0</v>
      </c>
    </row>
    <row r="32" spans="1:24" ht="20" customHeight="1" x14ac:dyDescent="0.35">
      <c r="A32" s="28"/>
      <c r="B32" s="29"/>
      <c r="C32" s="30"/>
      <c r="D32" s="30"/>
      <c r="E32" s="30"/>
      <c r="F32" s="30"/>
      <c r="G32" s="30"/>
      <c r="H32" s="30"/>
      <c r="I32" s="30"/>
      <c r="J32" s="33"/>
      <c r="L32" s="45">
        <f t="shared" si="1"/>
        <v>0</v>
      </c>
      <c r="M32" s="45">
        <f t="shared" si="1"/>
        <v>0</v>
      </c>
      <c r="N32" s="45">
        <f t="shared" si="1"/>
        <v>0</v>
      </c>
      <c r="O32" s="45">
        <f t="shared" si="1"/>
        <v>0</v>
      </c>
      <c r="P32" s="45">
        <f t="shared" si="1"/>
        <v>0</v>
      </c>
      <c r="Q32" s="45">
        <f t="shared" si="1"/>
        <v>0</v>
      </c>
      <c r="R32" s="45">
        <f t="shared" si="1"/>
        <v>0</v>
      </c>
      <c r="S32" s="45">
        <f t="shared" si="1"/>
        <v>0</v>
      </c>
      <c r="T32" s="45">
        <f t="shared" si="1"/>
        <v>0</v>
      </c>
      <c r="U32" s="46">
        <f t="shared" si="2"/>
        <v>0</v>
      </c>
      <c r="V32" s="46">
        <f t="shared" si="2"/>
        <v>0</v>
      </c>
      <c r="W32" s="46">
        <f t="shared" si="2"/>
        <v>0</v>
      </c>
      <c r="X32" s="46">
        <f t="shared" si="3"/>
        <v>0</v>
      </c>
    </row>
    <row r="33" spans="1:24" ht="20" customHeight="1" x14ac:dyDescent="0.35">
      <c r="A33" s="28"/>
      <c r="B33" s="29"/>
      <c r="C33" s="30"/>
      <c r="D33" s="28"/>
      <c r="E33" s="30"/>
      <c r="F33" s="30"/>
      <c r="G33" s="30"/>
      <c r="H33" s="30"/>
      <c r="I33" s="28"/>
      <c r="J33" s="33"/>
      <c r="L33" s="45">
        <f t="shared" si="1"/>
        <v>0</v>
      </c>
      <c r="M33" s="45">
        <f t="shared" si="1"/>
        <v>0</v>
      </c>
      <c r="N33" s="45">
        <f t="shared" si="1"/>
        <v>0</v>
      </c>
      <c r="O33" s="45">
        <f t="shared" si="1"/>
        <v>0</v>
      </c>
      <c r="P33" s="45">
        <f t="shared" si="1"/>
        <v>0</v>
      </c>
      <c r="Q33" s="45">
        <f t="shared" si="1"/>
        <v>0</v>
      </c>
      <c r="R33" s="45">
        <f t="shared" si="1"/>
        <v>0</v>
      </c>
      <c r="S33" s="45">
        <f t="shared" si="1"/>
        <v>0</v>
      </c>
      <c r="T33" s="45">
        <f t="shared" si="1"/>
        <v>0</v>
      </c>
      <c r="U33" s="46">
        <f t="shared" si="2"/>
        <v>0</v>
      </c>
      <c r="V33" s="46">
        <f t="shared" si="2"/>
        <v>0</v>
      </c>
      <c r="W33" s="46">
        <f t="shared" si="2"/>
        <v>0</v>
      </c>
      <c r="X33" s="46">
        <f t="shared" si="3"/>
        <v>0</v>
      </c>
    </row>
    <row r="34" spans="1:24" ht="20" customHeight="1" x14ac:dyDescent="0.35">
      <c r="A34" s="28"/>
      <c r="B34" s="29"/>
      <c r="C34" s="30"/>
      <c r="D34" s="28"/>
      <c r="E34" s="30"/>
      <c r="F34" s="30"/>
      <c r="G34" s="30"/>
      <c r="H34" s="30"/>
      <c r="I34" s="28"/>
      <c r="J34" s="33"/>
      <c r="L34" s="45">
        <f t="shared" si="1"/>
        <v>0</v>
      </c>
      <c r="M34" s="45">
        <f t="shared" si="1"/>
        <v>0</v>
      </c>
      <c r="N34" s="45">
        <f t="shared" si="1"/>
        <v>0</v>
      </c>
      <c r="O34" s="45">
        <f t="shared" si="1"/>
        <v>0</v>
      </c>
      <c r="P34" s="45">
        <f t="shared" si="1"/>
        <v>0</v>
      </c>
      <c r="Q34" s="45">
        <f t="shared" si="1"/>
        <v>0</v>
      </c>
      <c r="R34" s="45">
        <f t="shared" si="1"/>
        <v>0</v>
      </c>
      <c r="S34" s="45">
        <f t="shared" si="1"/>
        <v>0</v>
      </c>
      <c r="T34" s="45">
        <f t="shared" si="1"/>
        <v>0</v>
      </c>
      <c r="U34" s="46">
        <f t="shared" si="2"/>
        <v>0</v>
      </c>
      <c r="V34" s="46">
        <f t="shared" si="2"/>
        <v>0</v>
      </c>
      <c r="W34" s="46">
        <f t="shared" si="2"/>
        <v>0</v>
      </c>
      <c r="X34" s="46">
        <f t="shared" si="3"/>
        <v>0</v>
      </c>
    </row>
    <row r="35" spans="1:24" ht="20" customHeight="1" x14ac:dyDescent="0.35">
      <c r="A35" s="28"/>
      <c r="B35" s="29"/>
      <c r="C35" s="30"/>
      <c r="D35" s="28"/>
      <c r="E35" s="30"/>
      <c r="F35" s="30"/>
      <c r="G35" s="30"/>
      <c r="H35" s="30"/>
      <c r="I35" s="28"/>
      <c r="J35" s="33"/>
      <c r="L35" s="45">
        <f t="shared" si="1"/>
        <v>0</v>
      </c>
      <c r="M35" s="45">
        <f t="shared" si="1"/>
        <v>0</v>
      </c>
      <c r="N35" s="45">
        <f t="shared" si="1"/>
        <v>0</v>
      </c>
      <c r="O35" s="45">
        <f t="shared" si="1"/>
        <v>0</v>
      </c>
      <c r="P35" s="45">
        <f t="shared" si="1"/>
        <v>0</v>
      </c>
      <c r="Q35" s="45">
        <f t="shared" si="1"/>
        <v>0</v>
      </c>
      <c r="R35" s="45">
        <f t="shared" si="1"/>
        <v>0</v>
      </c>
      <c r="S35" s="45">
        <f t="shared" si="1"/>
        <v>0</v>
      </c>
      <c r="T35" s="45">
        <f t="shared" si="1"/>
        <v>0</v>
      </c>
      <c r="U35" s="46">
        <f t="shared" si="2"/>
        <v>0</v>
      </c>
      <c r="V35" s="46">
        <f t="shared" si="2"/>
        <v>0</v>
      </c>
      <c r="W35" s="46">
        <f t="shared" si="2"/>
        <v>0</v>
      </c>
      <c r="X35" s="46">
        <f t="shared" si="3"/>
        <v>0</v>
      </c>
    </row>
    <row r="36" spans="1:24" ht="20" customHeight="1" x14ac:dyDescent="0.35">
      <c r="A36" s="28"/>
      <c r="B36" s="29"/>
      <c r="C36" s="30"/>
      <c r="D36" s="28"/>
      <c r="E36" s="30"/>
      <c r="F36" s="30"/>
      <c r="G36" s="30"/>
      <c r="H36" s="30"/>
      <c r="I36" s="28"/>
      <c r="J36" s="33"/>
      <c r="L36" s="45">
        <f t="shared" si="1"/>
        <v>0</v>
      </c>
      <c r="M36" s="45">
        <f t="shared" si="1"/>
        <v>0</v>
      </c>
      <c r="N36" s="45">
        <f t="shared" si="1"/>
        <v>0</v>
      </c>
      <c r="O36" s="45">
        <f t="shared" si="1"/>
        <v>0</v>
      </c>
      <c r="P36" s="45">
        <f t="shared" si="1"/>
        <v>0</v>
      </c>
      <c r="Q36" s="45">
        <f t="shared" si="1"/>
        <v>0</v>
      </c>
      <c r="R36" s="45">
        <f t="shared" si="1"/>
        <v>0</v>
      </c>
      <c r="S36" s="45">
        <f t="shared" si="1"/>
        <v>0</v>
      </c>
      <c r="T36" s="45">
        <f t="shared" si="1"/>
        <v>0</v>
      </c>
      <c r="U36" s="46">
        <f t="shared" si="2"/>
        <v>0</v>
      </c>
      <c r="V36" s="46">
        <f t="shared" si="2"/>
        <v>0</v>
      </c>
      <c r="W36" s="46">
        <f t="shared" si="2"/>
        <v>0</v>
      </c>
      <c r="X36" s="46">
        <f t="shared" si="3"/>
        <v>0</v>
      </c>
    </row>
    <row r="37" spans="1:24" ht="20" customHeight="1" x14ac:dyDescent="0.35">
      <c r="A37" s="28"/>
      <c r="B37" s="29"/>
      <c r="C37" s="30"/>
      <c r="D37" s="28"/>
      <c r="E37" s="30"/>
      <c r="F37" s="30"/>
      <c r="G37" s="30"/>
      <c r="H37" s="30"/>
      <c r="I37" s="28"/>
      <c r="J37" s="33"/>
      <c r="L37" s="45">
        <f t="shared" si="1"/>
        <v>0</v>
      </c>
      <c r="M37" s="45">
        <f t="shared" si="1"/>
        <v>0</v>
      </c>
      <c r="N37" s="45">
        <f t="shared" si="1"/>
        <v>0</v>
      </c>
      <c r="O37" s="45">
        <f t="shared" ref="O37:T79" si="4">IFERROR(E38-E37,0)</f>
        <v>0</v>
      </c>
      <c r="P37" s="45">
        <f t="shared" si="4"/>
        <v>0</v>
      </c>
      <c r="Q37" s="45">
        <f t="shared" si="4"/>
        <v>0</v>
      </c>
      <c r="R37" s="45">
        <f t="shared" si="4"/>
        <v>0</v>
      </c>
      <c r="S37" s="45">
        <f t="shared" si="4"/>
        <v>0</v>
      </c>
      <c r="T37" s="45">
        <f t="shared" si="4"/>
        <v>0</v>
      </c>
      <c r="U37" s="46">
        <f t="shared" si="2"/>
        <v>0</v>
      </c>
      <c r="V37" s="46">
        <f t="shared" si="2"/>
        <v>0</v>
      </c>
      <c r="W37" s="46">
        <f t="shared" si="2"/>
        <v>0</v>
      </c>
      <c r="X37" s="46">
        <f t="shared" si="3"/>
        <v>0</v>
      </c>
    </row>
    <row r="38" spans="1:24" ht="20" customHeight="1" x14ac:dyDescent="0.35">
      <c r="A38" s="28"/>
      <c r="B38" s="29"/>
      <c r="C38" s="30"/>
      <c r="D38" s="28"/>
      <c r="E38" s="30"/>
      <c r="F38" s="30"/>
      <c r="G38" s="30"/>
      <c r="H38" s="30"/>
      <c r="I38" s="28"/>
      <c r="J38" s="33"/>
      <c r="L38" s="45">
        <f t="shared" ref="L38:Q101" si="5">IFERROR(B39-B38,0)</f>
        <v>0</v>
      </c>
      <c r="M38" s="45">
        <f t="shared" si="5"/>
        <v>0</v>
      </c>
      <c r="N38" s="45">
        <f t="shared" si="5"/>
        <v>0</v>
      </c>
      <c r="O38" s="45">
        <f t="shared" si="4"/>
        <v>0</v>
      </c>
      <c r="P38" s="45">
        <f t="shared" si="4"/>
        <v>0</v>
      </c>
      <c r="Q38" s="45">
        <f t="shared" si="4"/>
        <v>0</v>
      </c>
      <c r="R38" s="45">
        <f t="shared" si="4"/>
        <v>0</v>
      </c>
      <c r="S38" s="45">
        <f t="shared" si="4"/>
        <v>0</v>
      </c>
      <c r="T38" s="45">
        <f t="shared" si="4"/>
        <v>0</v>
      </c>
      <c r="U38" s="46">
        <f t="shared" si="2"/>
        <v>0</v>
      </c>
      <c r="V38" s="46">
        <f t="shared" si="2"/>
        <v>0</v>
      </c>
      <c r="W38" s="46">
        <f t="shared" si="2"/>
        <v>0</v>
      </c>
      <c r="X38" s="46">
        <f t="shared" ref="X38:X69" si="6">O38+P38+T38</f>
        <v>0</v>
      </c>
    </row>
    <row r="39" spans="1:24" ht="20" customHeight="1" x14ac:dyDescent="0.35">
      <c r="A39" s="28"/>
      <c r="B39" s="29"/>
      <c r="C39" s="30"/>
      <c r="D39" s="30"/>
      <c r="E39" s="30"/>
      <c r="F39" s="30"/>
      <c r="G39" s="30"/>
      <c r="H39" s="30"/>
      <c r="I39" s="30"/>
      <c r="J39" s="33"/>
      <c r="L39" s="45">
        <f t="shared" si="5"/>
        <v>0</v>
      </c>
      <c r="M39" s="45">
        <f t="shared" si="5"/>
        <v>0</v>
      </c>
      <c r="N39" s="45">
        <f t="shared" si="5"/>
        <v>0</v>
      </c>
      <c r="O39" s="45">
        <f t="shared" si="4"/>
        <v>0</v>
      </c>
      <c r="P39" s="45">
        <f t="shared" si="4"/>
        <v>0</v>
      </c>
      <c r="Q39" s="45">
        <f t="shared" si="4"/>
        <v>0</v>
      </c>
      <c r="R39" s="45">
        <f t="shared" si="4"/>
        <v>0</v>
      </c>
      <c r="S39" s="45">
        <f t="shared" si="4"/>
        <v>0</v>
      </c>
      <c r="T39" s="45">
        <f t="shared" si="4"/>
        <v>0</v>
      </c>
      <c r="U39" s="46">
        <f t="shared" si="2"/>
        <v>0</v>
      </c>
      <c r="V39" s="46">
        <f t="shared" si="2"/>
        <v>0</v>
      </c>
      <c r="W39" s="46">
        <f t="shared" si="2"/>
        <v>0</v>
      </c>
      <c r="X39" s="46">
        <f t="shared" si="6"/>
        <v>0</v>
      </c>
    </row>
    <row r="40" spans="1:24" ht="20" customHeight="1" x14ac:dyDescent="0.35">
      <c r="A40" s="28"/>
      <c r="B40" s="29"/>
      <c r="C40" s="30"/>
      <c r="D40" s="28"/>
      <c r="E40" s="30"/>
      <c r="F40" s="30"/>
      <c r="G40" s="30"/>
      <c r="H40" s="30"/>
      <c r="I40" s="28"/>
      <c r="J40" s="33"/>
      <c r="L40" s="45">
        <f t="shared" si="5"/>
        <v>0</v>
      </c>
      <c r="M40" s="45">
        <f t="shared" si="5"/>
        <v>0</v>
      </c>
      <c r="N40" s="45">
        <f t="shared" si="5"/>
        <v>0</v>
      </c>
      <c r="O40" s="45">
        <f t="shared" si="4"/>
        <v>0</v>
      </c>
      <c r="P40" s="45">
        <f t="shared" si="4"/>
        <v>0</v>
      </c>
      <c r="Q40" s="45">
        <f t="shared" si="4"/>
        <v>0</v>
      </c>
      <c r="R40" s="45">
        <f t="shared" si="4"/>
        <v>0</v>
      </c>
      <c r="S40" s="45">
        <f t="shared" si="4"/>
        <v>0</v>
      </c>
      <c r="T40" s="45">
        <f t="shared" si="4"/>
        <v>0</v>
      </c>
      <c r="U40" s="46">
        <f t="shared" si="2"/>
        <v>0</v>
      </c>
      <c r="V40" s="46">
        <f t="shared" si="2"/>
        <v>0</v>
      </c>
      <c r="W40" s="46">
        <f t="shared" si="2"/>
        <v>0</v>
      </c>
      <c r="X40" s="46">
        <f t="shared" si="6"/>
        <v>0</v>
      </c>
    </row>
    <row r="41" spans="1:24" ht="20" customHeight="1" x14ac:dyDescent="0.35">
      <c r="A41" s="28"/>
      <c r="B41" s="29"/>
      <c r="C41" s="30"/>
      <c r="D41" s="28"/>
      <c r="E41" s="30"/>
      <c r="F41" s="30"/>
      <c r="G41" s="30"/>
      <c r="H41" s="30"/>
      <c r="I41" s="28"/>
      <c r="J41" s="33"/>
      <c r="L41" s="45">
        <f t="shared" si="5"/>
        <v>0</v>
      </c>
      <c r="M41" s="45">
        <f t="shared" si="5"/>
        <v>0</v>
      </c>
      <c r="N41" s="45">
        <f t="shared" si="5"/>
        <v>0</v>
      </c>
      <c r="O41" s="45">
        <f t="shared" si="4"/>
        <v>0</v>
      </c>
      <c r="P41" s="45">
        <f t="shared" si="4"/>
        <v>0</v>
      </c>
      <c r="Q41" s="45">
        <f t="shared" si="4"/>
        <v>0</v>
      </c>
      <c r="R41" s="45">
        <f t="shared" si="4"/>
        <v>0</v>
      </c>
      <c r="S41" s="45">
        <f t="shared" si="4"/>
        <v>0</v>
      </c>
      <c r="T41" s="45">
        <f t="shared" si="4"/>
        <v>0</v>
      </c>
      <c r="U41" s="46">
        <f t="shared" si="2"/>
        <v>0</v>
      </c>
      <c r="V41" s="46">
        <f t="shared" si="2"/>
        <v>0</v>
      </c>
      <c r="W41" s="46">
        <f t="shared" si="2"/>
        <v>0</v>
      </c>
      <c r="X41" s="46">
        <f t="shared" si="6"/>
        <v>0</v>
      </c>
    </row>
    <row r="42" spans="1:24" ht="20" customHeight="1" x14ac:dyDescent="0.35">
      <c r="A42" s="28"/>
      <c r="B42" s="29"/>
      <c r="C42" s="30"/>
      <c r="D42" s="30"/>
      <c r="E42" s="30"/>
      <c r="F42" s="30"/>
      <c r="G42" s="30"/>
      <c r="H42" s="30"/>
      <c r="I42" s="30"/>
      <c r="J42" s="33"/>
      <c r="L42" s="45">
        <f t="shared" si="5"/>
        <v>0</v>
      </c>
      <c r="M42" s="45">
        <f t="shared" si="5"/>
        <v>0</v>
      </c>
      <c r="N42" s="45">
        <f t="shared" si="5"/>
        <v>0</v>
      </c>
      <c r="O42" s="45">
        <f t="shared" si="4"/>
        <v>0</v>
      </c>
      <c r="P42" s="45">
        <f t="shared" si="4"/>
        <v>0</v>
      </c>
      <c r="Q42" s="45">
        <f t="shared" si="4"/>
        <v>0</v>
      </c>
      <c r="R42" s="45">
        <f t="shared" si="4"/>
        <v>0</v>
      </c>
      <c r="S42" s="45">
        <f t="shared" si="4"/>
        <v>0</v>
      </c>
      <c r="T42" s="45">
        <f t="shared" si="4"/>
        <v>0</v>
      </c>
      <c r="U42" s="46">
        <f t="shared" si="2"/>
        <v>0</v>
      </c>
      <c r="V42" s="46">
        <f t="shared" si="2"/>
        <v>0</v>
      </c>
      <c r="W42" s="46">
        <f t="shared" si="2"/>
        <v>0</v>
      </c>
      <c r="X42" s="46">
        <f t="shared" si="6"/>
        <v>0</v>
      </c>
    </row>
    <row r="43" spans="1:24" ht="20" customHeight="1" x14ac:dyDescent="0.35">
      <c r="A43" s="28"/>
      <c r="B43" s="29"/>
      <c r="C43" s="30"/>
      <c r="D43" s="30"/>
      <c r="E43" s="30"/>
      <c r="F43" s="30"/>
      <c r="G43" s="30"/>
      <c r="H43" s="30"/>
      <c r="I43" s="30"/>
      <c r="J43" s="33"/>
      <c r="L43" s="45">
        <f t="shared" si="5"/>
        <v>0</v>
      </c>
      <c r="M43" s="45">
        <f t="shared" si="5"/>
        <v>0</v>
      </c>
      <c r="N43" s="45">
        <f t="shared" si="5"/>
        <v>0</v>
      </c>
      <c r="O43" s="45">
        <f t="shared" si="4"/>
        <v>0</v>
      </c>
      <c r="P43" s="45">
        <f t="shared" si="4"/>
        <v>0</v>
      </c>
      <c r="Q43" s="45">
        <f t="shared" si="4"/>
        <v>0</v>
      </c>
      <c r="R43" s="45">
        <f t="shared" si="4"/>
        <v>0</v>
      </c>
      <c r="S43" s="45">
        <f t="shared" si="4"/>
        <v>0</v>
      </c>
      <c r="T43" s="45">
        <f t="shared" si="4"/>
        <v>0</v>
      </c>
      <c r="U43" s="46">
        <f t="shared" si="2"/>
        <v>0</v>
      </c>
      <c r="V43" s="46">
        <f t="shared" si="2"/>
        <v>0</v>
      </c>
      <c r="W43" s="46">
        <f t="shared" si="2"/>
        <v>0</v>
      </c>
      <c r="X43" s="46">
        <f t="shared" si="6"/>
        <v>0</v>
      </c>
    </row>
    <row r="44" spans="1:24" ht="20" customHeight="1" x14ac:dyDescent="0.35">
      <c r="A44" s="28"/>
      <c r="B44" s="29"/>
      <c r="C44" s="30"/>
      <c r="D44" s="30"/>
      <c r="E44" s="30"/>
      <c r="F44" s="30"/>
      <c r="G44" s="30"/>
      <c r="H44" s="30"/>
      <c r="I44" s="30"/>
      <c r="J44" s="33"/>
      <c r="L44" s="45">
        <f t="shared" si="5"/>
        <v>0</v>
      </c>
      <c r="M44" s="45">
        <f t="shared" si="5"/>
        <v>0</v>
      </c>
      <c r="N44" s="45">
        <f t="shared" si="5"/>
        <v>0</v>
      </c>
      <c r="O44" s="45">
        <f t="shared" si="4"/>
        <v>0</v>
      </c>
      <c r="P44" s="45">
        <f t="shared" si="4"/>
        <v>0</v>
      </c>
      <c r="Q44" s="45">
        <f t="shared" si="4"/>
        <v>0</v>
      </c>
      <c r="R44" s="45">
        <f t="shared" si="4"/>
        <v>0</v>
      </c>
      <c r="S44" s="45">
        <f t="shared" si="4"/>
        <v>0</v>
      </c>
      <c r="T44" s="45">
        <f t="shared" si="4"/>
        <v>0</v>
      </c>
      <c r="U44" s="46">
        <f t="shared" si="2"/>
        <v>0</v>
      </c>
      <c r="V44" s="46">
        <f t="shared" si="2"/>
        <v>0</v>
      </c>
      <c r="W44" s="46">
        <f t="shared" si="2"/>
        <v>0</v>
      </c>
      <c r="X44" s="46">
        <f t="shared" si="6"/>
        <v>0</v>
      </c>
    </row>
    <row r="45" spans="1:24" ht="16.75" customHeight="1" x14ac:dyDescent="0.35">
      <c r="A45" s="28"/>
      <c r="B45" s="29"/>
      <c r="C45" s="30"/>
      <c r="D45" s="30"/>
      <c r="E45" s="30"/>
      <c r="F45" s="30"/>
      <c r="G45" s="30"/>
      <c r="H45" s="30"/>
      <c r="I45" s="30"/>
      <c r="J45" s="33"/>
      <c r="L45" s="45">
        <f t="shared" si="5"/>
        <v>0</v>
      </c>
      <c r="M45" s="45">
        <f t="shared" si="5"/>
        <v>0</v>
      </c>
      <c r="N45" s="45">
        <f t="shared" si="5"/>
        <v>0</v>
      </c>
      <c r="O45" s="45">
        <f t="shared" si="4"/>
        <v>0</v>
      </c>
      <c r="P45" s="45">
        <f t="shared" si="4"/>
        <v>0</v>
      </c>
      <c r="Q45" s="45">
        <f t="shared" si="4"/>
        <v>0</v>
      </c>
      <c r="R45" s="45">
        <f t="shared" si="4"/>
        <v>0</v>
      </c>
      <c r="S45" s="45">
        <f t="shared" si="4"/>
        <v>0</v>
      </c>
      <c r="T45" s="45">
        <f t="shared" si="4"/>
        <v>0</v>
      </c>
      <c r="U45" s="46">
        <f t="shared" si="2"/>
        <v>0</v>
      </c>
      <c r="V45" s="46">
        <f t="shared" si="2"/>
        <v>0</v>
      </c>
      <c r="W45" s="46">
        <f t="shared" si="2"/>
        <v>0</v>
      </c>
      <c r="X45" s="46">
        <f t="shared" si="6"/>
        <v>0</v>
      </c>
    </row>
    <row r="46" spans="1:24" ht="20" customHeight="1" x14ac:dyDescent="0.35">
      <c r="A46" s="28"/>
      <c r="B46" s="29"/>
      <c r="C46" s="30"/>
      <c r="D46" s="30"/>
      <c r="E46" s="30"/>
      <c r="F46" s="30"/>
      <c r="G46" s="30"/>
      <c r="H46" s="30"/>
      <c r="I46" s="30"/>
      <c r="J46" s="33"/>
      <c r="L46" s="45">
        <f t="shared" si="5"/>
        <v>0</v>
      </c>
      <c r="M46" s="45">
        <f t="shared" si="5"/>
        <v>0</v>
      </c>
      <c r="N46" s="45">
        <f t="shared" si="5"/>
        <v>0</v>
      </c>
      <c r="O46" s="45">
        <f t="shared" si="4"/>
        <v>0</v>
      </c>
      <c r="P46" s="45">
        <f t="shared" si="4"/>
        <v>0</v>
      </c>
      <c r="Q46" s="45">
        <f t="shared" si="4"/>
        <v>0</v>
      </c>
      <c r="R46" s="45">
        <f t="shared" si="4"/>
        <v>0</v>
      </c>
      <c r="S46" s="45">
        <f t="shared" si="4"/>
        <v>0</v>
      </c>
      <c r="T46" s="45">
        <f t="shared" si="4"/>
        <v>0</v>
      </c>
      <c r="U46" s="46">
        <f t="shared" si="2"/>
        <v>0</v>
      </c>
      <c r="V46" s="46">
        <f t="shared" si="2"/>
        <v>0</v>
      </c>
      <c r="W46" s="46">
        <f t="shared" si="2"/>
        <v>0</v>
      </c>
      <c r="X46" s="46">
        <f t="shared" si="6"/>
        <v>0</v>
      </c>
    </row>
    <row r="47" spans="1:24" ht="20" customHeight="1" x14ac:dyDescent="0.35">
      <c r="A47" s="28"/>
      <c r="B47" s="29"/>
      <c r="C47" s="30"/>
      <c r="D47" s="30"/>
      <c r="E47" s="30"/>
      <c r="F47" s="30"/>
      <c r="G47" s="30"/>
      <c r="H47" s="30"/>
      <c r="I47" s="30"/>
      <c r="J47" s="33"/>
      <c r="L47" s="45">
        <f t="shared" si="5"/>
        <v>0</v>
      </c>
      <c r="M47" s="45">
        <f t="shared" si="5"/>
        <v>0</v>
      </c>
      <c r="N47" s="45">
        <f t="shared" si="5"/>
        <v>0</v>
      </c>
      <c r="O47" s="45">
        <f t="shared" si="4"/>
        <v>0</v>
      </c>
      <c r="P47" s="45">
        <f t="shared" si="4"/>
        <v>0</v>
      </c>
      <c r="Q47" s="45">
        <f t="shared" si="4"/>
        <v>0</v>
      </c>
      <c r="R47" s="45">
        <f t="shared" si="4"/>
        <v>0</v>
      </c>
      <c r="S47" s="45">
        <f t="shared" si="4"/>
        <v>0</v>
      </c>
      <c r="T47" s="45">
        <f t="shared" si="4"/>
        <v>0</v>
      </c>
      <c r="U47" s="46">
        <f t="shared" si="2"/>
        <v>0</v>
      </c>
      <c r="V47" s="46">
        <f t="shared" si="2"/>
        <v>0</v>
      </c>
      <c r="W47" s="46">
        <f t="shared" si="2"/>
        <v>0</v>
      </c>
      <c r="X47" s="46">
        <f t="shared" si="6"/>
        <v>0</v>
      </c>
    </row>
    <row r="48" spans="1:24" ht="20" customHeight="1" x14ac:dyDescent="0.35">
      <c r="A48" s="28"/>
      <c r="B48" s="29"/>
      <c r="C48" s="30"/>
      <c r="D48" s="30"/>
      <c r="E48" s="30"/>
      <c r="F48" s="30"/>
      <c r="G48" s="30"/>
      <c r="H48" s="30"/>
      <c r="I48" s="30"/>
      <c r="J48" s="33"/>
      <c r="L48" s="45">
        <f t="shared" si="5"/>
        <v>0</v>
      </c>
      <c r="M48" s="45">
        <f t="shared" si="5"/>
        <v>0</v>
      </c>
      <c r="N48" s="45">
        <f t="shared" si="5"/>
        <v>0</v>
      </c>
      <c r="O48" s="45">
        <f t="shared" si="4"/>
        <v>0</v>
      </c>
      <c r="P48" s="45">
        <f t="shared" si="4"/>
        <v>0</v>
      </c>
      <c r="Q48" s="45">
        <f t="shared" si="4"/>
        <v>0</v>
      </c>
      <c r="R48" s="45">
        <f t="shared" si="4"/>
        <v>0</v>
      </c>
      <c r="S48" s="45">
        <f t="shared" si="4"/>
        <v>0</v>
      </c>
      <c r="T48" s="45">
        <f t="shared" si="4"/>
        <v>0</v>
      </c>
      <c r="U48" s="46">
        <f t="shared" si="2"/>
        <v>0</v>
      </c>
      <c r="V48" s="46">
        <f t="shared" si="2"/>
        <v>0</v>
      </c>
      <c r="W48" s="46">
        <f t="shared" si="2"/>
        <v>0</v>
      </c>
      <c r="X48" s="46">
        <f t="shared" si="6"/>
        <v>0</v>
      </c>
    </row>
    <row r="49" spans="1:24" ht="20" customHeight="1" x14ac:dyDescent="0.35">
      <c r="A49" s="28"/>
      <c r="B49" s="29"/>
      <c r="C49" s="30"/>
      <c r="D49" s="30"/>
      <c r="E49" s="30"/>
      <c r="F49" s="30"/>
      <c r="G49" s="30"/>
      <c r="H49" s="30"/>
      <c r="I49" s="30"/>
      <c r="J49" s="33"/>
      <c r="L49" s="45">
        <f t="shared" si="5"/>
        <v>0</v>
      </c>
      <c r="M49" s="45">
        <f t="shared" si="5"/>
        <v>0</v>
      </c>
      <c r="N49" s="45">
        <f t="shared" si="5"/>
        <v>0</v>
      </c>
      <c r="O49" s="45">
        <f t="shared" si="4"/>
        <v>0</v>
      </c>
      <c r="P49" s="45">
        <f t="shared" si="4"/>
        <v>0</v>
      </c>
      <c r="Q49" s="45">
        <f t="shared" si="4"/>
        <v>0</v>
      </c>
      <c r="R49" s="45">
        <f t="shared" si="4"/>
        <v>0</v>
      </c>
      <c r="S49" s="45">
        <f t="shared" si="4"/>
        <v>0</v>
      </c>
      <c r="T49" s="45">
        <f t="shared" si="4"/>
        <v>0</v>
      </c>
      <c r="U49" s="46">
        <f t="shared" si="2"/>
        <v>0</v>
      </c>
      <c r="V49" s="46">
        <f t="shared" si="2"/>
        <v>0</v>
      </c>
      <c r="W49" s="46">
        <f t="shared" si="2"/>
        <v>0</v>
      </c>
      <c r="X49" s="46">
        <f t="shared" si="6"/>
        <v>0</v>
      </c>
    </row>
    <row r="50" spans="1:24" ht="20" customHeight="1" x14ac:dyDescent="0.35">
      <c r="A50" s="28"/>
      <c r="B50" s="29"/>
      <c r="C50" s="30"/>
      <c r="D50" s="30"/>
      <c r="E50" s="30"/>
      <c r="F50" s="30"/>
      <c r="G50" s="30"/>
      <c r="H50" s="30"/>
      <c r="I50" s="30"/>
      <c r="J50" s="33"/>
      <c r="L50" s="45">
        <f t="shared" si="5"/>
        <v>0</v>
      </c>
      <c r="M50" s="45">
        <f t="shared" si="5"/>
        <v>0</v>
      </c>
      <c r="N50" s="45">
        <f t="shared" si="5"/>
        <v>0</v>
      </c>
      <c r="O50" s="45">
        <f t="shared" si="4"/>
        <v>0</v>
      </c>
      <c r="P50" s="45">
        <f t="shared" si="4"/>
        <v>0</v>
      </c>
      <c r="Q50" s="45">
        <f t="shared" si="4"/>
        <v>0</v>
      </c>
      <c r="R50" s="45">
        <f t="shared" si="4"/>
        <v>0</v>
      </c>
      <c r="S50" s="45">
        <f t="shared" si="4"/>
        <v>0</v>
      </c>
      <c r="T50" s="45">
        <f t="shared" si="4"/>
        <v>0</v>
      </c>
      <c r="U50" s="46">
        <f t="shared" si="2"/>
        <v>0</v>
      </c>
      <c r="V50" s="46">
        <f t="shared" si="2"/>
        <v>0</v>
      </c>
      <c r="W50" s="46">
        <f t="shared" si="2"/>
        <v>0</v>
      </c>
      <c r="X50" s="46">
        <f t="shared" si="6"/>
        <v>0</v>
      </c>
    </row>
    <row r="51" spans="1:24" ht="20" customHeight="1" x14ac:dyDescent="0.35">
      <c r="A51" s="28"/>
      <c r="B51" s="29"/>
      <c r="C51" s="30"/>
      <c r="D51" s="30"/>
      <c r="E51" s="30"/>
      <c r="F51" s="30"/>
      <c r="G51" s="30"/>
      <c r="H51" s="30"/>
      <c r="I51" s="30"/>
      <c r="J51" s="33"/>
      <c r="L51" s="45">
        <f t="shared" si="5"/>
        <v>0</v>
      </c>
      <c r="M51" s="45">
        <f t="shared" si="5"/>
        <v>0</v>
      </c>
      <c r="N51" s="45">
        <f t="shared" si="5"/>
        <v>0</v>
      </c>
      <c r="O51" s="45">
        <f t="shared" si="4"/>
        <v>0</v>
      </c>
      <c r="P51" s="45">
        <f t="shared" si="4"/>
        <v>0</v>
      </c>
      <c r="Q51" s="45">
        <f t="shared" si="4"/>
        <v>0</v>
      </c>
      <c r="R51" s="45">
        <f t="shared" si="4"/>
        <v>0</v>
      </c>
      <c r="S51" s="45">
        <f t="shared" si="4"/>
        <v>0</v>
      </c>
      <c r="T51" s="45">
        <f t="shared" si="4"/>
        <v>0</v>
      </c>
      <c r="U51" s="46">
        <f t="shared" si="2"/>
        <v>0</v>
      </c>
      <c r="V51" s="46">
        <f t="shared" si="2"/>
        <v>0</v>
      </c>
      <c r="W51" s="46">
        <f t="shared" si="2"/>
        <v>0</v>
      </c>
      <c r="X51" s="46">
        <f t="shared" si="6"/>
        <v>0</v>
      </c>
    </row>
    <row r="52" spans="1:24" ht="20" customHeight="1" x14ac:dyDescent="0.35">
      <c r="A52" s="28"/>
      <c r="B52" s="29"/>
      <c r="C52" s="30"/>
      <c r="D52" s="30"/>
      <c r="E52" s="30"/>
      <c r="F52" s="30"/>
      <c r="G52" s="30"/>
      <c r="H52" s="30"/>
      <c r="I52" s="30"/>
      <c r="J52" s="33"/>
      <c r="L52" s="45">
        <f t="shared" si="5"/>
        <v>0</v>
      </c>
      <c r="M52" s="45">
        <f t="shared" si="5"/>
        <v>0</v>
      </c>
      <c r="N52" s="45">
        <f t="shared" si="5"/>
        <v>0</v>
      </c>
      <c r="O52" s="45">
        <f t="shared" si="4"/>
        <v>0</v>
      </c>
      <c r="P52" s="45">
        <f t="shared" si="4"/>
        <v>0</v>
      </c>
      <c r="Q52" s="45">
        <f t="shared" si="4"/>
        <v>0</v>
      </c>
      <c r="R52" s="45">
        <f t="shared" si="4"/>
        <v>0</v>
      </c>
      <c r="S52" s="45">
        <f t="shared" si="4"/>
        <v>0</v>
      </c>
      <c r="T52" s="45">
        <f t="shared" si="4"/>
        <v>0</v>
      </c>
      <c r="U52" s="46">
        <f t="shared" si="2"/>
        <v>0</v>
      </c>
      <c r="V52" s="46">
        <f t="shared" si="2"/>
        <v>0</v>
      </c>
      <c r="W52" s="46">
        <f t="shared" si="2"/>
        <v>0</v>
      </c>
      <c r="X52" s="46">
        <f t="shared" si="6"/>
        <v>0</v>
      </c>
    </row>
    <row r="53" spans="1:24" ht="20" customHeight="1" x14ac:dyDescent="0.35">
      <c r="A53" s="28"/>
      <c r="B53" s="29"/>
      <c r="C53" s="30"/>
      <c r="D53" s="30"/>
      <c r="E53" s="30"/>
      <c r="F53" s="30"/>
      <c r="G53" s="30"/>
      <c r="H53" s="30"/>
      <c r="I53" s="30"/>
      <c r="J53" s="33"/>
      <c r="L53" s="45">
        <f t="shared" si="5"/>
        <v>0</v>
      </c>
      <c r="M53" s="45">
        <f t="shared" si="5"/>
        <v>0</v>
      </c>
      <c r="N53" s="45">
        <f t="shared" si="5"/>
        <v>0</v>
      </c>
      <c r="O53" s="45">
        <f t="shared" si="4"/>
        <v>0</v>
      </c>
      <c r="P53" s="45">
        <f t="shared" si="4"/>
        <v>0</v>
      </c>
      <c r="Q53" s="45">
        <f t="shared" si="4"/>
        <v>0</v>
      </c>
      <c r="R53" s="45">
        <f t="shared" si="4"/>
        <v>0</v>
      </c>
      <c r="S53" s="45">
        <f t="shared" si="4"/>
        <v>0</v>
      </c>
      <c r="T53" s="45">
        <f t="shared" si="4"/>
        <v>0</v>
      </c>
      <c r="U53" s="46">
        <f t="shared" si="2"/>
        <v>0</v>
      </c>
      <c r="V53" s="46">
        <f t="shared" si="2"/>
        <v>0</v>
      </c>
      <c r="W53" s="46">
        <f t="shared" si="2"/>
        <v>0</v>
      </c>
      <c r="X53" s="46">
        <f t="shared" si="6"/>
        <v>0</v>
      </c>
    </row>
    <row r="54" spans="1:24" ht="20" customHeight="1" x14ac:dyDescent="0.35">
      <c r="A54" s="28"/>
      <c r="B54" s="29"/>
      <c r="C54" s="30"/>
      <c r="D54" s="30"/>
      <c r="E54" s="30"/>
      <c r="F54" s="30"/>
      <c r="G54" s="30"/>
      <c r="H54" s="30"/>
      <c r="I54" s="30"/>
      <c r="J54" s="33"/>
      <c r="L54" s="45">
        <f t="shared" si="5"/>
        <v>0</v>
      </c>
      <c r="M54" s="45">
        <f t="shared" si="5"/>
        <v>0</v>
      </c>
      <c r="N54" s="45">
        <f t="shared" si="5"/>
        <v>0</v>
      </c>
      <c r="O54" s="45">
        <f t="shared" si="4"/>
        <v>0</v>
      </c>
      <c r="P54" s="45">
        <f t="shared" si="4"/>
        <v>0</v>
      </c>
      <c r="Q54" s="45">
        <f t="shared" si="4"/>
        <v>0</v>
      </c>
      <c r="R54" s="45">
        <f t="shared" si="4"/>
        <v>0</v>
      </c>
      <c r="S54" s="45">
        <f t="shared" si="4"/>
        <v>0</v>
      </c>
      <c r="T54" s="45">
        <f t="shared" si="4"/>
        <v>0</v>
      </c>
      <c r="U54" s="46">
        <f t="shared" si="2"/>
        <v>0</v>
      </c>
      <c r="V54" s="46">
        <f t="shared" si="2"/>
        <v>0</v>
      </c>
      <c r="W54" s="46">
        <f t="shared" si="2"/>
        <v>0</v>
      </c>
      <c r="X54" s="46">
        <f t="shared" si="6"/>
        <v>0</v>
      </c>
    </row>
    <row r="55" spans="1:24" ht="20" customHeight="1" x14ac:dyDescent="0.35">
      <c r="A55" s="28"/>
      <c r="B55" s="29"/>
      <c r="C55" s="30"/>
      <c r="D55" s="30"/>
      <c r="E55" s="30"/>
      <c r="F55" s="30"/>
      <c r="G55" s="30"/>
      <c r="H55" s="30"/>
      <c r="I55" s="30"/>
      <c r="J55" s="33"/>
      <c r="L55" s="45">
        <f t="shared" si="5"/>
        <v>0</v>
      </c>
      <c r="M55" s="45">
        <f t="shared" si="5"/>
        <v>0</v>
      </c>
      <c r="N55" s="45">
        <f t="shared" si="5"/>
        <v>0</v>
      </c>
      <c r="O55" s="45">
        <f t="shared" si="4"/>
        <v>0</v>
      </c>
      <c r="P55" s="45">
        <f t="shared" si="4"/>
        <v>0</v>
      </c>
      <c r="Q55" s="45">
        <f t="shared" si="4"/>
        <v>0</v>
      </c>
      <c r="R55" s="45">
        <f t="shared" si="4"/>
        <v>0</v>
      </c>
      <c r="S55" s="45">
        <f t="shared" si="4"/>
        <v>0</v>
      </c>
      <c r="T55" s="45">
        <f t="shared" si="4"/>
        <v>0</v>
      </c>
      <c r="U55" s="46">
        <f t="shared" si="2"/>
        <v>0</v>
      </c>
      <c r="V55" s="46">
        <f t="shared" si="2"/>
        <v>0</v>
      </c>
      <c r="W55" s="46">
        <f t="shared" si="2"/>
        <v>0</v>
      </c>
      <c r="X55" s="46">
        <f t="shared" si="6"/>
        <v>0</v>
      </c>
    </row>
    <row r="56" spans="1:24" ht="20" customHeight="1" x14ac:dyDescent="0.35">
      <c r="A56" s="28"/>
      <c r="B56" s="29"/>
      <c r="C56" s="30"/>
      <c r="D56" s="30"/>
      <c r="E56" s="30"/>
      <c r="F56" s="30"/>
      <c r="G56" s="30"/>
      <c r="H56" s="30"/>
      <c r="I56" s="30"/>
      <c r="J56" s="33"/>
      <c r="L56" s="45">
        <f t="shared" si="5"/>
        <v>0</v>
      </c>
      <c r="M56" s="45">
        <f t="shared" si="5"/>
        <v>0</v>
      </c>
      <c r="N56" s="45">
        <f t="shared" si="5"/>
        <v>0</v>
      </c>
      <c r="O56" s="45">
        <f t="shared" si="4"/>
        <v>0</v>
      </c>
      <c r="P56" s="45">
        <f t="shared" si="4"/>
        <v>0</v>
      </c>
      <c r="Q56" s="45">
        <f t="shared" si="4"/>
        <v>0</v>
      </c>
      <c r="R56" s="45">
        <f t="shared" si="4"/>
        <v>0</v>
      </c>
      <c r="S56" s="45">
        <f t="shared" si="4"/>
        <v>0</v>
      </c>
      <c r="T56" s="45">
        <f t="shared" si="4"/>
        <v>0</v>
      </c>
      <c r="U56" s="46">
        <f t="shared" si="2"/>
        <v>0</v>
      </c>
      <c r="V56" s="46">
        <f t="shared" si="2"/>
        <v>0</v>
      </c>
      <c r="W56" s="46">
        <f t="shared" si="2"/>
        <v>0</v>
      </c>
      <c r="X56" s="46">
        <f t="shared" si="6"/>
        <v>0</v>
      </c>
    </row>
    <row r="57" spans="1:24" ht="20" customHeight="1" x14ac:dyDescent="0.35">
      <c r="A57" s="28"/>
      <c r="B57" s="29"/>
      <c r="C57" s="30"/>
      <c r="D57" s="30"/>
      <c r="E57" s="30"/>
      <c r="F57" s="30"/>
      <c r="G57" s="30"/>
      <c r="H57" s="30"/>
      <c r="I57" s="30"/>
      <c r="J57" s="33"/>
      <c r="L57" s="45">
        <f t="shared" si="5"/>
        <v>0</v>
      </c>
      <c r="M57" s="45">
        <f t="shared" si="5"/>
        <v>0</v>
      </c>
      <c r="N57" s="45">
        <f t="shared" si="5"/>
        <v>0</v>
      </c>
      <c r="O57" s="45">
        <f t="shared" si="4"/>
        <v>0</v>
      </c>
      <c r="P57" s="45">
        <f t="shared" si="4"/>
        <v>0</v>
      </c>
      <c r="Q57" s="45">
        <f t="shared" si="4"/>
        <v>0</v>
      </c>
      <c r="R57" s="45">
        <f t="shared" si="4"/>
        <v>0</v>
      </c>
      <c r="S57" s="45">
        <f t="shared" si="4"/>
        <v>0</v>
      </c>
      <c r="T57" s="45">
        <f t="shared" si="4"/>
        <v>0</v>
      </c>
      <c r="U57" s="46">
        <f t="shared" si="2"/>
        <v>0</v>
      </c>
      <c r="V57" s="46">
        <f t="shared" si="2"/>
        <v>0</v>
      </c>
      <c r="W57" s="46">
        <f t="shared" si="2"/>
        <v>0</v>
      </c>
      <c r="X57" s="46">
        <f t="shared" si="6"/>
        <v>0</v>
      </c>
    </row>
    <row r="58" spans="1:24" ht="20" customHeight="1" x14ac:dyDescent="0.35">
      <c r="A58" s="28"/>
      <c r="B58" s="29"/>
      <c r="C58" s="30"/>
      <c r="D58" s="30"/>
      <c r="E58" s="30"/>
      <c r="F58" s="30"/>
      <c r="G58" s="30"/>
      <c r="H58" s="30"/>
      <c r="I58" s="30"/>
      <c r="J58" s="33"/>
      <c r="L58" s="45">
        <f t="shared" si="5"/>
        <v>0</v>
      </c>
      <c r="M58" s="45">
        <f t="shared" si="5"/>
        <v>0</v>
      </c>
      <c r="N58" s="45">
        <f t="shared" si="5"/>
        <v>0</v>
      </c>
      <c r="O58" s="45">
        <f t="shared" si="4"/>
        <v>0</v>
      </c>
      <c r="P58" s="45">
        <f t="shared" si="4"/>
        <v>0</v>
      </c>
      <c r="Q58" s="45">
        <f t="shared" si="4"/>
        <v>0</v>
      </c>
      <c r="R58" s="45">
        <f t="shared" si="4"/>
        <v>0</v>
      </c>
      <c r="S58" s="45">
        <f t="shared" si="4"/>
        <v>0</v>
      </c>
      <c r="T58" s="45">
        <f t="shared" si="4"/>
        <v>0</v>
      </c>
      <c r="U58" s="46">
        <f t="shared" si="2"/>
        <v>0</v>
      </c>
      <c r="V58" s="46">
        <f t="shared" si="2"/>
        <v>0</v>
      </c>
      <c r="W58" s="46">
        <f t="shared" si="2"/>
        <v>0</v>
      </c>
      <c r="X58" s="46">
        <f t="shared" si="6"/>
        <v>0</v>
      </c>
    </row>
    <row r="59" spans="1:24" ht="20" customHeight="1" x14ac:dyDescent="0.35">
      <c r="A59" s="28"/>
      <c r="B59" s="29"/>
      <c r="C59" s="30"/>
      <c r="D59" s="30"/>
      <c r="E59" s="30"/>
      <c r="F59" s="30"/>
      <c r="G59" s="30"/>
      <c r="H59" s="30"/>
      <c r="I59" s="30"/>
      <c r="J59" s="33"/>
      <c r="L59" s="45">
        <f t="shared" si="5"/>
        <v>0</v>
      </c>
      <c r="M59" s="45">
        <f t="shared" si="5"/>
        <v>0</v>
      </c>
      <c r="N59" s="45">
        <f t="shared" si="5"/>
        <v>0</v>
      </c>
      <c r="O59" s="45">
        <f t="shared" si="4"/>
        <v>0</v>
      </c>
      <c r="P59" s="45">
        <f t="shared" si="4"/>
        <v>0</v>
      </c>
      <c r="Q59" s="45">
        <f t="shared" si="4"/>
        <v>0</v>
      </c>
      <c r="R59" s="45">
        <f t="shared" si="4"/>
        <v>0</v>
      </c>
      <c r="S59" s="45">
        <f t="shared" si="4"/>
        <v>0</v>
      </c>
      <c r="T59" s="45">
        <f t="shared" si="4"/>
        <v>0</v>
      </c>
      <c r="U59" s="46">
        <f t="shared" si="2"/>
        <v>0</v>
      </c>
      <c r="V59" s="46">
        <f t="shared" si="2"/>
        <v>0</v>
      </c>
      <c r="W59" s="46">
        <f t="shared" si="2"/>
        <v>0</v>
      </c>
      <c r="X59" s="46">
        <f t="shared" si="6"/>
        <v>0</v>
      </c>
    </row>
    <row r="60" spans="1:24" ht="20" customHeight="1" x14ac:dyDescent="0.35">
      <c r="A60" s="28"/>
      <c r="B60" s="29"/>
      <c r="C60" s="30"/>
      <c r="D60" s="30"/>
      <c r="E60" s="30"/>
      <c r="F60" s="30"/>
      <c r="G60" s="30"/>
      <c r="H60" s="30"/>
      <c r="I60" s="30"/>
      <c r="J60" s="33"/>
      <c r="L60" s="45">
        <f t="shared" si="5"/>
        <v>0</v>
      </c>
      <c r="M60" s="45">
        <f t="shared" si="5"/>
        <v>0</v>
      </c>
      <c r="N60" s="45">
        <f t="shared" si="5"/>
        <v>0</v>
      </c>
      <c r="O60" s="45">
        <f t="shared" si="4"/>
        <v>0</v>
      </c>
      <c r="P60" s="45">
        <f t="shared" si="4"/>
        <v>0</v>
      </c>
      <c r="Q60" s="45">
        <f t="shared" si="4"/>
        <v>0</v>
      </c>
      <c r="R60" s="45">
        <f t="shared" si="4"/>
        <v>0</v>
      </c>
      <c r="S60" s="45">
        <f t="shared" si="4"/>
        <v>0</v>
      </c>
      <c r="T60" s="45">
        <f t="shared" si="4"/>
        <v>0</v>
      </c>
      <c r="U60" s="46">
        <f t="shared" si="2"/>
        <v>0</v>
      </c>
      <c r="V60" s="46">
        <f t="shared" si="2"/>
        <v>0</v>
      </c>
      <c r="W60" s="46">
        <f t="shared" si="2"/>
        <v>0</v>
      </c>
      <c r="X60" s="46">
        <f t="shared" si="6"/>
        <v>0</v>
      </c>
    </row>
    <row r="61" spans="1:24" ht="20" customHeight="1" x14ac:dyDescent="0.35">
      <c r="A61" s="28"/>
      <c r="B61" s="29"/>
      <c r="C61" s="30"/>
      <c r="D61" s="30"/>
      <c r="E61" s="30"/>
      <c r="F61" s="30"/>
      <c r="G61" s="30"/>
      <c r="H61" s="30"/>
      <c r="I61" s="30"/>
      <c r="J61" s="33"/>
      <c r="L61" s="45">
        <f t="shared" si="5"/>
        <v>0</v>
      </c>
      <c r="M61" s="45">
        <f t="shared" si="5"/>
        <v>0</v>
      </c>
      <c r="N61" s="45">
        <f t="shared" si="5"/>
        <v>0</v>
      </c>
      <c r="O61" s="45">
        <f t="shared" si="4"/>
        <v>0</v>
      </c>
      <c r="P61" s="45">
        <f t="shared" si="4"/>
        <v>0</v>
      </c>
      <c r="Q61" s="45">
        <f t="shared" si="4"/>
        <v>0</v>
      </c>
      <c r="R61" s="45">
        <f t="shared" si="4"/>
        <v>0</v>
      </c>
      <c r="S61" s="45">
        <f t="shared" si="4"/>
        <v>0</v>
      </c>
      <c r="T61" s="45">
        <f t="shared" si="4"/>
        <v>0</v>
      </c>
      <c r="U61" s="46">
        <f t="shared" si="2"/>
        <v>0</v>
      </c>
      <c r="V61" s="46">
        <f t="shared" si="2"/>
        <v>0</v>
      </c>
      <c r="W61" s="46">
        <f t="shared" si="2"/>
        <v>0</v>
      </c>
      <c r="X61" s="46">
        <f t="shared" si="6"/>
        <v>0</v>
      </c>
    </row>
    <row r="62" spans="1:24" ht="20" customHeight="1" x14ac:dyDescent="0.35">
      <c r="A62" s="28"/>
      <c r="B62" s="29"/>
      <c r="C62" s="30"/>
      <c r="D62" s="30"/>
      <c r="E62" s="30"/>
      <c r="F62" s="30"/>
      <c r="G62" s="30"/>
      <c r="H62" s="30"/>
      <c r="I62" s="30"/>
      <c r="J62" s="33"/>
      <c r="L62" s="45">
        <f t="shared" si="5"/>
        <v>0</v>
      </c>
      <c r="M62" s="45">
        <f t="shared" si="5"/>
        <v>0</v>
      </c>
      <c r="N62" s="45">
        <f t="shared" si="5"/>
        <v>0</v>
      </c>
      <c r="O62" s="45">
        <f t="shared" si="4"/>
        <v>0</v>
      </c>
      <c r="P62" s="45">
        <f t="shared" si="4"/>
        <v>0</v>
      </c>
      <c r="Q62" s="45">
        <f t="shared" si="4"/>
        <v>0</v>
      </c>
      <c r="R62" s="45">
        <f t="shared" si="4"/>
        <v>0</v>
      </c>
      <c r="S62" s="45">
        <f t="shared" si="4"/>
        <v>0</v>
      </c>
      <c r="T62" s="45">
        <f t="shared" si="4"/>
        <v>0</v>
      </c>
      <c r="U62" s="46">
        <f t="shared" si="2"/>
        <v>0</v>
      </c>
      <c r="V62" s="46">
        <f t="shared" si="2"/>
        <v>0</v>
      </c>
      <c r="W62" s="46">
        <f t="shared" si="2"/>
        <v>0</v>
      </c>
      <c r="X62" s="46">
        <f t="shared" si="6"/>
        <v>0</v>
      </c>
    </row>
    <row r="63" spans="1:24" ht="16.75" customHeight="1" x14ac:dyDescent="0.35">
      <c r="A63" s="28"/>
      <c r="B63" s="29"/>
      <c r="C63" s="30"/>
      <c r="D63" s="30"/>
      <c r="E63" s="30"/>
      <c r="F63" s="30"/>
      <c r="G63" s="30"/>
      <c r="H63" s="30"/>
      <c r="I63" s="30"/>
      <c r="J63" s="33"/>
      <c r="L63" s="45">
        <f t="shared" si="5"/>
        <v>0</v>
      </c>
      <c r="M63" s="45">
        <f t="shared" si="5"/>
        <v>0</v>
      </c>
      <c r="N63" s="45">
        <f t="shared" si="5"/>
        <v>0</v>
      </c>
      <c r="O63" s="45">
        <f t="shared" si="4"/>
        <v>0</v>
      </c>
      <c r="P63" s="45">
        <f t="shared" si="4"/>
        <v>0</v>
      </c>
      <c r="Q63" s="45">
        <f t="shared" si="4"/>
        <v>0</v>
      </c>
      <c r="R63" s="45">
        <f t="shared" si="4"/>
        <v>0</v>
      </c>
      <c r="S63" s="45">
        <f t="shared" si="4"/>
        <v>0</v>
      </c>
      <c r="T63" s="45">
        <f t="shared" si="4"/>
        <v>0</v>
      </c>
      <c r="U63" s="46">
        <f t="shared" si="2"/>
        <v>0</v>
      </c>
      <c r="V63" s="46">
        <f t="shared" si="2"/>
        <v>0</v>
      </c>
      <c r="W63" s="46">
        <f t="shared" si="2"/>
        <v>0</v>
      </c>
      <c r="X63" s="46">
        <f t="shared" si="6"/>
        <v>0</v>
      </c>
    </row>
    <row r="64" spans="1:24" ht="20" customHeight="1" x14ac:dyDescent="0.35">
      <c r="A64" s="28"/>
      <c r="B64" s="29"/>
      <c r="C64" s="30"/>
      <c r="D64" s="30"/>
      <c r="E64" s="30"/>
      <c r="F64" s="30"/>
      <c r="G64" s="30"/>
      <c r="H64" s="30"/>
      <c r="I64" s="30"/>
      <c r="J64" s="33"/>
      <c r="L64" s="45">
        <f t="shared" si="5"/>
        <v>0</v>
      </c>
      <c r="M64" s="45">
        <f t="shared" si="5"/>
        <v>0</v>
      </c>
      <c r="N64" s="45">
        <f t="shared" si="5"/>
        <v>0</v>
      </c>
      <c r="O64" s="45">
        <f t="shared" si="4"/>
        <v>0</v>
      </c>
      <c r="P64" s="45">
        <f t="shared" si="4"/>
        <v>0</v>
      </c>
      <c r="Q64" s="45">
        <f t="shared" si="4"/>
        <v>0</v>
      </c>
      <c r="R64" s="45">
        <f t="shared" si="4"/>
        <v>0</v>
      </c>
      <c r="S64" s="45">
        <f t="shared" si="4"/>
        <v>0</v>
      </c>
      <c r="T64" s="45">
        <f t="shared" si="4"/>
        <v>0</v>
      </c>
      <c r="U64" s="46">
        <f t="shared" si="2"/>
        <v>0</v>
      </c>
      <c r="V64" s="46">
        <f t="shared" si="2"/>
        <v>0</v>
      </c>
      <c r="W64" s="46">
        <f t="shared" si="2"/>
        <v>0</v>
      </c>
      <c r="X64" s="46">
        <f t="shared" si="6"/>
        <v>0</v>
      </c>
    </row>
    <row r="65" spans="1:24" ht="20" customHeight="1" x14ac:dyDescent="0.35">
      <c r="A65" s="28"/>
      <c r="B65" s="29"/>
      <c r="C65" s="30"/>
      <c r="D65" s="30"/>
      <c r="E65" s="30"/>
      <c r="F65" s="30"/>
      <c r="G65" s="30"/>
      <c r="H65" s="30"/>
      <c r="I65" s="30"/>
      <c r="J65" s="33"/>
      <c r="L65" s="45">
        <f t="shared" si="5"/>
        <v>0</v>
      </c>
      <c r="M65" s="45">
        <f t="shared" si="5"/>
        <v>0</v>
      </c>
      <c r="N65" s="45">
        <f t="shared" si="5"/>
        <v>0</v>
      </c>
      <c r="O65" s="45">
        <f t="shared" si="4"/>
        <v>0</v>
      </c>
      <c r="P65" s="45">
        <f t="shared" si="4"/>
        <v>0</v>
      </c>
      <c r="Q65" s="45">
        <f t="shared" si="4"/>
        <v>0</v>
      </c>
      <c r="R65" s="45">
        <f t="shared" si="4"/>
        <v>0</v>
      </c>
      <c r="S65" s="45">
        <f t="shared" si="4"/>
        <v>0</v>
      </c>
      <c r="T65" s="45">
        <f t="shared" si="4"/>
        <v>0</v>
      </c>
      <c r="U65" s="46">
        <f t="shared" si="2"/>
        <v>0</v>
      </c>
      <c r="V65" s="46">
        <f t="shared" si="2"/>
        <v>0</v>
      </c>
      <c r="W65" s="46">
        <f t="shared" si="2"/>
        <v>0</v>
      </c>
      <c r="X65" s="46">
        <f t="shared" si="6"/>
        <v>0</v>
      </c>
    </row>
    <row r="66" spans="1:24" ht="20" customHeight="1" x14ac:dyDescent="0.35">
      <c r="A66" s="28"/>
      <c r="B66" s="29"/>
      <c r="C66" s="30"/>
      <c r="D66" s="30"/>
      <c r="E66" s="30"/>
      <c r="F66" s="30"/>
      <c r="G66" s="30"/>
      <c r="H66" s="30"/>
      <c r="I66" s="30"/>
      <c r="J66" s="33"/>
      <c r="L66" s="45">
        <f t="shared" si="5"/>
        <v>0</v>
      </c>
      <c r="M66" s="45">
        <f t="shared" si="5"/>
        <v>0</v>
      </c>
      <c r="N66" s="45">
        <f t="shared" si="5"/>
        <v>0</v>
      </c>
      <c r="O66" s="45">
        <f t="shared" si="4"/>
        <v>0</v>
      </c>
      <c r="P66" s="45">
        <f t="shared" si="4"/>
        <v>0</v>
      </c>
      <c r="Q66" s="45">
        <f t="shared" si="4"/>
        <v>0</v>
      </c>
      <c r="R66" s="45">
        <f t="shared" si="4"/>
        <v>0</v>
      </c>
      <c r="S66" s="45">
        <f t="shared" si="4"/>
        <v>0</v>
      </c>
      <c r="T66" s="45">
        <f t="shared" si="4"/>
        <v>0</v>
      </c>
      <c r="U66" s="46">
        <f t="shared" si="2"/>
        <v>0</v>
      </c>
      <c r="V66" s="46">
        <f t="shared" si="2"/>
        <v>0</v>
      </c>
      <c r="W66" s="46">
        <f t="shared" si="2"/>
        <v>0</v>
      </c>
      <c r="X66" s="46">
        <f t="shared" si="6"/>
        <v>0</v>
      </c>
    </row>
    <row r="67" spans="1:24" ht="20" customHeight="1" x14ac:dyDescent="0.35">
      <c r="A67" s="28"/>
      <c r="B67" s="29"/>
      <c r="C67" s="30"/>
      <c r="D67" s="30"/>
      <c r="E67" s="30"/>
      <c r="F67" s="30"/>
      <c r="G67" s="30"/>
      <c r="H67" s="30"/>
      <c r="I67" s="30"/>
      <c r="J67" s="33"/>
      <c r="L67" s="45">
        <f t="shared" si="5"/>
        <v>0</v>
      </c>
      <c r="M67" s="45">
        <f t="shared" si="5"/>
        <v>0</v>
      </c>
      <c r="N67" s="45">
        <f t="shared" si="5"/>
        <v>0</v>
      </c>
      <c r="O67" s="45">
        <f t="shared" si="4"/>
        <v>0</v>
      </c>
      <c r="P67" s="45">
        <f t="shared" si="4"/>
        <v>0</v>
      </c>
      <c r="Q67" s="45">
        <f t="shared" si="4"/>
        <v>0</v>
      </c>
      <c r="R67" s="45">
        <f t="shared" si="4"/>
        <v>0</v>
      </c>
      <c r="S67" s="45">
        <f t="shared" si="4"/>
        <v>0</v>
      </c>
      <c r="T67" s="45">
        <f t="shared" si="4"/>
        <v>0</v>
      </c>
      <c r="U67" s="46">
        <f t="shared" si="2"/>
        <v>0</v>
      </c>
      <c r="V67" s="46">
        <f t="shared" si="2"/>
        <v>0</v>
      </c>
      <c r="W67" s="46">
        <f t="shared" si="2"/>
        <v>0</v>
      </c>
      <c r="X67" s="46">
        <f t="shared" si="6"/>
        <v>0</v>
      </c>
    </row>
    <row r="68" spans="1:24" ht="20" customHeight="1" x14ac:dyDescent="0.35">
      <c r="A68" s="28"/>
      <c r="B68" s="29"/>
      <c r="C68" s="30"/>
      <c r="D68" s="30"/>
      <c r="E68" s="30"/>
      <c r="F68" s="30"/>
      <c r="G68" s="30"/>
      <c r="H68" s="30"/>
      <c r="I68" s="30"/>
      <c r="J68" s="33"/>
      <c r="L68" s="45">
        <f t="shared" si="5"/>
        <v>0</v>
      </c>
      <c r="M68" s="45">
        <f t="shared" si="5"/>
        <v>0</v>
      </c>
      <c r="N68" s="45">
        <f t="shared" si="5"/>
        <v>0</v>
      </c>
      <c r="O68" s="45">
        <f t="shared" si="4"/>
        <v>0</v>
      </c>
      <c r="P68" s="45">
        <f t="shared" si="4"/>
        <v>0</v>
      </c>
      <c r="Q68" s="45">
        <f t="shared" si="4"/>
        <v>0</v>
      </c>
      <c r="R68" s="45">
        <f t="shared" si="4"/>
        <v>0</v>
      </c>
      <c r="S68" s="45">
        <f t="shared" si="4"/>
        <v>0</v>
      </c>
      <c r="T68" s="45">
        <f t="shared" si="4"/>
        <v>0</v>
      </c>
      <c r="U68" s="46">
        <f t="shared" si="2"/>
        <v>0</v>
      </c>
      <c r="V68" s="46">
        <f t="shared" si="2"/>
        <v>0</v>
      </c>
      <c r="W68" s="46">
        <f t="shared" si="2"/>
        <v>0</v>
      </c>
      <c r="X68" s="46">
        <f t="shared" si="6"/>
        <v>0</v>
      </c>
    </row>
    <row r="69" spans="1:24" ht="20" customHeight="1" x14ac:dyDescent="0.35">
      <c r="A69" s="28"/>
      <c r="B69" s="29"/>
      <c r="C69" s="30"/>
      <c r="D69" s="30"/>
      <c r="E69" s="30"/>
      <c r="F69" s="30"/>
      <c r="G69" s="30"/>
      <c r="H69" s="30"/>
      <c r="I69" s="30"/>
      <c r="J69" s="33"/>
      <c r="L69" s="45">
        <f t="shared" si="5"/>
        <v>0</v>
      </c>
      <c r="M69" s="45">
        <f t="shared" si="5"/>
        <v>0</v>
      </c>
      <c r="N69" s="45">
        <f t="shared" si="5"/>
        <v>0</v>
      </c>
      <c r="O69" s="45">
        <f t="shared" si="4"/>
        <v>0</v>
      </c>
      <c r="P69" s="45">
        <f t="shared" si="4"/>
        <v>0</v>
      </c>
      <c r="Q69" s="45">
        <f t="shared" si="4"/>
        <v>0</v>
      </c>
      <c r="R69" s="45">
        <f t="shared" si="4"/>
        <v>0</v>
      </c>
      <c r="S69" s="45">
        <f t="shared" si="4"/>
        <v>0</v>
      </c>
      <c r="T69" s="45">
        <f t="shared" si="4"/>
        <v>0</v>
      </c>
      <c r="U69" s="46">
        <f t="shared" si="2"/>
        <v>0</v>
      </c>
      <c r="V69" s="46">
        <f t="shared" si="2"/>
        <v>0</v>
      </c>
      <c r="W69" s="46">
        <f t="shared" si="2"/>
        <v>0</v>
      </c>
      <c r="X69" s="46">
        <f t="shared" si="6"/>
        <v>0</v>
      </c>
    </row>
    <row r="70" spans="1:24" ht="20" customHeight="1" x14ac:dyDescent="0.35">
      <c r="A70" s="28"/>
      <c r="B70" s="29"/>
      <c r="C70" s="30"/>
      <c r="D70" s="30"/>
      <c r="E70" s="30"/>
      <c r="F70" s="30"/>
      <c r="G70" s="30"/>
      <c r="H70" s="30"/>
      <c r="I70" s="30"/>
      <c r="J70" s="33"/>
      <c r="L70" s="45">
        <f t="shared" si="5"/>
        <v>0</v>
      </c>
      <c r="M70" s="45">
        <f t="shared" si="5"/>
        <v>0</v>
      </c>
      <c r="N70" s="45">
        <f t="shared" si="5"/>
        <v>0</v>
      </c>
      <c r="O70" s="45">
        <f t="shared" si="4"/>
        <v>0</v>
      </c>
      <c r="P70" s="45">
        <f t="shared" si="4"/>
        <v>0</v>
      </c>
      <c r="Q70" s="45">
        <f t="shared" si="4"/>
        <v>0</v>
      </c>
      <c r="R70" s="45">
        <f t="shared" si="4"/>
        <v>0</v>
      </c>
      <c r="S70" s="45">
        <f t="shared" si="4"/>
        <v>0</v>
      </c>
      <c r="T70" s="45">
        <f t="shared" si="4"/>
        <v>0</v>
      </c>
      <c r="U70" s="46">
        <f t="shared" si="2"/>
        <v>0</v>
      </c>
      <c r="V70" s="46">
        <f t="shared" si="2"/>
        <v>0</v>
      </c>
      <c r="W70" s="46">
        <f t="shared" si="2"/>
        <v>0</v>
      </c>
      <c r="X70" s="46">
        <f t="shared" ref="X70:X101" si="7">O70+P70+T70</f>
        <v>0</v>
      </c>
    </row>
    <row r="71" spans="1:24" ht="20" customHeight="1" x14ac:dyDescent="0.35">
      <c r="A71" s="28"/>
      <c r="B71" s="29"/>
      <c r="C71" s="30"/>
      <c r="D71" s="30"/>
      <c r="E71" s="30"/>
      <c r="F71" s="30"/>
      <c r="G71" s="30"/>
      <c r="H71" s="30"/>
      <c r="I71" s="30"/>
      <c r="J71" s="33"/>
      <c r="L71" s="45">
        <f t="shared" si="5"/>
        <v>0</v>
      </c>
      <c r="M71" s="45">
        <f t="shared" si="5"/>
        <v>0</v>
      </c>
      <c r="N71" s="45">
        <f t="shared" si="5"/>
        <v>0</v>
      </c>
      <c r="O71" s="45">
        <f t="shared" si="4"/>
        <v>0</v>
      </c>
      <c r="P71" s="45">
        <f t="shared" si="4"/>
        <v>0</v>
      </c>
      <c r="Q71" s="45">
        <f t="shared" si="4"/>
        <v>0</v>
      </c>
      <c r="R71" s="45">
        <f t="shared" si="4"/>
        <v>0</v>
      </c>
      <c r="S71" s="45">
        <f t="shared" si="4"/>
        <v>0</v>
      </c>
      <c r="T71" s="45">
        <f t="shared" si="4"/>
        <v>0</v>
      </c>
      <c r="U71" s="46">
        <f t="shared" si="2"/>
        <v>0</v>
      </c>
      <c r="V71" s="46">
        <f t="shared" si="2"/>
        <v>0</v>
      </c>
      <c r="W71" s="46">
        <f t="shared" si="2"/>
        <v>0</v>
      </c>
      <c r="X71" s="46">
        <f t="shared" si="7"/>
        <v>0</v>
      </c>
    </row>
    <row r="72" spans="1:24" ht="20" customHeight="1" x14ac:dyDescent="0.35">
      <c r="A72" s="28"/>
      <c r="B72" s="29"/>
      <c r="C72" s="30"/>
      <c r="D72" s="30"/>
      <c r="E72" s="30"/>
      <c r="F72" s="30"/>
      <c r="G72" s="30"/>
      <c r="H72" s="30"/>
      <c r="I72" s="30"/>
      <c r="J72" s="33"/>
      <c r="L72" s="45">
        <f t="shared" si="5"/>
        <v>0</v>
      </c>
      <c r="M72" s="45">
        <f t="shared" si="5"/>
        <v>0</v>
      </c>
      <c r="N72" s="45">
        <f t="shared" si="5"/>
        <v>0</v>
      </c>
      <c r="O72" s="45">
        <f t="shared" si="4"/>
        <v>0</v>
      </c>
      <c r="P72" s="45">
        <f t="shared" si="4"/>
        <v>0</v>
      </c>
      <c r="Q72" s="45">
        <f t="shared" si="4"/>
        <v>0</v>
      </c>
      <c r="R72" s="45">
        <f t="shared" si="4"/>
        <v>0</v>
      </c>
      <c r="S72" s="45">
        <f t="shared" si="4"/>
        <v>0</v>
      </c>
      <c r="T72" s="45">
        <f t="shared" si="4"/>
        <v>0</v>
      </c>
      <c r="U72" s="46">
        <f t="shared" si="2"/>
        <v>0</v>
      </c>
      <c r="V72" s="46">
        <f t="shared" si="2"/>
        <v>0</v>
      </c>
      <c r="W72" s="46">
        <f t="shared" si="2"/>
        <v>0</v>
      </c>
      <c r="X72" s="46">
        <f t="shared" si="7"/>
        <v>0</v>
      </c>
    </row>
    <row r="73" spans="1:24" ht="20" customHeight="1" x14ac:dyDescent="0.35">
      <c r="A73" s="28"/>
      <c r="B73" s="29"/>
      <c r="C73" s="30"/>
      <c r="D73" s="30"/>
      <c r="E73" s="30"/>
      <c r="F73" s="30"/>
      <c r="G73" s="30"/>
      <c r="H73" s="30"/>
      <c r="I73" s="30"/>
      <c r="J73" s="33"/>
      <c r="L73" s="45">
        <f t="shared" si="5"/>
        <v>0</v>
      </c>
      <c r="M73" s="45">
        <f t="shared" si="5"/>
        <v>0</v>
      </c>
      <c r="N73" s="45">
        <f t="shared" si="5"/>
        <v>0</v>
      </c>
      <c r="O73" s="45">
        <f t="shared" si="4"/>
        <v>0</v>
      </c>
      <c r="P73" s="45">
        <f t="shared" si="4"/>
        <v>0</v>
      </c>
      <c r="Q73" s="45">
        <f t="shared" si="4"/>
        <v>0</v>
      </c>
      <c r="R73" s="45">
        <f t="shared" si="4"/>
        <v>0</v>
      </c>
      <c r="S73" s="45">
        <f t="shared" si="4"/>
        <v>0</v>
      </c>
      <c r="T73" s="45">
        <f t="shared" si="4"/>
        <v>0</v>
      </c>
      <c r="U73" s="46">
        <f t="shared" ref="U73:W116" si="8">L73+Q73</f>
        <v>0</v>
      </c>
      <c r="V73" s="46">
        <f t="shared" si="8"/>
        <v>0</v>
      </c>
      <c r="W73" s="46">
        <f t="shared" si="8"/>
        <v>0</v>
      </c>
      <c r="X73" s="46">
        <f t="shared" si="7"/>
        <v>0</v>
      </c>
    </row>
    <row r="74" spans="1:24" ht="20" customHeight="1" x14ac:dyDescent="0.35">
      <c r="A74" s="28"/>
      <c r="B74" s="29"/>
      <c r="C74" s="30"/>
      <c r="D74" s="30"/>
      <c r="E74" s="30"/>
      <c r="F74" s="30"/>
      <c r="G74" s="30"/>
      <c r="H74" s="30"/>
      <c r="I74" s="30"/>
      <c r="J74" s="33"/>
      <c r="L74" s="45">
        <f t="shared" si="5"/>
        <v>0</v>
      </c>
      <c r="M74" s="45">
        <f t="shared" si="5"/>
        <v>0</v>
      </c>
      <c r="N74" s="45">
        <f t="shared" si="5"/>
        <v>0</v>
      </c>
      <c r="O74" s="45">
        <f t="shared" si="4"/>
        <v>0</v>
      </c>
      <c r="P74" s="45">
        <f t="shared" si="4"/>
        <v>0</v>
      </c>
      <c r="Q74" s="45">
        <f t="shared" si="4"/>
        <v>0</v>
      </c>
      <c r="R74" s="45">
        <f t="shared" si="4"/>
        <v>0</v>
      </c>
      <c r="S74" s="45">
        <f t="shared" si="4"/>
        <v>0</v>
      </c>
      <c r="T74" s="45">
        <f t="shared" si="4"/>
        <v>0</v>
      </c>
      <c r="U74" s="46">
        <f t="shared" si="8"/>
        <v>0</v>
      </c>
      <c r="V74" s="46">
        <f t="shared" si="8"/>
        <v>0</v>
      </c>
      <c r="W74" s="46">
        <f t="shared" si="8"/>
        <v>0</v>
      </c>
      <c r="X74" s="46">
        <f t="shared" si="7"/>
        <v>0</v>
      </c>
    </row>
    <row r="75" spans="1:24" ht="20" customHeight="1" x14ac:dyDescent="0.35">
      <c r="A75" s="28"/>
      <c r="B75" s="29"/>
      <c r="C75" s="30"/>
      <c r="D75" s="30"/>
      <c r="E75" s="30"/>
      <c r="F75" s="30"/>
      <c r="G75" s="30"/>
      <c r="H75" s="30"/>
      <c r="I75" s="30"/>
      <c r="J75" s="33"/>
      <c r="L75" s="45">
        <f t="shared" si="5"/>
        <v>0</v>
      </c>
      <c r="M75" s="45">
        <f t="shared" si="5"/>
        <v>0</v>
      </c>
      <c r="N75" s="45">
        <f t="shared" si="5"/>
        <v>0</v>
      </c>
      <c r="O75" s="45">
        <f t="shared" si="4"/>
        <v>0</v>
      </c>
      <c r="P75" s="45">
        <f t="shared" si="4"/>
        <v>0</v>
      </c>
      <c r="Q75" s="45">
        <f t="shared" si="4"/>
        <v>0</v>
      </c>
      <c r="R75" s="45">
        <f t="shared" si="4"/>
        <v>0</v>
      </c>
      <c r="S75" s="45">
        <f t="shared" si="4"/>
        <v>0</v>
      </c>
      <c r="T75" s="45">
        <f t="shared" si="4"/>
        <v>0</v>
      </c>
      <c r="U75" s="46">
        <f t="shared" si="8"/>
        <v>0</v>
      </c>
      <c r="V75" s="46">
        <f t="shared" si="8"/>
        <v>0</v>
      </c>
      <c r="W75" s="46">
        <f t="shared" si="8"/>
        <v>0</v>
      </c>
      <c r="X75" s="46">
        <f t="shared" si="7"/>
        <v>0</v>
      </c>
    </row>
    <row r="76" spans="1:24" ht="20" customHeight="1" x14ac:dyDescent="0.35">
      <c r="A76" s="28"/>
      <c r="B76" s="29"/>
      <c r="C76" s="30"/>
      <c r="D76" s="30"/>
      <c r="E76" s="30"/>
      <c r="F76" s="30"/>
      <c r="G76" s="30"/>
      <c r="H76" s="30"/>
      <c r="I76" s="30"/>
      <c r="J76" s="33"/>
      <c r="L76" s="45">
        <f t="shared" si="5"/>
        <v>0</v>
      </c>
      <c r="M76" s="45">
        <f t="shared" si="5"/>
        <v>0</v>
      </c>
      <c r="N76" s="45">
        <f t="shared" si="5"/>
        <v>0</v>
      </c>
      <c r="O76" s="45">
        <f t="shared" si="4"/>
        <v>0</v>
      </c>
      <c r="P76" s="45">
        <f t="shared" si="4"/>
        <v>0</v>
      </c>
      <c r="Q76" s="45">
        <f t="shared" si="4"/>
        <v>0</v>
      </c>
      <c r="R76" s="45">
        <f t="shared" si="4"/>
        <v>0</v>
      </c>
      <c r="S76" s="45">
        <f t="shared" si="4"/>
        <v>0</v>
      </c>
      <c r="T76" s="45">
        <f t="shared" si="4"/>
        <v>0</v>
      </c>
      <c r="U76" s="46">
        <f t="shared" si="8"/>
        <v>0</v>
      </c>
      <c r="V76" s="46">
        <f t="shared" si="8"/>
        <v>0</v>
      </c>
      <c r="W76" s="46">
        <f t="shared" si="8"/>
        <v>0</v>
      </c>
      <c r="X76" s="46">
        <f t="shared" si="7"/>
        <v>0</v>
      </c>
    </row>
    <row r="77" spans="1:24" ht="20" customHeight="1" x14ac:dyDescent="0.35">
      <c r="A77" s="28"/>
      <c r="B77" s="29"/>
      <c r="C77" s="30"/>
      <c r="D77" s="30"/>
      <c r="E77" s="30"/>
      <c r="F77" s="30"/>
      <c r="G77" s="30"/>
      <c r="H77" s="30"/>
      <c r="I77" s="30"/>
      <c r="J77" s="33"/>
      <c r="L77" s="45">
        <f t="shared" si="5"/>
        <v>0</v>
      </c>
      <c r="M77" s="45">
        <f t="shared" si="5"/>
        <v>0</v>
      </c>
      <c r="N77" s="45">
        <f t="shared" si="5"/>
        <v>0</v>
      </c>
      <c r="O77" s="45">
        <f t="shared" si="4"/>
        <v>0</v>
      </c>
      <c r="P77" s="45">
        <f t="shared" si="4"/>
        <v>0</v>
      </c>
      <c r="Q77" s="45">
        <f t="shared" si="4"/>
        <v>0</v>
      </c>
      <c r="R77" s="45">
        <f t="shared" si="4"/>
        <v>0</v>
      </c>
      <c r="S77" s="45">
        <f t="shared" si="4"/>
        <v>0</v>
      </c>
      <c r="T77" s="45">
        <f t="shared" si="4"/>
        <v>0</v>
      </c>
      <c r="U77" s="46">
        <f t="shared" si="8"/>
        <v>0</v>
      </c>
      <c r="V77" s="46">
        <f t="shared" si="8"/>
        <v>0</v>
      </c>
      <c r="W77" s="46">
        <f t="shared" si="8"/>
        <v>0</v>
      </c>
      <c r="X77" s="46">
        <f t="shared" si="7"/>
        <v>0</v>
      </c>
    </row>
    <row r="78" spans="1:24" ht="20" customHeight="1" x14ac:dyDescent="0.35">
      <c r="A78" s="28"/>
      <c r="B78" s="29"/>
      <c r="C78" s="30"/>
      <c r="D78" s="30"/>
      <c r="E78" s="30"/>
      <c r="F78" s="30"/>
      <c r="G78" s="30"/>
      <c r="H78" s="30"/>
      <c r="I78" s="30"/>
      <c r="J78" s="33"/>
      <c r="L78" s="45">
        <f t="shared" si="5"/>
        <v>0</v>
      </c>
      <c r="M78" s="45">
        <f t="shared" si="5"/>
        <v>0</v>
      </c>
      <c r="N78" s="45">
        <f t="shared" si="5"/>
        <v>0</v>
      </c>
      <c r="O78" s="45">
        <f t="shared" si="4"/>
        <v>0</v>
      </c>
      <c r="P78" s="45">
        <f t="shared" si="4"/>
        <v>0</v>
      </c>
      <c r="Q78" s="45">
        <f t="shared" si="4"/>
        <v>0</v>
      </c>
      <c r="R78" s="45">
        <f t="shared" si="4"/>
        <v>0</v>
      </c>
      <c r="S78" s="45">
        <f t="shared" si="4"/>
        <v>0</v>
      </c>
      <c r="T78" s="45">
        <f t="shared" si="4"/>
        <v>0</v>
      </c>
      <c r="U78" s="46">
        <f t="shared" si="8"/>
        <v>0</v>
      </c>
      <c r="V78" s="46">
        <f t="shared" si="8"/>
        <v>0</v>
      </c>
      <c r="W78" s="46">
        <f t="shared" si="8"/>
        <v>0</v>
      </c>
      <c r="X78" s="46">
        <f t="shared" si="7"/>
        <v>0</v>
      </c>
    </row>
    <row r="79" spans="1:24" ht="20" customHeight="1" x14ac:dyDescent="0.35">
      <c r="A79" s="28"/>
      <c r="B79" s="29"/>
      <c r="C79" s="30"/>
      <c r="D79" s="30"/>
      <c r="E79" s="30"/>
      <c r="F79" s="30"/>
      <c r="G79" s="30"/>
      <c r="H79" s="30"/>
      <c r="I79" s="30"/>
      <c r="J79" s="33"/>
      <c r="L79" s="45">
        <f t="shared" si="5"/>
        <v>0</v>
      </c>
      <c r="M79" s="45">
        <f t="shared" si="5"/>
        <v>0</v>
      </c>
      <c r="N79" s="45">
        <f t="shared" si="5"/>
        <v>0</v>
      </c>
      <c r="O79" s="45">
        <f t="shared" si="4"/>
        <v>0</v>
      </c>
      <c r="P79" s="45">
        <f t="shared" si="4"/>
        <v>0</v>
      </c>
      <c r="Q79" s="45">
        <f t="shared" si="4"/>
        <v>0</v>
      </c>
      <c r="R79" s="45">
        <f t="shared" ref="R79:T116" si="9">IFERROR(H80-H79,0)</f>
        <v>0</v>
      </c>
      <c r="S79" s="45">
        <f t="shared" si="9"/>
        <v>0</v>
      </c>
      <c r="T79" s="45">
        <f t="shared" si="9"/>
        <v>0</v>
      </c>
      <c r="U79" s="46">
        <f t="shared" si="8"/>
        <v>0</v>
      </c>
      <c r="V79" s="46">
        <f t="shared" si="8"/>
        <v>0</v>
      </c>
      <c r="W79" s="46">
        <f t="shared" si="8"/>
        <v>0</v>
      </c>
      <c r="X79" s="46">
        <f t="shared" si="7"/>
        <v>0</v>
      </c>
    </row>
    <row r="80" spans="1:24" ht="20" customHeight="1" x14ac:dyDescent="0.35">
      <c r="A80" s="28"/>
      <c r="B80" s="29"/>
      <c r="C80" s="30"/>
      <c r="D80" s="30"/>
      <c r="E80" s="30"/>
      <c r="F80" s="30"/>
      <c r="G80" s="30"/>
      <c r="H80" s="30"/>
      <c r="I80" s="30"/>
      <c r="J80" s="33"/>
      <c r="L80" s="45">
        <f t="shared" si="5"/>
        <v>0</v>
      </c>
      <c r="M80" s="45">
        <f t="shared" si="5"/>
        <v>0</v>
      </c>
      <c r="N80" s="45">
        <f t="shared" si="5"/>
        <v>0</v>
      </c>
      <c r="O80" s="45">
        <f t="shared" si="5"/>
        <v>0</v>
      </c>
      <c r="P80" s="45">
        <f t="shared" si="5"/>
        <v>0</v>
      </c>
      <c r="Q80" s="45">
        <f t="shared" si="5"/>
        <v>0</v>
      </c>
      <c r="R80" s="45">
        <f t="shared" si="9"/>
        <v>0</v>
      </c>
      <c r="S80" s="45">
        <f t="shared" si="9"/>
        <v>0</v>
      </c>
      <c r="T80" s="45">
        <f t="shared" si="9"/>
        <v>0</v>
      </c>
      <c r="U80" s="46">
        <f t="shared" si="8"/>
        <v>0</v>
      </c>
      <c r="V80" s="46">
        <f t="shared" si="8"/>
        <v>0</v>
      </c>
      <c r="W80" s="46">
        <f t="shared" si="8"/>
        <v>0</v>
      </c>
      <c r="X80" s="46">
        <f t="shared" si="7"/>
        <v>0</v>
      </c>
    </row>
    <row r="81" spans="1:24" ht="16.75" customHeight="1" x14ac:dyDescent="0.35">
      <c r="A81" s="28"/>
      <c r="B81" s="29"/>
      <c r="C81" s="30"/>
      <c r="D81" s="30"/>
      <c r="E81" s="30"/>
      <c r="F81" s="30"/>
      <c r="G81" s="30"/>
      <c r="H81" s="30"/>
      <c r="I81" s="30"/>
      <c r="J81" s="33"/>
      <c r="L81" s="45">
        <f t="shared" si="5"/>
        <v>0</v>
      </c>
      <c r="M81" s="45">
        <f t="shared" si="5"/>
        <v>0</v>
      </c>
      <c r="N81" s="45">
        <f t="shared" si="5"/>
        <v>0</v>
      </c>
      <c r="O81" s="45">
        <f t="shared" si="5"/>
        <v>0</v>
      </c>
      <c r="P81" s="45">
        <f t="shared" si="5"/>
        <v>0</v>
      </c>
      <c r="Q81" s="45">
        <f t="shared" si="5"/>
        <v>0</v>
      </c>
      <c r="R81" s="45">
        <f t="shared" si="9"/>
        <v>0</v>
      </c>
      <c r="S81" s="45">
        <f t="shared" si="9"/>
        <v>0</v>
      </c>
      <c r="T81" s="45">
        <f t="shared" si="9"/>
        <v>0</v>
      </c>
      <c r="U81" s="46">
        <f t="shared" si="8"/>
        <v>0</v>
      </c>
      <c r="V81" s="46">
        <f t="shared" si="8"/>
        <v>0</v>
      </c>
      <c r="W81" s="46">
        <f t="shared" si="8"/>
        <v>0</v>
      </c>
      <c r="X81" s="46">
        <f t="shared" si="7"/>
        <v>0</v>
      </c>
    </row>
    <row r="82" spans="1:24" ht="20" customHeight="1" x14ac:dyDescent="0.35">
      <c r="A82" s="28"/>
      <c r="B82" s="29"/>
      <c r="C82" s="30"/>
      <c r="D82" s="30"/>
      <c r="E82" s="30"/>
      <c r="F82" s="30"/>
      <c r="G82" s="30"/>
      <c r="H82" s="30"/>
      <c r="I82" s="30"/>
      <c r="J82" s="33"/>
      <c r="L82" s="45">
        <f t="shared" si="5"/>
        <v>0</v>
      </c>
      <c r="M82" s="45">
        <f t="shared" si="5"/>
        <v>0</v>
      </c>
      <c r="N82" s="45">
        <f t="shared" si="5"/>
        <v>0</v>
      </c>
      <c r="O82" s="45">
        <f t="shared" si="5"/>
        <v>0</v>
      </c>
      <c r="P82" s="45">
        <f t="shared" si="5"/>
        <v>0</v>
      </c>
      <c r="Q82" s="45">
        <f t="shared" si="5"/>
        <v>0</v>
      </c>
      <c r="R82" s="45">
        <f t="shared" si="9"/>
        <v>0</v>
      </c>
      <c r="S82" s="45">
        <f t="shared" si="9"/>
        <v>0</v>
      </c>
      <c r="T82" s="45">
        <f t="shared" si="9"/>
        <v>0</v>
      </c>
      <c r="U82" s="46">
        <f t="shared" si="8"/>
        <v>0</v>
      </c>
      <c r="V82" s="46">
        <f t="shared" si="8"/>
        <v>0</v>
      </c>
      <c r="W82" s="46">
        <f t="shared" si="8"/>
        <v>0</v>
      </c>
      <c r="X82" s="46">
        <f t="shared" si="7"/>
        <v>0</v>
      </c>
    </row>
    <row r="83" spans="1:24" ht="20" customHeight="1" x14ac:dyDescent="0.35">
      <c r="A83" s="28"/>
      <c r="B83" s="29"/>
      <c r="C83" s="30"/>
      <c r="D83" s="30"/>
      <c r="E83" s="30"/>
      <c r="F83" s="30"/>
      <c r="G83" s="30"/>
      <c r="H83" s="30"/>
      <c r="I83" s="30"/>
      <c r="J83" s="33"/>
      <c r="L83" s="45">
        <f t="shared" si="5"/>
        <v>0</v>
      </c>
      <c r="M83" s="45">
        <f t="shared" si="5"/>
        <v>0</v>
      </c>
      <c r="N83" s="45">
        <f t="shared" si="5"/>
        <v>0</v>
      </c>
      <c r="O83" s="45">
        <f t="shared" si="5"/>
        <v>0</v>
      </c>
      <c r="P83" s="45">
        <f t="shared" si="5"/>
        <v>0</v>
      </c>
      <c r="Q83" s="45">
        <f t="shared" si="5"/>
        <v>0</v>
      </c>
      <c r="R83" s="45">
        <f t="shared" si="9"/>
        <v>0</v>
      </c>
      <c r="S83" s="45">
        <f t="shared" si="9"/>
        <v>0</v>
      </c>
      <c r="T83" s="45">
        <f t="shared" si="9"/>
        <v>0</v>
      </c>
      <c r="U83" s="46">
        <f t="shared" si="8"/>
        <v>0</v>
      </c>
      <c r="V83" s="46">
        <f t="shared" si="8"/>
        <v>0</v>
      </c>
      <c r="W83" s="46">
        <f t="shared" si="8"/>
        <v>0</v>
      </c>
      <c r="X83" s="46">
        <f t="shared" si="7"/>
        <v>0</v>
      </c>
    </row>
    <row r="84" spans="1:24" ht="20" customHeight="1" x14ac:dyDescent="0.35">
      <c r="A84" s="28"/>
      <c r="B84" s="29"/>
      <c r="C84" s="30"/>
      <c r="D84" s="30"/>
      <c r="E84" s="30"/>
      <c r="F84" s="30"/>
      <c r="G84" s="30"/>
      <c r="H84" s="30"/>
      <c r="I84" s="30"/>
      <c r="J84" s="33"/>
      <c r="L84" s="45">
        <f t="shared" si="5"/>
        <v>0</v>
      </c>
      <c r="M84" s="45">
        <f t="shared" si="5"/>
        <v>0</v>
      </c>
      <c r="N84" s="45">
        <f t="shared" si="5"/>
        <v>0</v>
      </c>
      <c r="O84" s="45">
        <f t="shared" si="5"/>
        <v>0</v>
      </c>
      <c r="P84" s="45">
        <f t="shared" si="5"/>
        <v>0</v>
      </c>
      <c r="Q84" s="45">
        <f t="shared" si="5"/>
        <v>0</v>
      </c>
      <c r="R84" s="45">
        <f t="shared" si="9"/>
        <v>0</v>
      </c>
      <c r="S84" s="45">
        <f t="shared" si="9"/>
        <v>0</v>
      </c>
      <c r="T84" s="45">
        <f t="shared" si="9"/>
        <v>0</v>
      </c>
      <c r="U84" s="46">
        <f t="shared" si="8"/>
        <v>0</v>
      </c>
      <c r="V84" s="46">
        <f t="shared" si="8"/>
        <v>0</v>
      </c>
      <c r="W84" s="46">
        <f t="shared" si="8"/>
        <v>0</v>
      </c>
      <c r="X84" s="46">
        <f t="shared" si="7"/>
        <v>0</v>
      </c>
    </row>
    <row r="85" spans="1:24" ht="20" customHeight="1" x14ac:dyDescent="0.35">
      <c r="A85" s="28"/>
      <c r="B85" s="29"/>
      <c r="C85" s="30"/>
      <c r="D85" s="30"/>
      <c r="E85" s="30"/>
      <c r="F85" s="30"/>
      <c r="G85" s="30"/>
      <c r="H85" s="30"/>
      <c r="I85" s="30"/>
      <c r="J85" s="33"/>
      <c r="L85" s="45">
        <f t="shared" si="5"/>
        <v>0</v>
      </c>
      <c r="M85" s="45">
        <f t="shared" si="5"/>
        <v>0</v>
      </c>
      <c r="N85" s="45">
        <f t="shared" si="5"/>
        <v>0</v>
      </c>
      <c r="O85" s="45">
        <f t="shared" si="5"/>
        <v>0</v>
      </c>
      <c r="P85" s="45">
        <f t="shared" si="5"/>
        <v>0</v>
      </c>
      <c r="Q85" s="45">
        <f t="shared" si="5"/>
        <v>0</v>
      </c>
      <c r="R85" s="45">
        <f t="shared" si="9"/>
        <v>0</v>
      </c>
      <c r="S85" s="45">
        <f t="shared" si="9"/>
        <v>0</v>
      </c>
      <c r="T85" s="45">
        <f t="shared" si="9"/>
        <v>0</v>
      </c>
      <c r="U85" s="46">
        <f t="shared" si="8"/>
        <v>0</v>
      </c>
      <c r="V85" s="46">
        <f t="shared" si="8"/>
        <v>0</v>
      </c>
      <c r="W85" s="46">
        <f t="shared" si="8"/>
        <v>0</v>
      </c>
      <c r="X85" s="46">
        <f t="shared" si="7"/>
        <v>0</v>
      </c>
    </row>
    <row r="86" spans="1:24" ht="20" customHeight="1" x14ac:dyDescent="0.35">
      <c r="A86" s="28"/>
      <c r="B86" s="29"/>
      <c r="C86" s="30"/>
      <c r="D86" s="30"/>
      <c r="E86" s="30"/>
      <c r="F86" s="30"/>
      <c r="G86" s="30"/>
      <c r="H86" s="30"/>
      <c r="I86" s="30"/>
      <c r="J86" s="33"/>
      <c r="L86" s="45">
        <f t="shared" si="5"/>
        <v>0</v>
      </c>
      <c r="M86" s="45">
        <f t="shared" si="5"/>
        <v>0</v>
      </c>
      <c r="N86" s="45">
        <f t="shared" si="5"/>
        <v>0</v>
      </c>
      <c r="O86" s="45">
        <f t="shared" si="5"/>
        <v>0</v>
      </c>
      <c r="P86" s="45">
        <f t="shared" si="5"/>
        <v>0</v>
      </c>
      <c r="Q86" s="45">
        <f t="shared" si="5"/>
        <v>0</v>
      </c>
      <c r="R86" s="45">
        <f t="shared" si="9"/>
        <v>0</v>
      </c>
      <c r="S86" s="45">
        <f t="shared" si="9"/>
        <v>0</v>
      </c>
      <c r="T86" s="45">
        <f t="shared" si="9"/>
        <v>0</v>
      </c>
      <c r="U86" s="46">
        <f t="shared" si="8"/>
        <v>0</v>
      </c>
      <c r="V86" s="46">
        <f t="shared" si="8"/>
        <v>0</v>
      </c>
      <c r="W86" s="46">
        <f t="shared" si="8"/>
        <v>0</v>
      </c>
      <c r="X86" s="46">
        <f t="shared" si="7"/>
        <v>0</v>
      </c>
    </row>
    <row r="87" spans="1:24" ht="20" customHeight="1" x14ac:dyDescent="0.35">
      <c r="A87" s="28"/>
      <c r="B87" s="29"/>
      <c r="C87" s="30"/>
      <c r="D87" s="30"/>
      <c r="E87" s="30"/>
      <c r="F87" s="30"/>
      <c r="G87" s="30"/>
      <c r="H87" s="30"/>
      <c r="I87" s="30"/>
      <c r="J87" s="33"/>
      <c r="L87" s="45">
        <f t="shared" si="5"/>
        <v>0</v>
      </c>
      <c r="M87" s="45">
        <f t="shared" si="5"/>
        <v>0</v>
      </c>
      <c r="N87" s="45">
        <f t="shared" si="5"/>
        <v>0</v>
      </c>
      <c r="O87" s="45">
        <f t="shared" si="5"/>
        <v>0</v>
      </c>
      <c r="P87" s="45">
        <f t="shared" si="5"/>
        <v>0</v>
      </c>
      <c r="Q87" s="45">
        <f t="shared" si="5"/>
        <v>0</v>
      </c>
      <c r="R87" s="45">
        <f t="shared" si="9"/>
        <v>0</v>
      </c>
      <c r="S87" s="45">
        <f t="shared" si="9"/>
        <v>0</v>
      </c>
      <c r="T87" s="45">
        <f t="shared" si="9"/>
        <v>0</v>
      </c>
      <c r="U87" s="46">
        <f t="shared" si="8"/>
        <v>0</v>
      </c>
      <c r="V87" s="46">
        <f t="shared" si="8"/>
        <v>0</v>
      </c>
      <c r="W87" s="46">
        <f t="shared" si="8"/>
        <v>0</v>
      </c>
      <c r="X87" s="46">
        <f t="shared" si="7"/>
        <v>0</v>
      </c>
    </row>
    <row r="88" spans="1:24" ht="20" customHeight="1" x14ac:dyDescent="0.35">
      <c r="A88" s="28"/>
      <c r="B88" s="29"/>
      <c r="C88" s="30"/>
      <c r="D88" s="30"/>
      <c r="E88" s="30"/>
      <c r="F88" s="30"/>
      <c r="G88" s="30"/>
      <c r="H88" s="30"/>
      <c r="I88" s="30"/>
      <c r="J88" s="33"/>
      <c r="L88" s="45">
        <f t="shared" si="5"/>
        <v>0</v>
      </c>
      <c r="M88" s="45">
        <f t="shared" si="5"/>
        <v>0</v>
      </c>
      <c r="N88" s="45">
        <f t="shared" si="5"/>
        <v>0</v>
      </c>
      <c r="O88" s="45">
        <f t="shared" si="5"/>
        <v>0</v>
      </c>
      <c r="P88" s="45">
        <f t="shared" si="5"/>
        <v>0</v>
      </c>
      <c r="Q88" s="45">
        <f t="shared" si="5"/>
        <v>0</v>
      </c>
      <c r="R88" s="45">
        <f t="shared" si="9"/>
        <v>0</v>
      </c>
      <c r="S88" s="45">
        <f t="shared" si="9"/>
        <v>0</v>
      </c>
      <c r="T88" s="45">
        <f t="shared" si="9"/>
        <v>0</v>
      </c>
      <c r="U88" s="46">
        <f t="shared" si="8"/>
        <v>0</v>
      </c>
      <c r="V88" s="46">
        <f t="shared" si="8"/>
        <v>0</v>
      </c>
      <c r="W88" s="46">
        <f t="shared" si="8"/>
        <v>0</v>
      </c>
      <c r="X88" s="46">
        <f t="shared" si="7"/>
        <v>0</v>
      </c>
    </row>
    <row r="89" spans="1:24" ht="20" customHeight="1" x14ac:dyDescent="0.35">
      <c r="A89" s="28"/>
      <c r="B89" s="29"/>
      <c r="C89" s="30"/>
      <c r="D89" s="30"/>
      <c r="E89" s="30"/>
      <c r="F89" s="30"/>
      <c r="G89" s="30"/>
      <c r="H89" s="30"/>
      <c r="I89" s="30"/>
      <c r="J89" s="33"/>
      <c r="L89" s="45">
        <f t="shared" si="5"/>
        <v>0</v>
      </c>
      <c r="M89" s="45">
        <f t="shared" si="5"/>
        <v>0</v>
      </c>
      <c r="N89" s="45">
        <f t="shared" si="5"/>
        <v>0</v>
      </c>
      <c r="O89" s="45">
        <f t="shared" si="5"/>
        <v>0</v>
      </c>
      <c r="P89" s="45">
        <f t="shared" si="5"/>
        <v>0</v>
      </c>
      <c r="Q89" s="45">
        <f t="shared" si="5"/>
        <v>0</v>
      </c>
      <c r="R89" s="45">
        <f t="shared" si="9"/>
        <v>0</v>
      </c>
      <c r="S89" s="45">
        <f t="shared" si="9"/>
        <v>0</v>
      </c>
      <c r="T89" s="45">
        <f t="shared" si="9"/>
        <v>0</v>
      </c>
      <c r="U89" s="46">
        <f t="shared" si="8"/>
        <v>0</v>
      </c>
      <c r="V89" s="46">
        <f t="shared" si="8"/>
        <v>0</v>
      </c>
      <c r="W89" s="46">
        <f t="shared" si="8"/>
        <v>0</v>
      </c>
      <c r="X89" s="46">
        <f t="shared" si="7"/>
        <v>0</v>
      </c>
    </row>
    <row r="90" spans="1:24" ht="20" customHeight="1" x14ac:dyDescent="0.35">
      <c r="A90" s="28"/>
      <c r="B90" s="29"/>
      <c r="C90" s="30"/>
      <c r="D90" s="30"/>
      <c r="E90" s="30"/>
      <c r="F90" s="30"/>
      <c r="G90" s="30"/>
      <c r="H90" s="30"/>
      <c r="I90" s="30"/>
      <c r="J90" s="33"/>
      <c r="L90" s="45">
        <f t="shared" si="5"/>
        <v>0</v>
      </c>
      <c r="M90" s="45">
        <f t="shared" si="5"/>
        <v>0</v>
      </c>
      <c r="N90" s="45">
        <f t="shared" si="5"/>
        <v>0</v>
      </c>
      <c r="O90" s="45">
        <f t="shared" si="5"/>
        <v>0</v>
      </c>
      <c r="P90" s="45">
        <f t="shared" si="5"/>
        <v>0</v>
      </c>
      <c r="Q90" s="45">
        <f t="shared" si="5"/>
        <v>0</v>
      </c>
      <c r="R90" s="45">
        <f t="shared" si="9"/>
        <v>0</v>
      </c>
      <c r="S90" s="45">
        <f t="shared" si="9"/>
        <v>0</v>
      </c>
      <c r="T90" s="45">
        <f t="shared" si="9"/>
        <v>0</v>
      </c>
      <c r="U90" s="46">
        <f t="shared" si="8"/>
        <v>0</v>
      </c>
      <c r="V90" s="46">
        <f t="shared" si="8"/>
        <v>0</v>
      </c>
      <c r="W90" s="46">
        <f t="shared" si="8"/>
        <v>0</v>
      </c>
      <c r="X90" s="46">
        <f t="shared" si="7"/>
        <v>0</v>
      </c>
    </row>
    <row r="91" spans="1:24" ht="20" customHeight="1" x14ac:dyDescent="0.35">
      <c r="A91" s="28"/>
      <c r="B91" s="29"/>
      <c r="C91" s="30"/>
      <c r="D91" s="30"/>
      <c r="E91" s="30"/>
      <c r="F91" s="30"/>
      <c r="G91" s="30"/>
      <c r="H91" s="30"/>
      <c r="I91" s="30"/>
      <c r="J91" s="33"/>
      <c r="L91" s="45">
        <f t="shared" si="5"/>
        <v>0</v>
      </c>
      <c r="M91" s="45">
        <f t="shared" si="5"/>
        <v>0</v>
      </c>
      <c r="N91" s="45">
        <f t="shared" si="5"/>
        <v>0</v>
      </c>
      <c r="O91" s="45">
        <f t="shared" si="5"/>
        <v>0</v>
      </c>
      <c r="P91" s="45">
        <f t="shared" si="5"/>
        <v>0</v>
      </c>
      <c r="Q91" s="45">
        <f t="shared" si="5"/>
        <v>0</v>
      </c>
      <c r="R91" s="45">
        <f t="shared" si="9"/>
        <v>0</v>
      </c>
      <c r="S91" s="45">
        <f t="shared" si="9"/>
        <v>0</v>
      </c>
      <c r="T91" s="45">
        <f t="shared" si="9"/>
        <v>0</v>
      </c>
      <c r="U91" s="46">
        <f t="shared" si="8"/>
        <v>0</v>
      </c>
      <c r="V91" s="46">
        <f t="shared" si="8"/>
        <v>0</v>
      </c>
      <c r="W91" s="46">
        <f t="shared" si="8"/>
        <v>0</v>
      </c>
      <c r="X91" s="46">
        <f t="shared" si="7"/>
        <v>0</v>
      </c>
    </row>
    <row r="92" spans="1:24" ht="20" customHeight="1" x14ac:dyDescent="0.35">
      <c r="A92" s="28"/>
      <c r="B92" s="29"/>
      <c r="C92" s="30"/>
      <c r="D92" s="30"/>
      <c r="E92" s="30"/>
      <c r="F92" s="30"/>
      <c r="G92" s="30"/>
      <c r="H92" s="30"/>
      <c r="I92" s="30"/>
      <c r="J92" s="33"/>
      <c r="L92" s="45">
        <f t="shared" si="5"/>
        <v>0</v>
      </c>
      <c r="M92" s="45">
        <f t="shared" si="5"/>
        <v>0</v>
      </c>
      <c r="N92" s="45">
        <f t="shared" si="5"/>
        <v>0</v>
      </c>
      <c r="O92" s="45">
        <f t="shared" si="5"/>
        <v>0</v>
      </c>
      <c r="P92" s="45">
        <f t="shared" si="5"/>
        <v>0</v>
      </c>
      <c r="Q92" s="45">
        <f t="shared" si="5"/>
        <v>0</v>
      </c>
      <c r="R92" s="45">
        <f t="shared" si="9"/>
        <v>0</v>
      </c>
      <c r="S92" s="45">
        <f t="shared" si="9"/>
        <v>0</v>
      </c>
      <c r="T92" s="45">
        <f t="shared" si="9"/>
        <v>0</v>
      </c>
      <c r="U92" s="46">
        <f t="shared" si="8"/>
        <v>0</v>
      </c>
      <c r="V92" s="46">
        <f t="shared" si="8"/>
        <v>0</v>
      </c>
      <c r="W92" s="46">
        <f t="shared" si="8"/>
        <v>0</v>
      </c>
      <c r="X92" s="46">
        <f t="shared" si="7"/>
        <v>0</v>
      </c>
    </row>
    <row r="93" spans="1:24" ht="20" customHeight="1" x14ac:dyDescent="0.35">
      <c r="A93" s="28"/>
      <c r="B93" s="29"/>
      <c r="C93" s="30"/>
      <c r="D93" s="30"/>
      <c r="E93" s="30"/>
      <c r="F93" s="30"/>
      <c r="G93" s="30"/>
      <c r="H93" s="30"/>
      <c r="I93" s="30"/>
      <c r="J93" s="33"/>
      <c r="L93" s="45">
        <f t="shared" si="5"/>
        <v>0</v>
      </c>
      <c r="M93" s="45">
        <f t="shared" si="5"/>
        <v>0</v>
      </c>
      <c r="N93" s="45">
        <f t="shared" si="5"/>
        <v>0</v>
      </c>
      <c r="O93" s="45">
        <f t="shared" si="5"/>
        <v>0</v>
      </c>
      <c r="P93" s="45">
        <f t="shared" si="5"/>
        <v>0</v>
      </c>
      <c r="Q93" s="45">
        <f t="shared" si="5"/>
        <v>0</v>
      </c>
      <c r="R93" s="45">
        <f t="shared" si="9"/>
        <v>0</v>
      </c>
      <c r="S93" s="45">
        <f t="shared" si="9"/>
        <v>0</v>
      </c>
      <c r="T93" s="45">
        <f t="shared" si="9"/>
        <v>0</v>
      </c>
      <c r="U93" s="46">
        <f t="shared" si="8"/>
        <v>0</v>
      </c>
      <c r="V93" s="46">
        <f t="shared" si="8"/>
        <v>0</v>
      </c>
      <c r="W93" s="46">
        <f t="shared" si="8"/>
        <v>0</v>
      </c>
      <c r="X93" s="46">
        <f t="shared" si="7"/>
        <v>0</v>
      </c>
    </row>
    <row r="94" spans="1:24" ht="20" customHeight="1" x14ac:dyDescent="0.35">
      <c r="A94" s="28"/>
      <c r="B94" s="29"/>
      <c r="C94" s="30"/>
      <c r="D94" s="30"/>
      <c r="E94" s="30"/>
      <c r="F94" s="30"/>
      <c r="G94" s="30"/>
      <c r="H94" s="30"/>
      <c r="I94" s="30"/>
      <c r="J94" s="33"/>
      <c r="L94" s="45">
        <f t="shared" si="5"/>
        <v>0</v>
      </c>
      <c r="M94" s="45">
        <f t="shared" si="5"/>
        <v>0</v>
      </c>
      <c r="N94" s="45">
        <f t="shared" si="5"/>
        <v>0</v>
      </c>
      <c r="O94" s="45">
        <f t="shared" si="5"/>
        <v>0</v>
      </c>
      <c r="P94" s="45">
        <f t="shared" si="5"/>
        <v>0</v>
      </c>
      <c r="Q94" s="45">
        <f t="shared" si="5"/>
        <v>0</v>
      </c>
      <c r="R94" s="45">
        <f t="shared" si="9"/>
        <v>0</v>
      </c>
      <c r="S94" s="45">
        <f t="shared" si="9"/>
        <v>0</v>
      </c>
      <c r="T94" s="45">
        <f t="shared" si="9"/>
        <v>0</v>
      </c>
      <c r="U94" s="46">
        <f t="shared" si="8"/>
        <v>0</v>
      </c>
      <c r="V94" s="46">
        <f t="shared" si="8"/>
        <v>0</v>
      </c>
      <c r="W94" s="46">
        <f t="shared" si="8"/>
        <v>0</v>
      </c>
      <c r="X94" s="46">
        <f t="shared" si="7"/>
        <v>0</v>
      </c>
    </row>
    <row r="95" spans="1:24" ht="20" customHeight="1" x14ac:dyDescent="0.35">
      <c r="A95" s="28"/>
      <c r="B95" s="29"/>
      <c r="C95" s="30"/>
      <c r="D95" s="30"/>
      <c r="E95" s="30"/>
      <c r="F95" s="30"/>
      <c r="G95" s="30"/>
      <c r="H95" s="30"/>
      <c r="I95" s="30"/>
      <c r="J95" s="33"/>
      <c r="L95" s="45">
        <f t="shared" si="5"/>
        <v>0</v>
      </c>
      <c r="M95" s="45">
        <f t="shared" si="5"/>
        <v>0</v>
      </c>
      <c r="N95" s="45">
        <f t="shared" si="5"/>
        <v>0</v>
      </c>
      <c r="O95" s="45">
        <f t="shared" si="5"/>
        <v>0</v>
      </c>
      <c r="P95" s="45">
        <f t="shared" si="5"/>
        <v>0</v>
      </c>
      <c r="Q95" s="45">
        <f t="shared" si="5"/>
        <v>0</v>
      </c>
      <c r="R95" s="45">
        <f t="shared" si="9"/>
        <v>0</v>
      </c>
      <c r="S95" s="45">
        <f t="shared" si="9"/>
        <v>0</v>
      </c>
      <c r="T95" s="45">
        <f t="shared" si="9"/>
        <v>0</v>
      </c>
      <c r="U95" s="46">
        <f t="shared" si="8"/>
        <v>0</v>
      </c>
      <c r="V95" s="46">
        <f t="shared" si="8"/>
        <v>0</v>
      </c>
      <c r="W95" s="46">
        <f t="shared" si="8"/>
        <v>0</v>
      </c>
      <c r="X95" s="46">
        <f t="shared" si="7"/>
        <v>0</v>
      </c>
    </row>
    <row r="96" spans="1:24" ht="20" customHeight="1" x14ac:dyDescent="0.35">
      <c r="A96" s="28"/>
      <c r="B96" s="29"/>
      <c r="C96" s="30"/>
      <c r="D96" s="30"/>
      <c r="E96" s="30"/>
      <c r="F96" s="30"/>
      <c r="G96" s="30"/>
      <c r="H96" s="30"/>
      <c r="I96" s="30"/>
      <c r="J96" s="33"/>
      <c r="L96" s="45">
        <f t="shared" si="5"/>
        <v>0</v>
      </c>
      <c r="M96" s="45">
        <f t="shared" si="5"/>
        <v>0</v>
      </c>
      <c r="N96" s="45">
        <f t="shared" si="5"/>
        <v>0</v>
      </c>
      <c r="O96" s="45">
        <f t="shared" si="5"/>
        <v>0</v>
      </c>
      <c r="P96" s="45">
        <f t="shared" si="5"/>
        <v>0</v>
      </c>
      <c r="Q96" s="45">
        <f t="shared" si="5"/>
        <v>0</v>
      </c>
      <c r="R96" s="45">
        <f t="shared" si="9"/>
        <v>0</v>
      </c>
      <c r="S96" s="45">
        <f t="shared" si="9"/>
        <v>0</v>
      </c>
      <c r="T96" s="45">
        <f t="shared" si="9"/>
        <v>0</v>
      </c>
      <c r="U96" s="46">
        <f t="shared" si="8"/>
        <v>0</v>
      </c>
      <c r="V96" s="46">
        <f t="shared" si="8"/>
        <v>0</v>
      </c>
      <c r="W96" s="46">
        <f t="shared" si="8"/>
        <v>0</v>
      </c>
      <c r="X96" s="46">
        <f t="shared" si="7"/>
        <v>0</v>
      </c>
    </row>
    <row r="97" spans="1:24" ht="20" customHeight="1" x14ac:dyDescent="0.35">
      <c r="A97" s="28"/>
      <c r="B97" s="29"/>
      <c r="C97" s="30"/>
      <c r="D97" s="30"/>
      <c r="E97" s="30"/>
      <c r="F97" s="30"/>
      <c r="G97" s="30"/>
      <c r="H97" s="30"/>
      <c r="I97" s="30"/>
      <c r="J97" s="33"/>
      <c r="L97" s="45">
        <f t="shared" si="5"/>
        <v>0</v>
      </c>
      <c r="M97" s="45">
        <f t="shared" si="5"/>
        <v>0</v>
      </c>
      <c r="N97" s="45">
        <f t="shared" si="5"/>
        <v>0</v>
      </c>
      <c r="O97" s="45">
        <f t="shared" si="5"/>
        <v>0</v>
      </c>
      <c r="P97" s="45">
        <f t="shared" si="5"/>
        <v>0</v>
      </c>
      <c r="Q97" s="45">
        <f t="shared" si="5"/>
        <v>0</v>
      </c>
      <c r="R97" s="45">
        <f t="shared" si="9"/>
        <v>0</v>
      </c>
      <c r="S97" s="45">
        <f t="shared" si="9"/>
        <v>0</v>
      </c>
      <c r="T97" s="45">
        <f t="shared" si="9"/>
        <v>0</v>
      </c>
      <c r="U97" s="46">
        <f t="shared" si="8"/>
        <v>0</v>
      </c>
      <c r="V97" s="46">
        <f t="shared" si="8"/>
        <v>0</v>
      </c>
      <c r="W97" s="46">
        <f t="shared" si="8"/>
        <v>0</v>
      </c>
      <c r="X97" s="46">
        <f t="shared" si="7"/>
        <v>0</v>
      </c>
    </row>
    <row r="98" spans="1:24" ht="20" customHeight="1" x14ac:dyDescent="0.35">
      <c r="A98" s="28"/>
      <c r="B98" s="29"/>
      <c r="C98" s="30"/>
      <c r="D98" s="30"/>
      <c r="E98" s="30"/>
      <c r="F98" s="30"/>
      <c r="G98" s="30"/>
      <c r="H98" s="30"/>
      <c r="I98" s="30"/>
      <c r="J98" s="33"/>
      <c r="L98" s="45">
        <f t="shared" si="5"/>
        <v>0</v>
      </c>
      <c r="M98" s="45">
        <f t="shared" si="5"/>
        <v>0</v>
      </c>
      <c r="N98" s="45">
        <f t="shared" si="5"/>
        <v>0</v>
      </c>
      <c r="O98" s="45">
        <f t="shared" si="5"/>
        <v>0</v>
      </c>
      <c r="P98" s="45">
        <f t="shared" si="5"/>
        <v>0</v>
      </c>
      <c r="Q98" s="45">
        <f t="shared" si="5"/>
        <v>0</v>
      </c>
      <c r="R98" s="45">
        <f t="shared" si="9"/>
        <v>0</v>
      </c>
      <c r="S98" s="45">
        <f t="shared" si="9"/>
        <v>0</v>
      </c>
      <c r="T98" s="45">
        <f t="shared" si="9"/>
        <v>0</v>
      </c>
      <c r="U98" s="46">
        <f t="shared" si="8"/>
        <v>0</v>
      </c>
      <c r="V98" s="46">
        <f t="shared" si="8"/>
        <v>0</v>
      </c>
      <c r="W98" s="46">
        <f t="shared" si="8"/>
        <v>0</v>
      </c>
      <c r="X98" s="46">
        <f t="shared" si="7"/>
        <v>0</v>
      </c>
    </row>
    <row r="99" spans="1:24" ht="16.75" customHeight="1" x14ac:dyDescent="0.35">
      <c r="A99" s="28"/>
      <c r="B99" s="29"/>
      <c r="C99" s="30"/>
      <c r="D99" s="30"/>
      <c r="E99" s="30"/>
      <c r="F99" s="30"/>
      <c r="G99" s="30"/>
      <c r="H99" s="30"/>
      <c r="I99" s="30"/>
      <c r="J99" s="33"/>
      <c r="L99" s="45">
        <f t="shared" si="5"/>
        <v>0</v>
      </c>
      <c r="M99" s="45">
        <f t="shared" si="5"/>
        <v>0</v>
      </c>
      <c r="N99" s="45">
        <f t="shared" si="5"/>
        <v>0</v>
      </c>
      <c r="O99" s="45">
        <f t="shared" si="5"/>
        <v>0</v>
      </c>
      <c r="P99" s="45">
        <f t="shared" si="5"/>
        <v>0</v>
      </c>
      <c r="Q99" s="45">
        <f t="shared" si="5"/>
        <v>0</v>
      </c>
      <c r="R99" s="45">
        <f t="shared" si="9"/>
        <v>0</v>
      </c>
      <c r="S99" s="45">
        <f t="shared" si="9"/>
        <v>0</v>
      </c>
      <c r="T99" s="45">
        <f t="shared" si="9"/>
        <v>0</v>
      </c>
      <c r="U99" s="46">
        <f t="shared" si="8"/>
        <v>0</v>
      </c>
      <c r="V99" s="46">
        <f t="shared" si="8"/>
        <v>0</v>
      </c>
      <c r="W99" s="46">
        <f t="shared" si="8"/>
        <v>0</v>
      </c>
      <c r="X99" s="46">
        <f t="shared" si="7"/>
        <v>0</v>
      </c>
    </row>
    <row r="100" spans="1:24" ht="20" customHeight="1" x14ac:dyDescent="0.35">
      <c r="A100" s="28"/>
      <c r="B100" s="29"/>
      <c r="C100" s="30"/>
      <c r="D100" s="30"/>
      <c r="E100" s="30"/>
      <c r="F100" s="30"/>
      <c r="G100" s="30"/>
      <c r="H100" s="30"/>
      <c r="I100" s="30"/>
      <c r="J100" s="33"/>
      <c r="L100" s="45">
        <f t="shared" si="5"/>
        <v>0</v>
      </c>
      <c r="M100" s="45">
        <f t="shared" si="5"/>
        <v>0</v>
      </c>
      <c r="N100" s="45">
        <f t="shared" si="5"/>
        <v>0</v>
      </c>
      <c r="O100" s="45">
        <f t="shared" si="5"/>
        <v>0</v>
      </c>
      <c r="P100" s="45">
        <f t="shared" si="5"/>
        <v>0</v>
      </c>
      <c r="Q100" s="45">
        <f t="shared" si="5"/>
        <v>0</v>
      </c>
      <c r="R100" s="45">
        <f t="shared" si="9"/>
        <v>0</v>
      </c>
      <c r="S100" s="45">
        <f t="shared" si="9"/>
        <v>0</v>
      </c>
      <c r="T100" s="45">
        <f t="shared" si="9"/>
        <v>0</v>
      </c>
      <c r="U100" s="46">
        <f t="shared" si="8"/>
        <v>0</v>
      </c>
      <c r="V100" s="46">
        <f t="shared" si="8"/>
        <v>0</v>
      </c>
      <c r="W100" s="46">
        <f t="shared" si="8"/>
        <v>0</v>
      </c>
      <c r="X100" s="46">
        <f t="shared" si="7"/>
        <v>0</v>
      </c>
    </row>
    <row r="101" spans="1:24" ht="20" customHeight="1" x14ac:dyDescent="0.35">
      <c r="A101" s="28"/>
      <c r="B101" s="29"/>
      <c r="C101" s="30"/>
      <c r="D101" s="30"/>
      <c r="E101" s="30"/>
      <c r="F101" s="30"/>
      <c r="G101" s="30"/>
      <c r="H101" s="30"/>
      <c r="I101" s="30"/>
      <c r="J101" s="33"/>
      <c r="L101" s="45">
        <f t="shared" si="5"/>
        <v>0</v>
      </c>
      <c r="M101" s="45">
        <f t="shared" si="5"/>
        <v>0</v>
      </c>
      <c r="N101" s="45">
        <f t="shared" si="5"/>
        <v>0</v>
      </c>
      <c r="O101" s="45">
        <f t="shared" ref="O101:Q116" si="10">IFERROR(E102-E101,0)</f>
        <v>0</v>
      </c>
      <c r="P101" s="45">
        <f t="shared" si="10"/>
        <v>0</v>
      </c>
      <c r="Q101" s="45">
        <f t="shared" si="10"/>
        <v>0</v>
      </c>
      <c r="R101" s="45">
        <f t="shared" si="9"/>
        <v>0</v>
      </c>
      <c r="S101" s="45">
        <f t="shared" si="9"/>
        <v>0</v>
      </c>
      <c r="T101" s="45">
        <f t="shared" si="9"/>
        <v>0</v>
      </c>
      <c r="U101" s="46">
        <f t="shared" si="8"/>
        <v>0</v>
      </c>
      <c r="V101" s="46">
        <f t="shared" si="8"/>
        <v>0</v>
      </c>
      <c r="W101" s="46">
        <f t="shared" si="8"/>
        <v>0</v>
      </c>
      <c r="X101" s="46">
        <f t="shared" si="7"/>
        <v>0</v>
      </c>
    </row>
    <row r="102" spans="1:24" ht="20" customHeight="1" x14ac:dyDescent="0.35">
      <c r="A102" s="28"/>
      <c r="B102" s="29"/>
      <c r="C102" s="30"/>
      <c r="D102" s="30"/>
      <c r="E102" s="30"/>
      <c r="F102" s="30"/>
      <c r="G102" s="30"/>
      <c r="H102" s="30"/>
      <c r="I102" s="30"/>
      <c r="J102" s="33"/>
      <c r="L102" s="45">
        <f t="shared" ref="L102:N116" si="11">IFERROR(B103-B102,0)</f>
        <v>0</v>
      </c>
      <c r="M102" s="45">
        <f t="shared" si="11"/>
        <v>0</v>
      </c>
      <c r="N102" s="45">
        <f t="shared" si="11"/>
        <v>0</v>
      </c>
      <c r="O102" s="45">
        <f t="shared" si="10"/>
        <v>0</v>
      </c>
      <c r="P102" s="45">
        <f t="shared" si="10"/>
        <v>0</v>
      </c>
      <c r="Q102" s="45">
        <f t="shared" si="10"/>
        <v>0</v>
      </c>
      <c r="R102" s="45">
        <f t="shared" si="9"/>
        <v>0</v>
      </c>
      <c r="S102" s="45">
        <f t="shared" si="9"/>
        <v>0</v>
      </c>
      <c r="T102" s="45">
        <f t="shared" si="9"/>
        <v>0</v>
      </c>
      <c r="U102" s="46">
        <f t="shared" si="8"/>
        <v>0</v>
      </c>
      <c r="V102" s="46">
        <f t="shared" si="8"/>
        <v>0</v>
      </c>
      <c r="W102" s="46">
        <f t="shared" si="8"/>
        <v>0</v>
      </c>
      <c r="X102" s="46">
        <f t="shared" ref="X102:X117" si="12">O102+P102+T102</f>
        <v>0</v>
      </c>
    </row>
    <row r="103" spans="1:24" ht="20" customHeight="1" x14ac:dyDescent="0.35">
      <c r="A103" s="28"/>
      <c r="B103" s="29"/>
      <c r="C103" s="30"/>
      <c r="D103" s="30"/>
      <c r="E103" s="30"/>
      <c r="F103" s="30"/>
      <c r="G103" s="30"/>
      <c r="H103" s="30"/>
      <c r="I103" s="30"/>
      <c r="J103" s="33"/>
      <c r="L103" s="45">
        <f t="shared" si="11"/>
        <v>0</v>
      </c>
      <c r="M103" s="45">
        <f t="shared" si="11"/>
        <v>0</v>
      </c>
      <c r="N103" s="45">
        <f t="shared" si="11"/>
        <v>0</v>
      </c>
      <c r="O103" s="45">
        <f t="shared" si="10"/>
        <v>0</v>
      </c>
      <c r="P103" s="45">
        <f t="shared" si="10"/>
        <v>0</v>
      </c>
      <c r="Q103" s="45">
        <f t="shared" si="10"/>
        <v>0</v>
      </c>
      <c r="R103" s="45">
        <f t="shared" si="9"/>
        <v>0</v>
      </c>
      <c r="S103" s="45">
        <f t="shared" si="9"/>
        <v>0</v>
      </c>
      <c r="T103" s="45">
        <f t="shared" si="9"/>
        <v>0</v>
      </c>
      <c r="U103" s="46">
        <f t="shared" si="8"/>
        <v>0</v>
      </c>
      <c r="V103" s="46">
        <f t="shared" si="8"/>
        <v>0</v>
      </c>
      <c r="W103" s="46">
        <f t="shared" si="8"/>
        <v>0</v>
      </c>
      <c r="X103" s="46">
        <f t="shared" si="12"/>
        <v>0</v>
      </c>
    </row>
    <row r="104" spans="1:24" ht="20" customHeight="1" x14ac:dyDescent="0.35">
      <c r="A104" s="28"/>
      <c r="B104" s="29"/>
      <c r="C104" s="30"/>
      <c r="D104" s="30"/>
      <c r="E104" s="30"/>
      <c r="F104" s="30"/>
      <c r="G104" s="30"/>
      <c r="H104" s="30"/>
      <c r="I104" s="30"/>
      <c r="J104" s="33"/>
      <c r="L104" s="45">
        <f t="shared" si="11"/>
        <v>0</v>
      </c>
      <c r="M104" s="45">
        <f t="shared" si="11"/>
        <v>0</v>
      </c>
      <c r="N104" s="45">
        <f t="shared" si="11"/>
        <v>0</v>
      </c>
      <c r="O104" s="45">
        <f t="shared" si="10"/>
        <v>0</v>
      </c>
      <c r="P104" s="45">
        <f t="shared" si="10"/>
        <v>0</v>
      </c>
      <c r="Q104" s="45">
        <f t="shared" si="10"/>
        <v>0</v>
      </c>
      <c r="R104" s="45">
        <f t="shared" si="9"/>
        <v>0</v>
      </c>
      <c r="S104" s="45">
        <f t="shared" si="9"/>
        <v>0</v>
      </c>
      <c r="T104" s="45">
        <f t="shared" si="9"/>
        <v>0</v>
      </c>
      <c r="U104" s="46">
        <f t="shared" si="8"/>
        <v>0</v>
      </c>
      <c r="V104" s="46">
        <f t="shared" si="8"/>
        <v>0</v>
      </c>
      <c r="W104" s="46">
        <f t="shared" si="8"/>
        <v>0</v>
      </c>
      <c r="X104" s="46">
        <f t="shared" si="12"/>
        <v>0</v>
      </c>
    </row>
    <row r="105" spans="1:24" ht="20" customHeight="1" x14ac:dyDescent="0.35">
      <c r="A105" s="28"/>
      <c r="B105" s="29"/>
      <c r="C105" s="30"/>
      <c r="D105" s="30"/>
      <c r="E105" s="30"/>
      <c r="F105" s="30"/>
      <c r="G105" s="30"/>
      <c r="H105" s="30"/>
      <c r="I105" s="30"/>
      <c r="J105" s="33"/>
      <c r="L105" s="45">
        <f t="shared" si="11"/>
        <v>0</v>
      </c>
      <c r="M105" s="45">
        <f t="shared" si="11"/>
        <v>0</v>
      </c>
      <c r="N105" s="45">
        <f t="shared" si="11"/>
        <v>0</v>
      </c>
      <c r="O105" s="45">
        <f t="shared" si="10"/>
        <v>0</v>
      </c>
      <c r="P105" s="45">
        <f t="shared" si="10"/>
        <v>0</v>
      </c>
      <c r="Q105" s="45">
        <f t="shared" si="10"/>
        <v>0</v>
      </c>
      <c r="R105" s="45">
        <f t="shared" si="9"/>
        <v>0</v>
      </c>
      <c r="S105" s="45">
        <f t="shared" si="9"/>
        <v>0</v>
      </c>
      <c r="T105" s="45">
        <f t="shared" si="9"/>
        <v>0</v>
      </c>
      <c r="U105" s="46">
        <f t="shared" si="8"/>
        <v>0</v>
      </c>
      <c r="V105" s="46">
        <f t="shared" si="8"/>
        <v>0</v>
      </c>
      <c r="W105" s="46">
        <f t="shared" si="8"/>
        <v>0</v>
      </c>
      <c r="X105" s="46">
        <f t="shared" si="12"/>
        <v>0</v>
      </c>
    </row>
    <row r="106" spans="1:24" ht="20" customHeight="1" x14ac:dyDescent="0.35">
      <c r="A106" s="28"/>
      <c r="B106" s="29"/>
      <c r="C106" s="30"/>
      <c r="D106" s="30"/>
      <c r="E106" s="30"/>
      <c r="F106" s="30"/>
      <c r="G106" s="30"/>
      <c r="H106" s="30"/>
      <c r="I106" s="30"/>
      <c r="J106" s="33"/>
      <c r="L106" s="45">
        <f t="shared" si="11"/>
        <v>0</v>
      </c>
      <c r="M106" s="45">
        <f t="shared" si="11"/>
        <v>0</v>
      </c>
      <c r="N106" s="45">
        <f t="shared" si="11"/>
        <v>0</v>
      </c>
      <c r="O106" s="45">
        <f t="shared" si="10"/>
        <v>0</v>
      </c>
      <c r="P106" s="45">
        <f t="shared" si="10"/>
        <v>0</v>
      </c>
      <c r="Q106" s="45">
        <f t="shared" si="10"/>
        <v>0</v>
      </c>
      <c r="R106" s="45">
        <f t="shared" si="9"/>
        <v>0</v>
      </c>
      <c r="S106" s="45">
        <f t="shared" si="9"/>
        <v>0</v>
      </c>
      <c r="T106" s="45">
        <f t="shared" si="9"/>
        <v>0</v>
      </c>
      <c r="U106" s="46">
        <f t="shared" si="8"/>
        <v>0</v>
      </c>
      <c r="V106" s="46">
        <f t="shared" si="8"/>
        <v>0</v>
      </c>
      <c r="W106" s="46">
        <f t="shared" si="8"/>
        <v>0</v>
      </c>
      <c r="X106" s="46">
        <f t="shared" si="12"/>
        <v>0</v>
      </c>
    </row>
    <row r="107" spans="1:24" ht="20" customHeight="1" x14ac:dyDescent="0.35">
      <c r="A107" s="28"/>
      <c r="B107" s="29"/>
      <c r="C107" s="30"/>
      <c r="D107" s="30"/>
      <c r="E107" s="30"/>
      <c r="F107" s="30"/>
      <c r="G107" s="30"/>
      <c r="H107" s="30"/>
      <c r="I107" s="30"/>
      <c r="J107" s="33"/>
      <c r="L107" s="45">
        <f t="shared" si="11"/>
        <v>0</v>
      </c>
      <c r="M107" s="45">
        <f t="shared" si="11"/>
        <v>0</v>
      </c>
      <c r="N107" s="45">
        <f t="shared" si="11"/>
        <v>0</v>
      </c>
      <c r="O107" s="45">
        <f t="shared" si="10"/>
        <v>0</v>
      </c>
      <c r="P107" s="45">
        <f t="shared" si="10"/>
        <v>0</v>
      </c>
      <c r="Q107" s="45">
        <f t="shared" si="10"/>
        <v>0</v>
      </c>
      <c r="R107" s="45">
        <f t="shared" si="9"/>
        <v>0</v>
      </c>
      <c r="S107" s="45">
        <f t="shared" si="9"/>
        <v>0</v>
      </c>
      <c r="T107" s="45">
        <f t="shared" si="9"/>
        <v>0</v>
      </c>
      <c r="U107" s="46">
        <f t="shared" si="8"/>
        <v>0</v>
      </c>
      <c r="V107" s="46">
        <f t="shared" si="8"/>
        <v>0</v>
      </c>
      <c r="W107" s="46">
        <f t="shared" si="8"/>
        <v>0</v>
      </c>
      <c r="X107" s="46">
        <f t="shared" si="12"/>
        <v>0</v>
      </c>
    </row>
    <row r="108" spans="1:24" ht="20" customHeight="1" x14ac:dyDescent="0.35">
      <c r="A108" s="28"/>
      <c r="B108" s="29"/>
      <c r="C108" s="30"/>
      <c r="D108" s="30"/>
      <c r="E108" s="30"/>
      <c r="F108" s="30"/>
      <c r="G108" s="30"/>
      <c r="H108" s="30"/>
      <c r="I108" s="30"/>
      <c r="J108" s="33"/>
      <c r="L108" s="45">
        <f t="shared" si="11"/>
        <v>0</v>
      </c>
      <c r="M108" s="45">
        <f t="shared" si="11"/>
        <v>0</v>
      </c>
      <c r="N108" s="45">
        <f t="shared" si="11"/>
        <v>0</v>
      </c>
      <c r="O108" s="45">
        <f t="shared" si="10"/>
        <v>0</v>
      </c>
      <c r="P108" s="45">
        <f t="shared" si="10"/>
        <v>0</v>
      </c>
      <c r="Q108" s="45">
        <f t="shared" si="10"/>
        <v>0</v>
      </c>
      <c r="R108" s="45">
        <f t="shared" si="9"/>
        <v>0</v>
      </c>
      <c r="S108" s="45">
        <f t="shared" si="9"/>
        <v>0</v>
      </c>
      <c r="T108" s="45">
        <f t="shared" si="9"/>
        <v>0</v>
      </c>
      <c r="U108" s="46">
        <f t="shared" si="8"/>
        <v>0</v>
      </c>
      <c r="V108" s="46">
        <f t="shared" si="8"/>
        <v>0</v>
      </c>
      <c r="W108" s="46">
        <f t="shared" si="8"/>
        <v>0</v>
      </c>
      <c r="X108" s="46">
        <f t="shared" si="12"/>
        <v>0</v>
      </c>
    </row>
    <row r="109" spans="1:24" ht="20" customHeight="1" x14ac:dyDescent="0.35">
      <c r="A109" s="28"/>
      <c r="B109" s="29"/>
      <c r="C109" s="30"/>
      <c r="D109" s="30"/>
      <c r="E109" s="30"/>
      <c r="F109" s="30"/>
      <c r="G109" s="30"/>
      <c r="H109" s="30"/>
      <c r="I109" s="30"/>
      <c r="J109" s="33"/>
      <c r="L109" s="45">
        <f t="shared" si="11"/>
        <v>0</v>
      </c>
      <c r="M109" s="45">
        <f t="shared" si="11"/>
        <v>0</v>
      </c>
      <c r="N109" s="45">
        <f t="shared" si="11"/>
        <v>0</v>
      </c>
      <c r="O109" s="45">
        <f t="shared" si="10"/>
        <v>0</v>
      </c>
      <c r="P109" s="45">
        <f t="shared" si="10"/>
        <v>0</v>
      </c>
      <c r="Q109" s="45">
        <f t="shared" si="10"/>
        <v>0</v>
      </c>
      <c r="R109" s="45">
        <f t="shared" si="9"/>
        <v>0</v>
      </c>
      <c r="S109" s="45">
        <f t="shared" si="9"/>
        <v>0</v>
      </c>
      <c r="T109" s="45">
        <f t="shared" si="9"/>
        <v>0</v>
      </c>
      <c r="U109" s="46">
        <f t="shared" si="8"/>
        <v>0</v>
      </c>
      <c r="V109" s="46">
        <f t="shared" si="8"/>
        <v>0</v>
      </c>
      <c r="W109" s="46">
        <f t="shared" si="8"/>
        <v>0</v>
      </c>
      <c r="X109" s="46">
        <f t="shared" si="12"/>
        <v>0</v>
      </c>
    </row>
    <row r="110" spans="1:24" ht="20" customHeight="1" x14ac:dyDescent="0.35">
      <c r="A110" s="28"/>
      <c r="B110" s="29"/>
      <c r="C110" s="30"/>
      <c r="D110" s="30"/>
      <c r="E110" s="30"/>
      <c r="F110" s="30"/>
      <c r="G110" s="30"/>
      <c r="H110" s="30"/>
      <c r="I110" s="30"/>
      <c r="J110" s="33"/>
      <c r="L110" s="45">
        <f t="shared" si="11"/>
        <v>0</v>
      </c>
      <c r="M110" s="45">
        <f t="shared" si="11"/>
        <v>0</v>
      </c>
      <c r="N110" s="45">
        <f t="shared" si="11"/>
        <v>0</v>
      </c>
      <c r="O110" s="45">
        <f t="shared" si="10"/>
        <v>0</v>
      </c>
      <c r="P110" s="45">
        <f t="shared" si="10"/>
        <v>0</v>
      </c>
      <c r="Q110" s="45">
        <f t="shared" si="10"/>
        <v>0</v>
      </c>
      <c r="R110" s="45">
        <f t="shared" si="9"/>
        <v>0</v>
      </c>
      <c r="S110" s="45">
        <f t="shared" si="9"/>
        <v>0</v>
      </c>
      <c r="T110" s="45">
        <f t="shared" si="9"/>
        <v>0</v>
      </c>
      <c r="U110" s="46">
        <f t="shared" si="8"/>
        <v>0</v>
      </c>
      <c r="V110" s="46">
        <f t="shared" si="8"/>
        <v>0</v>
      </c>
      <c r="W110" s="46">
        <f t="shared" si="8"/>
        <v>0</v>
      </c>
      <c r="X110" s="46">
        <f t="shared" si="12"/>
        <v>0</v>
      </c>
    </row>
    <row r="111" spans="1:24" ht="20" customHeight="1" x14ac:dyDescent="0.35">
      <c r="A111" s="28"/>
      <c r="B111" s="29"/>
      <c r="C111" s="30"/>
      <c r="D111" s="30"/>
      <c r="E111" s="30"/>
      <c r="F111" s="30"/>
      <c r="G111" s="30"/>
      <c r="H111" s="30"/>
      <c r="I111" s="30"/>
      <c r="J111" s="33"/>
      <c r="L111" s="45">
        <f t="shared" si="11"/>
        <v>0</v>
      </c>
      <c r="M111" s="45">
        <f t="shared" si="11"/>
        <v>0</v>
      </c>
      <c r="N111" s="45">
        <f t="shared" si="11"/>
        <v>0</v>
      </c>
      <c r="O111" s="45">
        <f t="shared" si="10"/>
        <v>0</v>
      </c>
      <c r="P111" s="45">
        <f t="shared" si="10"/>
        <v>0</v>
      </c>
      <c r="Q111" s="45">
        <f t="shared" si="10"/>
        <v>0</v>
      </c>
      <c r="R111" s="45">
        <f t="shared" si="9"/>
        <v>0</v>
      </c>
      <c r="S111" s="45">
        <f t="shared" si="9"/>
        <v>0</v>
      </c>
      <c r="T111" s="45">
        <f t="shared" si="9"/>
        <v>0</v>
      </c>
      <c r="U111" s="46">
        <f t="shared" si="8"/>
        <v>0</v>
      </c>
      <c r="V111" s="46">
        <f t="shared" si="8"/>
        <v>0</v>
      </c>
      <c r="W111" s="46">
        <f t="shared" si="8"/>
        <v>0</v>
      </c>
      <c r="X111" s="46">
        <f t="shared" si="12"/>
        <v>0</v>
      </c>
    </row>
    <row r="112" spans="1:24" ht="20" customHeight="1" x14ac:dyDescent="0.35">
      <c r="A112" s="28"/>
      <c r="B112" s="29"/>
      <c r="C112" s="30"/>
      <c r="D112" s="30"/>
      <c r="E112" s="30"/>
      <c r="F112" s="30"/>
      <c r="G112" s="30"/>
      <c r="H112" s="30"/>
      <c r="I112" s="30"/>
      <c r="J112" s="33"/>
      <c r="L112" s="45">
        <f t="shared" si="11"/>
        <v>0</v>
      </c>
      <c r="M112" s="45">
        <f t="shared" si="11"/>
        <v>0</v>
      </c>
      <c r="N112" s="45">
        <f t="shared" si="11"/>
        <v>0</v>
      </c>
      <c r="O112" s="45">
        <f t="shared" si="10"/>
        <v>0</v>
      </c>
      <c r="P112" s="45">
        <f t="shared" si="10"/>
        <v>0</v>
      </c>
      <c r="Q112" s="45">
        <f t="shared" si="10"/>
        <v>0</v>
      </c>
      <c r="R112" s="45">
        <f t="shared" si="9"/>
        <v>0</v>
      </c>
      <c r="S112" s="45">
        <f t="shared" si="9"/>
        <v>0</v>
      </c>
      <c r="T112" s="45">
        <f t="shared" si="9"/>
        <v>0</v>
      </c>
      <c r="U112" s="46">
        <f t="shared" si="8"/>
        <v>0</v>
      </c>
      <c r="V112" s="46">
        <f t="shared" si="8"/>
        <v>0</v>
      </c>
      <c r="W112" s="46">
        <f t="shared" si="8"/>
        <v>0</v>
      </c>
      <c r="X112" s="46">
        <f t="shared" si="12"/>
        <v>0</v>
      </c>
    </row>
    <row r="113" spans="1:24" ht="20" customHeight="1" x14ac:dyDescent="0.35">
      <c r="A113" s="28"/>
      <c r="B113" s="29"/>
      <c r="C113" s="30"/>
      <c r="D113" s="30"/>
      <c r="E113" s="30"/>
      <c r="F113" s="30"/>
      <c r="G113" s="30"/>
      <c r="H113" s="30"/>
      <c r="I113" s="30"/>
      <c r="J113" s="33"/>
      <c r="L113" s="45">
        <f t="shared" si="11"/>
        <v>0</v>
      </c>
      <c r="M113" s="45">
        <f t="shared" si="11"/>
        <v>0</v>
      </c>
      <c r="N113" s="45">
        <f t="shared" si="11"/>
        <v>0</v>
      </c>
      <c r="O113" s="45">
        <f t="shared" si="10"/>
        <v>0</v>
      </c>
      <c r="P113" s="45">
        <f t="shared" si="10"/>
        <v>0</v>
      </c>
      <c r="Q113" s="45">
        <f t="shared" si="10"/>
        <v>0</v>
      </c>
      <c r="R113" s="45">
        <f t="shared" si="9"/>
        <v>0</v>
      </c>
      <c r="S113" s="45">
        <f t="shared" si="9"/>
        <v>0</v>
      </c>
      <c r="T113" s="45">
        <f t="shared" si="9"/>
        <v>0</v>
      </c>
      <c r="U113" s="46">
        <f t="shared" si="8"/>
        <v>0</v>
      </c>
      <c r="V113" s="46">
        <f t="shared" si="8"/>
        <v>0</v>
      </c>
      <c r="W113" s="46">
        <f t="shared" si="8"/>
        <v>0</v>
      </c>
      <c r="X113" s="46">
        <f t="shared" si="12"/>
        <v>0</v>
      </c>
    </row>
    <row r="114" spans="1:24" ht="20" customHeight="1" x14ac:dyDescent="0.35">
      <c r="A114" s="28"/>
      <c r="B114" s="29"/>
      <c r="C114" s="30"/>
      <c r="D114" s="30"/>
      <c r="E114" s="30"/>
      <c r="F114" s="30"/>
      <c r="G114" s="30"/>
      <c r="H114" s="30"/>
      <c r="I114" s="30"/>
      <c r="J114" s="33"/>
      <c r="L114" s="45">
        <f t="shared" si="11"/>
        <v>0</v>
      </c>
      <c r="M114" s="45">
        <f t="shared" si="11"/>
        <v>0</v>
      </c>
      <c r="N114" s="45">
        <f t="shared" si="11"/>
        <v>0</v>
      </c>
      <c r="O114" s="45">
        <f t="shared" si="10"/>
        <v>0</v>
      </c>
      <c r="P114" s="45">
        <f t="shared" si="10"/>
        <v>0</v>
      </c>
      <c r="Q114" s="45">
        <f t="shared" si="10"/>
        <v>0</v>
      </c>
      <c r="R114" s="45">
        <f t="shared" si="9"/>
        <v>0</v>
      </c>
      <c r="S114" s="45">
        <f t="shared" si="9"/>
        <v>0</v>
      </c>
      <c r="T114" s="45">
        <f t="shared" si="9"/>
        <v>0</v>
      </c>
      <c r="U114" s="46">
        <f t="shared" si="8"/>
        <v>0</v>
      </c>
      <c r="V114" s="46">
        <f t="shared" si="8"/>
        <v>0</v>
      </c>
      <c r="W114" s="46">
        <f t="shared" si="8"/>
        <v>0</v>
      </c>
      <c r="X114" s="46">
        <f t="shared" si="12"/>
        <v>0</v>
      </c>
    </row>
    <row r="115" spans="1:24" ht="20" customHeight="1" x14ac:dyDescent="0.35">
      <c r="A115" s="28"/>
      <c r="B115" s="29"/>
      <c r="C115" s="30"/>
      <c r="D115" s="30"/>
      <c r="E115" s="30"/>
      <c r="F115" s="30"/>
      <c r="G115" s="30"/>
      <c r="H115" s="30"/>
      <c r="I115" s="30"/>
      <c r="J115" s="33"/>
      <c r="L115" s="45">
        <f t="shared" si="11"/>
        <v>0</v>
      </c>
      <c r="M115" s="45">
        <f t="shared" si="11"/>
        <v>0</v>
      </c>
      <c r="N115" s="45">
        <f t="shared" si="11"/>
        <v>0</v>
      </c>
      <c r="O115" s="45">
        <f t="shared" si="10"/>
        <v>0</v>
      </c>
      <c r="P115" s="45">
        <f t="shared" si="10"/>
        <v>0</v>
      </c>
      <c r="Q115" s="45">
        <f t="shared" si="10"/>
        <v>0</v>
      </c>
      <c r="R115" s="45">
        <f t="shared" si="9"/>
        <v>0</v>
      </c>
      <c r="S115" s="45">
        <f t="shared" si="9"/>
        <v>0</v>
      </c>
      <c r="T115" s="45">
        <f t="shared" si="9"/>
        <v>0</v>
      </c>
      <c r="U115" s="46">
        <f t="shared" si="8"/>
        <v>0</v>
      </c>
      <c r="V115" s="46">
        <f t="shared" si="8"/>
        <v>0</v>
      </c>
      <c r="W115" s="46">
        <f t="shared" si="8"/>
        <v>0</v>
      </c>
      <c r="X115" s="46">
        <f t="shared" si="12"/>
        <v>0</v>
      </c>
    </row>
    <row r="116" spans="1:24" ht="20" customHeight="1" x14ac:dyDescent="0.35">
      <c r="A116" s="28"/>
      <c r="B116" s="29"/>
      <c r="C116" s="30"/>
      <c r="D116" s="30"/>
      <c r="E116" s="30"/>
      <c r="F116" s="30"/>
      <c r="G116" s="30"/>
      <c r="H116" s="30"/>
      <c r="I116" s="30"/>
      <c r="J116" s="33"/>
      <c r="L116" s="45">
        <f t="shared" si="11"/>
        <v>0</v>
      </c>
      <c r="M116" s="45">
        <f t="shared" si="11"/>
        <v>0</v>
      </c>
      <c r="N116" s="45">
        <f t="shared" si="11"/>
        <v>0</v>
      </c>
      <c r="O116" s="45">
        <f t="shared" si="10"/>
        <v>0</v>
      </c>
      <c r="P116" s="45">
        <f t="shared" si="10"/>
        <v>0</v>
      </c>
      <c r="Q116" s="45">
        <f t="shared" si="10"/>
        <v>0</v>
      </c>
      <c r="R116" s="45">
        <f t="shared" si="9"/>
        <v>0</v>
      </c>
      <c r="S116" s="45">
        <f t="shared" si="9"/>
        <v>0</v>
      </c>
      <c r="T116" s="45">
        <f t="shared" si="9"/>
        <v>0</v>
      </c>
      <c r="U116" s="46">
        <f t="shared" si="8"/>
        <v>0</v>
      </c>
      <c r="V116" s="46">
        <f t="shared" si="8"/>
        <v>0</v>
      </c>
      <c r="W116" s="46">
        <f t="shared" si="8"/>
        <v>0</v>
      </c>
      <c r="X116" s="46">
        <f t="shared" si="12"/>
        <v>0</v>
      </c>
    </row>
    <row r="117" spans="1:24" ht="16.75" customHeight="1" x14ac:dyDescent="0.35">
      <c r="A117" s="28"/>
      <c r="B117" s="29"/>
      <c r="C117" s="30"/>
      <c r="D117" s="30"/>
      <c r="E117" s="30"/>
      <c r="F117" s="30"/>
      <c r="G117" s="30"/>
      <c r="H117" s="30"/>
      <c r="I117" s="30"/>
      <c r="J117" s="33"/>
      <c r="L117" s="34"/>
      <c r="M117" s="34"/>
      <c r="N117" s="34"/>
      <c r="O117" s="34"/>
      <c r="P117" s="34"/>
      <c r="Q117" s="34"/>
      <c r="R117" s="34"/>
      <c r="S117" s="34"/>
      <c r="T117" s="34"/>
      <c r="U117" s="35">
        <f t="shared" ref="U117:W117" si="13">L117+Q117</f>
        <v>0</v>
      </c>
      <c r="V117" s="35">
        <f t="shared" si="13"/>
        <v>0</v>
      </c>
      <c r="W117" s="35">
        <f t="shared" si="13"/>
        <v>0</v>
      </c>
      <c r="X117" s="35">
        <f t="shared" si="12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0" customWidth="1"/>
    <col min="2" max="2" width="11.26953125" style="20" customWidth="1"/>
    <col min="3" max="10" width="10.6328125" style="20" customWidth="1"/>
    <col min="11" max="11" width="8.7265625" style="20"/>
    <col min="12" max="19" width="15.453125" style="21" customWidth="1"/>
    <col min="20" max="20" width="11.26953125" style="21" customWidth="1"/>
    <col min="21" max="23" width="11.453125" style="20" customWidth="1"/>
    <col min="24" max="24" width="10.26953125" style="20" customWidth="1"/>
    <col min="25" max="16384" width="8.7265625" style="20"/>
  </cols>
  <sheetData>
    <row r="1" spans="1:24" ht="14.25" customHeight="1" x14ac:dyDescent="0.3">
      <c r="A1" s="18" t="s">
        <v>144</v>
      </c>
      <c r="B1" s="18"/>
      <c r="C1" s="18"/>
      <c r="D1" s="19"/>
      <c r="E1" s="19"/>
      <c r="F1" s="19"/>
      <c r="G1" s="19"/>
      <c r="H1" s="19"/>
      <c r="I1" s="18" t="s">
        <v>145</v>
      </c>
      <c r="J1" s="18"/>
    </row>
    <row r="2" spans="1:24" ht="14.25" customHeight="1" x14ac:dyDescent="0.3">
      <c r="A2" s="18" t="s">
        <v>146</v>
      </c>
      <c r="B2" s="18"/>
      <c r="C2" s="18"/>
      <c r="D2" s="19"/>
      <c r="E2" s="19"/>
      <c r="F2" s="19"/>
      <c r="G2" s="19"/>
      <c r="H2" s="19"/>
      <c r="I2" s="19"/>
      <c r="J2" s="19"/>
    </row>
    <row r="3" spans="1:24" ht="14.25" customHeight="1" x14ac:dyDescent="0.3">
      <c r="A3" s="18" t="s">
        <v>147</v>
      </c>
      <c r="B3" s="18"/>
      <c r="C3" s="19"/>
      <c r="D3" s="19"/>
      <c r="E3" s="19"/>
      <c r="F3" s="19"/>
      <c r="G3" s="19"/>
      <c r="H3" s="19"/>
      <c r="I3" s="19"/>
      <c r="J3" s="19"/>
    </row>
    <row r="4" spans="1:24" ht="14.25" customHeight="1" x14ac:dyDescent="0.3">
      <c r="A4" s="18" t="s">
        <v>148</v>
      </c>
      <c r="B4" s="18"/>
      <c r="C4" s="18"/>
      <c r="D4" s="19"/>
      <c r="E4" s="19"/>
      <c r="F4" s="19"/>
      <c r="G4" s="19"/>
      <c r="H4" s="19"/>
      <c r="I4" s="19"/>
      <c r="J4" s="19"/>
    </row>
    <row r="5" spans="1:24" ht="14.25" customHeight="1" x14ac:dyDescent="0.3">
      <c r="A5" s="18" t="s">
        <v>149</v>
      </c>
      <c r="B5" s="18"/>
      <c r="C5" s="19"/>
      <c r="D5" s="19"/>
      <c r="E5" s="19"/>
      <c r="F5" s="19"/>
      <c r="G5" s="19"/>
      <c r="H5" s="19"/>
      <c r="I5" s="19"/>
      <c r="J5" s="19"/>
    </row>
    <row r="6" spans="1:24" ht="14.25" customHeight="1" x14ac:dyDescent="0.3">
      <c r="A6" s="18" t="s">
        <v>150</v>
      </c>
      <c r="B6" s="18"/>
      <c r="C6" s="18"/>
      <c r="D6" s="19"/>
      <c r="E6" s="19"/>
      <c r="F6" s="19"/>
      <c r="G6" s="19"/>
      <c r="H6" s="19"/>
      <c r="I6" s="19"/>
      <c r="J6" s="19"/>
    </row>
    <row r="7" spans="1:24" ht="14.25" customHeight="1" x14ac:dyDescent="0.3">
      <c r="A7" s="18" t="s">
        <v>151</v>
      </c>
      <c r="B7" s="18"/>
      <c r="C7" s="19"/>
      <c r="D7" s="19"/>
      <c r="E7" s="19"/>
      <c r="F7" s="19"/>
      <c r="G7" s="19"/>
      <c r="H7" s="19"/>
      <c r="I7" s="19"/>
      <c r="J7" s="19"/>
    </row>
    <row r="8" spans="1:24" ht="29" customHeight="1" x14ac:dyDescent="0.3">
      <c r="A8" s="22" t="s">
        <v>152</v>
      </c>
      <c r="B8" s="22"/>
      <c r="C8" s="23"/>
      <c r="D8" s="23"/>
      <c r="E8" s="23"/>
      <c r="F8" s="23"/>
      <c r="G8" s="23"/>
      <c r="H8" s="23"/>
      <c r="I8" s="23"/>
      <c r="J8" s="23"/>
      <c r="L8" s="42">
        <f t="shared" ref="L8:X8" si="0">SUBTOTAL(9,L10:L11151)</f>
        <v>-395634.9</v>
      </c>
      <c r="M8" s="42">
        <f t="shared" si="0"/>
        <v>-216048.1</v>
      </c>
      <c r="N8" s="42">
        <f t="shared" si="0"/>
        <v>-34876.199999999997</v>
      </c>
      <c r="O8" s="42">
        <f t="shared" si="0"/>
        <v>-355078.5</v>
      </c>
      <c r="P8" s="42">
        <f t="shared" si="0"/>
        <v>-238362.8</v>
      </c>
      <c r="Q8" s="42">
        <f t="shared" si="0"/>
        <v>-502130.1</v>
      </c>
      <c r="R8" s="42">
        <f t="shared" si="0"/>
        <v>-303165.5</v>
      </c>
      <c r="S8" s="42">
        <f t="shared" si="0"/>
        <v>-671211.6</v>
      </c>
      <c r="T8" s="42">
        <f t="shared" si="0"/>
        <v>-1382335</v>
      </c>
      <c r="U8" s="42">
        <f t="shared" si="0"/>
        <v>-897765</v>
      </c>
      <c r="V8" s="42">
        <f t="shared" si="0"/>
        <v>-519213.6</v>
      </c>
      <c r="W8" s="42">
        <f t="shared" si="0"/>
        <v>-706087.79999999993</v>
      </c>
      <c r="X8" s="42">
        <f t="shared" si="0"/>
        <v>-1975776.2999999998</v>
      </c>
    </row>
    <row r="9" spans="1:24" ht="52" x14ac:dyDescent="0.35">
      <c r="A9" s="24" t="s">
        <v>153</v>
      </c>
      <c r="B9" s="25" t="s">
        <v>154</v>
      </c>
      <c r="C9" s="24" t="s">
        <v>155</v>
      </c>
      <c r="D9" s="24" t="s">
        <v>156</v>
      </c>
      <c r="E9" s="24" t="s">
        <v>157</v>
      </c>
      <c r="F9" s="24" t="s">
        <v>158</v>
      </c>
      <c r="G9" s="24" t="s">
        <v>159</v>
      </c>
      <c r="H9" s="26" t="s">
        <v>160</v>
      </c>
      <c r="I9" s="27" t="s">
        <v>161</v>
      </c>
      <c r="J9" s="24" t="s">
        <v>162</v>
      </c>
      <c r="L9" s="43" t="s">
        <v>165</v>
      </c>
      <c r="M9" s="43" t="s">
        <v>166</v>
      </c>
      <c r="N9" s="43" t="s">
        <v>167</v>
      </c>
      <c r="O9" s="43" t="s">
        <v>168</v>
      </c>
      <c r="P9" s="43" t="s">
        <v>169</v>
      </c>
      <c r="Q9" s="43" t="s">
        <v>170</v>
      </c>
      <c r="R9" s="43" t="s">
        <v>171</v>
      </c>
      <c r="S9" s="43" t="s">
        <v>172</v>
      </c>
      <c r="T9" s="43" t="s">
        <v>173</v>
      </c>
      <c r="U9" s="44" t="s">
        <v>163</v>
      </c>
      <c r="V9" s="44" t="s">
        <v>126</v>
      </c>
      <c r="W9" s="44" t="s">
        <v>128</v>
      </c>
      <c r="X9" s="44" t="s">
        <v>164</v>
      </c>
    </row>
    <row r="10" spans="1:24" ht="20" customHeight="1" x14ac:dyDescent="0.35">
      <c r="A10" s="28" t="s">
        <v>184</v>
      </c>
      <c r="B10" s="47">
        <v>395634.9</v>
      </c>
      <c r="C10" s="28" t="s">
        <v>176</v>
      </c>
      <c r="D10" s="48">
        <v>34876.199999999997</v>
      </c>
      <c r="E10" s="48">
        <v>355078.5</v>
      </c>
      <c r="F10" s="48">
        <v>238362.8</v>
      </c>
      <c r="G10" s="48">
        <v>502130.1</v>
      </c>
      <c r="H10" s="31" t="s">
        <v>176</v>
      </c>
      <c r="I10" s="48">
        <v>671211.6</v>
      </c>
      <c r="J10" s="48">
        <v>1382335</v>
      </c>
      <c r="L10" s="45">
        <f>IFERROR(B11-B10,0)</f>
        <v>501.69999999995343</v>
      </c>
      <c r="M10" s="45">
        <f t="shared" ref="M10:T25" si="1">IFERROR(C11-C10,0)</f>
        <v>0</v>
      </c>
      <c r="N10" s="45">
        <f t="shared" si="1"/>
        <v>204.90000000000146</v>
      </c>
      <c r="O10" s="45">
        <f t="shared" si="1"/>
        <v>371.59999999997672</v>
      </c>
      <c r="P10" s="45">
        <f t="shared" si="1"/>
        <v>227.20000000001164</v>
      </c>
      <c r="Q10" s="45">
        <f t="shared" si="1"/>
        <v>917.90000000002328</v>
      </c>
      <c r="R10" s="45">
        <f t="shared" si="1"/>
        <v>0</v>
      </c>
      <c r="S10" s="45">
        <f t="shared" si="1"/>
        <v>951.20000000006985</v>
      </c>
      <c r="T10" s="45">
        <f t="shared" si="1"/>
        <v>1452</v>
      </c>
      <c r="U10" s="46">
        <f>L10+Q10</f>
        <v>1419.5999999999767</v>
      </c>
      <c r="V10" s="46">
        <f>M10+R10</f>
        <v>0</v>
      </c>
      <c r="W10" s="46">
        <f>N10+S10</f>
        <v>1156.1000000000713</v>
      </c>
      <c r="X10" s="46">
        <f t="shared" ref="X10:X72" si="2">O10+P10+T10</f>
        <v>2050.7999999999884</v>
      </c>
    </row>
    <row r="11" spans="1:24" ht="20" customHeight="1" x14ac:dyDescent="0.35">
      <c r="A11" s="28" t="s">
        <v>185</v>
      </c>
      <c r="B11" s="47">
        <v>396136.6</v>
      </c>
      <c r="C11" s="28" t="s">
        <v>176</v>
      </c>
      <c r="D11" s="48">
        <v>35081.1</v>
      </c>
      <c r="E11" s="48">
        <v>355450.1</v>
      </c>
      <c r="F11" s="48">
        <v>238590</v>
      </c>
      <c r="G11" s="48">
        <v>503048</v>
      </c>
      <c r="H11" s="31" t="s">
        <v>176</v>
      </c>
      <c r="I11" s="48">
        <v>672162.8</v>
      </c>
      <c r="J11" s="48">
        <v>1383787</v>
      </c>
      <c r="L11" s="45">
        <f t="shared" ref="L11:T43" si="3">IFERROR(B12-B11,0)</f>
        <v>502.5</v>
      </c>
      <c r="M11" s="45">
        <f t="shared" si="1"/>
        <v>0</v>
      </c>
      <c r="N11" s="45">
        <f t="shared" si="1"/>
        <v>326.40000000000146</v>
      </c>
      <c r="O11" s="45">
        <f t="shared" si="1"/>
        <v>365.40000000002328</v>
      </c>
      <c r="P11" s="45">
        <f t="shared" si="1"/>
        <v>222.20000000001164</v>
      </c>
      <c r="Q11" s="45">
        <f t="shared" si="1"/>
        <v>873.29999999998836</v>
      </c>
      <c r="R11" s="45">
        <f t="shared" si="1"/>
        <v>0</v>
      </c>
      <c r="S11" s="45">
        <f t="shared" si="1"/>
        <v>1377.3999999999069</v>
      </c>
      <c r="T11" s="45">
        <f t="shared" si="1"/>
        <v>1404</v>
      </c>
      <c r="U11" s="46">
        <f t="shared" ref="U11:W43" si="4">L11+Q11</f>
        <v>1375.7999999999884</v>
      </c>
      <c r="V11" s="46">
        <f t="shared" si="4"/>
        <v>0</v>
      </c>
      <c r="W11" s="46">
        <f t="shared" si="4"/>
        <v>1703.7999999999083</v>
      </c>
      <c r="X11" s="46">
        <f t="shared" si="2"/>
        <v>1991.6000000000349</v>
      </c>
    </row>
    <row r="12" spans="1:24" ht="20" customHeight="1" x14ac:dyDescent="0.35">
      <c r="A12" s="28" t="s">
        <v>186</v>
      </c>
      <c r="B12" s="47">
        <v>396639.1</v>
      </c>
      <c r="C12" s="28" t="s">
        <v>176</v>
      </c>
      <c r="D12" s="48">
        <v>35407.5</v>
      </c>
      <c r="E12" s="48">
        <v>355815.5</v>
      </c>
      <c r="F12" s="48">
        <v>238812.2</v>
      </c>
      <c r="G12" s="48">
        <v>503921.3</v>
      </c>
      <c r="H12" s="31" t="s">
        <v>176</v>
      </c>
      <c r="I12" s="48">
        <v>673540.2</v>
      </c>
      <c r="J12" s="48">
        <v>1385191</v>
      </c>
      <c r="L12" s="45">
        <f t="shared" si="3"/>
        <v>497.40000000002328</v>
      </c>
      <c r="M12" s="45">
        <f t="shared" si="1"/>
        <v>0</v>
      </c>
      <c r="N12" s="45">
        <f t="shared" si="1"/>
        <v>334</v>
      </c>
      <c r="O12" s="45">
        <f t="shared" si="1"/>
        <v>369.70000000001164</v>
      </c>
      <c r="P12" s="45">
        <f t="shared" si="1"/>
        <v>227</v>
      </c>
      <c r="Q12" s="45">
        <f t="shared" si="1"/>
        <v>927</v>
      </c>
      <c r="R12" s="45">
        <f t="shared" si="1"/>
        <v>0</v>
      </c>
      <c r="S12" s="45">
        <f t="shared" si="1"/>
        <v>1302.8000000000466</v>
      </c>
      <c r="T12" s="45">
        <f t="shared" si="1"/>
        <v>1436</v>
      </c>
      <c r="U12" s="46">
        <f t="shared" si="4"/>
        <v>1424.4000000000233</v>
      </c>
      <c r="V12" s="46">
        <f t="shared" si="4"/>
        <v>0</v>
      </c>
      <c r="W12" s="46">
        <f t="shared" si="4"/>
        <v>1636.8000000000466</v>
      </c>
      <c r="X12" s="46">
        <f t="shared" si="2"/>
        <v>2032.7000000000116</v>
      </c>
    </row>
    <row r="13" spans="1:24" ht="20" customHeight="1" x14ac:dyDescent="0.35">
      <c r="A13" s="28" t="s">
        <v>187</v>
      </c>
      <c r="B13" s="47">
        <v>397136.5</v>
      </c>
      <c r="C13" s="28" t="s">
        <v>176</v>
      </c>
      <c r="D13" s="48">
        <v>35741.5</v>
      </c>
      <c r="E13" s="48">
        <v>356185.2</v>
      </c>
      <c r="F13" s="48">
        <v>239039.2</v>
      </c>
      <c r="G13" s="48">
        <v>504848.3</v>
      </c>
      <c r="H13" s="31" t="s">
        <v>176</v>
      </c>
      <c r="I13" s="48">
        <v>674843</v>
      </c>
      <c r="J13" s="48">
        <v>1386627</v>
      </c>
      <c r="L13" s="45">
        <f t="shared" si="3"/>
        <v>326.40000000002328</v>
      </c>
      <c r="M13" s="45">
        <f t="shared" si="1"/>
        <v>0</v>
      </c>
      <c r="N13" s="45">
        <f t="shared" si="1"/>
        <v>328.5</v>
      </c>
      <c r="O13" s="45">
        <f t="shared" si="1"/>
        <v>371.70000000001164</v>
      </c>
      <c r="P13" s="45">
        <f t="shared" si="1"/>
        <v>228.5</v>
      </c>
      <c r="Q13" s="45">
        <f t="shared" si="1"/>
        <v>568</v>
      </c>
      <c r="R13" s="45">
        <f t="shared" si="1"/>
        <v>0</v>
      </c>
      <c r="S13" s="45">
        <f t="shared" si="1"/>
        <v>1371.5999999999767</v>
      </c>
      <c r="T13" s="45">
        <f t="shared" si="1"/>
        <v>1469</v>
      </c>
      <c r="U13" s="46">
        <f t="shared" si="4"/>
        <v>894.40000000002328</v>
      </c>
      <c r="V13" s="46">
        <f t="shared" si="4"/>
        <v>0</v>
      </c>
      <c r="W13" s="46">
        <f t="shared" si="4"/>
        <v>1700.0999999999767</v>
      </c>
      <c r="X13" s="46">
        <f t="shared" si="2"/>
        <v>2069.2000000000116</v>
      </c>
    </row>
    <row r="14" spans="1:24" ht="20" customHeight="1" x14ac:dyDescent="0.35">
      <c r="A14" s="28" t="s">
        <v>188</v>
      </c>
      <c r="B14" s="47">
        <v>397462.9</v>
      </c>
      <c r="C14" s="49">
        <v>216027.3</v>
      </c>
      <c r="D14" s="48">
        <v>36070</v>
      </c>
      <c r="E14" s="48">
        <v>356556.9</v>
      </c>
      <c r="F14" s="48">
        <v>239267.7</v>
      </c>
      <c r="G14" s="48">
        <v>505416.3</v>
      </c>
      <c r="H14" s="50">
        <v>303115.90000000002</v>
      </c>
      <c r="I14" s="48">
        <v>676214.6</v>
      </c>
      <c r="J14" s="48">
        <v>1388096</v>
      </c>
      <c r="L14" s="45">
        <f t="shared" si="3"/>
        <v>0</v>
      </c>
      <c r="M14" s="45">
        <f t="shared" si="1"/>
        <v>431.60000000000582</v>
      </c>
      <c r="N14" s="45">
        <f t="shared" si="1"/>
        <v>335.59999999999854</v>
      </c>
      <c r="O14" s="45">
        <f t="shared" si="1"/>
        <v>364</v>
      </c>
      <c r="P14" s="45">
        <f t="shared" si="1"/>
        <v>246.09999999997672</v>
      </c>
      <c r="Q14" s="45">
        <f t="shared" si="1"/>
        <v>7.1000000000349246</v>
      </c>
      <c r="R14" s="45">
        <f t="shared" si="1"/>
        <v>555.5</v>
      </c>
      <c r="S14" s="45">
        <f t="shared" si="1"/>
        <v>1335.8000000000466</v>
      </c>
      <c r="T14" s="45">
        <f t="shared" si="1"/>
        <v>1297</v>
      </c>
      <c r="U14" s="46">
        <f t="shared" si="4"/>
        <v>7.1000000000349246</v>
      </c>
      <c r="V14" s="46">
        <f t="shared" si="4"/>
        <v>987.10000000000582</v>
      </c>
      <c r="W14" s="46">
        <f t="shared" si="4"/>
        <v>1671.4000000000451</v>
      </c>
      <c r="X14" s="46">
        <f t="shared" si="2"/>
        <v>1907.0999999999767</v>
      </c>
    </row>
    <row r="15" spans="1:24" ht="20" customHeight="1" x14ac:dyDescent="0.35">
      <c r="A15" s="28" t="s">
        <v>189</v>
      </c>
      <c r="B15" s="47">
        <v>397462.9</v>
      </c>
      <c r="C15" s="49">
        <v>216458.9</v>
      </c>
      <c r="D15" s="48">
        <v>36405.599999999999</v>
      </c>
      <c r="E15" s="48">
        <v>356920.9</v>
      </c>
      <c r="F15" s="48">
        <v>239513.8</v>
      </c>
      <c r="G15" s="48">
        <v>505423.4</v>
      </c>
      <c r="H15" s="50">
        <v>303671.40000000002</v>
      </c>
      <c r="I15" s="48">
        <v>677550.4</v>
      </c>
      <c r="J15" s="48">
        <v>1389393</v>
      </c>
      <c r="L15" s="45">
        <f t="shared" si="3"/>
        <v>0</v>
      </c>
      <c r="M15" s="45">
        <f t="shared" si="1"/>
        <v>430.5</v>
      </c>
      <c r="N15" s="45">
        <f t="shared" si="1"/>
        <v>329.80000000000291</v>
      </c>
      <c r="O15" s="45">
        <f t="shared" si="1"/>
        <v>250</v>
      </c>
      <c r="P15" s="45">
        <f t="shared" si="1"/>
        <v>231.90000000002328</v>
      </c>
      <c r="Q15" s="45">
        <f t="shared" si="1"/>
        <v>4.5999999999767169</v>
      </c>
      <c r="R15" s="45">
        <f t="shared" si="1"/>
        <v>553.19999999995343</v>
      </c>
      <c r="S15" s="45">
        <f t="shared" si="1"/>
        <v>1085.9000000000233</v>
      </c>
      <c r="T15" s="45">
        <f t="shared" si="1"/>
        <v>1511</v>
      </c>
      <c r="U15" s="46">
        <f t="shared" si="4"/>
        <v>4.5999999999767169</v>
      </c>
      <c r="V15" s="46">
        <f t="shared" si="4"/>
        <v>983.69999999995343</v>
      </c>
      <c r="W15" s="46">
        <f t="shared" si="4"/>
        <v>1415.7000000000262</v>
      </c>
      <c r="X15" s="46">
        <f t="shared" si="2"/>
        <v>1992.9000000000233</v>
      </c>
    </row>
    <row r="16" spans="1:24" ht="20" customHeight="1" x14ac:dyDescent="0.35">
      <c r="A16" s="28" t="s">
        <v>190</v>
      </c>
      <c r="B16" s="47">
        <v>397462.9</v>
      </c>
      <c r="C16" s="49">
        <v>216889.4</v>
      </c>
      <c r="D16" s="48">
        <v>36735.4</v>
      </c>
      <c r="E16" s="48">
        <v>357170.9</v>
      </c>
      <c r="F16" s="48">
        <v>239745.7</v>
      </c>
      <c r="G16" s="48">
        <v>505428</v>
      </c>
      <c r="H16" s="50">
        <v>304224.59999999998</v>
      </c>
      <c r="I16" s="48">
        <v>678636.3</v>
      </c>
      <c r="J16" s="48">
        <v>1390904</v>
      </c>
      <c r="L16" s="45">
        <f t="shared" si="3"/>
        <v>0</v>
      </c>
      <c r="M16" s="45">
        <f t="shared" si="1"/>
        <v>421.5</v>
      </c>
      <c r="N16" s="45">
        <f t="shared" si="1"/>
        <v>223.40000000000146</v>
      </c>
      <c r="O16" s="45">
        <f t="shared" si="1"/>
        <v>250.29999999998836</v>
      </c>
      <c r="P16" s="45">
        <f t="shared" si="1"/>
        <v>231.19999999998254</v>
      </c>
      <c r="Q16" s="45">
        <f t="shared" si="1"/>
        <v>4.2000000000116415</v>
      </c>
      <c r="R16" s="45">
        <f t="shared" si="1"/>
        <v>425.80000000004657</v>
      </c>
      <c r="S16" s="45">
        <f t="shared" si="1"/>
        <v>477</v>
      </c>
      <c r="T16" s="45">
        <f t="shared" si="1"/>
        <v>1485</v>
      </c>
      <c r="U16" s="46">
        <f t="shared" si="4"/>
        <v>4.2000000000116415</v>
      </c>
      <c r="V16" s="46">
        <f t="shared" si="4"/>
        <v>847.30000000004657</v>
      </c>
      <c r="W16" s="46">
        <f t="shared" si="4"/>
        <v>700.40000000000146</v>
      </c>
      <c r="X16" s="46">
        <f t="shared" si="2"/>
        <v>1966.4999999999709</v>
      </c>
    </row>
    <row r="17" spans="1:24" ht="20" customHeight="1" x14ac:dyDescent="0.35">
      <c r="A17" s="28" t="s">
        <v>191</v>
      </c>
      <c r="B17" s="47">
        <v>397462.9</v>
      </c>
      <c r="C17" s="49">
        <v>217310.9</v>
      </c>
      <c r="D17" s="48">
        <v>36958.800000000003</v>
      </c>
      <c r="E17" s="48">
        <v>357421.2</v>
      </c>
      <c r="F17" s="48">
        <v>239976.9</v>
      </c>
      <c r="G17" s="48">
        <v>505432.2</v>
      </c>
      <c r="H17" s="50">
        <v>304650.40000000002</v>
      </c>
      <c r="I17" s="48">
        <v>679113.3</v>
      </c>
      <c r="J17" s="48">
        <v>1392389</v>
      </c>
      <c r="L17" s="45">
        <f t="shared" si="3"/>
        <v>0</v>
      </c>
      <c r="M17" s="45">
        <f t="shared" si="1"/>
        <v>421.60000000000582</v>
      </c>
      <c r="N17" s="45">
        <f t="shared" si="1"/>
        <v>333.79999999999563</v>
      </c>
      <c r="O17" s="45">
        <f t="shared" si="1"/>
        <v>249.39999999996508</v>
      </c>
      <c r="P17" s="45">
        <f t="shared" si="1"/>
        <v>229.60000000000582</v>
      </c>
      <c r="Q17" s="45">
        <f t="shared" si="1"/>
        <v>6.2000000000116415</v>
      </c>
      <c r="R17" s="45">
        <f t="shared" si="1"/>
        <v>511.69999999995343</v>
      </c>
      <c r="S17" s="45">
        <f t="shared" si="1"/>
        <v>1523.3999999999069</v>
      </c>
      <c r="T17" s="45">
        <f t="shared" si="1"/>
        <v>1466</v>
      </c>
      <c r="U17" s="46">
        <f t="shared" si="4"/>
        <v>6.2000000000116415</v>
      </c>
      <c r="V17" s="46">
        <f t="shared" si="4"/>
        <v>933.29999999995925</v>
      </c>
      <c r="W17" s="46">
        <f t="shared" si="4"/>
        <v>1857.1999999999025</v>
      </c>
      <c r="X17" s="46">
        <f t="shared" si="2"/>
        <v>1944.9999999999709</v>
      </c>
    </row>
    <row r="18" spans="1:24" ht="20" customHeight="1" x14ac:dyDescent="0.35">
      <c r="A18" s="28" t="s">
        <v>192</v>
      </c>
      <c r="B18" s="47">
        <v>397462.9</v>
      </c>
      <c r="C18" s="49">
        <v>217732.5</v>
      </c>
      <c r="D18" s="48">
        <v>37292.6</v>
      </c>
      <c r="E18" s="48">
        <v>357670.6</v>
      </c>
      <c r="F18" s="48">
        <v>240206.5</v>
      </c>
      <c r="G18" s="48">
        <v>505438.4</v>
      </c>
      <c r="H18" s="50">
        <v>305162.09999999998</v>
      </c>
      <c r="I18" s="48">
        <v>680636.7</v>
      </c>
      <c r="J18" s="48">
        <v>1393855</v>
      </c>
      <c r="L18" s="45">
        <f t="shared" si="3"/>
        <v>0</v>
      </c>
      <c r="M18" s="45">
        <f t="shared" si="1"/>
        <v>419.89999999999418</v>
      </c>
      <c r="N18" s="45">
        <f t="shared" si="1"/>
        <v>336.80000000000291</v>
      </c>
      <c r="O18" s="45">
        <f t="shared" si="1"/>
        <v>254.90000000002328</v>
      </c>
      <c r="P18" s="45">
        <f t="shared" si="1"/>
        <v>249.10000000000582</v>
      </c>
      <c r="Q18" s="45">
        <f t="shared" si="1"/>
        <v>6.7999999999883585</v>
      </c>
      <c r="R18" s="45">
        <f t="shared" si="1"/>
        <v>442.30000000004657</v>
      </c>
      <c r="S18" s="45">
        <f t="shared" si="1"/>
        <v>1404.7000000000698</v>
      </c>
      <c r="T18" s="45">
        <f t="shared" si="1"/>
        <v>1382</v>
      </c>
      <c r="U18" s="46">
        <f t="shared" si="4"/>
        <v>6.7999999999883585</v>
      </c>
      <c r="V18" s="46">
        <f t="shared" si="4"/>
        <v>862.20000000004075</v>
      </c>
      <c r="W18" s="46">
        <f t="shared" si="4"/>
        <v>1741.5000000000728</v>
      </c>
      <c r="X18" s="46">
        <f t="shared" si="2"/>
        <v>1886.0000000000291</v>
      </c>
    </row>
    <row r="19" spans="1:24" ht="20" customHeight="1" x14ac:dyDescent="0.35">
      <c r="A19" s="28" t="s">
        <v>193</v>
      </c>
      <c r="B19" s="47">
        <v>397462.9</v>
      </c>
      <c r="C19" s="49">
        <v>218152.4</v>
      </c>
      <c r="D19" s="48">
        <v>37629.4</v>
      </c>
      <c r="E19" s="48">
        <v>357925.5</v>
      </c>
      <c r="F19" s="48">
        <v>240455.6</v>
      </c>
      <c r="G19" s="48">
        <v>505445.2</v>
      </c>
      <c r="H19" s="50">
        <v>305604.40000000002</v>
      </c>
      <c r="I19" s="48">
        <v>682041.4</v>
      </c>
      <c r="J19" s="48">
        <v>1395237</v>
      </c>
      <c r="L19" s="45">
        <f t="shared" si="3"/>
        <v>0</v>
      </c>
      <c r="M19" s="45">
        <f t="shared" si="1"/>
        <v>429</v>
      </c>
      <c r="N19" s="45">
        <f t="shared" si="1"/>
        <v>326.59999999999854</v>
      </c>
      <c r="O19" s="45">
        <f t="shared" si="1"/>
        <v>372.09999999997672</v>
      </c>
      <c r="P19" s="45">
        <f t="shared" si="1"/>
        <v>231.69999999998254</v>
      </c>
      <c r="Q19" s="45">
        <f t="shared" si="1"/>
        <v>3</v>
      </c>
      <c r="R19" s="45">
        <f t="shared" si="1"/>
        <v>481.19999999995343</v>
      </c>
      <c r="S19" s="45">
        <f t="shared" si="1"/>
        <v>1353.2999999999302</v>
      </c>
      <c r="T19" s="45">
        <f t="shared" si="1"/>
        <v>1521</v>
      </c>
      <c r="U19" s="46">
        <f t="shared" si="4"/>
        <v>3</v>
      </c>
      <c r="V19" s="46">
        <f t="shared" si="4"/>
        <v>910.19999999995343</v>
      </c>
      <c r="W19" s="46">
        <f t="shared" si="4"/>
        <v>1679.8999999999287</v>
      </c>
      <c r="X19" s="46">
        <f t="shared" si="2"/>
        <v>2124.7999999999593</v>
      </c>
    </row>
    <row r="20" spans="1:24" ht="20" customHeight="1" x14ac:dyDescent="0.35">
      <c r="A20" s="28" t="s">
        <v>194</v>
      </c>
      <c r="B20" s="47">
        <v>397462.9</v>
      </c>
      <c r="C20" s="49">
        <v>218581.4</v>
      </c>
      <c r="D20" s="48">
        <v>37956</v>
      </c>
      <c r="E20" s="48">
        <v>358297.59999999998</v>
      </c>
      <c r="F20" s="48">
        <v>240687.3</v>
      </c>
      <c r="G20" s="48">
        <v>505448.2</v>
      </c>
      <c r="H20" s="50">
        <v>306085.59999999998</v>
      </c>
      <c r="I20" s="48">
        <v>683394.7</v>
      </c>
      <c r="J20" s="48">
        <v>1396758</v>
      </c>
      <c r="L20" s="45">
        <f t="shared" si="3"/>
        <v>249.79999999998836</v>
      </c>
      <c r="M20" s="45">
        <f t="shared" si="1"/>
        <v>230</v>
      </c>
      <c r="N20" s="45">
        <f t="shared" si="1"/>
        <v>335</v>
      </c>
      <c r="O20" s="45">
        <f t="shared" si="1"/>
        <v>394.60000000003492</v>
      </c>
      <c r="P20" s="45">
        <f t="shared" si="1"/>
        <v>228.30000000001746</v>
      </c>
      <c r="Q20" s="45">
        <f t="shared" si="1"/>
        <v>496.29999999998836</v>
      </c>
      <c r="R20" s="45">
        <f t="shared" si="1"/>
        <v>244.60000000003492</v>
      </c>
      <c r="S20" s="45">
        <f t="shared" si="1"/>
        <v>1501.2000000000698</v>
      </c>
      <c r="T20" s="45">
        <f t="shared" si="1"/>
        <v>1478</v>
      </c>
      <c r="U20" s="46">
        <f t="shared" si="4"/>
        <v>746.09999999997672</v>
      </c>
      <c r="V20" s="46">
        <f t="shared" si="4"/>
        <v>474.60000000003492</v>
      </c>
      <c r="W20" s="46">
        <f t="shared" si="4"/>
        <v>1836.2000000000698</v>
      </c>
      <c r="X20" s="46">
        <f t="shared" si="2"/>
        <v>2100.9000000000524</v>
      </c>
    </row>
    <row r="21" spans="1:24" ht="20" customHeight="1" x14ac:dyDescent="0.35">
      <c r="A21" s="28" t="s">
        <v>195</v>
      </c>
      <c r="B21" s="47">
        <v>397712.7</v>
      </c>
      <c r="C21" s="49">
        <v>218811.4</v>
      </c>
      <c r="D21" s="48">
        <v>38291</v>
      </c>
      <c r="E21" s="48">
        <v>358692.2</v>
      </c>
      <c r="F21" s="48">
        <v>240915.6</v>
      </c>
      <c r="G21" s="48">
        <v>505944.5</v>
      </c>
      <c r="H21" s="50">
        <v>306330.2</v>
      </c>
      <c r="I21" s="48">
        <v>684895.9</v>
      </c>
      <c r="J21" s="48">
        <v>1398236</v>
      </c>
      <c r="L21" s="45">
        <f t="shared" si="3"/>
        <v>493.20000000001164</v>
      </c>
      <c r="M21" s="45">
        <f t="shared" si="1"/>
        <v>0</v>
      </c>
      <c r="N21" s="45">
        <f t="shared" si="1"/>
        <v>329</v>
      </c>
      <c r="O21" s="45">
        <f t="shared" si="1"/>
        <v>373.79999999998836</v>
      </c>
      <c r="P21" s="45">
        <f t="shared" si="1"/>
        <v>229.39999999999418</v>
      </c>
      <c r="Q21" s="45">
        <f t="shared" si="1"/>
        <v>968.20000000001164</v>
      </c>
      <c r="R21" s="45">
        <f t="shared" si="1"/>
        <v>0</v>
      </c>
      <c r="S21" s="45">
        <f t="shared" si="1"/>
        <v>1309.5999999999767</v>
      </c>
      <c r="T21" s="45">
        <f t="shared" si="1"/>
        <v>1499</v>
      </c>
      <c r="U21" s="46">
        <f t="shared" si="4"/>
        <v>1461.4000000000233</v>
      </c>
      <c r="V21" s="46">
        <f t="shared" si="4"/>
        <v>0</v>
      </c>
      <c r="W21" s="46">
        <f t="shared" si="4"/>
        <v>1638.5999999999767</v>
      </c>
      <c r="X21" s="46">
        <f t="shared" si="2"/>
        <v>2102.1999999999825</v>
      </c>
    </row>
    <row r="22" spans="1:24" ht="20" customHeight="1" x14ac:dyDescent="0.35">
      <c r="A22" s="28" t="s">
        <v>196</v>
      </c>
      <c r="B22" s="47">
        <v>398205.9</v>
      </c>
      <c r="C22" s="28" t="s">
        <v>176</v>
      </c>
      <c r="D22" s="48">
        <v>38620</v>
      </c>
      <c r="E22" s="48">
        <v>359066</v>
      </c>
      <c r="F22" s="48">
        <v>241145</v>
      </c>
      <c r="G22" s="48">
        <v>506912.7</v>
      </c>
      <c r="H22" s="31" t="s">
        <v>176</v>
      </c>
      <c r="I22" s="51">
        <v>686205.5</v>
      </c>
      <c r="J22" s="48">
        <v>1399735</v>
      </c>
      <c r="L22" s="45">
        <f t="shared" si="3"/>
        <v>493.59999999997672</v>
      </c>
      <c r="M22" s="45">
        <f t="shared" si="1"/>
        <v>0</v>
      </c>
      <c r="N22" s="45">
        <f t="shared" si="1"/>
        <v>335</v>
      </c>
      <c r="O22" s="45">
        <f t="shared" si="1"/>
        <v>395.20000000001164</v>
      </c>
      <c r="P22" s="45">
        <f t="shared" si="1"/>
        <v>247.79999999998836</v>
      </c>
      <c r="Q22" s="45">
        <f t="shared" si="1"/>
        <v>978.29999999998836</v>
      </c>
      <c r="R22" s="45">
        <f t="shared" si="1"/>
        <v>0</v>
      </c>
      <c r="S22" s="45">
        <f t="shared" si="1"/>
        <v>1260.5999999999767</v>
      </c>
      <c r="T22" s="45">
        <f t="shared" si="1"/>
        <v>1526</v>
      </c>
      <c r="U22" s="46">
        <f t="shared" si="4"/>
        <v>1471.8999999999651</v>
      </c>
      <c r="V22" s="46">
        <f t="shared" si="4"/>
        <v>0</v>
      </c>
      <c r="W22" s="46">
        <f t="shared" si="4"/>
        <v>1595.5999999999767</v>
      </c>
      <c r="X22" s="46">
        <f t="shared" si="2"/>
        <v>2169</v>
      </c>
    </row>
    <row r="23" spans="1:24" ht="20" customHeight="1" x14ac:dyDescent="0.35">
      <c r="A23" s="28" t="s">
        <v>197</v>
      </c>
      <c r="B23" s="47">
        <v>398699.5</v>
      </c>
      <c r="C23" s="28" t="s">
        <v>176</v>
      </c>
      <c r="D23" s="48">
        <v>38955</v>
      </c>
      <c r="E23" s="48">
        <v>359461.2</v>
      </c>
      <c r="F23" s="48">
        <v>241392.8</v>
      </c>
      <c r="G23" s="48">
        <v>507891</v>
      </c>
      <c r="H23" s="31" t="s">
        <v>176</v>
      </c>
      <c r="I23" s="51">
        <v>687466.1</v>
      </c>
      <c r="J23" s="48">
        <v>1401261</v>
      </c>
      <c r="L23" s="45">
        <f t="shared" si="3"/>
        <v>479.79999999998836</v>
      </c>
      <c r="M23" s="45">
        <f t="shared" si="1"/>
        <v>0</v>
      </c>
      <c r="N23" s="45">
        <f t="shared" si="1"/>
        <v>274.90000000000146</v>
      </c>
      <c r="O23" s="45">
        <f t="shared" si="1"/>
        <v>377.20000000001164</v>
      </c>
      <c r="P23" s="45">
        <f t="shared" si="1"/>
        <v>232.5</v>
      </c>
      <c r="Q23" s="45">
        <f t="shared" si="1"/>
        <v>668.09999999997672</v>
      </c>
      <c r="R23" s="45">
        <f t="shared" si="1"/>
        <v>0</v>
      </c>
      <c r="S23" s="45">
        <f t="shared" si="1"/>
        <v>580.80000000004657</v>
      </c>
      <c r="T23" s="45">
        <f t="shared" si="1"/>
        <v>1529</v>
      </c>
      <c r="U23" s="46">
        <f t="shared" si="4"/>
        <v>1147.8999999999651</v>
      </c>
      <c r="V23" s="46">
        <f t="shared" si="4"/>
        <v>0</v>
      </c>
      <c r="W23" s="46">
        <f t="shared" si="4"/>
        <v>855.70000000004802</v>
      </c>
      <c r="X23" s="46">
        <f t="shared" si="2"/>
        <v>2138.7000000000116</v>
      </c>
    </row>
    <row r="24" spans="1:24" ht="20" customHeight="1" x14ac:dyDescent="0.35">
      <c r="A24" s="28" t="s">
        <v>198</v>
      </c>
      <c r="B24" s="47">
        <v>399179.3</v>
      </c>
      <c r="C24" s="28" t="s">
        <v>176</v>
      </c>
      <c r="D24" s="48">
        <v>39229.9</v>
      </c>
      <c r="E24" s="48">
        <v>359838.4</v>
      </c>
      <c r="F24" s="48">
        <v>241625.3</v>
      </c>
      <c r="G24" s="48">
        <v>508559.1</v>
      </c>
      <c r="H24" s="31" t="s">
        <v>176</v>
      </c>
      <c r="I24" s="51">
        <v>688046.9</v>
      </c>
      <c r="J24" s="48">
        <v>1402790</v>
      </c>
      <c r="L24" s="45">
        <f t="shared" si="3"/>
        <v>497.29999999998836</v>
      </c>
      <c r="M24" s="45">
        <f t="shared" si="1"/>
        <v>0</v>
      </c>
      <c r="N24" s="45">
        <f t="shared" si="1"/>
        <v>328.19999999999709</v>
      </c>
      <c r="O24" s="45">
        <f t="shared" si="1"/>
        <v>376.39999999996508</v>
      </c>
      <c r="P24" s="45">
        <f t="shared" si="1"/>
        <v>231.70000000001164</v>
      </c>
      <c r="Q24" s="45">
        <f t="shared" si="1"/>
        <v>1003.2000000000116</v>
      </c>
      <c r="R24" s="45">
        <f t="shared" si="1"/>
        <v>0</v>
      </c>
      <c r="S24" s="45">
        <f t="shared" si="1"/>
        <v>1269.9000000000233</v>
      </c>
      <c r="T24" s="45">
        <f t="shared" si="1"/>
        <v>1487</v>
      </c>
      <c r="U24" s="46">
        <f t="shared" si="4"/>
        <v>1500.5</v>
      </c>
      <c r="V24" s="46">
        <f t="shared" si="4"/>
        <v>0</v>
      </c>
      <c r="W24" s="46">
        <f t="shared" si="4"/>
        <v>1598.1000000000204</v>
      </c>
      <c r="X24" s="46">
        <f t="shared" si="2"/>
        <v>2095.0999999999767</v>
      </c>
    </row>
    <row r="25" spans="1:24" ht="20" customHeight="1" x14ac:dyDescent="0.35">
      <c r="A25" s="28" t="s">
        <v>199</v>
      </c>
      <c r="B25" s="47">
        <v>399676.6</v>
      </c>
      <c r="C25" s="28" t="s">
        <v>176</v>
      </c>
      <c r="D25" s="48">
        <v>39558.1</v>
      </c>
      <c r="E25" s="48">
        <v>360214.8</v>
      </c>
      <c r="F25" s="48">
        <v>241857</v>
      </c>
      <c r="G25" s="48">
        <v>509562.3</v>
      </c>
      <c r="H25" s="31" t="s">
        <v>176</v>
      </c>
      <c r="I25" s="51">
        <v>689316.8</v>
      </c>
      <c r="J25" s="48">
        <v>1404277</v>
      </c>
      <c r="L25" s="45">
        <f t="shared" si="3"/>
        <v>495.70000000001164</v>
      </c>
      <c r="M25" s="45">
        <f t="shared" si="1"/>
        <v>0</v>
      </c>
      <c r="N25" s="45">
        <f t="shared" si="1"/>
        <v>324.20000000000437</v>
      </c>
      <c r="O25" s="45">
        <f t="shared" si="1"/>
        <v>350.60000000003492</v>
      </c>
      <c r="P25" s="45">
        <f t="shared" si="1"/>
        <v>225.29999999998836</v>
      </c>
      <c r="Q25" s="45">
        <f t="shared" si="1"/>
        <v>1020.9000000000233</v>
      </c>
      <c r="R25" s="45">
        <f t="shared" si="1"/>
        <v>0</v>
      </c>
      <c r="S25" s="45">
        <f t="shared" si="1"/>
        <v>1444</v>
      </c>
      <c r="T25" s="45">
        <f t="shared" si="1"/>
        <v>1143</v>
      </c>
      <c r="U25" s="46">
        <f t="shared" si="4"/>
        <v>1516.6000000000349</v>
      </c>
      <c r="V25" s="46">
        <f t="shared" si="4"/>
        <v>0</v>
      </c>
      <c r="W25" s="46">
        <f t="shared" si="4"/>
        <v>1768.2000000000044</v>
      </c>
      <c r="X25" s="46">
        <f t="shared" si="2"/>
        <v>1718.9000000000233</v>
      </c>
    </row>
    <row r="26" spans="1:24" ht="20" customHeight="1" x14ac:dyDescent="0.35">
      <c r="A26" s="28" t="s">
        <v>200</v>
      </c>
      <c r="B26" s="47">
        <v>400172.3</v>
      </c>
      <c r="C26" s="28" t="s">
        <v>176</v>
      </c>
      <c r="D26" s="48">
        <v>39882.300000000003</v>
      </c>
      <c r="E26" s="48">
        <v>360565.4</v>
      </c>
      <c r="F26" s="48">
        <v>242082.3</v>
      </c>
      <c r="G26" s="48">
        <v>510583.2</v>
      </c>
      <c r="H26" s="31" t="s">
        <v>176</v>
      </c>
      <c r="I26" s="51">
        <v>690760.8</v>
      </c>
      <c r="J26" s="48">
        <v>1405420</v>
      </c>
      <c r="L26" s="45">
        <f t="shared" si="3"/>
        <v>495.90000000002328</v>
      </c>
      <c r="M26" s="45">
        <f t="shared" si="3"/>
        <v>0</v>
      </c>
      <c r="N26" s="45">
        <f t="shared" si="3"/>
        <v>334</v>
      </c>
      <c r="O26" s="45">
        <f t="shared" si="3"/>
        <v>329.39999999996508</v>
      </c>
      <c r="P26" s="45">
        <f t="shared" si="3"/>
        <v>222.60000000000582</v>
      </c>
      <c r="Q26" s="45">
        <f t="shared" si="3"/>
        <v>968.09999999997672</v>
      </c>
      <c r="R26" s="45">
        <f t="shared" si="3"/>
        <v>0</v>
      </c>
      <c r="S26" s="45">
        <f t="shared" si="3"/>
        <v>1424.8999999999069</v>
      </c>
      <c r="T26" s="45">
        <f t="shared" si="3"/>
        <v>1091</v>
      </c>
      <c r="U26" s="46">
        <f t="shared" si="4"/>
        <v>1464</v>
      </c>
      <c r="V26" s="46">
        <f t="shared" si="4"/>
        <v>0</v>
      </c>
      <c r="W26" s="46">
        <f t="shared" si="4"/>
        <v>1758.8999999999069</v>
      </c>
      <c r="X26" s="46">
        <f t="shared" si="2"/>
        <v>1642.9999999999709</v>
      </c>
    </row>
    <row r="27" spans="1:24" ht="42.75" customHeight="1" x14ac:dyDescent="0.35">
      <c r="A27" s="36" t="s">
        <v>201</v>
      </c>
      <c r="B27" s="52">
        <v>400668.2</v>
      </c>
      <c r="C27" s="36" t="s">
        <v>176</v>
      </c>
      <c r="D27" s="53">
        <v>40216.300000000003</v>
      </c>
      <c r="E27" s="53">
        <v>360894.8</v>
      </c>
      <c r="F27" s="53">
        <v>242304.9</v>
      </c>
      <c r="G27" s="53">
        <v>511551.3</v>
      </c>
      <c r="H27" s="39" t="s">
        <v>176</v>
      </c>
      <c r="I27" s="54">
        <v>692185.7</v>
      </c>
      <c r="J27" s="53">
        <v>1406511</v>
      </c>
      <c r="L27" s="45">
        <f t="shared" si="3"/>
        <v>490.5</v>
      </c>
      <c r="M27" s="45">
        <f t="shared" si="3"/>
        <v>0</v>
      </c>
      <c r="N27" s="45">
        <f t="shared" si="3"/>
        <v>327.59999999999854</v>
      </c>
      <c r="O27" s="45">
        <f t="shared" si="3"/>
        <v>299.10000000003492</v>
      </c>
      <c r="P27" s="45">
        <f t="shared" si="3"/>
        <v>230.10000000000582</v>
      </c>
      <c r="Q27" s="45">
        <f t="shared" si="3"/>
        <v>1075.4000000000233</v>
      </c>
      <c r="R27" s="45">
        <f t="shared" si="3"/>
        <v>0</v>
      </c>
      <c r="S27" s="45">
        <f t="shared" si="3"/>
        <v>1316.2000000000698</v>
      </c>
      <c r="T27" s="45">
        <f t="shared" si="3"/>
        <v>1294</v>
      </c>
      <c r="U27" s="46">
        <f t="shared" si="4"/>
        <v>1565.9000000000233</v>
      </c>
      <c r="V27" s="46">
        <f t="shared" si="4"/>
        <v>0</v>
      </c>
      <c r="W27" s="46">
        <f t="shared" si="4"/>
        <v>1643.8000000000684</v>
      </c>
      <c r="X27" s="46">
        <f t="shared" si="2"/>
        <v>1823.2000000000407</v>
      </c>
    </row>
    <row r="28" spans="1:24" ht="20" customHeight="1" x14ac:dyDescent="0.35">
      <c r="A28" s="28" t="s">
        <v>202</v>
      </c>
      <c r="B28" s="47">
        <v>401158.7</v>
      </c>
      <c r="C28" s="28" t="s">
        <v>176</v>
      </c>
      <c r="D28" s="48">
        <v>40543.9</v>
      </c>
      <c r="E28" s="48">
        <v>361193.9</v>
      </c>
      <c r="F28" s="48">
        <v>242535</v>
      </c>
      <c r="G28" s="48">
        <v>512626.7</v>
      </c>
      <c r="H28" s="31" t="s">
        <v>176</v>
      </c>
      <c r="I28" s="51">
        <v>693501.9</v>
      </c>
      <c r="J28" s="48">
        <v>1407805</v>
      </c>
      <c r="L28" s="45">
        <f t="shared" si="3"/>
        <v>481.29999999998836</v>
      </c>
      <c r="M28" s="45">
        <f t="shared" si="3"/>
        <v>0</v>
      </c>
      <c r="N28" s="45">
        <f t="shared" si="3"/>
        <v>325.79999999999563</v>
      </c>
      <c r="O28" s="45">
        <f t="shared" si="3"/>
        <v>257.59999999997672</v>
      </c>
      <c r="P28" s="45">
        <f t="shared" si="3"/>
        <v>223.39999999999418</v>
      </c>
      <c r="Q28" s="45">
        <f t="shared" si="3"/>
        <v>890</v>
      </c>
      <c r="R28" s="45">
        <f t="shared" si="3"/>
        <v>0</v>
      </c>
      <c r="S28" s="45">
        <f t="shared" si="3"/>
        <v>1287.0999999999767</v>
      </c>
      <c r="T28" s="45">
        <f t="shared" si="3"/>
        <v>1528</v>
      </c>
      <c r="U28" s="46">
        <f t="shared" si="4"/>
        <v>1371.2999999999884</v>
      </c>
      <c r="V28" s="46">
        <f t="shared" si="4"/>
        <v>0</v>
      </c>
      <c r="W28" s="46">
        <f t="shared" si="4"/>
        <v>1612.8999999999724</v>
      </c>
      <c r="X28" s="46">
        <f t="shared" si="2"/>
        <v>2008.9999999999709</v>
      </c>
    </row>
    <row r="29" spans="1:24" ht="20" customHeight="1" x14ac:dyDescent="0.35">
      <c r="A29" s="28" t="s">
        <v>203</v>
      </c>
      <c r="B29" s="47">
        <v>401640</v>
      </c>
      <c r="C29" s="28" t="s">
        <v>176</v>
      </c>
      <c r="D29" s="48">
        <v>40869.699999999997</v>
      </c>
      <c r="E29" s="48">
        <v>361451.5</v>
      </c>
      <c r="F29" s="48">
        <v>242758.39999999999</v>
      </c>
      <c r="G29" s="48">
        <v>513516.7</v>
      </c>
      <c r="H29" s="31" t="s">
        <v>176</v>
      </c>
      <c r="I29" s="51">
        <v>694789</v>
      </c>
      <c r="J29" s="48">
        <v>1409333</v>
      </c>
      <c r="L29" s="45">
        <f t="shared" si="3"/>
        <v>475.40000000002328</v>
      </c>
      <c r="M29" s="45">
        <f t="shared" si="3"/>
        <v>0</v>
      </c>
      <c r="N29" s="45">
        <f t="shared" si="3"/>
        <v>312.30000000000291</v>
      </c>
      <c r="O29" s="45">
        <f t="shared" si="3"/>
        <v>331.5</v>
      </c>
      <c r="P29" s="45">
        <f t="shared" si="3"/>
        <v>239.39999999999418</v>
      </c>
      <c r="Q29" s="45">
        <f t="shared" si="3"/>
        <v>821.79999999998836</v>
      </c>
      <c r="R29" s="45">
        <f t="shared" si="3"/>
        <v>0</v>
      </c>
      <c r="S29" s="45">
        <f t="shared" si="3"/>
        <v>1092</v>
      </c>
      <c r="T29" s="45">
        <f t="shared" si="3"/>
        <v>1423</v>
      </c>
      <c r="U29" s="46">
        <f t="shared" si="4"/>
        <v>1297.2000000000116</v>
      </c>
      <c r="V29" s="46">
        <f t="shared" si="4"/>
        <v>0</v>
      </c>
      <c r="W29" s="46">
        <f t="shared" si="4"/>
        <v>1404.3000000000029</v>
      </c>
      <c r="X29" s="46">
        <f t="shared" si="2"/>
        <v>1993.8999999999942</v>
      </c>
    </row>
    <row r="30" spans="1:24" ht="20" customHeight="1" x14ac:dyDescent="0.35">
      <c r="A30" s="28" t="s">
        <v>204</v>
      </c>
      <c r="B30" s="47">
        <v>402115.4</v>
      </c>
      <c r="C30" s="28" t="s">
        <v>176</v>
      </c>
      <c r="D30" s="48">
        <v>41182</v>
      </c>
      <c r="E30" s="48">
        <v>361783</v>
      </c>
      <c r="F30" s="48">
        <v>242997.8</v>
      </c>
      <c r="G30" s="48">
        <v>514338.5</v>
      </c>
      <c r="H30" s="31" t="s">
        <v>176</v>
      </c>
      <c r="I30" s="51">
        <v>695881</v>
      </c>
      <c r="J30" s="48">
        <v>1410756</v>
      </c>
      <c r="L30" s="45">
        <f t="shared" si="3"/>
        <v>470.19999999995343</v>
      </c>
      <c r="M30" s="45">
        <f t="shared" si="3"/>
        <v>0</v>
      </c>
      <c r="N30" s="45">
        <f t="shared" si="3"/>
        <v>243.5</v>
      </c>
      <c r="O30" s="45">
        <f t="shared" si="3"/>
        <v>369.40000000002328</v>
      </c>
      <c r="P30" s="45">
        <f t="shared" si="3"/>
        <v>215.80000000001746</v>
      </c>
      <c r="Q30" s="45">
        <f t="shared" si="3"/>
        <v>608.90000000002328</v>
      </c>
      <c r="R30" s="45">
        <f t="shared" si="3"/>
        <v>0</v>
      </c>
      <c r="S30" s="45">
        <f t="shared" si="3"/>
        <v>603.40000000002328</v>
      </c>
      <c r="T30" s="45">
        <f t="shared" si="3"/>
        <v>1515</v>
      </c>
      <c r="U30" s="46">
        <f t="shared" si="4"/>
        <v>1079.0999999999767</v>
      </c>
      <c r="V30" s="46">
        <f t="shared" si="4"/>
        <v>0</v>
      </c>
      <c r="W30" s="46">
        <f t="shared" si="4"/>
        <v>846.90000000002328</v>
      </c>
      <c r="X30" s="46">
        <f t="shared" si="2"/>
        <v>2100.2000000000407</v>
      </c>
    </row>
    <row r="31" spans="1:24" ht="20" customHeight="1" x14ac:dyDescent="0.35">
      <c r="A31" s="28" t="s">
        <v>205</v>
      </c>
      <c r="B31" s="47">
        <v>402585.59999999998</v>
      </c>
      <c r="C31" s="28" t="s">
        <v>176</v>
      </c>
      <c r="D31" s="48">
        <v>41425.5</v>
      </c>
      <c r="E31" s="48">
        <v>362152.4</v>
      </c>
      <c r="F31" s="48">
        <v>243213.6</v>
      </c>
      <c r="G31" s="48">
        <v>514947.4</v>
      </c>
      <c r="H31" s="31" t="s">
        <v>176</v>
      </c>
      <c r="I31" s="51">
        <v>696484.4</v>
      </c>
      <c r="J31" s="48">
        <v>1412271</v>
      </c>
      <c r="L31" s="45">
        <f t="shared" si="3"/>
        <v>471.5</v>
      </c>
      <c r="M31" s="45">
        <f t="shared" si="3"/>
        <v>0</v>
      </c>
      <c r="N31" s="45">
        <f t="shared" si="3"/>
        <v>220.5</v>
      </c>
      <c r="O31" s="45">
        <f t="shared" si="3"/>
        <v>331.5</v>
      </c>
      <c r="P31" s="45">
        <f t="shared" si="3"/>
        <v>224.19999999998254</v>
      </c>
      <c r="Q31" s="45">
        <f t="shared" si="3"/>
        <v>772.59999999997672</v>
      </c>
      <c r="R31" s="45">
        <f t="shared" si="3"/>
        <v>0</v>
      </c>
      <c r="S31" s="45">
        <f t="shared" si="3"/>
        <v>999.19999999995343</v>
      </c>
      <c r="T31" s="45">
        <f t="shared" si="3"/>
        <v>1519</v>
      </c>
      <c r="U31" s="46">
        <f t="shared" si="4"/>
        <v>1244.0999999999767</v>
      </c>
      <c r="V31" s="46">
        <f t="shared" si="4"/>
        <v>0</v>
      </c>
      <c r="W31" s="46">
        <f t="shared" si="4"/>
        <v>1219.6999999999534</v>
      </c>
      <c r="X31" s="46">
        <f t="shared" si="2"/>
        <v>2074.6999999999825</v>
      </c>
    </row>
    <row r="32" spans="1:24" ht="20" customHeight="1" x14ac:dyDescent="0.35">
      <c r="A32" s="28" t="s">
        <v>206</v>
      </c>
      <c r="B32" s="47">
        <v>403057.1</v>
      </c>
      <c r="C32" s="28" t="s">
        <v>176</v>
      </c>
      <c r="D32" s="48">
        <v>41646</v>
      </c>
      <c r="E32" s="48">
        <v>362483.9</v>
      </c>
      <c r="F32" s="48">
        <v>243437.8</v>
      </c>
      <c r="G32" s="48">
        <v>515720</v>
      </c>
      <c r="H32" s="31" t="s">
        <v>176</v>
      </c>
      <c r="I32" s="51">
        <v>697483.6</v>
      </c>
      <c r="J32" s="48">
        <v>1413790</v>
      </c>
      <c r="L32" s="45">
        <f t="shared" si="3"/>
        <v>498.5</v>
      </c>
      <c r="M32" s="45">
        <f t="shared" si="3"/>
        <v>0</v>
      </c>
      <c r="N32" s="45">
        <f t="shared" si="3"/>
        <v>324.30000000000291</v>
      </c>
      <c r="O32" s="45">
        <f t="shared" si="3"/>
        <v>331.09999999997672</v>
      </c>
      <c r="P32" s="45">
        <f t="shared" si="3"/>
        <v>222.60000000000582</v>
      </c>
      <c r="Q32" s="45">
        <f t="shared" si="3"/>
        <v>872.90000000002328</v>
      </c>
      <c r="R32" s="45">
        <f t="shared" si="3"/>
        <v>0</v>
      </c>
      <c r="S32" s="45">
        <f t="shared" si="3"/>
        <v>1403.5</v>
      </c>
      <c r="T32" s="45">
        <f t="shared" si="3"/>
        <v>1508</v>
      </c>
      <c r="U32" s="46">
        <f t="shared" si="4"/>
        <v>1371.4000000000233</v>
      </c>
      <c r="V32" s="46">
        <f t="shared" si="4"/>
        <v>0</v>
      </c>
      <c r="W32" s="46">
        <f t="shared" si="4"/>
        <v>1727.8000000000029</v>
      </c>
      <c r="X32" s="46">
        <f t="shared" si="2"/>
        <v>2061.6999999999825</v>
      </c>
    </row>
    <row r="33" spans="1:24" ht="20" customHeight="1" x14ac:dyDescent="0.35">
      <c r="A33" s="28" t="s">
        <v>207</v>
      </c>
      <c r="B33" s="47">
        <v>403555.6</v>
      </c>
      <c r="C33" s="28" t="s">
        <v>176</v>
      </c>
      <c r="D33" s="48">
        <v>41970.3</v>
      </c>
      <c r="E33" s="48">
        <v>362815</v>
      </c>
      <c r="F33" s="48">
        <v>243660.4</v>
      </c>
      <c r="G33" s="48">
        <v>516592.9</v>
      </c>
      <c r="H33" s="31" t="s">
        <v>176</v>
      </c>
      <c r="I33" s="51">
        <v>698887.1</v>
      </c>
      <c r="J33" s="48">
        <v>1415298</v>
      </c>
      <c r="L33" s="45">
        <f t="shared" ref="L33:T34" si="5">IFERROR(B34-B33,0)</f>
        <v>478</v>
      </c>
      <c r="M33" s="45">
        <f t="shared" si="5"/>
        <v>0</v>
      </c>
      <c r="N33" s="45">
        <f t="shared" si="5"/>
        <v>329.09999999999854</v>
      </c>
      <c r="O33" s="45">
        <f t="shared" si="5"/>
        <v>307.70000000001164</v>
      </c>
      <c r="P33" s="45">
        <f t="shared" si="5"/>
        <v>274.89999999999418</v>
      </c>
      <c r="Q33" s="45">
        <f t="shared" si="5"/>
        <v>806.29999999998836</v>
      </c>
      <c r="R33" s="45">
        <f t="shared" si="5"/>
        <v>0</v>
      </c>
      <c r="S33" s="45">
        <f t="shared" si="5"/>
        <v>1477.3000000000466</v>
      </c>
      <c r="T33" s="45">
        <f t="shared" si="5"/>
        <v>1346</v>
      </c>
      <c r="U33" s="46">
        <f t="shared" si="4"/>
        <v>1284.2999999999884</v>
      </c>
      <c r="V33" s="46">
        <f t="shared" si="4"/>
        <v>0</v>
      </c>
      <c r="W33" s="46">
        <f t="shared" si="4"/>
        <v>1806.4000000000451</v>
      </c>
      <c r="X33" s="46">
        <f t="shared" si="2"/>
        <v>1928.6000000000058</v>
      </c>
    </row>
    <row r="34" spans="1:24" ht="20" customHeight="1" x14ac:dyDescent="0.35">
      <c r="A34" s="28" t="s">
        <v>175</v>
      </c>
      <c r="B34" s="47">
        <v>404033.6</v>
      </c>
      <c r="C34" s="28" t="s">
        <v>176</v>
      </c>
      <c r="D34" s="48">
        <v>42299.4</v>
      </c>
      <c r="E34" s="48">
        <v>363122.7</v>
      </c>
      <c r="F34" s="48">
        <v>243935.3</v>
      </c>
      <c r="G34" s="48">
        <v>517399.2</v>
      </c>
      <c r="H34" s="31" t="s">
        <v>176</v>
      </c>
      <c r="I34" s="51">
        <v>700364.4</v>
      </c>
      <c r="J34" s="48">
        <v>1416644</v>
      </c>
      <c r="L34" s="45">
        <f t="shared" si="5"/>
        <v>294.10000000003492</v>
      </c>
      <c r="M34" s="45">
        <f t="shared" si="5"/>
        <v>0</v>
      </c>
      <c r="N34" s="45">
        <f t="shared" si="5"/>
        <v>328.5</v>
      </c>
      <c r="O34" s="45">
        <f t="shared" si="5"/>
        <v>347.70000000001164</v>
      </c>
      <c r="P34" s="45">
        <f t="shared" si="5"/>
        <v>222.20000000001164</v>
      </c>
      <c r="Q34" s="45">
        <f t="shared" si="5"/>
        <v>556.09999999997672</v>
      </c>
      <c r="R34" s="45">
        <f t="shared" si="5"/>
        <v>0</v>
      </c>
      <c r="S34" s="45">
        <f t="shared" si="5"/>
        <v>1472.1999999999534</v>
      </c>
      <c r="T34" s="45">
        <f t="shared" si="5"/>
        <v>1284</v>
      </c>
      <c r="U34" s="46">
        <f t="shared" ref="U34" si="6">L34+Q34</f>
        <v>850.20000000001164</v>
      </c>
      <c r="V34" s="46">
        <f t="shared" ref="V34" si="7">M34+R34</f>
        <v>0</v>
      </c>
      <c r="W34" s="46">
        <f t="shared" ref="W34" si="8">N34+S34</f>
        <v>1800.6999999999534</v>
      </c>
      <c r="X34" s="46">
        <f t="shared" ref="X34" si="9">O34+P34+T34</f>
        <v>1853.9000000000233</v>
      </c>
    </row>
    <row r="35" spans="1:24" ht="20" customHeight="1" x14ac:dyDescent="0.35">
      <c r="A35" s="28" t="s">
        <v>177</v>
      </c>
      <c r="B35" s="29">
        <v>404327.7</v>
      </c>
      <c r="C35" s="28" t="s">
        <v>176</v>
      </c>
      <c r="D35" s="30">
        <v>42627.9</v>
      </c>
      <c r="E35" s="30">
        <v>363470.4</v>
      </c>
      <c r="F35" s="30">
        <v>244157.5</v>
      </c>
      <c r="G35" s="30">
        <v>517955.3</v>
      </c>
      <c r="H35" s="31" t="s">
        <v>176</v>
      </c>
      <c r="I35" s="32">
        <v>701836.6</v>
      </c>
      <c r="J35" s="33">
        <v>1417928</v>
      </c>
      <c r="L35" s="45">
        <f t="shared" si="3"/>
        <v>0</v>
      </c>
      <c r="M35" s="45">
        <f t="shared" si="3"/>
        <v>0</v>
      </c>
      <c r="N35" s="45">
        <f t="shared" si="3"/>
        <v>318.09999999999854</v>
      </c>
      <c r="O35" s="45">
        <f t="shared" si="3"/>
        <v>349.29999999998836</v>
      </c>
      <c r="P35" s="45">
        <f t="shared" si="3"/>
        <v>240.60000000000582</v>
      </c>
      <c r="Q35" s="45">
        <f t="shared" si="3"/>
        <v>3.2000000000116415</v>
      </c>
      <c r="R35" s="45">
        <f t="shared" si="3"/>
        <v>0</v>
      </c>
      <c r="S35" s="45">
        <f t="shared" si="3"/>
        <v>1238.2000000000698</v>
      </c>
      <c r="T35" s="45">
        <f t="shared" si="3"/>
        <v>1432</v>
      </c>
      <c r="U35" s="46">
        <f t="shared" si="4"/>
        <v>3.2000000000116415</v>
      </c>
      <c r="V35" s="46">
        <f t="shared" si="4"/>
        <v>0</v>
      </c>
      <c r="W35" s="46">
        <f t="shared" si="4"/>
        <v>1556.3000000000684</v>
      </c>
      <c r="X35" s="46">
        <f t="shared" si="2"/>
        <v>2021.8999999999942</v>
      </c>
    </row>
    <row r="36" spans="1:24" ht="20" customHeight="1" x14ac:dyDescent="0.35">
      <c r="A36" s="28" t="s">
        <v>178</v>
      </c>
      <c r="B36" s="29">
        <v>404327.7</v>
      </c>
      <c r="C36" s="28">
        <v>218832.2</v>
      </c>
      <c r="D36" s="30">
        <v>42946</v>
      </c>
      <c r="E36" s="30">
        <v>363819.7</v>
      </c>
      <c r="F36" s="30">
        <v>244398.1</v>
      </c>
      <c r="G36" s="30">
        <v>517958.5</v>
      </c>
      <c r="H36" s="31">
        <v>306379.8</v>
      </c>
      <c r="I36" s="32">
        <v>703074.8</v>
      </c>
      <c r="J36" s="33">
        <v>1419360</v>
      </c>
      <c r="L36" s="45">
        <f t="shared" si="3"/>
        <v>181.5</v>
      </c>
      <c r="M36" s="45">
        <f t="shared" si="3"/>
        <v>374</v>
      </c>
      <c r="N36" s="45">
        <f t="shared" si="3"/>
        <v>96.099999999998545</v>
      </c>
      <c r="O36" s="45">
        <f t="shared" si="3"/>
        <v>384.5</v>
      </c>
      <c r="P36" s="45">
        <f t="shared" si="3"/>
        <v>273.5</v>
      </c>
      <c r="Q36" s="45">
        <f t="shared" si="3"/>
        <v>485.59999999997672</v>
      </c>
      <c r="R36" s="45">
        <f t="shared" si="3"/>
        <v>618.70000000001164</v>
      </c>
      <c r="S36" s="45">
        <f t="shared" si="3"/>
        <v>321</v>
      </c>
      <c r="T36" s="45">
        <f t="shared" si="3"/>
        <v>1467</v>
      </c>
      <c r="U36" s="46">
        <f t="shared" si="4"/>
        <v>667.09999999997672</v>
      </c>
      <c r="V36" s="46">
        <f t="shared" si="4"/>
        <v>992.70000000001164</v>
      </c>
      <c r="W36" s="46">
        <f t="shared" si="4"/>
        <v>417.09999999999854</v>
      </c>
      <c r="X36" s="46">
        <f t="shared" si="2"/>
        <v>2125</v>
      </c>
    </row>
    <row r="37" spans="1:24" ht="20" customHeight="1" x14ac:dyDescent="0.35">
      <c r="A37" s="28" t="s">
        <v>179</v>
      </c>
      <c r="B37" s="29">
        <v>404509.2</v>
      </c>
      <c r="C37" s="28">
        <v>219206.2</v>
      </c>
      <c r="D37" s="30">
        <v>43042.1</v>
      </c>
      <c r="E37" s="30">
        <v>364204.2</v>
      </c>
      <c r="F37" s="30">
        <v>244671.6</v>
      </c>
      <c r="G37" s="30">
        <v>518444.1</v>
      </c>
      <c r="H37" s="31">
        <v>306998.5</v>
      </c>
      <c r="I37" s="32">
        <v>703395.8</v>
      </c>
      <c r="J37" s="33">
        <v>1420827</v>
      </c>
      <c r="L37" s="45">
        <f t="shared" si="3"/>
        <v>0</v>
      </c>
      <c r="M37" s="45">
        <f t="shared" si="3"/>
        <v>0</v>
      </c>
      <c r="N37" s="45">
        <f t="shared" si="3"/>
        <v>144.90000000000146</v>
      </c>
      <c r="O37" s="45">
        <f t="shared" si="3"/>
        <v>267.59999999997672</v>
      </c>
      <c r="P37" s="45">
        <f t="shared" si="3"/>
        <v>224.79999999998836</v>
      </c>
      <c r="Q37" s="45">
        <f t="shared" si="3"/>
        <v>5.3000000000465661</v>
      </c>
      <c r="R37" s="45">
        <f t="shared" si="3"/>
        <v>17.099999999976717</v>
      </c>
      <c r="S37" s="45">
        <f t="shared" si="3"/>
        <v>296.5</v>
      </c>
      <c r="T37" s="45">
        <f t="shared" si="3"/>
        <v>1425</v>
      </c>
      <c r="U37" s="46">
        <f t="shared" si="4"/>
        <v>5.3000000000465661</v>
      </c>
      <c r="V37" s="46">
        <f t="shared" si="4"/>
        <v>17.099999999976717</v>
      </c>
      <c r="W37" s="46">
        <f t="shared" si="4"/>
        <v>441.40000000000146</v>
      </c>
      <c r="X37" s="46">
        <f t="shared" si="2"/>
        <v>1917.3999999999651</v>
      </c>
    </row>
    <row r="38" spans="1:24" ht="20" customHeight="1" x14ac:dyDescent="0.35">
      <c r="A38" s="28" t="s">
        <v>180</v>
      </c>
      <c r="B38" s="29">
        <v>404509.2</v>
      </c>
      <c r="C38" s="28">
        <v>219206.2</v>
      </c>
      <c r="D38" s="30">
        <v>43187</v>
      </c>
      <c r="E38" s="30">
        <v>364471.8</v>
      </c>
      <c r="F38" s="30">
        <v>244896.4</v>
      </c>
      <c r="G38" s="30">
        <v>518449.4</v>
      </c>
      <c r="H38" s="31">
        <v>307015.59999999998</v>
      </c>
      <c r="I38" s="32">
        <v>703692.3</v>
      </c>
      <c r="J38" s="33">
        <v>1422252</v>
      </c>
      <c r="L38" s="45">
        <f t="shared" si="3"/>
        <v>0</v>
      </c>
      <c r="M38" s="45">
        <f t="shared" si="3"/>
        <v>0</v>
      </c>
      <c r="N38" s="45">
        <f t="shared" si="3"/>
        <v>197.80000000000291</v>
      </c>
      <c r="O38" s="45">
        <f t="shared" si="3"/>
        <v>357.40000000002328</v>
      </c>
      <c r="P38" s="45">
        <f t="shared" si="3"/>
        <v>224.70000000001164</v>
      </c>
      <c r="Q38" s="45">
        <f t="shared" si="3"/>
        <v>1.5999999999767169</v>
      </c>
      <c r="R38" s="45">
        <f t="shared" si="3"/>
        <v>17.300000000046566</v>
      </c>
      <c r="S38" s="45">
        <f t="shared" si="3"/>
        <v>1034</v>
      </c>
      <c r="T38" s="45">
        <f t="shared" si="3"/>
        <v>1375</v>
      </c>
      <c r="U38" s="46">
        <f t="shared" si="4"/>
        <v>1.5999999999767169</v>
      </c>
      <c r="V38" s="46">
        <f t="shared" si="4"/>
        <v>17.300000000046566</v>
      </c>
      <c r="W38" s="46">
        <f t="shared" si="4"/>
        <v>1231.8000000000029</v>
      </c>
      <c r="X38" s="46">
        <f t="shared" si="2"/>
        <v>1957.1000000000349</v>
      </c>
    </row>
    <row r="39" spans="1:24" ht="20" customHeight="1" x14ac:dyDescent="0.35">
      <c r="A39" s="28" t="s">
        <v>181</v>
      </c>
      <c r="B39" s="29">
        <v>404509.2</v>
      </c>
      <c r="C39" s="28">
        <v>219206.2</v>
      </c>
      <c r="D39" s="30">
        <v>43384.800000000003</v>
      </c>
      <c r="E39" s="30">
        <v>364829.2</v>
      </c>
      <c r="F39" s="30">
        <v>245121.1</v>
      </c>
      <c r="G39" s="30">
        <v>518451</v>
      </c>
      <c r="H39" s="31">
        <v>307032.90000000002</v>
      </c>
      <c r="I39" s="32">
        <v>704726.3</v>
      </c>
      <c r="J39" s="33">
        <v>1423627</v>
      </c>
      <c r="L39" s="45">
        <f t="shared" ref="L39" si="10">IFERROR(B40-B39,0)</f>
        <v>0</v>
      </c>
      <c r="M39" s="45">
        <f t="shared" ref="M39" si="11">IFERROR(C40-C39,0)</f>
        <v>0</v>
      </c>
      <c r="N39" s="45">
        <f t="shared" ref="N39" si="12">IFERROR(D40-D39,0)</f>
        <v>289.79999999999563</v>
      </c>
      <c r="O39" s="45">
        <f t="shared" ref="O39" si="13">IFERROR(E40-E39,0)</f>
        <v>358.59999999997672</v>
      </c>
      <c r="P39" s="45">
        <f t="shared" ref="P39" si="14">IFERROR(F40-F39,0)</f>
        <v>250</v>
      </c>
      <c r="Q39" s="45">
        <f t="shared" ref="Q39" si="15">IFERROR(G40-G39,0)</f>
        <v>2.5999999999767169</v>
      </c>
      <c r="R39" s="45">
        <f t="shared" ref="R39" si="16">IFERROR(H40-H39,0)</f>
        <v>17.599999999976717</v>
      </c>
      <c r="S39" s="45">
        <f t="shared" ref="S39" si="17">IFERROR(I40-I39,0)</f>
        <v>1156.5</v>
      </c>
      <c r="T39" s="45">
        <f t="shared" ref="T39" si="18">IFERROR(J40-J39,0)</f>
        <v>1512</v>
      </c>
      <c r="U39" s="46">
        <f t="shared" ref="U39" si="19">L39+Q39</f>
        <v>2.5999999999767169</v>
      </c>
      <c r="V39" s="46">
        <f t="shared" ref="V39" si="20">M39+R39</f>
        <v>17.599999999976717</v>
      </c>
      <c r="W39" s="46">
        <f t="shared" ref="W39" si="21">N39+S39</f>
        <v>1446.2999999999956</v>
      </c>
      <c r="X39" s="46">
        <f t="shared" ref="X39" si="22">O39+P39+T39</f>
        <v>2120.5999999999767</v>
      </c>
    </row>
    <row r="40" spans="1:24" ht="20" customHeight="1" x14ac:dyDescent="0.35">
      <c r="A40" s="55" t="s">
        <v>183</v>
      </c>
      <c r="B40" s="29">
        <v>404509.2</v>
      </c>
      <c r="C40" s="28">
        <v>219206.2</v>
      </c>
      <c r="D40" s="30">
        <v>43674.6</v>
      </c>
      <c r="E40" s="30">
        <v>365187.8</v>
      </c>
      <c r="F40" s="30">
        <v>245371.1</v>
      </c>
      <c r="G40" s="30">
        <v>518453.6</v>
      </c>
      <c r="H40" s="31">
        <v>307050.5</v>
      </c>
      <c r="I40" s="32">
        <v>705882.8</v>
      </c>
      <c r="J40" s="33">
        <v>1425139</v>
      </c>
      <c r="L40" s="45">
        <f t="shared" si="3"/>
        <v>-404509.2</v>
      </c>
      <c r="M40" s="45">
        <f t="shared" si="3"/>
        <v>-219206.2</v>
      </c>
      <c r="N40" s="45">
        <f t="shared" si="3"/>
        <v>-43674.6</v>
      </c>
      <c r="O40" s="45">
        <f t="shared" si="3"/>
        <v>-365187.8</v>
      </c>
      <c r="P40" s="45">
        <f t="shared" si="3"/>
        <v>-245371.1</v>
      </c>
      <c r="Q40" s="45">
        <f t="shared" si="3"/>
        <v>-518453.6</v>
      </c>
      <c r="R40" s="45">
        <f t="shared" si="3"/>
        <v>-307050.5</v>
      </c>
      <c r="S40" s="45">
        <f t="shared" si="3"/>
        <v>-705882.8</v>
      </c>
      <c r="T40" s="45">
        <f t="shared" si="3"/>
        <v>-1425139</v>
      </c>
      <c r="U40" s="46">
        <f t="shared" si="4"/>
        <v>-922962.8</v>
      </c>
      <c r="V40" s="46">
        <f t="shared" si="4"/>
        <v>-526256.69999999995</v>
      </c>
      <c r="W40" s="46">
        <f t="shared" si="4"/>
        <v>-749557.4</v>
      </c>
      <c r="X40" s="46">
        <f t="shared" si="2"/>
        <v>-2035697.9</v>
      </c>
    </row>
    <row r="41" spans="1:24" ht="20" customHeight="1" x14ac:dyDescent="0.35">
      <c r="A41" s="28"/>
      <c r="B41" s="29"/>
      <c r="C41" s="28"/>
      <c r="D41" s="30"/>
      <c r="E41" s="30"/>
      <c r="F41" s="30"/>
      <c r="G41" s="30"/>
      <c r="H41" s="31"/>
      <c r="I41" s="32"/>
      <c r="J41" s="33"/>
      <c r="L41" s="45">
        <f t="shared" si="3"/>
        <v>0</v>
      </c>
      <c r="M41" s="45">
        <f t="shared" si="3"/>
        <v>0</v>
      </c>
      <c r="N41" s="45">
        <f t="shared" si="3"/>
        <v>0</v>
      </c>
      <c r="O41" s="45">
        <f t="shared" si="3"/>
        <v>0</v>
      </c>
      <c r="P41" s="45">
        <f t="shared" si="3"/>
        <v>0</v>
      </c>
      <c r="Q41" s="45">
        <f t="shared" si="3"/>
        <v>0</v>
      </c>
      <c r="R41" s="45">
        <f t="shared" si="3"/>
        <v>0</v>
      </c>
      <c r="S41" s="45">
        <f t="shared" si="3"/>
        <v>0</v>
      </c>
      <c r="T41" s="45">
        <f t="shared" si="3"/>
        <v>0</v>
      </c>
      <c r="U41" s="46">
        <f t="shared" si="4"/>
        <v>0</v>
      </c>
      <c r="V41" s="46">
        <f t="shared" si="4"/>
        <v>0</v>
      </c>
      <c r="W41" s="46">
        <f t="shared" si="4"/>
        <v>0</v>
      </c>
      <c r="X41" s="46">
        <f t="shared" si="2"/>
        <v>0</v>
      </c>
    </row>
    <row r="42" spans="1:24" ht="20" customHeight="1" x14ac:dyDescent="0.35">
      <c r="A42" s="28"/>
      <c r="B42" s="29"/>
      <c r="C42" s="28"/>
      <c r="D42" s="30"/>
      <c r="E42" s="30"/>
      <c r="F42" s="30"/>
      <c r="G42" s="30"/>
      <c r="H42" s="31"/>
      <c r="I42" s="32"/>
      <c r="J42" s="33"/>
      <c r="L42" s="45">
        <f t="shared" si="3"/>
        <v>0</v>
      </c>
      <c r="M42" s="45">
        <f t="shared" si="3"/>
        <v>0</v>
      </c>
      <c r="N42" s="45">
        <f t="shared" si="3"/>
        <v>0</v>
      </c>
      <c r="O42" s="45">
        <f t="shared" si="3"/>
        <v>0</v>
      </c>
      <c r="P42" s="45">
        <f t="shared" si="3"/>
        <v>0</v>
      </c>
      <c r="Q42" s="45">
        <f t="shared" si="3"/>
        <v>0</v>
      </c>
      <c r="R42" s="45">
        <f t="shared" si="3"/>
        <v>0</v>
      </c>
      <c r="S42" s="45">
        <f t="shared" si="3"/>
        <v>0</v>
      </c>
      <c r="T42" s="45">
        <f t="shared" si="3"/>
        <v>0</v>
      </c>
      <c r="U42" s="46">
        <f t="shared" si="4"/>
        <v>0</v>
      </c>
      <c r="V42" s="46">
        <f t="shared" si="4"/>
        <v>0</v>
      </c>
      <c r="W42" s="46">
        <f t="shared" si="4"/>
        <v>0</v>
      </c>
      <c r="X42" s="46">
        <f t="shared" si="2"/>
        <v>0</v>
      </c>
    </row>
    <row r="43" spans="1:24" ht="20" customHeight="1" x14ac:dyDescent="0.35">
      <c r="A43" s="28"/>
      <c r="B43" s="29"/>
      <c r="C43" s="28"/>
      <c r="D43" s="30"/>
      <c r="E43" s="30"/>
      <c r="F43" s="30"/>
      <c r="G43" s="30"/>
      <c r="H43" s="31"/>
      <c r="I43" s="32"/>
      <c r="J43" s="33"/>
      <c r="L43" s="45">
        <f t="shared" si="3"/>
        <v>0</v>
      </c>
      <c r="M43" s="45">
        <f t="shared" si="3"/>
        <v>0</v>
      </c>
      <c r="N43" s="45">
        <f t="shared" si="3"/>
        <v>0</v>
      </c>
      <c r="O43" s="45">
        <f t="shared" si="3"/>
        <v>0</v>
      </c>
      <c r="P43" s="45">
        <f t="shared" si="3"/>
        <v>0</v>
      </c>
      <c r="Q43" s="45">
        <f t="shared" si="3"/>
        <v>0</v>
      </c>
      <c r="R43" s="45">
        <f t="shared" si="3"/>
        <v>0</v>
      </c>
      <c r="S43" s="45">
        <f t="shared" si="3"/>
        <v>0</v>
      </c>
      <c r="T43" s="45">
        <f t="shared" si="3"/>
        <v>0</v>
      </c>
      <c r="U43" s="46">
        <f t="shared" si="4"/>
        <v>0</v>
      </c>
      <c r="V43" s="46">
        <f t="shared" si="4"/>
        <v>0</v>
      </c>
      <c r="W43" s="46">
        <f t="shared" si="4"/>
        <v>0</v>
      </c>
      <c r="X43" s="46">
        <f t="shared" si="2"/>
        <v>0</v>
      </c>
    </row>
    <row r="44" spans="1:24" ht="42.75" customHeight="1" x14ac:dyDescent="0.35">
      <c r="A44" s="36"/>
      <c r="B44" s="37"/>
      <c r="C44" s="36"/>
      <c r="D44" s="38"/>
      <c r="E44" s="38"/>
      <c r="F44" s="38"/>
      <c r="G44" s="38"/>
      <c r="H44" s="39"/>
      <c r="I44" s="40"/>
      <c r="J44" s="41"/>
      <c r="L44" s="45">
        <f t="shared" ref="L44:T72" si="23">IFERROR(B45-B44,0)</f>
        <v>0</v>
      </c>
      <c r="M44" s="45">
        <f t="shared" si="23"/>
        <v>0</v>
      </c>
      <c r="N44" s="45">
        <f t="shared" si="23"/>
        <v>0</v>
      </c>
      <c r="O44" s="45">
        <f t="shared" si="23"/>
        <v>0</v>
      </c>
      <c r="P44" s="45">
        <f t="shared" si="23"/>
        <v>0</v>
      </c>
      <c r="Q44" s="45">
        <f t="shared" si="23"/>
        <v>0</v>
      </c>
      <c r="R44" s="45">
        <f t="shared" si="23"/>
        <v>0</v>
      </c>
      <c r="S44" s="45">
        <f t="shared" si="23"/>
        <v>0</v>
      </c>
      <c r="T44" s="45">
        <f t="shared" si="23"/>
        <v>0</v>
      </c>
      <c r="U44" s="46">
        <f t="shared" ref="U44:W107" si="24">L44+Q44</f>
        <v>0</v>
      </c>
      <c r="V44" s="46">
        <f t="shared" si="24"/>
        <v>0</v>
      </c>
      <c r="W44" s="46">
        <f t="shared" si="24"/>
        <v>0</v>
      </c>
      <c r="X44" s="46">
        <f t="shared" si="2"/>
        <v>0</v>
      </c>
    </row>
    <row r="45" spans="1:24" ht="20" customHeight="1" x14ac:dyDescent="0.35">
      <c r="A45" s="28"/>
      <c r="B45" s="29"/>
      <c r="C45" s="28"/>
      <c r="D45" s="30"/>
      <c r="E45" s="30"/>
      <c r="F45" s="30"/>
      <c r="G45" s="30"/>
      <c r="H45" s="28"/>
      <c r="I45" s="30"/>
      <c r="J45" s="33"/>
      <c r="L45" s="45">
        <f t="shared" si="23"/>
        <v>0</v>
      </c>
      <c r="M45" s="45">
        <f t="shared" si="23"/>
        <v>0</v>
      </c>
      <c r="N45" s="45">
        <f t="shared" si="23"/>
        <v>0</v>
      </c>
      <c r="O45" s="45">
        <f t="shared" si="23"/>
        <v>0</v>
      </c>
      <c r="P45" s="45">
        <f t="shared" si="23"/>
        <v>0</v>
      </c>
      <c r="Q45" s="45">
        <f t="shared" si="23"/>
        <v>0</v>
      </c>
      <c r="R45" s="45">
        <f t="shared" si="23"/>
        <v>0</v>
      </c>
      <c r="S45" s="45">
        <f t="shared" si="23"/>
        <v>0</v>
      </c>
      <c r="T45" s="45">
        <f t="shared" si="23"/>
        <v>0</v>
      </c>
      <c r="U45" s="46">
        <f t="shared" si="24"/>
        <v>0</v>
      </c>
      <c r="V45" s="46">
        <f t="shared" si="24"/>
        <v>0</v>
      </c>
      <c r="W45" s="46">
        <f t="shared" si="24"/>
        <v>0</v>
      </c>
      <c r="X45" s="46">
        <f t="shared" si="2"/>
        <v>0</v>
      </c>
    </row>
    <row r="46" spans="1:24" ht="20" customHeight="1" x14ac:dyDescent="0.35">
      <c r="A46" s="28"/>
      <c r="B46" s="29"/>
      <c r="C46" s="28"/>
      <c r="D46" s="30"/>
      <c r="E46" s="30"/>
      <c r="F46" s="30"/>
      <c r="G46" s="30"/>
      <c r="H46" s="28"/>
      <c r="I46" s="30"/>
      <c r="J46" s="33"/>
      <c r="L46" s="45">
        <f t="shared" si="23"/>
        <v>0</v>
      </c>
      <c r="M46" s="45">
        <f t="shared" si="23"/>
        <v>0</v>
      </c>
      <c r="N46" s="45">
        <f t="shared" si="23"/>
        <v>0</v>
      </c>
      <c r="O46" s="45">
        <f t="shared" si="23"/>
        <v>0</v>
      </c>
      <c r="P46" s="45">
        <f t="shared" si="23"/>
        <v>0</v>
      </c>
      <c r="Q46" s="45">
        <f t="shared" si="23"/>
        <v>0</v>
      </c>
      <c r="R46" s="45">
        <f t="shared" si="23"/>
        <v>0</v>
      </c>
      <c r="S46" s="45">
        <f t="shared" si="23"/>
        <v>0</v>
      </c>
      <c r="T46" s="45">
        <f t="shared" si="23"/>
        <v>0</v>
      </c>
      <c r="U46" s="46">
        <f t="shared" si="24"/>
        <v>0</v>
      </c>
      <c r="V46" s="46">
        <f t="shared" si="24"/>
        <v>0</v>
      </c>
      <c r="W46" s="46">
        <f t="shared" si="24"/>
        <v>0</v>
      </c>
      <c r="X46" s="46">
        <f t="shared" si="2"/>
        <v>0</v>
      </c>
    </row>
    <row r="47" spans="1:24" ht="20" customHeight="1" x14ac:dyDescent="0.35">
      <c r="A47" s="28"/>
      <c r="B47" s="29"/>
      <c r="C47" s="28"/>
      <c r="D47" s="30"/>
      <c r="E47" s="30"/>
      <c r="F47" s="30"/>
      <c r="G47" s="30"/>
      <c r="H47" s="28"/>
      <c r="I47" s="30"/>
      <c r="J47" s="33"/>
      <c r="L47" s="45">
        <f t="shared" si="23"/>
        <v>0</v>
      </c>
      <c r="M47" s="45">
        <f t="shared" si="23"/>
        <v>0</v>
      </c>
      <c r="N47" s="45">
        <f t="shared" si="23"/>
        <v>0</v>
      </c>
      <c r="O47" s="45">
        <f t="shared" si="23"/>
        <v>0</v>
      </c>
      <c r="P47" s="45">
        <f t="shared" si="23"/>
        <v>0</v>
      </c>
      <c r="Q47" s="45">
        <f t="shared" si="23"/>
        <v>0</v>
      </c>
      <c r="R47" s="45">
        <f t="shared" si="23"/>
        <v>0</v>
      </c>
      <c r="S47" s="45">
        <f t="shared" si="23"/>
        <v>0</v>
      </c>
      <c r="T47" s="45">
        <f t="shared" si="23"/>
        <v>0</v>
      </c>
      <c r="U47" s="46">
        <f t="shared" si="24"/>
        <v>0</v>
      </c>
      <c r="V47" s="46">
        <f t="shared" si="24"/>
        <v>0</v>
      </c>
      <c r="W47" s="46">
        <f t="shared" si="24"/>
        <v>0</v>
      </c>
      <c r="X47" s="46">
        <f t="shared" si="2"/>
        <v>0</v>
      </c>
    </row>
    <row r="48" spans="1:24" ht="20" customHeight="1" x14ac:dyDescent="0.35">
      <c r="A48" s="28"/>
      <c r="B48" s="29"/>
      <c r="C48" s="28"/>
      <c r="D48" s="30"/>
      <c r="E48" s="30"/>
      <c r="F48" s="30"/>
      <c r="G48" s="30"/>
      <c r="H48" s="28"/>
      <c r="I48" s="30"/>
      <c r="J48" s="33"/>
      <c r="L48" s="45">
        <f t="shared" si="23"/>
        <v>0</v>
      </c>
      <c r="M48" s="45">
        <f t="shared" si="23"/>
        <v>0</v>
      </c>
      <c r="N48" s="45">
        <f t="shared" si="23"/>
        <v>0</v>
      </c>
      <c r="O48" s="45">
        <f t="shared" si="23"/>
        <v>0</v>
      </c>
      <c r="P48" s="45">
        <f t="shared" si="23"/>
        <v>0</v>
      </c>
      <c r="Q48" s="45">
        <f t="shared" si="23"/>
        <v>0</v>
      </c>
      <c r="R48" s="45">
        <f t="shared" si="23"/>
        <v>0</v>
      </c>
      <c r="S48" s="45">
        <f t="shared" si="23"/>
        <v>0</v>
      </c>
      <c r="T48" s="45">
        <f t="shared" si="23"/>
        <v>0</v>
      </c>
      <c r="U48" s="46">
        <f t="shared" si="24"/>
        <v>0</v>
      </c>
      <c r="V48" s="46">
        <f t="shared" si="24"/>
        <v>0</v>
      </c>
      <c r="W48" s="46">
        <f t="shared" si="24"/>
        <v>0</v>
      </c>
      <c r="X48" s="46">
        <f t="shared" si="2"/>
        <v>0</v>
      </c>
    </row>
    <row r="49" spans="1:24" ht="20" customHeight="1" x14ac:dyDescent="0.35">
      <c r="A49" s="28"/>
      <c r="B49" s="29"/>
      <c r="C49" s="28"/>
      <c r="D49" s="30"/>
      <c r="E49" s="30"/>
      <c r="F49" s="30"/>
      <c r="G49" s="30"/>
      <c r="H49" s="28"/>
      <c r="I49" s="30"/>
      <c r="J49" s="33"/>
      <c r="L49" s="45">
        <f t="shared" si="23"/>
        <v>0</v>
      </c>
      <c r="M49" s="45">
        <f t="shared" si="23"/>
        <v>0</v>
      </c>
      <c r="N49" s="45">
        <f t="shared" si="23"/>
        <v>0</v>
      </c>
      <c r="O49" s="45">
        <f t="shared" si="23"/>
        <v>0</v>
      </c>
      <c r="P49" s="45">
        <f t="shared" si="23"/>
        <v>0</v>
      </c>
      <c r="Q49" s="45">
        <f t="shared" si="23"/>
        <v>0</v>
      </c>
      <c r="R49" s="45">
        <f t="shared" si="23"/>
        <v>0</v>
      </c>
      <c r="S49" s="45">
        <f t="shared" si="23"/>
        <v>0</v>
      </c>
      <c r="T49" s="45">
        <f t="shared" si="23"/>
        <v>0</v>
      </c>
      <c r="U49" s="46">
        <f t="shared" si="24"/>
        <v>0</v>
      </c>
      <c r="V49" s="46">
        <f t="shared" si="24"/>
        <v>0</v>
      </c>
      <c r="W49" s="46">
        <f t="shared" si="24"/>
        <v>0</v>
      </c>
      <c r="X49" s="46">
        <f t="shared" si="2"/>
        <v>0</v>
      </c>
    </row>
    <row r="50" spans="1:24" ht="20" customHeight="1" x14ac:dyDescent="0.35">
      <c r="A50" s="28"/>
      <c r="B50" s="29"/>
      <c r="C50" s="28"/>
      <c r="D50" s="30"/>
      <c r="E50" s="30"/>
      <c r="F50" s="30"/>
      <c r="G50" s="30"/>
      <c r="H50" s="28"/>
      <c r="I50" s="30"/>
      <c r="J50" s="33"/>
      <c r="L50" s="45">
        <f t="shared" si="23"/>
        <v>0</v>
      </c>
      <c r="M50" s="45">
        <f t="shared" si="23"/>
        <v>0</v>
      </c>
      <c r="N50" s="45">
        <f t="shared" si="23"/>
        <v>0</v>
      </c>
      <c r="O50" s="45">
        <f t="shared" si="23"/>
        <v>0</v>
      </c>
      <c r="P50" s="45">
        <f t="shared" si="23"/>
        <v>0</v>
      </c>
      <c r="Q50" s="45">
        <f t="shared" si="23"/>
        <v>0</v>
      </c>
      <c r="R50" s="45">
        <f t="shared" si="23"/>
        <v>0</v>
      </c>
      <c r="S50" s="45">
        <f t="shared" si="23"/>
        <v>0</v>
      </c>
      <c r="T50" s="45">
        <f t="shared" si="23"/>
        <v>0</v>
      </c>
      <c r="U50" s="46">
        <f t="shared" si="24"/>
        <v>0</v>
      </c>
      <c r="V50" s="46">
        <f t="shared" si="24"/>
        <v>0</v>
      </c>
      <c r="W50" s="46">
        <f t="shared" si="24"/>
        <v>0</v>
      </c>
      <c r="X50" s="46">
        <f t="shared" si="2"/>
        <v>0</v>
      </c>
    </row>
    <row r="51" spans="1:24" ht="20" customHeight="1" x14ac:dyDescent="0.35">
      <c r="A51" s="28"/>
      <c r="B51" s="29"/>
      <c r="C51" s="28"/>
      <c r="D51" s="30"/>
      <c r="E51" s="30"/>
      <c r="F51" s="30"/>
      <c r="G51" s="30"/>
      <c r="H51" s="28"/>
      <c r="I51" s="30"/>
      <c r="J51" s="33"/>
      <c r="L51" s="45">
        <f t="shared" si="23"/>
        <v>0</v>
      </c>
      <c r="M51" s="45">
        <f t="shared" si="23"/>
        <v>0</v>
      </c>
      <c r="N51" s="45">
        <f t="shared" si="23"/>
        <v>0</v>
      </c>
      <c r="O51" s="45">
        <f t="shared" si="23"/>
        <v>0</v>
      </c>
      <c r="P51" s="45">
        <f t="shared" si="23"/>
        <v>0</v>
      </c>
      <c r="Q51" s="45">
        <f t="shared" si="23"/>
        <v>0</v>
      </c>
      <c r="R51" s="45">
        <f t="shared" si="23"/>
        <v>0</v>
      </c>
      <c r="S51" s="45">
        <f t="shared" si="23"/>
        <v>0</v>
      </c>
      <c r="T51" s="45">
        <f t="shared" si="23"/>
        <v>0</v>
      </c>
      <c r="U51" s="46">
        <f t="shared" si="24"/>
        <v>0</v>
      </c>
      <c r="V51" s="46">
        <f t="shared" si="24"/>
        <v>0</v>
      </c>
      <c r="W51" s="46">
        <f t="shared" si="24"/>
        <v>0</v>
      </c>
      <c r="X51" s="46">
        <f t="shared" si="2"/>
        <v>0</v>
      </c>
    </row>
    <row r="52" spans="1:24" ht="20" customHeight="1" x14ac:dyDescent="0.35">
      <c r="A52" s="28"/>
      <c r="B52" s="29"/>
      <c r="C52" s="28"/>
      <c r="D52" s="30"/>
      <c r="E52" s="30"/>
      <c r="F52" s="30"/>
      <c r="G52" s="30"/>
      <c r="H52" s="28"/>
      <c r="I52" s="30"/>
      <c r="J52" s="33"/>
      <c r="L52" s="45">
        <f t="shared" si="23"/>
        <v>0</v>
      </c>
      <c r="M52" s="45">
        <f t="shared" si="23"/>
        <v>0</v>
      </c>
      <c r="N52" s="45">
        <f t="shared" si="23"/>
        <v>0</v>
      </c>
      <c r="O52" s="45">
        <f t="shared" si="23"/>
        <v>0</v>
      </c>
      <c r="P52" s="45">
        <f t="shared" si="23"/>
        <v>0</v>
      </c>
      <c r="Q52" s="45">
        <f t="shared" si="23"/>
        <v>0</v>
      </c>
      <c r="R52" s="45">
        <f t="shared" si="23"/>
        <v>0</v>
      </c>
      <c r="S52" s="45">
        <f t="shared" si="23"/>
        <v>0</v>
      </c>
      <c r="T52" s="45">
        <f t="shared" si="23"/>
        <v>0</v>
      </c>
      <c r="U52" s="46">
        <f t="shared" si="24"/>
        <v>0</v>
      </c>
      <c r="V52" s="46">
        <f t="shared" si="24"/>
        <v>0</v>
      </c>
      <c r="W52" s="46">
        <f t="shared" si="24"/>
        <v>0</v>
      </c>
      <c r="X52" s="46">
        <f t="shared" si="2"/>
        <v>0</v>
      </c>
    </row>
    <row r="53" spans="1:24" ht="20" customHeight="1" x14ac:dyDescent="0.35">
      <c r="A53" s="28"/>
      <c r="B53" s="29"/>
      <c r="C53" s="28"/>
      <c r="D53" s="30"/>
      <c r="E53" s="30"/>
      <c r="F53" s="30"/>
      <c r="G53" s="30"/>
      <c r="H53" s="28"/>
      <c r="I53" s="30"/>
      <c r="J53" s="33"/>
      <c r="L53" s="45">
        <f t="shared" si="23"/>
        <v>0</v>
      </c>
      <c r="M53" s="45">
        <f t="shared" si="23"/>
        <v>0</v>
      </c>
      <c r="N53" s="45">
        <f t="shared" si="23"/>
        <v>0</v>
      </c>
      <c r="O53" s="45">
        <f t="shared" si="23"/>
        <v>0</v>
      </c>
      <c r="P53" s="45">
        <f t="shared" si="23"/>
        <v>0</v>
      </c>
      <c r="Q53" s="45">
        <f t="shared" si="23"/>
        <v>0</v>
      </c>
      <c r="R53" s="45">
        <f t="shared" si="23"/>
        <v>0</v>
      </c>
      <c r="S53" s="45">
        <f t="shared" si="23"/>
        <v>0</v>
      </c>
      <c r="T53" s="45">
        <f t="shared" si="23"/>
        <v>0</v>
      </c>
      <c r="U53" s="46">
        <f t="shared" si="24"/>
        <v>0</v>
      </c>
      <c r="V53" s="46">
        <f t="shared" si="24"/>
        <v>0</v>
      </c>
      <c r="W53" s="46">
        <f t="shared" si="24"/>
        <v>0</v>
      </c>
      <c r="X53" s="46">
        <f t="shared" si="2"/>
        <v>0</v>
      </c>
    </row>
    <row r="54" spans="1:24" ht="20" customHeight="1" x14ac:dyDescent="0.35">
      <c r="A54" s="28"/>
      <c r="B54" s="29"/>
      <c r="C54" s="28"/>
      <c r="D54" s="30"/>
      <c r="E54" s="30"/>
      <c r="F54" s="30"/>
      <c r="G54" s="30"/>
      <c r="H54" s="28"/>
      <c r="I54" s="30"/>
      <c r="J54" s="33"/>
      <c r="L54" s="45">
        <f t="shared" si="23"/>
        <v>0</v>
      </c>
      <c r="M54" s="45">
        <f t="shared" si="23"/>
        <v>0</v>
      </c>
      <c r="N54" s="45">
        <f t="shared" si="23"/>
        <v>0</v>
      </c>
      <c r="O54" s="45">
        <f t="shared" si="23"/>
        <v>0</v>
      </c>
      <c r="P54" s="45">
        <f t="shared" si="23"/>
        <v>0</v>
      </c>
      <c r="Q54" s="45">
        <f t="shared" si="23"/>
        <v>0</v>
      </c>
      <c r="R54" s="45">
        <f t="shared" si="23"/>
        <v>0</v>
      </c>
      <c r="S54" s="45">
        <f t="shared" si="23"/>
        <v>0</v>
      </c>
      <c r="T54" s="45">
        <f t="shared" si="23"/>
        <v>0</v>
      </c>
      <c r="U54" s="46">
        <f t="shared" si="24"/>
        <v>0</v>
      </c>
      <c r="V54" s="46">
        <f t="shared" si="24"/>
        <v>0</v>
      </c>
      <c r="W54" s="46">
        <f t="shared" si="24"/>
        <v>0</v>
      </c>
      <c r="X54" s="46">
        <f t="shared" si="2"/>
        <v>0</v>
      </c>
    </row>
    <row r="55" spans="1:24" ht="20" customHeight="1" x14ac:dyDescent="0.35">
      <c r="A55" s="28"/>
      <c r="B55" s="29"/>
      <c r="C55" s="28"/>
      <c r="D55" s="30"/>
      <c r="E55" s="30"/>
      <c r="F55" s="30"/>
      <c r="G55" s="30"/>
      <c r="H55" s="28"/>
      <c r="I55" s="30"/>
      <c r="J55" s="33"/>
      <c r="L55" s="45">
        <f t="shared" si="23"/>
        <v>0</v>
      </c>
      <c r="M55" s="45">
        <f t="shared" si="23"/>
        <v>0</v>
      </c>
      <c r="N55" s="45">
        <f t="shared" si="23"/>
        <v>0</v>
      </c>
      <c r="O55" s="45">
        <f t="shared" si="23"/>
        <v>0</v>
      </c>
      <c r="P55" s="45">
        <f t="shared" si="23"/>
        <v>0</v>
      </c>
      <c r="Q55" s="45">
        <f t="shared" si="23"/>
        <v>0</v>
      </c>
      <c r="R55" s="45">
        <f t="shared" si="23"/>
        <v>0</v>
      </c>
      <c r="S55" s="45">
        <f t="shared" si="23"/>
        <v>0</v>
      </c>
      <c r="T55" s="45">
        <f t="shared" si="23"/>
        <v>0</v>
      </c>
      <c r="U55" s="46">
        <f t="shared" si="24"/>
        <v>0</v>
      </c>
      <c r="V55" s="46">
        <f t="shared" si="24"/>
        <v>0</v>
      </c>
      <c r="W55" s="46">
        <f t="shared" si="24"/>
        <v>0</v>
      </c>
      <c r="X55" s="46">
        <f t="shared" si="2"/>
        <v>0</v>
      </c>
    </row>
    <row r="56" spans="1:24" ht="20" customHeight="1" x14ac:dyDescent="0.35">
      <c r="A56" s="28"/>
      <c r="B56" s="29"/>
      <c r="C56" s="30"/>
      <c r="D56" s="30"/>
      <c r="E56" s="30"/>
      <c r="F56" s="30"/>
      <c r="G56" s="30"/>
      <c r="H56" s="30"/>
      <c r="I56" s="30"/>
      <c r="J56" s="33"/>
      <c r="L56" s="45">
        <f t="shared" si="23"/>
        <v>0</v>
      </c>
      <c r="M56" s="45">
        <f t="shared" si="23"/>
        <v>0</v>
      </c>
      <c r="N56" s="45">
        <f t="shared" si="23"/>
        <v>0</v>
      </c>
      <c r="O56" s="45">
        <f t="shared" si="23"/>
        <v>0</v>
      </c>
      <c r="P56" s="45">
        <f t="shared" si="23"/>
        <v>0</v>
      </c>
      <c r="Q56" s="45">
        <f t="shared" si="23"/>
        <v>0</v>
      </c>
      <c r="R56" s="45">
        <f t="shared" si="23"/>
        <v>0</v>
      </c>
      <c r="S56" s="45">
        <f t="shared" si="23"/>
        <v>0</v>
      </c>
      <c r="T56" s="45">
        <f t="shared" si="23"/>
        <v>0</v>
      </c>
      <c r="U56" s="46">
        <f t="shared" si="24"/>
        <v>0</v>
      </c>
      <c r="V56" s="46">
        <f t="shared" si="24"/>
        <v>0</v>
      </c>
      <c r="W56" s="46">
        <f t="shared" si="24"/>
        <v>0</v>
      </c>
      <c r="X56" s="46">
        <f t="shared" si="2"/>
        <v>0</v>
      </c>
    </row>
    <row r="57" spans="1:24" ht="20" customHeight="1" x14ac:dyDescent="0.35">
      <c r="A57" s="28"/>
      <c r="B57" s="29"/>
      <c r="C57" s="30"/>
      <c r="D57" s="30"/>
      <c r="E57" s="30"/>
      <c r="F57" s="30"/>
      <c r="G57" s="30"/>
      <c r="H57" s="30"/>
      <c r="I57" s="30"/>
      <c r="J57" s="33"/>
      <c r="L57" s="45">
        <f t="shared" si="23"/>
        <v>0</v>
      </c>
      <c r="M57" s="45">
        <f t="shared" si="23"/>
        <v>0</v>
      </c>
      <c r="N57" s="45">
        <f t="shared" si="23"/>
        <v>0</v>
      </c>
      <c r="O57" s="45">
        <f t="shared" si="23"/>
        <v>0</v>
      </c>
      <c r="P57" s="45">
        <f t="shared" si="23"/>
        <v>0</v>
      </c>
      <c r="Q57" s="45">
        <f t="shared" si="23"/>
        <v>0</v>
      </c>
      <c r="R57" s="45">
        <f t="shared" si="23"/>
        <v>0</v>
      </c>
      <c r="S57" s="45">
        <f t="shared" si="23"/>
        <v>0</v>
      </c>
      <c r="T57" s="45">
        <f t="shared" si="23"/>
        <v>0</v>
      </c>
      <c r="U57" s="46">
        <f t="shared" si="24"/>
        <v>0</v>
      </c>
      <c r="V57" s="46">
        <f t="shared" si="24"/>
        <v>0</v>
      </c>
      <c r="W57" s="46">
        <f t="shared" si="24"/>
        <v>0</v>
      </c>
      <c r="X57" s="46">
        <f t="shared" si="2"/>
        <v>0</v>
      </c>
    </row>
    <row r="58" spans="1:24" ht="20" customHeight="1" x14ac:dyDescent="0.35">
      <c r="A58" s="28"/>
      <c r="B58" s="29"/>
      <c r="C58" s="30"/>
      <c r="D58" s="30"/>
      <c r="E58" s="30"/>
      <c r="F58" s="30"/>
      <c r="G58" s="30"/>
      <c r="H58" s="30"/>
      <c r="I58" s="30"/>
      <c r="J58" s="33"/>
      <c r="L58" s="45">
        <f t="shared" si="23"/>
        <v>0</v>
      </c>
      <c r="M58" s="45">
        <f t="shared" si="23"/>
        <v>0</v>
      </c>
      <c r="N58" s="45">
        <f t="shared" si="23"/>
        <v>0</v>
      </c>
      <c r="O58" s="45">
        <f t="shared" si="23"/>
        <v>0</v>
      </c>
      <c r="P58" s="45">
        <f t="shared" si="23"/>
        <v>0</v>
      </c>
      <c r="Q58" s="45">
        <f t="shared" si="23"/>
        <v>0</v>
      </c>
      <c r="R58" s="45">
        <f t="shared" si="23"/>
        <v>0</v>
      </c>
      <c r="S58" s="45">
        <f t="shared" si="23"/>
        <v>0</v>
      </c>
      <c r="T58" s="45">
        <f t="shared" si="23"/>
        <v>0</v>
      </c>
      <c r="U58" s="46">
        <f t="shared" si="24"/>
        <v>0</v>
      </c>
      <c r="V58" s="46">
        <f t="shared" si="24"/>
        <v>0</v>
      </c>
      <c r="W58" s="46">
        <f t="shared" si="24"/>
        <v>0</v>
      </c>
      <c r="X58" s="46">
        <f t="shared" si="2"/>
        <v>0</v>
      </c>
    </row>
    <row r="59" spans="1:24" ht="20" customHeight="1" x14ac:dyDescent="0.35">
      <c r="A59" s="28"/>
      <c r="B59" s="29"/>
      <c r="C59" s="30"/>
      <c r="D59" s="30"/>
      <c r="E59" s="30"/>
      <c r="F59" s="30"/>
      <c r="G59" s="30"/>
      <c r="H59" s="30"/>
      <c r="I59" s="30"/>
      <c r="J59" s="33"/>
      <c r="L59" s="45">
        <f t="shared" si="23"/>
        <v>0</v>
      </c>
      <c r="M59" s="45">
        <f t="shared" si="23"/>
        <v>0</v>
      </c>
      <c r="N59" s="45">
        <f t="shared" si="23"/>
        <v>0</v>
      </c>
      <c r="O59" s="45">
        <f t="shared" si="23"/>
        <v>0</v>
      </c>
      <c r="P59" s="45">
        <f t="shared" si="23"/>
        <v>0</v>
      </c>
      <c r="Q59" s="45">
        <f t="shared" si="23"/>
        <v>0</v>
      </c>
      <c r="R59" s="45">
        <f t="shared" si="23"/>
        <v>0</v>
      </c>
      <c r="S59" s="45">
        <f t="shared" si="23"/>
        <v>0</v>
      </c>
      <c r="T59" s="45">
        <f t="shared" si="23"/>
        <v>0</v>
      </c>
      <c r="U59" s="46">
        <f t="shared" si="24"/>
        <v>0</v>
      </c>
      <c r="V59" s="46">
        <f t="shared" si="24"/>
        <v>0</v>
      </c>
      <c r="W59" s="46">
        <f t="shared" si="24"/>
        <v>0</v>
      </c>
      <c r="X59" s="46">
        <f t="shared" si="2"/>
        <v>0</v>
      </c>
    </row>
    <row r="60" spans="1:24" ht="20" customHeight="1" x14ac:dyDescent="0.35">
      <c r="A60" s="28"/>
      <c r="B60" s="29"/>
      <c r="C60" s="30"/>
      <c r="D60" s="30"/>
      <c r="E60" s="30"/>
      <c r="F60" s="30"/>
      <c r="G60" s="30"/>
      <c r="H60" s="30"/>
      <c r="I60" s="30"/>
      <c r="J60" s="33"/>
      <c r="L60" s="45">
        <f t="shared" si="23"/>
        <v>0</v>
      </c>
      <c r="M60" s="45">
        <f t="shared" si="23"/>
        <v>0</v>
      </c>
      <c r="N60" s="45">
        <f t="shared" si="23"/>
        <v>0</v>
      </c>
      <c r="O60" s="45">
        <f t="shared" si="23"/>
        <v>0</v>
      </c>
      <c r="P60" s="45">
        <f t="shared" si="23"/>
        <v>0</v>
      </c>
      <c r="Q60" s="45">
        <f t="shared" si="23"/>
        <v>0</v>
      </c>
      <c r="R60" s="45">
        <f t="shared" si="23"/>
        <v>0</v>
      </c>
      <c r="S60" s="45">
        <f t="shared" si="23"/>
        <v>0</v>
      </c>
      <c r="T60" s="45">
        <f t="shared" si="23"/>
        <v>0</v>
      </c>
      <c r="U60" s="46">
        <f t="shared" si="24"/>
        <v>0</v>
      </c>
      <c r="V60" s="46">
        <f t="shared" si="24"/>
        <v>0</v>
      </c>
      <c r="W60" s="46">
        <f t="shared" si="24"/>
        <v>0</v>
      </c>
      <c r="X60" s="46">
        <f t="shared" si="2"/>
        <v>0</v>
      </c>
    </row>
    <row r="61" spans="1:24" ht="20" customHeight="1" x14ac:dyDescent="0.35">
      <c r="A61" s="28"/>
      <c r="B61" s="29"/>
      <c r="C61" s="30"/>
      <c r="D61" s="30"/>
      <c r="E61" s="30"/>
      <c r="F61" s="30"/>
      <c r="G61" s="30"/>
      <c r="H61" s="30"/>
      <c r="I61" s="30"/>
      <c r="J61" s="33"/>
      <c r="L61" s="45">
        <f t="shared" si="23"/>
        <v>0</v>
      </c>
      <c r="M61" s="45">
        <f t="shared" si="23"/>
        <v>0</v>
      </c>
      <c r="N61" s="45">
        <f t="shared" si="23"/>
        <v>0</v>
      </c>
      <c r="O61" s="45">
        <f t="shared" si="23"/>
        <v>0</v>
      </c>
      <c r="P61" s="45">
        <f t="shared" si="23"/>
        <v>0</v>
      </c>
      <c r="Q61" s="45">
        <f t="shared" si="23"/>
        <v>0</v>
      </c>
      <c r="R61" s="45">
        <f t="shared" si="23"/>
        <v>0</v>
      </c>
      <c r="S61" s="45">
        <f t="shared" si="23"/>
        <v>0</v>
      </c>
      <c r="T61" s="45">
        <f t="shared" si="23"/>
        <v>0</v>
      </c>
      <c r="U61" s="46">
        <f t="shared" si="24"/>
        <v>0</v>
      </c>
      <c r="V61" s="46">
        <f t="shared" si="24"/>
        <v>0</v>
      </c>
      <c r="W61" s="46">
        <f t="shared" si="24"/>
        <v>0</v>
      </c>
      <c r="X61" s="46">
        <f t="shared" si="2"/>
        <v>0</v>
      </c>
    </row>
    <row r="62" spans="1:24" ht="16.75" customHeight="1" x14ac:dyDescent="0.35">
      <c r="A62" s="28"/>
      <c r="B62" s="29"/>
      <c r="C62" s="30"/>
      <c r="D62" s="30"/>
      <c r="E62" s="30"/>
      <c r="F62" s="30"/>
      <c r="G62" s="30"/>
      <c r="H62" s="30"/>
      <c r="I62" s="30"/>
      <c r="J62" s="33"/>
      <c r="L62" s="45">
        <f t="shared" si="23"/>
        <v>0</v>
      </c>
      <c r="M62" s="45">
        <f t="shared" si="23"/>
        <v>0</v>
      </c>
      <c r="N62" s="45">
        <f t="shared" si="23"/>
        <v>0</v>
      </c>
      <c r="O62" s="45">
        <f t="shared" si="23"/>
        <v>0</v>
      </c>
      <c r="P62" s="45">
        <f t="shared" si="23"/>
        <v>0</v>
      </c>
      <c r="Q62" s="45">
        <f t="shared" si="23"/>
        <v>0</v>
      </c>
      <c r="R62" s="45">
        <f t="shared" si="23"/>
        <v>0</v>
      </c>
      <c r="S62" s="45">
        <f t="shared" si="23"/>
        <v>0</v>
      </c>
      <c r="T62" s="45">
        <f t="shared" si="23"/>
        <v>0</v>
      </c>
      <c r="U62" s="46">
        <f t="shared" si="24"/>
        <v>0</v>
      </c>
      <c r="V62" s="46">
        <f t="shared" si="24"/>
        <v>0</v>
      </c>
      <c r="W62" s="46">
        <f t="shared" si="24"/>
        <v>0</v>
      </c>
      <c r="X62" s="46">
        <f t="shared" si="2"/>
        <v>0</v>
      </c>
    </row>
    <row r="63" spans="1:24" ht="20" customHeight="1" x14ac:dyDescent="0.35">
      <c r="A63" s="28"/>
      <c r="B63" s="29"/>
      <c r="C63" s="30"/>
      <c r="D63" s="30"/>
      <c r="E63" s="30"/>
      <c r="F63" s="30"/>
      <c r="G63" s="30"/>
      <c r="H63" s="30"/>
      <c r="I63" s="30"/>
      <c r="J63" s="33"/>
      <c r="L63" s="45">
        <f t="shared" si="23"/>
        <v>0</v>
      </c>
      <c r="M63" s="45">
        <f t="shared" si="23"/>
        <v>0</v>
      </c>
      <c r="N63" s="45">
        <f t="shared" si="23"/>
        <v>0</v>
      </c>
      <c r="O63" s="45">
        <f t="shared" si="23"/>
        <v>0</v>
      </c>
      <c r="P63" s="45">
        <f t="shared" si="23"/>
        <v>0</v>
      </c>
      <c r="Q63" s="45">
        <f t="shared" si="23"/>
        <v>0</v>
      </c>
      <c r="R63" s="45">
        <f t="shared" si="23"/>
        <v>0</v>
      </c>
      <c r="S63" s="45">
        <f t="shared" si="23"/>
        <v>0</v>
      </c>
      <c r="T63" s="45">
        <f t="shared" si="23"/>
        <v>0</v>
      </c>
      <c r="U63" s="46">
        <f t="shared" si="24"/>
        <v>0</v>
      </c>
      <c r="V63" s="46">
        <f t="shared" si="24"/>
        <v>0</v>
      </c>
      <c r="W63" s="46">
        <f t="shared" si="24"/>
        <v>0</v>
      </c>
      <c r="X63" s="46">
        <f t="shared" si="2"/>
        <v>0</v>
      </c>
    </row>
    <row r="64" spans="1:24" ht="20" customHeight="1" x14ac:dyDescent="0.35">
      <c r="A64" s="28"/>
      <c r="B64" s="29"/>
      <c r="C64" s="30"/>
      <c r="D64" s="30"/>
      <c r="E64" s="30"/>
      <c r="F64" s="30"/>
      <c r="G64" s="30"/>
      <c r="H64" s="30"/>
      <c r="I64" s="30"/>
      <c r="J64" s="33"/>
      <c r="L64" s="45">
        <f t="shared" si="23"/>
        <v>0</v>
      </c>
      <c r="M64" s="45">
        <f t="shared" si="23"/>
        <v>0</v>
      </c>
      <c r="N64" s="45">
        <f t="shared" si="23"/>
        <v>0</v>
      </c>
      <c r="O64" s="45">
        <f t="shared" si="23"/>
        <v>0</v>
      </c>
      <c r="P64" s="45">
        <f t="shared" si="23"/>
        <v>0</v>
      </c>
      <c r="Q64" s="45">
        <f t="shared" si="23"/>
        <v>0</v>
      </c>
      <c r="R64" s="45">
        <f t="shared" si="23"/>
        <v>0</v>
      </c>
      <c r="S64" s="45">
        <f t="shared" si="23"/>
        <v>0</v>
      </c>
      <c r="T64" s="45">
        <f t="shared" si="23"/>
        <v>0</v>
      </c>
      <c r="U64" s="46">
        <f t="shared" si="24"/>
        <v>0</v>
      </c>
      <c r="V64" s="46">
        <f t="shared" si="24"/>
        <v>0</v>
      </c>
      <c r="W64" s="46">
        <f t="shared" si="24"/>
        <v>0</v>
      </c>
      <c r="X64" s="46">
        <f t="shared" si="2"/>
        <v>0</v>
      </c>
    </row>
    <row r="65" spans="1:24" ht="20" customHeight="1" x14ac:dyDescent="0.35">
      <c r="A65" s="28"/>
      <c r="B65" s="29"/>
      <c r="C65" s="30"/>
      <c r="D65" s="30"/>
      <c r="E65" s="30"/>
      <c r="F65" s="30"/>
      <c r="G65" s="30"/>
      <c r="H65" s="30"/>
      <c r="I65" s="30"/>
      <c r="J65" s="33"/>
      <c r="L65" s="45">
        <f t="shared" si="23"/>
        <v>0</v>
      </c>
      <c r="M65" s="45">
        <f t="shared" si="23"/>
        <v>0</v>
      </c>
      <c r="N65" s="45">
        <f t="shared" si="23"/>
        <v>0</v>
      </c>
      <c r="O65" s="45">
        <f t="shared" si="23"/>
        <v>0</v>
      </c>
      <c r="P65" s="45">
        <f t="shared" si="23"/>
        <v>0</v>
      </c>
      <c r="Q65" s="45">
        <f t="shared" si="23"/>
        <v>0</v>
      </c>
      <c r="R65" s="45">
        <f t="shared" si="23"/>
        <v>0</v>
      </c>
      <c r="S65" s="45">
        <f t="shared" si="23"/>
        <v>0</v>
      </c>
      <c r="T65" s="45">
        <f t="shared" si="23"/>
        <v>0</v>
      </c>
      <c r="U65" s="46">
        <f t="shared" si="24"/>
        <v>0</v>
      </c>
      <c r="V65" s="46">
        <f t="shared" si="24"/>
        <v>0</v>
      </c>
      <c r="W65" s="46">
        <f t="shared" si="24"/>
        <v>0</v>
      </c>
      <c r="X65" s="46">
        <f t="shared" si="2"/>
        <v>0</v>
      </c>
    </row>
    <row r="66" spans="1:24" ht="20" customHeight="1" x14ac:dyDescent="0.35">
      <c r="A66" s="28"/>
      <c r="B66" s="29"/>
      <c r="C66" s="30"/>
      <c r="D66" s="30"/>
      <c r="E66" s="30"/>
      <c r="F66" s="30"/>
      <c r="G66" s="30"/>
      <c r="H66" s="30"/>
      <c r="I66" s="30"/>
      <c r="J66" s="33"/>
      <c r="L66" s="45">
        <f t="shared" si="23"/>
        <v>0</v>
      </c>
      <c r="M66" s="45">
        <f t="shared" si="23"/>
        <v>0</v>
      </c>
      <c r="N66" s="45">
        <f t="shared" si="23"/>
        <v>0</v>
      </c>
      <c r="O66" s="45">
        <f t="shared" si="23"/>
        <v>0</v>
      </c>
      <c r="P66" s="45">
        <f t="shared" si="23"/>
        <v>0</v>
      </c>
      <c r="Q66" s="45">
        <f t="shared" si="23"/>
        <v>0</v>
      </c>
      <c r="R66" s="45">
        <f t="shared" si="23"/>
        <v>0</v>
      </c>
      <c r="S66" s="45">
        <f t="shared" si="23"/>
        <v>0</v>
      </c>
      <c r="T66" s="45">
        <f t="shared" si="23"/>
        <v>0</v>
      </c>
      <c r="U66" s="46">
        <f t="shared" si="24"/>
        <v>0</v>
      </c>
      <c r="V66" s="46">
        <f t="shared" si="24"/>
        <v>0</v>
      </c>
      <c r="W66" s="46">
        <f t="shared" si="24"/>
        <v>0</v>
      </c>
      <c r="X66" s="46">
        <f t="shared" si="2"/>
        <v>0</v>
      </c>
    </row>
    <row r="67" spans="1:24" ht="20" customHeight="1" x14ac:dyDescent="0.35">
      <c r="A67" s="28"/>
      <c r="B67" s="29"/>
      <c r="C67" s="30"/>
      <c r="D67" s="30"/>
      <c r="E67" s="30"/>
      <c r="F67" s="30"/>
      <c r="G67" s="30"/>
      <c r="H67" s="30"/>
      <c r="I67" s="30"/>
      <c r="J67" s="33"/>
      <c r="L67" s="45">
        <f t="shared" si="23"/>
        <v>0</v>
      </c>
      <c r="M67" s="45">
        <f t="shared" si="23"/>
        <v>0</v>
      </c>
      <c r="N67" s="45">
        <f t="shared" si="23"/>
        <v>0</v>
      </c>
      <c r="O67" s="45">
        <f t="shared" si="23"/>
        <v>0</v>
      </c>
      <c r="P67" s="45">
        <f t="shared" si="23"/>
        <v>0</v>
      </c>
      <c r="Q67" s="45">
        <f t="shared" si="23"/>
        <v>0</v>
      </c>
      <c r="R67" s="45">
        <f t="shared" si="23"/>
        <v>0</v>
      </c>
      <c r="S67" s="45">
        <f t="shared" si="23"/>
        <v>0</v>
      </c>
      <c r="T67" s="45">
        <f t="shared" si="23"/>
        <v>0</v>
      </c>
      <c r="U67" s="46">
        <f t="shared" si="24"/>
        <v>0</v>
      </c>
      <c r="V67" s="46">
        <f t="shared" si="24"/>
        <v>0</v>
      </c>
      <c r="W67" s="46">
        <f t="shared" si="24"/>
        <v>0</v>
      </c>
      <c r="X67" s="46">
        <f t="shared" si="2"/>
        <v>0</v>
      </c>
    </row>
    <row r="68" spans="1:24" ht="20" customHeight="1" x14ac:dyDescent="0.35">
      <c r="A68" s="28"/>
      <c r="B68" s="29"/>
      <c r="C68" s="30"/>
      <c r="D68" s="28"/>
      <c r="E68" s="30"/>
      <c r="F68" s="30"/>
      <c r="G68" s="30"/>
      <c r="H68" s="30"/>
      <c r="I68" s="28"/>
      <c r="J68" s="33"/>
      <c r="L68" s="45">
        <f t="shared" si="23"/>
        <v>0</v>
      </c>
      <c r="M68" s="45">
        <f t="shared" si="23"/>
        <v>0</v>
      </c>
      <c r="N68" s="45">
        <f t="shared" si="23"/>
        <v>0</v>
      </c>
      <c r="O68" s="45">
        <f t="shared" si="23"/>
        <v>0</v>
      </c>
      <c r="P68" s="45">
        <f t="shared" si="23"/>
        <v>0</v>
      </c>
      <c r="Q68" s="45">
        <f t="shared" si="23"/>
        <v>0</v>
      </c>
      <c r="R68" s="45">
        <f t="shared" si="23"/>
        <v>0</v>
      </c>
      <c r="S68" s="45">
        <f t="shared" si="23"/>
        <v>0</v>
      </c>
      <c r="T68" s="45">
        <f t="shared" si="23"/>
        <v>0</v>
      </c>
      <c r="U68" s="46">
        <f t="shared" si="24"/>
        <v>0</v>
      </c>
      <c r="V68" s="46">
        <f t="shared" si="24"/>
        <v>0</v>
      </c>
      <c r="W68" s="46">
        <f t="shared" si="24"/>
        <v>0</v>
      </c>
      <c r="X68" s="46">
        <f t="shared" si="2"/>
        <v>0</v>
      </c>
    </row>
    <row r="69" spans="1:24" ht="20" customHeight="1" x14ac:dyDescent="0.35">
      <c r="A69" s="28"/>
      <c r="B69" s="29"/>
      <c r="C69" s="30"/>
      <c r="D69" s="28"/>
      <c r="E69" s="30"/>
      <c r="F69" s="30"/>
      <c r="G69" s="30"/>
      <c r="H69" s="30"/>
      <c r="I69" s="28"/>
      <c r="J69" s="33"/>
      <c r="L69" s="45">
        <f t="shared" si="23"/>
        <v>0</v>
      </c>
      <c r="M69" s="45">
        <f t="shared" si="23"/>
        <v>0</v>
      </c>
      <c r="N69" s="45">
        <f t="shared" si="23"/>
        <v>0</v>
      </c>
      <c r="O69" s="45">
        <f t="shared" si="23"/>
        <v>0</v>
      </c>
      <c r="P69" s="45">
        <f t="shared" si="23"/>
        <v>0</v>
      </c>
      <c r="Q69" s="45">
        <f t="shared" si="23"/>
        <v>0</v>
      </c>
      <c r="R69" s="45">
        <f t="shared" si="23"/>
        <v>0</v>
      </c>
      <c r="S69" s="45">
        <f t="shared" si="23"/>
        <v>0</v>
      </c>
      <c r="T69" s="45">
        <f t="shared" si="23"/>
        <v>0</v>
      </c>
      <c r="U69" s="46">
        <f t="shared" si="24"/>
        <v>0</v>
      </c>
      <c r="V69" s="46">
        <f t="shared" si="24"/>
        <v>0</v>
      </c>
      <c r="W69" s="46">
        <f t="shared" si="24"/>
        <v>0</v>
      </c>
      <c r="X69" s="46">
        <f t="shared" si="2"/>
        <v>0</v>
      </c>
    </row>
    <row r="70" spans="1:24" ht="20" customHeight="1" x14ac:dyDescent="0.35">
      <c r="A70" s="28"/>
      <c r="B70" s="29"/>
      <c r="C70" s="30"/>
      <c r="D70" s="28"/>
      <c r="E70" s="30"/>
      <c r="F70" s="30"/>
      <c r="G70" s="30"/>
      <c r="H70" s="30"/>
      <c r="I70" s="28"/>
      <c r="J70" s="33"/>
      <c r="L70" s="45">
        <f t="shared" si="23"/>
        <v>0</v>
      </c>
      <c r="M70" s="45">
        <f t="shared" si="23"/>
        <v>0</v>
      </c>
      <c r="N70" s="45">
        <f t="shared" si="23"/>
        <v>0</v>
      </c>
      <c r="O70" s="45">
        <f t="shared" si="23"/>
        <v>0</v>
      </c>
      <c r="P70" s="45">
        <f t="shared" si="23"/>
        <v>0</v>
      </c>
      <c r="Q70" s="45">
        <f t="shared" si="23"/>
        <v>0</v>
      </c>
      <c r="R70" s="45">
        <f t="shared" si="23"/>
        <v>0</v>
      </c>
      <c r="S70" s="45">
        <f t="shared" si="23"/>
        <v>0</v>
      </c>
      <c r="T70" s="45">
        <f t="shared" si="23"/>
        <v>0</v>
      </c>
      <c r="U70" s="46">
        <f t="shared" si="24"/>
        <v>0</v>
      </c>
      <c r="V70" s="46">
        <f t="shared" si="24"/>
        <v>0</v>
      </c>
      <c r="W70" s="46">
        <f t="shared" si="24"/>
        <v>0</v>
      </c>
      <c r="X70" s="46">
        <f t="shared" si="2"/>
        <v>0</v>
      </c>
    </row>
    <row r="71" spans="1:24" ht="20" customHeight="1" x14ac:dyDescent="0.35">
      <c r="A71" s="28"/>
      <c r="B71" s="29"/>
      <c r="C71" s="30"/>
      <c r="D71" s="28"/>
      <c r="E71" s="30"/>
      <c r="F71" s="30"/>
      <c r="G71" s="30"/>
      <c r="H71" s="30"/>
      <c r="I71" s="28"/>
      <c r="J71" s="33"/>
      <c r="L71" s="45">
        <f t="shared" si="23"/>
        <v>0</v>
      </c>
      <c r="M71" s="45">
        <f t="shared" si="23"/>
        <v>0</v>
      </c>
      <c r="N71" s="45">
        <f t="shared" si="23"/>
        <v>0</v>
      </c>
      <c r="O71" s="45">
        <f t="shared" si="23"/>
        <v>0</v>
      </c>
      <c r="P71" s="45">
        <f t="shared" si="23"/>
        <v>0</v>
      </c>
      <c r="Q71" s="45">
        <f t="shared" si="23"/>
        <v>0</v>
      </c>
      <c r="R71" s="45">
        <f t="shared" si="23"/>
        <v>0</v>
      </c>
      <c r="S71" s="45">
        <f t="shared" si="23"/>
        <v>0</v>
      </c>
      <c r="T71" s="45">
        <f t="shared" si="23"/>
        <v>0</v>
      </c>
      <c r="U71" s="46">
        <f t="shared" si="24"/>
        <v>0</v>
      </c>
      <c r="V71" s="46">
        <f t="shared" si="24"/>
        <v>0</v>
      </c>
      <c r="W71" s="46">
        <f t="shared" si="24"/>
        <v>0</v>
      </c>
      <c r="X71" s="46">
        <f t="shared" si="2"/>
        <v>0</v>
      </c>
    </row>
    <row r="72" spans="1:24" ht="20" customHeight="1" x14ac:dyDescent="0.35">
      <c r="A72" s="28"/>
      <c r="B72" s="29"/>
      <c r="C72" s="30"/>
      <c r="D72" s="28"/>
      <c r="E72" s="30"/>
      <c r="F72" s="30"/>
      <c r="G72" s="30"/>
      <c r="H72" s="30"/>
      <c r="I72" s="28"/>
      <c r="J72" s="33"/>
      <c r="L72" s="45">
        <f t="shared" si="23"/>
        <v>0</v>
      </c>
      <c r="M72" s="45">
        <f t="shared" si="23"/>
        <v>0</v>
      </c>
      <c r="N72" s="45">
        <f t="shared" si="23"/>
        <v>0</v>
      </c>
      <c r="O72" s="45">
        <f t="shared" ref="O72:T114" si="25">IFERROR(E73-E72,0)</f>
        <v>0</v>
      </c>
      <c r="P72" s="45">
        <f t="shared" si="25"/>
        <v>0</v>
      </c>
      <c r="Q72" s="45">
        <f t="shared" si="25"/>
        <v>0</v>
      </c>
      <c r="R72" s="45">
        <f t="shared" si="25"/>
        <v>0</v>
      </c>
      <c r="S72" s="45">
        <f t="shared" si="25"/>
        <v>0</v>
      </c>
      <c r="T72" s="45">
        <f t="shared" si="25"/>
        <v>0</v>
      </c>
      <c r="U72" s="46">
        <f t="shared" si="24"/>
        <v>0</v>
      </c>
      <c r="V72" s="46">
        <f t="shared" si="24"/>
        <v>0</v>
      </c>
      <c r="W72" s="46">
        <f t="shared" si="24"/>
        <v>0</v>
      </c>
      <c r="X72" s="46">
        <f t="shared" si="2"/>
        <v>0</v>
      </c>
    </row>
    <row r="73" spans="1:24" ht="20" customHeight="1" x14ac:dyDescent="0.35">
      <c r="A73" s="28"/>
      <c r="B73" s="29"/>
      <c r="C73" s="30"/>
      <c r="D73" s="28"/>
      <c r="E73" s="30"/>
      <c r="F73" s="30"/>
      <c r="G73" s="30"/>
      <c r="H73" s="30"/>
      <c r="I73" s="28"/>
      <c r="J73" s="33"/>
      <c r="L73" s="45">
        <f t="shared" ref="L73:Q136" si="26">IFERROR(B74-B73,0)</f>
        <v>0</v>
      </c>
      <c r="M73" s="45">
        <f t="shared" si="26"/>
        <v>0</v>
      </c>
      <c r="N73" s="45">
        <f t="shared" si="26"/>
        <v>0</v>
      </c>
      <c r="O73" s="45">
        <f t="shared" si="25"/>
        <v>0</v>
      </c>
      <c r="P73" s="45">
        <f t="shared" si="25"/>
        <v>0</v>
      </c>
      <c r="Q73" s="45">
        <f t="shared" si="25"/>
        <v>0</v>
      </c>
      <c r="R73" s="45">
        <f t="shared" si="25"/>
        <v>0</v>
      </c>
      <c r="S73" s="45">
        <f t="shared" si="25"/>
        <v>0</v>
      </c>
      <c r="T73" s="45">
        <f t="shared" si="25"/>
        <v>0</v>
      </c>
      <c r="U73" s="46">
        <f t="shared" si="24"/>
        <v>0</v>
      </c>
      <c r="V73" s="46">
        <f t="shared" si="24"/>
        <v>0</v>
      </c>
      <c r="W73" s="46">
        <f t="shared" si="24"/>
        <v>0</v>
      </c>
      <c r="X73" s="46">
        <f t="shared" ref="X73:X136" si="27">O73+P73+T73</f>
        <v>0</v>
      </c>
    </row>
    <row r="74" spans="1:24" ht="20" customHeight="1" x14ac:dyDescent="0.35">
      <c r="A74" s="28"/>
      <c r="B74" s="29"/>
      <c r="C74" s="30"/>
      <c r="D74" s="30"/>
      <c r="E74" s="30"/>
      <c r="F74" s="30"/>
      <c r="G74" s="30"/>
      <c r="H74" s="30"/>
      <c r="I74" s="30"/>
      <c r="J74" s="33"/>
      <c r="L74" s="45">
        <f t="shared" si="26"/>
        <v>0</v>
      </c>
      <c r="M74" s="45">
        <f t="shared" si="26"/>
        <v>0</v>
      </c>
      <c r="N74" s="45">
        <f t="shared" si="26"/>
        <v>0</v>
      </c>
      <c r="O74" s="45">
        <f t="shared" si="25"/>
        <v>0</v>
      </c>
      <c r="P74" s="45">
        <f t="shared" si="25"/>
        <v>0</v>
      </c>
      <c r="Q74" s="45">
        <f t="shared" si="25"/>
        <v>0</v>
      </c>
      <c r="R74" s="45">
        <f t="shared" si="25"/>
        <v>0</v>
      </c>
      <c r="S74" s="45">
        <f t="shared" si="25"/>
        <v>0</v>
      </c>
      <c r="T74" s="45">
        <f t="shared" si="25"/>
        <v>0</v>
      </c>
      <c r="U74" s="46">
        <f t="shared" si="24"/>
        <v>0</v>
      </c>
      <c r="V74" s="46">
        <f t="shared" si="24"/>
        <v>0</v>
      </c>
      <c r="W74" s="46">
        <f t="shared" si="24"/>
        <v>0</v>
      </c>
      <c r="X74" s="46">
        <f t="shared" si="27"/>
        <v>0</v>
      </c>
    </row>
    <row r="75" spans="1:24" ht="20" customHeight="1" x14ac:dyDescent="0.35">
      <c r="A75" s="28"/>
      <c r="B75" s="29"/>
      <c r="C75" s="30"/>
      <c r="D75" s="28"/>
      <c r="E75" s="30"/>
      <c r="F75" s="30"/>
      <c r="G75" s="30"/>
      <c r="H75" s="30"/>
      <c r="I75" s="28"/>
      <c r="J75" s="33"/>
      <c r="L75" s="45">
        <f t="shared" si="26"/>
        <v>0</v>
      </c>
      <c r="M75" s="45">
        <f t="shared" si="26"/>
        <v>0</v>
      </c>
      <c r="N75" s="45">
        <f t="shared" si="26"/>
        <v>0</v>
      </c>
      <c r="O75" s="45">
        <f t="shared" si="25"/>
        <v>0</v>
      </c>
      <c r="P75" s="45">
        <f t="shared" si="25"/>
        <v>0</v>
      </c>
      <c r="Q75" s="45">
        <f t="shared" si="25"/>
        <v>0</v>
      </c>
      <c r="R75" s="45">
        <f t="shared" si="25"/>
        <v>0</v>
      </c>
      <c r="S75" s="45">
        <f t="shared" si="25"/>
        <v>0</v>
      </c>
      <c r="T75" s="45">
        <f t="shared" si="25"/>
        <v>0</v>
      </c>
      <c r="U75" s="46">
        <f t="shared" si="24"/>
        <v>0</v>
      </c>
      <c r="V75" s="46">
        <f t="shared" si="24"/>
        <v>0</v>
      </c>
      <c r="W75" s="46">
        <f t="shared" si="24"/>
        <v>0</v>
      </c>
      <c r="X75" s="46">
        <f t="shared" si="27"/>
        <v>0</v>
      </c>
    </row>
    <row r="76" spans="1:24" ht="20" customHeight="1" x14ac:dyDescent="0.35">
      <c r="A76" s="28"/>
      <c r="B76" s="29"/>
      <c r="C76" s="30"/>
      <c r="D76" s="28"/>
      <c r="E76" s="30"/>
      <c r="F76" s="30"/>
      <c r="G76" s="30"/>
      <c r="H76" s="30"/>
      <c r="I76" s="28"/>
      <c r="J76" s="33"/>
      <c r="L76" s="45">
        <f t="shared" si="26"/>
        <v>0</v>
      </c>
      <c r="M76" s="45">
        <f t="shared" si="26"/>
        <v>0</v>
      </c>
      <c r="N76" s="45">
        <f t="shared" si="26"/>
        <v>0</v>
      </c>
      <c r="O76" s="45">
        <f t="shared" si="25"/>
        <v>0</v>
      </c>
      <c r="P76" s="45">
        <f t="shared" si="25"/>
        <v>0</v>
      </c>
      <c r="Q76" s="45">
        <f t="shared" si="25"/>
        <v>0</v>
      </c>
      <c r="R76" s="45">
        <f t="shared" si="25"/>
        <v>0</v>
      </c>
      <c r="S76" s="45">
        <f t="shared" si="25"/>
        <v>0</v>
      </c>
      <c r="T76" s="45">
        <f t="shared" si="25"/>
        <v>0</v>
      </c>
      <c r="U76" s="46">
        <f t="shared" si="24"/>
        <v>0</v>
      </c>
      <c r="V76" s="46">
        <f t="shared" si="24"/>
        <v>0</v>
      </c>
      <c r="W76" s="46">
        <f t="shared" si="24"/>
        <v>0</v>
      </c>
      <c r="X76" s="46">
        <f t="shared" si="27"/>
        <v>0</v>
      </c>
    </row>
    <row r="77" spans="1:24" ht="20" customHeight="1" x14ac:dyDescent="0.35">
      <c r="A77" s="28"/>
      <c r="B77" s="29"/>
      <c r="C77" s="30"/>
      <c r="D77" s="30"/>
      <c r="E77" s="30"/>
      <c r="F77" s="30"/>
      <c r="G77" s="30"/>
      <c r="H77" s="30"/>
      <c r="I77" s="30"/>
      <c r="J77" s="33"/>
      <c r="L77" s="45">
        <f t="shared" si="26"/>
        <v>0</v>
      </c>
      <c r="M77" s="45">
        <f t="shared" si="26"/>
        <v>0</v>
      </c>
      <c r="N77" s="45">
        <f t="shared" si="26"/>
        <v>0</v>
      </c>
      <c r="O77" s="45">
        <f t="shared" si="25"/>
        <v>0</v>
      </c>
      <c r="P77" s="45">
        <f t="shared" si="25"/>
        <v>0</v>
      </c>
      <c r="Q77" s="45">
        <f t="shared" si="25"/>
        <v>0</v>
      </c>
      <c r="R77" s="45">
        <f t="shared" si="25"/>
        <v>0</v>
      </c>
      <c r="S77" s="45">
        <f t="shared" si="25"/>
        <v>0</v>
      </c>
      <c r="T77" s="45">
        <f t="shared" si="25"/>
        <v>0</v>
      </c>
      <c r="U77" s="46">
        <f t="shared" si="24"/>
        <v>0</v>
      </c>
      <c r="V77" s="46">
        <f t="shared" si="24"/>
        <v>0</v>
      </c>
      <c r="W77" s="46">
        <f t="shared" si="24"/>
        <v>0</v>
      </c>
      <c r="X77" s="46">
        <f t="shared" si="27"/>
        <v>0</v>
      </c>
    </row>
    <row r="78" spans="1:24" ht="20" customHeight="1" x14ac:dyDescent="0.35">
      <c r="A78" s="28"/>
      <c r="B78" s="29"/>
      <c r="C78" s="30"/>
      <c r="D78" s="30"/>
      <c r="E78" s="30"/>
      <c r="F78" s="30"/>
      <c r="G78" s="30"/>
      <c r="H78" s="30"/>
      <c r="I78" s="30"/>
      <c r="J78" s="33"/>
      <c r="L78" s="45">
        <f t="shared" si="26"/>
        <v>0</v>
      </c>
      <c r="M78" s="45">
        <f t="shared" si="26"/>
        <v>0</v>
      </c>
      <c r="N78" s="45">
        <f t="shared" si="26"/>
        <v>0</v>
      </c>
      <c r="O78" s="45">
        <f t="shared" si="25"/>
        <v>0</v>
      </c>
      <c r="P78" s="45">
        <f t="shared" si="25"/>
        <v>0</v>
      </c>
      <c r="Q78" s="45">
        <f t="shared" si="25"/>
        <v>0</v>
      </c>
      <c r="R78" s="45">
        <f t="shared" si="25"/>
        <v>0</v>
      </c>
      <c r="S78" s="45">
        <f t="shared" si="25"/>
        <v>0</v>
      </c>
      <c r="T78" s="45">
        <f t="shared" si="25"/>
        <v>0</v>
      </c>
      <c r="U78" s="46">
        <f t="shared" si="24"/>
        <v>0</v>
      </c>
      <c r="V78" s="46">
        <f t="shared" si="24"/>
        <v>0</v>
      </c>
      <c r="W78" s="46">
        <f t="shared" si="24"/>
        <v>0</v>
      </c>
      <c r="X78" s="46">
        <f t="shared" si="27"/>
        <v>0</v>
      </c>
    </row>
    <row r="79" spans="1:24" ht="20" customHeight="1" x14ac:dyDescent="0.35">
      <c r="A79" s="28"/>
      <c r="B79" s="29"/>
      <c r="C79" s="30"/>
      <c r="D79" s="30"/>
      <c r="E79" s="30"/>
      <c r="F79" s="30"/>
      <c r="G79" s="30"/>
      <c r="H79" s="30"/>
      <c r="I79" s="30"/>
      <c r="J79" s="33"/>
      <c r="L79" s="45">
        <f t="shared" si="26"/>
        <v>0</v>
      </c>
      <c r="M79" s="45">
        <f t="shared" si="26"/>
        <v>0</v>
      </c>
      <c r="N79" s="45">
        <f t="shared" si="26"/>
        <v>0</v>
      </c>
      <c r="O79" s="45">
        <f t="shared" si="25"/>
        <v>0</v>
      </c>
      <c r="P79" s="45">
        <f t="shared" si="25"/>
        <v>0</v>
      </c>
      <c r="Q79" s="45">
        <f t="shared" si="25"/>
        <v>0</v>
      </c>
      <c r="R79" s="45">
        <f t="shared" si="25"/>
        <v>0</v>
      </c>
      <c r="S79" s="45">
        <f t="shared" si="25"/>
        <v>0</v>
      </c>
      <c r="T79" s="45">
        <f t="shared" si="25"/>
        <v>0</v>
      </c>
      <c r="U79" s="46">
        <f t="shared" si="24"/>
        <v>0</v>
      </c>
      <c r="V79" s="46">
        <f t="shared" si="24"/>
        <v>0</v>
      </c>
      <c r="W79" s="46">
        <f t="shared" si="24"/>
        <v>0</v>
      </c>
      <c r="X79" s="46">
        <f t="shared" si="27"/>
        <v>0</v>
      </c>
    </row>
    <row r="80" spans="1:24" ht="16.75" customHeight="1" x14ac:dyDescent="0.35">
      <c r="A80" s="28"/>
      <c r="B80" s="29"/>
      <c r="C80" s="30"/>
      <c r="D80" s="30"/>
      <c r="E80" s="30"/>
      <c r="F80" s="30"/>
      <c r="G80" s="30"/>
      <c r="H80" s="30"/>
      <c r="I80" s="30"/>
      <c r="J80" s="33"/>
      <c r="L80" s="45">
        <f t="shared" si="26"/>
        <v>0</v>
      </c>
      <c r="M80" s="45">
        <f t="shared" si="26"/>
        <v>0</v>
      </c>
      <c r="N80" s="45">
        <f t="shared" si="26"/>
        <v>0</v>
      </c>
      <c r="O80" s="45">
        <f t="shared" si="25"/>
        <v>0</v>
      </c>
      <c r="P80" s="45">
        <f t="shared" si="25"/>
        <v>0</v>
      </c>
      <c r="Q80" s="45">
        <f t="shared" si="25"/>
        <v>0</v>
      </c>
      <c r="R80" s="45">
        <f t="shared" si="25"/>
        <v>0</v>
      </c>
      <c r="S80" s="45">
        <f t="shared" si="25"/>
        <v>0</v>
      </c>
      <c r="T80" s="45">
        <f t="shared" si="25"/>
        <v>0</v>
      </c>
      <c r="U80" s="46">
        <f t="shared" si="24"/>
        <v>0</v>
      </c>
      <c r="V80" s="46">
        <f t="shared" si="24"/>
        <v>0</v>
      </c>
      <c r="W80" s="46">
        <f t="shared" si="24"/>
        <v>0</v>
      </c>
      <c r="X80" s="46">
        <f t="shared" si="27"/>
        <v>0</v>
      </c>
    </row>
    <row r="81" spans="1:24" ht="20" customHeight="1" x14ac:dyDescent="0.35">
      <c r="A81" s="28"/>
      <c r="B81" s="29"/>
      <c r="C81" s="30"/>
      <c r="D81" s="30"/>
      <c r="E81" s="30"/>
      <c r="F81" s="30"/>
      <c r="G81" s="30"/>
      <c r="H81" s="30"/>
      <c r="I81" s="30"/>
      <c r="J81" s="33"/>
      <c r="L81" s="45">
        <f t="shared" si="26"/>
        <v>0</v>
      </c>
      <c r="M81" s="45">
        <f t="shared" si="26"/>
        <v>0</v>
      </c>
      <c r="N81" s="45">
        <f t="shared" si="26"/>
        <v>0</v>
      </c>
      <c r="O81" s="45">
        <f t="shared" si="25"/>
        <v>0</v>
      </c>
      <c r="P81" s="45">
        <f t="shared" si="25"/>
        <v>0</v>
      </c>
      <c r="Q81" s="45">
        <f t="shared" si="25"/>
        <v>0</v>
      </c>
      <c r="R81" s="45">
        <f t="shared" si="25"/>
        <v>0</v>
      </c>
      <c r="S81" s="45">
        <f t="shared" si="25"/>
        <v>0</v>
      </c>
      <c r="T81" s="45">
        <f t="shared" si="25"/>
        <v>0</v>
      </c>
      <c r="U81" s="46">
        <f t="shared" si="24"/>
        <v>0</v>
      </c>
      <c r="V81" s="46">
        <f t="shared" si="24"/>
        <v>0</v>
      </c>
      <c r="W81" s="46">
        <f t="shared" si="24"/>
        <v>0</v>
      </c>
      <c r="X81" s="46">
        <f t="shared" si="27"/>
        <v>0</v>
      </c>
    </row>
    <row r="82" spans="1:24" ht="20" customHeight="1" x14ac:dyDescent="0.35">
      <c r="A82" s="28"/>
      <c r="B82" s="29"/>
      <c r="C82" s="30"/>
      <c r="D82" s="30"/>
      <c r="E82" s="30"/>
      <c r="F82" s="30"/>
      <c r="G82" s="30"/>
      <c r="H82" s="30"/>
      <c r="I82" s="30"/>
      <c r="J82" s="33"/>
      <c r="L82" s="45">
        <f t="shared" si="26"/>
        <v>0</v>
      </c>
      <c r="M82" s="45">
        <f t="shared" si="26"/>
        <v>0</v>
      </c>
      <c r="N82" s="45">
        <f t="shared" si="26"/>
        <v>0</v>
      </c>
      <c r="O82" s="45">
        <f t="shared" si="25"/>
        <v>0</v>
      </c>
      <c r="P82" s="45">
        <f t="shared" si="25"/>
        <v>0</v>
      </c>
      <c r="Q82" s="45">
        <f t="shared" si="25"/>
        <v>0</v>
      </c>
      <c r="R82" s="45">
        <f t="shared" si="25"/>
        <v>0</v>
      </c>
      <c r="S82" s="45">
        <f t="shared" si="25"/>
        <v>0</v>
      </c>
      <c r="T82" s="45">
        <f t="shared" si="25"/>
        <v>0</v>
      </c>
      <c r="U82" s="46">
        <f t="shared" si="24"/>
        <v>0</v>
      </c>
      <c r="V82" s="46">
        <f t="shared" si="24"/>
        <v>0</v>
      </c>
      <c r="W82" s="46">
        <f t="shared" si="24"/>
        <v>0</v>
      </c>
      <c r="X82" s="46">
        <f t="shared" si="27"/>
        <v>0</v>
      </c>
    </row>
    <row r="83" spans="1:24" ht="20" customHeight="1" x14ac:dyDescent="0.35">
      <c r="A83" s="28"/>
      <c r="B83" s="29"/>
      <c r="C83" s="30"/>
      <c r="D83" s="30"/>
      <c r="E83" s="30"/>
      <c r="F83" s="30"/>
      <c r="G83" s="30"/>
      <c r="H83" s="30"/>
      <c r="I83" s="30"/>
      <c r="J83" s="33"/>
      <c r="L83" s="45">
        <f t="shared" si="26"/>
        <v>0</v>
      </c>
      <c r="M83" s="45">
        <f t="shared" si="26"/>
        <v>0</v>
      </c>
      <c r="N83" s="45">
        <f t="shared" si="26"/>
        <v>0</v>
      </c>
      <c r="O83" s="45">
        <f t="shared" si="25"/>
        <v>0</v>
      </c>
      <c r="P83" s="45">
        <f t="shared" si="25"/>
        <v>0</v>
      </c>
      <c r="Q83" s="45">
        <f t="shared" si="25"/>
        <v>0</v>
      </c>
      <c r="R83" s="45">
        <f t="shared" si="25"/>
        <v>0</v>
      </c>
      <c r="S83" s="45">
        <f t="shared" si="25"/>
        <v>0</v>
      </c>
      <c r="T83" s="45">
        <f t="shared" si="25"/>
        <v>0</v>
      </c>
      <c r="U83" s="46">
        <f t="shared" si="24"/>
        <v>0</v>
      </c>
      <c r="V83" s="46">
        <f t="shared" si="24"/>
        <v>0</v>
      </c>
      <c r="W83" s="46">
        <f t="shared" si="24"/>
        <v>0</v>
      </c>
      <c r="X83" s="46">
        <f t="shared" si="27"/>
        <v>0</v>
      </c>
    </row>
    <row r="84" spans="1:24" ht="20" customHeight="1" x14ac:dyDescent="0.35">
      <c r="A84" s="28"/>
      <c r="B84" s="29"/>
      <c r="C84" s="30"/>
      <c r="D84" s="30"/>
      <c r="E84" s="30"/>
      <c r="F84" s="30"/>
      <c r="G84" s="30"/>
      <c r="H84" s="30"/>
      <c r="I84" s="30"/>
      <c r="J84" s="33"/>
      <c r="L84" s="45">
        <f t="shared" si="26"/>
        <v>0</v>
      </c>
      <c r="M84" s="45">
        <f t="shared" si="26"/>
        <v>0</v>
      </c>
      <c r="N84" s="45">
        <f t="shared" si="26"/>
        <v>0</v>
      </c>
      <c r="O84" s="45">
        <f t="shared" si="25"/>
        <v>0</v>
      </c>
      <c r="P84" s="45">
        <f t="shared" si="25"/>
        <v>0</v>
      </c>
      <c r="Q84" s="45">
        <f t="shared" si="25"/>
        <v>0</v>
      </c>
      <c r="R84" s="45">
        <f t="shared" si="25"/>
        <v>0</v>
      </c>
      <c r="S84" s="45">
        <f t="shared" si="25"/>
        <v>0</v>
      </c>
      <c r="T84" s="45">
        <f t="shared" si="25"/>
        <v>0</v>
      </c>
      <c r="U84" s="46">
        <f t="shared" si="24"/>
        <v>0</v>
      </c>
      <c r="V84" s="46">
        <f t="shared" si="24"/>
        <v>0</v>
      </c>
      <c r="W84" s="46">
        <f t="shared" si="24"/>
        <v>0</v>
      </c>
      <c r="X84" s="46">
        <f t="shared" si="27"/>
        <v>0</v>
      </c>
    </row>
    <row r="85" spans="1:24" ht="20" customHeight="1" x14ac:dyDescent="0.35">
      <c r="A85" s="28"/>
      <c r="B85" s="29"/>
      <c r="C85" s="30"/>
      <c r="D85" s="30"/>
      <c r="E85" s="30"/>
      <c r="F85" s="30"/>
      <c r="G85" s="30"/>
      <c r="H85" s="30"/>
      <c r="I85" s="30"/>
      <c r="J85" s="33"/>
      <c r="L85" s="45">
        <f t="shared" si="26"/>
        <v>0</v>
      </c>
      <c r="M85" s="45">
        <f t="shared" si="26"/>
        <v>0</v>
      </c>
      <c r="N85" s="45">
        <f t="shared" si="26"/>
        <v>0</v>
      </c>
      <c r="O85" s="45">
        <f t="shared" si="25"/>
        <v>0</v>
      </c>
      <c r="P85" s="45">
        <f t="shared" si="25"/>
        <v>0</v>
      </c>
      <c r="Q85" s="45">
        <f t="shared" si="25"/>
        <v>0</v>
      </c>
      <c r="R85" s="45">
        <f t="shared" si="25"/>
        <v>0</v>
      </c>
      <c r="S85" s="45">
        <f t="shared" si="25"/>
        <v>0</v>
      </c>
      <c r="T85" s="45">
        <f t="shared" si="25"/>
        <v>0</v>
      </c>
      <c r="U85" s="46">
        <f t="shared" si="24"/>
        <v>0</v>
      </c>
      <c r="V85" s="46">
        <f t="shared" si="24"/>
        <v>0</v>
      </c>
      <c r="W85" s="46">
        <f t="shared" si="24"/>
        <v>0</v>
      </c>
      <c r="X85" s="46">
        <f t="shared" si="27"/>
        <v>0</v>
      </c>
    </row>
    <row r="86" spans="1:24" ht="20" customHeight="1" x14ac:dyDescent="0.35">
      <c r="A86" s="28"/>
      <c r="B86" s="29"/>
      <c r="C86" s="30"/>
      <c r="D86" s="30"/>
      <c r="E86" s="30"/>
      <c r="F86" s="30"/>
      <c r="G86" s="30"/>
      <c r="H86" s="30"/>
      <c r="I86" s="30"/>
      <c r="J86" s="33"/>
      <c r="L86" s="45">
        <f t="shared" si="26"/>
        <v>0</v>
      </c>
      <c r="M86" s="45">
        <f t="shared" si="26"/>
        <v>0</v>
      </c>
      <c r="N86" s="45">
        <f t="shared" si="26"/>
        <v>0</v>
      </c>
      <c r="O86" s="45">
        <f t="shared" si="25"/>
        <v>0</v>
      </c>
      <c r="P86" s="45">
        <f t="shared" si="25"/>
        <v>0</v>
      </c>
      <c r="Q86" s="45">
        <f t="shared" si="25"/>
        <v>0</v>
      </c>
      <c r="R86" s="45">
        <f t="shared" si="25"/>
        <v>0</v>
      </c>
      <c r="S86" s="45">
        <f t="shared" si="25"/>
        <v>0</v>
      </c>
      <c r="T86" s="45">
        <f t="shared" si="25"/>
        <v>0</v>
      </c>
      <c r="U86" s="46">
        <f t="shared" si="24"/>
        <v>0</v>
      </c>
      <c r="V86" s="46">
        <f t="shared" si="24"/>
        <v>0</v>
      </c>
      <c r="W86" s="46">
        <f t="shared" si="24"/>
        <v>0</v>
      </c>
      <c r="X86" s="46">
        <f t="shared" si="27"/>
        <v>0</v>
      </c>
    </row>
    <row r="87" spans="1:24" ht="20" customHeight="1" x14ac:dyDescent="0.35">
      <c r="A87" s="28"/>
      <c r="B87" s="29"/>
      <c r="C87" s="30"/>
      <c r="D87" s="30"/>
      <c r="E87" s="30"/>
      <c r="F87" s="30"/>
      <c r="G87" s="30"/>
      <c r="H87" s="30"/>
      <c r="I87" s="30"/>
      <c r="J87" s="33"/>
      <c r="L87" s="45">
        <f t="shared" si="26"/>
        <v>0</v>
      </c>
      <c r="M87" s="45">
        <f t="shared" si="26"/>
        <v>0</v>
      </c>
      <c r="N87" s="45">
        <f t="shared" si="26"/>
        <v>0</v>
      </c>
      <c r="O87" s="45">
        <f t="shared" si="25"/>
        <v>0</v>
      </c>
      <c r="P87" s="45">
        <f t="shared" si="25"/>
        <v>0</v>
      </c>
      <c r="Q87" s="45">
        <f t="shared" si="25"/>
        <v>0</v>
      </c>
      <c r="R87" s="45">
        <f t="shared" si="25"/>
        <v>0</v>
      </c>
      <c r="S87" s="45">
        <f t="shared" si="25"/>
        <v>0</v>
      </c>
      <c r="T87" s="45">
        <f t="shared" si="25"/>
        <v>0</v>
      </c>
      <c r="U87" s="46">
        <f t="shared" si="24"/>
        <v>0</v>
      </c>
      <c r="V87" s="46">
        <f t="shared" si="24"/>
        <v>0</v>
      </c>
      <c r="W87" s="46">
        <f t="shared" si="24"/>
        <v>0</v>
      </c>
      <c r="X87" s="46">
        <f t="shared" si="27"/>
        <v>0</v>
      </c>
    </row>
    <row r="88" spans="1:24" ht="20" customHeight="1" x14ac:dyDescent="0.35">
      <c r="A88" s="28"/>
      <c r="B88" s="29"/>
      <c r="C88" s="30"/>
      <c r="D88" s="30"/>
      <c r="E88" s="30"/>
      <c r="F88" s="30"/>
      <c r="G88" s="30"/>
      <c r="H88" s="30"/>
      <c r="I88" s="30"/>
      <c r="J88" s="33"/>
      <c r="L88" s="45">
        <f t="shared" si="26"/>
        <v>0</v>
      </c>
      <c r="M88" s="45">
        <f t="shared" si="26"/>
        <v>0</v>
      </c>
      <c r="N88" s="45">
        <f t="shared" si="26"/>
        <v>0</v>
      </c>
      <c r="O88" s="45">
        <f t="shared" si="25"/>
        <v>0</v>
      </c>
      <c r="P88" s="45">
        <f t="shared" si="25"/>
        <v>0</v>
      </c>
      <c r="Q88" s="45">
        <f t="shared" si="25"/>
        <v>0</v>
      </c>
      <c r="R88" s="45">
        <f t="shared" si="25"/>
        <v>0</v>
      </c>
      <c r="S88" s="45">
        <f t="shared" si="25"/>
        <v>0</v>
      </c>
      <c r="T88" s="45">
        <f t="shared" si="25"/>
        <v>0</v>
      </c>
      <c r="U88" s="46">
        <f t="shared" si="24"/>
        <v>0</v>
      </c>
      <c r="V88" s="46">
        <f t="shared" si="24"/>
        <v>0</v>
      </c>
      <c r="W88" s="46">
        <f t="shared" si="24"/>
        <v>0</v>
      </c>
      <c r="X88" s="46">
        <f t="shared" si="27"/>
        <v>0</v>
      </c>
    </row>
    <row r="89" spans="1:24" ht="20" customHeight="1" x14ac:dyDescent="0.35">
      <c r="A89" s="28"/>
      <c r="B89" s="29"/>
      <c r="C89" s="30"/>
      <c r="D89" s="30"/>
      <c r="E89" s="30"/>
      <c r="F89" s="30"/>
      <c r="G89" s="30"/>
      <c r="H89" s="30"/>
      <c r="I89" s="30"/>
      <c r="J89" s="33"/>
      <c r="L89" s="45">
        <f t="shared" si="26"/>
        <v>0</v>
      </c>
      <c r="M89" s="45">
        <f t="shared" si="26"/>
        <v>0</v>
      </c>
      <c r="N89" s="45">
        <f t="shared" si="26"/>
        <v>0</v>
      </c>
      <c r="O89" s="45">
        <f t="shared" si="25"/>
        <v>0</v>
      </c>
      <c r="P89" s="45">
        <f t="shared" si="25"/>
        <v>0</v>
      </c>
      <c r="Q89" s="45">
        <f t="shared" si="25"/>
        <v>0</v>
      </c>
      <c r="R89" s="45">
        <f t="shared" si="25"/>
        <v>0</v>
      </c>
      <c r="S89" s="45">
        <f t="shared" si="25"/>
        <v>0</v>
      </c>
      <c r="T89" s="45">
        <f t="shared" si="25"/>
        <v>0</v>
      </c>
      <c r="U89" s="46">
        <f t="shared" si="24"/>
        <v>0</v>
      </c>
      <c r="V89" s="46">
        <f t="shared" si="24"/>
        <v>0</v>
      </c>
      <c r="W89" s="46">
        <f t="shared" si="24"/>
        <v>0</v>
      </c>
      <c r="X89" s="46">
        <f t="shared" si="27"/>
        <v>0</v>
      </c>
    </row>
    <row r="90" spans="1:24" ht="20" customHeight="1" x14ac:dyDescent="0.35">
      <c r="A90" s="28"/>
      <c r="B90" s="29"/>
      <c r="C90" s="30"/>
      <c r="D90" s="30"/>
      <c r="E90" s="30"/>
      <c r="F90" s="30"/>
      <c r="G90" s="30"/>
      <c r="H90" s="30"/>
      <c r="I90" s="30"/>
      <c r="J90" s="33"/>
      <c r="L90" s="45">
        <f t="shared" si="26"/>
        <v>0</v>
      </c>
      <c r="M90" s="45">
        <f t="shared" si="26"/>
        <v>0</v>
      </c>
      <c r="N90" s="45">
        <f t="shared" si="26"/>
        <v>0</v>
      </c>
      <c r="O90" s="45">
        <f t="shared" si="25"/>
        <v>0</v>
      </c>
      <c r="P90" s="45">
        <f t="shared" si="25"/>
        <v>0</v>
      </c>
      <c r="Q90" s="45">
        <f t="shared" si="25"/>
        <v>0</v>
      </c>
      <c r="R90" s="45">
        <f t="shared" si="25"/>
        <v>0</v>
      </c>
      <c r="S90" s="45">
        <f t="shared" si="25"/>
        <v>0</v>
      </c>
      <c r="T90" s="45">
        <f t="shared" si="25"/>
        <v>0</v>
      </c>
      <c r="U90" s="46">
        <f t="shared" si="24"/>
        <v>0</v>
      </c>
      <c r="V90" s="46">
        <f t="shared" si="24"/>
        <v>0</v>
      </c>
      <c r="W90" s="46">
        <f t="shared" si="24"/>
        <v>0</v>
      </c>
      <c r="X90" s="46">
        <f t="shared" si="27"/>
        <v>0</v>
      </c>
    </row>
    <row r="91" spans="1:24" ht="20" customHeight="1" x14ac:dyDescent="0.35">
      <c r="A91" s="28"/>
      <c r="B91" s="29"/>
      <c r="C91" s="30"/>
      <c r="D91" s="30"/>
      <c r="E91" s="30"/>
      <c r="F91" s="30"/>
      <c r="G91" s="30"/>
      <c r="H91" s="30"/>
      <c r="I91" s="30"/>
      <c r="J91" s="33"/>
      <c r="L91" s="45">
        <f t="shared" si="26"/>
        <v>0</v>
      </c>
      <c r="M91" s="45">
        <f t="shared" si="26"/>
        <v>0</v>
      </c>
      <c r="N91" s="45">
        <f t="shared" si="26"/>
        <v>0</v>
      </c>
      <c r="O91" s="45">
        <f t="shared" si="25"/>
        <v>0</v>
      </c>
      <c r="P91" s="45">
        <f t="shared" si="25"/>
        <v>0</v>
      </c>
      <c r="Q91" s="45">
        <f t="shared" si="25"/>
        <v>0</v>
      </c>
      <c r="R91" s="45">
        <f t="shared" si="25"/>
        <v>0</v>
      </c>
      <c r="S91" s="45">
        <f t="shared" si="25"/>
        <v>0</v>
      </c>
      <c r="T91" s="45">
        <f t="shared" si="25"/>
        <v>0</v>
      </c>
      <c r="U91" s="46">
        <f t="shared" si="24"/>
        <v>0</v>
      </c>
      <c r="V91" s="46">
        <f t="shared" si="24"/>
        <v>0</v>
      </c>
      <c r="W91" s="46">
        <f t="shared" si="24"/>
        <v>0</v>
      </c>
      <c r="X91" s="46">
        <f t="shared" si="27"/>
        <v>0</v>
      </c>
    </row>
    <row r="92" spans="1:24" ht="20" customHeight="1" x14ac:dyDescent="0.35">
      <c r="A92" s="28"/>
      <c r="B92" s="29"/>
      <c r="C92" s="30"/>
      <c r="D92" s="30"/>
      <c r="E92" s="30"/>
      <c r="F92" s="30"/>
      <c r="G92" s="30"/>
      <c r="H92" s="30"/>
      <c r="I92" s="30"/>
      <c r="J92" s="33"/>
      <c r="L92" s="45">
        <f t="shared" si="26"/>
        <v>0</v>
      </c>
      <c r="M92" s="45">
        <f t="shared" si="26"/>
        <v>0</v>
      </c>
      <c r="N92" s="45">
        <f t="shared" si="26"/>
        <v>0</v>
      </c>
      <c r="O92" s="45">
        <f t="shared" si="25"/>
        <v>0</v>
      </c>
      <c r="P92" s="45">
        <f t="shared" si="25"/>
        <v>0</v>
      </c>
      <c r="Q92" s="45">
        <f t="shared" si="25"/>
        <v>0</v>
      </c>
      <c r="R92" s="45">
        <f t="shared" si="25"/>
        <v>0</v>
      </c>
      <c r="S92" s="45">
        <f t="shared" si="25"/>
        <v>0</v>
      </c>
      <c r="T92" s="45">
        <f t="shared" si="25"/>
        <v>0</v>
      </c>
      <c r="U92" s="46">
        <f t="shared" si="24"/>
        <v>0</v>
      </c>
      <c r="V92" s="46">
        <f t="shared" si="24"/>
        <v>0</v>
      </c>
      <c r="W92" s="46">
        <f t="shared" si="24"/>
        <v>0</v>
      </c>
      <c r="X92" s="46">
        <f t="shared" si="27"/>
        <v>0</v>
      </c>
    </row>
    <row r="93" spans="1:24" ht="20" customHeight="1" x14ac:dyDescent="0.35">
      <c r="A93" s="28"/>
      <c r="B93" s="29"/>
      <c r="C93" s="30"/>
      <c r="D93" s="30"/>
      <c r="E93" s="30"/>
      <c r="F93" s="30"/>
      <c r="G93" s="30"/>
      <c r="H93" s="30"/>
      <c r="I93" s="30"/>
      <c r="J93" s="33"/>
      <c r="L93" s="45">
        <f t="shared" si="26"/>
        <v>0</v>
      </c>
      <c r="M93" s="45">
        <f t="shared" si="26"/>
        <v>0</v>
      </c>
      <c r="N93" s="45">
        <f t="shared" si="26"/>
        <v>0</v>
      </c>
      <c r="O93" s="45">
        <f t="shared" si="25"/>
        <v>0</v>
      </c>
      <c r="P93" s="45">
        <f t="shared" si="25"/>
        <v>0</v>
      </c>
      <c r="Q93" s="45">
        <f t="shared" si="25"/>
        <v>0</v>
      </c>
      <c r="R93" s="45">
        <f t="shared" si="25"/>
        <v>0</v>
      </c>
      <c r="S93" s="45">
        <f t="shared" si="25"/>
        <v>0</v>
      </c>
      <c r="T93" s="45">
        <f t="shared" si="25"/>
        <v>0</v>
      </c>
      <c r="U93" s="46">
        <f t="shared" si="24"/>
        <v>0</v>
      </c>
      <c r="V93" s="46">
        <f t="shared" si="24"/>
        <v>0</v>
      </c>
      <c r="W93" s="46">
        <f t="shared" si="24"/>
        <v>0</v>
      </c>
      <c r="X93" s="46">
        <f t="shared" si="27"/>
        <v>0</v>
      </c>
    </row>
    <row r="94" spans="1:24" ht="20" customHeight="1" x14ac:dyDescent="0.35">
      <c r="A94" s="28"/>
      <c r="B94" s="29"/>
      <c r="C94" s="30"/>
      <c r="D94" s="30"/>
      <c r="E94" s="30"/>
      <c r="F94" s="30"/>
      <c r="G94" s="30"/>
      <c r="H94" s="30"/>
      <c r="I94" s="30"/>
      <c r="J94" s="33"/>
      <c r="L94" s="45">
        <f t="shared" si="26"/>
        <v>0</v>
      </c>
      <c r="M94" s="45">
        <f t="shared" si="26"/>
        <v>0</v>
      </c>
      <c r="N94" s="45">
        <f t="shared" si="26"/>
        <v>0</v>
      </c>
      <c r="O94" s="45">
        <f t="shared" si="25"/>
        <v>0</v>
      </c>
      <c r="P94" s="45">
        <f t="shared" si="25"/>
        <v>0</v>
      </c>
      <c r="Q94" s="45">
        <f t="shared" si="25"/>
        <v>0</v>
      </c>
      <c r="R94" s="45">
        <f t="shared" si="25"/>
        <v>0</v>
      </c>
      <c r="S94" s="45">
        <f t="shared" si="25"/>
        <v>0</v>
      </c>
      <c r="T94" s="45">
        <f t="shared" si="25"/>
        <v>0</v>
      </c>
      <c r="U94" s="46">
        <f t="shared" si="24"/>
        <v>0</v>
      </c>
      <c r="V94" s="46">
        <f t="shared" si="24"/>
        <v>0</v>
      </c>
      <c r="W94" s="46">
        <f t="shared" si="24"/>
        <v>0</v>
      </c>
      <c r="X94" s="46">
        <f t="shared" si="27"/>
        <v>0</v>
      </c>
    </row>
    <row r="95" spans="1:24" ht="20" customHeight="1" x14ac:dyDescent="0.35">
      <c r="A95" s="28"/>
      <c r="B95" s="29"/>
      <c r="C95" s="30"/>
      <c r="D95" s="30"/>
      <c r="E95" s="30"/>
      <c r="F95" s="30"/>
      <c r="G95" s="30"/>
      <c r="H95" s="30"/>
      <c r="I95" s="30"/>
      <c r="J95" s="33"/>
      <c r="L95" s="45">
        <f t="shared" si="26"/>
        <v>0</v>
      </c>
      <c r="M95" s="45">
        <f t="shared" si="26"/>
        <v>0</v>
      </c>
      <c r="N95" s="45">
        <f t="shared" si="26"/>
        <v>0</v>
      </c>
      <c r="O95" s="45">
        <f t="shared" si="25"/>
        <v>0</v>
      </c>
      <c r="P95" s="45">
        <f t="shared" si="25"/>
        <v>0</v>
      </c>
      <c r="Q95" s="45">
        <f t="shared" si="25"/>
        <v>0</v>
      </c>
      <c r="R95" s="45">
        <f t="shared" si="25"/>
        <v>0</v>
      </c>
      <c r="S95" s="45">
        <f t="shared" si="25"/>
        <v>0</v>
      </c>
      <c r="T95" s="45">
        <f t="shared" si="25"/>
        <v>0</v>
      </c>
      <c r="U95" s="46">
        <f t="shared" si="24"/>
        <v>0</v>
      </c>
      <c r="V95" s="46">
        <f t="shared" si="24"/>
        <v>0</v>
      </c>
      <c r="W95" s="46">
        <f t="shared" si="24"/>
        <v>0</v>
      </c>
      <c r="X95" s="46">
        <f t="shared" si="27"/>
        <v>0</v>
      </c>
    </row>
    <row r="96" spans="1:24" ht="20" customHeight="1" x14ac:dyDescent="0.35">
      <c r="A96" s="28"/>
      <c r="B96" s="29"/>
      <c r="C96" s="30"/>
      <c r="D96" s="30"/>
      <c r="E96" s="30"/>
      <c r="F96" s="30"/>
      <c r="G96" s="30"/>
      <c r="H96" s="30"/>
      <c r="I96" s="30"/>
      <c r="J96" s="33"/>
      <c r="L96" s="45">
        <f t="shared" si="26"/>
        <v>0</v>
      </c>
      <c r="M96" s="45">
        <f t="shared" si="26"/>
        <v>0</v>
      </c>
      <c r="N96" s="45">
        <f t="shared" si="26"/>
        <v>0</v>
      </c>
      <c r="O96" s="45">
        <f t="shared" si="25"/>
        <v>0</v>
      </c>
      <c r="P96" s="45">
        <f t="shared" si="25"/>
        <v>0</v>
      </c>
      <c r="Q96" s="45">
        <f t="shared" si="25"/>
        <v>0</v>
      </c>
      <c r="R96" s="45">
        <f t="shared" si="25"/>
        <v>0</v>
      </c>
      <c r="S96" s="45">
        <f t="shared" si="25"/>
        <v>0</v>
      </c>
      <c r="T96" s="45">
        <f t="shared" si="25"/>
        <v>0</v>
      </c>
      <c r="U96" s="46">
        <f t="shared" si="24"/>
        <v>0</v>
      </c>
      <c r="V96" s="46">
        <f t="shared" si="24"/>
        <v>0</v>
      </c>
      <c r="W96" s="46">
        <f t="shared" si="24"/>
        <v>0</v>
      </c>
      <c r="X96" s="46">
        <f t="shared" si="27"/>
        <v>0</v>
      </c>
    </row>
    <row r="97" spans="1:24" ht="20" customHeight="1" x14ac:dyDescent="0.35">
      <c r="A97" s="28"/>
      <c r="B97" s="29"/>
      <c r="C97" s="30"/>
      <c r="D97" s="30"/>
      <c r="E97" s="30"/>
      <c r="F97" s="30"/>
      <c r="G97" s="30"/>
      <c r="H97" s="30"/>
      <c r="I97" s="30"/>
      <c r="J97" s="33"/>
      <c r="L97" s="45">
        <f t="shared" si="26"/>
        <v>0</v>
      </c>
      <c r="M97" s="45">
        <f t="shared" si="26"/>
        <v>0</v>
      </c>
      <c r="N97" s="45">
        <f t="shared" si="26"/>
        <v>0</v>
      </c>
      <c r="O97" s="45">
        <f t="shared" si="25"/>
        <v>0</v>
      </c>
      <c r="P97" s="45">
        <f t="shared" si="25"/>
        <v>0</v>
      </c>
      <c r="Q97" s="45">
        <f t="shared" si="25"/>
        <v>0</v>
      </c>
      <c r="R97" s="45">
        <f t="shared" si="25"/>
        <v>0</v>
      </c>
      <c r="S97" s="45">
        <f t="shared" si="25"/>
        <v>0</v>
      </c>
      <c r="T97" s="45">
        <f t="shared" si="25"/>
        <v>0</v>
      </c>
      <c r="U97" s="46">
        <f t="shared" si="24"/>
        <v>0</v>
      </c>
      <c r="V97" s="46">
        <f t="shared" si="24"/>
        <v>0</v>
      </c>
      <c r="W97" s="46">
        <f t="shared" si="24"/>
        <v>0</v>
      </c>
      <c r="X97" s="46">
        <f t="shared" si="27"/>
        <v>0</v>
      </c>
    </row>
    <row r="98" spans="1:24" ht="16.75" customHeight="1" x14ac:dyDescent="0.35">
      <c r="A98" s="28"/>
      <c r="B98" s="29"/>
      <c r="C98" s="30"/>
      <c r="D98" s="30"/>
      <c r="E98" s="30"/>
      <c r="F98" s="30"/>
      <c r="G98" s="30"/>
      <c r="H98" s="30"/>
      <c r="I98" s="30"/>
      <c r="J98" s="33"/>
      <c r="L98" s="45">
        <f t="shared" si="26"/>
        <v>0</v>
      </c>
      <c r="M98" s="45">
        <f t="shared" si="26"/>
        <v>0</v>
      </c>
      <c r="N98" s="45">
        <f t="shared" si="26"/>
        <v>0</v>
      </c>
      <c r="O98" s="45">
        <f t="shared" si="25"/>
        <v>0</v>
      </c>
      <c r="P98" s="45">
        <f t="shared" si="25"/>
        <v>0</v>
      </c>
      <c r="Q98" s="45">
        <f t="shared" si="25"/>
        <v>0</v>
      </c>
      <c r="R98" s="45">
        <f t="shared" si="25"/>
        <v>0</v>
      </c>
      <c r="S98" s="45">
        <f t="shared" si="25"/>
        <v>0</v>
      </c>
      <c r="T98" s="45">
        <f t="shared" si="25"/>
        <v>0</v>
      </c>
      <c r="U98" s="46">
        <f t="shared" si="24"/>
        <v>0</v>
      </c>
      <c r="V98" s="46">
        <f t="shared" si="24"/>
        <v>0</v>
      </c>
      <c r="W98" s="46">
        <f t="shared" si="24"/>
        <v>0</v>
      </c>
      <c r="X98" s="46">
        <f t="shared" si="27"/>
        <v>0</v>
      </c>
    </row>
    <row r="99" spans="1:24" ht="20" customHeight="1" x14ac:dyDescent="0.35">
      <c r="A99" s="28"/>
      <c r="B99" s="29"/>
      <c r="C99" s="30"/>
      <c r="D99" s="30"/>
      <c r="E99" s="30"/>
      <c r="F99" s="30"/>
      <c r="G99" s="30"/>
      <c r="H99" s="30"/>
      <c r="I99" s="30"/>
      <c r="J99" s="33"/>
      <c r="L99" s="45">
        <f t="shared" si="26"/>
        <v>0</v>
      </c>
      <c r="M99" s="45">
        <f t="shared" si="26"/>
        <v>0</v>
      </c>
      <c r="N99" s="45">
        <f t="shared" si="26"/>
        <v>0</v>
      </c>
      <c r="O99" s="45">
        <f t="shared" si="25"/>
        <v>0</v>
      </c>
      <c r="P99" s="45">
        <f t="shared" si="25"/>
        <v>0</v>
      </c>
      <c r="Q99" s="45">
        <f t="shared" si="25"/>
        <v>0</v>
      </c>
      <c r="R99" s="45">
        <f t="shared" si="25"/>
        <v>0</v>
      </c>
      <c r="S99" s="45">
        <f t="shared" si="25"/>
        <v>0</v>
      </c>
      <c r="T99" s="45">
        <f t="shared" si="25"/>
        <v>0</v>
      </c>
      <c r="U99" s="46">
        <f t="shared" si="24"/>
        <v>0</v>
      </c>
      <c r="V99" s="46">
        <f t="shared" si="24"/>
        <v>0</v>
      </c>
      <c r="W99" s="46">
        <f t="shared" si="24"/>
        <v>0</v>
      </c>
      <c r="X99" s="46">
        <f t="shared" si="27"/>
        <v>0</v>
      </c>
    </row>
    <row r="100" spans="1:24" ht="20" customHeight="1" x14ac:dyDescent="0.35">
      <c r="A100" s="28"/>
      <c r="B100" s="29"/>
      <c r="C100" s="30"/>
      <c r="D100" s="30"/>
      <c r="E100" s="30"/>
      <c r="F100" s="30"/>
      <c r="G100" s="30"/>
      <c r="H100" s="30"/>
      <c r="I100" s="30"/>
      <c r="J100" s="33"/>
      <c r="L100" s="45">
        <f t="shared" si="26"/>
        <v>0</v>
      </c>
      <c r="M100" s="45">
        <f t="shared" si="26"/>
        <v>0</v>
      </c>
      <c r="N100" s="45">
        <f t="shared" si="26"/>
        <v>0</v>
      </c>
      <c r="O100" s="45">
        <f t="shared" si="25"/>
        <v>0</v>
      </c>
      <c r="P100" s="45">
        <f t="shared" si="25"/>
        <v>0</v>
      </c>
      <c r="Q100" s="45">
        <f t="shared" si="25"/>
        <v>0</v>
      </c>
      <c r="R100" s="45">
        <f t="shared" si="25"/>
        <v>0</v>
      </c>
      <c r="S100" s="45">
        <f t="shared" si="25"/>
        <v>0</v>
      </c>
      <c r="T100" s="45">
        <f t="shared" si="25"/>
        <v>0</v>
      </c>
      <c r="U100" s="46">
        <f t="shared" si="24"/>
        <v>0</v>
      </c>
      <c r="V100" s="46">
        <f t="shared" si="24"/>
        <v>0</v>
      </c>
      <c r="W100" s="46">
        <f t="shared" si="24"/>
        <v>0</v>
      </c>
      <c r="X100" s="46">
        <f t="shared" si="27"/>
        <v>0</v>
      </c>
    </row>
    <row r="101" spans="1:24" ht="20" customHeight="1" x14ac:dyDescent="0.35">
      <c r="A101" s="28"/>
      <c r="B101" s="29"/>
      <c r="C101" s="30"/>
      <c r="D101" s="30"/>
      <c r="E101" s="30"/>
      <c r="F101" s="30"/>
      <c r="G101" s="30"/>
      <c r="H101" s="30"/>
      <c r="I101" s="30"/>
      <c r="J101" s="33"/>
      <c r="L101" s="45">
        <f t="shared" si="26"/>
        <v>0</v>
      </c>
      <c r="M101" s="45">
        <f t="shared" si="26"/>
        <v>0</v>
      </c>
      <c r="N101" s="45">
        <f t="shared" si="26"/>
        <v>0</v>
      </c>
      <c r="O101" s="45">
        <f t="shared" si="25"/>
        <v>0</v>
      </c>
      <c r="P101" s="45">
        <f t="shared" si="25"/>
        <v>0</v>
      </c>
      <c r="Q101" s="45">
        <f t="shared" si="25"/>
        <v>0</v>
      </c>
      <c r="R101" s="45">
        <f t="shared" si="25"/>
        <v>0</v>
      </c>
      <c r="S101" s="45">
        <f t="shared" si="25"/>
        <v>0</v>
      </c>
      <c r="T101" s="45">
        <f t="shared" si="25"/>
        <v>0</v>
      </c>
      <c r="U101" s="46">
        <f t="shared" si="24"/>
        <v>0</v>
      </c>
      <c r="V101" s="46">
        <f t="shared" si="24"/>
        <v>0</v>
      </c>
      <c r="W101" s="46">
        <f t="shared" si="24"/>
        <v>0</v>
      </c>
      <c r="X101" s="46">
        <f t="shared" si="27"/>
        <v>0</v>
      </c>
    </row>
    <row r="102" spans="1:24" ht="20" customHeight="1" x14ac:dyDescent="0.35">
      <c r="A102" s="28"/>
      <c r="B102" s="29"/>
      <c r="C102" s="30"/>
      <c r="D102" s="30"/>
      <c r="E102" s="30"/>
      <c r="F102" s="30"/>
      <c r="G102" s="30"/>
      <c r="H102" s="30"/>
      <c r="I102" s="30"/>
      <c r="J102" s="33"/>
      <c r="L102" s="45">
        <f t="shared" si="26"/>
        <v>0</v>
      </c>
      <c r="M102" s="45">
        <f t="shared" si="26"/>
        <v>0</v>
      </c>
      <c r="N102" s="45">
        <f t="shared" si="26"/>
        <v>0</v>
      </c>
      <c r="O102" s="45">
        <f t="shared" si="25"/>
        <v>0</v>
      </c>
      <c r="P102" s="45">
        <f t="shared" si="25"/>
        <v>0</v>
      </c>
      <c r="Q102" s="45">
        <f t="shared" si="25"/>
        <v>0</v>
      </c>
      <c r="R102" s="45">
        <f t="shared" si="25"/>
        <v>0</v>
      </c>
      <c r="S102" s="45">
        <f t="shared" si="25"/>
        <v>0</v>
      </c>
      <c r="T102" s="45">
        <f t="shared" si="25"/>
        <v>0</v>
      </c>
      <c r="U102" s="46">
        <f t="shared" si="24"/>
        <v>0</v>
      </c>
      <c r="V102" s="46">
        <f t="shared" si="24"/>
        <v>0</v>
      </c>
      <c r="W102" s="46">
        <f t="shared" si="24"/>
        <v>0</v>
      </c>
      <c r="X102" s="46">
        <f t="shared" si="27"/>
        <v>0</v>
      </c>
    </row>
    <row r="103" spans="1:24" ht="20" customHeight="1" x14ac:dyDescent="0.35">
      <c r="A103" s="28"/>
      <c r="B103" s="29"/>
      <c r="C103" s="30"/>
      <c r="D103" s="30"/>
      <c r="E103" s="30"/>
      <c r="F103" s="30"/>
      <c r="G103" s="30"/>
      <c r="H103" s="30"/>
      <c r="I103" s="30"/>
      <c r="J103" s="33"/>
      <c r="L103" s="45">
        <f t="shared" si="26"/>
        <v>0</v>
      </c>
      <c r="M103" s="45">
        <f t="shared" si="26"/>
        <v>0</v>
      </c>
      <c r="N103" s="45">
        <f t="shared" si="26"/>
        <v>0</v>
      </c>
      <c r="O103" s="45">
        <f t="shared" si="25"/>
        <v>0</v>
      </c>
      <c r="P103" s="45">
        <f t="shared" si="25"/>
        <v>0</v>
      </c>
      <c r="Q103" s="45">
        <f t="shared" si="25"/>
        <v>0</v>
      </c>
      <c r="R103" s="45">
        <f t="shared" si="25"/>
        <v>0</v>
      </c>
      <c r="S103" s="45">
        <f t="shared" si="25"/>
        <v>0</v>
      </c>
      <c r="T103" s="45">
        <f t="shared" si="25"/>
        <v>0</v>
      </c>
      <c r="U103" s="46">
        <f t="shared" si="24"/>
        <v>0</v>
      </c>
      <c r="V103" s="46">
        <f t="shared" si="24"/>
        <v>0</v>
      </c>
      <c r="W103" s="46">
        <f t="shared" si="24"/>
        <v>0</v>
      </c>
      <c r="X103" s="46">
        <f t="shared" si="27"/>
        <v>0</v>
      </c>
    </row>
    <row r="104" spans="1:24" ht="20" customHeight="1" x14ac:dyDescent="0.35">
      <c r="A104" s="28"/>
      <c r="B104" s="29"/>
      <c r="C104" s="30"/>
      <c r="D104" s="30"/>
      <c r="E104" s="30"/>
      <c r="F104" s="30"/>
      <c r="G104" s="30"/>
      <c r="H104" s="30"/>
      <c r="I104" s="30"/>
      <c r="J104" s="33"/>
      <c r="L104" s="45">
        <f t="shared" si="26"/>
        <v>0</v>
      </c>
      <c r="M104" s="45">
        <f t="shared" si="26"/>
        <v>0</v>
      </c>
      <c r="N104" s="45">
        <f t="shared" si="26"/>
        <v>0</v>
      </c>
      <c r="O104" s="45">
        <f t="shared" si="25"/>
        <v>0</v>
      </c>
      <c r="P104" s="45">
        <f t="shared" si="25"/>
        <v>0</v>
      </c>
      <c r="Q104" s="45">
        <f t="shared" si="25"/>
        <v>0</v>
      </c>
      <c r="R104" s="45">
        <f t="shared" si="25"/>
        <v>0</v>
      </c>
      <c r="S104" s="45">
        <f t="shared" si="25"/>
        <v>0</v>
      </c>
      <c r="T104" s="45">
        <f t="shared" si="25"/>
        <v>0</v>
      </c>
      <c r="U104" s="46">
        <f t="shared" si="24"/>
        <v>0</v>
      </c>
      <c r="V104" s="46">
        <f t="shared" si="24"/>
        <v>0</v>
      </c>
      <c r="W104" s="46">
        <f t="shared" si="24"/>
        <v>0</v>
      </c>
      <c r="X104" s="46">
        <f t="shared" si="27"/>
        <v>0</v>
      </c>
    </row>
    <row r="105" spans="1:24" ht="20" customHeight="1" x14ac:dyDescent="0.35">
      <c r="A105" s="28"/>
      <c r="B105" s="29"/>
      <c r="C105" s="30"/>
      <c r="D105" s="30"/>
      <c r="E105" s="30"/>
      <c r="F105" s="30"/>
      <c r="G105" s="30"/>
      <c r="H105" s="30"/>
      <c r="I105" s="30"/>
      <c r="J105" s="33"/>
      <c r="L105" s="45">
        <f t="shared" si="26"/>
        <v>0</v>
      </c>
      <c r="M105" s="45">
        <f t="shared" si="26"/>
        <v>0</v>
      </c>
      <c r="N105" s="45">
        <f t="shared" si="26"/>
        <v>0</v>
      </c>
      <c r="O105" s="45">
        <f t="shared" si="25"/>
        <v>0</v>
      </c>
      <c r="P105" s="45">
        <f t="shared" si="25"/>
        <v>0</v>
      </c>
      <c r="Q105" s="45">
        <f t="shared" si="25"/>
        <v>0</v>
      </c>
      <c r="R105" s="45">
        <f t="shared" si="25"/>
        <v>0</v>
      </c>
      <c r="S105" s="45">
        <f t="shared" si="25"/>
        <v>0</v>
      </c>
      <c r="T105" s="45">
        <f t="shared" si="25"/>
        <v>0</v>
      </c>
      <c r="U105" s="46">
        <f t="shared" si="24"/>
        <v>0</v>
      </c>
      <c r="V105" s="46">
        <f t="shared" si="24"/>
        <v>0</v>
      </c>
      <c r="W105" s="46">
        <f t="shared" si="24"/>
        <v>0</v>
      </c>
      <c r="X105" s="46">
        <f t="shared" si="27"/>
        <v>0</v>
      </c>
    </row>
    <row r="106" spans="1:24" ht="20" customHeight="1" x14ac:dyDescent="0.35">
      <c r="A106" s="28"/>
      <c r="B106" s="29"/>
      <c r="C106" s="30"/>
      <c r="D106" s="30"/>
      <c r="E106" s="30"/>
      <c r="F106" s="30"/>
      <c r="G106" s="30"/>
      <c r="H106" s="30"/>
      <c r="I106" s="30"/>
      <c r="J106" s="33"/>
      <c r="L106" s="45">
        <f t="shared" si="26"/>
        <v>0</v>
      </c>
      <c r="M106" s="45">
        <f t="shared" si="26"/>
        <v>0</v>
      </c>
      <c r="N106" s="45">
        <f t="shared" si="26"/>
        <v>0</v>
      </c>
      <c r="O106" s="45">
        <f t="shared" si="25"/>
        <v>0</v>
      </c>
      <c r="P106" s="45">
        <f t="shared" si="25"/>
        <v>0</v>
      </c>
      <c r="Q106" s="45">
        <f t="shared" si="25"/>
        <v>0</v>
      </c>
      <c r="R106" s="45">
        <f t="shared" si="25"/>
        <v>0</v>
      </c>
      <c r="S106" s="45">
        <f t="shared" si="25"/>
        <v>0</v>
      </c>
      <c r="T106" s="45">
        <f t="shared" si="25"/>
        <v>0</v>
      </c>
      <c r="U106" s="46">
        <f t="shared" si="24"/>
        <v>0</v>
      </c>
      <c r="V106" s="46">
        <f t="shared" si="24"/>
        <v>0</v>
      </c>
      <c r="W106" s="46">
        <f t="shared" si="24"/>
        <v>0</v>
      </c>
      <c r="X106" s="46">
        <f t="shared" si="27"/>
        <v>0</v>
      </c>
    </row>
    <row r="107" spans="1:24" ht="20" customHeight="1" x14ac:dyDescent="0.35">
      <c r="A107" s="28"/>
      <c r="B107" s="29"/>
      <c r="C107" s="30"/>
      <c r="D107" s="30"/>
      <c r="E107" s="30"/>
      <c r="F107" s="30"/>
      <c r="G107" s="30"/>
      <c r="H107" s="30"/>
      <c r="I107" s="30"/>
      <c r="J107" s="33"/>
      <c r="L107" s="45">
        <f t="shared" si="26"/>
        <v>0</v>
      </c>
      <c r="M107" s="45">
        <f t="shared" si="26"/>
        <v>0</v>
      </c>
      <c r="N107" s="45">
        <f t="shared" si="26"/>
        <v>0</v>
      </c>
      <c r="O107" s="45">
        <f t="shared" si="25"/>
        <v>0</v>
      </c>
      <c r="P107" s="45">
        <f t="shared" si="25"/>
        <v>0</v>
      </c>
      <c r="Q107" s="45">
        <f t="shared" si="25"/>
        <v>0</v>
      </c>
      <c r="R107" s="45">
        <f t="shared" si="25"/>
        <v>0</v>
      </c>
      <c r="S107" s="45">
        <f t="shared" si="25"/>
        <v>0</v>
      </c>
      <c r="T107" s="45">
        <f t="shared" si="25"/>
        <v>0</v>
      </c>
      <c r="U107" s="46">
        <f t="shared" si="24"/>
        <v>0</v>
      </c>
      <c r="V107" s="46">
        <f t="shared" si="24"/>
        <v>0</v>
      </c>
      <c r="W107" s="46">
        <f t="shared" si="24"/>
        <v>0</v>
      </c>
      <c r="X107" s="46">
        <f t="shared" si="27"/>
        <v>0</v>
      </c>
    </row>
    <row r="108" spans="1:24" ht="20" customHeight="1" x14ac:dyDescent="0.35">
      <c r="A108" s="28"/>
      <c r="B108" s="29"/>
      <c r="C108" s="30"/>
      <c r="D108" s="30"/>
      <c r="E108" s="30"/>
      <c r="F108" s="30"/>
      <c r="G108" s="30"/>
      <c r="H108" s="30"/>
      <c r="I108" s="30"/>
      <c r="J108" s="33"/>
      <c r="L108" s="45">
        <f t="shared" si="26"/>
        <v>0</v>
      </c>
      <c r="M108" s="45">
        <f t="shared" si="26"/>
        <v>0</v>
      </c>
      <c r="N108" s="45">
        <f t="shared" si="26"/>
        <v>0</v>
      </c>
      <c r="O108" s="45">
        <f t="shared" si="25"/>
        <v>0</v>
      </c>
      <c r="P108" s="45">
        <f t="shared" si="25"/>
        <v>0</v>
      </c>
      <c r="Q108" s="45">
        <f t="shared" si="25"/>
        <v>0</v>
      </c>
      <c r="R108" s="45">
        <f t="shared" si="25"/>
        <v>0</v>
      </c>
      <c r="S108" s="45">
        <f t="shared" si="25"/>
        <v>0</v>
      </c>
      <c r="T108" s="45">
        <f t="shared" si="25"/>
        <v>0</v>
      </c>
      <c r="U108" s="46">
        <f t="shared" ref="U108:W151" si="28">L108+Q108</f>
        <v>0</v>
      </c>
      <c r="V108" s="46">
        <f t="shared" si="28"/>
        <v>0</v>
      </c>
      <c r="W108" s="46">
        <f t="shared" si="28"/>
        <v>0</v>
      </c>
      <c r="X108" s="46">
        <f t="shared" si="27"/>
        <v>0</v>
      </c>
    </row>
    <row r="109" spans="1:24" ht="20" customHeight="1" x14ac:dyDescent="0.35">
      <c r="A109" s="28"/>
      <c r="B109" s="29"/>
      <c r="C109" s="30"/>
      <c r="D109" s="30"/>
      <c r="E109" s="30"/>
      <c r="F109" s="30"/>
      <c r="G109" s="30"/>
      <c r="H109" s="30"/>
      <c r="I109" s="30"/>
      <c r="J109" s="33"/>
      <c r="L109" s="45">
        <f t="shared" si="26"/>
        <v>0</v>
      </c>
      <c r="M109" s="45">
        <f t="shared" si="26"/>
        <v>0</v>
      </c>
      <c r="N109" s="45">
        <f t="shared" si="26"/>
        <v>0</v>
      </c>
      <c r="O109" s="45">
        <f t="shared" si="25"/>
        <v>0</v>
      </c>
      <c r="P109" s="45">
        <f t="shared" si="25"/>
        <v>0</v>
      </c>
      <c r="Q109" s="45">
        <f t="shared" si="25"/>
        <v>0</v>
      </c>
      <c r="R109" s="45">
        <f t="shared" si="25"/>
        <v>0</v>
      </c>
      <c r="S109" s="45">
        <f t="shared" si="25"/>
        <v>0</v>
      </c>
      <c r="T109" s="45">
        <f t="shared" si="25"/>
        <v>0</v>
      </c>
      <c r="U109" s="46">
        <f t="shared" si="28"/>
        <v>0</v>
      </c>
      <c r="V109" s="46">
        <f t="shared" si="28"/>
        <v>0</v>
      </c>
      <c r="W109" s="46">
        <f t="shared" si="28"/>
        <v>0</v>
      </c>
      <c r="X109" s="46">
        <f t="shared" si="27"/>
        <v>0</v>
      </c>
    </row>
    <row r="110" spans="1:24" ht="20" customHeight="1" x14ac:dyDescent="0.35">
      <c r="A110" s="28"/>
      <c r="B110" s="29"/>
      <c r="C110" s="30"/>
      <c r="D110" s="30"/>
      <c r="E110" s="30"/>
      <c r="F110" s="30"/>
      <c r="G110" s="30"/>
      <c r="H110" s="30"/>
      <c r="I110" s="30"/>
      <c r="J110" s="33"/>
      <c r="L110" s="45">
        <f t="shared" si="26"/>
        <v>0</v>
      </c>
      <c r="M110" s="45">
        <f t="shared" si="26"/>
        <v>0</v>
      </c>
      <c r="N110" s="45">
        <f t="shared" si="26"/>
        <v>0</v>
      </c>
      <c r="O110" s="45">
        <f t="shared" si="25"/>
        <v>0</v>
      </c>
      <c r="P110" s="45">
        <f t="shared" si="25"/>
        <v>0</v>
      </c>
      <c r="Q110" s="45">
        <f t="shared" si="25"/>
        <v>0</v>
      </c>
      <c r="R110" s="45">
        <f t="shared" si="25"/>
        <v>0</v>
      </c>
      <c r="S110" s="45">
        <f t="shared" si="25"/>
        <v>0</v>
      </c>
      <c r="T110" s="45">
        <f t="shared" si="25"/>
        <v>0</v>
      </c>
      <c r="U110" s="46">
        <f t="shared" si="28"/>
        <v>0</v>
      </c>
      <c r="V110" s="46">
        <f t="shared" si="28"/>
        <v>0</v>
      </c>
      <c r="W110" s="46">
        <f t="shared" si="28"/>
        <v>0</v>
      </c>
      <c r="X110" s="46">
        <f t="shared" si="27"/>
        <v>0</v>
      </c>
    </row>
    <row r="111" spans="1:24" ht="20" customHeight="1" x14ac:dyDescent="0.35">
      <c r="A111" s="28"/>
      <c r="B111" s="29"/>
      <c r="C111" s="30"/>
      <c r="D111" s="30"/>
      <c r="E111" s="30"/>
      <c r="F111" s="30"/>
      <c r="G111" s="30"/>
      <c r="H111" s="30"/>
      <c r="I111" s="30"/>
      <c r="J111" s="33"/>
      <c r="L111" s="45">
        <f t="shared" si="26"/>
        <v>0</v>
      </c>
      <c r="M111" s="45">
        <f t="shared" si="26"/>
        <v>0</v>
      </c>
      <c r="N111" s="45">
        <f t="shared" si="26"/>
        <v>0</v>
      </c>
      <c r="O111" s="45">
        <f t="shared" si="25"/>
        <v>0</v>
      </c>
      <c r="P111" s="45">
        <f t="shared" si="25"/>
        <v>0</v>
      </c>
      <c r="Q111" s="45">
        <f t="shared" si="25"/>
        <v>0</v>
      </c>
      <c r="R111" s="45">
        <f t="shared" si="25"/>
        <v>0</v>
      </c>
      <c r="S111" s="45">
        <f t="shared" si="25"/>
        <v>0</v>
      </c>
      <c r="T111" s="45">
        <f t="shared" si="25"/>
        <v>0</v>
      </c>
      <c r="U111" s="46">
        <f t="shared" si="28"/>
        <v>0</v>
      </c>
      <c r="V111" s="46">
        <f t="shared" si="28"/>
        <v>0</v>
      </c>
      <c r="W111" s="46">
        <f t="shared" si="28"/>
        <v>0</v>
      </c>
      <c r="X111" s="46">
        <f t="shared" si="27"/>
        <v>0</v>
      </c>
    </row>
    <row r="112" spans="1:24" ht="20" customHeight="1" x14ac:dyDescent="0.35">
      <c r="A112" s="28"/>
      <c r="B112" s="29"/>
      <c r="C112" s="30"/>
      <c r="D112" s="30"/>
      <c r="E112" s="30"/>
      <c r="F112" s="30"/>
      <c r="G112" s="30"/>
      <c r="H112" s="30"/>
      <c r="I112" s="30"/>
      <c r="J112" s="33"/>
      <c r="L112" s="45">
        <f t="shared" si="26"/>
        <v>0</v>
      </c>
      <c r="M112" s="45">
        <f t="shared" si="26"/>
        <v>0</v>
      </c>
      <c r="N112" s="45">
        <f t="shared" si="26"/>
        <v>0</v>
      </c>
      <c r="O112" s="45">
        <f t="shared" si="25"/>
        <v>0</v>
      </c>
      <c r="P112" s="45">
        <f t="shared" si="25"/>
        <v>0</v>
      </c>
      <c r="Q112" s="45">
        <f t="shared" si="25"/>
        <v>0</v>
      </c>
      <c r="R112" s="45">
        <f t="shared" si="25"/>
        <v>0</v>
      </c>
      <c r="S112" s="45">
        <f t="shared" si="25"/>
        <v>0</v>
      </c>
      <c r="T112" s="45">
        <f t="shared" si="25"/>
        <v>0</v>
      </c>
      <c r="U112" s="46">
        <f t="shared" si="28"/>
        <v>0</v>
      </c>
      <c r="V112" s="46">
        <f t="shared" si="28"/>
        <v>0</v>
      </c>
      <c r="W112" s="46">
        <f t="shared" si="28"/>
        <v>0</v>
      </c>
      <c r="X112" s="46">
        <f t="shared" si="27"/>
        <v>0</v>
      </c>
    </row>
    <row r="113" spans="1:24" ht="20" customHeight="1" x14ac:dyDescent="0.35">
      <c r="A113" s="28"/>
      <c r="B113" s="29"/>
      <c r="C113" s="30"/>
      <c r="D113" s="30"/>
      <c r="E113" s="30"/>
      <c r="F113" s="30"/>
      <c r="G113" s="30"/>
      <c r="H113" s="30"/>
      <c r="I113" s="30"/>
      <c r="J113" s="33"/>
      <c r="L113" s="45">
        <f t="shared" si="26"/>
        <v>0</v>
      </c>
      <c r="M113" s="45">
        <f t="shared" si="26"/>
        <v>0</v>
      </c>
      <c r="N113" s="45">
        <f t="shared" si="26"/>
        <v>0</v>
      </c>
      <c r="O113" s="45">
        <f t="shared" si="25"/>
        <v>0</v>
      </c>
      <c r="P113" s="45">
        <f t="shared" si="25"/>
        <v>0</v>
      </c>
      <c r="Q113" s="45">
        <f t="shared" si="25"/>
        <v>0</v>
      </c>
      <c r="R113" s="45">
        <f t="shared" si="25"/>
        <v>0</v>
      </c>
      <c r="S113" s="45">
        <f t="shared" si="25"/>
        <v>0</v>
      </c>
      <c r="T113" s="45">
        <f t="shared" si="25"/>
        <v>0</v>
      </c>
      <c r="U113" s="46">
        <f t="shared" si="28"/>
        <v>0</v>
      </c>
      <c r="V113" s="46">
        <f t="shared" si="28"/>
        <v>0</v>
      </c>
      <c r="W113" s="46">
        <f t="shared" si="28"/>
        <v>0</v>
      </c>
      <c r="X113" s="46">
        <f t="shared" si="27"/>
        <v>0</v>
      </c>
    </row>
    <row r="114" spans="1:24" ht="20" customHeight="1" x14ac:dyDescent="0.35">
      <c r="A114" s="28"/>
      <c r="B114" s="29"/>
      <c r="C114" s="30"/>
      <c r="D114" s="30"/>
      <c r="E114" s="30"/>
      <c r="F114" s="30"/>
      <c r="G114" s="30"/>
      <c r="H114" s="30"/>
      <c r="I114" s="30"/>
      <c r="J114" s="33"/>
      <c r="L114" s="45">
        <f t="shared" si="26"/>
        <v>0</v>
      </c>
      <c r="M114" s="45">
        <f t="shared" si="26"/>
        <v>0</v>
      </c>
      <c r="N114" s="45">
        <f t="shared" si="26"/>
        <v>0</v>
      </c>
      <c r="O114" s="45">
        <f t="shared" si="25"/>
        <v>0</v>
      </c>
      <c r="P114" s="45">
        <f t="shared" si="25"/>
        <v>0</v>
      </c>
      <c r="Q114" s="45">
        <f t="shared" si="25"/>
        <v>0</v>
      </c>
      <c r="R114" s="45">
        <f t="shared" ref="R114:T151" si="29">IFERROR(H115-H114,0)</f>
        <v>0</v>
      </c>
      <c r="S114" s="45">
        <f t="shared" si="29"/>
        <v>0</v>
      </c>
      <c r="T114" s="45">
        <f t="shared" si="29"/>
        <v>0</v>
      </c>
      <c r="U114" s="46">
        <f t="shared" si="28"/>
        <v>0</v>
      </c>
      <c r="V114" s="46">
        <f t="shared" si="28"/>
        <v>0</v>
      </c>
      <c r="W114" s="46">
        <f t="shared" si="28"/>
        <v>0</v>
      </c>
      <c r="X114" s="46">
        <f t="shared" si="27"/>
        <v>0</v>
      </c>
    </row>
    <row r="115" spans="1:24" ht="20" customHeight="1" x14ac:dyDescent="0.35">
      <c r="A115" s="28"/>
      <c r="B115" s="29"/>
      <c r="C115" s="30"/>
      <c r="D115" s="30"/>
      <c r="E115" s="30"/>
      <c r="F115" s="30"/>
      <c r="G115" s="30"/>
      <c r="H115" s="30"/>
      <c r="I115" s="30"/>
      <c r="J115" s="33"/>
      <c r="L115" s="45">
        <f t="shared" si="26"/>
        <v>0</v>
      </c>
      <c r="M115" s="45">
        <f t="shared" si="26"/>
        <v>0</v>
      </c>
      <c r="N115" s="45">
        <f t="shared" si="26"/>
        <v>0</v>
      </c>
      <c r="O115" s="45">
        <f t="shared" si="26"/>
        <v>0</v>
      </c>
      <c r="P115" s="45">
        <f t="shared" si="26"/>
        <v>0</v>
      </c>
      <c r="Q115" s="45">
        <f t="shared" si="26"/>
        <v>0</v>
      </c>
      <c r="R115" s="45">
        <f t="shared" si="29"/>
        <v>0</v>
      </c>
      <c r="S115" s="45">
        <f t="shared" si="29"/>
        <v>0</v>
      </c>
      <c r="T115" s="45">
        <f t="shared" si="29"/>
        <v>0</v>
      </c>
      <c r="U115" s="46">
        <f t="shared" si="28"/>
        <v>0</v>
      </c>
      <c r="V115" s="46">
        <f t="shared" si="28"/>
        <v>0</v>
      </c>
      <c r="W115" s="46">
        <f t="shared" si="28"/>
        <v>0</v>
      </c>
      <c r="X115" s="46">
        <f t="shared" si="27"/>
        <v>0</v>
      </c>
    </row>
    <row r="116" spans="1:24" ht="16.75" customHeight="1" x14ac:dyDescent="0.35">
      <c r="A116" s="28"/>
      <c r="B116" s="29"/>
      <c r="C116" s="30"/>
      <c r="D116" s="30"/>
      <c r="E116" s="30"/>
      <c r="F116" s="30"/>
      <c r="G116" s="30"/>
      <c r="H116" s="30"/>
      <c r="I116" s="30"/>
      <c r="J116" s="33"/>
      <c r="L116" s="45">
        <f t="shared" si="26"/>
        <v>0</v>
      </c>
      <c r="M116" s="45">
        <f t="shared" si="26"/>
        <v>0</v>
      </c>
      <c r="N116" s="45">
        <f t="shared" si="26"/>
        <v>0</v>
      </c>
      <c r="O116" s="45">
        <f t="shared" si="26"/>
        <v>0</v>
      </c>
      <c r="P116" s="45">
        <f t="shared" si="26"/>
        <v>0</v>
      </c>
      <c r="Q116" s="45">
        <f t="shared" si="26"/>
        <v>0</v>
      </c>
      <c r="R116" s="45">
        <f t="shared" si="29"/>
        <v>0</v>
      </c>
      <c r="S116" s="45">
        <f t="shared" si="29"/>
        <v>0</v>
      </c>
      <c r="T116" s="45">
        <f t="shared" si="29"/>
        <v>0</v>
      </c>
      <c r="U116" s="46">
        <f t="shared" si="28"/>
        <v>0</v>
      </c>
      <c r="V116" s="46">
        <f t="shared" si="28"/>
        <v>0</v>
      </c>
      <c r="W116" s="46">
        <f t="shared" si="28"/>
        <v>0</v>
      </c>
      <c r="X116" s="46">
        <f t="shared" si="27"/>
        <v>0</v>
      </c>
    </row>
    <row r="117" spans="1:24" ht="20" customHeight="1" x14ac:dyDescent="0.35">
      <c r="A117" s="28"/>
      <c r="B117" s="29"/>
      <c r="C117" s="30"/>
      <c r="D117" s="30"/>
      <c r="E117" s="30"/>
      <c r="F117" s="30"/>
      <c r="G117" s="30"/>
      <c r="H117" s="30"/>
      <c r="I117" s="30"/>
      <c r="J117" s="33"/>
      <c r="L117" s="45">
        <f t="shared" si="26"/>
        <v>0</v>
      </c>
      <c r="M117" s="45">
        <f t="shared" si="26"/>
        <v>0</v>
      </c>
      <c r="N117" s="45">
        <f t="shared" si="26"/>
        <v>0</v>
      </c>
      <c r="O117" s="45">
        <f t="shared" si="26"/>
        <v>0</v>
      </c>
      <c r="P117" s="45">
        <f t="shared" si="26"/>
        <v>0</v>
      </c>
      <c r="Q117" s="45">
        <f t="shared" si="26"/>
        <v>0</v>
      </c>
      <c r="R117" s="45">
        <f t="shared" si="29"/>
        <v>0</v>
      </c>
      <c r="S117" s="45">
        <f t="shared" si="29"/>
        <v>0</v>
      </c>
      <c r="T117" s="45">
        <f t="shared" si="29"/>
        <v>0</v>
      </c>
      <c r="U117" s="46">
        <f t="shared" si="28"/>
        <v>0</v>
      </c>
      <c r="V117" s="46">
        <f t="shared" si="28"/>
        <v>0</v>
      </c>
      <c r="W117" s="46">
        <f t="shared" si="28"/>
        <v>0</v>
      </c>
      <c r="X117" s="46">
        <f t="shared" si="27"/>
        <v>0</v>
      </c>
    </row>
    <row r="118" spans="1:24" ht="20" customHeight="1" x14ac:dyDescent="0.35">
      <c r="A118" s="28"/>
      <c r="B118" s="29"/>
      <c r="C118" s="30"/>
      <c r="D118" s="30"/>
      <c r="E118" s="30"/>
      <c r="F118" s="30"/>
      <c r="G118" s="30"/>
      <c r="H118" s="30"/>
      <c r="I118" s="30"/>
      <c r="J118" s="33"/>
      <c r="L118" s="45">
        <f t="shared" si="26"/>
        <v>0</v>
      </c>
      <c r="M118" s="45">
        <f t="shared" si="26"/>
        <v>0</v>
      </c>
      <c r="N118" s="45">
        <f t="shared" si="26"/>
        <v>0</v>
      </c>
      <c r="O118" s="45">
        <f t="shared" si="26"/>
        <v>0</v>
      </c>
      <c r="P118" s="45">
        <f t="shared" si="26"/>
        <v>0</v>
      </c>
      <c r="Q118" s="45">
        <f t="shared" si="26"/>
        <v>0</v>
      </c>
      <c r="R118" s="45">
        <f t="shared" si="29"/>
        <v>0</v>
      </c>
      <c r="S118" s="45">
        <f t="shared" si="29"/>
        <v>0</v>
      </c>
      <c r="T118" s="45">
        <f t="shared" si="29"/>
        <v>0</v>
      </c>
      <c r="U118" s="46">
        <f t="shared" si="28"/>
        <v>0</v>
      </c>
      <c r="V118" s="46">
        <f t="shared" si="28"/>
        <v>0</v>
      </c>
      <c r="W118" s="46">
        <f t="shared" si="28"/>
        <v>0</v>
      </c>
      <c r="X118" s="46">
        <f t="shared" si="27"/>
        <v>0</v>
      </c>
    </row>
    <row r="119" spans="1:24" ht="20" customHeight="1" x14ac:dyDescent="0.35">
      <c r="A119" s="28"/>
      <c r="B119" s="29"/>
      <c r="C119" s="30"/>
      <c r="D119" s="30"/>
      <c r="E119" s="30"/>
      <c r="F119" s="30"/>
      <c r="G119" s="30"/>
      <c r="H119" s="30"/>
      <c r="I119" s="30"/>
      <c r="J119" s="33"/>
      <c r="L119" s="45">
        <f t="shared" si="26"/>
        <v>0</v>
      </c>
      <c r="M119" s="45">
        <f t="shared" si="26"/>
        <v>0</v>
      </c>
      <c r="N119" s="45">
        <f t="shared" si="26"/>
        <v>0</v>
      </c>
      <c r="O119" s="45">
        <f t="shared" si="26"/>
        <v>0</v>
      </c>
      <c r="P119" s="45">
        <f t="shared" si="26"/>
        <v>0</v>
      </c>
      <c r="Q119" s="45">
        <f t="shared" si="26"/>
        <v>0</v>
      </c>
      <c r="R119" s="45">
        <f t="shared" si="29"/>
        <v>0</v>
      </c>
      <c r="S119" s="45">
        <f t="shared" si="29"/>
        <v>0</v>
      </c>
      <c r="T119" s="45">
        <f t="shared" si="29"/>
        <v>0</v>
      </c>
      <c r="U119" s="46">
        <f t="shared" si="28"/>
        <v>0</v>
      </c>
      <c r="V119" s="46">
        <f t="shared" si="28"/>
        <v>0</v>
      </c>
      <c r="W119" s="46">
        <f t="shared" si="28"/>
        <v>0</v>
      </c>
      <c r="X119" s="46">
        <f t="shared" si="27"/>
        <v>0</v>
      </c>
    </row>
    <row r="120" spans="1:24" ht="20" customHeight="1" x14ac:dyDescent="0.35">
      <c r="A120" s="28"/>
      <c r="B120" s="29"/>
      <c r="C120" s="30"/>
      <c r="D120" s="30"/>
      <c r="E120" s="30"/>
      <c r="F120" s="30"/>
      <c r="G120" s="30"/>
      <c r="H120" s="30"/>
      <c r="I120" s="30"/>
      <c r="J120" s="33"/>
      <c r="L120" s="45">
        <f t="shared" si="26"/>
        <v>0</v>
      </c>
      <c r="M120" s="45">
        <f t="shared" si="26"/>
        <v>0</v>
      </c>
      <c r="N120" s="45">
        <f t="shared" si="26"/>
        <v>0</v>
      </c>
      <c r="O120" s="45">
        <f t="shared" si="26"/>
        <v>0</v>
      </c>
      <c r="P120" s="45">
        <f t="shared" si="26"/>
        <v>0</v>
      </c>
      <c r="Q120" s="45">
        <f t="shared" si="26"/>
        <v>0</v>
      </c>
      <c r="R120" s="45">
        <f t="shared" si="29"/>
        <v>0</v>
      </c>
      <c r="S120" s="45">
        <f t="shared" si="29"/>
        <v>0</v>
      </c>
      <c r="T120" s="45">
        <f t="shared" si="29"/>
        <v>0</v>
      </c>
      <c r="U120" s="46">
        <f t="shared" si="28"/>
        <v>0</v>
      </c>
      <c r="V120" s="46">
        <f t="shared" si="28"/>
        <v>0</v>
      </c>
      <c r="W120" s="46">
        <f t="shared" si="28"/>
        <v>0</v>
      </c>
      <c r="X120" s="46">
        <f t="shared" si="27"/>
        <v>0</v>
      </c>
    </row>
    <row r="121" spans="1:24" ht="20" customHeight="1" x14ac:dyDescent="0.35">
      <c r="A121" s="28"/>
      <c r="B121" s="29"/>
      <c r="C121" s="30"/>
      <c r="D121" s="30"/>
      <c r="E121" s="30"/>
      <c r="F121" s="30"/>
      <c r="G121" s="30"/>
      <c r="H121" s="30"/>
      <c r="I121" s="30"/>
      <c r="J121" s="33"/>
      <c r="L121" s="45">
        <f t="shared" si="26"/>
        <v>0</v>
      </c>
      <c r="M121" s="45">
        <f t="shared" si="26"/>
        <v>0</v>
      </c>
      <c r="N121" s="45">
        <f t="shared" si="26"/>
        <v>0</v>
      </c>
      <c r="O121" s="45">
        <f t="shared" si="26"/>
        <v>0</v>
      </c>
      <c r="P121" s="45">
        <f t="shared" si="26"/>
        <v>0</v>
      </c>
      <c r="Q121" s="45">
        <f t="shared" si="26"/>
        <v>0</v>
      </c>
      <c r="R121" s="45">
        <f t="shared" si="29"/>
        <v>0</v>
      </c>
      <c r="S121" s="45">
        <f t="shared" si="29"/>
        <v>0</v>
      </c>
      <c r="T121" s="45">
        <f t="shared" si="29"/>
        <v>0</v>
      </c>
      <c r="U121" s="46">
        <f t="shared" si="28"/>
        <v>0</v>
      </c>
      <c r="V121" s="46">
        <f t="shared" si="28"/>
        <v>0</v>
      </c>
      <c r="W121" s="46">
        <f t="shared" si="28"/>
        <v>0</v>
      </c>
      <c r="X121" s="46">
        <f t="shared" si="27"/>
        <v>0</v>
      </c>
    </row>
    <row r="122" spans="1:24" ht="20" customHeight="1" x14ac:dyDescent="0.35">
      <c r="A122" s="28"/>
      <c r="B122" s="29"/>
      <c r="C122" s="30"/>
      <c r="D122" s="30"/>
      <c r="E122" s="30"/>
      <c r="F122" s="30"/>
      <c r="G122" s="30"/>
      <c r="H122" s="30"/>
      <c r="I122" s="30"/>
      <c r="J122" s="33"/>
      <c r="L122" s="45">
        <f t="shared" si="26"/>
        <v>0</v>
      </c>
      <c r="M122" s="45">
        <f t="shared" si="26"/>
        <v>0</v>
      </c>
      <c r="N122" s="45">
        <f t="shared" si="26"/>
        <v>0</v>
      </c>
      <c r="O122" s="45">
        <f t="shared" si="26"/>
        <v>0</v>
      </c>
      <c r="P122" s="45">
        <f t="shared" si="26"/>
        <v>0</v>
      </c>
      <c r="Q122" s="45">
        <f t="shared" si="26"/>
        <v>0</v>
      </c>
      <c r="R122" s="45">
        <f t="shared" si="29"/>
        <v>0</v>
      </c>
      <c r="S122" s="45">
        <f t="shared" si="29"/>
        <v>0</v>
      </c>
      <c r="T122" s="45">
        <f t="shared" si="29"/>
        <v>0</v>
      </c>
      <c r="U122" s="46">
        <f t="shared" si="28"/>
        <v>0</v>
      </c>
      <c r="V122" s="46">
        <f t="shared" si="28"/>
        <v>0</v>
      </c>
      <c r="W122" s="46">
        <f t="shared" si="28"/>
        <v>0</v>
      </c>
      <c r="X122" s="46">
        <f t="shared" si="27"/>
        <v>0</v>
      </c>
    </row>
    <row r="123" spans="1:24" ht="20" customHeight="1" x14ac:dyDescent="0.35">
      <c r="A123" s="28"/>
      <c r="B123" s="29"/>
      <c r="C123" s="30"/>
      <c r="D123" s="30"/>
      <c r="E123" s="30"/>
      <c r="F123" s="30"/>
      <c r="G123" s="30"/>
      <c r="H123" s="30"/>
      <c r="I123" s="30"/>
      <c r="J123" s="33"/>
      <c r="L123" s="45">
        <f t="shared" si="26"/>
        <v>0</v>
      </c>
      <c r="M123" s="45">
        <f t="shared" si="26"/>
        <v>0</v>
      </c>
      <c r="N123" s="45">
        <f t="shared" si="26"/>
        <v>0</v>
      </c>
      <c r="O123" s="45">
        <f t="shared" si="26"/>
        <v>0</v>
      </c>
      <c r="P123" s="45">
        <f t="shared" si="26"/>
        <v>0</v>
      </c>
      <c r="Q123" s="45">
        <f t="shared" si="26"/>
        <v>0</v>
      </c>
      <c r="R123" s="45">
        <f t="shared" si="29"/>
        <v>0</v>
      </c>
      <c r="S123" s="45">
        <f t="shared" si="29"/>
        <v>0</v>
      </c>
      <c r="T123" s="45">
        <f t="shared" si="29"/>
        <v>0</v>
      </c>
      <c r="U123" s="46">
        <f t="shared" si="28"/>
        <v>0</v>
      </c>
      <c r="V123" s="46">
        <f t="shared" si="28"/>
        <v>0</v>
      </c>
      <c r="W123" s="46">
        <f t="shared" si="28"/>
        <v>0</v>
      </c>
      <c r="X123" s="46">
        <f t="shared" si="27"/>
        <v>0</v>
      </c>
    </row>
    <row r="124" spans="1:24" ht="20" customHeight="1" x14ac:dyDescent="0.35">
      <c r="A124" s="28"/>
      <c r="B124" s="29"/>
      <c r="C124" s="30"/>
      <c r="D124" s="30"/>
      <c r="E124" s="30"/>
      <c r="F124" s="30"/>
      <c r="G124" s="30"/>
      <c r="H124" s="30"/>
      <c r="I124" s="30"/>
      <c r="J124" s="33"/>
      <c r="L124" s="45">
        <f t="shared" si="26"/>
        <v>0</v>
      </c>
      <c r="M124" s="45">
        <f t="shared" si="26"/>
        <v>0</v>
      </c>
      <c r="N124" s="45">
        <f t="shared" si="26"/>
        <v>0</v>
      </c>
      <c r="O124" s="45">
        <f t="shared" si="26"/>
        <v>0</v>
      </c>
      <c r="P124" s="45">
        <f t="shared" si="26"/>
        <v>0</v>
      </c>
      <c r="Q124" s="45">
        <f t="shared" si="26"/>
        <v>0</v>
      </c>
      <c r="R124" s="45">
        <f t="shared" si="29"/>
        <v>0</v>
      </c>
      <c r="S124" s="45">
        <f t="shared" si="29"/>
        <v>0</v>
      </c>
      <c r="T124" s="45">
        <f t="shared" si="29"/>
        <v>0</v>
      </c>
      <c r="U124" s="46">
        <f t="shared" si="28"/>
        <v>0</v>
      </c>
      <c r="V124" s="46">
        <f t="shared" si="28"/>
        <v>0</v>
      </c>
      <c r="W124" s="46">
        <f t="shared" si="28"/>
        <v>0</v>
      </c>
      <c r="X124" s="46">
        <f t="shared" si="27"/>
        <v>0</v>
      </c>
    </row>
    <row r="125" spans="1:24" ht="20" customHeight="1" x14ac:dyDescent="0.35">
      <c r="A125" s="28"/>
      <c r="B125" s="29"/>
      <c r="C125" s="30"/>
      <c r="D125" s="30"/>
      <c r="E125" s="30"/>
      <c r="F125" s="30"/>
      <c r="G125" s="30"/>
      <c r="H125" s="30"/>
      <c r="I125" s="30"/>
      <c r="J125" s="33"/>
      <c r="L125" s="45">
        <f t="shared" si="26"/>
        <v>0</v>
      </c>
      <c r="M125" s="45">
        <f t="shared" si="26"/>
        <v>0</v>
      </c>
      <c r="N125" s="45">
        <f t="shared" si="26"/>
        <v>0</v>
      </c>
      <c r="O125" s="45">
        <f t="shared" si="26"/>
        <v>0</v>
      </c>
      <c r="P125" s="45">
        <f t="shared" si="26"/>
        <v>0</v>
      </c>
      <c r="Q125" s="45">
        <f t="shared" si="26"/>
        <v>0</v>
      </c>
      <c r="R125" s="45">
        <f t="shared" si="29"/>
        <v>0</v>
      </c>
      <c r="S125" s="45">
        <f t="shared" si="29"/>
        <v>0</v>
      </c>
      <c r="T125" s="45">
        <f t="shared" si="29"/>
        <v>0</v>
      </c>
      <c r="U125" s="46">
        <f t="shared" si="28"/>
        <v>0</v>
      </c>
      <c r="V125" s="46">
        <f t="shared" si="28"/>
        <v>0</v>
      </c>
      <c r="W125" s="46">
        <f t="shared" si="28"/>
        <v>0</v>
      </c>
      <c r="X125" s="46">
        <f t="shared" si="27"/>
        <v>0</v>
      </c>
    </row>
    <row r="126" spans="1:24" ht="20" customHeight="1" x14ac:dyDescent="0.35">
      <c r="A126" s="28"/>
      <c r="B126" s="29"/>
      <c r="C126" s="30"/>
      <c r="D126" s="30"/>
      <c r="E126" s="30"/>
      <c r="F126" s="30"/>
      <c r="G126" s="30"/>
      <c r="H126" s="30"/>
      <c r="I126" s="30"/>
      <c r="J126" s="33"/>
      <c r="L126" s="45">
        <f t="shared" si="26"/>
        <v>0</v>
      </c>
      <c r="M126" s="45">
        <f t="shared" si="26"/>
        <v>0</v>
      </c>
      <c r="N126" s="45">
        <f t="shared" si="26"/>
        <v>0</v>
      </c>
      <c r="O126" s="45">
        <f t="shared" si="26"/>
        <v>0</v>
      </c>
      <c r="P126" s="45">
        <f t="shared" si="26"/>
        <v>0</v>
      </c>
      <c r="Q126" s="45">
        <f t="shared" si="26"/>
        <v>0</v>
      </c>
      <c r="R126" s="45">
        <f t="shared" si="29"/>
        <v>0</v>
      </c>
      <c r="S126" s="45">
        <f t="shared" si="29"/>
        <v>0</v>
      </c>
      <c r="T126" s="45">
        <f t="shared" si="29"/>
        <v>0</v>
      </c>
      <c r="U126" s="46">
        <f t="shared" si="28"/>
        <v>0</v>
      </c>
      <c r="V126" s="46">
        <f t="shared" si="28"/>
        <v>0</v>
      </c>
      <c r="W126" s="46">
        <f t="shared" si="28"/>
        <v>0</v>
      </c>
      <c r="X126" s="46">
        <f t="shared" si="27"/>
        <v>0</v>
      </c>
    </row>
    <row r="127" spans="1:24" ht="20" customHeight="1" x14ac:dyDescent="0.35">
      <c r="A127" s="28"/>
      <c r="B127" s="29"/>
      <c r="C127" s="30"/>
      <c r="D127" s="30"/>
      <c r="E127" s="30"/>
      <c r="F127" s="30"/>
      <c r="G127" s="30"/>
      <c r="H127" s="30"/>
      <c r="I127" s="30"/>
      <c r="J127" s="33"/>
      <c r="L127" s="45">
        <f t="shared" si="26"/>
        <v>0</v>
      </c>
      <c r="M127" s="45">
        <f t="shared" si="26"/>
        <v>0</v>
      </c>
      <c r="N127" s="45">
        <f t="shared" si="26"/>
        <v>0</v>
      </c>
      <c r="O127" s="45">
        <f t="shared" si="26"/>
        <v>0</v>
      </c>
      <c r="P127" s="45">
        <f t="shared" si="26"/>
        <v>0</v>
      </c>
      <c r="Q127" s="45">
        <f t="shared" si="26"/>
        <v>0</v>
      </c>
      <c r="R127" s="45">
        <f t="shared" si="29"/>
        <v>0</v>
      </c>
      <c r="S127" s="45">
        <f t="shared" si="29"/>
        <v>0</v>
      </c>
      <c r="T127" s="45">
        <f t="shared" si="29"/>
        <v>0</v>
      </c>
      <c r="U127" s="46">
        <f t="shared" si="28"/>
        <v>0</v>
      </c>
      <c r="V127" s="46">
        <f t="shared" si="28"/>
        <v>0</v>
      </c>
      <c r="W127" s="46">
        <f t="shared" si="28"/>
        <v>0</v>
      </c>
      <c r="X127" s="46">
        <f t="shared" si="27"/>
        <v>0</v>
      </c>
    </row>
    <row r="128" spans="1:24" ht="20" customHeight="1" x14ac:dyDescent="0.35">
      <c r="A128" s="28"/>
      <c r="B128" s="29"/>
      <c r="C128" s="30"/>
      <c r="D128" s="30"/>
      <c r="E128" s="30"/>
      <c r="F128" s="30"/>
      <c r="G128" s="30"/>
      <c r="H128" s="30"/>
      <c r="I128" s="30"/>
      <c r="J128" s="33"/>
      <c r="L128" s="45">
        <f t="shared" si="26"/>
        <v>0</v>
      </c>
      <c r="M128" s="45">
        <f t="shared" si="26"/>
        <v>0</v>
      </c>
      <c r="N128" s="45">
        <f t="shared" si="26"/>
        <v>0</v>
      </c>
      <c r="O128" s="45">
        <f t="shared" si="26"/>
        <v>0</v>
      </c>
      <c r="P128" s="45">
        <f t="shared" si="26"/>
        <v>0</v>
      </c>
      <c r="Q128" s="45">
        <f t="shared" si="26"/>
        <v>0</v>
      </c>
      <c r="R128" s="45">
        <f t="shared" si="29"/>
        <v>0</v>
      </c>
      <c r="S128" s="45">
        <f t="shared" si="29"/>
        <v>0</v>
      </c>
      <c r="T128" s="45">
        <f t="shared" si="29"/>
        <v>0</v>
      </c>
      <c r="U128" s="46">
        <f t="shared" si="28"/>
        <v>0</v>
      </c>
      <c r="V128" s="46">
        <f t="shared" si="28"/>
        <v>0</v>
      </c>
      <c r="W128" s="46">
        <f t="shared" si="28"/>
        <v>0</v>
      </c>
      <c r="X128" s="46">
        <f t="shared" si="27"/>
        <v>0</v>
      </c>
    </row>
    <row r="129" spans="1:24" ht="20" customHeight="1" x14ac:dyDescent="0.35">
      <c r="A129" s="28"/>
      <c r="B129" s="29"/>
      <c r="C129" s="30"/>
      <c r="D129" s="30"/>
      <c r="E129" s="30"/>
      <c r="F129" s="30"/>
      <c r="G129" s="30"/>
      <c r="H129" s="30"/>
      <c r="I129" s="30"/>
      <c r="J129" s="33"/>
      <c r="L129" s="45">
        <f t="shared" si="26"/>
        <v>0</v>
      </c>
      <c r="M129" s="45">
        <f t="shared" si="26"/>
        <v>0</v>
      </c>
      <c r="N129" s="45">
        <f t="shared" si="26"/>
        <v>0</v>
      </c>
      <c r="O129" s="45">
        <f t="shared" si="26"/>
        <v>0</v>
      </c>
      <c r="P129" s="45">
        <f t="shared" si="26"/>
        <v>0</v>
      </c>
      <c r="Q129" s="45">
        <f t="shared" si="26"/>
        <v>0</v>
      </c>
      <c r="R129" s="45">
        <f t="shared" si="29"/>
        <v>0</v>
      </c>
      <c r="S129" s="45">
        <f t="shared" si="29"/>
        <v>0</v>
      </c>
      <c r="T129" s="45">
        <f t="shared" si="29"/>
        <v>0</v>
      </c>
      <c r="U129" s="46">
        <f t="shared" si="28"/>
        <v>0</v>
      </c>
      <c r="V129" s="46">
        <f t="shared" si="28"/>
        <v>0</v>
      </c>
      <c r="W129" s="46">
        <f t="shared" si="28"/>
        <v>0</v>
      </c>
      <c r="X129" s="46">
        <f t="shared" si="27"/>
        <v>0</v>
      </c>
    </row>
    <row r="130" spans="1:24" ht="20" customHeight="1" x14ac:dyDescent="0.35">
      <c r="A130" s="28"/>
      <c r="B130" s="29"/>
      <c r="C130" s="30"/>
      <c r="D130" s="30"/>
      <c r="E130" s="30"/>
      <c r="F130" s="30"/>
      <c r="G130" s="30"/>
      <c r="H130" s="30"/>
      <c r="I130" s="30"/>
      <c r="J130" s="33"/>
      <c r="L130" s="45">
        <f t="shared" si="26"/>
        <v>0</v>
      </c>
      <c r="M130" s="45">
        <f t="shared" si="26"/>
        <v>0</v>
      </c>
      <c r="N130" s="45">
        <f t="shared" si="26"/>
        <v>0</v>
      </c>
      <c r="O130" s="45">
        <f t="shared" si="26"/>
        <v>0</v>
      </c>
      <c r="P130" s="45">
        <f t="shared" si="26"/>
        <v>0</v>
      </c>
      <c r="Q130" s="45">
        <f t="shared" si="26"/>
        <v>0</v>
      </c>
      <c r="R130" s="45">
        <f t="shared" si="29"/>
        <v>0</v>
      </c>
      <c r="S130" s="45">
        <f t="shared" si="29"/>
        <v>0</v>
      </c>
      <c r="T130" s="45">
        <f t="shared" si="29"/>
        <v>0</v>
      </c>
      <c r="U130" s="46">
        <f t="shared" si="28"/>
        <v>0</v>
      </c>
      <c r="V130" s="46">
        <f t="shared" si="28"/>
        <v>0</v>
      </c>
      <c r="W130" s="46">
        <f t="shared" si="28"/>
        <v>0</v>
      </c>
      <c r="X130" s="46">
        <f t="shared" si="27"/>
        <v>0</v>
      </c>
    </row>
    <row r="131" spans="1:24" ht="20" customHeight="1" x14ac:dyDescent="0.35">
      <c r="A131" s="28"/>
      <c r="B131" s="29"/>
      <c r="C131" s="30"/>
      <c r="D131" s="30"/>
      <c r="E131" s="30"/>
      <c r="F131" s="30"/>
      <c r="G131" s="30"/>
      <c r="H131" s="30"/>
      <c r="I131" s="30"/>
      <c r="J131" s="33"/>
      <c r="L131" s="45">
        <f t="shared" si="26"/>
        <v>0</v>
      </c>
      <c r="M131" s="45">
        <f t="shared" si="26"/>
        <v>0</v>
      </c>
      <c r="N131" s="45">
        <f t="shared" si="26"/>
        <v>0</v>
      </c>
      <c r="O131" s="45">
        <f t="shared" si="26"/>
        <v>0</v>
      </c>
      <c r="P131" s="45">
        <f t="shared" si="26"/>
        <v>0</v>
      </c>
      <c r="Q131" s="45">
        <f t="shared" si="26"/>
        <v>0</v>
      </c>
      <c r="R131" s="45">
        <f t="shared" si="29"/>
        <v>0</v>
      </c>
      <c r="S131" s="45">
        <f t="shared" si="29"/>
        <v>0</v>
      </c>
      <c r="T131" s="45">
        <f t="shared" si="29"/>
        <v>0</v>
      </c>
      <c r="U131" s="46">
        <f t="shared" si="28"/>
        <v>0</v>
      </c>
      <c r="V131" s="46">
        <f t="shared" si="28"/>
        <v>0</v>
      </c>
      <c r="W131" s="46">
        <f t="shared" si="28"/>
        <v>0</v>
      </c>
      <c r="X131" s="46">
        <f t="shared" si="27"/>
        <v>0</v>
      </c>
    </row>
    <row r="132" spans="1:24" ht="20" customHeight="1" x14ac:dyDescent="0.35">
      <c r="A132" s="28"/>
      <c r="B132" s="29"/>
      <c r="C132" s="30"/>
      <c r="D132" s="30"/>
      <c r="E132" s="30"/>
      <c r="F132" s="30"/>
      <c r="G132" s="30"/>
      <c r="H132" s="30"/>
      <c r="I132" s="30"/>
      <c r="J132" s="33"/>
      <c r="L132" s="45">
        <f t="shared" si="26"/>
        <v>0</v>
      </c>
      <c r="M132" s="45">
        <f t="shared" si="26"/>
        <v>0</v>
      </c>
      <c r="N132" s="45">
        <f t="shared" si="26"/>
        <v>0</v>
      </c>
      <c r="O132" s="45">
        <f t="shared" si="26"/>
        <v>0</v>
      </c>
      <c r="P132" s="45">
        <f t="shared" si="26"/>
        <v>0</v>
      </c>
      <c r="Q132" s="45">
        <f t="shared" si="26"/>
        <v>0</v>
      </c>
      <c r="R132" s="45">
        <f t="shared" si="29"/>
        <v>0</v>
      </c>
      <c r="S132" s="45">
        <f t="shared" si="29"/>
        <v>0</v>
      </c>
      <c r="T132" s="45">
        <f t="shared" si="29"/>
        <v>0</v>
      </c>
      <c r="U132" s="46">
        <f t="shared" si="28"/>
        <v>0</v>
      </c>
      <c r="V132" s="46">
        <f t="shared" si="28"/>
        <v>0</v>
      </c>
      <c r="W132" s="46">
        <f t="shared" si="28"/>
        <v>0</v>
      </c>
      <c r="X132" s="46">
        <f t="shared" si="27"/>
        <v>0</v>
      </c>
    </row>
    <row r="133" spans="1:24" ht="20" customHeight="1" x14ac:dyDescent="0.35">
      <c r="A133" s="28"/>
      <c r="B133" s="29"/>
      <c r="C133" s="30"/>
      <c r="D133" s="30"/>
      <c r="E133" s="30"/>
      <c r="F133" s="30"/>
      <c r="G133" s="30"/>
      <c r="H133" s="30"/>
      <c r="I133" s="30"/>
      <c r="J133" s="33"/>
      <c r="L133" s="45">
        <f t="shared" si="26"/>
        <v>0</v>
      </c>
      <c r="M133" s="45">
        <f t="shared" si="26"/>
        <v>0</v>
      </c>
      <c r="N133" s="45">
        <f t="shared" si="26"/>
        <v>0</v>
      </c>
      <c r="O133" s="45">
        <f t="shared" si="26"/>
        <v>0</v>
      </c>
      <c r="P133" s="45">
        <f t="shared" si="26"/>
        <v>0</v>
      </c>
      <c r="Q133" s="45">
        <f t="shared" si="26"/>
        <v>0</v>
      </c>
      <c r="R133" s="45">
        <f t="shared" si="29"/>
        <v>0</v>
      </c>
      <c r="S133" s="45">
        <f t="shared" si="29"/>
        <v>0</v>
      </c>
      <c r="T133" s="45">
        <f t="shared" si="29"/>
        <v>0</v>
      </c>
      <c r="U133" s="46">
        <f t="shared" si="28"/>
        <v>0</v>
      </c>
      <c r="V133" s="46">
        <f t="shared" si="28"/>
        <v>0</v>
      </c>
      <c r="W133" s="46">
        <f t="shared" si="28"/>
        <v>0</v>
      </c>
      <c r="X133" s="46">
        <f t="shared" si="27"/>
        <v>0</v>
      </c>
    </row>
    <row r="134" spans="1:24" ht="16.75" customHeight="1" x14ac:dyDescent="0.35">
      <c r="A134" s="28"/>
      <c r="B134" s="29"/>
      <c r="C134" s="30"/>
      <c r="D134" s="30"/>
      <c r="E134" s="30"/>
      <c r="F134" s="30"/>
      <c r="G134" s="30"/>
      <c r="H134" s="30"/>
      <c r="I134" s="30"/>
      <c r="J134" s="33"/>
      <c r="L134" s="45">
        <f t="shared" si="26"/>
        <v>0</v>
      </c>
      <c r="M134" s="45">
        <f t="shared" si="26"/>
        <v>0</v>
      </c>
      <c r="N134" s="45">
        <f t="shared" si="26"/>
        <v>0</v>
      </c>
      <c r="O134" s="45">
        <f t="shared" si="26"/>
        <v>0</v>
      </c>
      <c r="P134" s="45">
        <f t="shared" si="26"/>
        <v>0</v>
      </c>
      <c r="Q134" s="45">
        <f t="shared" si="26"/>
        <v>0</v>
      </c>
      <c r="R134" s="45">
        <f t="shared" si="29"/>
        <v>0</v>
      </c>
      <c r="S134" s="45">
        <f t="shared" si="29"/>
        <v>0</v>
      </c>
      <c r="T134" s="45">
        <f t="shared" si="29"/>
        <v>0</v>
      </c>
      <c r="U134" s="46">
        <f t="shared" si="28"/>
        <v>0</v>
      </c>
      <c r="V134" s="46">
        <f t="shared" si="28"/>
        <v>0</v>
      </c>
      <c r="W134" s="46">
        <f t="shared" si="28"/>
        <v>0</v>
      </c>
      <c r="X134" s="46">
        <f t="shared" si="27"/>
        <v>0</v>
      </c>
    </row>
    <row r="135" spans="1:24" ht="20" customHeight="1" x14ac:dyDescent="0.35">
      <c r="A135" s="28"/>
      <c r="B135" s="29"/>
      <c r="C135" s="30"/>
      <c r="D135" s="30"/>
      <c r="E135" s="30"/>
      <c r="F135" s="30"/>
      <c r="G135" s="30"/>
      <c r="H135" s="30"/>
      <c r="I135" s="30"/>
      <c r="J135" s="33"/>
      <c r="L135" s="45">
        <f t="shared" si="26"/>
        <v>0</v>
      </c>
      <c r="M135" s="45">
        <f t="shared" si="26"/>
        <v>0</v>
      </c>
      <c r="N135" s="45">
        <f t="shared" si="26"/>
        <v>0</v>
      </c>
      <c r="O135" s="45">
        <f t="shared" si="26"/>
        <v>0</v>
      </c>
      <c r="P135" s="45">
        <f t="shared" si="26"/>
        <v>0</v>
      </c>
      <c r="Q135" s="45">
        <f t="shared" si="26"/>
        <v>0</v>
      </c>
      <c r="R135" s="45">
        <f t="shared" si="29"/>
        <v>0</v>
      </c>
      <c r="S135" s="45">
        <f t="shared" si="29"/>
        <v>0</v>
      </c>
      <c r="T135" s="45">
        <f t="shared" si="29"/>
        <v>0</v>
      </c>
      <c r="U135" s="46">
        <f t="shared" si="28"/>
        <v>0</v>
      </c>
      <c r="V135" s="46">
        <f t="shared" si="28"/>
        <v>0</v>
      </c>
      <c r="W135" s="46">
        <f t="shared" si="28"/>
        <v>0</v>
      </c>
      <c r="X135" s="46">
        <f t="shared" si="27"/>
        <v>0</v>
      </c>
    </row>
    <row r="136" spans="1:24" ht="20" customHeight="1" x14ac:dyDescent="0.35">
      <c r="A136" s="28"/>
      <c r="B136" s="29"/>
      <c r="C136" s="30"/>
      <c r="D136" s="30"/>
      <c r="E136" s="30"/>
      <c r="F136" s="30"/>
      <c r="G136" s="30"/>
      <c r="H136" s="30"/>
      <c r="I136" s="30"/>
      <c r="J136" s="33"/>
      <c r="L136" s="45">
        <f t="shared" si="26"/>
        <v>0</v>
      </c>
      <c r="M136" s="45">
        <f t="shared" si="26"/>
        <v>0</v>
      </c>
      <c r="N136" s="45">
        <f t="shared" si="26"/>
        <v>0</v>
      </c>
      <c r="O136" s="45">
        <f t="shared" ref="O136:Q151" si="30">IFERROR(E137-E136,0)</f>
        <v>0</v>
      </c>
      <c r="P136" s="45">
        <f t="shared" si="30"/>
        <v>0</v>
      </c>
      <c r="Q136" s="45">
        <f t="shared" si="30"/>
        <v>0</v>
      </c>
      <c r="R136" s="45">
        <f t="shared" si="29"/>
        <v>0</v>
      </c>
      <c r="S136" s="45">
        <f t="shared" si="29"/>
        <v>0</v>
      </c>
      <c r="T136" s="45">
        <f t="shared" si="29"/>
        <v>0</v>
      </c>
      <c r="U136" s="46">
        <f t="shared" si="28"/>
        <v>0</v>
      </c>
      <c r="V136" s="46">
        <f t="shared" si="28"/>
        <v>0</v>
      </c>
      <c r="W136" s="46">
        <f t="shared" si="28"/>
        <v>0</v>
      </c>
      <c r="X136" s="46">
        <f t="shared" si="27"/>
        <v>0</v>
      </c>
    </row>
    <row r="137" spans="1:24" ht="20" customHeight="1" x14ac:dyDescent="0.35">
      <c r="A137" s="28"/>
      <c r="B137" s="29"/>
      <c r="C137" s="30"/>
      <c r="D137" s="30"/>
      <c r="E137" s="30"/>
      <c r="F137" s="30"/>
      <c r="G137" s="30"/>
      <c r="H137" s="30"/>
      <c r="I137" s="30"/>
      <c r="J137" s="33"/>
      <c r="L137" s="45">
        <f t="shared" ref="L137:N151" si="31">IFERROR(B138-B137,0)</f>
        <v>0</v>
      </c>
      <c r="M137" s="45">
        <f t="shared" si="31"/>
        <v>0</v>
      </c>
      <c r="N137" s="45">
        <f t="shared" si="31"/>
        <v>0</v>
      </c>
      <c r="O137" s="45">
        <f t="shared" si="30"/>
        <v>0</v>
      </c>
      <c r="P137" s="45">
        <f t="shared" si="30"/>
        <v>0</v>
      </c>
      <c r="Q137" s="45">
        <f t="shared" si="30"/>
        <v>0</v>
      </c>
      <c r="R137" s="45">
        <f t="shared" si="29"/>
        <v>0</v>
      </c>
      <c r="S137" s="45">
        <f t="shared" si="29"/>
        <v>0</v>
      </c>
      <c r="T137" s="45">
        <f t="shared" si="29"/>
        <v>0</v>
      </c>
      <c r="U137" s="46">
        <f t="shared" si="28"/>
        <v>0</v>
      </c>
      <c r="V137" s="46">
        <f t="shared" si="28"/>
        <v>0</v>
      </c>
      <c r="W137" s="46">
        <f t="shared" si="28"/>
        <v>0</v>
      </c>
      <c r="X137" s="46">
        <f t="shared" ref="X137:X152" si="32">O137+P137+T137</f>
        <v>0</v>
      </c>
    </row>
    <row r="138" spans="1:24" ht="20" customHeight="1" x14ac:dyDescent="0.35">
      <c r="A138" s="28"/>
      <c r="B138" s="29"/>
      <c r="C138" s="30"/>
      <c r="D138" s="30"/>
      <c r="E138" s="30"/>
      <c r="F138" s="30"/>
      <c r="G138" s="30"/>
      <c r="H138" s="30"/>
      <c r="I138" s="30"/>
      <c r="J138" s="33"/>
      <c r="L138" s="45">
        <f t="shared" si="31"/>
        <v>0</v>
      </c>
      <c r="M138" s="45">
        <f t="shared" si="31"/>
        <v>0</v>
      </c>
      <c r="N138" s="45">
        <f t="shared" si="31"/>
        <v>0</v>
      </c>
      <c r="O138" s="45">
        <f t="shared" si="30"/>
        <v>0</v>
      </c>
      <c r="P138" s="45">
        <f t="shared" si="30"/>
        <v>0</v>
      </c>
      <c r="Q138" s="45">
        <f t="shared" si="30"/>
        <v>0</v>
      </c>
      <c r="R138" s="45">
        <f t="shared" si="29"/>
        <v>0</v>
      </c>
      <c r="S138" s="45">
        <f t="shared" si="29"/>
        <v>0</v>
      </c>
      <c r="T138" s="45">
        <f t="shared" si="29"/>
        <v>0</v>
      </c>
      <c r="U138" s="46">
        <f t="shared" si="28"/>
        <v>0</v>
      </c>
      <c r="V138" s="46">
        <f t="shared" si="28"/>
        <v>0</v>
      </c>
      <c r="W138" s="46">
        <f t="shared" si="28"/>
        <v>0</v>
      </c>
      <c r="X138" s="46">
        <f t="shared" si="32"/>
        <v>0</v>
      </c>
    </row>
    <row r="139" spans="1:24" ht="20" customHeight="1" x14ac:dyDescent="0.35">
      <c r="A139" s="28"/>
      <c r="B139" s="29"/>
      <c r="C139" s="30"/>
      <c r="D139" s="30"/>
      <c r="E139" s="30"/>
      <c r="F139" s="30"/>
      <c r="G139" s="30"/>
      <c r="H139" s="30"/>
      <c r="I139" s="30"/>
      <c r="J139" s="33"/>
      <c r="L139" s="45">
        <f t="shared" si="31"/>
        <v>0</v>
      </c>
      <c r="M139" s="45">
        <f t="shared" si="31"/>
        <v>0</v>
      </c>
      <c r="N139" s="45">
        <f t="shared" si="31"/>
        <v>0</v>
      </c>
      <c r="O139" s="45">
        <f t="shared" si="30"/>
        <v>0</v>
      </c>
      <c r="P139" s="45">
        <f t="shared" si="30"/>
        <v>0</v>
      </c>
      <c r="Q139" s="45">
        <f t="shared" si="30"/>
        <v>0</v>
      </c>
      <c r="R139" s="45">
        <f t="shared" si="29"/>
        <v>0</v>
      </c>
      <c r="S139" s="45">
        <f t="shared" si="29"/>
        <v>0</v>
      </c>
      <c r="T139" s="45">
        <f t="shared" si="29"/>
        <v>0</v>
      </c>
      <c r="U139" s="46">
        <f t="shared" si="28"/>
        <v>0</v>
      </c>
      <c r="V139" s="46">
        <f t="shared" si="28"/>
        <v>0</v>
      </c>
      <c r="W139" s="46">
        <f t="shared" si="28"/>
        <v>0</v>
      </c>
      <c r="X139" s="46">
        <f t="shared" si="32"/>
        <v>0</v>
      </c>
    </row>
    <row r="140" spans="1:24" ht="20" customHeight="1" x14ac:dyDescent="0.35">
      <c r="A140" s="28"/>
      <c r="B140" s="29"/>
      <c r="C140" s="30"/>
      <c r="D140" s="30"/>
      <c r="E140" s="30"/>
      <c r="F140" s="30"/>
      <c r="G140" s="30"/>
      <c r="H140" s="30"/>
      <c r="I140" s="30"/>
      <c r="J140" s="33"/>
      <c r="L140" s="45">
        <f t="shared" si="31"/>
        <v>0</v>
      </c>
      <c r="M140" s="45">
        <f t="shared" si="31"/>
        <v>0</v>
      </c>
      <c r="N140" s="45">
        <f t="shared" si="31"/>
        <v>0</v>
      </c>
      <c r="O140" s="45">
        <f t="shared" si="30"/>
        <v>0</v>
      </c>
      <c r="P140" s="45">
        <f t="shared" si="30"/>
        <v>0</v>
      </c>
      <c r="Q140" s="45">
        <f t="shared" si="30"/>
        <v>0</v>
      </c>
      <c r="R140" s="45">
        <f t="shared" si="29"/>
        <v>0</v>
      </c>
      <c r="S140" s="45">
        <f t="shared" si="29"/>
        <v>0</v>
      </c>
      <c r="T140" s="45">
        <f t="shared" si="29"/>
        <v>0</v>
      </c>
      <c r="U140" s="46">
        <f t="shared" si="28"/>
        <v>0</v>
      </c>
      <c r="V140" s="46">
        <f t="shared" si="28"/>
        <v>0</v>
      </c>
      <c r="W140" s="46">
        <f t="shared" si="28"/>
        <v>0</v>
      </c>
      <c r="X140" s="46">
        <f t="shared" si="32"/>
        <v>0</v>
      </c>
    </row>
    <row r="141" spans="1:24" ht="20" customHeight="1" x14ac:dyDescent="0.35">
      <c r="A141" s="28"/>
      <c r="B141" s="29"/>
      <c r="C141" s="30"/>
      <c r="D141" s="30"/>
      <c r="E141" s="30"/>
      <c r="F141" s="30"/>
      <c r="G141" s="30"/>
      <c r="H141" s="30"/>
      <c r="I141" s="30"/>
      <c r="J141" s="33"/>
      <c r="L141" s="45">
        <f t="shared" si="31"/>
        <v>0</v>
      </c>
      <c r="M141" s="45">
        <f t="shared" si="31"/>
        <v>0</v>
      </c>
      <c r="N141" s="45">
        <f t="shared" si="31"/>
        <v>0</v>
      </c>
      <c r="O141" s="45">
        <f t="shared" si="30"/>
        <v>0</v>
      </c>
      <c r="P141" s="45">
        <f t="shared" si="30"/>
        <v>0</v>
      </c>
      <c r="Q141" s="45">
        <f t="shared" si="30"/>
        <v>0</v>
      </c>
      <c r="R141" s="45">
        <f t="shared" si="29"/>
        <v>0</v>
      </c>
      <c r="S141" s="45">
        <f t="shared" si="29"/>
        <v>0</v>
      </c>
      <c r="T141" s="45">
        <f t="shared" si="29"/>
        <v>0</v>
      </c>
      <c r="U141" s="46">
        <f t="shared" si="28"/>
        <v>0</v>
      </c>
      <c r="V141" s="46">
        <f t="shared" si="28"/>
        <v>0</v>
      </c>
      <c r="W141" s="46">
        <f t="shared" si="28"/>
        <v>0</v>
      </c>
      <c r="X141" s="46">
        <f t="shared" si="32"/>
        <v>0</v>
      </c>
    </row>
    <row r="142" spans="1:24" ht="20" customHeight="1" x14ac:dyDescent="0.35">
      <c r="A142" s="28"/>
      <c r="B142" s="29"/>
      <c r="C142" s="30"/>
      <c r="D142" s="30"/>
      <c r="E142" s="30"/>
      <c r="F142" s="30"/>
      <c r="G142" s="30"/>
      <c r="H142" s="30"/>
      <c r="I142" s="30"/>
      <c r="J142" s="33"/>
      <c r="L142" s="45">
        <f t="shared" si="31"/>
        <v>0</v>
      </c>
      <c r="M142" s="45">
        <f t="shared" si="31"/>
        <v>0</v>
      </c>
      <c r="N142" s="45">
        <f t="shared" si="31"/>
        <v>0</v>
      </c>
      <c r="O142" s="45">
        <f t="shared" si="30"/>
        <v>0</v>
      </c>
      <c r="P142" s="45">
        <f t="shared" si="30"/>
        <v>0</v>
      </c>
      <c r="Q142" s="45">
        <f t="shared" si="30"/>
        <v>0</v>
      </c>
      <c r="R142" s="45">
        <f t="shared" si="29"/>
        <v>0</v>
      </c>
      <c r="S142" s="45">
        <f t="shared" si="29"/>
        <v>0</v>
      </c>
      <c r="T142" s="45">
        <f t="shared" si="29"/>
        <v>0</v>
      </c>
      <c r="U142" s="46">
        <f t="shared" si="28"/>
        <v>0</v>
      </c>
      <c r="V142" s="46">
        <f t="shared" si="28"/>
        <v>0</v>
      </c>
      <c r="W142" s="46">
        <f t="shared" si="28"/>
        <v>0</v>
      </c>
      <c r="X142" s="46">
        <f t="shared" si="32"/>
        <v>0</v>
      </c>
    </row>
    <row r="143" spans="1:24" ht="20" customHeight="1" x14ac:dyDescent="0.35">
      <c r="A143" s="28"/>
      <c r="B143" s="29"/>
      <c r="C143" s="30"/>
      <c r="D143" s="30"/>
      <c r="E143" s="30"/>
      <c r="F143" s="30"/>
      <c r="G143" s="30"/>
      <c r="H143" s="30"/>
      <c r="I143" s="30"/>
      <c r="J143" s="33"/>
      <c r="L143" s="45">
        <f t="shared" si="31"/>
        <v>0</v>
      </c>
      <c r="M143" s="45">
        <f t="shared" si="31"/>
        <v>0</v>
      </c>
      <c r="N143" s="45">
        <f t="shared" si="31"/>
        <v>0</v>
      </c>
      <c r="O143" s="45">
        <f t="shared" si="30"/>
        <v>0</v>
      </c>
      <c r="P143" s="45">
        <f t="shared" si="30"/>
        <v>0</v>
      </c>
      <c r="Q143" s="45">
        <f t="shared" si="30"/>
        <v>0</v>
      </c>
      <c r="R143" s="45">
        <f t="shared" si="29"/>
        <v>0</v>
      </c>
      <c r="S143" s="45">
        <f t="shared" si="29"/>
        <v>0</v>
      </c>
      <c r="T143" s="45">
        <f t="shared" si="29"/>
        <v>0</v>
      </c>
      <c r="U143" s="46">
        <f t="shared" si="28"/>
        <v>0</v>
      </c>
      <c r="V143" s="46">
        <f t="shared" si="28"/>
        <v>0</v>
      </c>
      <c r="W143" s="46">
        <f t="shared" si="28"/>
        <v>0</v>
      </c>
      <c r="X143" s="46">
        <f t="shared" si="32"/>
        <v>0</v>
      </c>
    </row>
    <row r="144" spans="1:24" ht="20" customHeight="1" x14ac:dyDescent="0.35">
      <c r="A144" s="28"/>
      <c r="B144" s="29"/>
      <c r="C144" s="30"/>
      <c r="D144" s="30"/>
      <c r="E144" s="30"/>
      <c r="F144" s="30"/>
      <c r="G144" s="30"/>
      <c r="H144" s="30"/>
      <c r="I144" s="30"/>
      <c r="J144" s="33"/>
      <c r="L144" s="45">
        <f t="shared" si="31"/>
        <v>0</v>
      </c>
      <c r="M144" s="45">
        <f t="shared" si="31"/>
        <v>0</v>
      </c>
      <c r="N144" s="45">
        <f t="shared" si="31"/>
        <v>0</v>
      </c>
      <c r="O144" s="45">
        <f t="shared" si="30"/>
        <v>0</v>
      </c>
      <c r="P144" s="45">
        <f t="shared" si="30"/>
        <v>0</v>
      </c>
      <c r="Q144" s="45">
        <f t="shared" si="30"/>
        <v>0</v>
      </c>
      <c r="R144" s="45">
        <f t="shared" si="29"/>
        <v>0</v>
      </c>
      <c r="S144" s="45">
        <f t="shared" si="29"/>
        <v>0</v>
      </c>
      <c r="T144" s="45">
        <f t="shared" si="29"/>
        <v>0</v>
      </c>
      <c r="U144" s="46">
        <f t="shared" si="28"/>
        <v>0</v>
      </c>
      <c r="V144" s="46">
        <f t="shared" si="28"/>
        <v>0</v>
      </c>
      <c r="W144" s="46">
        <f t="shared" si="28"/>
        <v>0</v>
      </c>
      <c r="X144" s="46">
        <f t="shared" si="32"/>
        <v>0</v>
      </c>
    </row>
    <row r="145" spans="1:24" ht="20" customHeight="1" x14ac:dyDescent="0.35">
      <c r="A145" s="28"/>
      <c r="B145" s="29"/>
      <c r="C145" s="30"/>
      <c r="D145" s="30"/>
      <c r="E145" s="30"/>
      <c r="F145" s="30"/>
      <c r="G145" s="30"/>
      <c r="H145" s="30"/>
      <c r="I145" s="30"/>
      <c r="J145" s="33"/>
      <c r="L145" s="45">
        <f t="shared" si="31"/>
        <v>0</v>
      </c>
      <c r="M145" s="45">
        <f t="shared" si="31"/>
        <v>0</v>
      </c>
      <c r="N145" s="45">
        <f t="shared" si="31"/>
        <v>0</v>
      </c>
      <c r="O145" s="45">
        <f t="shared" si="30"/>
        <v>0</v>
      </c>
      <c r="P145" s="45">
        <f t="shared" si="30"/>
        <v>0</v>
      </c>
      <c r="Q145" s="45">
        <f t="shared" si="30"/>
        <v>0</v>
      </c>
      <c r="R145" s="45">
        <f t="shared" si="29"/>
        <v>0</v>
      </c>
      <c r="S145" s="45">
        <f t="shared" si="29"/>
        <v>0</v>
      </c>
      <c r="T145" s="45">
        <f t="shared" si="29"/>
        <v>0</v>
      </c>
      <c r="U145" s="46">
        <f t="shared" si="28"/>
        <v>0</v>
      </c>
      <c r="V145" s="46">
        <f t="shared" si="28"/>
        <v>0</v>
      </c>
      <c r="W145" s="46">
        <f t="shared" si="28"/>
        <v>0</v>
      </c>
      <c r="X145" s="46">
        <f t="shared" si="32"/>
        <v>0</v>
      </c>
    </row>
    <row r="146" spans="1:24" ht="20" customHeight="1" x14ac:dyDescent="0.35">
      <c r="A146" s="28"/>
      <c r="B146" s="29"/>
      <c r="C146" s="30"/>
      <c r="D146" s="30"/>
      <c r="E146" s="30"/>
      <c r="F146" s="30"/>
      <c r="G146" s="30"/>
      <c r="H146" s="30"/>
      <c r="I146" s="30"/>
      <c r="J146" s="33"/>
      <c r="L146" s="45">
        <f t="shared" si="31"/>
        <v>0</v>
      </c>
      <c r="M146" s="45">
        <f t="shared" si="31"/>
        <v>0</v>
      </c>
      <c r="N146" s="45">
        <f t="shared" si="31"/>
        <v>0</v>
      </c>
      <c r="O146" s="45">
        <f t="shared" si="30"/>
        <v>0</v>
      </c>
      <c r="P146" s="45">
        <f t="shared" si="30"/>
        <v>0</v>
      </c>
      <c r="Q146" s="45">
        <f t="shared" si="30"/>
        <v>0</v>
      </c>
      <c r="R146" s="45">
        <f t="shared" si="29"/>
        <v>0</v>
      </c>
      <c r="S146" s="45">
        <f t="shared" si="29"/>
        <v>0</v>
      </c>
      <c r="T146" s="45">
        <f t="shared" si="29"/>
        <v>0</v>
      </c>
      <c r="U146" s="46">
        <f t="shared" si="28"/>
        <v>0</v>
      </c>
      <c r="V146" s="46">
        <f t="shared" si="28"/>
        <v>0</v>
      </c>
      <c r="W146" s="46">
        <f t="shared" si="28"/>
        <v>0</v>
      </c>
      <c r="X146" s="46">
        <f t="shared" si="32"/>
        <v>0</v>
      </c>
    </row>
    <row r="147" spans="1:24" ht="20" customHeight="1" x14ac:dyDescent="0.35">
      <c r="A147" s="28"/>
      <c r="B147" s="29"/>
      <c r="C147" s="30"/>
      <c r="D147" s="30"/>
      <c r="E147" s="30"/>
      <c r="F147" s="30"/>
      <c r="G147" s="30"/>
      <c r="H147" s="30"/>
      <c r="I147" s="30"/>
      <c r="J147" s="33"/>
      <c r="L147" s="45">
        <f t="shared" si="31"/>
        <v>0</v>
      </c>
      <c r="M147" s="45">
        <f t="shared" si="31"/>
        <v>0</v>
      </c>
      <c r="N147" s="45">
        <f t="shared" si="31"/>
        <v>0</v>
      </c>
      <c r="O147" s="45">
        <f t="shared" si="30"/>
        <v>0</v>
      </c>
      <c r="P147" s="45">
        <f t="shared" si="30"/>
        <v>0</v>
      </c>
      <c r="Q147" s="45">
        <f t="shared" si="30"/>
        <v>0</v>
      </c>
      <c r="R147" s="45">
        <f t="shared" si="29"/>
        <v>0</v>
      </c>
      <c r="S147" s="45">
        <f t="shared" si="29"/>
        <v>0</v>
      </c>
      <c r="T147" s="45">
        <f t="shared" si="29"/>
        <v>0</v>
      </c>
      <c r="U147" s="46">
        <f t="shared" si="28"/>
        <v>0</v>
      </c>
      <c r="V147" s="46">
        <f t="shared" si="28"/>
        <v>0</v>
      </c>
      <c r="W147" s="46">
        <f t="shared" si="28"/>
        <v>0</v>
      </c>
      <c r="X147" s="46">
        <f t="shared" si="32"/>
        <v>0</v>
      </c>
    </row>
    <row r="148" spans="1:24" ht="20" customHeight="1" x14ac:dyDescent="0.35">
      <c r="A148" s="28"/>
      <c r="B148" s="29"/>
      <c r="C148" s="30"/>
      <c r="D148" s="30"/>
      <c r="E148" s="30"/>
      <c r="F148" s="30"/>
      <c r="G148" s="30"/>
      <c r="H148" s="30"/>
      <c r="I148" s="30"/>
      <c r="J148" s="33"/>
      <c r="L148" s="45">
        <f t="shared" si="31"/>
        <v>0</v>
      </c>
      <c r="M148" s="45">
        <f t="shared" si="31"/>
        <v>0</v>
      </c>
      <c r="N148" s="45">
        <f t="shared" si="31"/>
        <v>0</v>
      </c>
      <c r="O148" s="45">
        <f t="shared" si="30"/>
        <v>0</v>
      </c>
      <c r="P148" s="45">
        <f t="shared" si="30"/>
        <v>0</v>
      </c>
      <c r="Q148" s="45">
        <f t="shared" si="30"/>
        <v>0</v>
      </c>
      <c r="R148" s="45">
        <f t="shared" si="29"/>
        <v>0</v>
      </c>
      <c r="S148" s="45">
        <f t="shared" si="29"/>
        <v>0</v>
      </c>
      <c r="T148" s="45">
        <f t="shared" si="29"/>
        <v>0</v>
      </c>
      <c r="U148" s="46">
        <f t="shared" si="28"/>
        <v>0</v>
      </c>
      <c r="V148" s="46">
        <f t="shared" si="28"/>
        <v>0</v>
      </c>
      <c r="W148" s="46">
        <f t="shared" si="28"/>
        <v>0</v>
      </c>
      <c r="X148" s="46">
        <f t="shared" si="32"/>
        <v>0</v>
      </c>
    </row>
    <row r="149" spans="1:24" ht="20" customHeight="1" x14ac:dyDescent="0.35">
      <c r="A149" s="28"/>
      <c r="B149" s="29"/>
      <c r="C149" s="30"/>
      <c r="D149" s="30"/>
      <c r="E149" s="30"/>
      <c r="F149" s="30"/>
      <c r="G149" s="30"/>
      <c r="H149" s="30"/>
      <c r="I149" s="30"/>
      <c r="J149" s="33"/>
      <c r="L149" s="45">
        <f t="shared" si="31"/>
        <v>0</v>
      </c>
      <c r="M149" s="45">
        <f t="shared" si="31"/>
        <v>0</v>
      </c>
      <c r="N149" s="45">
        <f t="shared" si="31"/>
        <v>0</v>
      </c>
      <c r="O149" s="45">
        <f t="shared" si="30"/>
        <v>0</v>
      </c>
      <c r="P149" s="45">
        <f t="shared" si="30"/>
        <v>0</v>
      </c>
      <c r="Q149" s="45">
        <f t="shared" si="30"/>
        <v>0</v>
      </c>
      <c r="R149" s="45">
        <f t="shared" si="29"/>
        <v>0</v>
      </c>
      <c r="S149" s="45">
        <f t="shared" si="29"/>
        <v>0</v>
      </c>
      <c r="T149" s="45">
        <f t="shared" si="29"/>
        <v>0</v>
      </c>
      <c r="U149" s="46">
        <f t="shared" si="28"/>
        <v>0</v>
      </c>
      <c r="V149" s="46">
        <f t="shared" si="28"/>
        <v>0</v>
      </c>
      <c r="W149" s="46">
        <f t="shared" si="28"/>
        <v>0</v>
      </c>
      <c r="X149" s="46">
        <f t="shared" si="32"/>
        <v>0</v>
      </c>
    </row>
    <row r="150" spans="1:24" ht="20" customHeight="1" x14ac:dyDescent="0.35">
      <c r="A150" s="28"/>
      <c r="B150" s="29"/>
      <c r="C150" s="30"/>
      <c r="D150" s="30"/>
      <c r="E150" s="30"/>
      <c r="F150" s="30"/>
      <c r="G150" s="30"/>
      <c r="H150" s="30"/>
      <c r="I150" s="30"/>
      <c r="J150" s="33"/>
      <c r="L150" s="45">
        <f t="shared" si="31"/>
        <v>0</v>
      </c>
      <c r="M150" s="45">
        <f t="shared" si="31"/>
        <v>0</v>
      </c>
      <c r="N150" s="45">
        <f t="shared" si="31"/>
        <v>0</v>
      </c>
      <c r="O150" s="45">
        <f t="shared" si="30"/>
        <v>0</v>
      </c>
      <c r="P150" s="45">
        <f t="shared" si="30"/>
        <v>0</v>
      </c>
      <c r="Q150" s="45">
        <f t="shared" si="30"/>
        <v>0</v>
      </c>
      <c r="R150" s="45">
        <f t="shared" si="29"/>
        <v>0</v>
      </c>
      <c r="S150" s="45">
        <f t="shared" si="29"/>
        <v>0</v>
      </c>
      <c r="T150" s="45">
        <f t="shared" si="29"/>
        <v>0</v>
      </c>
      <c r="U150" s="46">
        <f t="shared" si="28"/>
        <v>0</v>
      </c>
      <c r="V150" s="46">
        <f t="shared" si="28"/>
        <v>0</v>
      </c>
      <c r="W150" s="46">
        <f t="shared" si="28"/>
        <v>0</v>
      </c>
      <c r="X150" s="46">
        <f t="shared" si="32"/>
        <v>0</v>
      </c>
    </row>
    <row r="151" spans="1:24" ht="20" customHeight="1" x14ac:dyDescent="0.35">
      <c r="A151" s="28"/>
      <c r="B151" s="29"/>
      <c r="C151" s="30"/>
      <c r="D151" s="30"/>
      <c r="E151" s="30"/>
      <c r="F151" s="30"/>
      <c r="G151" s="30"/>
      <c r="H151" s="30"/>
      <c r="I151" s="30"/>
      <c r="J151" s="33"/>
      <c r="L151" s="45">
        <f t="shared" si="31"/>
        <v>0</v>
      </c>
      <c r="M151" s="45">
        <f t="shared" si="31"/>
        <v>0</v>
      </c>
      <c r="N151" s="45">
        <f t="shared" si="31"/>
        <v>0</v>
      </c>
      <c r="O151" s="45">
        <f t="shared" si="30"/>
        <v>0</v>
      </c>
      <c r="P151" s="45">
        <f t="shared" si="30"/>
        <v>0</v>
      </c>
      <c r="Q151" s="45">
        <f t="shared" si="30"/>
        <v>0</v>
      </c>
      <c r="R151" s="45">
        <f t="shared" si="29"/>
        <v>0</v>
      </c>
      <c r="S151" s="45">
        <f t="shared" si="29"/>
        <v>0</v>
      </c>
      <c r="T151" s="45">
        <f t="shared" si="29"/>
        <v>0</v>
      </c>
      <c r="U151" s="46">
        <f t="shared" si="28"/>
        <v>0</v>
      </c>
      <c r="V151" s="46">
        <f t="shared" si="28"/>
        <v>0</v>
      </c>
      <c r="W151" s="46">
        <f t="shared" si="28"/>
        <v>0</v>
      </c>
      <c r="X151" s="46">
        <f t="shared" si="32"/>
        <v>0</v>
      </c>
    </row>
    <row r="152" spans="1:24" ht="16.75" customHeight="1" x14ac:dyDescent="0.35">
      <c r="A152" s="28"/>
      <c r="B152" s="29"/>
      <c r="C152" s="30"/>
      <c r="D152" s="30"/>
      <c r="E152" s="30"/>
      <c r="F152" s="30"/>
      <c r="G152" s="30"/>
      <c r="H152" s="30"/>
      <c r="I152" s="30"/>
      <c r="J152" s="33"/>
      <c r="L152" s="34"/>
      <c r="M152" s="34"/>
      <c r="N152" s="34"/>
      <c r="O152" s="34"/>
      <c r="P152" s="34"/>
      <c r="Q152" s="34"/>
      <c r="R152" s="34"/>
      <c r="S152" s="34"/>
      <c r="T152" s="34"/>
      <c r="U152" s="35">
        <f t="shared" ref="U152:W152" si="33">L152+Q152</f>
        <v>0</v>
      </c>
      <c r="V152" s="35">
        <f t="shared" si="33"/>
        <v>0</v>
      </c>
      <c r="W152" s="35">
        <f t="shared" si="33"/>
        <v>0</v>
      </c>
      <c r="X152" s="35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2026-09-08T06:28:12Z</dcterms:modified>
</cp:coreProperties>
</file>