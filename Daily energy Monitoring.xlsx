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N30" i="3"/>
  <c r="M30" i="3"/>
  <c r="V30" i="3" s="1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U29" i="3" l="1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<sst xmlns="http://schemas.openxmlformats.org/spreadsheetml/2006/main" count="531" uniqueCount="242">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</sst>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topLeftCell="FL8" workbookViewId="0">
      <selection activeCell="GB19" sqref="GB19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8.0000000016298145E-3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49125.268799999998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1.0000000038417056E-3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49125.269800000002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-11693840</v>
      </c>
      <c r="DJ20">
        <f>(DA21-Table2[[#This Row],[PNG Meter (Outside)]])*2.936</f>
        <v>-52220.664880000004</v>
      </c>
      <c r="DK20">
        <f>(DB21-Table2[[#This Row],[PNG Meter (Inside)]])*2.936</f>
        <v>-435133.479536</v>
      </c>
      <c r="DL20">
        <f>(BH21-Table2[[#This Row],[3F Dough cooler - 2 ]])*1000</f>
        <v>-357538</v>
      </c>
      <c r="DM20">
        <f>(BI21-Table2[[#This Row],[3F Dough Cooler- 1]])*1000</f>
        <v>-906196</v>
      </c>
      <c r="DN20">
        <f>(BJ21-Table2[[#This Row],[4F Dough Production cooling Unit]])*1000</f>
        <v>-13767</v>
      </c>
      <c r="DO20">
        <f>(BQ21-Table2[[#This Row],[3F2 - PDB 3 - Dough Production Area]])*1000</f>
        <v>-321312</v>
      </c>
      <c r="DP20">
        <f>(BR21-Table2[[#This Row],[3F3 - PDB 4 - Dough Area]])*1000</f>
        <v>-179079</v>
      </c>
      <c r="DQ20">
        <f>AC21-Table2[[#This Row],[16F1 Tray washer Panel for Light]]</f>
        <v>-2124678.08</v>
      </c>
      <c r="DR20">
        <f>CQ21-Table2[[#This Row],[2F1 Tray Washer - 1]]</f>
        <v>-3662675.2</v>
      </c>
      <c r="DS20">
        <f>CS21-Table2[[#This Row],[2F5 Destacker]]</f>
        <v>-508732</v>
      </c>
      <c r="DT20">
        <f>CU21-Table2[[#This Row],[5F1 Metering (TW-2)]]</f>
        <v>-293763.73700000002</v>
      </c>
      <c r="DU20">
        <f>CV21-Table2[[#This Row],[6F1 Pre soaker Tray washer]]</f>
        <v>-30124.063999999998</v>
      </c>
      <c r="DV20">
        <f>CZ21-Table2[[#This Row],[6F5 Vent tray Storage]]</f>
        <v>-216618.76800000001</v>
      </c>
      <c r="DW20">
        <f>I21-Table2[[#This Row],[Popeyes Meter ]]</f>
        <v>-5770.0119999999997</v>
      </c>
      <c r="DX20">
        <f>AZ21-Table2[[#This Row],[2F WH Chiller, Segregation Area]]</f>
        <v>-20.788</v>
      </c>
      <c r="DY20">
        <f>BA21-Table2[[#This Row],[3F1 AC Unit WH dock cooling - 2 Nos]]</f>
        <v>-10000</v>
      </c>
      <c r="DZ20">
        <f>BB21-Table2[[#This Row],[3F2 AC Unit WH dock cooling - 3 Nos]]</f>
        <v>-43.898000000000003</v>
      </c>
      <c r="EA20">
        <f>(BK21-Table2[[#This Row],[5F WH Perishable]])*1000</f>
        <v>-558823</v>
      </c>
      <c r="EB20">
        <f>BN21-Table2[[#This Row],[2F3 - PDB 9 - WH Dock Leveler Door ]]</f>
        <v>-7150.2503999999999</v>
      </c>
      <c r="EC20">
        <f>BP21-Table2[[#This Row],[3F1 - PDB 5 - WH HSD]]</f>
        <v>-311994.43199999997</v>
      </c>
      <c r="ED20">
        <f>BX21-Table2[[#This Row],[8F1 WH Dock AHU - Ventilation]]</f>
        <v>-954130.49600000004</v>
      </c>
      <c r="EE20">
        <f>BZ21-Table2[[#This Row],[8F3 ACPDB - 4 WH Dock air curtain]]</f>
        <v>-114242.74400000001</v>
      </c>
      <c r="EF20">
        <f>CA21-Table2[[#This Row],[8F4 WH Light]]</f>
        <v>-1193.4992999999999</v>
      </c>
      <c r="EG20">
        <f>CC21-Table2[[#This Row],[9F1 - PDB 10 - WH Dock door &amp; Office]]</f>
        <v>-148310.75200000001</v>
      </c>
      <c r="EH20">
        <f>CD21-Table2[[#This Row],[9F2 - PDB 11 - WH flycatchers]]</f>
        <v>-443052.73599999998</v>
      </c>
      <c r="EI20">
        <f>CE21-Table2[[#This Row],[9F3 - PDB 12 - Other items]]</f>
        <v>-49125.269800000002</v>
      </c>
      <c r="EJ20">
        <f>CR21-Table2[[#This Row],[2F3 - PDB 1 - Dock 1 to 4 ]]</f>
        <v>-129875.808</v>
      </c>
      <c r="EK20">
        <f>BM21-Table2[[#This Row],[2F2 - PDB 3 - WH Truck &amp; Battery Charging]]</f>
        <v>-299974.848</v>
      </c>
      <c r="EL20">
        <f>(CK21-Table2[[#This Row],[PDB - 11 Truck Charging]])*1000</f>
        <v>-77194</v>
      </c>
      <c r="EM20">
        <f>P21-Table2[[#This Row],[5F3 Admin Area]]</f>
        <v>-638086.14399999997</v>
      </c>
      <c r="EN20">
        <f>AH21-Table2[[#This Row],[2F5 Main Gate-1 Piller -1]]</f>
        <v>-131194.78400000001</v>
      </c>
      <c r="EO20">
        <f>CW21-Table2[[#This Row],[6F2 Ground Floor AC]]</f>
        <v>-62439.878400000001</v>
      </c>
      <c r="EP20">
        <f>CX21-Table2[[#This Row],[6F3 ACBD -1 (First floor AC)]]</f>
        <v>-33291.6224</v>
      </c>
      <c r="EQ20">
        <f>CY21-Table2[[#This Row],[6F4 ACBD - 2 (Second &amp; Third floor AC)]]</f>
        <v>-165446.49600000001</v>
      </c>
      <c r="ER20">
        <f>(BC21-Table2[[#This Row],[4F Old BMC cooling Unit]])</f>
        <v>-113982.552</v>
      </c>
      <c r="ES20">
        <f>BO21-Table2[[#This Row],[2F4 - Old BMC]]</f>
        <v>-53523.734400000001</v>
      </c>
      <c r="ET20">
        <f>Y21-Table2[[#This Row],[14F2 New CK]]</f>
        <v>-1067425.28</v>
      </c>
      <c r="EU20">
        <f>(CL21-Table2[[#This Row],[OLD Ck Panel-1]])*1000</f>
        <v>-723547</v>
      </c>
      <c r="EV20">
        <f>CM21-Table2[[#This Row],[2F4 Old CK Blast (Blue star)]]</f>
        <v>-551.4</v>
      </c>
      <c r="EW20">
        <f>CN21-Table2[[#This Row],[3F6 Old CK Blast (Carrier)]]</f>
        <v>-37173.199999999997</v>
      </c>
      <c r="EX20">
        <f>(CO21-Table2[[#This Row],[Old CK Panel -2]])*1000</f>
        <v>-1635177</v>
      </c>
      <c r="EY20">
        <f>N21-Table2[[#This Row],[4F1 Main UPS 1/C -1]]</f>
        <v>-1850645.6</v>
      </c>
      <c r="EZ20">
        <f>Z21-Table2[[#This Row],[15F1 Main UPS Panel - I/C - 2]]</f>
        <v>-2777.8894</v>
      </c>
      <c r="FA20">
        <f>BF21-Table2[[#This Row],[2F CLC -1 AC unit - 2]]</f>
        <v>-1712.0419999999999</v>
      </c>
      <c r="FB20">
        <f>(BG21-Table2[[#This Row],[2F CLC Anti room]])*1000</f>
        <v>-74432</v>
      </c>
      <c r="FC20">
        <f>BW21-Table2[[#This Row],[7F3 CLC Power Panel]]</f>
        <v>-564171.26399999997</v>
      </c>
      <c r="FD20">
        <f>(CI21-Table2[[#This Row],[PDB - 17 CLC Section ]])*1000</f>
        <v>-211672</v>
      </c>
      <c r="FE20">
        <f>(W21-Table2[[#This Row],[13F3 Water &amp; Lift Old CK]])*1000</f>
        <v>-1579902.1</v>
      </c>
      <c r="FF20">
        <f>AA21-Table2[[#This Row],[15F2 New ETP Panel]]</f>
        <v>-662986.94400000002</v>
      </c>
      <c r="FG20">
        <f>AL21-Table2[[#This Row],[3F4 Old ETP Panel]]</f>
        <v>-329144.25599999999</v>
      </c>
      <c r="FH20">
        <f>AF21-Table2[[#This Row],[2F1 RO Plant]]</f>
        <v>-864612.99199999997</v>
      </c>
      <c r="FI20">
        <f>AK21-Table2[[#This Row],[3F3 Fire Hydrant Panel]]</f>
        <v>-105012.088</v>
      </c>
      <c r="FJ20">
        <f>R21-Table2[[#This Row],[7F1 Freon System Panel]]</f>
        <v>-5427923.2000000002</v>
      </c>
      <c r="FK20">
        <f>(AE21-Table2[[#This Row],[21F1 Refrigeration Ammonia]])*1000</f>
        <v>-12672360</v>
      </c>
      <c r="FL20">
        <f>(AG21-Table2[[#This Row],[2F3 Air Compressor]])*1000</f>
        <v>-1377399</v>
      </c>
      <c r="FM20">
        <f>(AX21-Table2[[#This Row],[Solar Reading Panel II]])*1000</f>
        <v>-7191418</v>
      </c>
      <c r="FN20">
        <f>AI21-Table2[[#This Row],[3F1 Maintenance Workshop]]</f>
        <v>-14521.2768</v>
      </c>
      <c r="FO20">
        <f>BD21-Table2[[#This Row],[4F B2B unit ]]</f>
        <v>-274829.31199999998</v>
      </c>
      <c r="FP20">
        <f>BL21-Table2[[#This Row],[2F1 - PDB 6 - Bread, B2B section]]</f>
        <v>-69171.392000000007</v>
      </c>
      <c r="FQ20">
        <f>(CG21-Table2[[#This Row],[9F5 - PDB 14 - Bread Lift]])</f>
        <v>-360778.69439999998</v>
      </c>
      <c r="FR20">
        <f>CJ21-Table2[[#This Row],[PDB - 16 Bread Section]]</f>
        <v>-1171.7</v>
      </c>
      <c r="FS20">
        <f>BU21-Table2[[#This Row],[7F1 Donut Production area]]</f>
        <v>-625240</v>
      </c>
      <c r="FT20">
        <f>CB21-Table2[[#This Row],[8F5 Donut Ban Bary]]</f>
        <v>-107697.624</v>
      </c>
      <c r="FU20">
        <f>CF21-Table2[[#This Row],[9F4 - PDB 13 - Donut Sink Geyser area]]</f>
        <v>-155480.304</v>
      </c>
      <c r="FV20">
        <f>BV21-Table2[[#This Row],[7F2 Flour Silo]]</f>
        <v>-1013561.52</v>
      </c>
      <c r="FW20">
        <f>BY21-Table2[[#This Row],[8F2 ACPDB - 3 SILO Ventilation]]</f>
        <v>-156812.576</v>
      </c>
      <c r="FX20">
        <f>J21-Table2[[#This Row],[DG 1010KVA Running Hours]]</f>
        <v>-4248.8</v>
      </c>
      <c r="FY20">
        <f>K21-Table2[[#This Row],[DG 1010 KVA Meter Reading]]</f>
        <v>-1765872</v>
      </c>
      <c r="FZ20">
        <f>L21-Table2[[#This Row],[GG 1010 KVA Running Hours]]</f>
        <v>-430</v>
      </c>
      <c r="GA20">
        <f>M21-Table2[[#This Row],[GG 1010 KVA Meter Reading]]</f>
        <v>-179.23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A12" zoomScale="76" workbookViewId="0">
      <selection activeCell="J31" sqref="J31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-411372.1</v>
      </c>
      <c r="M30" s="46">
        <f t="shared" si="3"/>
        <v>0</v>
      </c>
      <c r="N30" s="46">
        <f t="shared" si="3"/>
        <v>-47682.5</v>
      </c>
      <c r="O30" s="46">
        <f t="shared" si="3"/>
        <v>-370241.5</v>
      </c>
      <c r="P30" s="46">
        <f t="shared" si="3"/>
        <v>-248625.7</v>
      </c>
      <c r="Q30" s="46">
        <f t="shared" si="3"/>
        <v>-530503.80000000005</v>
      </c>
      <c r="R30" s="46">
        <f t="shared" si="3"/>
        <v>0</v>
      </c>
      <c r="S30" s="46">
        <f t="shared" si="3"/>
        <v>-718256</v>
      </c>
      <c r="T30" s="46">
        <f t="shared" si="3"/>
        <v>-1444136</v>
      </c>
      <c r="U30" s="47">
        <f t="shared" si="4"/>
        <v>-941875.9</v>
      </c>
      <c r="V30" s="47">
        <f t="shared" si="4"/>
        <v>0</v>
      </c>
      <c r="W30" s="47">
        <f t="shared" si="4"/>
        <v>-765938.5</v>
      </c>
      <c r="X30" s="47">
        <f t="shared" si="2"/>
        <v>-2063003.2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SUBTOTAL(9,L10:L11151)</f>
        <v>-395634.9</v>
      </c>
      <c r="M8" s="43">
        <f>SUBTOTAL(9,M10:M11151)</f>
        <v>-216048.1</v>
      </c>
      <c r="N8" s="43">
        <f>SUBTOTAL(9,N10:N11151)</f>
        <v>-34876.199999999997</v>
      </c>
      <c r="O8" s="43">
        <f>SUBTOTAL(9,O10:O11151)</f>
        <v>-355078.5</v>
      </c>
      <c r="P8" s="43">
        <f>SUBTOTAL(9,P10:P11151)</f>
        <v>-238362.8</v>
      </c>
      <c r="Q8" s="43">
        <f>SUBTOTAL(9,Q10:Q11151)</f>
        <v>-502130.1</v>
      </c>
      <c r="R8" s="43">
        <f>SUBTOTAL(9,R10:R11151)</f>
        <v>-303165.5</v>
      </c>
      <c r="S8" s="43">
        <f>SUBTOTAL(9,S10:S11151)</f>
        <v>-671211.6</v>
      </c>
      <c r="T8" s="43">
        <f>SUBTOTAL(9,T10:T11151)</f>
        <v>-1382335</v>
      </c>
      <c r="U8" s="43">
        <f>SUBTOTAL(9,U10:U11151)</f>
        <v>-897765</v>
      </c>
      <c r="V8" s="43">
        <f>SUBTOTAL(9,V10:V11151)</f>
        <v>-519213.6</v>
      </c>
      <c r="W8" s="43">
        <f>SUBTOTAL(9,W10:W11151)</f>
        <v>-706087.79999999993</v>
      </c>
      <c r="X8" s="43">
        <f>SUBTOTAL(9,X10:X11151)</f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0">IFERROR(C11-C10,0)</f>
        <v>0</v>
      </c>
      <c r="N10" s="46">
        <f t="shared" si="0"/>
        <v>204.90000000000146</v>
      </c>
      <c r="O10" s="46">
        <f t="shared" si="0"/>
        <v>371.59999999997672</v>
      </c>
      <c r="P10" s="46">
        <f t="shared" si="0"/>
        <v>227.20000000001164</v>
      </c>
      <c r="Q10" s="46">
        <f t="shared" si="0"/>
        <v>917.90000000002328</v>
      </c>
      <c r="R10" s="46">
        <f t="shared" si="0"/>
        <v>0</v>
      </c>
      <c r="S10" s="46">
        <f t="shared" si="0"/>
        <v>951.20000000006985</v>
      </c>
      <c r="T10" s="46">
        <f t="shared" si="0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1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2">IFERROR(B12-B11,0)</f>
        <v>502.5</v>
      </c>
      <c r="M11" s="46">
        <f t="shared" si="0"/>
        <v>0</v>
      </c>
      <c r="N11" s="46">
        <f t="shared" si="0"/>
        <v>326.40000000000146</v>
      </c>
      <c r="O11" s="46">
        <f t="shared" si="0"/>
        <v>365.40000000002328</v>
      </c>
      <c r="P11" s="46">
        <f t="shared" si="0"/>
        <v>222.20000000001164</v>
      </c>
      <c r="Q11" s="46">
        <f t="shared" si="0"/>
        <v>873.29999999998836</v>
      </c>
      <c r="R11" s="46">
        <f t="shared" si="0"/>
        <v>0</v>
      </c>
      <c r="S11" s="46">
        <f t="shared" si="0"/>
        <v>1377.3999999999069</v>
      </c>
      <c r="T11" s="46">
        <f t="shared" si="0"/>
        <v>1404</v>
      </c>
      <c r="U11" s="47">
        <f t="shared" ref="U11:W43" si="3">L11+Q11</f>
        <v>1375.7999999999884</v>
      </c>
      <c r="V11" s="47">
        <f t="shared" si="3"/>
        <v>0</v>
      </c>
      <c r="W11" s="47">
        <f t="shared" si="3"/>
        <v>1703.7999999999083</v>
      </c>
      <c r="X11" s="47">
        <f t="shared" si="1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2"/>
        <v>497.40000000002328</v>
      </c>
      <c r="M12" s="46">
        <f t="shared" si="0"/>
        <v>0</v>
      </c>
      <c r="N12" s="46">
        <f t="shared" si="0"/>
        <v>334</v>
      </c>
      <c r="O12" s="46">
        <f t="shared" si="0"/>
        <v>369.70000000001164</v>
      </c>
      <c r="P12" s="46">
        <f t="shared" si="0"/>
        <v>227</v>
      </c>
      <c r="Q12" s="46">
        <f t="shared" si="0"/>
        <v>927</v>
      </c>
      <c r="R12" s="46">
        <f t="shared" si="0"/>
        <v>0</v>
      </c>
      <c r="S12" s="46">
        <f t="shared" si="0"/>
        <v>1302.8000000000466</v>
      </c>
      <c r="T12" s="46">
        <f t="shared" si="0"/>
        <v>1436</v>
      </c>
      <c r="U12" s="47">
        <f t="shared" si="3"/>
        <v>1424.4000000000233</v>
      </c>
      <c r="V12" s="47">
        <f t="shared" si="3"/>
        <v>0</v>
      </c>
      <c r="W12" s="47">
        <f t="shared" si="3"/>
        <v>1636.8000000000466</v>
      </c>
      <c r="X12" s="47">
        <f t="shared" si="1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2"/>
        <v>326.40000000002328</v>
      </c>
      <c r="M13" s="46">
        <f t="shared" si="0"/>
        <v>0</v>
      </c>
      <c r="N13" s="46">
        <f t="shared" si="0"/>
        <v>328.5</v>
      </c>
      <c r="O13" s="46">
        <f t="shared" si="0"/>
        <v>371.70000000001164</v>
      </c>
      <c r="P13" s="46">
        <f t="shared" si="0"/>
        <v>228.5</v>
      </c>
      <c r="Q13" s="46">
        <f t="shared" si="0"/>
        <v>568</v>
      </c>
      <c r="R13" s="46">
        <f t="shared" si="0"/>
        <v>0</v>
      </c>
      <c r="S13" s="46">
        <f t="shared" si="0"/>
        <v>1371.5999999999767</v>
      </c>
      <c r="T13" s="46">
        <f t="shared" si="0"/>
        <v>1469</v>
      </c>
      <c r="U13" s="47">
        <f t="shared" si="3"/>
        <v>894.40000000002328</v>
      </c>
      <c r="V13" s="47">
        <f t="shared" si="3"/>
        <v>0</v>
      </c>
      <c r="W13" s="47">
        <f t="shared" si="3"/>
        <v>1700.0999999999767</v>
      </c>
      <c r="X13" s="47">
        <f t="shared" si="1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2"/>
        <v>0</v>
      </c>
      <c r="M14" s="46">
        <f t="shared" si="0"/>
        <v>431.60000000000582</v>
      </c>
      <c r="N14" s="46">
        <f t="shared" si="0"/>
        <v>335.59999999999854</v>
      </c>
      <c r="O14" s="46">
        <f t="shared" si="0"/>
        <v>364</v>
      </c>
      <c r="P14" s="46">
        <f t="shared" si="0"/>
        <v>246.09999999997672</v>
      </c>
      <c r="Q14" s="46">
        <f t="shared" si="0"/>
        <v>7.1000000000349246</v>
      </c>
      <c r="R14" s="46">
        <f t="shared" si="0"/>
        <v>555.5</v>
      </c>
      <c r="S14" s="46">
        <f t="shared" si="0"/>
        <v>1335.8000000000466</v>
      </c>
      <c r="T14" s="46">
        <f t="shared" si="0"/>
        <v>1297</v>
      </c>
      <c r="U14" s="47">
        <f t="shared" si="3"/>
        <v>7.1000000000349246</v>
      </c>
      <c r="V14" s="47">
        <f t="shared" si="3"/>
        <v>987.10000000000582</v>
      </c>
      <c r="W14" s="47">
        <f t="shared" si="3"/>
        <v>1671.4000000000451</v>
      </c>
      <c r="X14" s="47">
        <f t="shared" si="1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2"/>
        <v>0</v>
      </c>
      <c r="M15" s="46">
        <f t="shared" si="0"/>
        <v>430.5</v>
      </c>
      <c r="N15" s="46">
        <f t="shared" si="0"/>
        <v>329.80000000000291</v>
      </c>
      <c r="O15" s="46">
        <f t="shared" si="0"/>
        <v>250</v>
      </c>
      <c r="P15" s="46">
        <f t="shared" si="0"/>
        <v>231.90000000002328</v>
      </c>
      <c r="Q15" s="46">
        <f t="shared" si="0"/>
        <v>4.5999999999767169</v>
      </c>
      <c r="R15" s="46">
        <f t="shared" si="0"/>
        <v>553.19999999995343</v>
      </c>
      <c r="S15" s="46">
        <f t="shared" si="0"/>
        <v>1085.9000000000233</v>
      </c>
      <c r="T15" s="46">
        <f t="shared" si="0"/>
        <v>1511</v>
      </c>
      <c r="U15" s="47">
        <f t="shared" si="3"/>
        <v>4.5999999999767169</v>
      </c>
      <c r="V15" s="47">
        <f t="shared" si="3"/>
        <v>983.69999999995343</v>
      </c>
      <c r="W15" s="47">
        <f t="shared" si="3"/>
        <v>1415.7000000000262</v>
      </c>
      <c r="X15" s="47">
        <f t="shared" si="1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2"/>
        <v>0</v>
      </c>
      <c r="M16" s="46">
        <f t="shared" si="0"/>
        <v>421.5</v>
      </c>
      <c r="N16" s="46">
        <f t="shared" si="0"/>
        <v>223.40000000000146</v>
      </c>
      <c r="O16" s="46">
        <f t="shared" si="0"/>
        <v>250.29999999998836</v>
      </c>
      <c r="P16" s="46">
        <f t="shared" si="0"/>
        <v>231.19999999998254</v>
      </c>
      <c r="Q16" s="46">
        <f t="shared" si="0"/>
        <v>4.2000000000116415</v>
      </c>
      <c r="R16" s="46">
        <f t="shared" si="0"/>
        <v>425.80000000004657</v>
      </c>
      <c r="S16" s="46">
        <f t="shared" si="0"/>
        <v>477</v>
      </c>
      <c r="T16" s="46">
        <f t="shared" si="0"/>
        <v>1485</v>
      </c>
      <c r="U16" s="47">
        <f t="shared" si="3"/>
        <v>4.2000000000116415</v>
      </c>
      <c r="V16" s="47">
        <f t="shared" si="3"/>
        <v>847.30000000004657</v>
      </c>
      <c r="W16" s="47">
        <f t="shared" si="3"/>
        <v>700.40000000000146</v>
      </c>
      <c r="X16" s="47">
        <f t="shared" si="1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2"/>
        <v>0</v>
      </c>
      <c r="M17" s="46">
        <f t="shared" si="0"/>
        <v>421.60000000000582</v>
      </c>
      <c r="N17" s="46">
        <f t="shared" si="0"/>
        <v>333.79999999999563</v>
      </c>
      <c r="O17" s="46">
        <f t="shared" si="0"/>
        <v>249.39999999996508</v>
      </c>
      <c r="P17" s="46">
        <f t="shared" si="0"/>
        <v>229.60000000000582</v>
      </c>
      <c r="Q17" s="46">
        <f t="shared" si="0"/>
        <v>6.2000000000116415</v>
      </c>
      <c r="R17" s="46">
        <f t="shared" si="0"/>
        <v>511.69999999995343</v>
      </c>
      <c r="S17" s="46">
        <f t="shared" si="0"/>
        <v>1523.3999999999069</v>
      </c>
      <c r="T17" s="46">
        <f t="shared" si="0"/>
        <v>1466</v>
      </c>
      <c r="U17" s="47">
        <f t="shared" si="3"/>
        <v>6.2000000000116415</v>
      </c>
      <c r="V17" s="47">
        <f t="shared" si="3"/>
        <v>933.29999999995925</v>
      </c>
      <c r="W17" s="47">
        <f t="shared" si="3"/>
        <v>1857.1999999999025</v>
      </c>
      <c r="X17" s="47">
        <f t="shared" si="1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2"/>
        <v>0</v>
      </c>
      <c r="M18" s="46">
        <f t="shared" si="0"/>
        <v>419.89999999999418</v>
      </c>
      <c r="N18" s="46">
        <f t="shared" si="0"/>
        <v>336.80000000000291</v>
      </c>
      <c r="O18" s="46">
        <f t="shared" si="0"/>
        <v>254.90000000002328</v>
      </c>
      <c r="P18" s="46">
        <f t="shared" si="0"/>
        <v>249.10000000000582</v>
      </c>
      <c r="Q18" s="46">
        <f t="shared" si="0"/>
        <v>6.7999999999883585</v>
      </c>
      <c r="R18" s="46">
        <f t="shared" si="0"/>
        <v>442.30000000004657</v>
      </c>
      <c r="S18" s="46">
        <f t="shared" si="0"/>
        <v>1404.7000000000698</v>
      </c>
      <c r="T18" s="46">
        <f t="shared" si="0"/>
        <v>1382</v>
      </c>
      <c r="U18" s="47">
        <f t="shared" si="3"/>
        <v>6.7999999999883585</v>
      </c>
      <c r="V18" s="47">
        <f t="shared" si="3"/>
        <v>862.20000000004075</v>
      </c>
      <c r="W18" s="47">
        <f t="shared" si="3"/>
        <v>1741.5000000000728</v>
      </c>
      <c r="X18" s="47">
        <f t="shared" si="1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2"/>
        <v>0</v>
      </c>
      <c r="M19" s="46">
        <f t="shared" si="0"/>
        <v>429</v>
      </c>
      <c r="N19" s="46">
        <f t="shared" si="0"/>
        <v>326.59999999999854</v>
      </c>
      <c r="O19" s="46">
        <f t="shared" si="0"/>
        <v>372.09999999997672</v>
      </c>
      <c r="P19" s="46">
        <f t="shared" si="0"/>
        <v>231.69999999998254</v>
      </c>
      <c r="Q19" s="46">
        <f t="shared" si="0"/>
        <v>3</v>
      </c>
      <c r="R19" s="46">
        <f t="shared" si="0"/>
        <v>481.19999999995343</v>
      </c>
      <c r="S19" s="46">
        <f t="shared" si="0"/>
        <v>1353.2999999999302</v>
      </c>
      <c r="T19" s="46">
        <f t="shared" si="0"/>
        <v>1521</v>
      </c>
      <c r="U19" s="47">
        <f t="shared" si="3"/>
        <v>3</v>
      </c>
      <c r="V19" s="47">
        <f t="shared" si="3"/>
        <v>910.19999999995343</v>
      </c>
      <c r="W19" s="47">
        <f t="shared" si="3"/>
        <v>1679.8999999999287</v>
      </c>
      <c r="X19" s="47">
        <f t="shared" si="1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2"/>
        <v>249.79999999998836</v>
      </c>
      <c r="M20" s="46">
        <f t="shared" si="0"/>
        <v>230</v>
      </c>
      <c r="N20" s="46">
        <f t="shared" si="0"/>
        <v>335</v>
      </c>
      <c r="O20" s="46">
        <f t="shared" si="0"/>
        <v>394.60000000003492</v>
      </c>
      <c r="P20" s="46">
        <f t="shared" si="0"/>
        <v>228.30000000001746</v>
      </c>
      <c r="Q20" s="46">
        <f t="shared" si="0"/>
        <v>496.29999999998836</v>
      </c>
      <c r="R20" s="46">
        <f t="shared" si="0"/>
        <v>244.60000000003492</v>
      </c>
      <c r="S20" s="46">
        <f t="shared" si="0"/>
        <v>1501.2000000000698</v>
      </c>
      <c r="T20" s="46">
        <f t="shared" si="0"/>
        <v>1478</v>
      </c>
      <c r="U20" s="47">
        <f t="shared" si="3"/>
        <v>746.09999999997672</v>
      </c>
      <c r="V20" s="47">
        <f t="shared" si="3"/>
        <v>474.60000000003492</v>
      </c>
      <c r="W20" s="47">
        <f t="shared" si="3"/>
        <v>1836.2000000000698</v>
      </c>
      <c r="X20" s="47">
        <f t="shared" si="1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2"/>
        <v>493.20000000001164</v>
      </c>
      <c r="M21" s="46">
        <f t="shared" si="0"/>
        <v>0</v>
      </c>
      <c r="N21" s="46">
        <f t="shared" si="0"/>
        <v>329</v>
      </c>
      <c r="O21" s="46">
        <f t="shared" si="0"/>
        <v>373.79999999998836</v>
      </c>
      <c r="P21" s="46">
        <f t="shared" si="0"/>
        <v>229.39999999999418</v>
      </c>
      <c r="Q21" s="46">
        <f t="shared" si="0"/>
        <v>968.20000000001164</v>
      </c>
      <c r="R21" s="46">
        <f t="shared" si="0"/>
        <v>0</v>
      </c>
      <c r="S21" s="46">
        <f t="shared" si="0"/>
        <v>1309.5999999999767</v>
      </c>
      <c r="T21" s="46">
        <f t="shared" si="0"/>
        <v>1499</v>
      </c>
      <c r="U21" s="47">
        <f t="shared" si="3"/>
        <v>1461.4000000000233</v>
      </c>
      <c r="V21" s="47">
        <f t="shared" si="3"/>
        <v>0</v>
      </c>
      <c r="W21" s="47">
        <f t="shared" si="3"/>
        <v>1638.5999999999767</v>
      </c>
      <c r="X21" s="47">
        <f t="shared" si="1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2"/>
        <v>493.59999999997672</v>
      </c>
      <c r="M22" s="46">
        <f t="shared" si="0"/>
        <v>0</v>
      </c>
      <c r="N22" s="46">
        <f t="shared" si="0"/>
        <v>335</v>
      </c>
      <c r="O22" s="46">
        <f t="shared" si="0"/>
        <v>395.20000000001164</v>
      </c>
      <c r="P22" s="46">
        <f t="shared" si="0"/>
        <v>247.79999999998836</v>
      </c>
      <c r="Q22" s="46">
        <f t="shared" si="0"/>
        <v>978.29999999998836</v>
      </c>
      <c r="R22" s="46">
        <f t="shared" si="0"/>
        <v>0</v>
      </c>
      <c r="S22" s="46">
        <f t="shared" si="0"/>
        <v>1260.5999999999767</v>
      </c>
      <c r="T22" s="46">
        <f t="shared" si="0"/>
        <v>1526</v>
      </c>
      <c r="U22" s="47">
        <f t="shared" si="3"/>
        <v>1471.8999999999651</v>
      </c>
      <c r="V22" s="47">
        <f t="shared" si="3"/>
        <v>0</v>
      </c>
      <c r="W22" s="47">
        <f t="shared" si="3"/>
        <v>1595.5999999999767</v>
      </c>
      <c r="X22" s="47">
        <f t="shared" si="1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2"/>
        <v>479.79999999998836</v>
      </c>
      <c r="M23" s="46">
        <f t="shared" si="0"/>
        <v>0</v>
      </c>
      <c r="N23" s="46">
        <f t="shared" si="0"/>
        <v>274.90000000000146</v>
      </c>
      <c r="O23" s="46">
        <f t="shared" si="0"/>
        <v>377.20000000001164</v>
      </c>
      <c r="P23" s="46">
        <f t="shared" si="0"/>
        <v>232.5</v>
      </c>
      <c r="Q23" s="46">
        <f t="shared" si="0"/>
        <v>668.09999999997672</v>
      </c>
      <c r="R23" s="46">
        <f t="shared" si="0"/>
        <v>0</v>
      </c>
      <c r="S23" s="46">
        <f t="shared" si="0"/>
        <v>580.80000000004657</v>
      </c>
      <c r="T23" s="46">
        <f t="shared" si="0"/>
        <v>1529</v>
      </c>
      <c r="U23" s="47">
        <f t="shared" si="3"/>
        <v>1147.8999999999651</v>
      </c>
      <c r="V23" s="47">
        <f t="shared" si="3"/>
        <v>0</v>
      </c>
      <c r="W23" s="47">
        <f t="shared" si="3"/>
        <v>855.70000000004802</v>
      </c>
      <c r="X23" s="47">
        <f t="shared" si="1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2"/>
        <v>497.29999999998836</v>
      </c>
      <c r="M24" s="46">
        <f t="shared" si="0"/>
        <v>0</v>
      </c>
      <c r="N24" s="46">
        <f t="shared" si="0"/>
        <v>328.19999999999709</v>
      </c>
      <c r="O24" s="46">
        <f t="shared" si="0"/>
        <v>376.39999999996508</v>
      </c>
      <c r="P24" s="46">
        <f t="shared" si="0"/>
        <v>231.70000000001164</v>
      </c>
      <c r="Q24" s="46">
        <f t="shared" si="0"/>
        <v>1003.2000000000116</v>
      </c>
      <c r="R24" s="46">
        <f t="shared" si="0"/>
        <v>0</v>
      </c>
      <c r="S24" s="46">
        <f t="shared" si="0"/>
        <v>1269.9000000000233</v>
      </c>
      <c r="T24" s="46">
        <f t="shared" si="0"/>
        <v>1487</v>
      </c>
      <c r="U24" s="47">
        <f t="shared" si="3"/>
        <v>1500.5</v>
      </c>
      <c r="V24" s="47">
        <f t="shared" si="3"/>
        <v>0</v>
      </c>
      <c r="W24" s="47">
        <f t="shared" si="3"/>
        <v>1598.1000000000204</v>
      </c>
      <c r="X24" s="47">
        <f t="shared" si="1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2"/>
        <v>495.70000000001164</v>
      </c>
      <c r="M25" s="46">
        <f t="shared" si="0"/>
        <v>0</v>
      </c>
      <c r="N25" s="46">
        <f t="shared" si="0"/>
        <v>324.20000000000437</v>
      </c>
      <c r="O25" s="46">
        <f t="shared" si="0"/>
        <v>350.60000000003492</v>
      </c>
      <c r="P25" s="46">
        <f t="shared" si="0"/>
        <v>225.29999999998836</v>
      </c>
      <c r="Q25" s="46">
        <f t="shared" si="0"/>
        <v>1020.9000000000233</v>
      </c>
      <c r="R25" s="46">
        <f t="shared" si="0"/>
        <v>0</v>
      </c>
      <c r="S25" s="46">
        <f t="shared" si="0"/>
        <v>1444</v>
      </c>
      <c r="T25" s="46">
        <f t="shared" si="0"/>
        <v>1143</v>
      </c>
      <c r="U25" s="47">
        <f t="shared" si="3"/>
        <v>1516.6000000000349</v>
      </c>
      <c r="V25" s="47">
        <f t="shared" si="3"/>
        <v>0</v>
      </c>
      <c r="W25" s="47">
        <f t="shared" si="3"/>
        <v>1768.2000000000044</v>
      </c>
      <c r="X25" s="47">
        <f t="shared" si="1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2"/>
        <v>495.90000000002328</v>
      </c>
      <c r="M26" s="46">
        <f t="shared" si="2"/>
        <v>0</v>
      </c>
      <c r="N26" s="46">
        <f t="shared" si="2"/>
        <v>334</v>
      </c>
      <c r="O26" s="46">
        <f t="shared" si="2"/>
        <v>329.39999999996508</v>
      </c>
      <c r="P26" s="46">
        <f t="shared" si="2"/>
        <v>222.60000000000582</v>
      </c>
      <c r="Q26" s="46">
        <f t="shared" si="2"/>
        <v>968.09999999997672</v>
      </c>
      <c r="R26" s="46">
        <f t="shared" si="2"/>
        <v>0</v>
      </c>
      <c r="S26" s="46">
        <f t="shared" si="2"/>
        <v>1424.8999999999069</v>
      </c>
      <c r="T26" s="46">
        <f t="shared" si="2"/>
        <v>1091</v>
      </c>
      <c r="U26" s="47">
        <f t="shared" si="3"/>
        <v>1464</v>
      </c>
      <c r="V26" s="47">
        <f t="shared" si="3"/>
        <v>0</v>
      </c>
      <c r="W26" s="47">
        <f t="shared" si="3"/>
        <v>1758.8999999999069</v>
      </c>
      <c r="X26" s="47">
        <f t="shared" si="1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2"/>
        <v>490.5</v>
      </c>
      <c r="M27" s="46">
        <f t="shared" si="2"/>
        <v>0</v>
      </c>
      <c r="N27" s="46">
        <f t="shared" si="2"/>
        <v>327.59999999999854</v>
      </c>
      <c r="O27" s="46">
        <f t="shared" si="2"/>
        <v>299.10000000003492</v>
      </c>
      <c r="P27" s="46">
        <f t="shared" si="2"/>
        <v>230.10000000000582</v>
      </c>
      <c r="Q27" s="46">
        <f t="shared" si="2"/>
        <v>1075.4000000000233</v>
      </c>
      <c r="R27" s="46">
        <f t="shared" si="2"/>
        <v>0</v>
      </c>
      <c r="S27" s="46">
        <f t="shared" si="2"/>
        <v>1316.2000000000698</v>
      </c>
      <c r="T27" s="46">
        <f t="shared" si="2"/>
        <v>1294</v>
      </c>
      <c r="U27" s="47">
        <f t="shared" si="3"/>
        <v>1565.9000000000233</v>
      </c>
      <c r="V27" s="47">
        <f t="shared" si="3"/>
        <v>0</v>
      </c>
      <c r="W27" s="47">
        <f t="shared" si="3"/>
        <v>1643.8000000000684</v>
      </c>
      <c r="X27" s="47">
        <f t="shared" si="1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2"/>
        <v>481.29999999998836</v>
      </c>
      <c r="M28" s="46">
        <f t="shared" si="2"/>
        <v>0</v>
      </c>
      <c r="N28" s="46">
        <f t="shared" si="2"/>
        <v>325.79999999999563</v>
      </c>
      <c r="O28" s="46">
        <f t="shared" si="2"/>
        <v>257.59999999997672</v>
      </c>
      <c r="P28" s="46">
        <f t="shared" si="2"/>
        <v>223.39999999999418</v>
      </c>
      <c r="Q28" s="46">
        <f t="shared" si="2"/>
        <v>890</v>
      </c>
      <c r="R28" s="46">
        <f t="shared" si="2"/>
        <v>0</v>
      </c>
      <c r="S28" s="46">
        <f t="shared" si="2"/>
        <v>1287.0999999999767</v>
      </c>
      <c r="T28" s="46">
        <f t="shared" si="2"/>
        <v>1528</v>
      </c>
      <c r="U28" s="47">
        <f t="shared" si="3"/>
        <v>1371.2999999999884</v>
      </c>
      <c r="V28" s="47">
        <f t="shared" si="3"/>
        <v>0</v>
      </c>
      <c r="W28" s="47">
        <f t="shared" si="3"/>
        <v>1612.8999999999724</v>
      </c>
      <c r="X28" s="47">
        <f t="shared" si="1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2"/>
        <v>475.40000000002328</v>
      </c>
      <c r="M29" s="46">
        <f t="shared" si="2"/>
        <v>0</v>
      </c>
      <c r="N29" s="46">
        <f t="shared" si="2"/>
        <v>312.30000000000291</v>
      </c>
      <c r="O29" s="46">
        <f t="shared" si="2"/>
        <v>331.5</v>
      </c>
      <c r="P29" s="46">
        <f t="shared" si="2"/>
        <v>239.39999999999418</v>
      </c>
      <c r="Q29" s="46">
        <f t="shared" si="2"/>
        <v>821.79999999998836</v>
      </c>
      <c r="R29" s="46">
        <f t="shared" si="2"/>
        <v>0</v>
      </c>
      <c r="S29" s="46">
        <f t="shared" si="2"/>
        <v>1092</v>
      </c>
      <c r="T29" s="46">
        <f t="shared" si="2"/>
        <v>1423</v>
      </c>
      <c r="U29" s="47">
        <f t="shared" si="3"/>
        <v>1297.2000000000116</v>
      </c>
      <c r="V29" s="47">
        <f t="shared" si="3"/>
        <v>0</v>
      </c>
      <c r="W29" s="47">
        <f t="shared" si="3"/>
        <v>1404.3000000000029</v>
      </c>
      <c r="X29" s="47">
        <f t="shared" si="1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2"/>
        <v>470.19999999995343</v>
      </c>
      <c r="M30" s="46">
        <f t="shared" si="2"/>
        <v>0</v>
      </c>
      <c r="N30" s="46">
        <f t="shared" si="2"/>
        <v>243.5</v>
      </c>
      <c r="O30" s="46">
        <f t="shared" si="2"/>
        <v>369.40000000002328</v>
      </c>
      <c r="P30" s="46">
        <f t="shared" si="2"/>
        <v>215.80000000001746</v>
      </c>
      <c r="Q30" s="46">
        <f t="shared" si="2"/>
        <v>608.90000000002328</v>
      </c>
      <c r="R30" s="46">
        <f t="shared" si="2"/>
        <v>0</v>
      </c>
      <c r="S30" s="46">
        <f t="shared" si="2"/>
        <v>603.40000000002328</v>
      </c>
      <c r="T30" s="46">
        <f t="shared" si="2"/>
        <v>1515</v>
      </c>
      <c r="U30" s="47">
        <f t="shared" si="3"/>
        <v>1079.0999999999767</v>
      </c>
      <c r="V30" s="47">
        <f t="shared" si="3"/>
        <v>0</v>
      </c>
      <c r="W30" s="47">
        <f t="shared" si="3"/>
        <v>846.90000000002328</v>
      </c>
      <c r="X30" s="47">
        <f t="shared" si="1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2"/>
        <v>471.5</v>
      </c>
      <c r="M31" s="46">
        <f t="shared" si="2"/>
        <v>0</v>
      </c>
      <c r="N31" s="46">
        <f t="shared" si="2"/>
        <v>220.5</v>
      </c>
      <c r="O31" s="46">
        <f t="shared" si="2"/>
        <v>331.5</v>
      </c>
      <c r="P31" s="46">
        <f t="shared" si="2"/>
        <v>224.19999999998254</v>
      </c>
      <c r="Q31" s="46">
        <f t="shared" si="2"/>
        <v>772.59999999997672</v>
      </c>
      <c r="R31" s="46">
        <f t="shared" si="2"/>
        <v>0</v>
      </c>
      <c r="S31" s="46">
        <f t="shared" si="2"/>
        <v>999.19999999995343</v>
      </c>
      <c r="T31" s="46">
        <f t="shared" si="2"/>
        <v>1519</v>
      </c>
      <c r="U31" s="47">
        <f t="shared" si="3"/>
        <v>1244.0999999999767</v>
      </c>
      <c r="V31" s="47">
        <f t="shared" si="3"/>
        <v>0</v>
      </c>
      <c r="W31" s="47">
        <f t="shared" si="3"/>
        <v>1219.6999999999534</v>
      </c>
      <c r="X31" s="47">
        <f t="shared" si="1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2"/>
        <v>498.5</v>
      </c>
      <c r="M32" s="46">
        <f t="shared" si="2"/>
        <v>0</v>
      </c>
      <c r="N32" s="46">
        <f t="shared" si="2"/>
        <v>324.30000000000291</v>
      </c>
      <c r="O32" s="46">
        <f t="shared" si="2"/>
        <v>331.09999999997672</v>
      </c>
      <c r="P32" s="46">
        <f t="shared" si="2"/>
        <v>222.60000000000582</v>
      </c>
      <c r="Q32" s="46">
        <f t="shared" si="2"/>
        <v>872.90000000002328</v>
      </c>
      <c r="R32" s="46">
        <f t="shared" si="2"/>
        <v>0</v>
      </c>
      <c r="S32" s="46">
        <f t="shared" si="2"/>
        <v>1403.5</v>
      </c>
      <c r="T32" s="46">
        <f t="shared" si="2"/>
        <v>1508</v>
      </c>
      <c r="U32" s="47">
        <f t="shared" si="3"/>
        <v>1371.4000000000233</v>
      </c>
      <c r="V32" s="47">
        <f t="shared" si="3"/>
        <v>0</v>
      </c>
      <c r="W32" s="47">
        <f t="shared" si="3"/>
        <v>1727.8000000000029</v>
      </c>
      <c r="X32" s="47">
        <f t="shared" si="1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4">IFERROR(B34-B33,0)</f>
        <v>478</v>
      </c>
      <c r="M33" s="46">
        <f t="shared" si="4"/>
        <v>0</v>
      </c>
      <c r="N33" s="46">
        <f t="shared" si="4"/>
        <v>329.09999999999854</v>
      </c>
      <c r="O33" s="46">
        <f t="shared" si="4"/>
        <v>307.70000000001164</v>
      </c>
      <c r="P33" s="46">
        <f t="shared" si="4"/>
        <v>274.89999999999418</v>
      </c>
      <c r="Q33" s="46">
        <f t="shared" si="4"/>
        <v>806.29999999998836</v>
      </c>
      <c r="R33" s="46">
        <f t="shared" si="4"/>
        <v>0</v>
      </c>
      <c r="S33" s="46">
        <f t="shared" si="4"/>
        <v>1477.3000000000466</v>
      </c>
      <c r="T33" s="46">
        <f t="shared" si="4"/>
        <v>1346</v>
      </c>
      <c r="U33" s="47">
        <f t="shared" si="3"/>
        <v>1284.2999999999884</v>
      </c>
      <c r="V33" s="47">
        <f t="shared" si="3"/>
        <v>0</v>
      </c>
      <c r="W33" s="47">
        <f t="shared" si="3"/>
        <v>1806.4000000000451</v>
      </c>
      <c r="X33" s="47">
        <f t="shared" si="1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4"/>
        <v>294.10000000003492</v>
      </c>
      <c r="M34" s="46">
        <f t="shared" si="4"/>
        <v>0</v>
      </c>
      <c r="N34" s="46">
        <f t="shared" si="4"/>
        <v>328.5</v>
      </c>
      <c r="O34" s="46">
        <f t="shared" si="4"/>
        <v>347.70000000001164</v>
      </c>
      <c r="P34" s="46">
        <f t="shared" si="4"/>
        <v>222.20000000001164</v>
      </c>
      <c r="Q34" s="46">
        <f t="shared" si="4"/>
        <v>556.09999999997672</v>
      </c>
      <c r="R34" s="46">
        <f t="shared" si="4"/>
        <v>0</v>
      </c>
      <c r="S34" s="46">
        <f t="shared" si="4"/>
        <v>1472.1999999999534</v>
      </c>
      <c r="T34" s="46">
        <f t="shared" si="4"/>
        <v>1284</v>
      </c>
      <c r="U34" s="47">
        <f t="shared" ref="U34" si="5">L34+Q34</f>
        <v>850.20000000001164</v>
      </c>
      <c r="V34" s="47">
        <f t="shared" ref="V34" si="6">M34+R34</f>
        <v>0</v>
      </c>
      <c r="W34" s="47">
        <f t="shared" ref="W34" si="7">N34+S34</f>
        <v>1800.6999999999534</v>
      </c>
      <c r="X34" s="47">
        <f t="shared" ref="X34" si="8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2"/>
        <v>0</v>
      </c>
      <c r="M35" s="46">
        <f t="shared" si="2"/>
        <v>0</v>
      </c>
      <c r="N35" s="46">
        <f t="shared" si="2"/>
        <v>318.09999999999854</v>
      </c>
      <c r="O35" s="46">
        <f t="shared" si="2"/>
        <v>349.29999999998836</v>
      </c>
      <c r="P35" s="46">
        <f t="shared" si="2"/>
        <v>240.60000000000582</v>
      </c>
      <c r="Q35" s="46">
        <f t="shared" si="2"/>
        <v>3.2000000000116415</v>
      </c>
      <c r="R35" s="46">
        <f t="shared" si="2"/>
        <v>0</v>
      </c>
      <c r="S35" s="46">
        <f t="shared" si="2"/>
        <v>1238.2000000000698</v>
      </c>
      <c r="T35" s="46">
        <f t="shared" si="2"/>
        <v>1432</v>
      </c>
      <c r="U35" s="47">
        <f t="shared" si="3"/>
        <v>3.2000000000116415</v>
      </c>
      <c r="V35" s="47">
        <f t="shared" si="3"/>
        <v>0</v>
      </c>
      <c r="W35" s="47">
        <f t="shared" si="3"/>
        <v>1556.3000000000684</v>
      </c>
      <c r="X35" s="47">
        <f t="shared" si="1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2"/>
        <v>181.5</v>
      </c>
      <c r="M36" s="46">
        <f t="shared" si="2"/>
        <v>374</v>
      </c>
      <c r="N36" s="46">
        <f t="shared" si="2"/>
        <v>96.099999999998545</v>
      </c>
      <c r="O36" s="46">
        <f t="shared" si="2"/>
        <v>384.5</v>
      </c>
      <c r="P36" s="46">
        <f t="shared" si="2"/>
        <v>273.5</v>
      </c>
      <c r="Q36" s="46">
        <f t="shared" si="2"/>
        <v>485.59999999997672</v>
      </c>
      <c r="R36" s="46">
        <f t="shared" si="2"/>
        <v>618.70000000001164</v>
      </c>
      <c r="S36" s="46">
        <f t="shared" si="2"/>
        <v>321</v>
      </c>
      <c r="T36" s="46">
        <f t="shared" si="2"/>
        <v>1467</v>
      </c>
      <c r="U36" s="47">
        <f t="shared" si="3"/>
        <v>667.09999999997672</v>
      </c>
      <c r="V36" s="47">
        <f t="shared" si="3"/>
        <v>992.70000000001164</v>
      </c>
      <c r="W36" s="47">
        <f t="shared" si="3"/>
        <v>417.09999999999854</v>
      </c>
      <c r="X36" s="47">
        <f t="shared" si="1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2"/>
        <v>0</v>
      </c>
      <c r="M37" s="46">
        <f t="shared" si="2"/>
        <v>0</v>
      </c>
      <c r="N37" s="46">
        <f t="shared" si="2"/>
        <v>144.90000000000146</v>
      </c>
      <c r="O37" s="46">
        <f t="shared" si="2"/>
        <v>267.59999999997672</v>
      </c>
      <c r="P37" s="46">
        <f t="shared" si="2"/>
        <v>224.79999999998836</v>
      </c>
      <c r="Q37" s="46">
        <f t="shared" si="2"/>
        <v>5.3000000000465661</v>
      </c>
      <c r="R37" s="46">
        <f t="shared" si="2"/>
        <v>17.099999999976717</v>
      </c>
      <c r="S37" s="46">
        <f t="shared" si="2"/>
        <v>296.5</v>
      </c>
      <c r="T37" s="46">
        <f t="shared" si="2"/>
        <v>1425</v>
      </c>
      <c r="U37" s="47">
        <f t="shared" si="3"/>
        <v>5.3000000000465661</v>
      </c>
      <c r="V37" s="47">
        <f t="shared" si="3"/>
        <v>17.099999999976717</v>
      </c>
      <c r="W37" s="47">
        <f t="shared" si="3"/>
        <v>441.40000000000146</v>
      </c>
      <c r="X37" s="47">
        <f t="shared" si="1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2"/>
        <v>0</v>
      </c>
      <c r="M38" s="46">
        <f t="shared" si="2"/>
        <v>0</v>
      </c>
      <c r="N38" s="46">
        <f t="shared" si="2"/>
        <v>197.80000000000291</v>
      </c>
      <c r="O38" s="46">
        <f t="shared" si="2"/>
        <v>357.40000000002328</v>
      </c>
      <c r="P38" s="46">
        <f t="shared" si="2"/>
        <v>224.70000000001164</v>
      </c>
      <c r="Q38" s="46">
        <f t="shared" si="2"/>
        <v>1.5999999999767169</v>
      </c>
      <c r="R38" s="46">
        <f t="shared" si="2"/>
        <v>17.300000000046566</v>
      </c>
      <c r="S38" s="46">
        <f t="shared" si="2"/>
        <v>1034</v>
      </c>
      <c r="T38" s="46">
        <f t="shared" si="2"/>
        <v>1375</v>
      </c>
      <c r="U38" s="47">
        <f t="shared" si="3"/>
        <v>1.5999999999767169</v>
      </c>
      <c r="V38" s="47">
        <f t="shared" si="3"/>
        <v>17.300000000046566</v>
      </c>
      <c r="W38" s="47">
        <f t="shared" si="3"/>
        <v>1231.8000000000029</v>
      </c>
      <c r="X38" s="47">
        <f t="shared" si="1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9">IFERROR(B40-B39,0)</f>
        <v>0</v>
      </c>
      <c r="M39" s="46">
        <f t="shared" ref="M39" si="10">IFERROR(C40-C39,0)</f>
        <v>0</v>
      </c>
      <c r="N39" s="46">
        <f t="shared" ref="N39" si="11">IFERROR(D40-D39,0)</f>
        <v>289.79999999999563</v>
      </c>
      <c r="O39" s="46">
        <f t="shared" ref="O39" si="12">IFERROR(E40-E39,0)</f>
        <v>358.59999999997672</v>
      </c>
      <c r="P39" s="46">
        <f t="shared" ref="P39" si="13">IFERROR(F40-F39,0)</f>
        <v>250</v>
      </c>
      <c r="Q39" s="46">
        <f t="shared" ref="Q39" si="14">IFERROR(G40-G39,0)</f>
        <v>2.5999999999767169</v>
      </c>
      <c r="R39" s="46">
        <f t="shared" ref="R39" si="15">IFERROR(H40-H39,0)</f>
        <v>17.599999999976717</v>
      </c>
      <c r="S39" s="46">
        <f t="shared" ref="S39" si="16">IFERROR(I40-I39,0)</f>
        <v>1156.5</v>
      </c>
      <c r="T39" s="46">
        <f t="shared" ref="T39" si="17">IFERROR(J40-J39,0)</f>
        <v>1512</v>
      </c>
      <c r="U39" s="47">
        <f t="shared" ref="U39" si="18">L39+Q39</f>
        <v>2.5999999999767169</v>
      </c>
      <c r="V39" s="47">
        <f t="shared" ref="V39" si="19">M39+R39</f>
        <v>17.599999999976717</v>
      </c>
      <c r="W39" s="47">
        <f t="shared" ref="W39" si="20">N39+S39</f>
        <v>1446.2999999999956</v>
      </c>
      <c r="X39" s="47">
        <f t="shared" ref="X39" si="21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2"/>
        <v>-404509.2</v>
      </c>
      <c r="M40" s="46">
        <f t="shared" si="2"/>
        <v>-219206.2</v>
      </c>
      <c r="N40" s="46">
        <f t="shared" si="2"/>
        <v>-43674.6</v>
      </c>
      <c r="O40" s="46">
        <f t="shared" si="2"/>
        <v>-365187.8</v>
      </c>
      <c r="P40" s="46">
        <f t="shared" si="2"/>
        <v>-245371.1</v>
      </c>
      <c r="Q40" s="46">
        <f t="shared" si="2"/>
        <v>-518453.6</v>
      </c>
      <c r="R40" s="46">
        <f t="shared" si="2"/>
        <v>-307050.5</v>
      </c>
      <c r="S40" s="46">
        <f t="shared" si="2"/>
        <v>-705882.8</v>
      </c>
      <c r="T40" s="46">
        <f t="shared" si="2"/>
        <v>-1425139</v>
      </c>
      <c r="U40" s="47">
        <f t="shared" si="3"/>
        <v>-922962.8</v>
      </c>
      <c r="V40" s="47">
        <f t="shared" si="3"/>
        <v>-526256.69999999995</v>
      </c>
      <c r="W40" s="47">
        <f t="shared" si="3"/>
        <v>-749557.4</v>
      </c>
      <c r="X40" s="47">
        <f t="shared" si="1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2"/>
        <v>0</v>
      </c>
      <c r="M41" s="46">
        <f t="shared" si="2"/>
        <v>0</v>
      </c>
      <c r="N41" s="46">
        <f t="shared" si="2"/>
        <v>0</v>
      </c>
      <c r="O41" s="46">
        <f t="shared" si="2"/>
        <v>0</v>
      </c>
      <c r="P41" s="46">
        <f t="shared" si="2"/>
        <v>0</v>
      </c>
      <c r="Q41" s="46">
        <f t="shared" si="2"/>
        <v>0</v>
      </c>
      <c r="R41" s="46">
        <f t="shared" si="2"/>
        <v>0</v>
      </c>
      <c r="S41" s="46">
        <f t="shared" si="2"/>
        <v>0</v>
      </c>
      <c r="T41" s="46">
        <f t="shared" si="2"/>
        <v>0</v>
      </c>
      <c r="U41" s="47">
        <f t="shared" si="3"/>
        <v>0</v>
      </c>
      <c r="V41" s="47">
        <f t="shared" si="3"/>
        <v>0</v>
      </c>
      <c r="W41" s="47">
        <f t="shared" si="3"/>
        <v>0</v>
      </c>
      <c r="X41" s="47">
        <f t="shared" si="1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2"/>
        <v>0</v>
      </c>
      <c r="M42" s="46">
        <f t="shared" si="2"/>
        <v>0</v>
      </c>
      <c r="N42" s="46">
        <f t="shared" si="2"/>
        <v>0</v>
      </c>
      <c r="O42" s="46">
        <f t="shared" si="2"/>
        <v>0</v>
      </c>
      <c r="P42" s="46">
        <f t="shared" si="2"/>
        <v>0</v>
      </c>
      <c r="Q42" s="46">
        <f t="shared" si="2"/>
        <v>0</v>
      </c>
      <c r="R42" s="46">
        <f t="shared" si="2"/>
        <v>0</v>
      </c>
      <c r="S42" s="46">
        <f t="shared" si="2"/>
        <v>0</v>
      </c>
      <c r="T42" s="46">
        <f t="shared" si="2"/>
        <v>0</v>
      </c>
      <c r="U42" s="47">
        <f t="shared" si="3"/>
        <v>0</v>
      </c>
      <c r="V42" s="47">
        <f t="shared" si="3"/>
        <v>0</v>
      </c>
      <c r="W42" s="47">
        <f t="shared" si="3"/>
        <v>0</v>
      </c>
      <c r="X42" s="47">
        <f t="shared" si="1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2"/>
        <v>0</v>
      </c>
      <c r="M43" s="46">
        <f t="shared" si="2"/>
        <v>0</v>
      </c>
      <c r="N43" s="46">
        <f t="shared" si="2"/>
        <v>0</v>
      </c>
      <c r="O43" s="46">
        <f t="shared" si="2"/>
        <v>0</v>
      </c>
      <c r="P43" s="46">
        <f t="shared" si="2"/>
        <v>0</v>
      </c>
      <c r="Q43" s="46">
        <f t="shared" si="2"/>
        <v>0</v>
      </c>
      <c r="R43" s="46">
        <f t="shared" si="2"/>
        <v>0</v>
      </c>
      <c r="S43" s="46">
        <f t="shared" si="2"/>
        <v>0</v>
      </c>
      <c r="T43" s="46">
        <f t="shared" si="2"/>
        <v>0</v>
      </c>
      <c r="U43" s="47">
        <f t="shared" si="3"/>
        <v>0</v>
      </c>
      <c r="V43" s="47">
        <f t="shared" si="3"/>
        <v>0</v>
      </c>
      <c r="W43" s="47">
        <f t="shared" si="3"/>
        <v>0</v>
      </c>
      <c r="X43" s="47">
        <f t="shared" si="1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2">IFERROR(B45-B44,0)</f>
        <v>0</v>
      </c>
      <c r="M44" s="46">
        <f t="shared" si="22"/>
        <v>0</v>
      </c>
      <c r="N44" s="46">
        <f t="shared" si="22"/>
        <v>0</v>
      </c>
      <c r="O44" s="46">
        <f t="shared" si="22"/>
        <v>0</v>
      </c>
      <c r="P44" s="46">
        <f t="shared" si="22"/>
        <v>0</v>
      </c>
      <c r="Q44" s="46">
        <f t="shared" si="22"/>
        <v>0</v>
      </c>
      <c r="R44" s="46">
        <f t="shared" si="22"/>
        <v>0</v>
      </c>
      <c r="S44" s="46">
        <f t="shared" si="22"/>
        <v>0</v>
      </c>
      <c r="T44" s="46">
        <f t="shared" si="22"/>
        <v>0</v>
      </c>
      <c r="U44" s="47">
        <f t="shared" ref="U44:W107" si="23">L44+Q44</f>
        <v>0</v>
      </c>
      <c r="V44" s="47">
        <f t="shared" si="23"/>
        <v>0</v>
      </c>
      <c r="W44" s="47">
        <f t="shared" si="23"/>
        <v>0</v>
      </c>
      <c r="X44" s="47">
        <f t="shared" si="1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2"/>
        <v>0</v>
      </c>
      <c r="M45" s="46">
        <f t="shared" si="22"/>
        <v>0</v>
      </c>
      <c r="N45" s="46">
        <f t="shared" si="22"/>
        <v>0</v>
      </c>
      <c r="O45" s="46">
        <f t="shared" si="22"/>
        <v>0</v>
      </c>
      <c r="P45" s="46">
        <f t="shared" si="22"/>
        <v>0</v>
      </c>
      <c r="Q45" s="46">
        <f t="shared" si="22"/>
        <v>0</v>
      </c>
      <c r="R45" s="46">
        <f t="shared" si="22"/>
        <v>0</v>
      </c>
      <c r="S45" s="46">
        <f t="shared" si="22"/>
        <v>0</v>
      </c>
      <c r="T45" s="46">
        <f t="shared" si="22"/>
        <v>0</v>
      </c>
      <c r="U45" s="47">
        <f t="shared" si="23"/>
        <v>0</v>
      </c>
      <c r="V45" s="47">
        <f t="shared" si="23"/>
        <v>0</v>
      </c>
      <c r="W45" s="47">
        <f t="shared" si="23"/>
        <v>0</v>
      </c>
      <c r="X45" s="47">
        <f t="shared" si="1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2"/>
        <v>0</v>
      </c>
      <c r="M46" s="46">
        <f t="shared" si="22"/>
        <v>0</v>
      </c>
      <c r="N46" s="46">
        <f t="shared" si="22"/>
        <v>0</v>
      </c>
      <c r="O46" s="46">
        <f t="shared" si="22"/>
        <v>0</v>
      </c>
      <c r="P46" s="46">
        <f t="shared" si="22"/>
        <v>0</v>
      </c>
      <c r="Q46" s="46">
        <f t="shared" si="22"/>
        <v>0</v>
      </c>
      <c r="R46" s="46">
        <f t="shared" si="22"/>
        <v>0</v>
      </c>
      <c r="S46" s="46">
        <f t="shared" si="22"/>
        <v>0</v>
      </c>
      <c r="T46" s="46">
        <f t="shared" si="22"/>
        <v>0</v>
      </c>
      <c r="U46" s="47">
        <f t="shared" si="23"/>
        <v>0</v>
      </c>
      <c r="V46" s="47">
        <f t="shared" si="23"/>
        <v>0</v>
      </c>
      <c r="W46" s="47">
        <f t="shared" si="23"/>
        <v>0</v>
      </c>
      <c r="X46" s="47">
        <f t="shared" si="1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2"/>
        <v>0</v>
      </c>
      <c r="M47" s="46">
        <f t="shared" si="22"/>
        <v>0</v>
      </c>
      <c r="N47" s="46">
        <f t="shared" si="22"/>
        <v>0</v>
      </c>
      <c r="O47" s="46">
        <f t="shared" si="22"/>
        <v>0</v>
      </c>
      <c r="P47" s="46">
        <f t="shared" si="22"/>
        <v>0</v>
      </c>
      <c r="Q47" s="46">
        <f t="shared" si="22"/>
        <v>0</v>
      </c>
      <c r="R47" s="46">
        <f t="shared" si="22"/>
        <v>0</v>
      </c>
      <c r="S47" s="46">
        <f t="shared" si="22"/>
        <v>0</v>
      </c>
      <c r="T47" s="46">
        <f t="shared" si="22"/>
        <v>0</v>
      </c>
      <c r="U47" s="47">
        <f t="shared" si="23"/>
        <v>0</v>
      </c>
      <c r="V47" s="47">
        <f t="shared" si="23"/>
        <v>0</v>
      </c>
      <c r="W47" s="47">
        <f t="shared" si="23"/>
        <v>0</v>
      </c>
      <c r="X47" s="47">
        <f t="shared" si="1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2"/>
        <v>0</v>
      </c>
      <c r="M48" s="46">
        <f t="shared" si="22"/>
        <v>0</v>
      </c>
      <c r="N48" s="46">
        <f t="shared" si="22"/>
        <v>0</v>
      </c>
      <c r="O48" s="46">
        <f t="shared" si="22"/>
        <v>0</v>
      </c>
      <c r="P48" s="46">
        <f t="shared" si="22"/>
        <v>0</v>
      </c>
      <c r="Q48" s="46">
        <f t="shared" si="22"/>
        <v>0</v>
      </c>
      <c r="R48" s="46">
        <f t="shared" si="22"/>
        <v>0</v>
      </c>
      <c r="S48" s="46">
        <f t="shared" si="22"/>
        <v>0</v>
      </c>
      <c r="T48" s="46">
        <f t="shared" si="22"/>
        <v>0</v>
      </c>
      <c r="U48" s="47">
        <f t="shared" si="23"/>
        <v>0</v>
      </c>
      <c r="V48" s="47">
        <f t="shared" si="23"/>
        <v>0</v>
      </c>
      <c r="W48" s="47">
        <f t="shared" si="23"/>
        <v>0</v>
      </c>
      <c r="X48" s="47">
        <f t="shared" si="1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2"/>
        <v>0</v>
      </c>
      <c r="M49" s="46">
        <f t="shared" si="22"/>
        <v>0</v>
      </c>
      <c r="N49" s="46">
        <f t="shared" si="22"/>
        <v>0</v>
      </c>
      <c r="O49" s="46">
        <f t="shared" si="22"/>
        <v>0</v>
      </c>
      <c r="P49" s="46">
        <f t="shared" si="22"/>
        <v>0</v>
      </c>
      <c r="Q49" s="46">
        <f t="shared" si="22"/>
        <v>0</v>
      </c>
      <c r="R49" s="46">
        <f t="shared" si="22"/>
        <v>0</v>
      </c>
      <c r="S49" s="46">
        <f t="shared" si="22"/>
        <v>0</v>
      </c>
      <c r="T49" s="46">
        <f t="shared" si="22"/>
        <v>0</v>
      </c>
      <c r="U49" s="47">
        <f t="shared" si="23"/>
        <v>0</v>
      </c>
      <c r="V49" s="47">
        <f t="shared" si="23"/>
        <v>0</v>
      </c>
      <c r="W49" s="47">
        <f t="shared" si="23"/>
        <v>0</v>
      </c>
      <c r="X49" s="47">
        <f t="shared" si="1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2"/>
        <v>0</v>
      </c>
      <c r="M50" s="46">
        <f t="shared" si="22"/>
        <v>0</v>
      </c>
      <c r="N50" s="46">
        <f t="shared" si="22"/>
        <v>0</v>
      </c>
      <c r="O50" s="46">
        <f t="shared" si="22"/>
        <v>0</v>
      </c>
      <c r="P50" s="46">
        <f t="shared" si="22"/>
        <v>0</v>
      </c>
      <c r="Q50" s="46">
        <f t="shared" si="22"/>
        <v>0</v>
      </c>
      <c r="R50" s="46">
        <f t="shared" si="22"/>
        <v>0</v>
      </c>
      <c r="S50" s="46">
        <f t="shared" si="22"/>
        <v>0</v>
      </c>
      <c r="T50" s="46">
        <f t="shared" si="22"/>
        <v>0</v>
      </c>
      <c r="U50" s="47">
        <f t="shared" si="23"/>
        <v>0</v>
      </c>
      <c r="V50" s="47">
        <f t="shared" si="23"/>
        <v>0</v>
      </c>
      <c r="W50" s="47">
        <f t="shared" si="23"/>
        <v>0</v>
      </c>
      <c r="X50" s="47">
        <f t="shared" si="1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2"/>
        <v>0</v>
      </c>
      <c r="M51" s="46">
        <f t="shared" si="22"/>
        <v>0</v>
      </c>
      <c r="N51" s="46">
        <f t="shared" si="22"/>
        <v>0</v>
      </c>
      <c r="O51" s="46">
        <f t="shared" si="22"/>
        <v>0</v>
      </c>
      <c r="P51" s="46">
        <f t="shared" si="22"/>
        <v>0</v>
      </c>
      <c r="Q51" s="46">
        <f t="shared" si="22"/>
        <v>0</v>
      </c>
      <c r="R51" s="46">
        <f t="shared" si="22"/>
        <v>0</v>
      </c>
      <c r="S51" s="46">
        <f t="shared" si="22"/>
        <v>0</v>
      </c>
      <c r="T51" s="46">
        <f t="shared" si="22"/>
        <v>0</v>
      </c>
      <c r="U51" s="47">
        <f t="shared" si="23"/>
        <v>0</v>
      </c>
      <c r="V51" s="47">
        <f t="shared" si="23"/>
        <v>0</v>
      </c>
      <c r="W51" s="47">
        <f t="shared" si="23"/>
        <v>0</v>
      </c>
      <c r="X51" s="47">
        <f t="shared" si="1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2"/>
        <v>0</v>
      </c>
      <c r="M52" s="46">
        <f t="shared" si="22"/>
        <v>0</v>
      </c>
      <c r="N52" s="46">
        <f t="shared" si="22"/>
        <v>0</v>
      </c>
      <c r="O52" s="46">
        <f t="shared" si="22"/>
        <v>0</v>
      </c>
      <c r="P52" s="46">
        <f t="shared" si="22"/>
        <v>0</v>
      </c>
      <c r="Q52" s="46">
        <f t="shared" si="22"/>
        <v>0</v>
      </c>
      <c r="R52" s="46">
        <f t="shared" si="22"/>
        <v>0</v>
      </c>
      <c r="S52" s="46">
        <f t="shared" si="22"/>
        <v>0</v>
      </c>
      <c r="T52" s="46">
        <f t="shared" si="22"/>
        <v>0</v>
      </c>
      <c r="U52" s="47">
        <f t="shared" si="23"/>
        <v>0</v>
      </c>
      <c r="V52" s="47">
        <f t="shared" si="23"/>
        <v>0</v>
      </c>
      <c r="W52" s="47">
        <f t="shared" si="23"/>
        <v>0</v>
      </c>
      <c r="X52" s="47">
        <f t="shared" si="1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2"/>
        <v>0</v>
      </c>
      <c r="M53" s="46">
        <f t="shared" si="22"/>
        <v>0</v>
      </c>
      <c r="N53" s="46">
        <f t="shared" si="22"/>
        <v>0</v>
      </c>
      <c r="O53" s="46">
        <f t="shared" si="22"/>
        <v>0</v>
      </c>
      <c r="P53" s="46">
        <f t="shared" si="22"/>
        <v>0</v>
      </c>
      <c r="Q53" s="46">
        <f t="shared" si="22"/>
        <v>0</v>
      </c>
      <c r="R53" s="46">
        <f t="shared" si="22"/>
        <v>0</v>
      </c>
      <c r="S53" s="46">
        <f t="shared" si="22"/>
        <v>0</v>
      </c>
      <c r="T53" s="46">
        <f t="shared" si="22"/>
        <v>0</v>
      </c>
      <c r="U53" s="47">
        <f t="shared" si="23"/>
        <v>0</v>
      </c>
      <c r="V53" s="47">
        <f t="shared" si="23"/>
        <v>0</v>
      </c>
      <c r="W53" s="47">
        <f t="shared" si="23"/>
        <v>0</v>
      </c>
      <c r="X53" s="47">
        <f t="shared" si="1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2"/>
        <v>0</v>
      </c>
      <c r="M54" s="46">
        <f t="shared" si="22"/>
        <v>0</v>
      </c>
      <c r="N54" s="46">
        <f t="shared" si="22"/>
        <v>0</v>
      </c>
      <c r="O54" s="46">
        <f t="shared" si="22"/>
        <v>0</v>
      </c>
      <c r="P54" s="46">
        <f t="shared" si="22"/>
        <v>0</v>
      </c>
      <c r="Q54" s="46">
        <f t="shared" si="22"/>
        <v>0</v>
      </c>
      <c r="R54" s="46">
        <f t="shared" si="22"/>
        <v>0</v>
      </c>
      <c r="S54" s="46">
        <f t="shared" si="22"/>
        <v>0</v>
      </c>
      <c r="T54" s="46">
        <f t="shared" si="22"/>
        <v>0</v>
      </c>
      <c r="U54" s="47">
        <f t="shared" si="23"/>
        <v>0</v>
      </c>
      <c r="V54" s="47">
        <f t="shared" si="23"/>
        <v>0</v>
      </c>
      <c r="W54" s="47">
        <f t="shared" si="23"/>
        <v>0</v>
      </c>
      <c r="X54" s="47">
        <f t="shared" si="1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2"/>
        <v>0</v>
      </c>
      <c r="M55" s="46">
        <f t="shared" si="22"/>
        <v>0</v>
      </c>
      <c r="N55" s="46">
        <f t="shared" si="22"/>
        <v>0</v>
      </c>
      <c r="O55" s="46">
        <f t="shared" si="22"/>
        <v>0</v>
      </c>
      <c r="P55" s="46">
        <f t="shared" si="22"/>
        <v>0</v>
      </c>
      <c r="Q55" s="46">
        <f t="shared" si="22"/>
        <v>0</v>
      </c>
      <c r="R55" s="46">
        <f t="shared" si="22"/>
        <v>0</v>
      </c>
      <c r="S55" s="46">
        <f t="shared" si="22"/>
        <v>0</v>
      </c>
      <c r="T55" s="46">
        <f t="shared" si="22"/>
        <v>0</v>
      </c>
      <c r="U55" s="47">
        <f t="shared" si="23"/>
        <v>0</v>
      </c>
      <c r="V55" s="47">
        <f t="shared" si="23"/>
        <v>0</v>
      </c>
      <c r="W55" s="47">
        <f t="shared" si="23"/>
        <v>0</v>
      </c>
      <c r="X55" s="47">
        <f t="shared" si="1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2"/>
        <v>0</v>
      </c>
      <c r="M56" s="46">
        <f t="shared" si="22"/>
        <v>0</v>
      </c>
      <c r="N56" s="46">
        <f t="shared" si="22"/>
        <v>0</v>
      </c>
      <c r="O56" s="46">
        <f t="shared" si="22"/>
        <v>0</v>
      </c>
      <c r="P56" s="46">
        <f t="shared" si="22"/>
        <v>0</v>
      </c>
      <c r="Q56" s="46">
        <f t="shared" si="22"/>
        <v>0</v>
      </c>
      <c r="R56" s="46">
        <f t="shared" si="22"/>
        <v>0</v>
      </c>
      <c r="S56" s="46">
        <f t="shared" si="22"/>
        <v>0</v>
      </c>
      <c r="T56" s="46">
        <f t="shared" si="22"/>
        <v>0</v>
      </c>
      <c r="U56" s="47">
        <f t="shared" si="23"/>
        <v>0</v>
      </c>
      <c r="V56" s="47">
        <f t="shared" si="23"/>
        <v>0</v>
      </c>
      <c r="W56" s="47">
        <f t="shared" si="23"/>
        <v>0</v>
      </c>
      <c r="X56" s="47">
        <f t="shared" si="1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2"/>
        <v>0</v>
      </c>
      <c r="M57" s="46">
        <f t="shared" si="22"/>
        <v>0</v>
      </c>
      <c r="N57" s="46">
        <f t="shared" si="22"/>
        <v>0</v>
      </c>
      <c r="O57" s="46">
        <f t="shared" si="22"/>
        <v>0</v>
      </c>
      <c r="P57" s="46">
        <f t="shared" si="22"/>
        <v>0</v>
      </c>
      <c r="Q57" s="46">
        <f t="shared" si="22"/>
        <v>0</v>
      </c>
      <c r="R57" s="46">
        <f t="shared" si="22"/>
        <v>0</v>
      </c>
      <c r="S57" s="46">
        <f t="shared" si="22"/>
        <v>0</v>
      </c>
      <c r="T57" s="46">
        <f t="shared" si="22"/>
        <v>0</v>
      </c>
      <c r="U57" s="47">
        <f t="shared" si="23"/>
        <v>0</v>
      </c>
      <c r="V57" s="47">
        <f t="shared" si="23"/>
        <v>0</v>
      </c>
      <c r="W57" s="47">
        <f t="shared" si="23"/>
        <v>0</v>
      </c>
      <c r="X57" s="47">
        <f t="shared" si="1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2"/>
        <v>0</v>
      </c>
      <c r="M58" s="46">
        <f t="shared" si="22"/>
        <v>0</v>
      </c>
      <c r="N58" s="46">
        <f t="shared" si="22"/>
        <v>0</v>
      </c>
      <c r="O58" s="46">
        <f t="shared" si="22"/>
        <v>0</v>
      </c>
      <c r="P58" s="46">
        <f t="shared" si="22"/>
        <v>0</v>
      </c>
      <c r="Q58" s="46">
        <f t="shared" si="22"/>
        <v>0</v>
      </c>
      <c r="R58" s="46">
        <f t="shared" si="22"/>
        <v>0</v>
      </c>
      <c r="S58" s="46">
        <f t="shared" si="22"/>
        <v>0</v>
      </c>
      <c r="T58" s="46">
        <f t="shared" si="22"/>
        <v>0</v>
      </c>
      <c r="U58" s="47">
        <f t="shared" si="23"/>
        <v>0</v>
      </c>
      <c r="V58" s="47">
        <f t="shared" si="23"/>
        <v>0</v>
      </c>
      <c r="W58" s="47">
        <f t="shared" si="23"/>
        <v>0</v>
      </c>
      <c r="X58" s="47">
        <f t="shared" si="1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2"/>
        <v>0</v>
      </c>
      <c r="M59" s="46">
        <f t="shared" si="22"/>
        <v>0</v>
      </c>
      <c r="N59" s="46">
        <f t="shared" si="22"/>
        <v>0</v>
      </c>
      <c r="O59" s="46">
        <f t="shared" si="22"/>
        <v>0</v>
      </c>
      <c r="P59" s="46">
        <f t="shared" si="22"/>
        <v>0</v>
      </c>
      <c r="Q59" s="46">
        <f t="shared" si="22"/>
        <v>0</v>
      </c>
      <c r="R59" s="46">
        <f t="shared" si="22"/>
        <v>0</v>
      </c>
      <c r="S59" s="46">
        <f t="shared" si="22"/>
        <v>0</v>
      </c>
      <c r="T59" s="46">
        <f t="shared" si="22"/>
        <v>0</v>
      </c>
      <c r="U59" s="47">
        <f t="shared" si="23"/>
        <v>0</v>
      </c>
      <c r="V59" s="47">
        <f t="shared" si="23"/>
        <v>0</v>
      </c>
      <c r="W59" s="47">
        <f t="shared" si="23"/>
        <v>0</v>
      </c>
      <c r="X59" s="47">
        <f t="shared" si="1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2"/>
        <v>0</v>
      </c>
      <c r="M60" s="46">
        <f t="shared" si="22"/>
        <v>0</v>
      </c>
      <c r="N60" s="46">
        <f t="shared" si="22"/>
        <v>0</v>
      </c>
      <c r="O60" s="46">
        <f t="shared" si="22"/>
        <v>0</v>
      </c>
      <c r="P60" s="46">
        <f t="shared" si="22"/>
        <v>0</v>
      </c>
      <c r="Q60" s="46">
        <f t="shared" si="22"/>
        <v>0</v>
      </c>
      <c r="R60" s="46">
        <f t="shared" si="22"/>
        <v>0</v>
      </c>
      <c r="S60" s="46">
        <f t="shared" si="22"/>
        <v>0</v>
      </c>
      <c r="T60" s="46">
        <f t="shared" si="22"/>
        <v>0</v>
      </c>
      <c r="U60" s="47">
        <f t="shared" si="23"/>
        <v>0</v>
      </c>
      <c r="V60" s="47">
        <f t="shared" si="23"/>
        <v>0</v>
      </c>
      <c r="W60" s="47">
        <f t="shared" si="23"/>
        <v>0</v>
      </c>
      <c r="X60" s="47">
        <f t="shared" si="1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2"/>
        <v>0</v>
      </c>
      <c r="M61" s="46">
        <f t="shared" si="22"/>
        <v>0</v>
      </c>
      <c r="N61" s="46">
        <f t="shared" si="22"/>
        <v>0</v>
      </c>
      <c r="O61" s="46">
        <f t="shared" si="22"/>
        <v>0</v>
      </c>
      <c r="P61" s="46">
        <f t="shared" si="22"/>
        <v>0</v>
      </c>
      <c r="Q61" s="46">
        <f t="shared" si="22"/>
        <v>0</v>
      </c>
      <c r="R61" s="46">
        <f t="shared" si="22"/>
        <v>0</v>
      </c>
      <c r="S61" s="46">
        <f t="shared" si="22"/>
        <v>0</v>
      </c>
      <c r="T61" s="46">
        <f t="shared" si="22"/>
        <v>0</v>
      </c>
      <c r="U61" s="47">
        <f t="shared" si="23"/>
        <v>0</v>
      </c>
      <c r="V61" s="47">
        <f t="shared" si="23"/>
        <v>0</v>
      </c>
      <c r="W61" s="47">
        <f t="shared" si="23"/>
        <v>0</v>
      </c>
      <c r="X61" s="47">
        <f t="shared" si="1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2"/>
        <v>0</v>
      </c>
      <c r="M62" s="46">
        <f t="shared" si="22"/>
        <v>0</v>
      </c>
      <c r="N62" s="46">
        <f t="shared" si="22"/>
        <v>0</v>
      </c>
      <c r="O62" s="46">
        <f t="shared" si="22"/>
        <v>0</v>
      </c>
      <c r="P62" s="46">
        <f t="shared" si="22"/>
        <v>0</v>
      </c>
      <c r="Q62" s="46">
        <f t="shared" si="22"/>
        <v>0</v>
      </c>
      <c r="R62" s="46">
        <f t="shared" si="22"/>
        <v>0</v>
      </c>
      <c r="S62" s="46">
        <f t="shared" si="22"/>
        <v>0</v>
      </c>
      <c r="T62" s="46">
        <f t="shared" si="22"/>
        <v>0</v>
      </c>
      <c r="U62" s="47">
        <f t="shared" si="23"/>
        <v>0</v>
      </c>
      <c r="V62" s="47">
        <f t="shared" si="23"/>
        <v>0</v>
      </c>
      <c r="W62" s="47">
        <f t="shared" si="23"/>
        <v>0</v>
      </c>
      <c r="X62" s="47">
        <f t="shared" si="1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2"/>
        <v>0</v>
      </c>
      <c r="M63" s="46">
        <f t="shared" si="22"/>
        <v>0</v>
      </c>
      <c r="N63" s="46">
        <f t="shared" si="22"/>
        <v>0</v>
      </c>
      <c r="O63" s="46">
        <f t="shared" si="22"/>
        <v>0</v>
      </c>
      <c r="P63" s="46">
        <f t="shared" si="22"/>
        <v>0</v>
      </c>
      <c r="Q63" s="46">
        <f t="shared" si="22"/>
        <v>0</v>
      </c>
      <c r="R63" s="46">
        <f t="shared" si="22"/>
        <v>0</v>
      </c>
      <c r="S63" s="46">
        <f t="shared" si="22"/>
        <v>0</v>
      </c>
      <c r="T63" s="46">
        <f t="shared" si="22"/>
        <v>0</v>
      </c>
      <c r="U63" s="47">
        <f t="shared" si="23"/>
        <v>0</v>
      </c>
      <c r="V63" s="47">
        <f t="shared" si="23"/>
        <v>0</v>
      </c>
      <c r="W63" s="47">
        <f t="shared" si="23"/>
        <v>0</v>
      </c>
      <c r="X63" s="47">
        <f t="shared" si="1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2"/>
        <v>0</v>
      </c>
      <c r="M64" s="46">
        <f t="shared" si="22"/>
        <v>0</v>
      </c>
      <c r="N64" s="46">
        <f t="shared" si="22"/>
        <v>0</v>
      </c>
      <c r="O64" s="46">
        <f t="shared" si="22"/>
        <v>0</v>
      </c>
      <c r="P64" s="46">
        <f t="shared" si="22"/>
        <v>0</v>
      </c>
      <c r="Q64" s="46">
        <f t="shared" si="22"/>
        <v>0</v>
      </c>
      <c r="R64" s="46">
        <f t="shared" si="22"/>
        <v>0</v>
      </c>
      <c r="S64" s="46">
        <f t="shared" si="22"/>
        <v>0</v>
      </c>
      <c r="T64" s="46">
        <f t="shared" si="22"/>
        <v>0</v>
      </c>
      <c r="U64" s="47">
        <f t="shared" si="23"/>
        <v>0</v>
      </c>
      <c r="V64" s="47">
        <f t="shared" si="23"/>
        <v>0</v>
      </c>
      <c r="W64" s="47">
        <f t="shared" si="23"/>
        <v>0</v>
      </c>
      <c r="X64" s="47">
        <f t="shared" si="1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2"/>
        <v>0</v>
      </c>
      <c r="M65" s="46">
        <f t="shared" si="22"/>
        <v>0</v>
      </c>
      <c r="N65" s="46">
        <f t="shared" si="22"/>
        <v>0</v>
      </c>
      <c r="O65" s="46">
        <f t="shared" si="22"/>
        <v>0</v>
      </c>
      <c r="P65" s="46">
        <f t="shared" si="22"/>
        <v>0</v>
      </c>
      <c r="Q65" s="46">
        <f t="shared" si="22"/>
        <v>0</v>
      </c>
      <c r="R65" s="46">
        <f t="shared" si="22"/>
        <v>0</v>
      </c>
      <c r="S65" s="46">
        <f t="shared" si="22"/>
        <v>0</v>
      </c>
      <c r="T65" s="46">
        <f t="shared" si="22"/>
        <v>0</v>
      </c>
      <c r="U65" s="47">
        <f t="shared" si="23"/>
        <v>0</v>
      </c>
      <c r="V65" s="47">
        <f t="shared" si="23"/>
        <v>0</v>
      </c>
      <c r="W65" s="47">
        <f t="shared" si="23"/>
        <v>0</v>
      </c>
      <c r="X65" s="47">
        <f t="shared" si="1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2"/>
        <v>0</v>
      </c>
      <c r="M66" s="46">
        <f t="shared" si="22"/>
        <v>0</v>
      </c>
      <c r="N66" s="46">
        <f t="shared" si="22"/>
        <v>0</v>
      </c>
      <c r="O66" s="46">
        <f t="shared" si="22"/>
        <v>0</v>
      </c>
      <c r="P66" s="46">
        <f t="shared" si="22"/>
        <v>0</v>
      </c>
      <c r="Q66" s="46">
        <f t="shared" si="22"/>
        <v>0</v>
      </c>
      <c r="R66" s="46">
        <f t="shared" si="22"/>
        <v>0</v>
      </c>
      <c r="S66" s="46">
        <f t="shared" si="22"/>
        <v>0</v>
      </c>
      <c r="T66" s="46">
        <f t="shared" si="22"/>
        <v>0</v>
      </c>
      <c r="U66" s="47">
        <f t="shared" si="23"/>
        <v>0</v>
      </c>
      <c r="V66" s="47">
        <f t="shared" si="23"/>
        <v>0</v>
      </c>
      <c r="W66" s="47">
        <f t="shared" si="23"/>
        <v>0</v>
      </c>
      <c r="X66" s="47">
        <f t="shared" si="1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2"/>
        <v>0</v>
      </c>
      <c r="M67" s="46">
        <f t="shared" si="22"/>
        <v>0</v>
      </c>
      <c r="N67" s="46">
        <f t="shared" si="22"/>
        <v>0</v>
      </c>
      <c r="O67" s="46">
        <f t="shared" si="22"/>
        <v>0</v>
      </c>
      <c r="P67" s="46">
        <f t="shared" si="22"/>
        <v>0</v>
      </c>
      <c r="Q67" s="46">
        <f t="shared" si="22"/>
        <v>0</v>
      </c>
      <c r="R67" s="46">
        <f t="shared" si="22"/>
        <v>0</v>
      </c>
      <c r="S67" s="46">
        <f t="shared" si="22"/>
        <v>0</v>
      </c>
      <c r="T67" s="46">
        <f t="shared" si="22"/>
        <v>0</v>
      </c>
      <c r="U67" s="47">
        <f t="shared" si="23"/>
        <v>0</v>
      </c>
      <c r="V67" s="47">
        <f t="shared" si="23"/>
        <v>0</v>
      </c>
      <c r="W67" s="47">
        <f t="shared" si="23"/>
        <v>0</v>
      </c>
      <c r="X67" s="47">
        <f t="shared" si="1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2"/>
        <v>0</v>
      </c>
      <c r="M68" s="46">
        <f t="shared" si="22"/>
        <v>0</v>
      </c>
      <c r="N68" s="46">
        <f t="shared" si="22"/>
        <v>0</v>
      </c>
      <c r="O68" s="46">
        <f t="shared" si="22"/>
        <v>0</v>
      </c>
      <c r="P68" s="46">
        <f t="shared" si="22"/>
        <v>0</v>
      </c>
      <c r="Q68" s="46">
        <f t="shared" si="22"/>
        <v>0</v>
      </c>
      <c r="R68" s="46">
        <f t="shared" si="22"/>
        <v>0</v>
      </c>
      <c r="S68" s="46">
        <f t="shared" si="22"/>
        <v>0</v>
      </c>
      <c r="T68" s="46">
        <f t="shared" si="22"/>
        <v>0</v>
      </c>
      <c r="U68" s="47">
        <f t="shared" si="23"/>
        <v>0</v>
      </c>
      <c r="V68" s="47">
        <f t="shared" si="23"/>
        <v>0</v>
      </c>
      <c r="W68" s="47">
        <f t="shared" si="23"/>
        <v>0</v>
      </c>
      <c r="X68" s="47">
        <f t="shared" si="1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2"/>
        <v>0</v>
      </c>
      <c r="M69" s="46">
        <f t="shared" si="22"/>
        <v>0</v>
      </c>
      <c r="N69" s="46">
        <f t="shared" si="22"/>
        <v>0</v>
      </c>
      <c r="O69" s="46">
        <f t="shared" si="22"/>
        <v>0</v>
      </c>
      <c r="P69" s="46">
        <f t="shared" si="22"/>
        <v>0</v>
      </c>
      <c r="Q69" s="46">
        <f t="shared" si="22"/>
        <v>0</v>
      </c>
      <c r="R69" s="46">
        <f t="shared" si="22"/>
        <v>0</v>
      </c>
      <c r="S69" s="46">
        <f t="shared" si="22"/>
        <v>0</v>
      </c>
      <c r="T69" s="46">
        <f t="shared" si="22"/>
        <v>0</v>
      </c>
      <c r="U69" s="47">
        <f t="shared" si="23"/>
        <v>0</v>
      </c>
      <c r="V69" s="47">
        <f t="shared" si="23"/>
        <v>0</v>
      </c>
      <c r="W69" s="47">
        <f t="shared" si="23"/>
        <v>0</v>
      </c>
      <c r="X69" s="47">
        <f t="shared" si="1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2"/>
        <v>0</v>
      </c>
      <c r="M70" s="46">
        <f t="shared" si="22"/>
        <v>0</v>
      </c>
      <c r="N70" s="46">
        <f t="shared" si="22"/>
        <v>0</v>
      </c>
      <c r="O70" s="46">
        <f t="shared" si="22"/>
        <v>0</v>
      </c>
      <c r="P70" s="46">
        <f t="shared" si="22"/>
        <v>0</v>
      </c>
      <c r="Q70" s="46">
        <f t="shared" si="22"/>
        <v>0</v>
      </c>
      <c r="R70" s="46">
        <f t="shared" si="22"/>
        <v>0</v>
      </c>
      <c r="S70" s="46">
        <f t="shared" si="22"/>
        <v>0</v>
      </c>
      <c r="T70" s="46">
        <f t="shared" si="22"/>
        <v>0</v>
      </c>
      <c r="U70" s="47">
        <f t="shared" si="23"/>
        <v>0</v>
      </c>
      <c r="V70" s="47">
        <f t="shared" si="23"/>
        <v>0</v>
      </c>
      <c r="W70" s="47">
        <f t="shared" si="23"/>
        <v>0</v>
      </c>
      <c r="X70" s="47">
        <f t="shared" si="1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2"/>
        <v>0</v>
      </c>
      <c r="M71" s="46">
        <f t="shared" si="22"/>
        <v>0</v>
      </c>
      <c r="N71" s="46">
        <f t="shared" si="22"/>
        <v>0</v>
      </c>
      <c r="O71" s="46">
        <f t="shared" si="22"/>
        <v>0</v>
      </c>
      <c r="P71" s="46">
        <f t="shared" si="22"/>
        <v>0</v>
      </c>
      <c r="Q71" s="46">
        <f t="shared" si="22"/>
        <v>0</v>
      </c>
      <c r="R71" s="46">
        <f t="shared" si="22"/>
        <v>0</v>
      </c>
      <c r="S71" s="46">
        <f t="shared" si="22"/>
        <v>0</v>
      </c>
      <c r="T71" s="46">
        <f t="shared" si="22"/>
        <v>0</v>
      </c>
      <c r="U71" s="47">
        <f t="shared" si="23"/>
        <v>0</v>
      </c>
      <c r="V71" s="47">
        <f t="shared" si="23"/>
        <v>0</v>
      </c>
      <c r="W71" s="47">
        <f t="shared" si="23"/>
        <v>0</v>
      </c>
      <c r="X71" s="47">
        <f t="shared" si="1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2"/>
        <v>0</v>
      </c>
      <c r="M72" s="46">
        <f t="shared" si="22"/>
        <v>0</v>
      </c>
      <c r="N72" s="46">
        <f t="shared" si="22"/>
        <v>0</v>
      </c>
      <c r="O72" s="46">
        <f t="shared" ref="O72:T114" si="24">IFERROR(E73-E72,0)</f>
        <v>0</v>
      </c>
      <c r="P72" s="46">
        <f t="shared" si="24"/>
        <v>0</v>
      </c>
      <c r="Q72" s="46">
        <f t="shared" si="24"/>
        <v>0</v>
      </c>
      <c r="R72" s="46">
        <f t="shared" si="24"/>
        <v>0</v>
      </c>
      <c r="S72" s="46">
        <f t="shared" si="24"/>
        <v>0</v>
      </c>
      <c r="T72" s="46">
        <f t="shared" si="24"/>
        <v>0</v>
      </c>
      <c r="U72" s="47">
        <f t="shared" si="23"/>
        <v>0</v>
      </c>
      <c r="V72" s="47">
        <f t="shared" si="23"/>
        <v>0</v>
      </c>
      <c r="W72" s="47">
        <f t="shared" si="23"/>
        <v>0</v>
      </c>
      <c r="X72" s="47">
        <f t="shared" si="1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5">IFERROR(B74-B73,0)</f>
        <v>0</v>
      </c>
      <c r="M73" s="46">
        <f t="shared" si="25"/>
        <v>0</v>
      </c>
      <c r="N73" s="46">
        <f t="shared" si="25"/>
        <v>0</v>
      </c>
      <c r="O73" s="46">
        <f t="shared" si="24"/>
        <v>0</v>
      </c>
      <c r="P73" s="46">
        <f t="shared" si="24"/>
        <v>0</v>
      </c>
      <c r="Q73" s="46">
        <f t="shared" si="24"/>
        <v>0</v>
      </c>
      <c r="R73" s="46">
        <f t="shared" si="24"/>
        <v>0</v>
      </c>
      <c r="S73" s="46">
        <f t="shared" si="24"/>
        <v>0</v>
      </c>
      <c r="T73" s="46">
        <f t="shared" si="24"/>
        <v>0</v>
      </c>
      <c r="U73" s="47">
        <f t="shared" si="23"/>
        <v>0</v>
      </c>
      <c r="V73" s="47">
        <f t="shared" si="23"/>
        <v>0</v>
      </c>
      <c r="W73" s="47">
        <f t="shared" si="23"/>
        <v>0</v>
      </c>
      <c r="X73" s="47">
        <f t="shared" ref="X73:X136" si="26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5"/>
        <v>0</v>
      </c>
      <c r="M74" s="46">
        <f t="shared" si="25"/>
        <v>0</v>
      </c>
      <c r="N74" s="46">
        <f t="shared" si="25"/>
        <v>0</v>
      </c>
      <c r="O74" s="46">
        <f t="shared" si="24"/>
        <v>0</v>
      </c>
      <c r="P74" s="46">
        <f t="shared" si="24"/>
        <v>0</v>
      </c>
      <c r="Q74" s="46">
        <f t="shared" si="24"/>
        <v>0</v>
      </c>
      <c r="R74" s="46">
        <f t="shared" si="24"/>
        <v>0</v>
      </c>
      <c r="S74" s="46">
        <f t="shared" si="24"/>
        <v>0</v>
      </c>
      <c r="T74" s="46">
        <f t="shared" si="24"/>
        <v>0</v>
      </c>
      <c r="U74" s="47">
        <f t="shared" si="23"/>
        <v>0</v>
      </c>
      <c r="V74" s="47">
        <f t="shared" si="23"/>
        <v>0</v>
      </c>
      <c r="W74" s="47">
        <f t="shared" si="23"/>
        <v>0</v>
      </c>
      <c r="X74" s="47">
        <f t="shared" si="26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5"/>
        <v>0</v>
      </c>
      <c r="M75" s="46">
        <f t="shared" si="25"/>
        <v>0</v>
      </c>
      <c r="N75" s="46">
        <f t="shared" si="25"/>
        <v>0</v>
      </c>
      <c r="O75" s="46">
        <f t="shared" si="24"/>
        <v>0</v>
      </c>
      <c r="P75" s="46">
        <f t="shared" si="24"/>
        <v>0</v>
      </c>
      <c r="Q75" s="46">
        <f t="shared" si="24"/>
        <v>0</v>
      </c>
      <c r="R75" s="46">
        <f t="shared" si="24"/>
        <v>0</v>
      </c>
      <c r="S75" s="46">
        <f t="shared" si="24"/>
        <v>0</v>
      </c>
      <c r="T75" s="46">
        <f t="shared" si="24"/>
        <v>0</v>
      </c>
      <c r="U75" s="47">
        <f t="shared" si="23"/>
        <v>0</v>
      </c>
      <c r="V75" s="47">
        <f t="shared" si="23"/>
        <v>0</v>
      </c>
      <c r="W75" s="47">
        <f t="shared" si="23"/>
        <v>0</v>
      </c>
      <c r="X75" s="47">
        <f t="shared" si="26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5"/>
        <v>0</v>
      </c>
      <c r="M76" s="46">
        <f t="shared" si="25"/>
        <v>0</v>
      </c>
      <c r="N76" s="46">
        <f t="shared" si="25"/>
        <v>0</v>
      </c>
      <c r="O76" s="46">
        <f t="shared" si="24"/>
        <v>0</v>
      </c>
      <c r="P76" s="46">
        <f t="shared" si="24"/>
        <v>0</v>
      </c>
      <c r="Q76" s="46">
        <f t="shared" si="24"/>
        <v>0</v>
      </c>
      <c r="R76" s="46">
        <f t="shared" si="24"/>
        <v>0</v>
      </c>
      <c r="S76" s="46">
        <f t="shared" si="24"/>
        <v>0</v>
      </c>
      <c r="T76" s="46">
        <f t="shared" si="24"/>
        <v>0</v>
      </c>
      <c r="U76" s="47">
        <f t="shared" si="23"/>
        <v>0</v>
      </c>
      <c r="V76" s="47">
        <f t="shared" si="23"/>
        <v>0</v>
      </c>
      <c r="W76" s="47">
        <f t="shared" si="23"/>
        <v>0</v>
      </c>
      <c r="X76" s="47">
        <f t="shared" si="26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5"/>
        <v>0</v>
      </c>
      <c r="M77" s="46">
        <f t="shared" si="25"/>
        <v>0</v>
      </c>
      <c r="N77" s="46">
        <f t="shared" si="25"/>
        <v>0</v>
      </c>
      <c r="O77" s="46">
        <f t="shared" si="24"/>
        <v>0</v>
      </c>
      <c r="P77" s="46">
        <f t="shared" si="24"/>
        <v>0</v>
      </c>
      <c r="Q77" s="46">
        <f t="shared" si="24"/>
        <v>0</v>
      </c>
      <c r="R77" s="46">
        <f t="shared" si="24"/>
        <v>0</v>
      </c>
      <c r="S77" s="46">
        <f t="shared" si="24"/>
        <v>0</v>
      </c>
      <c r="T77" s="46">
        <f t="shared" si="24"/>
        <v>0</v>
      </c>
      <c r="U77" s="47">
        <f t="shared" si="23"/>
        <v>0</v>
      </c>
      <c r="V77" s="47">
        <f t="shared" si="23"/>
        <v>0</v>
      </c>
      <c r="W77" s="47">
        <f t="shared" si="23"/>
        <v>0</v>
      </c>
      <c r="X77" s="47">
        <f t="shared" si="26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5"/>
        <v>0</v>
      </c>
      <c r="M78" s="46">
        <f t="shared" si="25"/>
        <v>0</v>
      </c>
      <c r="N78" s="46">
        <f t="shared" si="25"/>
        <v>0</v>
      </c>
      <c r="O78" s="46">
        <f t="shared" si="24"/>
        <v>0</v>
      </c>
      <c r="P78" s="46">
        <f t="shared" si="24"/>
        <v>0</v>
      </c>
      <c r="Q78" s="46">
        <f t="shared" si="24"/>
        <v>0</v>
      </c>
      <c r="R78" s="46">
        <f t="shared" si="24"/>
        <v>0</v>
      </c>
      <c r="S78" s="46">
        <f t="shared" si="24"/>
        <v>0</v>
      </c>
      <c r="T78" s="46">
        <f t="shared" si="24"/>
        <v>0</v>
      </c>
      <c r="U78" s="47">
        <f t="shared" si="23"/>
        <v>0</v>
      </c>
      <c r="V78" s="47">
        <f t="shared" si="23"/>
        <v>0</v>
      </c>
      <c r="W78" s="47">
        <f t="shared" si="23"/>
        <v>0</v>
      </c>
      <c r="X78" s="47">
        <f t="shared" si="26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5"/>
        <v>0</v>
      </c>
      <c r="M79" s="46">
        <f t="shared" si="25"/>
        <v>0</v>
      </c>
      <c r="N79" s="46">
        <f t="shared" si="25"/>
        <v>0</v>
      </c>
      <c r="O79" s="46">
        <f t="shared" si="24"/>
        <v>0</v>
      </c>
      <c r="P79" s="46">
        <f t="shared" si="24"/>
        <v>0</v>
      </c>
      <c r="Q79" s="46">
        <f t="shared" si="24"/>
        <v>0</v>
      </c>
      <c r="R79" s="46">
        <f t="shared" si="24"/>
        <v>0</v>
      </c>
      <c r="S79" s="46">
        <f t="shared" si="24"/>
        <v>0</v>
      </c>
      <c r="T79" s="46">
        <f t="shared" si="24"/>
        <v>0</v>
      </c>
      <c r="U79" s="47">
        <f t="shared" si="23"/>
        <v>0</v>
      </c>
      <c r="V79" s="47">
        <f t="shared" si="23"/>
        <v>0</v>
      </c>
      <c r="W79" s="47">
        <f t="shared" si="23"/>
        <v>0</v>
      </c>
      <c r="X79" s="47">
        <f t="shared" si="26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5"/>
        <v>0</v>
      </c>
      <c r="M80" s="46">
        <f t="shared" si="25"/>
        <v>0</v>
      </c>
      <c r="N80" s="46">
        <f t="shared" si="25"/>
        <v>0</v>
      </c>
      <c r="O80" s="46">
        <f t="shared" si="24"/>
        <v>0</v>
      </c>
      <c r="P80" s="46">
        <f t="shared" si="24"/>
        <v>0</v>
      </c>
      <c r="Q80" s="46">
        <f t="shared" si="24"/>
        <v>0</v>
      </c>
      <c r="R80" s="46">
        <f t="shared" si="24"/>
        <v>0</v>
      </c>
      <c r="S80" s="46">
        <f t="shared" si="24"/>
        <v>0</v>
      </c>
      <c r="T80" s="46">
        <f t="shared" si="24"/>
        <v>0</v>
      </c>
      <c r="U80" s="47">
        <f t="shared" si="23"/>
        <v>0</v>
      </c>
      <c r="V80" s="47">
        <f t="shared" si="23"/>
        <v>0</v>
      </c>
      <c r="W80" s="47">
        <f t="shared" si="23"/>
        <v>0</v>
      </c>
      <c r="X80" s="47">
        <f t="shared" si="26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5"/>
        <v>0</v>
      </c>
      <c r="M81" s="46">
        <f t="shared" si="25"/>
        <v>0</v>
      </c>
      <c r="N81" s="46">
        <f t="shared" si="25"/>
        <v>0</v>
      </c>
      <c r="O81" s="46">
        <f t="shared" si="24"/>
        <v>0</v>
      </c>
      <c r="P81" s="46">
        <f t="shared" si="24"/>
        <v>0</v>
      </c>
      <c r="Q81" s="46">
        <f t="shared" si="24"/>
        <v>0</v>
      </c>
      <c r="R81" s="46">
        <f t="shared" si="24"/>
        <v>0</v>
      </c>
      <c r="S81" s="46">
        <f t="shared" si="24"/>
        <v>0</v>
      </c>
      <c r="T81" s="46">
        <f t="shared" si="24"/>
        <v>0</v>
      </c>
      <c r="U81" s="47">
        <f t="shared" si="23"/>
        <v>0</v>
      </c>
      <c r="V81" s="47">
        <f t="shared" si="23"/>
        <v>0</v>
      </c>
      <c r="W81" s="47">
        <f t="shared" si="23"/>
        <v>0</v>
      </c>
      <c r="X81" s="47">
        <f t="shared" si="26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5"/>
        <v>0</v>
      </c>
      <c r="M82" s="46">
        <f t="shared" si="25"/>
        <v>0</v>
      </c>
      <c r="N82" s="46">
        <f t="shared" si="25"/>
        <v>0</v>
      </c>
      <c r="O82" s="46">
        <f t="shared" si="24"/>
        <v>0</v>
      </c>
      <c r="P82" s="46">
        <f t="shared" si="24"/>
        <v>0</v>
      </c>
      <c r="Q82" s="46">
        <f t="shared" si="24"/>
        <v>0</v>
      </c>
      <c r="R82" s="46">
        <f t="shared" si="24"/>
        <v>0</v>
      </c>
      <c r="S82" s="46">
        <f t="shared" si="24"/>
        <v>0</v>
      </c>
      <c r="T82" s="46">
        <f t="shared" si="24"/>
        <v>0</v>
      </c>
      <c r="U82" s="47">
        <f t="shared" si="23"/>
        <v>0</v>
      </c>
      <c r="V82" s="47">
        <f t="shared" si="23"/>
        <v>0</v>
      </c>
      <c r="W82" s="47">
        <f t="shared" si="23"/>
        <v>0</v>
      </c>
      <c r="X82" s="47">
        <f t="shared" si="26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5"/>
        <v>0</v>
      </c>
      <c r="M83" s="46">
        <f t="shared" si="25"/>
        <v>0</v>
      </c>
      <c r="N83" s="46">
        <f t="shared" si="25"/>
        <v>0</v>
      </c>
      <c r="O83" s="46">
        <f t="shared" si="24"/>
        <v>0</v>
      </c>
      <c r="P83" s="46">
        <f t="shared" si="24"/>
        <v>0</v>
      </c>
      <c r="Q83" s="46">
        <f t="shared" si="24"/>
        <v>0</v>
      </c>
      <c r="R83" s="46">
        <f t="shared" si="24"/>
        <v>0</v>
      </c>
      <c r="S83" s="46">
        <f t="shared" si="24"/>
        <v>0</v>
      </c>
      <c r="T83" s="46">
        <f t="shared" si="24"/>
        <v>0</v>
      </c>
      <c r="U83" s="47">
        <f t="shared" si="23"/>
        <v>0</v>
      </c>
      <c r="V83" s="47">
        <f t="shared" si="23"/>
        <v>0</v>
      </c>
      <c r="W83" s="47">
        <f t="shared" si="23"/>
        <v>0</v>
      </c>
      <c r="X83" s="47">
        <f t="shared" si="26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5"/>
        <v>0</v>
      </c>
      <c r="M84" s="46">
        <f t="shared" si="25"/>
        <v>0</v>
      </c>
      <c r="N84" s="46">
        <f t="shared" si="25"/>
        <v>0</v>
      </c>
      <c r="O84" s="46">
        <f t="shared" si="24"/>
        <v>0</v>
      </c>
      <c r="P84" s="46">
        <f t="shared" si="24"/>
        <v>0</v>
      </c>
      <c r="Q84" s="46">
        <f t="shared" si="24"/>
        <v>0</v>
      </c>
      <c r="R84" s="46">
        <f t="shared" si="24"/>
        <v>0</v>
      </c>
      <c r="S84" s="46">
        <f t="shared" si="24"/>
        <v>0</v>
      </c>
      <c r="T84" s="46">
        <f t="shared" si="24"/>
        <v>0</v>
      </c>
      <c r="U84" s="47">
        <f t="shared" si="23"/>
        <v>0</v>
      </c>
      <c r="V84" s="47">
        <f t="shared" si="23"/>
        <v>0</v>
      </c>
      <c r="W84" s="47">
        <f t="shared" si="23"/>
        <v>0</v>
      </c>
      <c r="X84" s="47">
        <f t="shared" si="26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5"/>
        <v>0</v>
      </c>
      <c r="M85" s="46">
        <f t="shared" si="25"/>
        <v>0</v>
      </c>
      <c r="N85" s="46">
        <f t="shared" si="25"/>
        <v>0</v>
      </c>
      <c r="O85" s="46">
        <f t="shared" si="24"/>
        <v>0</v>
      </c>
      <c r="P85" s="46">
        <f t="shared" si="24"/>
        <v>0</v>
      </c>
      <c r="Q85" s="46">
        <f t="shared" si="24"/>
        <v>0</v>
      </c>
      <c r="R85" s="46">
        <f t="shared" si="24"/>
        <v>0</v>
      </c>
      <c r="S85" s="46">
        <f t="shared" si="24"/>
        <v>0</v>
      </c>
      <c r="T85" s="46">
        <f t="shared" si="24"/>
        <v>0</v>
      </c>
      <c r="U85" s="47">
        <f t="shared" si="23"/>
        <v>0</v>
      </c>
      <c r="V85" s="47">
        <f t="shared" si="23"/>
        <v>0</v>
      </c>
      <c r="W85" s="47">
        <f t="shared" si="23"/>
        <v>0</v>
      </c>
      <c r="X85" s="47">
        <f t="shared" si="26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5"/>
        <v>0</v>
      </c>
      <c r="M86" s="46">
        <f t="shared" si="25"/>
        <v>0</v>
      </c>
      <c r="N86" s="46">
        <f t="shared" si="25"/>
        <v>0</v>
      </c>
      <c r="O86" s="46">
        <f t="shared" si="24"/>
        <v>0</v>
      </c>
      <c r="P86" s="46">
        <f t="shared" si="24"/>
        <v>0</v>
      </c>
      <c r="Q86" s="46">
        <f t="shared" si="24"/>
        <v>0</v>
      </c>
      <c r="R86" s="46">
        <f t="shared" si="24"/>
        <v>0</v>
      </c>
      <c r="S86" s="46">
        <f t="shared" si="24"/>
        <v>0</v>
      </c>
      <c r="T86" s="46">
        <f t="shared" si="24"/>
        <v>0</v>
      </c>
      <c r="U86" s="47">
        <f t="shared" si="23"/>
        <v>0</v>
      </c>
      <c r="V86" s="47">
        <f t="shared" si="23"/>
        <v>0</v>
      </c>
      <c r="W86" s="47">
        <f t="shared" si="23"/>
        <v>0</v>
      </c>
      <c r="X86" s="47">
        <f t="shared" si="26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5"/>
        <v>0</v>
      </c>
      <c r="M87" s="46">
        <f t="shared" si="25"/>
        <v>0</v>
      </c>
      <c r="N87" s="46">
        <f t="shared" si="25"/>
        <v>0</v>
      </c>
      <c r="O87" s="46">
        <f t="shared" si="24"/>
        <v>0</v>
      </c>
      <c r="P87" s="46">
        <f t="shared" si="24"/>
        <v>0</v>
      </c>
      <c r="Q87" s="46">
        <f t="shared" si="24"/>
        <v>0</v>
      </c>
      <c r="R87" s="46">
        <f t="shared" si="24"/>
        <v>0</v>
      </c>
      <c r="S87" s="46">
        <f t="shared" si="24"/>
        <v>0</v>
      </c>
      <c r="T87" s="46">
        <f t="shared" si="24"/>
        <v>0</v>
      </c>
      <c r="U87" s="47">
        <f t="shared" si="23"/>
        <v>0</v>
      </c>
      <c r="V87" s="47">
        <f t="shared" si="23"/>
        <v>0</v>
      </c>
      <c r="W87" s="47">
        <f t="shared" si="23"/>
        <v>0</v>
      </c>
      <c r="X87" s="47">
        <f t="shared" si="26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5"/>
        <v>0</v>
      </c>
      <c r="M88" s="46">
        <f t="shared" si="25"/>
        <v>0</v>
      </c>
      <c r="N88" s="46">
        <f t="shared" si="25"/>
        <v>0</v>
      </c>
      <c r="O88" s="46">
        <f t="shared" si="24"/>
        <v>0</v>
      </c>
      <c r="P88" s="46">
        <f t="shared" si="24"/>
        <v>0</v>
      </c>
      <c r="Q88" s="46">
        <f t="shared" si="24"/>
        <v>0</v>
      </c>
      <c r="R88" s="46">
        <f t="shared" si="24"/>
        <v>0</v>
      </c>
      <c r="S88" s="46">
        <f t="shared" si="24"/>
        <v>0</v>
      </c>
      <c r="T88" s="46">
        <f t="shared" si="24"/>
        <v>0</v>
      </c>
      <c r="U88" s="47">
        <f t="shared" si="23"/>
        <v>0</v>
      </c>
      <c r="V88" s="47">
        <f t="shared" si="23"/>
        <v>0</v>
      </c>
      <c r="W88" s="47">
        <f t="shared" si="23"/>
        <v>0</v>
      </c>
      <c r="X88" s="47">
        <f t="shared" si="26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5"/>
        <v>0</v>
      </c>
      <c r="M89" s="46">
        <f t="shared" si="25"/>
        <v>0</v>
      </c>
      <c r="N89" s="46">
        <f t="shared" si="25"/>
        <v>0</v>
      </c>
      <c r="O89" s="46">
        <f t="shared" si="24"/>
        <v>0</v>
      </c>
      <c r="P89" s="46">
        <f t="shared" si="24"/>
        <v>0</v>
      </c>
      <c r="Q89" s="46">
        <f t="shared" si="24"/>
        <v>0</v>
      </c>
      <c r="R89" s="46">
        <f t="shared" si="24"/>
        <v>0</v>
      </c>
      <c r="S89" s="46">
        <f t="shared" si="24"/>
        <v>0</v>
      </c>
      <c r="T89" s="46">
        <f t="shared" si="24"/>
        <v>0</v>
      </c>
      <c r="U89" s="47">
        <f t="shared" si="23"/>
        <v>0</v>
      </c>
      <c r="V89" s="47">
        <f t="shared" si="23"/>
        <v>0</v>
      </c>
      <c r="W89" s="47">
        <f t="shared" si="23"/>
        <v>0</v>
      </c>
      <c r="X89" s="47">
        <f t="shared" si="26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5"/>
        <v>0</v>
      </c>
      <c r="M90" s="46">
        <f t="shared" si="25"/>
        <v>0</v>
      </c>
      <c r="N90" s="46">
        <f t="shared" si="25"/>
        <v>0</v>
      </c>
      <c r="O90" s="46">
        <f t="shared" si="24"/>
        <v>0</v>
      </c>
      <c r="P90" s="46">
        <f t="shared" si="24"/>
        <v>0</v>
      </c>
      <c r="Q90" s="46">
        <f t="shared" si="24"/>
        <v>0</v>
      </c>
      <c r="R90" s="46">
        <f t="shared" si="24"/>
        <v>0</v>
      </c>
      <c r="S90" s="46">
        <f t="shared" si="24"/>
        <v>0</v>
      </c>
      <c r="T90" s="46">
        <f t="shared" si="24"/>
        <v>0</v>
      </c>
      <c r="U90" s="47">
        <f t="shared" si="23"/>
        <v>0</v>
      </c>
      <c r="V90" s="47">
        <f t="shared" si="23"/>
        <v>0</v>
      </c>
      <c r="W90" s="47">
        <f t="shared" si="23"/>
        <v>0</v>
      </c>
      <c r="X90" s="47">
        <f t="shared" si="26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5"/>
        <v>0</v>
      </c>
      <c r="M91" s="46">
        <f t="shared" si="25"/>
        <v>0</v>
      </c>
      <c r="N91" s="46">
        <f t="shared" si="25"/>
        <v>0</v>
      </c>
      <c r="O91" s="46">
        <f t="shared" si="24"/>
        <v>0</v>
      </c>
      <c r="P91" s="46">
        <f t="shared" si="24"/>
        <v>0</v>
      </c>
      <c r="Q91" s="46">
        <f t="shared" si="24"/>
        <v>0</v>
      </c>
      <c r="R91" s="46">
        <f t="shared" si="24"/>
        <v>0</v>
      </c>
      <c r="S91" s="46">
        <f t="shared" si="24"/>
        <v>0</v>
      </c>
      <c r="T91" s="46">
        <f t="shared" si="24"/>
        <v>0</v>
      </c>
      <c r="U91" s="47">
        <f t="shared" si="23"/>
        <v>0</v>
      </c>
      <c r="V91" s="47">
        <f t="shared" si="23"/>
        <v>0</v>
      </c>
      <c r="W91" s="47">
        <f t="shared" si="23"/>
        <v>0</v>
      </c>
      <c r="X91" s="47">
        <f t="shared" si="26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5"/>
        <v>0</v>
      </c>
      <c r="M92" s="46">
        <f t="shared" si="25"/>
        <v>0</v>
      </c>
      <c r="N92" s="46">
        <f t="shared" si="25"/>
        <v>0</v>
      </c>
      <c r="O92" s="46">
        <f t="shared" si="24"/>
        <v>0</v>
      </c>
      <c r="P92" s="46">
        <f t="shared" si="24"/>
        <v>0</v>
      </c>
      <c r="Q92" s="46">
        <f t="shared" si="24"/>
        <v>0</v>
      </c>
      <c r="R92" s="46">
        <f t="shared" si="24"/>
        <v>0</v>
      </c>
      <c r="S92" s="46">
        <f t="shared" si="24"/>
        <v>0</v>
      </c>
      <c r="T92" s="46">
        <f t="shared" si="24"/>
        <v>0</v>
      </c>
      <c r="U92" s="47">
        <f t="shared" si="23"/>
        <v>0</v>
      </c>
      <c r="V92" s="47">
        <f t="shared" si="23"/>
        <v>0</v>
      </c>
      <c r="W92" s="47">
        <f t="shared" si="23"/>
        <v>0</v>
      </c>
      <c r="X92" s="47">
        <f t="shared" si="26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5"/>
        <v>0</v>
      </c>
      <c r="M93" s="46">
        <f t="shared" si="25"/>
        <v>0</v>
      </c>
      <c r="N93" s="46">
        <f t="shared" si="25"/>
        <v>0</v>
      </c>
      <c r="O93" s="46">
        <f t="shared" si="24"/>
        <v>0</v>
      </c>
      <c r="P93" s="46">
        <f t="shared" si="24"/>
        <v>0</v>
      </c>
      <c r="Q93" s="46">
        <f t="shared" si="24"/>
        <v>0</v>
      </c>
      <c r="R93" s="46">
        <f t="shared" si="24"/>
        <v>0</v>
      </c>
      <c r="S93" s="46">
        <f t="shared" si="24"/>
        <v>0</v>
      </c>
      <c r="T93" s="46">
        <f t="shared" si="24"/>
        <v>0</v>
      </c>
      <c r="U93" s="47">
        <f t="shared" si="23"/>
        <v>0</v>
      </c>
      <c r="V93" s="47">
        <f t="shared" si="23"/>
        <v>0</v>
      </c>
      <c r="W93" s="47">
        <f t="shared" si="23"/>
        <v>0</v>
      </c>
      <c r="X93" s="47">
        <f t="shared" si="26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5"/>
        <v>0</v>
      </c>
      <c r="M94" s="46">
        <f t="shared" si="25"/>
        <v>0</v>
      </c>
      <c r="N94" s="46">
        <f t="shared" si="25"/>
        <v>0</v>
      </c>
      <c r="O94" s="46">
        <f t="shared" si="24"/>
        <v>0</v>
      </c>
      <c r="P94" s="46">
        <f t="shared" si="24"/>
        <v>0</v>
      </c>
      <c r="Q94" s="46">
        <f t="shared" si="24"/>
        <v>0</v>
      </c>
      <c r="R94" s="46">
        <f t="shared" si="24"/>
        <v>0</v>
      </c>
      <c r="S94" s="46">
        <f t="shared" si="24"/>
        <v>0</v>
      </c>
      <c r="T94" s="46">
        <f t="shared" si="24"/>
        <v>0</v>
      </c>
      <c r="U94" s="47">
        <f t="shared" si="23"/>
        <v>0</v>
      </c>
      <c r="V94" s="47">
        <f t="shared" si="23"/>
        <v>0</v>
      </c>
      <c r="W94" s="47">
        <f t="shared" si="23"/>
        <v>0</v>
      </c>
      <c r="X94" s="47">
        <f t="shared" si="26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5"/>
        <v>0</v>
      </c>
      <c r="M95" s="46">
        <f t="shared" si="25"/>
        <v>0</v>
      </c>
      <c r="N95" s="46">
        <f t="shared" si="25"/>
        <v>0</v>
      </c>
      <c r="O95" s="46">
        <f t="shared" si="24"/>
        <v>0</v>
      </c>
      <c r="P95" s="46">
        <f t="shared" si="24"/>
        <v>0</v>
      </c>
      <c r="Q95" s="46">
        <f t="shared" si="24"/>
        <v>0</v>
      </c>
      <c r="R95" s="46">
        <f t="shared" si="24"/>
        <v>0</v>
      </c>
      <c r="S95" s="46">
        <f t="shared" si="24"/>
        <v>0</v>
      </c>
      <c r="T95" s="46">
        <f t="shared" si="24"/>
        <v>0</v>
      </c>
      <c r="U95" s="47">
        <f t="shared" si="23"/>
        <v>0</v>
      </c>
      <c r="V95" s="47">
        <f t="shared" si="23"/>
        <v>0</v>
      </c>
      <c r="W95" s="47">
        <f t="shared" si="23"/>
        <v>0</v>
      </c>
      <c r="X95" s="47">
        <f t="shared" si="26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5"/>
        <v>0</v>
      </c>
      <c r="M96" s="46">
        <f t="shared" si="25"/>
        <v>0</v>
      </c>
      <c r="N96" s="46">
        <f t="shared" si="25"/>
        <v>0</v>
      </c>
      <c r="O96" s="46">
        <f t="shared" si="24"/>
        <v>0</v>
      </c>
      <c r="P96" s="46">
        <f t="shared" si="24"/>
        <v>0</v>
      </c>
      <c r="Q96" s="46">
        <f t="shared" si="24"/>
        <v>0</v>
      </c>
      <c r="R96" s="46">
        <f t="shared" si="24"/>
        <v>0</v>
      </c>
      <c r="S96" s="46">
        <f t="shared" si="24"/>
        <v>0</v>
      </c>
      <c r="T96" s="46">
        <f t="shared" si="24"/>
        <v>0</v>
      </c>
      <c r="U96" s="47">
        <f t="shared" si="23"/>
        <v>0</v>
      </c>
      <c r="V96" s="47">
        <f t="shared" si="23"/>
        <v>0</v>
      </c>
      <c r="W96" s="47">
        <f t="shared" si="23"/>
        <v>0</v>
      </c>
      <c r="X96" s="47">
        <f t="shared" si="26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5"/>
        <v>0</v>
      </c>
      <c r="M97" s="46">
        <f t="shared" si="25"/>
        <v>0</v>
      </c>
      <c r="N97" s="46">
        <f t="shared" si="25"/>
        <v>0</v>
      </c>
      <c r="O97" s="46">
        <f t="shared" si="24"/>
        <v>0</v>
      </c>
      <c r="P97" s="46">
        <f t="shared" si="24"/>
        <v>0</v>
      </c>
      <c r="Q97" s="46">
        <f t="shared" si="24"/>
        <v>0</v>
      </c>
      <c r="R97" s="46">
        <f t="shared" si="24"/>
        <v>0</v>
      </c>
      <c r="S97" s="46">
        <f t="shared" si="24"/>
        <v>0</v>
      </c>
      <c r="T97" s="46">
        <f t="shared" si="24"/>
        <v>0</v>
      </c>
      <c r="U97" s="47">
        <f t="shared" si="23"/>
        <v>0</v>
      </c>
      <c r="V97" s="47">
        <f t="shared" si="23"/>
        <v>0</v>
      </c>
      <c r="W97" s="47">
        <f t="shared" si="23"/>
        <v>0</v>
      </c>
      <c r="X97" s="47">
        <f t="shared" si="26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5"/>
        <v>0</v>
      </c>
      <c r="M98" s="46">
        <f t="shared" si="25"/>
        <v>0</v>
      </c>
      <c r="N98" s="46">
        <f t="shared" si="25"/>
        <v>0</v>
      </c>
      <c r="O98" s="46">
        <f t="shared" si="24"/>
        <v>0</v>
      </c>
      <c r="P98" s="46">
        <f t="shared" si="24"/>
        <v>0</v>
      </c>
      <c r="Q98" s="46">
        <f t="shared" si="24"/>
        <v>0</v>
      </c>
      <c r="R98" s="46">
        <f t="shared" si="24"/>
        <v>0</v>
      </c>
      <c r="S98" s="46">
        <f t="shared" si="24"/>
        <v>0</v>
      </c>
      <c r="T98" s="46">
        <f t="shared" si="24"/>
        <v>0</v>
      </c>
      <c r="U98" s="47">
        <f t="shared" si="23"/>
        <v>0</v>
      </c>
      <c r="V98" s="47">
        <f t="shared" si="23"/>
        <v>0</v>
      </c>
      <c r="W98" s="47">
        <f t="shared" si="23"/>
        <v>0</v>
      </c>
      <c r="X98" s="47">
        <f t="shared" si="26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5"/>
        <v>0</v>
      </c>
      <c r="M99" s="46">
        <f t="shared" si="25"/>
        <v>0</v>
      </c>
      <c r="N99" s="46">
        <f t="shared" si="25"/>
        <v>0</v>
      </c>
      <c r="O99" s="46">
        <f t="shared" si="24"/>
        <v>0</v>
      </c>
      <c r="P99" s="46">
        <f t="shared" si="24"/>
        <v>0</v>
      </c>
      <c r="Q99" s="46">
        <f t="shared" si="24"/>
        <v>0</v>
      </c>
      <c r="R99" s="46">
        <f t="shared" si="24"/>
        <v>0</v>
      </c>
      <c r="S99" s="46">
        <f t="shared" si="24"/>
        <v>0</v>
      </c>
      <c r="T99" s="46">
        <f t="shared" si="24"/>
        <v>0</v>
      </c>
      <c r="U99" s="47">
        <f t="shared" si="23"/>
        <v>0</v>
      </c>
      <c r="V99" s="47">
        <f t="shared" si="23"/>
        <v>0</v>
      </c>
      <c r="W99" s="47">
        <f t="shared" si="23"/>
        <v>0</v>
      </c>
      <c r="X99" s="47">
        <f t="shared" si="26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5"/>
        <v>0</v>
      </c>
      <c r="M100" s="46">
        <f t="shared" si="25"/>
        <v>0</v>
      </c>
      <c r="N100" s="46">
        <f t="shared" si="25"/>
        <v>0</v>
      </c>
      <c r="O100" s="46">
        <f t="shared" si="24"/>
        <v>0</v>
      </c>
      <c r="P100" s="46">
        <f t="shared" si="24"/>
        <v>0</v>
      </c>
      <c r="Q100" s="46">
        <f t="shared" si="24"/>
        <v>0</v>
      </c>
      <c r="R100" s="46">
        <f t="shared" si="24"/>
        <v>0</v>
      </c>
      <c r="S100" s="46">
        <f t="shared" si="24"/>
        <v>0</v>
      </c>
      <c r="T100" s="46">
        <f t="shared" si="24"/>
        <v>0</v>
      </c>
      <c r="U100" s="47">
        <f t="shared" si="23"/>
        <v>0</v>
      </c>
      <c r="V100" s="47">
        <f t="shared" si="23"/>
        <v>0</v>
      </c>
      <c r="W100" s="47">
        <f t="shared" si="23"/>
        <v>0</v>
      </c>
      <c r="X100" s="47">
        <f t="shared" si="26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5"/>
        <v>0</v>
      </c>
      <c r="M101" s="46">
        <f t="shared" si="25"/>
        <v>0</v>
      </c>
      <c r="N101" s="46">
        <f t="shared" si="25"/>
        <v>0</v>
      </c>
      <c r="O101" s="46">
        <f t="shared" si="24"/>
        <v>0</v>
      </c>
      <c r="P101" s="46">
        <f t="shared" si="24"/>
        <v>0</v>
      </c>
      <c r="Q101" s="46">
        <f t="shared" si="24"/>
        <v>0</v>
      </c>
      <c r="R101" s="46">
        <f t="shared" si="24"/>
        <v>0</v>
      </c>
      <c r="S101" s="46">
        <f t="shared" si="24"/>
        <v>0</v>
      </c>
      <c r="T101" s="46">
        <f t="shared" si="24"/>
        <v>0</v>
      </c>
      <c r="U101" s="47">
        <f t="shared" si="23"/>
        <v>0</v>
      </c>
      <c r="V101" s="47">
        <f t="shared" si="23"/>
        <v>0</v>
      </c>
      <c r="W101" s="47">
        <f t="shared" si="23"/>
        <v>0</v>
      </c>
      <c r="X101" s="47">
        <f t="shared" si="26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5"/>
        <v>0</v>
      </c>
      <c r="M102" s="46">
        <f t="shared" si="25"/>
        <v>0</v>
      </c>
      <c r="N102" s="46">
        <f t="shared" si="25"/>
        <v>0</v>
      </c>
      <c r="O102" s="46">
        <f t="shared" si="24"/>
        <v>0</v>
      </c>
      <c r="P102" s="46">
        <f t="shared" si="24"/>
        <v>0</v>
      </c>
      <c r="Q102" s="46">
        <f t="shared" si="24"/>
        <v>0</v>
      </c>
      <c r="R102" s="46">
        <f t="shared" si="24"/>
        <v>0</v>
      </c>
      <c r="S102" s="46">
        <f t="shared" si="24"/>
        <v>0</v>
      </c>
      <c r="T102" s="46">
        <f t="shared" si="24"/>
        <v>0</v>
      </c>
      <c r="U102" s="47">
        <f t="shared" si="23"/>
        <v>0</v>
      </c>
      <c r="V102" s="47">
        <f t="shared" si="23"/>
        <v>0</v>
      </c>
      <c r="W102" s="47">
        <f t="shared" si="23"/>
        <v>0</v>
      </c>
      <c r="X102" s="47">
        <f t="shared" si="26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5"/>
        <v>0</v>
      </c>
      <c r="M103" s="46">
        <f t="shared" si="25"/>
        <v>0</v>
      </c>
      <c r="N103" s="46">
        <f t="shared" si="25"/>
        <v>0</v>
      </c>
      <c r="O103" s="46">
        <f t="shared" si="24"/>
        <v>0</v>
      </c>
      <c r="P103" s="46">
        <f t="shared" si="24"/>
        <v>0</v>
      </c>
      <c r="Q103" s="46">
        <f t="shared" si="24"/>
        <v>0</v>
      </c>
      <c r="R103" s="46">
        <f t="shared" si="24"/>
        <v>0</v>
      </c>
      <c r="S103" s="46">
        <f t="shared" si="24"/>
        <v>0</v>
      </c>
      <c r="T103" s="46">
        <f t="shared" si="24"/>
        <v>0</v>
      </c>
      <c r="U103" s="47">
        <f t="shared" si="23"/>
        <v>0</v>
      </c>
      <c r="V103" s="47">
        <f t="shared" si="23"/>
        <v>0</v>
      </c>
      <c r="W103" s="47">
        <f t="shared" si="23"/>
        <v>0</v>
      </c>
      <c r="X103" s="47">
        <f t="shared" si="26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5"/>
        <v>0</v>
      </c>
      <c r="M104" s="46">
        <f t="shared" si="25"/>
        <v>0</v>
      </c>
      <c r="N104" s="46">
        <f t="shared" si="25"/>
        <v>0</v>
      </c>
      <c r="O104" s="46">
        <f t="shared" si="24"/>
        <v>0</v>
      </c>
      <c r="P104" s="46">
        <f t="shared" si="24"/>
        <v>0</v>
      </c>
      <c r="Q104" s="46">
        <f t="shared" si="24"/>
        <v>0</v>
      </c>
      <c r="R104" s="46">
        <f t="shared" si="24"/>
        <v>0</v>
      </c>
      <c r="S104" s="46">
        <f t="shared" si="24"/>
        <v>0</v>
      </c>
      <c r="T104" s="46">
        <f t="shared" si="24"/>
        <v>0</v>
      </c>
      <c r="U104" s="47">
        <f t="shared" si="23"/>
        <v>0</v>
      </c>
      <c r="V104" s="47">
        <f t="shared" si="23"/>
        <v>0</v>
      </c>
      <c r="W104" s="47">
        <f t="shared" si="23"/>
        <v>0</v>
      </c>
      <c r="X104" s="47">
        <f t="shared" si="26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5"/>
        <v>0</v>
      </c>
      <c r="M105" s="46">
        <f t="shared" si="25"/>
        <v>0</v>
      </c>
      <c r="N105" s="46">
        <f t="shared" si="25"/>
        <v>0</v>
      </c>
      <c r="O105" s="46">
        <f t="shared" si="24"/>
        <v>0</v>
      </c>
      <c r="P105" s="46">
        <f t="shared" si="24"/>
        <v>0</v>
      </c>
      <c r="Q105" s="46">
        <f t="shared" si="24"/>
        <v>0</v>
      </c>
      <c r="R105" s="46">
        <f t="shared" si="24"/>
        <v>0</v>
      </c>
      <c r="S105" s="46">
        <f t="shared" si="24"/>
        <v>0</v>
      </c>
      <c r="T105" s="46">
        <f t="shared" si="24"/>
        <v>0</v>
      </c>
      <c r="U105" s="47">
        <f t="shared" si="23"/>
        <v>0</v>
      </c>
      <c r="V105" s="47">
        <f t="shared" si="23"/>
        <v>0</v>
      </c>
      <c r="W105" s="47">
        <f t="shared" si="23"/>
        <v>0</v>
      </c>
      <c r="X105" s="47">
        <f t="shared" si="26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5"/>
        <v>0</v>
      </c>
      <c r="M106" s="46">
        <f t="shared" si="25"/>
        <v>0</v>
      </c>
      <c r="N106" s="46">
        <f t="shared" si="25"/>
        <v>0</v>
      </c>
      <c r="O106" s="46">
        <f t="shared" si="24"/>
        <v>0</v>
      </c>
      <c r="P106" s="46">
        <f t="shared" si="24"/>
        <v>0</v>
      </c>
      <c r="Q106" s="46">
        <f t="shared" si="24"/>
        <v>0</v>
      </c>
      <c r="R106" s="46">
        <f t="shared" si="24"/>
        <v>0</v>
      </c>
      <c r="S106" s="46">
        <f t="shared" si="24"/>
        <v>0</v>
      </c>
      <c r="T106" s="46">
        <f t="shared" si="24"/>
        <v>0</v>
      </c>
      <c r="U106" s="47">
        <f t="shared" si="23"/>
        <v>0</v>
      </c>
      <c r="V106" s="47">
        <f t="shared" si="23"/>
        <v>0</v>
      </c>
      <c r="W106" s="47">
        <f t="shared" si="23"/>
        <v>0</v>
      </c>
      <c r="X106" s="47">
        <f t="shared" si="26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5"/>
        <v>0</v>
      </c>
      <c r="M107" s="46">
        <f t="shared" si="25"/>
        <v>0</v>
      </c>
      <c r="N107" s="46">
        <f t="shared" si="25"/>
        <v>0</v>
      </c>
      <c r="O107" s="46">
        <f t="shared" si="24"/>
        <v>0</v>
      </c>
      <c r="P107" s="46">
        <f t="shared" si="24"/>
        <v>0</v>
      </c>
      <c r="Q107" s="46">
        <f t="shared" si="24"/>
        <v>0</v>
      </c>
      <c r="R107" s="46">
        <f t="shared" si="24"/>
        <v>0</v>
      </c>
      <c r="S107" s="46">
        <f t="shared" si="24"/>
        <v>0</v>
      </c>
      <c r="T107" s="46">
        <f t="shared" si="24"/>
        <v>0</v>
      </c>
      <c r="U107" s="47">
        <f t="shared" si="23"/>
        <v>0</v>
      </c>
      <c r="V107" s="47">
        <f t="shared" si="23"/>
        <v>0</v>
      </c>
      <c r="W107" s="47">
        <f t="shared" si="23"/>
        <v>0</v>
      </c>
      <c r="X107" s="47">
        <f t="shared" si="26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5"/>
        <v>0</v>
      </c>
      <c r="M108" s="46">
        <f t="shared" si="25"/>
        <v>0</v>
      </c>
      <c r="N108" s="46">
        <f t="shared" si="25"/>
        <v>0</v>
      </c>
      <c r="O108" s="46">
        <f t="shared" si="24"/>
        <v>0</v>
      </c>
      <c r="P108" s="46">
        <f t="shared" si="24"/>
        <v>0</v>
      </c>
      <c r="Q108" s="46">
        <f t="shared" si="24"/>
        <v>0</v>
      </c>
      <c r="R108" s="46">
        <f t="shared" si="24"/>
        <v>0</v>
      </c>
      <c r="S108" s="46">
        <f t="shared" si="24"/>
        <v>0</v>
      </c>
      <c r="T108" s="46">
        <f t="shared" si="24"/>
        <v>0</v>
      </c>
      <c r="U108" s="47">
        <f t="shared" ref="U108:W151" si="27">L108+Q108</f>
        <v>0</v>
      </c>
      <c r="V108" s="47">
        <f t="shared" si="27"/>
        <v>0</v>
      </c>
      <c r="W108" s="47">
        <f t="shared" si="27"/>
        <v>0</v>
      </c>
      <c r="X108" s="47">
        <f t="shared" si="26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5"/>
        <v>0</v>
      </c>
      <c r="M109" s="46">
        <f t="shared" si="25"/>
        <v>0</v>
      </c>
      <c r="N109" s="46">
        <f t="shared" si="25"/>
        <v>0</v>
      </c>
      <c r="O109" s="46">
        <f t="shared" si="24"/>
        <v>0</v>
      </c>
      <c r="P109" s="46">
        <f t="shared" si="24"/>
        <v>0</v>
      </c>
      <c r="Q109" s="46">
        <f t="shared" si="24"/>
        <v>0</v>
      </c>
      <c r="R109" s="46">
        <f t="shared" si="24"/>
        <v>0</v>
      </c>
      <c r="S109" s="46">
        <f t="shared" si="24"/>
        <v>0</v>
      </c>
      <c r="T109" s="46">
        <f t="shared" si="24"/>
        <v>0</v>
      </c>
      <c r="U109" s="47">
        <f t="shared" si="27"/>
        <v>0</v>
      </c>
      <c r="V109" s="47">
        <f t="shared" si="27"/>
        <v>0</v>
      </c>
      <c r="W109" s="47">
        <f t="shared" si="27"/>
        <v>0</v>
      </c>
      <c r="X109" s="47">
        <f t="shared" si="26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5"/>
        <v>0</v>
      </c>
      <c r="M110" s="46">
        <f t="shared" si="25"/>
        <v>0</v>
      </c>
      <c r="N110" s="46">
        <f t="shared" si="25"/>
        <v>0</v>
      </c>
      <c r="O110" s="46">
        <f t="shared" si="24"/>
        <v>0</v>
      </c>
      <c r="P110" s="46">
        <f t="shared" si="24"/>
        <v>0</v>
      </c>
      <c r="Q110" s="46">
        <f t="shared" si="24"/>
        <v>0</v>
      </c>
      <c r="R110" s="46">
        <f t="shared" si="24"/>
        <v>0</v>
      </c>
      <c r="S110" s="46">
        <f t="shared" si="24"/>
        <v>0</v>
      </c>
      <c r="T110" s="46">
        <f t="shared" si="24"/>
        <v>0</v>
      </c>
      <c r="U110" s="47">
        <f t="shared" si="27"/>
        <v>0</v>
      </c>
      <c r="V110" s="47">
        <f t="shared" si="27"/>
        <v>0</v>
      </c>
      <c r="W110" s="47">
        <f t="shared" si="27"/>
        <v>0</v>
      </c>
      <c r="X110" s="47">
        <f t="shared" si="26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5"/>
        <v>0</v>
      </c>
      <c r="M111" s="46">
        <f t="shared" si="25"/>
        <v>0</v>
      </c>
      <c r="N111" s="46">
        <f t="shared" si="25"/>
        <v>0</v>
      </c>
      <c r="O111" s="46">
        <f t="shared" si="24"/>
        <v>0</v>
      </c>
      <c r="P111" s="46">
        <f t="shared" si="24"/>
        <v>0</v>
      </c>
      <c r="Q111" s="46">
        <f t="shared" si="24"/>
        <v>0</v>
      </c>
      <c r="R111" s="46">
        <f t="shared" si="24"/>
        <v>0</v>
      </c>
      <c r="S111" s="46">
        <f t="shared" si="24"/>
        <v>0</v>
      </c>
      <c r="T111" s="46">
        <f t="shared" si="24"/>
        <v>0</v>
      </c>
      <c r="U111" s="47">
        <f t="shared" si="27"/>
        <v>0</v>
      </c>
      <c r="V111" s="47">
        <f t="shared" si="27"/>
        <v>0</v>
      </c>
      <c r="W111" s="47">
        <f t="shared" si="27"/>
        <v>0</v>
      </c>
      <c r="X111" s="47">
        <f t="shared" si="26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5"/>
        <v>0</v>
      </c>
      <c r="M112" s="46">
        <f t="shared" si="25"/>
        <v>0</v>
      </c>
      <c r="N112" s="46">
        <f t="shared" si="25"/>
        <v>0</v>
      </c>
      <c r="O112" s="46">
        <f t="shared" si="24"/>
        <v>0</v>
      </c>
      <c r="P112" s="46">
        <f t="shared" si="24"/>
        <v>0</v>
      </c>
      <c r="Q112" s="46">
        <f t="shared" si="24"/>
        <v>0</v>
      </c>
      <c r="R112" s="46">
        <f t="shared" si="24"/>
        <v>0</v>
      </c>
      <c r="S112" s="46">
        <f t="shared" si="24"/>
        <v>0</v>
      </c>
      <c r="T112" s="46">
        <f t="shared" si="24"/>
        <v>0</v>
      </c>
      <c r="U112" s="47">
        <f t="shared" si="27"/>
        <v>0</v>
      </c>
      <c r="V112" s="47">
        <f t="shared" si="27"/>
        <v>0</v>
      </c>
      <c r="W112" s="47">
        <f t="shared" si="27"/>
        <v>0</v>
      </c>
      <c r="X112" s="47">
        <f t="shared" si="26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5"/>
        <v>0</v>
      </c>
      <c r="M113" s="46">
        <f t="shared" si="25"/>
        <v>0</v>
      </c>
      <c r="N113" s="46">
        <f t="shared" si="25"/>
        <v>0</v>
      </c>
      <c r="O113" s="46">
        <f t="shared" si="24"/>
        <v>0</v>
      </c>
      <c r="P113" s="46">
        <f t="shared" si="24"/>
        <v>0</v>
      </c>
      <c r="Q113" s="46">
        <f t="shared" si="24"/>
        <v>0</v>
      </c>
      <c r="R113" s="46">
        <f t="shared" si="24"/>
        <v>0</v>
      </c>
      <c r="S113" s="46">
        <f t="shared" si="24"/>
        <v>0</v>
      </c>
      <c r="T113" s="46">
        <f t="shared" si="24"/>
        <v>0</v>
      </c>
      <c r="U113" s="47">
        <f t="shared" si="27"/>
        <v>0</v>
      </c>
      <c r="V113" s="47">
        <f t="shared" si="27"/>
        <v>0</v>
      </c>
      <c r="W113" s="47">
        <f t="shared" si="27"/>
        <v>0</v>
      </c>
      <c r="X113" s="47">
        <f t="shared" si="26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5"/>
        <v>0</v>
      </c>
      <c r="M114" s="46">
        <f t="shared" si="25"/>
        <v>0</v>
      </c>
      <c r="N114" s="46">
        <f t="shared" si="25"/>
        <v>0</v>
      </c>
      <c r="O114" s="46">
        <f t="shared" si="24"/>
        <v>0</v>
      </c>
      <c r="P114" s="46">
        <f t="shared" si="24"/>
        <v>0</v>
      </c>
      <c r="Q114" s="46">
        <f t="shared" si="24"/>
        <v>0</v>
      </c>
      <c r="R114" s="46">
        <f t="shared" ref="R114:T151" si="28">IFERROR(H115-H114,0)</f>
        <v>0</v>
      </c>
      <c r="S114" s="46">
        <f t="shared" si="28"/>
        <v>0</v>
      </c>
      <c r="T114" s="46">
        <f t="shared" si="28"/>
        <v>0</v>
      </c>
      <c r="U114" s="47">
        <f t="shared" si="27"/>
        <v>0</v>
      </c>
      <c r="V114" s="47">
        <f t="shared" si="27"/>
        <v>0</v>
      </c>
      <c r="W114" s="47">
        <f t="shared" si="27"/>
        <v>0</v>
      </c>
      <c r="X114" s="47">
        <f t="shared" si="26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5"/>
        <v>0</v>
      </c>
      <c r="M115" s="46">
        <f t="shared" si="25"/>
        <v>0</v>
      </c>
      <c r="N115" s="46">
        <f t="shared" si="25"/>
        <v>0</v>
      </c>
      <c r="O115" s="46">
        <f t="shared" si="25"/>
        <v>0</v>
      </c>
      <c r="P115" s="46">
        <f t="shared" si="25"/>
        <v>0</v>
      </c>
      <c r="Q115" s="46">
        <f t="shared" si="25"/>
        <v>0</v>
      </c>
      <c r="R115" s="46">
        <f t="shared" si="28"/>
        <v>0</v>
      </c>
      <c r="S115" s="46">
        <f t="shared" si="28"/>
        <v>0</v>
      </c>
      <c r="T115" s="46">
        <f t="shared" si="28"/>
        <v>0</v>
      </c>
      <c r="U115" s="47">
        <f t="shared" si="27"/>
        <v>0</v>
      </c>
      <c r="V115" s="47">
        <f t="shared" si="27"/>
        <v>0</v>
      </c>
      <c r="W115" s="47">
        <f t="shared" si="27"/>
        <v>0</v>
      </c>
      <c r="X115" s="47">
        <f t="shared" si="26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5"/>
        <v>0</v>
      </c>
      <c r="M116" s="46">
        <f t="shared" si="25"/>
        <v>0</v>
      </c>
      <c r="N116" s="46">
        <f t="shared" si="25"/>
        <v>0</v>
      </c>
      <c r="O116" s="46">
        <f t="shared" si="25"/>
        <v>0</v>
      </c>
      <c r="P116" s="46">
        <f t="shared" si="25"/>
        <v>0</v>
      </c>
      <c r="Q116" s="46">
        <f t="shared" si="25"/>
        <v>0</v>
      </c>
      <c r="R116" s="46">
        <f t="shared" si="28"/>
        <v>0</v>
      </c>
      <c r="S116" s="46">
        <f t="shared" si="28"/>
        <v>0</v>
      </c>
      <c r="T116" s="46">
        <f t="shared" si="28"/>
        <v>0</v>
      </c>
      <c r="U116" s="47">
        <f t="shared" si="27"/>
        <v>0</v>
      </c>
      <c r="V116" s="47">
        <f t="shared" si="27"/>
        <v>0</v>
      </c>
      <c r="W116" s="47">
        <f t="shared" si="27"/>
        <v>0</v>
      </c>
      <c r="X116" s="47">
        <f t="shared" si="26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5"/>
        <v>0</v>
      </c>
      <c r="M117" s="46">
        <f t="shared" si="25"/>
        <v>0</v>
      </c>
      <c r="N117" s="46">
        <f t="shared" si="25"/>
        <v>0</v>
      </c>
      <c r="O117" s="46">
        <f t="shared" si="25"/>
        <v>0</v>
      </c>
      <c r="P117" s="46">
        <f t="shared" si="25"/>
        <v>0</v>
      </c>
      <c r="Q117" s="46">
        <f t="shared" si="25"/>
        <v>0</v>
      </c>
      <c r="R117" s="46">
        <f t="shared" si="28"/>
        <v>0</v>
      </c>
      <c r="S117" s="46">
        <f t="shared" si="28"/>
        <v>0</v>
      </c>
      <c r="T117" s="46">
        <f t="shared" si="28"/>
        <v>0</v>
      </c>
      <c r="U117" s="47">
        <f t="shared" si="27"/>
        <v>0</v>
      </c>
      <c r="V117" s="47">
        <f t="shared" si="27"/>
        <v>0</v>
      </c>
      <c r="W117" s="47">
        <f t="shared" si="27"/>
        <v>0</v>
      </c>
      <c r="X117" s="47">
        <f t="shared" si="26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5"/>
        <v>0</v>
      </c>
      <c r="M118" s="46">
        <f t="shared" si="25"/>
        <v>0</v>
      </c>
      <c r="N118" s="46">
        <f t="shared" si="25"/>
        <v>0</v>
      </c>
      <c r="O118" s="46">
        <f t="shared" si="25"/>
        <v>0</v>
      </c>
      <c r="P118" s="46">
        <f t="shared" si="25"/>
        <v>0</v>
      </c>
      <c r="Q118" s="46">
        <f t="shared" si="25"/>
        <v>0</v>
      </c>
      <c r="R118" s="46">
        <f t="shared" si="28"/>
        <v>0</v>
      </c>
      <c r="S118" s="46">
        <f t="shared" si="28"/>
        <v>0</v>
      </c>
      <c r="T118" s="46">
        <f t="shared" si="28"/>
        <v>0</v>
      </c>
      <c r="U118" s="47">
        <f t="shared" si="27"/>
        <v>0</v>
      </c>
      <c r="V118" s="47">
        <f t="shared" si="27"/>
        <v>0</v>
      </c>
      <c r="W118" s="47">
        <f t="shared" si="27"/>
        <v>0</v>
      </c>
      <c r="X118" s="47">
        <f t="shared" si="26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5"/>
        <v>0</v>
      </c>
      <c r="M119" s="46">
        <f t="shared" si="25"/>
        <v>0</v>
      </c>
      <c r="N119" s="46">
        <f t="shared" si="25"/>
        <v>0</v>
      </c>
      <c r="O119" s="46">
        <f t="shared" si="25"/>
        <v>0</v>
      </c>
      <c r="P119" s="46">
        <f t="shared" si="25"/>
        <v>0</v>
      </c>
      <c r="Q119" s="46">
        <f t="shared" si="25"/>
        <v>0</v>
      </c>
      <c r="R119" s="46">
        <f t="shared" si="28"/>
        <v>0</v>
      </c>
      <c r="S119" s="46">
        <f t="shared" si="28"/>
        <v>0</v>
      </c>
      <c r="T119" s="46">
        <f t="shared" si="28"/>
        <v>0</v>
      </c>
      <c r="U119" s="47">
        <f t="shared" si="27"/>
        <v>0</v>
      </c>
      <c r="V119" s="47">
        <f t="shared" si="27"/>
        <v>0</v>
      </c>
      <c r="W119" s="47">
        <f t="shared" si="27"/>
        <v>0</v>
      </c>
      <c r="X119" s="47">
        <f t="shared" si="26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5"/>
        <v>0</v>
      </c>
      <c r="M120" s="46">
        <f t="shared" si="25"/>
        <v>0</v>
      </c>
      <c r="N120" s="46">
        <f t="shared" si="25"/>
        <v>0</v>
      </c>
      <c r="O120" s="46">
        <f t="shared" si="25"/>
        <v>0</v>
      </c>
      <c r="P120" s="46">
        <f t="shared" si="25"/>
        <v>0</v>
      </c>
      <c r="Q120" s="46">
        <f t="shared" si="25"/>
        <v>0</v>
      </c>
      <c r="R120" s="46">
        <f t="shared" si="28"/>
        <v>0</v>
      </c>
      <c r="S120" s="46">
        <f t="shared" si="28"/>
        <v>0</v>
      </c>
      <c r="T120" s="46">
        <f t="shared" si="28"/>
        <v>0</v>
      </c>
      <c r="U120" s="47">
        <f t="shared" si="27"/>
        <v>0</v>
      </c>
      <c r="V120" s="47">
        <f t="shared" si="27"/>
        <v>0</v>
      </c>
      <c r="W120" s="47">
        <f t="shared" si="27"/>
        <v>0</v>
      </c>
      <c r="X120" s="47">
        <f t="shared" si="26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5"/>
        <v>0</v>
      </c>
      <c r="M121" s="46">
        <f t="shared" si="25"/>
        <v>0</v>
      </c>
      <c r="N121" s="46">
        <f t="shared" si="25"/>
        <v>0</v>
      </c>
      <c r="O121" s="46">
        <f t="shared" si="25"/>
        <v>0</v>
      </c>
      <c r="P121" s="46">
        <f t="shared" si="25"/>
        <v>0</v>
      </c>
      <c r="Q121" s="46">
        <f t="shared" si="25"/>
        <v>0</v>
      </c>
      <c r="R121" s="46">
        <f t="shared" si="28"/>
        <v>0</v>
      </c>
      <c r="S121" s="46">
        <f t="shared" si="28"/>
        <v>0</v>
      </c>
      <c r="T121" s="46">
        <f t="shared" si="28"/>
        <v>0</v>
      </c>
      <c r="U121" s="47">
        <f t="shared" si="27"/>
        <v>0</v>
      </c>
      <c r="V121" s="47">
        <f t="shared" si="27"/>
        <v>0</v>
      </c>
      <c r="W121" s="47">
        <f t="shared" si="27"/>
        <v>0</v>
      </c>
      <c r="X121" s="47">
        <f t="shared" si="26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5"/>
        <v>0</v>
      </c>
      <c r="M122" s="46">
        <f t="shared" si="25"/>
        <v>0</v>
      </c>
      <c r="N122" s="46">
        <f t="shared" si="25"/>
        <v>0</v>
      </c>
      <c r="O122" s="46">
        <f t="shared" si="25"/>
        <v>0</v>
      </c>
      <c r="P122" s="46">
        <f t="shared" si="25"/>
        <v>0</v>
      </c>
      <c r="Q122" s="46">
        <f t="shared" si="25"/>
        <v>0</v>
      </c>
      <c r="R122" s="46">
        <f t="shared" si="28"/>
        <v>0</v>
      </c>
      <c r="S122" s="46">
        <f t="shared" si="28"/>
        <v>0</v>
      </c>
      <c r="T122" s="46">
        <f t="shared" si="28"/>
        <v>0</v>
      </c>
      <c r="U122" s="47">
        <f t="shared" si="27"/>
        <v>0</v>
      </c>
      <c r="V122" s="47">
        <f t="shared" si="27"/>
        <v>0</v>
      </c>
      <c r="W122" s="47">
        <f t="shared" si="27"/>
        <v>0</v>
      </c>
      <c r="X122" s="47">
        <f t="shared" si="26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5"/>
        <v>0</v>
      </c>
      <c r="M123" s="46">
        <f t="shared" si="25"/>
        <v>0</v>
      </c>
      <c r="N123" s="46">
        <f t="shared" si="25"/>
        <v>0</v>
      </c>
      <c r="O123" s="46">
        <f t="shared" si="25"/>
        <v>0</v>
      </c>
      <c r="P123" s="46">
        <f t="shared" si="25"/>
        <v>0</v>
      </c>
      <c r="Q123" s="46">
        <f t="shared" si="25"/>
        <v>0</v>
      </c>
      <c r="R123" s="46">
        <f t="shared" si="28"/>
        <v>0</v>
      </c>
      <c r="S123" s="46">
        <f t="shared" si="28"/>
        <v>0</v>
      </c>
      <c r="T123" s="46">
        <f t="shared" si="28"/>
        <v>0</v>
      </c>
      <c r="U123" s="47">
        <f t="shared" si="27"/>
        <v>0</v>
      </c>
      <c r="V123" s="47">
        <f t="shared" si="27"/>
        <v>0</v>
      </c>
      <c r="W123" s="47">
        <f t="shared" si="27"/>
        <v>0</v>
      </c>
      <c r="X123" s="47">
        <f t="shared" si="26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5"/>
        <v>0</v>
      </c>
      <c r="M124" s="46">
        <f t="shared" si="25"/>
        <v>0</v>
      </c>
      <c r="N124" s="46">
        <f t="shared" si="25"/>
        <v>0</v>
      </c>
      <c r="O124" s="46">
        <f t="shared" si="25"/>
        <v>0</v>
      </c>
      <c r="P124" s="46">
        <f t="shared" si="25"/>
        <v>0</v>
      </c>
      <c r="Q124" s="46">
        <f t="shared" si="25"/>
        <v>0</v>
      </c>
      <c r="R124" s="46">
        <f t="shared" si="28"/>
        <v>0</v>
      </c>
      <c r="S124" s="46">
        <f t="shared" si="28"/>
        <v>0</v>
      </c>
      <c r="T124" s="46">
        <f t="shared" si="28"/>
        <v>0</v>
      </c>
      <c r="U124" s="47">
        <f t="shared" si="27"/>
        <v>0</v>
      </c>
      <c r="V124" s="47">
        <f t="shared" si="27"/>
        <v>0</v>
      </c>
      <c r="W124" s="47">
        <f t="shared" si="27"/>
        <v>0</v>
      </c>
      <c r="X124" s="47">
        <f t="shared" si="26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5"/>
        <v>0</v>
      </c>
      <c r="M125" s="46">
        <f t="shared" si="25"/>
        <v>0</v>
      </c>
      <c r="N125" s="46">
        <f t="shared" si="25"/>
        <v>0</v>
      </c>
      <c r="O125" s="46">
        <f t="shared" si="25"/>
        <v>0</v>
      </c>
      <c r="P125" s="46">
        <f t="shared" si="25"/>
        <v>0</v>
      </c>
      <c r="Q125" s="46">
        <f t="shared" si="25"/>
        <v>0</v>
      </c>
      <c r="R125" s="46">
        <f t="shared" si="28"/>
        <v>0</v>
      </c>
      <c r="S125" s="46">
        <f t="shared" si="28"/>
        <v>0</v>
      </c>
      <c r="T125" s="46">
        <f t="shared" si="28"/>
        <v>0</v>
      </c>
      <c r="U125" s="47">
        <f t="shared" si="27"/>
        <v>0</v>
      </c>
      <c r="V125" s="47">
        <f t="shared" si="27"/>
        <v>0</v>
      </c>
      <c r="W125" s="47">
        <f t="shared" si="27"/>
        <v>0</v>
      </c>
      <c r="X125" s="47">
        <f t="shared" si="26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5"/>
        <v>0</v>
      </c>
      <c r="M126" s="46">
        <f t="shared" si="25"/>
        <v>0</v>
      </c>
      <c r="N126" s="46">
        <f t="shared" si="25"/>
        <v>0</v>
      </c>
      <c r="O126" s="46">
        <f t="shared" si="25"/>
        <v>0</v>
      </c>
      <c r="P126" s="46">
        <f t="shared" si="25"/>
        <v>0</v>
      </c>
      <c r="Q126" s="46">
        <f t="shared" si="25"/>
        <v>0</v>
      </c>
      <c r="R126" s="46">
        <f t="shared" si="28"/>
        <v>0</v>
      </c>
      <c r="S126" s="46">
        <f t="shared" si="28"/>
        <v>0</v>
      </c>
      <c r="T126" s="46">
        <f t="shared" si="28"/>
        <v>0</v>
      </c>
      <c r="U126" s="47">
        <f t="shared" si="27"/>
        <v>0</v>
      </c>
      <c r="V126" s="47">
        <f t="shared" si="27"/>
        <v>0</v>
      </c>
      <c r="W126" s="47">
        <f t="shared" si="27"/>
        <v>0</v>
      </c>
      <c r="X126" s="47">
        <f t="shared" si="26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5"/>
        <v>0</v>
      </c>
      <c r="M127" s="46">
        <f t="shared" si="25"/>
        <v>0</v>
      </c>
      <c r="N127" s="46">
        <f t="shared" si="25"/>
        <v>0</v>
      </c>
      <c r="O127" s="46">
        <f t="shared" si="25"/>
        <v>0</v>
      </c>
      <c r="P127" s="46">
        <f t="shared" si="25"/>
        <v>0</v>
      </c>
      <c r="Q127" s="46">
        <f t="shared" si="25"/>
        <v>0</v>
      </c>
      <c r="R127" s="46">
        <f t="shared" si="28"/>
        <v>0</v>
      </c>
      <c r="S127" s="46">
        <f t="shared" si="28"/>
        <v>0</v>
      </c>
      <c r="T127" s="46">
        <f t="shared" si="28"/>
        <v>0</v>
      </c>
      <c r="U127" s="47">
        <f t="shared" si="27"/>
        <v>0</v>
      </c>
      <c r="V127" s="47">
        <f t="shared" si="27"/>
        <v>0</v>
      </c>
      <c r="W127" s="47">
        <f t="shared" si="27"/>
        <v>0</v>
      </c>
      <c r="X127" s="47">
        <f t="shared" si="26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5"/>
        <v>0</v>
      </c>
      <c r="M128" s="46">
        <f t="shared" si="25"/>
        <v>0</v>
      </c>
      <c r="N128" s="46">
        <f t="shared" si="25"/>
        <v>0</v>
      </c>
      <c r="O128" s="46">
        <f t="shared" si="25"/>
        <v>0</v>
      </c>
      <c r="P128" s="46">
        <f t="shared" si="25"/>
        <v>0</v>
      </c>
      <c r="Q128" s="46">
        <f t="shared" si="25"/>
        <v>0</v>
      </c>
      <c r="R128" s="46">
        <f t="shared" si="28"/>
        <v>0</v>
      </c>
      <c r="S128" s="46">
        <f t="shared" si="28"/>
        <v>0</v>
      </c>
      <c r="T128" s="46">
        <f t="shared" si="28"/>
        <v>0</v>
      </c>
      <c r="U128" s="47">
        <f t="shared" si="27"/>
        <v>0</v>
      </c>
      <c r="V128" s="47">
        <f t="shared" si="27"/>
        <v>0</v>
      </c>
      <c r="W128" s="47">
        <f t="shared" si="27"/>
        <v>0</v>
      </c>
      <c r="X128" s="47">
        <f t="shared" si="26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5"/>
        <v>0</v>
      </c>
      <c r="M129" s="46">
        <f t="shared" si="25"/>
        <v>0</v>
      </c>
      <c r="N129" s="46">
        <f t="shared" si="25"/>
        <v>0</v>
      </c>
      <c r="O129" s="46">
        <f t="shared" si="25"/>
        <v>0</v>
      </c>
      <c r="P129" s="46">
        <f t="shared" si="25"/>
        <v>0</v>
      </c>
      <c r="Q129" s="46">
        <f t="shared" si="25"/>
        <v>0</v>
      </c>
      <c r="R129" s="46">
        <f t="shared" si="28"/>
        <v>0</v>
      </c>
      <c r="S129" s="46">
        <f t="shared" si="28"/>
        <v>0</v>
      </c>
      <c r="T129" s="46">
        <f t="shared" si="28"/>
        <v>0</v>
      </c>
      <c r="U129" s="47">
        <f t="shared" si="27"/>
        <v>0</v>
      </c>
      <c r="V129" s="47">
        <f t="shared" si="27"/>
        <v>0</v>
      </c>
      <c r="W129" s="47">
        <f t="shared" si="27"/>
        <v>0</v>
      </c>
      <c r="X129" s="47">
        <f t="shared" si="26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5"/>
        <v>0</v>
      </c>
      <c r="M130" s="46">
        <f t="shared" si="25"/>
        <v>0</v>
      </c>
      <c r="N130" s="46">
        <f t="shared" si="25"/>
        <v>0</v>
      </c>
      <c r="O130" s="46">
        <f t="shared" si="25"/>
        <v>0</v>
      </c>
      <c r="P130" s="46">
        <f t="shared" si="25"/>
        <v>0</v>
      </c>
      <c r="Q130" s="46">
        <f t="shared" si="25"/>
        <v>0</v>
      </c>
      <c r="R130" s="46">
        <f t="shared" si="28"/>
        <v>0</v>
      </c>
      <c r="S130" s="46">
        <f t="shared" si="28"/>
        <v>0</v>
      </c>
      <c r="T130" s="46">
        <f t="shared" si="28"/>
        <v>0</v>
      </c>
      <c r="U130" s="47">
        <f t="shared" si="27"/>
        <v>0</v>
      </c>
      <c r="V130" s="47">
        <f t="shared" si="27"/>
        <v>0</v>
      </c>
      <c r="W130" s="47">
        <f t="shared" si="27"/>
        <v>0</v>
      </c>
      <c r="X130" s="47">
        <f t="shared" si="26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5"/>
        <v>0</v>
      </c>
      <c r="M131" s="46">
        <f t="shared" si="25"/>
        <v>0</v>
      </c>
      <c r="N131" s="46">
        <f t="shared" si="25"/>
        <v>0</v>
      </c>
      <c r="O131" s="46">
        <f t="shared" si="25"/>
        <v>0</v>
      </c>
      <c r="P131" s="46">
        <f t="shared" si="25"/>
        <v>0</v>
      </c>
      <c r="Q131" s="46">
        <f t="shared" si="25"/>
        <v>0</v>
      </c>
      <c r="R131" s="46">
        <f t="shared" si="28"/>
        <v>0</v>
      </c>
      <c r="S131" s="46">
        <f t="shared" si="28"/>
        <v>0</v>
      </c>
      <c r="T131" s="46">
        <f t="shared" si="28"/>
        <v>0</v>
      </c>
      <c r="U131" s="47">
        <f t="shared" si="27"/>
        <v>0</v>
      </c>
      <c r="V131" s="47">
        <f t="shared" si="27"/>
        <v>0</v>
      </c>
      <c r="W131" s="47">
        <f t="shared" si="27"/>
        <v>0</v>
      </c>
      <c r="X131" s="47">
        <f t="shared" si="26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5"/>
        <v>0</v>
      </c>
      <c r="M132" s="46">
        <f t="shared" si="25"/>
        <v>0</v>
      </c>
      <c r="N132" s="46">
        <f t="shared" si="25"/>
        <v>0</v>
      </c>
      <c r="O132" s="46">
        <f t="shared" si="25"/>
        <v>0</v>
      </c>
      <c r="P132" s="46">
        <f t="shared" si="25"/>
        <v>0</v>
      </c>
      <c r="Q132" s="46">
        <f t="shared" si="25"/>
        <v>0</v>
      </c>
      <c r="R132" s="46">
        <f t="shared" si="28"/>
        <v>0</v>
      </c>
      <c r="S132" s="46">
        <f t="shared" si="28"/>
        <v>0</v>
      </c>
      <c r="T132" s="46">
        <f t="shared" si="28"/>
        <v>0</v>
      </c>
      <c r="U132" s="47">
        <f t="shared" si="27"/>
        <v>0</v>
      </c>
      <c r="V132" s="47">
        <f t="shared" si="27"/>
        <v>0</v>
      </c>
      <c r="W132" s="47">
        <f t="shared" si="27"/>
        <v>0</v>
      </c>
      <c r="X132" s="47">
        <f t="shared" si="26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5"/>
        <v>0</v>
      </c>
      <c r="M133" s="46">
        <f t="shared" si="25"/>
        <v>0</v>
      </c>
      <c r="N133" s="46">
        <f t="shared" si="25"/>
        <v>0</v>
      </c>
      <c r="O133" s="46">
        <f t="shared" si="25"/>
        <v>0</v>
      </c>
      <c r="P133" s="46">
        <f t="shared" si="25"/>
        <v>0</v>
      </c>
      <c r="Q133" s="46">
        <f t="shared" si="25"/>
        <v>0</v>
      </c>
      <c r="R133" s="46">
        <f t="shared" si="28"/>
        <v>0</v>
      </c>
      <c r="S133" s="46">
        <f t="shared" si="28"/>
        <v>0</v>
      </c>
      <c r="T133" s="46">
        <f t="shared" si="28"/>
        <v>0</v>
      </c>
      <c r="U133" s="47">
        <f t="shared" si="27"/>
        <v>0</v>
      </c>
      <c r="V133" s="47">
        <f t="shared" si="27"/>
        <v>0</v>
      </c>
      <c r="W133" s="47">
        <f t="shared" si="27"/>
        <v>0</v>
      </c>
      <c r="X133" s="47">
        <f t="shared" si="26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5"/>
        <v>0</v>
      </c>
      <c r="M134" s="46">
        <f t="shared" si="25"/>
        <v>0</v>
      </c>
      <c r="N134" s="46">
        <f t="shared" si="25"/>
        <v>0</v>
      </c>
      <c r="O134" s="46">
        <f t="shared" si="25"/>
        <v>0</v>
      </c>
      <c r="P134" s="46">
        <f t="shared" si="25"/>
        <v>0</v>
      </c>
      <c r="Q134" s="46">
        <f t="shared" si="25"/>
        <v>0</v>
      </c>
      <c r="R134" s="46">
        <f t="shared" si="28"/>
        <v>0</v>
      </c>
      <c r="S134" s="46">
        <f t="shared" si="28"/>
        <v>0</v>
      </c>
      <c r="T134" s="46">
        <f t="shared" si="28"/>
        <v>0</v>
      </c>
      <c r="U134" s="47">
        <f t="shared" si="27"/>
        <v>0</v>
      </c>
      <c r="V134" s="47">
        <f t="shared" si="27"/>
        <v>0</v>
      </c>
      <c r="W134" s="47">
        <f t="shared" si="27"/>
        <v>0</v>
      </c>
      <c r="X134" s="47">
        <f t="shared" si="26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5"/>
        <v>0</v>
      </c>
      <c r="M135" s="46">
        <f t="shared" si="25"/>
        <v>0</v>
      </c>
      <c r="N135" s="46">
        <f t="shared" si="25"/>
        <v>0</v>
      </c>
      <c r="O135" s="46">
        <f t="shared" si="25"/>
        <v>0</v>
      </c>
      <c r="P135" s="46">
        <f t="shared" si="25"/>
        <v>0</v>
      </c>
      <c r="Q135" s="46">
        <f t="shared" si="25"/>
        <v>0</v>
      </c>
      <c r="R135" s="46">
        <f t="shared" si="28"/>
        <v>0</v>
      </c>
      <c r="S135" s="46">
        <f t="shared" si="28"/>
        <v>0</v>
      </c>
      <c r="T135" s="46">
        <f t="shared" si="28"/>
        <v>0</v>
      </c>
      <c r="U135" s="47">
        <f t="shared" si="27"/>
        <v>0</v>
      </c>
      <c r="V135" s="47">
        <f t="shared" si="27"/>
        <v>0</v>
      </c>
      <c r="W135" s="47">
        <f t="shared" si="27"/>
        <v>0</v>
      </c>
      <c r="X135" s="47">
        <f t="shared" si="26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5"/>
        <v>0</v>
      </c>
      <c r="M136" s="46">
        <f t="shared" si="25"/>
        <v>0</v>
      </c>
      <c r="N136" s="46">
        <f t="shared" si="25"/>
        <v>0</v>
      </c>
      <c r="O136" s="46">
        <f t="shared" ref="O136:Q151" si="29">IFERROR(E137-E136,0)</f>
        <v>0</v>
      </c>
      <c r="P136" s="46">
        <f t="shared" si="29"/>
        <v>0</v>
      </c>
      <c r="Q136" s="46">
        <f t="shared" si="29"/>
        <v>0</v>
      </c>
      <c r="R136" s="46">
        <f t="shared" si="28"/>
        <v>0</v>
      </c>
      <c r="S136" s="46">
        <f t="shared" si="28"/>
        <v>0</v>
      </c>
      <c r="T136" s="46">
        <f t="shared" si="28"/>
        <v>0</v>
      </c>
      <c r="U136" s="47">
        <f t="shared" si="27"/>
        <v>0</v>
      </c>
      <c r="V136" s="47">
        <f t="shared" si="27"/>
        <v>0</v>
      </c>
      <c r="W136" s="47">
        <f t="shared" si="27"/>
        <v>0</v>
      </c>
      <c r="X136" s="47">
        <f t="shared" si="26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0">IFERROR(B138-B137,0)</f>
        <v>0</v>
      </c>
      <c r="M137" s="46">
        <f t="shared" si="30"/>
        <v>0</v>
      </c>
      <c r="N137" s="46">
        <f t="shared" si="30"/>
        <v>0</v>
      </c>
      <c r="O137" s="46">
        <f t="shared" si="29"/>
        <v>0</v>
      </c>
      <c r="P137" s="46">
        <f t="shared" si="29"/>
        <v>0</v>
      </c>
      <c r="Q137" s="46">
        <f t="shared" si="29"/>
        <v>0</v>
      </c>
      <c r="R137" s="46">
        <f t="shared" si="28"/>
        <v>0</v>
      </c>
      <c r="S137" s="46">
        <f t="shared" si="28"/>
        <v>0</v>
      </c>
      <c r="T137" s="46">
        <f t="shared" si="28"/>
        <v>0</v>
      </c>
      <c r="U137" s="47">
        <f t="shared" si="27"/>
        <v>0</v>
      </c>
      <c r="V137" s="47">
        <f t="shared" si="27"/>
        <v>0</v>
      </c>
      <c r="W137" s="47">
        <f t="shared" si="27"/>
        <v>0</v>
      </c>
      <c r="X137" s="47">
        <f t="shared" ref="X137:X152" si="31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0"/>
        <v>0</v>
      </c>
      <c r="M138" s="46">
        <f t="shared" si="30"/>
        <v>0</v>
      </c>
      <c r="N138" s="46">
        <f t="shared" si="30"/>
        <v>0</v>
      </c>
      <c r="O138" s="46">
        <f t="shared" si="29"/>
        <v>0</v>
      </c>
      <c r="P138" s="46">
        <f t="shared" si="29"/>
        <v>0</v>
      </c>
      <c r="Q138" s="46">
        <f t="shared" si="29"/>
        <v>0</v>
      </c>
      <c r="R138" s="46">
        <f t="shared" si="28"/>
        <v>0</v>
      </c>
      <c r="S138" s="46">
        <f t="shared" si="28"/>
        <v>0</v>
      </c>
      <c r="T138" s="46">
        <f t="shared" si="28"/>
        <v>0</v>
      </c>
      <c r="U138" s="47">
        <f t="shared" si="27"/>
        <v>0</v>
      </c>
      <c r="V138" s="47">
        <f t="shared" si="27"/>
        <v>0</v>
      </c>
      <c r="W138" s="47">
        <f t="shared" si="27"/>
        <v>0</v>
      </c>
      <c r="X138" s="47">
        <f t="shared" si="31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0"/>
        <v>0</v>
      </c>
      <c r="M139" s="46">
        <f t="shared" si="30"/>
        <v>0</v>
      </c>
      <c r="N139" s="46">
        <f t="shared" si="30"/>
        <v>0</v>
      </c>
      <c r="O139" s="46">
        <f t="shared" si="29"/>
        <v>0</v>
      </c>
      <c r="P139" s="46">
        <f t="shared" si="29"/>
        <v>0</v>
      </c>
      <c r="Q139" s="46">
        <f t="shared" si="29"/>
        <v>0</v>
      </c>
      <c r="R139" s="46">
        <f t="shared" si="28"/>
        <v>0</v>
      </c>
      <c r="S139" s="46">
        <f t="shared" si="28"/>
        <v>0</v>
      </c>
      <c r="T139" s="46">
        <f t="shared" si="28"/>
        <v>0</v>
      </c>
      <c r="U139" s="47">
        <f t="shared" si="27"/>
        <v>0</v>
      </c>
      <c r="V139" s="47">
        <f t="shared" si="27"/>
        <v>0</v>
      </c>
      <c r="W139" s="47">
        <f t="shared" si="27"/>
        <v>0</v>
      </c>
      <c r="X139" s="47">
        <f t="shared" si="31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0"/>
        <v>0</v>
      </c>
      <c r="M140" s="46">
        <f t="shared" si="30"/>
        <v>0</v>
      </c>
      <c r="N140" s="46">
        <f t="shared" si="30"/>
        <v>0</v>
      </c>
      <c r="O140" s="46">
        <f t="shared" si="29"/>
        <v>0</v>
      </c>
      <c r="P140" s="46">
        <f t="shared" si="29"/>
        <v>0</v>
      </c>
      <c r="Q140" s="46">
        <f t="shared" si="29"/>
        <v>0</v>
      </c>
      <c r="R140" s="46">
        <f t="shared" si="28"/>
        <v>0</v>
      </c>
      <c r="S140" s="46">
        <f t="shared" si="28"/>
        <v>0</v>
      </c>
      <c r="T140" s="46">
        <f t="shared" si="28"/>
        <v>0</v>
      </c>
      <c r="U140" s="47">
        <f t="shared" si="27"/>
        <v>0</v>
      </c>
      <c r="V140" s="47">
        <f t="shared" si="27"/>
        <v>0</v>
      </c>
      <c r="W140" s="47">
        <f t="shared" si="27"/>
        <v>0</v>
      </c>
      <c r="X140" s="47">
        <f t="shared" si="31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0"/>
        <v>0</v>
      </c>
      <c r="M141" s="46">
        <f t="shared" si="30"/>
        <v>0</v>
      </c>
      <c r="N141" s="46">
        <f t="shared" si="30"/>
        <v>0</v>
      </c>
      <c r="O141" s="46">
        <f t="shared" si="29"/>
        <v>0</v>
      </c>
      <c r="P141" s="46">
        <f t="shared" si="29"/>
        <v>0</v>
      </c>
      <c r="Q141" s="46">
        <f t="shared" si="29"/>
        <v>0</v>
      </c>
      <c r="R141" s="46">
        <f t="shared" si="28"/>
        <v>0</v>
      </c>
      <c r="S141" s="46">
        <f t="shared" si="28"/>
        <v>0</v>
      </c>
      <c r="T141" s="46">
        <f t="shared" si="28"/>
        <v>0</v>
      </c>
      <c r="U141" s="47">
        <f t="shared" si="27"/>
        <v>0</v>
      </c>
      <c r="V141" s="47">
        <f t="shared" si="27"/>
        <v>0</v>
      </c>
      <c r="W141" s="47">
        <f t="shared" si="27"/>
        <v>0</v>
      </c>
      <c r="X141" s="47">
        <f t="shared" si="31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0"/>
        <v>0</v>
      </c>
      <c r="M142" s="46">
        <f t="shared" si="30"/>
        <v>0</v>
      </c>
      <c r="N142" s="46">
        <f t="shared" si="30"/>
        <v>0</v>
      </c>
      <c r="O142" s="46">
        <f t="shared" si="29"/>
        <v>0</v>
      </c>
      <c r="P142" s="46">
        <f t="shared" si="29"/>
        <v>0</v>
      </c>
      <c r="Q142" s="46">
        <f t="shared" si="29"/>
        <v>0</v>
      </c>
      <c r="R142" s="46">
        <f t="shared" si="28"/>
        <v>0</v>
      </c>
      <c r="S142" s="46">
        <f t="shared" si="28"/>
        <v>0</v>
      </c>
      <c r="T142" s="46">
        <f t="shared" si="28"/>
        <v>0</v>
      </c>
      <c r="U142" s="47">
        <f t="shared" si="27"/>
        <v>0</v>
      </c>
      <c r="V142" s="47">
        <f t="shared" si="27"/>
        <v>0</v>
      </c>
      <c r="W142" s="47">
        <f t="shared" si="27"/>
        <v>0</v>
      </c>
      <c r="X142" s="47">
        <f t="shared" si="31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0"/>
        <v>0</v>
      </c>
      <c r="M143" s="46">
        <f t="shared" si="30"/>
        <v>0</v>
      </c>
      <c r="N143" s="46">
        <f t="shared" si="30"/>
        <v>0</v>
      </c>
      <c r="O143" s="46">
        <f t="shared" si="29"/>
        <v>0</v>
      </c>
      <c r="P143" s="46">
        <f t="shared" si="29"/>
        <v>0</v>
      </c>
      <c r="Q143" s="46">
        <f t="shared" si="29"/>
        <v>0</v>
      </c>
      <c r="R143" s="46">
        <f t="shared" si="28"/>
        <v>0</v>
      </c>
      <c r="S143" s="46">
        <f t="shared" si="28"/>
        <v>0</v>
      </c>
      <c r="T143" s="46">
        <f t="shared" si="28"/>
        <v>0</v>
      </c>
      <c r="U143" s="47">
        <f t="shared" si="27"/>
        <v>0</v>
      </c>
      <c r="V143" s="47">
        <f t="shared" si="27"/>
        <v>0</v>
      </c>
      <c r="W143" s="47">
        <f t="shared" si="27"/>
        <v>0</v>
      </c>
      <c r="X143" s="47">
        <f t="shared" si="31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0"/>
        <v>0</v>
      </c>
      <c r="M144" s="46">
        <f t="shared" si="30"/>
        <v>0</v>
      </c>
      <c r="N144" s="46">
        <f t="shared" si="30"/>
        <v>0</v>
      </c>
      <c r="O144" s="46">
        <f t="shared" si="29"/>
        <v>0</v>
      </c>
      <c r="P144" s="46">
        <f t="shared" si="29"/>
        <v>0</v>
      </c>
      <c r="Q144" s="46">
        <f t="shared" si="29"/>
        <v>0</v>
      </c>
      <c r="R144" s="46">
        <f t="shared" si="28"/>
        <v>0</v>
      </c>
      <c r="S144" s="46">
        <f t="shared" si="28"/>
        <v>0</v>
      </c>
      <c r="T144" s="46">
        <f t="shared" si="28"/>
        <v>0</v>
      </c>
      <c r="U144" s="47">
        <f t="shared" si="27"/>
        <v>0</v>
      </c>
      <c r="V144" s="47">
        <f t="shared" si="27"/>
        <v>0</v>
      </c>
      <c r="W144" s="47">
        <f t="shared" si="27"/>
        <v>0</v>
      </c>
      <c r="X144" s="47">
        <f t="shared" si="31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0"/>
        <v>0</v>
      </c>
      <c r="M145" s="46">
        <f t="shared" si="30"/>
        <v>0</v>
      </c>
      <c r="N145" s="46">
        <f t="shared" si="30"/>
        <v>0</v>
      </c>
      <c r="O145" s="46">
        <f t="shared" si="29"/>
        <v>0</v>
      </c>
      <c r="P145" s="46">
        <f t="shared" si="29"/>
        <v>0</v>
      </c>
      <c r="Q145" s="46">
        <f t="shared" si="29"/>
        <v>0</v>
      </c>
      <c r="R145" s="46">
        <f t="shared" si="28"/>
        <v>0</v>
      </c>
      <c r="S145" s="46">
        <f t="shared" si="28"/>
        <v>0</v>
      </c>
      <c r="T145" s="46">
        <f t="shared" si="28"/>
        <v>0</v>
      </c>
      <c r="U145" s="47">
        <f t="shared" si="27"/>
        <v>0</v>
      </c>
      <c r="V145" s="47">
        <f t="shared" si="27"/>
        <v>0</v>
      </c>
      <c r="W145" s="47">
        <f t="shared" si="27"/>
        <v>0</v>
      </c>
      <c r="X145" s="47">
        <f t="shared" si="31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0"/>
        <v>0</v>
      </c>
      <c r="M146" s="46">
        <f t="shared" si="30"/>
        <v>0</v>
      </c>
      <c r="N146" s="46">
        <f t="shared" si="30"/>
        <v>0</v>
      </c>
      <c r="O146" s="46">
        <f t="shared" si="29"/>
        <v>0</v>
      </c>
      <c r="P146" s="46">
        <f t="shared" si="29"/>
        <v>0</v>
      </c>
      <c r="Q146" s="46">
        <f t="shared" si="29"/>
        <v>0</v>
      </c>
      <c r="R146" s="46">
        <f t="shared" si="28"/>
        <v>0</v>
      </c>
      <c r="S146" s="46">
        <f t="shared" si="28"/>
        <v>0</v>
      </c>
      <c r="T146" s="46">
        <f t="shared" si="28"/>
        <v>0</v>
      </c>
      <c r="U146" s="47">
        <f t="shared" si="27"/>
        <v>0</v>
      </c>
      <c r="V146" s="47">
        <f t="shared" si="27"/>
        <v>0</v>
      </c>
      <c r="W146" s="47">
        <f t="shared" si="27"/>
        <v>0</v>
      </c>
      <c r="X146" s="47">
        <f t="shared" si="31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0"/>
        <v>0</v>
      </c>
      <c r="M147" s="46">
        <f t="shared" si="30"/>
        <v>0</v>
      </c>
      <c r="N147" s="46">
        <f t="shared" si="30"/>
        <v>0</v>
      </c>
      <c r="O147" s="46">
        <f t="shared" si="29"/>
        <v>0</v>
      </c>
      <c r="P147" s="46">
        <f t="shared" si="29"/>
        <v>0</v>
      </c>
      <c r="Q147" s="46">
        <f t="shared" si="29"/>
        <v>0</v>
      </c>
      <c r="R147" s="46">
        <f t="shared" si="28"/>
        <v>0</v>
      </c>
      <c r="S147" s="46">
        <f t="shared" si="28"/>
        <v>0</v>
      </c>
      <c r="T147" s="46">
        <f t="shared" si="28"/>
        <v>0</v>
      </c>
      <c r="U147" s="47">
        <f t="shared" si="27"/>
        <v>0</v>
      </c>
      <c r="V147" s="47">
        <f t="shared" si="27"/>
        <v>0</v>
      </c>
      <c r="W147" s="47">
        <f t="shared" si="27"/>
        <v>0</v>
      </c>
      <c r="X147" s="47">
        <f t="shared" si="31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0"/>
        <v>0</v>
      </c>
      <c r="M148" s="46">
        <f t="shared" si="30"/>
        <v>0</v>
      </c>
      <c r="N148" s="46">
        <f t="shared" si="30"/>
        <v>0</v>
      </c>
      <c r="O148" s="46">
        <f t="shared" si="29"/>
        <v>0</v>
      </c>
      <c r="P148" s="46">
        <f t="shared" si="29"/>
        <v>0</v>
      </c>
      <c r="Q148" s="46">
        <f t="shared" si="29"/>
        <v>0</v>
      </c>
      <c r="R148" s="46">
        <f t="shared" si="28"/>
        <v>0</v>
      </c>
      <c r="S148" s="46">
        <f t="shared" si="28"/>
        <v>0</v>
      </c>
      <c r="T148" s="46">
        <f t="shared" si="28"/>
        <v>0</v>
      </c>
      <c r="U148" s="47">
        <f t="shared" si="27"/>
        <v>0</v>
      </c>
      <c r="V148" s="47">
        <f t="shared" si="27"/>
        <v>0</v>
      </c>
      <c r="W148" s="47">
        <f t="shared" si="27"/>
        <v>0</v>
      </c>
      <c r="X148" s="47">
        <f t="shared" si="31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0"/>
        <v>0</v>
      </c>
      <c r="M149" s="46">
        <f t="shared" si="30"/>
        <v>0</v>
      </c>
      <c r="N149" s="46">
        <f t="shared" si="30"/>
        <v>0</v>
      </c>
      <c r="O149" s="46">
        <f t="shared" si="29"/>
        <v>0</v>
      </c>
      <c r="P149" s="46">
        <f t="shared" si="29"/>
        <v>0</v>
      </c>
      <c r="Q149" s="46">
        <f t="shared" si="29"/>
        <v>0</v>
      </c>
      <c r="R149" s="46">
        <f t="shared" si="28"/>
        <v>0</v>
      </c>
      <c r="S149" s="46">
        <f t="shared" si="28"/>
        <v>0</v>
      </c>
      <c r="T149" s="46">
        <f t="shared" si="28"/>
        <v>0</v>
      </c>
      <c r="U149" s="47">
        <f t="shared" si="27"/>
        <v>0</v>
      </c>
      <c r="V149" s="47">
        <f t="shared" si="27"/>
        <v>0</v>
      </c>
      <c r="W149" s="47">
        <f t="shared" si="27"/>
        <v>0</v>
      </c>
      <c r="X149" s="47">
        <f t="shared" si="31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0"/>
        <v>0</v>
      </c>
      <c r="M150" s="46">
        <f t="shared" si="30"/>
        <v>0</v>
      </c>
      <c r="N150" s="46">
        <f t="shared" si="30"/>
        <v>0</v>
      </c>
      <c r="O150" s="46">
        <f t="shared" si="29"/>
        <v>0</v>
      </c>
      <c r="P150" s="46">
        <f t="shared" si="29"/>
        <v>0</v>
      </c>
      <c r="Q150" s="46">
        <f t="shared" si="29"/>
        <v>0</v>
      </c>
      <c r="R150" s="46">
        <f t="shared" si="28"/>
        <v>0</v>
      </c>
      <c r="S150" s="46">
        <f t="shared" si="28"/>
        <v>0</v>
      </c>
      <c r="T150" s="46">
        <f t="shared" si="28"/>
        <v>0</v>
      </c>
      <c r="U150" s="47">
        <f t="shared" si="27"/>
        <v>0</v>
      </c>
      <c r="V150" s="47">
        <f t="shared" si="27"/>
        <v>0</v>
      </c>
      <c r="W150" s="47">
        <f t="shared" si="27"/>
        <v>0</v>
      </c>
      <c r="X150" s="47">
        <f t="shared" si="31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0"/>
        <v>0</v>
      </c>
      <c r="M151" s="46">
        <f t="shared" si="30"/>
        <v>0</v>
      </c>
      <c r="N151" s="46">
        <f t="shared" si="30"/>
        <v>0</v>
      </c>
      <c r="O151" s="46">
        <f t="shared" si="29"/>
        <v>0</v>
      </c>
      <c r="P151" s="46">
        <f t="shared" si="29"/>
        <v>0</v>
      </c>
      <c r="Q151" s="46">
        <f t="shared" si="29"/>
        <v>0</v>
      </c>
      <c r="R151" s="46">
        <f t="shared" si="28"/>
        <v>0</v>
      </c>
      <c r="S151" s="46">
        <f t="shared" si="28"/>
        <v>0</v>
      </c>
      <c r="T151" s="46">
        <f t="shared" si="28"/>
        <v>0</v>
      </c>
      <c r="U151" s="47">
        <f t="shared" si="27"/>
        <v>0</v>
      </c>
      <c r="V151" s="47">
        <f t="shared" si="27"/>
        <v>0</v>
      </c>
      <c r="W151" s="47">
        <f t="shared" si="27"/>
        <v>0</v>
      </c>
      <c r="X151" s="47">
        <f t="shared" si="31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2">L152+Q152</f>
        <v>0</v>
      </c>
      <c r="V152" s="36">
        <f t="shared" si="32"/>
        <v>0</v>
      </c>
      <c r="W152" s="36">
        <f t="shared" si="32"/>
        <v>0</v>
      </c>
      <c r="X152" s="36">
        <f t="shared" si="31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2026-07-15T06:33:40Z</dcterms:modified>
</cp:coreProperties>
</file>