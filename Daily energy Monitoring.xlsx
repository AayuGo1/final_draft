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July'26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A61" i="2" l="1"/>
  <c r="FZ61" i="2"/>
  <c r="FY61" i="2"/>
  <c r="FX61" i="2"/>
  <c r="FW61" i="2"/>
  <c r="FV61" i="2"/>
  <c r="FU61" i="2"/>
  <c r="FT61" i="2"/>
  <c r="FS61" i="2"/>
  <c r="FR61" i="2"/>
  <c r="FQ61" i="2"/>
  <c r="FP61" i="2"/>
  <c r="FO61" i="2"/>
  <c r="FN61" i="2"/>
  <c r="FM61" i="2"/>
  <c r="FL61" i="2"/>
  <c r="FK61" i="2"/>
  <c r="FJ61" i="2"/>
  <c r="FI61" i="2"/>
  <c r="FH61" i="2"/>
  <c r="FG61" i="2"/>
  <c r="FF61" i="2"/>
  <c r="FE61" i="2"/>
  <c r="FD61" i="2"/>
  <c r="FC61" i="2"/>
  <c r="FB61" i="2"/>
  <c r="FA61" i="2"/>
  <c r="EZ61" i="2"/>
  <c r="EY61" i="2"/>
  <c r="EX61" i="2"/>
  <c r="EW61" i="2"/>
  <c r="EV61" i="2"/>
  <c r="EU61" i="2"/>
  <c r="ET61" i="2"/>
  <c r="ES61" i="2"/>
  <c r="ER61" i="2"/>
  <c r="EQ61" i="2"/>
  <c r="EP61" i="2"/>
  <c r="EO61" i="2"/>
  <c r="EN61" i="2"/>
  <c r="EM61" i="2"/>
  <c r="EL61" i="2"/>
  <c r="EK61" i="2"/>
  <c r="EJ61" i="2"/>
  <c r="EI61" i="2"/>
  <c r="EH61" i="2"/>
  <c r="EG61" i="2"/>
  <c r="EF61" i="2"/>
  <c r="EE61" i="2"/>
  <c r="ED61" i="2"/>
  <c r="EC61" i="2"/>
  <c r="EB61" i="2"/>
  <c r="EA6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N61" i="2"/>
  <c r="DM61" i="2"/>
  <c r="DL61" i="2"/>
  <c r="DK61" i="2"/>
  <c r="DJ61" i="2"/>
  <c r="DI61" i="2"/>
  <c r="DH61" i="2"/>
  <c r="GA60" i="2"/>
  <c r="FZ60" i="2"/>
  <c r="FY60" i="2"/>
  <c r="FX60" i="2"/>
  <c r="FW60" i="2"/>
  <c r="FV60" i="2"/>
  <c r="FU60" i="2"/>
  <c r="FT60" i="2"/>
  <c r="FS60" i="2"/>
  <c r="FR60" i="2"/>
  <c r="FQ60" i="2"/>
  <c r="FP60" i="2"/>
  <c r="FO60" i="2"/>
  <c r="FN60" i="2"/>
  <c r="FM60" i="2"/>
  <c r="FL60" i="2"/>
  <c r="FK60" i="2"/>
  <c r="FJ60" i="2"/>
  <c r="FI60" i="2"/>
  <c r="FH60" i="2"/>
  <c r="FG60" i="2"/>
  <c r="FF60" i="2"/>
  <c r="FE60" i="2"/>
  <c r="FD60" i="2"/>
  <c r="FC60" i="2"/>
  <c r="FB60" i="2"/>
  <c r="FA60" i="2"/>
  <c r="EZ60" i="2"/>
  <c r="EY60" i="2"/>
  <c r="EX60" i="2"/>
  <c r="EW60" i="2"/>
  <c r="EV60" i="2"/>
  <c r="EU60" i="2"/>
  <c r="ET60" i="2"/>
  <c r="ES60" i="2"/>
  <c r="ER60" i="2"/>
  <c r="EQ60" i="2"/>
  <c r="EP60" i="2"/>
  <c r="EO60" i="2"/>
  <c r="EN60" i="2"/>
  <c r="EM60" i="2"/>
  <c r="EL60" i="2"/>
  <c r="EK60" i="2"/>
  <c r="EJ60" i="2"/>
  <c r="EI60" i="2"/>
  <c r="EH60" i="2"/>
  <c r="EG60" i="2"/>
  <c r="EF60" i="2"/>
  <c r="EE60" i="2"/>
  <c r="ED60" i="2"/>
  <c r="EC60" i="2"/>
  <c r="EB60" i="2"/>
  <c r="EA60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DJ60" i="2"/>
  <c r="DI60" i="2"/>
  <c r="DH60" i="2"/>
  <c r="GA59" i="2"/>
  <c r="FZ59" i="2"/>
  <c r="FY59" i="2"/>
  <c r="FX59" i="2"/>
  <c r="FW59" i="2"/>
  <c r="FV59" i="2"/>
  <c r="FU59" i="2"/>
  <c r="FT59" i="2"/>
  <c r="FS59" i="2"/>
  <c r="FR59" i="2"/>
  <c r="FQ59" i="2"/>
  <c r="FP59" i="2"/>
  <c r="FO59" i="2"/>
  <c r="FN59" i="2"/>
  <c r="FM59" i="2"/>
  <c r="FL59" i="2"/>
  <c r="FK59" i="2"/>
  <c r="FJ59" i="2"/>
  <c r="FI59" i="2"/>
  <c r="FH59" i="2"/>
  <c r="FG59" i="2"/>
  <c r="FF59" i="2"/>
  <c r="FE59" i="2"/>
  <c r="FD59" i="2"/>
  <c r="FC59" i="2"/>
  <c r="FB59" i="2"/>
  <c r="FA59" i="2"/>
  <c r="EZ59" i="2"/>
  <c r="EY59" i="2"/>
  <c r="EX59" i="2"/>
  <c r="EW59" i="2"/>
  <c r="EV59" i="2"/>
  <c r="EU59" i="2"/>
  <c r="ET59" i="2"/>
  <c r="ES59" i="2"/>
  <c r="ER59" i="2"/>
  <c r="EQ59" i="2"/>
  <c r="EP59" i="2"/>
  <c r="EO59" i="2"/>
  <c r="EN59" i="2"/>
  <c r="EM59" i="2"/>
  <c r="EL59" i="2"/>
  <c r="EK59" i="2"/>
  <c r="EJ59" i="2"/>
  <c r="EI59" i="2"/>
  <c r="EH59" i="2"/>
  <c r="EG59" i="2"/>
  <c r="EF59" i="2"/>
  <c r="EE59" i="2"/>
  <c r="ED59" i="2"/>
  <c r="EC59" i="2"/>
  <c r="EB59" i="2"/>
  <c r="EA59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N59" i="2"/>
  <c r="DM59" i="2"/>
  <c r="DL59" i="2"/>
  <c r="DK59" i="2"/>
  <c r="DJ59" i="2"/>
  <c r="DI59" i="2"/>
  <c r="DH59" i="2"/>
  <c r="GA58" i="2"/>
  <c r="FZ58" i="2"/>
  <c r="FY58" i="2"/>
  <c r="FX58" i="2"/>
  <c r="FW58" i="2"/>
  <c r="FV58" i="2"/>
  <c r="FU58" i="2"/>
  <c r="FT58" i="2"/>
  <c r="FS58" i="2"/>
  <c r="FR58" i="2"/>
  <c r="FQ58" i="2"/>
  <c r="FP58" i="2"/>
  <c r="FO58" i="2"/>
  <c r="FN58" i="2"/>
  <c r="FM58" i="2"/>
  <c r="FL58" i="2"/>
  <c r="FK58" i="2"/>
  <c r="FJ58" i="2"/>
  <c r="FI58" i="2"/>
  <c r="FH58" i="2"/>
  <c r="FG58" i="2"/>
  <c r="FF58" i="2"/>
  <c r="FE58" i="2"/>
  <c r="FD58" i="2"/>
  <c r="FC58" i="2"/>
  <c r="FB58" i="2"/>
  <c r="FA58" i="2"/>
  <c r="EZ58" i="2"/>
  <c r="EY58" i="2"/>
  <c r="EX58" i="2"/>
  <c r="EW58" i="2"/>
  <c r="EV58" i="2"/>
  <c r="EU58" i="2"/>
  <c r="ET58" i="2"/>
  <c r="ES58" i="2"/>
  <c r="ER58" i="2"/>
  <c r="EQ58" i="2"/>
  <c r="EP58" i="2"/>
  <c r="EO58" i="2"/>
  <c r="EN58" i="2"/>
  <c r="EM58" i="2"/>
  <c r="EL58" i="2"/>
  <c r="EK58" i="2"/>
  <c r="EJ58" i="2"/>
  <c r="EI58" i="2"/>
  <c r="EH58" i="2"/>
  <c r="EG58" i="2"/>
  <c r="EF58" i="2"/>
  <c r="EE58" i="2"/>
  <c r="ED58" i="2"/>
  <c r="EC58" i="2"/>
  <c r="EB58" i="2"/>
  <c r="EA58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N58" i="2"/>
  <c r="DM58" i="2"/>
  <c r="DL58" i="2"/>
  <c r="DK58" i="2"/>
  <c r="DJ58" i="2"/>
  <c r="DI58" i="2"/>
  <c r="DH58" i="2"/>
  <c r="GA57" i="2"/>
  <c r="FZ57" i="2"/>
  <c r="FY57" i="2"/>
  <c r="FX57" i="2"/>
  <c r="FW57" i="2"/>
  <c r="FV57" i="2"/>
  <c r="FU57" i="2"/>
  <c r="FT57" i="2"/>
  <c r="FS57" i="2"/>
  <c r="FR57" i="2"/>
  <c r="FQ57" i="2"/>
  <c r="FP57" i="2"/>
  <c r="FO57" i="2"/>
  <c r="FN57" i="2"/>
  <c r="FM57" i="2"/>
  <c r="FL57" i="2"/>
  <c r="FK57" i="2"/>
  <c r="FJ57" i="2"/>
  <c r="FI57" i="2"/>
  <c r="FH57" i="2"/>
  <c r="FG57" i="2"/>
  <c r="FF57" i="2"/>
  <c r="FE57" i="2"/>
  <c r="FD57" i="2"/>
  <c r="FC57" i="2"/>
  <c r="FB57" i="2"/>
  <c r="FA57" i="2"/>
  <c r="EZ57" i="2"/>
  <c r="EY57" i="2"/>
  <c r="EX57" i="2"/>
  <c r="EW57" i="2"/>
  <c r="EV57" i="2"/>
  <c r="EU57" i="2"/>
  <c r="ET57" i="2"/>
  <c r="ES57" i="2"/>
  <c r="ER57" i="2"/>
  <c r="EQ57" i="2"/>
  <c r="EP57" i="2"/>
  <c r="EO57" i="2"/>
  <c r="EN57" i="2"/>
  <c r="EM57" i="2"/>
  <c r="EL57" i="2"/>
  <c r="EK57" i="2"/>
  <c r="EJ57" i="2"/>
  <c r="EI57" i="2"/>
  <c r="EH57" i="2"/>
  <c r="EG57" i="2"/>
  <c r="EF57" i="2"/>
  <c r="EE57" i="2"/>
  <c r="ED57" i="2"/>
  <c r="EC57" i="2"/>
  <c r="EB57" i="2"/>
  <c r="EA57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DJ57" i="2"/>
  <c r="DI57" i="2"/>
  <c r="DH57" i="2"/>
  <c r="GA56" i="2"/>
  <c r="FZ56" i="2"/>
  <c r="FY56" i="2"/>
  <c r="FX56" i="2"/>
  <c r="FW56" i="2"/>
  <c r="FV56" i="2"/>
  <c r="FU56" i="2"/>
  <c r="FT56" i="2"/>
  <c r="FS56" i="2"/>
  <c r="FR56" i="2"/>
  <c r="FQ56" i="2"/>
  <c r="FP56" i="2"/>
  <c r="FO56" i="2"/>
  <c r="FN56" i="2"/>
  <c r="FM56" i="2"/>
  <c r="FL56" i="2"/>
  <c r="FK56" i="2"/>
  <c r="FJ56" i="2"/>
  <c r="FI56" i="2"/>
  <c r="FH56" i="2"/>
  <c r="FG56" i="2"/>
  <c r="FF56" i="2"/>
  <c r="FE56" i="2"/>
  <c r="FD56" i="2"/>
  <c r="FC56" i="2"/>
  <c r="FB56" i="2"/>
  <c r="FA56" i="2"/>
  <c r="EZ56" i="2"/>
  <c r="EY56" i="2"/>
  <c r="EX56" i="2"/>
  <c r="EW56" i="2"/>
  <c r="EV56" i="2"/>
  <c r="EU56" i="2"/>
  <c r="ET56" i="2"/>
  <c r="ES56" i="2"/>
  <c r="ER56" i="2"/>
  <c r="EQ56" i="2"/>
  <c r="EP56" i="2"/>
  <c r="EO56" i="2"/>
  <c r="EN56" i="2"/>
  <c r="EM56" i="2"/>
  <c r="EL56" i="2"/>
  <c r="EK56" i="2"/>
  <c r="EJ56" i="2"/>
  <c r="EI56" i="2"/>
  <c r="EH56" i="2"/>
  <c r="EG56" i="2"/>
  <c r="EF56" i="2"/>
  <c r="EE56" i="2"/>
  <c r="ED56" i="2"/>
  <c r="EC56" i="2"/>
  <c r="EB56" i="2"/>
  <c r="EA56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N56" i="2"/>
  <c r="DM56" i="2"/>
  <c r="DL56" i="2"/>
  <c r="DK56" i="2"/>
  <c r="DJ56" i="2"/>
  <c r="DI56" i="2"/>
  <c r="DH56" i="2"/>
  <c r="GA55" i="2"/>
  <c r="FZ55" i="2"/>
  <c r="FY55" i="2"/>
  <c r="FX55" i="2"/>
  <c r="FW55" i="2"/>
  <c r="FV55" i="2"/>
  <c r="FU55" i="2"/>
  <c r="FT55" i="2"/>
  <c r="FS55" i="2"/>
  <c r="FR55" i="2"/>
  <c r="FQ55" i="2"/>
  <c r="FP55" i="2"/>
  <c r="FO55" i="2"/>
  <c r="FN55" i="2"/>
  <c r="FM55" i="2"/>
  <c r="FL55" i="2"/>
  <c r="FK55" i="2"/>
  <c r="FJ55" i="2"/>
  <c r="FI55" i="2"/>
  <c r="FH55" i="2"/>
  <c r="FG55" i="2"/>
  <c r="FF55" i="2"/>
  <c r="FE55" i="2"/>
  <c r="FD55" i="2"/>
  <c r="FC55" i="2"/>
  <c r="FB55" i="2"/>
  <c r="FA55" i="2"/>
  <c r="EZ55" i="2"/>
  <c r="EY55" i="2"/>
  <c r="EX55" i="2"/>
  <c r="EW55" i="2"/>
  <c r="EV55" i="2"/>
  <c r="EU55" i="2"/>
  <c r="ET55" i="2"/>
  <c r="ES55" i="2"/>
  <c r="ER55" i="2"/>
  <c r="EQ55" i="2"/>
  <c r="EP55" i="2"/>
  <c r="EO55" i="2"/>
  <c r="EN55" i="2"/>
  <c r="EM55" i="2"/>
  <c r="EL55" i="2"/>
  <c r="EK55" i="2"/>
  <c r="EJ55" i="2"/>
  <c r="EI55" i="2"/>
  <c r="EH55" i="2"/>
  <c r="EG55" i="2"/>
  <c r="EF55" i="2"/>
  <c r="EE55" i="2"/>
  <c r="ED55" i="2"/>
  <c r="EC55" i="2"/>
  <c r="EB55" i="2"/>
  <c r="EA55" i="2"/>
  <c r="DZ55" i="2"/>
  <c r="DY55" i="2"/>
  <c r="DX55" i="2"/>
  <c r="DW55" i="2"/>
  <c r="DV55" i="2"/>
  <c r="DU55" i="2"/>
  <c r="DT55" i="2"/>
  <c r="DS55" i="2"/>
  <c r="DR55" i="2"/>
  <c r="DQ55" i="2"/>
  <c r="DP55" i="2"/>
  <c r="DO55" i="2"/>
  <c r="DN55" i="2"/>
  <c r="DM55" i="2"/>
  <c r="DL55" i="2"/>
  <c r="DK55" i="2"/>
  <c r="DJ55" i="2"/>
  <c r="DI55" i="2"/>
  <c r="DH55" i="2"/>
  <c r="GA54" i="2"/>
  <c r="FZ54" i="2"/>
  <c r="FY54" i="2"/>
  <c r="FX54" i="2"/>
  <c r="FW54" i="2"/>
  <c r="FV54" i="2"/>
  <c r="FU54" i="2"/>
  <c r="FT54" i="2"/>
  <c r="FS54" i="2"/>
  <c r="FR54" i="2"/>
  <c r="FQ54" i="2"/>
  <c r="FP54" i="2"/>
  <c r="FO54" i="2"/>
  <c r="FN54" i="2"/>
  <c r="FM54" i="2"/>
  <c r="FL54" i="2"/>
  <c r="FK54" i="2"/>
  <c r="FJ54" i="2"/>
  <c r="FI54" i="2"/>
  <c r="FH54" i="2"/>
  <c r="FG54" i="2"/>
  <c r="FF54" i="2"/>
  <c r="FE54" i="2"/>
  <c r="FD54" i="2"/>
  <c r="FC54" i="2"/>
  <c r="FB54" i="2"/>
  <c r="FA54" i="2"/>
  <c r="EZ54" i="2"/>
  <c r="EY54" i="2"/>
  <c r="EX54" i="2"/>
  <c r="EW54" i="2"/>
  <c r="EV54" i="2"/>
  <c r="EU54" i="2"/>
  <c r="ET54" i="2"/>
  <c r="ES54" i="2"/>
  <c r="ER54" i="2"/>
  <c r="EQ54" i="2"/>
  <c r="EP54" i="2"/>
  <c r="EO54" i="2"/>
  <c r="EN54" i="2"/>
  <c r="EM54" i="2"/>
  <c r="EL54" i="2"/>
  <c r="EK54" i="2"/>
  <c r="EJ54" i="2"/>
  <c r="EI54" i="2"/>
  <c r="EH54" i="2"/>
  <c r="EG54" i="2"/>
  <c r="EF54" i="2"/>
  <c r="EE54" i="2"/>
  <c r="ED54" i="2"/>
  <c r="EC54" i="2"/>
  <c r="EB54" i="2"/>
  <c r="EA54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N54" i="2"/>
  <c r="DM54" i="2"/>
  <c r="DL54" i="2"/>
  <c r="DK54" i="2"/>
  <c r="DJ54" i="2"/>
  <c r="DI54" i="2"/>
  <c r="DH54" i="2"/>
  <c r="GA53" i="2"/>
  <c r="FZ53" i="2"/>
  <c r="FY53" i="2"/>
  <c r="FX53" i="2"/>
  <c r="FW53" i="2"/>
  <c r="FV53" i="2"/>
  <c r="FU53" i="2"/>
  <c r="FT53" i="2"/>
  <c r="FS53" i="2"/>
  <c r="FR53" i="2"/>
  <c r="FQ53" i="2"/>
  <c r="FP53" i="2"/>
  <c r="FO53" i="2"/>
  <c r="FN53" i="2"/>
  <c r="FM53" i="2"/>
  <c r="FL53" i="2"/>
  <c r="FK53" i="2"/>
  <c r="FJ53" i="2"/>
  <c r="FI53" i="2"/>
  <c r="FH53" i="2"/>
  <c r="FG53" i="2"/>
  <c r="FF53" i="2"/>
  <c r="FE53" i="2"/>
  <c r="FD53" i="2"/>
  <c r="FC53" i="2"/>
  <c r="FB53" i="2"/>
  <c r="FA53" i="2"/>
  <c r="EZ53" i="2"/>
  <c r="EY53" i="2"/>
  <c r="EX53" i="2"/>
  <c r="EW53" i="2"/>
  <c r="EV53" i="2"/>
  <c r="EU53" i="2"/>
  <c r="ET53" i="2"/>
  <c r="ES53" i="2"/>
  <c r="ER53" i="2"/>
  <c r="EQ53" i="2"/>
  <c r="EP53" i="2"/>
  <c r="EO53" i="2"/>
  <c r="EN53" i="2"/>
  <c r="EM53" i="2"/>
  <c r="EL53" i="2"/>
  <c r="EK53" i="2"/>
  <c r="EJ53" i="2"/>
  <c r="EI53" i="2"/>
  <c r="EH53" i="2"/>
  <c r="EG53" i="2"/>
  <c r="EF53" i="2"/>
  <c r="EE53" i="2"/>
  <c r="ED53" i="2"/>
  <c r="EC53" i="2"/>
  <c r="EB53" i="2"/>
  <c r="EA53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N53" i="2"/>
  <c r="DM53" i="2"/>
  <c r="DL53" i="2"/>
  <c r="DK53" i="2"/>
  <c r="DJ53" i="2"/>
  <c r="DI53" i="2"/>
  <c r="DH53" i="2"/>
  <c r="GA52" i="2"/>
  <c r="FZ52" i="2"/>
  <c r="FY52" i="2"/>
  <c r="FX52" i="2"/>
  <c r="FW52" i="2"/>
  <c r="FV52" i="2"/>
  <c r="FU52" i="2"/>
  <c r="FT52" i="2"/>
  <c r="FS52" i="2"/>
  <c r="FR52" i="2"/>
  <c r="FQ52" i="2"/>
  <c r="FP52" i="2"/>
  <c r="FO52" i="2"/>
  <c r="FN52" i="2"/>
  <c r="FM52" i="2"/>
  <c r="FL52" i="2"/>
  <c r="FK52" i="2"/>
  <c r="FJ52" i="2"/>
  <c r="FI52" i="2"/>
  <c r="FH52" i="2"/>
  <c r="FG52" i="2"/>
  <c r="FF52" i="2"/>
  <c r="FE52" i="2"/>
  <c r="FD52" i="2"/>
  <c r="FC52" i="2"/>
  <c r="FB52" i="2"/>
  <c r="FA52" i="2"/>
  <c r="EZ52" i="2"/>
  <c r="EY52" i="2"/>
  <c r="EX52" i="2"/>
  <c r="EW52" i="2"/>
  <c r="EV52" i="2"/>
  <c r="EU52" i="2"/>
  <c r="ET52" i="2"/>
  <c r="ES52" i="2"/>
  <c r="ER52" i="2"/>
  <c r="EQ52" i="2"/>
  <c r="EP52" i="2"/>
  <c r="EO52" i="2"/>
  <c r="EN52" i="2"/>
  <c r="EM52" i="2"/>
  <c r="EL52" i="2"/>
  <c r="EK52" i="2"/>
  <c r="EJ52" i="2"/>
  <c r="EI52" i="2"/>
  <c r="EH52" i="2"/>
  <c r="EG52" i="2"/>
  <c r="EF52" i="2"/>
  <c r="EE52" i="2"/>
  <c r="ED52" i="2"/>
  <c r="EC52" i="2"/>
  <c r="EB52" i="2"/>
  <c r="EA52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GA51" i="2"/>
  <c r="FZ51" i="2"/>
  <c r="FY51" i="2"/>
  <c r="FX51" i="2"/>
  <c r="FW51" i="2"/>
  <c r="FV51" i="2"/>
  <c r="FU51" i="2"/>
  <c r="FT51" i="2"/>
  <c r="FS51" i="2"/>
  <c r="FR51" i="2"/>
  <c r="FQ51" i="2"/>
  <c r="FP51" i="2"/>
  <c r="FO51" i="2"/>
  <c r="FN51" i="2"/>
  <c r="FM51" i="2"/>
  <c r="FL51" i="2"/>
  <c r="FK51" i="2"/>
  <c r="FJ51" i="2"/>
  <c r="FI51" i="2"/>
  <c r="FH51" i="2"/>
  <c r="FG51" i="2"/>
  <c r="FF51" i="2"/>
  <c r="FE51" i="2"/>
  <c r="FD51" i="2"/>
  <c r="FC51" i="2"/>
  <c r="FB51" i="2"/>
  <c r="FA51" i="2"/>
  <c r="EZ51" i="2"/>
  <c r="EY51" i="2"/>
  <c r="EX51" i="2"/>
  <c r="EW51" i="2"/>
  <c r="EV51" i="2"/>
  <c r="EU51" i="2"/>
  <c r="ET51" i="2"/>
  <c r="ES51" i="2"/>
  <c r="ER51" i="2"/>
  <c r="EQ51" i="2"/>
  <c r="EP51" i="2"/>
  <c r="EO51" i="2"/>
  <c r="EN51" i="2"/>
  <c r="EM51" i="2"/>
  <c r="EL51" i="2"/>
  <c r="EK51" i="2"/>
  <c r="EJ51" i="2"/>
  <c r="EI51" i="2"/>
  <c r="EH51" i="2"/>
  <c r="EG51" i="2"/>
  <c r="EF51" i="2"/>
  <c r="EE51" i="2"/>
  <c r="ED51" i="2"/>
  <c r="EC51" i="2"/>
  <c r="EB51" i="2"/>
  <c r="EA51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N51" i="2"/>
  <c r="DM51" i="2"/>
  <c r="DL51" i="2"/>
  <c r="DK51" i="2"/>
  <c r="DJ51" i="2"/>
  <c r="DI51" i="2"/>
  <c r="DH51" i="2"/>
  <c r="GA50" i="2"/>
  <c r="FZ50" i="2"/>
  <c r="FY50" i="2"/>
  <c r="FX50" i="2"/>
  <c r="FW50" i="2"/>
  <c r="FV50" i="2"/>
  <c r="FU50" i="2"/>
  <c r="FT50" i="2"/>
  <c r="FS50" i="2"/>
  <c r="FR50" i="2"/>
  <c r="FQ50" i="2"/>
  <c r="FP50" i="2"/>
  <c r="FO50" i="2"/>
  <c r="FN50" i="2"/>
  <c r="FM50" i="2"/>
  <c r="FL50" i="2"/>
  <c r="FK50" i="2"/>
  <c r="FJ50" i="2"/>
  <c r="FI50" i="2"/>
  <c r="FH50" i="2"/>
  <c r="FG50" i="2"/>
  <c r="FF50" i="2"/>
  <c r="FE50" i="2"/>
  <c r="FD50" i="2"/>
  <c r="FC50" i="2"/>
  <c r="FB50" i="2"/>
  <c r="FA50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GA49" i="2"/>
  <c r="FZ49" i="2"/>
  <c r="FY49" i="2"/>
  <c r="FX49" i="2"/>
  <c r="FW49" i="2"/>
  <c r="FV49" i="2"/>
  <c r="FU49" i="2"/>
  <c r="FT49" i="2"/>
  <c r="FS49" i="2"/>
  <c r="FR49" i="2"/>
  <c r="FQ49" i="2"/>
  <c r="FP49" i="2"/>
  <c r="FO49" i="2"/>
  <c r="FN49" i="2"/>
  <c r="FM49" i="2"/>
  <c r="FL49" i="2"/>
  <c r="FK49" i="2"/>
  <c r="FJ49" i="2"/>
  <c r="FI49" i="2"/>
  <c r="FH49" i="2"/>
  <c r="FG49" i="2"/>
  <c r="FF49" i="2"/>
  <c r="FE49" i="2"/>
  <c r="FD49" i="2"/>
  <c r="FC49" i="2"/>
  <c r="FB49" i="2"/>
  <c r="FA49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GA48" i="2"/>
  <c r="FZ48" i="2"/>
  <c r="FY48" i="2"/>
  <c r="FX48" i="2"/>
  <c r="FW48" i="2"/>
  <c r="FV48" i="2"/>
  <c r="FU48" i="2"/>
  <c r="FT48" i="2"/>
  <c r="FS48" i="2"/>
  <c r="FR48" i="2"/>
  <c r="FQ48" i="2"/>
  <c r="FP48" i="2"/>
  <c r="FO48" i="2"/>
  <c r="FN48" i="2"/>
  <c r="FM48" i="2"/>
  <c r="FL48" i="2"/>
  <c r="FK48" i="2"/>
  <c r="FJ48" i="2"/>
  <c r="FI48" i="2"/>
  <c r="FH48" i="2"/>
  <c r="FG48" i="2"/>
  <c r="FF48" i="2"/>
  <c r="FE48" i="2"/>
  <c r="FD48" i="2"/>
  <c r="FC48" i="2"/>
  <c r="FB48" i="2"/>
  <c r="FA48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GA47" i="2"/>
  <c r="FZ47" i="2"/>
  <c r="FY47" i="2"/>
  <c r="FX47" i="2"/>
  <c r="FW47" i="2"/>
  <c r="FV47" i="2"/>
  <c r="FU47" i="2"/>
  <c r="FT47" i="2"/>
  <c r="FS47" i="2"/>
  <c r="FR47" i="2"/>
  <c r="FQ47" i="2"/>
  <c r="FP47" i="2"/>
  <c r="FO47" i="2"/>
  <c r="FN47" i="2"/>
  <c r="FM47" i="2"/>
  <c r="FL47" i="2"/>
  <c r="FK47" i="2"/>
  <c r="FJ47" i="2"/>
  <c r="FI47" i="2"/>
  <c r="FH47" i="2"/>
  <c r="FG47" i="2"/>
  <c r="FF47" i="2"/>
  <c r="FE47" i="2"/>
  <c r="FD47" i="2"/>
  <c r="FC47" i="2"/>
  <c r="FB47" i="2"/>
  <c r="FA47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GA46" i="2"/>
  <c r="FZ46" i="2"/>
  <c r="FY46" i="2"/>
  <c r="FX46" i="2"/>
  <c r="FW46" i="2"/>
  <c r="FV46" i="2"/>
  <c r="FU46" i="2"/>
  <c r="FT46" i="2"/>
  <c r="FS46" i="2"/>
  <c r="FR46" i="2"/>
  <c r="FQ46" i="2"/>
  <c r="FP46" i="2"/>
  <c r="FO46" i="2"/>
  <c r="FN46" i="2"/>
  <c r="FM46" i="2"/>
  <c r="FL46" i="2"/>
  <c r="FK46" i="2"/>
  <c r="FJ46" i="2"/>
  <c r="FI46" i="2"/>
  <c r="FH46" i="2"/>
  <c r="FG46" i="2"/>
  <c r="FF46" i="2"/>
  <c r="FE46" i="2"/>
  <c r="FD46" i="2"/>
  <c r="FC46" i="2"/>
  <c r="FB46" i="2"/>
  <c r="FA46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GA45" i="2"/>
  <c r="FZ45" i="2"/>
  <c r="FY45" i="2"/>
  <c r="FX45" i="2"/>
  <c r="FW45" i="2"/>
  <c r="FV45" i="2"/>
  <c r="FU45" i="2"/>
  <c r="FT45" i="2"/>
  <c r="FS45" i="2"/>
  <c r="FR45" i="2"/>
  <c r="FQ45" i="2"/>
  <c r="FP45" i="2"/>
  <c r="FO45" i="2"/>
  <c r="FN45" i="2"/>
  <c r="FM45" i="2"/>
  <c r="FL45" i="2"/>
  <c r="FK45" i="2"/>
  <c r="FJ45" i="2"/>
  <c r="FI45" i="2"/>
  <c r="FH45" i="2"/>
  <c r="FG45" i="2"/>
  <c r="FF45" i="2"/>
  <c r="FE45" i="2"/>
  <c r="FD45" i="2"/>
  <c r="FC45" i="2"/>
  <c r="FB45" i="2"/>
  <c r="FA45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GA44" i="2"/>
  <c r="FZ44" i="2"/>
  <c r="FY44" i="2"/>
  <c r="FX44" i="2"/>
  <c r="FW44" i="2"/>
  <c r="FV44" i="2"/>
  <c r="FU44" i="2"/>
  <c r="FT44" i="2"/>
  <c r="FS44" i="2"/>
  <c r="FR44" i="2"/>
  <c r="FQ44" i="2"/>
  <c r="FP44" i="2"/>
  <c r="FO44" i="2"/>
  <c r="FN44" i="2"/>
  <c r="FM44" i="2"/>
  <c r="FL44" i="2"/>
  <c r="FK44" i="2"/>
  <c r="FJ44" i="2"/>
  <c r="FI44" i="2"/>
  <c r="FH44" i="2"/>
  <c r="FG44" i="2"/>
  <c r="FF44" i="2"/>
  <c r="FE44" i="2"/>
  <c r="FD44" i="2"/>
  <c r="FC44" i="2"/>
  <c r="FB44" i="2"/>
  <c r="FA44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GA43" i="2"/>
  <c r="FZ43" i="2"/>
  <c r="FY43" i="2"/>
  <c r="FX43" i="2"/>
  <c r="FW43" i="2"/>
  <c r="FV43" i="2"/>
  <c r="FU43" i="2"/>
  <c r="FT43" i="2"/>
  <c r="FS43" i="2"/>
  <c r="FR43" i="2"/>
  <c r="FQ43" i="2"/>
  <c r="FP43" i="2"/>
  <c r="FO43" i="2"/>
  <c r="FN43" i="2"/>
  <c r="FM43" i="2"/>
  <c r="FL43" i="2"/>
  <c r="FK43" i="2"/>
  <c r="FJ43" i="2"/>
  <c r="FI43" i="2"/>
  <c r="FH43" i="2"/>
  <c r="FG43" i="2"/>
  <c r="FF43" i="2"/>
  <c r="FE43" i="2"/>
  <c r="FD43" i="2"/>
  <c r="FC43" i="2"/>
  <c r="FB43" i="2"/>
  <c r="FA43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GA42" i="2"/>
  <c r="FZ42" i="2"/>
  <c r="FY42" i="2"/>
  <c r="FX42" i="2"/>
  <c r="FW42" i="2"/>
  <c r="FV42" i="2"/>
  <c r="FU42" i="2"/>
  <c r="FT42" i="2"/>
  <c r="FS42" i="2"/>
  <c r="FR42" i="2"/>
  <c r="FQ42" i="2"/>
  <c r="FP42" i="2"/>
  <c r="FO42" i="2"/>
  <c r="FN42" i="2"/>
  <c r="FM42" i="2"/>
  <c r="FL42" i="2"/>
  <c r="FK42" i="2"/>
  <c r="FJ42" i="2"/>
  <c r="FI42" i="2"/>
  <c r="FH42" i="2"/>
  <c r="FG42" i="2"/>
  <c r="FF42" i="2"/>
  <c r="FE42" i="2"/>
  <c r="FD42" i="2"/>
  <c r="FC42" i="2"/>
  <c r="FB42" i="2"/>
  <c r="FA42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GA41" i="2"/>
  <c r="FZ41" i="2"/>
  <c r="FY41" i="2"/>
  <c r="FX41" i="2"/>
  <c r="FW41" i="2"/>
  <c r="FV41" i="2"/>
  <c r="FU41" i="2"/>
  <c r="FT41" i="2"/>
  <c r="FS41" i="2"/>
  <c r="FR41" i="2"/>
  <c r="FQ41" i="2"/>
  <c r="FP41" i="2"/>
  <c r="FO41" i="2"/>
  <c r="FN41" i="2"/>
  <c r="FM41" i="2"/>
  <c r="FL41" i="2"/>
  <c r="FK41" i="2"/>
  <c r="FJ41" i="2"/>
  <c r="FI41" i="2"/>
  <c r="FH41" i="2"/>
  <c r="FG41" i="2"/>
  <c r="FF41" i="2"/>
  <c r="FE41" i="2"/>
  <c r="FD41" i="2"/>
  <c r="FC41" i="2"/>
  <c r="FB41" i="2"/>
  <c r="FA41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V46" i="3" s="1"/>
  <c r="L46" i="3"/>
  <c r="U46" i="3" s="1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X50" i="3" l="1"/>
  <c r="W50" i="3"/>
  <c r="W46" i="3"/>
  <c r="X47" i="3"/>
  <c r="W47" i="3"/>
  <c r="X46" i="3"/>
  <c r="V44" i="3"/>
  <c r="V45" i="3"/>
  <c r="U45" i="3"/>
  <c r="W44" i="3"/>
  <c r="U44" i="3"/>
  <c r="X43" i="3"/>
  <c r="W43" i="3"/>
  <c r="V43" i="3"/>
  <c r="X41" i="3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<sst xmlns="http://schemas.openxmlformats.org/spreadsheetml/2006/main" count="647" uniqueCount="278">
  <si>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</si>
  <si>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</si>
  <si>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</si>
  <si>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</si>
  <si>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</si>
  <si>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</si>
  <si>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</si>
  <si>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</si>
  <si>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</si>
  <si>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</si>
  <si>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</si>
  <si>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</si>
  <si>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</si>
  <si>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</si>
  <si>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</si>
  <si>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</si>
  <si>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</si>
  <si>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</si>
  <si>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</si>
  <si>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</si>
  <si>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</si>
  <si>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</si>
  <si>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</si>
  <si>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</si>
  <si>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</si>
  <si>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</si>
  <si>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</si>
  <si>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</si>
  <si>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</si>
  <si>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</si>
  <si>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</si>
  <si>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</si>
  <si>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</si>
  <si>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</si>
  <si>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</si>
  <si>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</si>
  <si>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</si>
  <si>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</si>
  <si>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</si>
  <si>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</si>
  <si>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</si>
  <si>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</si>
  <si>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</si>
  <si>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</si>
  <si>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</si>
  <si>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</si>
  <si>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</si>
  <si>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</si>
  <si>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</si>
  <si>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</si>
  <si>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</si>
  <si>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</si>
  <si>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</si>
  <si>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</si>
  <si>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</si>
  <si>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</si>
  <si>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</si>
  <si>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</si>
  <si>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</si>
  <si>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</si>
  <si>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</si>
  <si>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</si>
  <si>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</si>
  <si>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</si>
  <si>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</si>
  <si>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</si>
  <si>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</si>
  <si>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</si>
  <si>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</si>
  <si>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</si>
  <si>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</si>
  <si>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</si>
  <si>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</si>
  <si>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</si>
  <si>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</si>
  <si>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</si>
  <si>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</si>
  <si>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</si>
  <si>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</si>
  <si>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</si>
  <si>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</si>
  <si>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</si>
  <si>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</si>
  <si>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</si>
  <si>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</si>
  <si>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</si>
  <si>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</si>
  <si>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</si>
  <si>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</si>
  <si>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</si>
  <si>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</si>
  <si>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</si>
  <si>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</si>
  <si>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</si>
  <si>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</si>
  <si>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</si>
  <si>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</si>
  <si>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</si>
  <si>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</si>
  <si>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</si>
  <si>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</si>
  <si>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</si>
  <si>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</si>
  <si>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</si>
  <si>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</si>
  <si>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</si>
  <si>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</si>
  <si>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</si>
  <si>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</si>
  <si>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</si>
  <si>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</si>
  <si>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</si>
  <si>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</si>
  <si>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</si>
  <si>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</si>
  <si>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</si>
  <si>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</si>
  <si>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</si>
  <si>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</si>
  <si>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</si>
  <si>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</si>
  <si>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</si>
  <si>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</si>
  <si>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</si>
  <si>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</si>
  <si>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</si>
  <si>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</si>
  <si>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</si>
  <si>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</si>
  <si>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</si>
  <si>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</si>
  <si>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</si>
  <si>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</si>
  <si>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</si>
  <si>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</si>
  <si>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</si>
  <si>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</si>
  <si>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</si>
  <si>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</si>
  <si>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</si>
  <si>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</si>
  <si>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</si>
  <si>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</si>
  <si>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</si>
  <si>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</si>
  <si>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</si>
  <si>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</si>
  <si>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</si>
  <si>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</si>
  <si>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</si>
  <si>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</si>
  <si>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</si>
  <si>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</si>
  <si>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</si>
  <si>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</si>
  <si>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</si>
  <si>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</si>
  <si>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</si>
  <si>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</si>
  <si>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</si>
  <si>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</si>
  <si>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</si>
  <si>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</si>
  <si>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</si>
  <si>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</si>
  <si>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</si>
  <si>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</si>
  <si>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</si>
  <si>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</si>
  <si>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</si>
  <si>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</si>
  <si>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</si>
  <si>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</si>
  <si>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</si>
  <si>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</si>
  <si>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</si>
  <si>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</si>
  <si>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</si>
  <si>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</si>
  <si>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</si>
  <si>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</si>
  <si>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</si>
  <si>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</si>
  <si>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</si>
  <si>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</si>
  <si>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</si>
  <si>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</si>
  <si>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</si>
  <si>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</si>
  <si>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</si>
  <si>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</si>
  <si>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</si>
  <si>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</si>
  <si>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</si>
  <si>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</si>
  <si>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</si>
  <si>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</si>
  <si>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</si>
  <si>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</si>
  <si>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</si>
  <si>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</si>
  <si>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</si>
  <si>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</si>
  <si>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</si>
  <si>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</si>
  <si>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</si>
  <si>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</si>
  <si>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</si>
  <si>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</si>
  <si>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</si>
  <si>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</si>
  <si>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</si>
  <si>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</si>
  <si>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</si>
  <si>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</si>
  <si>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</si>
  <si>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</si>
  <si>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</si>
  <si>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</si>
  <si>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</si>
  <si>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</si>
  <si>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</si>
  <si>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</si>
  <si>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</si>
  <si>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</si>
  <si>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</si>
  <si>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</si>
  <si>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</si>
  <si>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</si>
  <si>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</si>
  <si>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</si>
  <si>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</si>
  <si>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</si>
  <si>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</si>
  <si>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</si>
  <si>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</si>
  <si>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</si>
  <si>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</si>
  <si>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</si>
  <si>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</si>
  <si>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</si>
  <si>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</si>
  <si>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</si>
  <si>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</si>
  <si>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</si>
  <si>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</si>
  <si>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</si>
  <si>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</si>
  <si>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</si>
  <si>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</si>
  <si>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</si>
  <si>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</si>
  <si>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</si>
  <si>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</si>
  <si>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</si>
  <si>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</si>
  <si>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</si>
  <si>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</si>
  <si>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</si>
  <si>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</si>
  <si>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</si>
  <si>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</si>
  <si>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</si>
  <si>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</si>
  <si>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</si>
  <si>
    <t>2026/07/28 00.00</t>
  </si>
  <si>
    <t>2026/07/29 00.00</t>
  </si>
  <si>
    <t>10:16</t>
  </si>
  <si>
    <t>2026/07/30 00.00</t>
  </si>
  <si>
    <t>2026/07/31 00.00</t>
  </si>
  <si>
    <t>2026/08/01 00.00</t>
  </si>
  <si>
    <t>10:47</t>
  </si>
  <si>
    <t>10:56</t>
  </si>
  <si>
    <t>10:58</t>
  </si>
  <si>
    <t>2026/08/02 00.00</t>
  </si>
  <si>
    <t>2026/08/03 00.00</t>
  </si>
  <si>
    <t>2026/08/04 00.00</t>
  </si>
  <si>
    <t>2026/08/05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</si>
</sst>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61"/>
  <sheetViews>
    <sheetView tabSelected="1" workbookViewId="0">
      <pane xSplit="1" ySplit="2" topLeftCell="FL36" activePane="bottomRight" state="frozen"/>
      <selection pane="topRight" activeCell="B1" sqref="B1"/>
      <selection pane="bottomLeft" activeCell="A3" sqref="A3"/>
      <selection pane="bottomRight" activeCell="GB40" sqref="GB40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 s="1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 s="1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3.2300000000104774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114321.342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23319.999999999709</v>
      </c>
      <c r="DJ32">
        <f>(DA33-Table2[[#This Row],[PNG Meter (Outside)]])*2.936</f>
        <v>34.556720000001278</v>
      </c>
      <c r="DK32">
        <f>(DB33-Table2[[#This Row],[PNG Meter (Inside)]])*2.936</f>
        <v>388.70584799994668</v>
      </c>
      <c r="DL32">
        <f>(BH33-Table2[[#This Row],[3F Dough cooler - 2 ]])*1000</f>
        <v>420.00000000001592</v>
      </c>
      <c r="DM32">
        <f>(BI33-Table2[[#This Row],[3F Dough Cooler- 1]])*1000</f>
        <v>452.99999999997453</v>
      </c>
      <c r="DN32">
        <f>(BJ33-Table2[[#This Row],[4F Dough Production cooling Unit]])*1000</f>
        <v>41.000000000000369</v>
      </c>
      <c r="DO32">
        <f>(BQ33-Table2[[#This Row],[3F2 - PDB 3 - Dough Production Area]])*1000</f>
        <v>190.99999999997408</v>
      </c>
      <c r="DP32">
        <f>(BR33-Table2[[#This Row],[3F3 - PDB 4 - Dough Area]])*1000</f>
        <v>100.99999999999909</v>
      </c>
      <c r="DQ32">
        <f>AC33-Table2[[#This Row],[16F1 Tray washer Panel for Light]]</f>
        <v>680.47999999998137</v>
      </c>
      <c r="DR32">
        <f>CQ33-Table2[[#This Row],[2F1 Tray Washer - 1]]</f>
        <v>1149.7600000002421</v>
      </c>
      <c r="DS32">
        <f>CS33-Table2[[#This Row],[2F5 Destacker]]</f>
        <v>304.09600000001956</v>
      </c>
      <c r="DT32">
        <f>CU33-Table2[[#This Row],[5F1 Metering (TW-2)]]</f>
        <v>241.76400000002468</v>
      </c>
      <c r="DU32">
        <f>CV33-Table2[[#This Row],[6F1 Pre soaker Tray washer]]</f>
        <v>0.21119999999791617</v>
      </c>
      <c r="DV32">
        <f>CZ33-Table2[[#This Row],[6F5 Vent tray Storage]]</f>
        <v>64.783999999985099</v>
      </c>
      <c r="DW32">
        <f>I33-Table2[[#This Row],[Popeyes Meter ]]</f>
        <v>69.340000000000146</v>
      </c>
      <c r="DX32">
        <f>AZ33-Table2[[#This Row],[2F WH Chiller, Segregation Area]]</f>
        <v>0</v>
      </c>
      <c r="DY32">
        <f>BA33-Table2[[#This Row],[3F1 AC Unit WH dock cooling - 2 Nos]]</f>
        <v>20</v>
      </c>
      <c r="DZ32">
        <f>BB33-Table2[[#This Row],[3F2 AC Unit WH dock cooling - 3 Nos]]</f>
        <v>3.4000000000006025E-2</v>
      </c>
      <c r="EA32">
        <f>(BK33-Table2[[#This Row],[5F WH Perishable]])*1000</f>
        <v>265.99999999996271</v>
      </c>
      <c r="EB32">
        <f>BN33-Table2[[#This Row],[2F3 - PDB 9 - WH Dock Leveler Door ]]</f>
        <v>1.9751999999998588</v>
      </c>
      <c r="EC32">
        <f>BP33-Table2[[#This Row],[3F1 - PDB 5 - WH HSD]]</f>
        <v>106.97600000002421</v>
      </c>
      <c r="ED32">
        <f>BX33-Table2[[#This Row],[8F1 WH Dock AHU - Ventilation]]</f>
        <v>2199.0400000000373</v>
      </c>
      <c r="EE32" s="1">
        <f>BZ33-Table2[[#This Row],[8F3 ACPDB - 4 WH Dock air curtain]]</f>
        <v>5.422999999995227</v>
      </c>
      <c r="EF32">
        <f>CA33-Table2[[#This Row],[8F4 WH Light]]</f>
        <v>2.6105999999999767</v>
      </c>
      <c r="EG32">
        <f>CC33-Table2[[#This Row],[9F1 - PDB 10 - WH Dock door &amp; Office]]</f>
        <v>146.06400000001304</v>
      </c>
      <c r="EH32">
        <f>CD33-Table2[[#This Row],[9F2 - PDB 11 - WH flycatchers]]</f>
        <v>265.15200000000186</v>
      </c>
      <c r="EI32">
        <f>CE33-Table2[[#This Row],[9F3 - PDB 12 - Other items]]</f>
        <v>0</v>
      </c>
      <c r="EJ32">
        <f>CR33-Table2[[#This Row],[2F3 - PDB 1 - Dock 1 to 4 ]]</f>
        <v>76.488000000012107</v>
      </c>
      <c r="EK32">
        <f>BM33-Table2[[#This Row],[2F2 - PDB 3 - WH Truck &amp; Battery Charging]]</f>
        <v>485.76000000000931</v>
      </c>
      <c r="EL32">
        <f>(CK33-Table2[[#This Row],[PDB - 11 Truck Charging]])*1000</f>
        <v>67.99999999999784</v>
      </c>
      <c r="EM32">
        <f>P33-Table2[[#This Row],[5F3 Admin Area]]</f>
        <v>371.07200000004377</v>
      </c>
      <c r="EN32">
        <f>AH33-Table2[[#This Row],[2F5 Main Gate-1 Piller -1]]</f>
        <v>107.19199999998091</v>
      </c>
      <c r="EO32">
        <f>CW33-Table2[[#This Row],[6F2 Ground Floor AC]]</f>
        <v>23.436799999995856</v>
      </c>
      <c r="EP32">
        <f>CX33-Table2[[#This Row],[6F3 ACBD -1 (First floor AC)]]</f>
        <v>11.158400000000256</v>
      </c>
      <c r="EQ32">
        <f>CY33-Table2[[#This Row],[6F4 ACBD - 2 (Second &amp; Third floor AC)]]</f>
        <v>120.01600000000326</v>
      </c>
      <c r="ER32">
        <f>(BC33-Table2[[#This Row],[4F Old BMC cooling Unit]])</f>
        <v>0</v>
      </c>
      <c r="ES32">
        <f>BO33-Table2[[#This Row],[2F4 - Old BMC]]</f>
        <v>0.63040000000182772</v>
      </c>
      <c r="ET32">
        <f>Y33-Table2[[#This Row],[14F2 New CK]]</f>
        <v>1347.7600000000093</v>
      </c>
      <c r="EU32">
        <f>(CL33-Table2[[#This Row],[OLD Ck Panel-1]])*1000</f>
        <v>687.00000000001182</v>
      </c>
      <c r="EV32">
        <f>CM33-Table2[[#This Row],[2F4 Old CK Blast (Blue star)]]</f>
        <v>0</v>
      </c>
      <c r="EW32">
        <f>CN33-Table2[[#This Row],[3F6 Old CK Blast (Carrier)]]</f>
        <v>547.90000000000146</v>
      </c>
      <c r="EX32">
        <f>(CO33-Table2[[#This Row],[Old CK Panel -2]])*1000</f>
        <v>805.00000000006366</v>
      </c>
      <c r="EY32">
        <f>N33-Table2[[#This Row],[4F1 Main UPS 1/C -1]]</f>
        <v>860.80000000004657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31.999999999996476</v>
      </c>
      <c r="FC32">
        <f>BW33-Table2[[#This Row],[7F3 CLC Power Panel]]</f>
        <v>217.34400000004098</v>
      </c>
      <c r="FD32">
        <f>(CI33-Table2[[#This Row],[PDB - 17 CLC Section ]])*1000</f>
        <v>143.00000000000068</v>
      </c>
      <c r="FE32">
        <f>(W33-Table2[[#This Row],[13F3 Water &amp; Lift Old CK]])*1000</f>
        <v>365.50000000011096</v>
      </c>
      <c r="FF32">
        <f>AA33-Table2[[#This Row],[15F2 New ETP Panel]]</f>
        <v>258.6239999999525</v>
      </c>
      <c r="FG32">
        <f>AL33-Table2[[#This Row],[3F4 Old ETP Panel]]</f>
        <v>65.631999999983236</v>
      </c>
      <c r="FH32">
        <f>AF33-Table2[[#This Row],[2F1 RO Plant]]</f>
        <v>502.01599999994505</v>
      </c>
      <c r="FI32">
        <f>AK33-Table2[[#This Row],[3F3 Fire Hydrant Panel]]</f>
        <v>7.5840000000025611</v>
      </c>
      <c r="FJ32">
        <f>R33-Table2[[#This Row],[7F1 Freon System Panel]]</f>
        <v>4948.480000000447</v>
      </c>
      <c r="FK32">
        <f>(AE33-Table2[[#This Row],[21F1 Refrigeration Ammonia]])*1000</f>
        <v>6556.8000000002939</v>
      </c>
      <c r="FL32">
        <f>(AG33-Table2[[#This Row],[2F3 Air Compressor]])*1000</f>
        <v>992.00000000018917</v>
      </c>
      <c r="FM32">
        <f>(AX33-Table2[[#This Row],[Solar Reading Panel II]])*1000</f>
        <v>1684.0000000001965</v>
      </c>
      <c r="FN32">
        <f>AI33-Table2[[#This Row],[3F1 Maintenance Workshop]]</f>
        <v>4.0624000000007072</v>
      </c>
      <c r="FO32">
        <f>BD33-Table2[[#This Row],[4F B2B unit ]]</f>
        <v>72.223999999987427</v>
      </c>
      <c r="FP32">
        <f>BL33-Table2[[#This Row],[2F1 - PDB 6 - Bread, B2B section]]</f>
        <v>273.57439999999769</v>
      </c>
      <c r="FQ32">
        <f>(CG33-Table2[[#This Row],[9F5 - PDB 14 - Bread Lift]])</f>
        <v>0.40000000002328306</v>
      </c>
      <c r="FR32">
        <f>CJ33-Table2[[#This Row],[PDB - 16 Bread Section]]</f>
        <v>0.59999999999990905</v>
      </c>
      <c r="FS32">
        <f>BU33-Table2[[#This Row],[7F1 Donut Production area]]</f>
        <v>173.31200000003446</v>
      </c>
      <c r="FT32">
        <f>CB33-Table2[[#This Row],[8F5 Donut Ban Bary]]</f>
        <v>47.711999999999534</v>
      </c>
      <c r="FU32">
        <f>CF33-Table2[[#This Row],[9F4 - PDB 13 - Donut Sink Geyser area]]</f>
        <v>19.072000000014668</v>
      </c>
      <c r="FV32">
        <f>BV33-Table2[[#This Row],[7F2 Flour Silo]]</f>
        <v>396.64000000001397</v>
      </c>
      <c r="FW32">
        <f>BY33-Table2[[#This Row],[8F2 ACPDB - 3 SILO Ventilation]]</f>
        <v>46.063999999983935</v>
      </c>
      <c r="FX32">
        <f>J33-Table2[[#This Row],[DG 1010KVA Running Hours]]</f>
        <v>0.4000000000005457</v>
      </c>
      <c r="FY32">
        <f>K33-Table2[[#This Row],[DG 1010 KVA Meter Reading]]</f>
        <v>137</v>
      </c>
      <c r="FZ32">
        <f>L33-Table2[[#This Row],[GG 1010 KVA Running Hours]]</f>
        <v>0</v>
      </c>
      <c r="GA32">
        <f>M33-Table2[[#This Row],[GG 1010 KVA Meter Reading]]</f>
        <v>0.10999999999998522</v>
      </c>
    </row>
    <row r="33" spans="1:183" x14ac:dyDescent="0.35">
      <c r="A33" s="1">
        <v>43</v>
      </c>
      <c r="B33" s="2">
        <v>46231.389363425929</v>
      </c>
      <c r="C33" s="2">
        <v>46231.428414351853</v>
      </c>
      <c r="D33" s="1" t="s">
        <v>111</v>
      </c>
      <c r="E33" s="1"/>
      <c r="F33" s="1"/>
      <c r="G33" s="3">
        <v>46231</v>
      </c>
      <c r="H33" s="1" t="s">
        <v>186</v>
      </c>
      <c r="I33" s="6">
        <v>6387.2719999999999</v>
      </c>
      <c r="J33" s="6">
        <v>4272.1000000000004</v>
      </c>
      <c r="K33" s="6">
        <v>1776170</v>
      </c>
      <c r="L33" s="6">
        <v>452</v>
      </c>
      <c r="M33" s="6">
        <v>190.41</v>
      </c>
      <c r="N33" s="6">
        <v>1862384.48</v>
      </c>
      <c r="O33" s="6">
        <v>4586263.04</v>
      </c>
      <c r="P33" s="6">
        <v>643153.92000000004</v>
      </c>
      <c r="Q33" s="6">
        <v>8071635.2000000002</v>
      </c>
      <c r="R33" s="6">
        <v>5498476.1600000001</v>
      </c>
      <c r="S33" s="6">
        <v>7342317.4400000004</v>
      </c>
      <c r="T33" s="6">
        <v>43108941.233000003</v>
      </c>
      <c r="U33" s="6">
        <v>2094946.88</v>
      </c>
      <c r="V33" s="6">
        <v>5104361.5999999996</v>
      </c>
      <c r="W33" s="6">
        <v>1588.6113</v>
      </c>
      <c r="X33" s="6">
        <v>772140.09600000002</v>
      </c>
      <c r="Y33" s="6">
        <v>1083671.52</v>
      </c>
      <c r="Z33" s="6">
        <v>2777.8894</v>
      </c>
      <c r="AA33" s="6">
        <v>666613.63199999998</v>
      </c>
      <c r="AB33" s="6">
        <v>421195.07199999999</v>
      </c>
      <c r="AC33" s="6">
        <v>2134130.7200000002</v>
      </c>
      <c r="AD33" s="6">
        <v>3943486.7140000002</v>
      </c>
      <c r="AE33" s="6">
        <v>12760.3616</v>
      </c>
      <c r="AF33" s="6">
        <v>871718.59199999995</v>
      </c>
      <c r="AG33" s="6">
        <v>1390.9</v>
      </c>
      <c r="AH33" s="6">
        <v>132710.81599999999</v>
      </c>
      <c r="AI33" s="6">
        <v>14596.3392</v>
      </c>
      <c r="AJ33" s="6">
        <v>145345.39199999999</v>
      </c>
      <c r="AK33" s="6">
        <v>105142.09600000001</v>
      </c>
      <c r="AL33" s="6">
        <v>330115.10399999999</v>
      </c>
      <c r="AM33" s="6">
        <v>987.76599999999996</v>
      </c>
      <c r="AN33" s="6">
        <v>280</v>
      </c>
      <c r="AO33" s="6">
        <v>7.4</v>
      </c>
      <c r="AP33" s="6">
        <v>388943</v>
      </c>
      <c r="AQ33" s="6">
        <v>42307</v>
      </c>
      <c r="AR33" s="6">
        <v>41763</v>
      </c>
      <c r="AS33" s="6">
        <v>32307</v>
      </c>
      <c r="AT33" s="6">
        <v>22057</v>
      </c>
      <c r="AU33" s="6">
        <v>15480</v>
      </c>
      <c r="AV33" s="6">
        <v>6325</v>
      </c>
      <c r="AW33" s="6">
        <v>20.880220000000001</v>
      </c>
      <c r="AX33" s="6">
        <v>7223.2539999999999</v>
      </c>
      <c r="AY33" s="6">
        <v>678.0788</v>
      </c>
      <c r="AZ33" s="6">
        <v>20.788</v>
      </c>
      <c r="BA33" s="6">
        <v>10264</v>
      </c>
      <c r="BB33" s="6">
        <v>44.514000000000003</v>
      </c>
      <c r="BC33" s="6">
        <v>113989.152</v>
      </c>
      <c r="BD33" s="6">
        <v>275567.00799999997</v>
      </c>
      <c r="BE33" s="6">
        <v>3717.7116000000001</v>
      </c>
      <c r="BF33" s="6">
        <v>1712.0419999999999</v>
      </c>
      <c r="BG33" s="6">
        <v>74.828000000000003</v>
      </c>
      <c r="BH33" s="6">
        <v>362.31400000000002</v>
      </c>
      <c r="BI33" s="6">
        <v>912.40599999999995</v>
      </c>
      <c r="BJ33" s="6">
        <v>14.318</v>
      </c>
      <c r="BK33" s="6">
        <v>562.50400000000002</v>
      </c>
      <c r="BL33" s="6">
        <v>71641.036800000002</v>
      </c>
      <c r="BM33" s="6">
        <v>306503.52</v>
      </c>
      <c r="BN33" s="6">
        <v>7175.6383999999998</v>
      </c>
      <c r="BO33" s="6">
        <v>53547.964800000002</v>
      </c>
      <c r="BP33" s="6">
        <v>313638.56</v>
      </c>
      <c r="BQ33" s="6">
        <v>324.017</v>
      </c>
      <c r="BR33" s="6">
        <v>180.50899999999999</v>
      </c>
      <c r="BS33" s="6">
        <v>1004365.4</v>
      </c>
      <c r="BT33" s="6">
        <v>1400616.6510000001</v>
      </c>
      <c r="BU33" s="6">
        <v>628008</v>
      </c>
      <c r="BV33" s="6">
        <v>1019506</v>
      </c>
      <c r="BW33" s="6">
        <v>567143.48800000001</v>
      </c>
      <c r="BX33" s="6">
        <v>984483.32799999998</v>
      </c>
      <c r="BY33" s="6">
        <v>157471.12</v>
      </c>
      <c r="BZ33" s="6">
        <v>114326.765</v>
      </c>
      <c r="CA33" s="6">
        <v>1229.4603</v>
      </c>
      <c r="CB33" s="6">
        <v>108442.376</v>
      </c>
      <c r="CC33" s="6">
        <v>150152.60800000001</v>
      </c>
      <c r="CD33" s="6">
        <v>445517.44</v>
      </c>
      <c r="CE33" s="6">
        <v>49125.260799999996</v>
      </c>
      <c r="CF33" s="6">
        <v>155800.60800000001</v>
      </c>
      <c r="CG33" s="6">
        <v>360804.1888</v>
      </c>
      <c r="CH33" s="6">
        <v>2385.8710000000001</v>
      </c>
      <c r="CI33" s="6">
        <v>213.59200000000001</v>
      </c>
      <c r="CJ33" s="6">
        <v>1189.3</v>
      </c>
      <c r="CK33" s="6">
        <v>77.819000000000003</v>
      </c>
      <c r="CL33" s="6">
        <v>731.9</v>
      </c>
      <c r="CM33" s="6">
        <v>551.4</v>
      </c>
      <c r="CN33" s="6">
        <v>43814</v>
      </c>
      <c r="CO33" s="6">
        <v>1647.5930000000001</v>
      </c>
      <c r="CP33" s="6">
        <v>293600.71000000002</v>
      </c>
      <c r="CQ33" s="6">
        <v>3678033.6</v>
      </c>
      <c r="CR33" s="6">
        <v>130881.88800000001</v>
      </c>
      <c r="CS33" s="6">
        <v>512992.99200000003</v>
      </c>
      <c r="CT33" s="6">
        <v>2914324.33</v>
      </c>
      <c r="CU33" s="6">
        <v>297394.26400000002</v>
      </c>
      <c r="CV33" s="6">
        <v>30129.468799999999</v>
      </c>
      <c r="CW33" s="6">
        <v>62742.214399999997</v>
      </c>
      <c r="CX33" s="6">
        <v>33442.134400000003</v>
      </c>
      <c r="CY33" s="6">
        <v>167322.68799999999</v>
      </c>
      <c r="CZ33" s="6">
        <v>217557.712</v>
      </c>
      <c r="DA33" s="6">
        <v>18997.68</v>
      </c>
      <c r="DB33" s="6">
        <v>149685.99299999999</v>
      </c>
      <c r="DC33" s="6">
        <v>2997.12</v>
      </c>
      <c r="DD33" s="6">
        <v>2997.85</v>
      </c>
      <c r="DE33" s="6">
        <v>3017.14</v>
      </c>
      <c r="DF33" s="6">
        <v>0.998</v>
      </c>
      <c r="DG33" s="1" t="s">
        <v>267</v>
      </c>
      <c r="DH33" s="4">
        <f>Table2[[#This Row],[Date]]</f>
        <v>46231</v>
      </c>
      <c r="DI33" s="1">
        <f>(DD34-Table2[[#This Row],[MWH Total]])*4000</f>
        <v>25319.999999999709</v>
      </c>
      <c r="DJ33">
        <f>(DA34-Table2[[#This Row],[PNG Meter (Outside)]])*2.936</f>
        <v>8.1033599999953001</v>
      </c>
      <c r="DK33">
        <f>(DB34-Table2[[#This Row],[PNG Meter (Inside)]])*2.936</f>
        <v>415.1973760000779</v>
      </c>
      <c r="DL33">
        <f>(BH34-Table2[[#This Row],[3F Dough cooler - 2 ]])*1000</f>
        <v>454.99999999998408</v>
      </c>
      <c r="DM33">
        <f>(BI34-Table2[[#This Row],[3F Dough Cooler- 1]])*1000</f>
        <v>491.00000000009913</v>
      </c>
      <c r="DN33">
        <f>(BJ34-Table2[[#This Row],[4F Dough Production cooling Unit]])*1000</f>
        <v>46.000000000001151</v>
      </c>
      <c r="DO33">
        <f>(BQ34-Table2[[#This Row],[3F2 - PDB 3 - Dough Production Area]])*1000</f>
        <v>197.00000000000273</v>
      </c>
      <c r="DP33">
        <f>(BR34-Table2[[#This Row],[3F3 - PDB 4 - Dough Area]])*1000</f>
        <v>105.00000000001819</v>
      </c>
      <c r="DQ33">
        <f>AC34-Table2[[#This Row],[16F1 Tray washer Panel for Light]]</f>
        <v>744</v>
      </c>
      <c r="DR33">
        <f>CQ34-Table2[[#This Row],[2F1 Tray Washer - 1]]</f>
        <v>1143.0400000000373</v>
      </c>
      <c r="DS33">
        <f>CS34-Table2[[#This Row],[2F5 Destacker]]</f>
        <v>298.07999999995809</v>
      </c>
      <c r="DT33">
        <f>CU34-Table2[[#This Row],[5F1 Metering (TW-2)]]</f>
        <v>233.14199999999255</v>
      </c>
      <c r="DU33">
        <f>CV34-Table2[[#This Row],[6F1 Pre soaker Tray washer]]</f>
        <v>1.0688000000009197</v>
      </c>
      <c r="DV33">
        <f>CZ34-Table2[[#This Row],[6F5 Vent tray Storage]]</f>
        <v>49.647999999986496</v>
      </c>
      <c r="DW33">
        <f>I34-Table2[[#This Row],[Popeyes Meter ]]</f>
        <v>39.470000000000255</v>
      </c>
      <c r="DX33">
        <f>AZ34-Table2[[#This Row],[2F WH Chiller, Segregation Area]]</f>
        <v>0</v>
      </c>
      <c r="DY33">
        <f>BA34-Table2[[#This Row],[3F1 AC Unit WH dock cooling - 2 Nos]]</f>
        <v>21</v>
      </c>
      <c r="DZ33">
        <f>BB34-Table2[[#This Row],[3F2 AC Unit WH dock cooling - 3 Nos]]</f>
        <v>3.4999999999996589E-2</v>
      </c>
      <c r="EA33">
        <f>(BK34-Table2[[#This Row],[5F WH Perishable]])*1000</f>
        <v>292.00000000003001</v>
      </c>
      <c r="EB33">
        <f>BN34-Table2[[#This Row],[2F3 - PDB 9 - WH Dock Leveler Door ]]</f>
        <v>2.245600000000195</v>
      </c>
      <c r="EC33">
        <f>BP34-Table2[[#This Row],[3F1 - PDB 5 - WH HSD]]</f>
        <v>129.2160000000149</v>
      </c>
      <c r="ED33">
        <f>BX34-Table2[[#This Row],[8F1 WH Dock AHU - Ventilation]]</f>
        <v>2379.0080000000307</v>
      </c>
      <c r="EE33" s="1">
        <f>BZ34-Table2[[#This Row],[8F3 ACPDB - 4 WH Dock air curtain]]</f>
        <v>3.114000000001397</v>
      </c>
      <c r="EF33">
        <f>CA34-Table2[[#This Row],[8F4 WH Light]]</f>
        <v>2.8185000000000855</v>
      </c>
      <c r="EG33">
        <f>CC34-Table2[[#This Row],[9F1 - PDB 10 - WH Dock door &amp; Office]]</f>
        <v>131.61599999997998</v>
      </c>
      <c r="EH33">
        <f>CD34-Table2[[#This Row],[9F2 - PDB 11 - WH flycatchers]]</f>
        <v>249.31199999997625</v>
      </c>
      <c r="EI33">
        <f>CE34-Table2[[#This Row],[9F3 - PDB 12 - Other items]]</f>
        <v>0</v>
      </c>
      <c r="EJ33">
        <f>CR34-Table2[[#This Row],[2F3 - PDB 1 - Dock 1 to 4 ]]</f>
        <v>76.031999999991967</v>
      </c>
      <c r="EK33">
        <f>BM34-Table2[[#This Row],[2F2 - PDB 3 - WH Truck &amp; Battery Charging]]</f>
        <v>406.7839999999851</v>
      </c>
      <c r="EL33">
        <f>(CK34-Table2[[#This Row],[PDB - 11 Truck Charging]])*1000</f>
        <v>72.000000000002728</v>
      </c>
      <c r="EM33">
        <f>P34-Table2[[#This Row],[5F3 Admin Area]]</f>
        <v>399.67999999993481</v>
      </c>
      <c r="EN33">
        <f>AH34-Table2[[#This Row],[2F5 Main Gate-1 Piller -1]]</f>
        <v>94.576000000000931</v>
      </c>
      <c r="EO33">
        <f>CW34-Table2[[#This Row],[6F2 Ground Floor AC]]</f>
        <v>30.572800000001735</v>
      </c>
      <c r="EP33">
        <f>CX34-Table2[[#This Row],[6F3 ACBD -1 (First floor AC)]]</f>
        <v>6.2335999999995693</v>
      </c>
      <c r="EQ33">
        <f>CY34-Table2[[#This Row],[6F4 ACBD - 2 (Second &amp; Third floor AC)]]</f>
        <v>114.97599999999511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1392</v>
      </c>
      <c r="EU33">
        <f>(CL34-Table2[[#This Row],[OLD Ck Panel-1]])*1000</f>
        <v>700.00000000004547</v>
      </c>
      <c r="EV33">
        <f>CM34-Table2[[#This Row],[2F4 Old CK Blast (Blue star)]]</f>
        <v>0</v>
      </c>
      <c r="EW33">
        <f>CN34-Table2[[#This Row],[3F6 Old CK Blast (Carrier)]]</f>
        <v>567.90000000000146</v>
      </c>
      <c r="EX33">
        <f>(CO34-Table2[[#This Row],[Old CK Panel -2]])*1000</f>
        <v>730.00000000001819</v>
      </c>
      <c r="EY33">
        <f>N34-Table2[[#This Row],[4F1 Main UPS 1/C -1]]</f>
        <v>909.76000000000931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33.999999999991815</v>
      </c>
      <c r="FC33">
        <f>BW34-Table2[[#This Row],[7F3 CLC Power Panel]]</f>
        <v>226.17599999997765</v>
      </c>
      <c r="FD33">
        <f>(CI34-Table2[[#This Row],[PDB - 17 CLC Section ]])*1000</f>
        <v>134.99999999999091</v>
      </c>
      <c r="FE33">
        <f>(W34-Table2[[#This Row],[13F3 Water &amp; Lift Old CK]])*1000</f>
        <v>439.39999999997781</v>
      </c>
      <c r="FF33">
        <f>AA34-Table2[[#This Row],[15F2 New ETP Panel]]</f>
        <v>274.36800000001676</v>
      </c>
      <c r="FG33">
        <f>AL34-Table2[[#This Row],[3F4 Old ETP Panel]]</f>
        <v>68.736000000033528</v>
      </c>
      <c r="FH33">
        <f>AF34-Table2[[#This Row],[2F1 RO Plant]]</f>
        <v>568.76800000004005</v>
      </c>
      <c r="FI33">
        <f>AK34-Table2[[#This Row],[3F3 Fire Hydrant Panel]]</f>
        <v>8.1679999999905704</v>
      </c>
      <c r="FJ33">
        <f>R34-Table2[[#This Row],[7F1 Freon System Panel]]</f>
        <v>5612.7999999998137</v>
      </c>
      <c r="FK33">
        <f>(AE34-Table2[[#This Row],[21F1 Refrigeration Ammonia]])*1000</f>
        <v>6650.4000000004453</v>
      </c>
      <c r="FL33">
        <f>(AG34-Table2[[#This Row],[2F3 Air Compressor]])*1000</f>
        <v>1082.9999999998563</v>
      </c>
      <c r="FM33">
        <f>(AX34-Table2[[#This Row],[Solar Reading Panel II]])*1000</f>
        <v>1556.0000000004948</v>
      </c>
      <c r="FN33">
        <f>AI34-Table2[[#This Row],[3F1 Maintenance Workshop]]</f>
        <v>3.52639999999883</v>
      </c>
      <c r="FO33">
        <f>BD34-Table2[[#This Row],[4F B2B unit ]]</f>
        <v>74.880000000004657</v>
      </c>
      <c r="FP33">
        <f>BL34-Table2[[#This Row],[2F1 - PDB 6 - Bread, B2B section]]</f>
        <v>265.32480000000214</v>
      </c>
      <c r="FQ33">
        <f>(CG34-Table2[[#This Row],[9F5 - PDB 14 - Bread Lift]])</f>
        <v>0.45120000001043081</v>
      </c>
      <c r="FR33">
        <f>CJ34-Table2[[#This Row],[PDB - 16 Bread Section]]</f>
        <v>0.29999999999995453</v>
      </c>
      <c r="FS33">
        <f>BU34-Table2[[#This Row],[7F1 Donut Production area]]</f>
        <v>214.52800000004936</v>
      </c>
      <c r="FT33">
        <f>CB34-Table2[[#This Row],[8F5 Donut Ban Bary]]</f>
        <v>45.743999999991502</v>
      </c>
      <c r="FU33">
        <f>CF34-Table2[[#This Row],[9F4 - PDB 13 - Donut Sink Geyser area]]</f>
        <v>13.535999999992782</v>
      </c>
      <c r="FV33">
        <f>BV34-Table2[[#This Row],[7F2 Flour Silo]]</f>
        <v>545.76000000000931</v>
      </c>
      <c r="FW33">
        <f>BY34-Table2[[#This Row],[8F2 ACPDB - 3 SILO Ventilation]]</f>
        <v>49.664000000018859</v>
      </c>
      <c r="FX33">
        <f>J34-Table2[[#This Row],[DG 1010KVA Running Hours]]</f>
        <v>9.9999999999454303E-2</v>
      </c>
      <c r="FY33">
        <f>K34-Table2[[#This Row],[DG 1010 KVA Meter Reading]]</f>
        <v>10</v>
      </c>
      <c r="FZ33">
        <f>L34-Table2[[#This Row],[GG 1010 KVA Running Hours]]</f>
        <v>0</v>
      </c>
      <c r="GA33">
        <f>M34-Table2[[#This Row],[GG 1010 KVA Meter Reading]]</f>
        <v>9.9999999999909051E-3</v>
      </c>
    </row>
    <row r="34" spans="1:183" x14ac:dyDescent="0.35">
      <c r="A34" s="1">
        <v>44</v>
      </c>
      <c r="B34" s="2">
        <v>46232.403425925928</v>
      </c>
      <c r="C34" s="2">
        <v>46232.443912037037</v>
      </c>
      <c r="D34" s="1" t="s">
        <v>111</v>
      </c>
      <c r="E34" s="1"/>
      <c r="F34" s="1"/>
      <c r="G34" s="3">
        <v>46232</v>
      </c>
      <c r="H34" s="1" t="s">
        <v>186</v>
      </c>
      <c r="I34" s="6">
        <v>6426.7420000000002</v>
      </c>
      <c r="J34" s="6">
        <v>4272.2</v>
      </c>
      <c r="K34" s="6">
        <v>1776180</v>
      </c>
      <c r="L34" s="6">
        <v>452</v>
      </c>
      <c r="M34" s="6">
        <v>190.42</v>
      </c>
      <c r="N34" s="6">
        <v>1863294.24</v>
      </c>
      <c r="O34" s="6">
        <v>4587971.5199999996</v>
      </c>
      <c r="P34" s="6">
        <v>643553.6</v>
      </c>
      <c r="Q34" s="6">
        <v>8074033.2800000003</v>
      </c>
      <c r="R34" s="6">
        <v>5504088.96</v>
      </c>
      <c r="S34" s="6">
        <v>7345162.2400000002</v>
      </c>
      <c r="T34" s="6">
        <v>43122755.445</v>
      </c>
      <c r="U34" s="6">
        <v>2096229.12</v>
      </c>
      <c r="V34" s="6">
        <v>5106212.4800000004</v>
      </c>
      <c r="W34" s="6">
        <v>1589.0507</v>
      </c>
      <c r="X34" s="6">
        <v>772374.14399999997</v>
      </c>
      <c r="Y34" s="6">
        <v>1085063.52</v>
      </c>
      <c r="Z34" s="6">
        <v>2777.8894</v>
      </c>
      <c r="AA34" s="6">
        <v>666888</v>
      </c>
      <c r="AB34" s="6">
        <v>421204.38400000002</v>
      </c>
      <c r="AC34" s="6">
        <v>2134874.7200000002</v>
      </c>
      <c r="AD34" s="6">
        <v>3956494.2039999999</v>
      </c>
      <c r="AE34" s="6">
        <v>12767.012000000001</v>
      </c>
      <c r="AF34" s="6">
        <v>872287.36</v>
      </c>
      <c r="AG34" s="6">
        <v>1391.9829999999999</v>
      </c>
      <c r="AH34" s="6">
        <v>132805.39199999999</v>
      </c>
      <c r="AI34" s="6">
        <v>14599.865599999999</v>
      </c>
      <c r="AJ34" s="6">
        <v>145347.568</v>
      </c>
      <c r="AK34" s="6">
        <v>105150.264</v>
      </c>
      <c r="AL34" s="6">
        <v>330183.84000000003</v>
      </c>
      <c r="AM34" s="6">
        <v>988.30600000000004</v>
      </c>
      <c r="AN34" s="6">
        <v>292</v>
      </c>
      <c r="AO34" s="6">
        <v>7.5</v>
      </c>
      <c r="AP34" s="6">
        <v>398707</v>
      </c>
      <c r="AQ34" s="6">
        <v>42307</v>
      </c>
      <c r="AR34" s="6">
        <v>41763</v>
      </c>
      <c r="AS34" s="6">
        <v>32307</v>
      </c>
      <c r="AT34" s="6">
        <v>22057</v>
      </c>
      <c r="AU34" s="6">
        <v>15504</v>
      </c>
      <c r="AV34" s="6">
        <v>6342</v>
      </c>
      <c r="AW34" s="6">
        <v>20.886648000000001</v>
      </c>
      <c r="AX34" s="6">
        <v>7224.81</v>
      </c>
      <c r="AY34" s="6">
        <v>678.21360000000004</v>
      </c>
      <c r="AZ34" s="6">
        <v>20.788</v>
      </c>
      <c r="BA34" s="6">
        <v>10285</v>
      </c>
      <c r="BB34" s="6">
        <v>44.548999999999999</v>
      </c>
      <c r="BC34" s="6">
        <v>113989.152</v>
      </c>
      <c r="BD34" s="6">
        <v>275641.88799999998</v>
      </c>
      <c r="BE34" s="6">
        <v>3719.078</v>
      </c>
      <c r="BF34" s="6">
        <v>1712.0419999999999</v>
      </c>
      <c r="BG34" s="6">
        <v>74.861999999999995</v>
      </c>
      <c r="BH34" s="6">
        <v>362.76900000000001</v>
      </c>
      <c r="BI34" s="6">
        <v>912.89700000000005</v>
      </c>
      <c r="BJ34" s="6">
        <v>14.364000000000001</v>
      </c>
      <c r="BK34" s="6">
        <v>562.79600000000005</v>
      </c>
      <c r="BL34" s="6">
        <v>71906.361600000004</v>
      </c>
      <c r="BM34" s="6">
        <v>306910.304</v>
      </c>
      <c r="BN34" s="6">
        <v>7177.884</v>
      </c>
      <c r="BO34" s="6">
        <v>53547.964800000002</v>
      </c>
      <c r="BP34" s="6">
        <v>313767.77600000001</v>
      </c>
      <c r="BQ34" s="6">
        <v>324.214</v>
      </c>
      <c r="BR34" s="6">
        <v>180.614</v>
      </c>
      <c r="BS34" s="6">
        <v>1005632.1189999999</v>
      </c>
      <c r="BT34" s="6">
        <v>1400617.7849999999</v>
      </c>
      <c r="BU34" s="6">
        <v>628222.52800000005</v>
      </c>
      <c r="BV34" s="6">
        <v>1020051.76</v>
      </c>
      <c r="BW34" s="6">
        <v>567369.66399999999</v>
      </c>
      <c r="BX34" s="6">
        <v>986862.33600000001</v>
      </c>
      <c r="BY34" s="6">
        <v>157520.78400000001</v>
      </c>
      <c r="BZ34" s="6">
        <v>114329.879</v>
      </c>
      <c r="CA34" s="6">
        <v>1232.2788</v>
      </c>
      <c r="CB34" s="6">
        <v>108488.12</v>
      </c>
      <c r="CC34" s="6">
        <v>150284.22399999999</v>
      </c>
      <c r="CD34" s="6">
        <v>445766.75199999998</v>
      </c>
      <c r="CE34" s="6">
        <v>49125.260799999996</v>
      </c>
      <c r="CF34" s="6">
        <v>155814.144</v>
      </c>
      <c r="CG34" s="6">
        <v>360804.64</v>
      </c>
      <c r="CH34" s="6">
        <v>2385.8710000000001</v>
      </c>
      <c r="CI34" s="6">
        <v>213.727</v>
      </c>
      <c r="CJ34" s="6">
        <v>1189.5999999999999</v>
      </c>
      <c r="CK34" s="6">
        <v>77.891000000000005</v>
      </c>
      <c r="CL34" s="6">
        <v>732.6</v>
      </c>
      <c r="CM34" s="6">
        <v>551.4</v>
      </c>
      <c r="CN34" s="6">
        <v>44381.9</v>
      </c>
      <c r="CO34" s="6">
        <v>1648.3230000000001</v>
      </c>
      <c r="CP34" s="6">
        <v>293770.08299999998</v>
      </c>
      <c r="CQ34" s="6">
        <v>3679176.64</v>
      </c>
      <c r="CR34" s="6">
        <v>130957.92</v>
      </c>
      <c r="CS34" s="6">
        <v>513291.07199999999</v>
      </c>
      <c r="CT34" s="6">
        <v>2917222.5120000001</v>
      </c>
      <c r="CU34" s="6">
        <v>297627.40600000002</v>
      </c>
      <c r="CV34" s="6">
        <v>30130.5376</v>
      </c>
      <c r="CW34" s="6">
        <v>62772.787199999999</v>
      </c>
      <c r="CX34" s="6">
        <v>33448.368000000002</v>
      </c>
      <c r="CY34" s="6">
        <v>167437.66399999999</v>
      </c>
      <c r="CZ34" s="6">
        <v>217607.36</v>
      </c>
      <c r="DA34" s="6">
        <v>19000.439999999999</v>
      </c>
      <c r="DB34" s="6">
        <v>149827.40900000001</v>
      </c>
      <c r="DC34" s="6">
        <v>3004.78</v>
      </c>
      <c r="DD34" s="6">
        <v>3004.18</v>
      </c>
      <c r="DE34" s="6">
        <v>3031.08</v>
      </c>
      <c r="DF34" s="6">
        <v>0.998</v>
      </c>
      <c r="DG34" s="1" t="s">
        <v>189</v>
      </c>
      <c r="DH34" s="4">
        <f>Table2[[#This Row],[Date]]</f>
        <v>46232</v>
      </c>
      <c r="DI34">
        <f>(DD35-Table2[[#This Row],[MWH Total]])*4000</f>
        <v>27880.000000001019</v>
      </c>
      <c r="DJ34">
        <f>(DA35-Table2[[#This Row],[PNG Meter (Outside)]])*2.936</f>
        <v>9.0428800000051268</v>
      </c>
      <c r="DK34">
        <f>(DB35-Table2[[#This Row],[PNG Meter (Inside)]])*2.936</f>
        <v>367.06165599993778</v>
      </c>
      <c r="DL34">
        <f>(BH35-Table2[[#This Row],[3F Dough cooler - 2 ]])*1000</f>
        <v>449.99999999998863</v>
      </c>
      <c r="DM34">
        <f>(BI35-Table2[[#This Row],[3F Dough Cooler- 1]])*1000</f>
        <v>483.9999999999236</v>
      </c>
      <c r="DN34">
        <f>(BJ35-Table2[[#This Row],[4F Dough Production cooling Unit]])*1000</f>
        <v>58.999999999999275</v>
      </c>
      <c r="DO34">
        <f>(BQ35-Table2[[#This Row],[3F2 - PDB 3 - Dough Production Area]])*1000</f>
        <v>226.99999999997544</v>
      </c>
      <c r="DP34">
        <f>(BR35-Table2[[#This Row],[3F3 - PDB 4 - Dough Area]])*1000</f>
        <v>127.9999999999859</v>
      </c>
      <c r="DQ34">
        <f>AC35-Table2[[#This Row],[16F1 Tray washer Panel for Light]]</f>
        <v>756.47999999998137</v>
      </c>
      <c r="DR34">
        <f>CQ35-Table2[[#This Row],[2F1 Tray Washer - 1]]</f>
        <v>1241.2799999997951</v>
      </c>
      <c r="DS34">
        <f>CS35-Table2[[#This Row],[2F5 Destacker]]</f>
        <v>327.07199999998556</v>
      </c>
      <c r="DT34">
        <f>CU35-Table2[[#This Row],[5F1 Metering (TW-2)]]</f>
        <v>326.87799999996787</v>
      </c>
      <c r="DU34">
        <f>CV35-Table2[[#This Row],[6F1 Pre soaker Tray washer]]</f>
        <v>6.4000000020314474E-3</v>
      </c>
      <c r="DV34">
        <f>CZ35-Table2[[#This Row],[6F5 Vent tray Storage]]</f>
        <v>133.93600000001607</v>
      </c>
      <c r="DW34">
        <f>I35-Table2[[#This Row],[Popeyes Meter ]]</f>
        <v>70.050000000000182</v>
      </c>
      <c r="DX34">
        <f>AZ35-Table2[[#This Row],[2F WH Chiller, Segregation Area]]</f>
        <v>0</v>
      </c>
      <c r="DY34">
        <f>BA35-Table2[[#This Row],[3F1 AC Unit WH dock cooling - 2 Nos]]</f>
        <v>22</v>
      </c>
      <c r="DZ34">
        <f>BB35-Table2[[#This Row],[3F2 AC Unit WH dock cooling - 3 Nos]]</f>
        <v>4.6999999999997044E-2</v>
      </c>
      <c r="EA34">
        <f>(BK35-Table2[[#This Row],[5F WH Perishable]])*1000</f>
        <v>285.99999999994452</v>
      </c>
      <c r="EB34">
        <f>BN35-Table2[[#This Row],[2F3 - PDB 9 - WH Dock Leveler Door ]]</f>
        <v>2.322400000000016</v>
      </c>
      <c r="EC34">
        <f>BP35-Table2[[#This Row],[3F1 - PDB 5 - WH HSD]]</f>
        <v>136.57600000000093</v>
      </c>
      <c r="ED34">
        <f>BX35-Table2[[#This Row],[8F1 WH Dock AHU - Ventilation]]</f>
        <v>2314.1759999999776</v>
      </c>
      <c r="EE34">
        <f>BZ35-Table2[[#This Row],[8F3 ACPDB - 4 WH Dock air curtain]]</f>
        <v>-5.7590000000054715</v>
      </c>
      <c r="EF34">
        <f>CA35-Table2[[#This Row],[8F4 WH Light]]</f>
        <v>2.7717000000000098</v>
      </c>
      <c r="EG34">
        <f>CC35-Table2[[#This Row],[9F1 - PDB 10 - WH Dock door &amp; Office]]</f>
        <v>80.768000000010943</v>
      </c>
      <c r="EH34">
        <f>CD35-Table2[[#This Row],[9F2 - PDB 11 - WH flycatchers]]</f>
        <v>159.00800000003073</v>
      </c>
      <c r="EI34">
        <f>CE35-Table2[[#This Row],[9F3 - PDB 12 - Other items]]</f>
        <v>0</v>
      </c>
      <c r="EJ34">
        <f>CR35-Table2[[#This Row],[2F3 - PDB 1 - Dock 1 to 4 ]]</f>
        <v>73.495999999999185</v>
      </c>
      <c r="EK34">
        <f>BM35-Table2[[#This Row],[2F2 - PDB 3 - WH Truck &amp; Battery Charging]]</f>
        <v>466.71999999997206</v>
      </c>
      <c r="EL34">
        <f>(CK35-Table2[[#This Row],[PDB - 11 Truck Charging]])*1000</f>
        <v>50.999999999987722</v>
      </c>
      <c r="EM34">
        <f>P35-Table2[[#This Row],[5F3 Admin Area]]</f>
        <v>390.65600000007544</v>
      </c>
      <c r="EN34">
        <f>AH35-Table2[[#This Row],[2F5 Main Gate-1 Piller -1]]</f>
        <v>101.92000000001281</v>
      </c>
      <c r="EO34">
        <f>CW35-Table2[[#This Row],[6F2 Ground Floor AC]]</f>
        <v>31.788800000002084</v>
      </c>
      <c r="EP34">
        <f>CX35-Table2[[#This Row],[6F3 ACBD -1 (First floor AC)]]</f>
        <v>0</v>
      </c>
      <c r="EQ34">
        <f>CY35-Table2[[#This Row],[6F4 ACBD - 2 (Second &amp; Third floor AC)]]</f>
        <v>127.34400000001187</v>
      </c>
      <c r="ER34">
        <f>(BC35-Table2[[#This Row],[4F Old BMC cooling Unit]])</f>
        <v>0</v>
      </c>
      <c r="ES34">
        <f>BO35-Table2[[#This Row],[2F4 - Old BMC]]</f>
        <v>0.65279999999620486</v>
      </c>
      <c r="ET34">
        <f>Y35-Table2[[#This Row],[14F2 New CK]]</f>
        <v>1629.4399999999441</v>
      </c>
      <c r="EU34">
        <f>(CL35-Table2[[#This Row],[OLD Ck Panel-1]])*1000</f>
        <v>687.99999999998818</v>
      </c>
      <c r="EV34">
        <f>CM35-Table2[[#This Row],[2F4 Old CK Blast (Blue star)]]</f>
        <v>0</v>
      </c>
      <c r="EW34">
        <f>CN35-Table2[[#This Row],[3F6 Old CK Blast (Carrier)]]</f>
        <v>575.09999999999854</v>
      </c>
      <c r="EX34">
        <f>(CO35-Table2[[#This Row],[Old CK Panel -2]])*1000</f>
        <v>894.00000000000546</v>
      </c>
      <c r="EY34">
        <f>N35-Table2[[#This Row],[4F1 Main UPS 1/C -1]]</f>
        <v>907.36000000010245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34.000000000006025</v>
      </c>
      <c r="FC34">
        <f>BW35-Table2[[#This Row],[7F3 CLC Power Panel]]</f>
        <v>254.52800000004936</v>
      </c>
      <c r="FD34">
        <f>(CI35-Table2[[#This Row],[PDB - 17 CLC Section ]])*1000</f>
        <v>161.00000000000136</v>
      </c>
      <c r="FE34">
        <f>(W35-Table2[[#This Row],[13F3 Water &amp; Lift Old CK]])*1000</f>
        <v>291.60000000001673</v>
      </c>
      <c r="FF34">
        <f>AA35-Table2[[#This Row],[15F2 New ETP Panel]]</f>
        <v>270.07999999995809</v>
      </c>
      <c r="FG34">
        <f>AL35-Table2[[#This Row],[3F4 Old ETP Panel]]</f>
        <v>79.519999999960419</v>
      </c>
      <c r="FH34">
        <f>AF35-Table2[[#This Row],[2F1 RO Plant]]</f>
        <v>510.27199999999721</v>
      </c>
      <c r="FI34">
        <f>AK35-Table2[[#This Row],[3F3 Fire Hydrant Panel]]</f>
        <v>43.912000000011176</v>
      </c>
      <c r="FJ34">
        <f>R35-Table2[[#This Row],[7F1 Freon System Panel]]</f>
        <v>6092.7999999998137</v>
      </c>
      <c r="FK34">
        <f>(AE35-Table2[[#This Row],[21F1 Refrigeration Ammonia]])*1000</f>
        <v>6868.8000000001921</v>
      </c>
      <c r="FL34">
        <f>(AG35-Table2[[#This Row],[2F3 Air Compressor]])*1000</f>
        <v>1076.0000000000218</v>
      </c>
      <c r="FM34">
        <f>(AX35-Table2[[#This Row],[Solar Reading Panel II]])*1000</f>
        <v>3034.9999999998545</v>
      </c>
      <c r="FN34">
        <f>AI35-Table2[[#This Row],[3F1 Maintenance Workshop]]</f>
        <v>4.3536000000003696</v>
      </c>
      <c r="FO34">
        <f>BD35-Table2[[#This Row],[4F B2B unit ]]</f>
        <v>67.90400000003865</v>
      </c>
      <c r="FP34">
        <f>BL35-Table2[[#This Row],[2F1 - PDB 6 - Bread, B2B section]]</f>
        <v>276.23679999999877</v>
      </c>
      <c r="FQ34">
        <f>(CG35-Table2[[#This Row],[9F5 - PDB 14 - Bread Lift]])</f>
        <v>0.43839999899500981</v>
      </c>
      <c r="FR34">
        <f>CJ35-Table2[[#This Row],[PDB - 16 Bread Section]]</f>
        <v>1.2000000000000455</v>
      </c>
      <c r="FS34">
        <f>BU35-Table2[[#This Row],[7F1 Donut Production area]]</f>
        <v>271.74399999994785</v>
      </c>
      <c r="FT34">
        <f>CB35-Table2[[#This Row],[8F5 Donut Ban Bary]]</f>
        <v>54.584000000002561</v>
      </c>
      <c r="FU34">
        <f>CF35-Table2[[#This Row],[9F4 - PDB 13 - Donut Sink Geyser area]]</f>
        <v>11.663999999989755</v>
      </c>
      <c r="FV34">
        <f>BV35-Table2[[#This Row],[7F2 Flour Silo]]</f>
        <v>540.55999999993946</v>
      </c>
      <c r="FW34">
        <f>BY35-Table2[[#This Row],[8F2 ACPDB - 3 SILO Ventilation]]</f>
        <v>48.703999999997905</v>
      </c>
      <c r="FX34">
        <f>J35-Table2[[#This Row],[DG 1010KVA Running Hours]]</f>
        <v>0</v>
      </c>
      <c r="FY34">
        <f>K35-Table2[[#This Row],[DG 1010 KVA Meter Reading]]</f>
        <v>19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>
        <v>45</v>
      </c>
      <c r="B35" s="2">
        <v>46233.400023148148</v>
      </c>
      <c r="C35" s="2">
        <v>46233.440949074073</v>
      </c>
      <c r="D35" s="1" t="s">
        <v>111</v>
      </c>
      <c r="E35" s="1"/>
      <c r="F35" s="1"/>
      <c r="G35" s="3">
        <v>46233</v>
      </c>
      <c r="H35" s="1" t="s">
        <v>186</v>
      </c>
      <c r="I35" s="6">
        <v>6496.7920000000004</v>
      </c>
      <c r="J35" s="6">
        <v>4272.2</v>
      </c>
      <c r="K35" s="6">
        <v>1776199</v>
      </c>
      <c r="L35" s="6">
        <v>452</v>
      </c>
      <c r="M35" s="6">
        <v>190.42</v>
      </c>
      <c r="N35" s="6">
        <v>1864201.6</v>
      </c>
      <c r="O35" s="6">
        <v>4589676.16</v>
      </c>
      <c r="P35" s="6">
        <v>643944.25600000005</v>
      </c>
      <c r="Q35" s="6">
        <v>8077034.8799999999</v>
      </c>
      <c r="R35" s="6">
        <v>5510181.7599999998</v>
      </c>
      <c r="S35" s="6">
        <v>7348347.5199999996</v>
      </c>
      <c r="T35" s="6">
        <v>42698106.086000003</v>
      </c>
      <c r="U35" s="6">
        <v>2097657.7599999998</v>
      </c>
      <c r="V35" s="6">
        <v>5108056.6399999997</v>
      </c>
      <c r="W35" s="6">
        <v>1589.3423</v>
      </c>
      <c r="X35" s="6">
        <v>772699.64800000004</v>
      </c>
      <c r="Y35" s="6">
        <v>1086692.96</v>
      </c>
      <c r="Z35" s="6">
        <v>2777.8894</v>
      </c>
      <c r="AA35" s="6">
        <v>667158.07999999996</v>
      </c>
      <c r="AB35" s="6">
        <v>421215.61599999998</v>
      </c>
      <c r="AC35" s="6">
        <v>2135631.2000000002</v>
      </c>
      <c r="AD35" s="6">
        <v>3970203.8289999999</v>
      </c>
      <c r="AE35" s="6">
        <v>12773.880800000001</v>
      </c>
      <c r="AF35" s="6">
        <v>872797.63199999998</v>
      </c>
      <c r="AG35" s="6">
        <v>1393.059</v>
      </c>
      <c r="AH35" s="6">
        <v>132907.31200000001</v>
      </c>
      <c r="AI35" s="6">
        <v>14604.2192</v>
      </c>
      <c r="AJ35" s="6">
        <v>145351.31200000001</v>
      </c>
      <c r="AK35" s="6">
        <v>105194.17600000001</v>
      </c>
      <c r="AL35" s="6">
        <v>330263.36</v>
      </c>
      <c r="AM35" s="6">
        <v>988.83600000000001</v>
      </c>
      <c r="AN35" s="6">
        <v>262.3</v>
      </c>
      <c r="AO35" s="6">
        <v>7.1</v>
      </c>
      <c r="AP35" s="6">
        <v>408443</v>
      </c>
      <c r="AQ35" s="6">
        <v>42307</v>
      </c>
      <c r="AR35" s="6">
        <v>41763</v>
      </c>
      <c r="AS35" s="6">
        <v>32307</v>
      </c>
      <c r="AT35" s="6">
        <v>22057</v>
      </c>
      <c r="AU35" s="6">
        <v>15528</v>
      </c>
      <c r="AV35" s="6">
        <v>6359</v>
      </c>
      <c r="AW35" s="6">
        <v>20.893312000000002</v>
      </c>
      <c r="AX35" s="6">
        <v>7227.8450000000003</v>
      </c>
      <c r="AY35" s="6">
        <v>678.37343999999996</v>
      </c>
      <c r="AZ35" s="6">
        <v>20.788</v>
      </c>
      <c r="BA35" s="6">
        <v>10307</v>
      </c>
      <c r="BB35" s="6">
        <v>44.595999999999997</v>
      </c>
      <c r="BC35" s="6">
        <v>113989.152</v>
      </c>
      <c r="BD35" s="6">
        <v>275709.79200000002</v>
      </c>
      <c r="BE35" s="6">
        <v>3720.4344000000001</v>
      </c>
      <c r="BF35" s="6">
        <v>1712.0419999999999</v>
      </c>
      <c r="BG35" s="6">
        <v>74.896000000000001</v>
      </c>
      <c r="BH35" s="6">
        <v>363.21899999999999</v>
      </c>
      <c r="BI35" s="6">
        <v>913.38099999999997</v>
      </c>
      <c r="BJ35" s="6">
        <v>14.423</v>
      </c>
      <c r="BK35" s="6">
        <v>563.08199999999999</v>
      </c>
      <c r="BL35" s="6">
        <v>72182.598400000003</v>
      </c>
      <c r="BM35" s="6">
        <v>307377.02399999998</v>
      </c>
      <c r="BN35" s="6">
        <v>7180.2064</v>
      </c>
      <c r="BO35" s="6">
        <v>53548.617599999998</v>
      </c>
      <c r="BP35" s="6">
        <v>313904.35200000001</v>
      </c>
      <c r="BQ35" s="6">
        <v>324.44099999999997</v>
      </c>
      <c r="BR35" s="6">
        <v>180.74199999999999</v>
      </c>
      <c r="BS35" s="6">
        <v>1007040.382</v>
      </c>
      <c r="BT35" s="6">
        <v>1400617.7849999999</v>
      </c>
      <c r="BU35" s="6">
        <v>628494.272</v>
      </c>
      <c r="BV35" s="6">
        <v>1020592.32</v>
      </c>
      <c r="BW35" s="6">
        <v>567624.19200000004</v>
      </c>
      <c r="BX35" s="6">
        <v>989176.51199999999</v>
      </c>
      <c r="BY35" s="6">
        <v>157569.48800000001</v>
      </c>
      <c r="BZ35" s="6">
        <v>114324.12</v>
      </c>
      <c r="CA35" s="6">
        <v>1235.0505000000001</v>
      </c>
      <c r="CB35" s="6">
        <v>108542.704</v>
      </c>
      <c r="CC35" s="6">
        <v>150364.992</v>
      </c>
      <c r="CD35" s="6">
        <v>445925.76</v>
      </c>
      <c r="CE35" s="6">
        <v>49125.260799999996</v>
      </c>
      <c r="CF35" s="6">
        <v>155825.80799999999</v>
      </c>
      <c r="CG35" s="6">
        <v>360805.07839999901</v>
      </c>
      <c r="CH35" s="6">
        <v>2385.8710000000001</v>
      </c>
      <c r="CI35" s="6">
        <v>213.88800000000001</v>
      </c>
      <c r="CJ35" s="6">
        <v>1190.8</v>
      </c>
      <c r="CK35" s="6">
        <v>77.941999999999993</v>
      </c>
      <c r="CL35" s="6">
        <v>733.28800000000001</v>
      </c>
      <c r="CM35" s="6">
        <v>551.4</v>
      </c>
      <c r="CN35" s="6">
        <v>44957</v>
      </c>
      <c r="CO35" s="6">
        <v>1649.2170000000001</v>
      </c>
      <c r="CP35" s="6">
        <v>293913.68599999999</v>
      </c>
      <c r="CQ35" s="6">
        <v>3680417.92</v>
      </c>
      <c r="CR35" s="6">
        <v>131031.416</v>
      </c>
      <c r="CS35" s="6">
        <v>513618.14399999997</v>
      </c>
      <c r="CT35" s="6">
        <v>2920477.673</v>
      </c>
      <c r="CU35" s="6">
        <v>297954.28399999999</v>
      </c>
      <c r="CV35" s="6">
        <v>30130.544000000002</v>
      </c>
      <c r="CW35" s="6">
        <v>62804.576000000001</v>
      </c>
      <c r="CX35" s="6">
        <v>33448.368000000002</v>
      </c>
      <c r="CY35" s="6">
        <v>167565.008</v>
      </c>
      <c r="CZ35" s="6">
        <v>217741.296</v>
      </c>
      <c r="DA35" s="6">
        <v>19003.52</v>
      </c>
      <c r="DB35" s="6">
        <v>149952.43</v>
      </c>
      <c r="DC35" s="6">
        <v>3011.28</v>
      </c>
      <c r="DD35" s="6">
        <v>3011.15</v>
      </c>
      <c r="DE35" s="6">
        <v>3036.96</v>
      </c>
      <c r="DF35" s="6">
        <v>0.997</v>
      </c>
      <c r="DG35" s="1" t="s">
        <v>245</v>
      </c>
      <c r="DH35" s="4">
        <f>Table2[[#This Row],[Date]]</f>
        <v>46233</v>
      </c>
      <c r="DI35">
        <f>(DD36-Table2[[#This Row],[MWH Total]])*4000</f>
        <v>24279.999999998836</v>
      </c>
      <c r="DJ35">
        <f>(DA36-Table2[[#This Row],[PNG Meter (Outside)]])*2.936</f>
        <v>18.408720000001281</v>
      </c>
      <c r="DK35">
        <f>(DB36-Table2[[#This Row],[PNG Meter (Inside)]])*2.936</f>
        <v>322.10856000006152</v>
      </c>
      <c r="DL35">
        <f>(BH36-Table2[[#This Row],[3F Dough cooler - 2 ]])*1000</f>
        <v>447.00000000000273</v>
      </c>
      <c r="DM35">
        <f>(BI36-Table2[[#This Row],[3F Dough Cooler- 1]])*1000</f>
        <v>482.00000000008458</v>
      </c>
      <c r="DN35">
        <f>(BJ36-Table2[[#This Row],[4F Dough Production cooling Unit]])*1000</f>
        <v>76.000000000000512</v>
      </c>
      <c r="DO35">
        <f>(BQ36-Table2[[#This Row],[3F2 - PDB 3 - Dough Production Area]])*1000</f>
        <v>254.0000000000191</v>
      </c>
      <c r="DP35">
        <f>(BR36-Table2[[#This Row],[3F3 - PDB 4 - Dough Area]])*1000</f>
        <v>122.0000000000141</v>
      </c>
      <c r="DQ35">
        <f>AC36-Table2[[#This Row],[16F1 Tray washer Panel for Light]]</f>
        <v>775.83999999985099</v>
      </c>
      <c r="DR35">
        <f>CQ36-Table2[[#This Row],[2F1 Tray Washer - 1]]</f>
        <v>1344.320000000298</v>
      </c>
      <c r="DS35">
        <f>CS36-Table2[[#This Row],[2F5 Destacker]]</f>
        <v>330.59200000000419</v>
      </c>
      <c r="DT35">
        <f>CU36-Table2[[#This Row],[5F1 Metering (TW-2)]]</f>
        <v>306.20100000000093</v>
      </c>
      <c r="DU35">
        <f>CV36-Table2[[#This Row],[6F1 Pre soaker Tray washer]]</f>
        <v>2.9183999999986554</v>
      </c>
      <c r="DV35">
        <f>CZ36-Table2[[#This Row],[6F5 Vent tray Storage]]</f>
        <v>87.119999999995343</v>
      </c>
      <c r="DW35">
        <f>I36-Table2[[#This Row],[Popeyes Meter ]]</f>
        <v>27.739999999999782</v>
      </c>
      <c r="DX35">
        <f>AZ36-Table2[[#This Row],[2F WH Chiller, Segregation Area]]</f>
        <v>0</v>
      </c>
      <c r="DY35">
        <f>BA36-Table2[[#This Row],[3F1 AC Unit WH dock cooling - 2 Nos]]</f>
        <v>22</v>
      </c>
      <c r="DZ35">
        <f>BB36-Table2[[#This Row],[3F2 AC Unit WH dock cooling - 3 Nos]]</f>
        <v>4.3000000000006366E-2</v>
      </c>
      <c r="EA35">
        <f>(BK36-Table2[[#This Row],[5F WH Perishable]])*1000</f>
        <v>283.00000000001546</v>
      </c>
      <c r="EB35">
        <f>BN36-Table2[[#This Row],[2F3 - PDB 9 - WH Dock Leveler Door ]]</f>
        <v>9.8944000000001324</v>
      </c>
      <c r="EC35">
        <f>BP36-Table2[[#This Row],[3F1 - PDB 5 - WH HSD]]</f>
        <v>125.5679999999702</v>
      </c>
      <c r="ED35">
        <f>BX36-Table2[[#This Row],[8F1 WH Dock AHU - Ventilation]]</f>
        <v>2318.9760000000242</v>
      </c>
      <c r="EE35">
        <f>BZ36-Table2[[#This Row],[8F3 ACPDB - 4 WH Dock air curtain]]</f>
        <v>2.6399999999994179</v>
      </c>
      <c r="EF35">
        <f>CA36-Table2[[#This Row],[8F4 WH Light]]</f>
        <v>2.7807999999999993</v>
      </c>
      <c r="EG35">
        <f>CC36-Table2[[#This Row],[9F1 - PDB 10 - WH Dock door &amp; Office]]</f>
        <v>131.67999999999302</v>
      </c>
      <c r="EH35">
        <f>CD36-Table2[[#This Row],[9F2 - PDB 11 - WH flycatchers]]</f>
        <v>238.0800000000163</v>
      </c>
      <c r="EI35">
        <f>CE36-Table2[[#This Row],[9F3 - PDB 12 - Other items]]</f>
        <v>0</v>
      </c>
      <c r="EJ35">
        <f>CR36-Table2[[#This Row],[2F3 - PDB 1 - Dock 1 to 4 ]]</f>
        <v>77.336000000010245</v>
      </c>
      <c r="EK35">
        <f>BM36-Table2[[#This Row],[2F2 - PDB 3 - WH Truck &amp; Battery Charging]]</f>
        <v>545.98399999999674</v>
      </c>
      <c r="EL35">
        <f>(CK36-Table2[[#This Row],[PDB - 11 Truck Charging]])*1000</f>
        <v>61.000000000007049</v>
      </c>
      <c r="EM35">
        <f>P36-Table2[[#This Row],[5F3 Admin Area]]</f>
        <v>411.26399999996647</v>
      </c>
      <c r="EN35">
        <f>AH36-Table2[[#This Row],[2F5 Main Gate-1 Piller -1]]</f>
        <v>112.2159999999858</v>
      </c>
      <c r="EO35">
        <f>CW36-Table2[[#This Row],[6F2 Ground Floor AC]]</f>
        <v>25.798399999999674</v>
      </c>
      <c r="EP35">
        <f>CX36-Table2[[#This Row],[6F3 ACBD -1 (First floor AC)]]</f>
        <v>13.916799999999057</v>
      </c>
      <c r="EQ35">
        <f>CY36-Table2[[#This Row],[6F4 ACBD - 2 (Second &amp; Third floor AC)]]</f>
        <v>141.08799999998882</v>
      </c>
      <c r="ER35">
        <f>(BC36-Table2[[#This Row],[4F Old BMC cooling Unit]])</f>
        <v>0</v>
      </c>
      <c r="ES35">
        <f>BO36-Table2[[#This Row],[2F4 - Old BMC]]</f>
        <v>3.8048000000053435</v>
      </c>
      <c r="ET35">
        <f>Y36-Table2[[#This Row],[14F2 New CK]]</f>
        <v>1180.5600000000559</v>
      </c>
      <c r="EU35">
        <f>(CL36-Table2[[#This Row],[OLD Ck Panel-1]])*1000</f>
        <v>311.00000000003547</v>
      </c>
      <c r="EV35">
        <f>CM36-Table2[[#This Row],[2F4 Old CK Blast (Blue star)]]</f>
        <v>0</v>
      </c>
      <c r="EW35">
        <f>CN36-Table2[[#This Row],[3F6 Old CK Blast (Carrier)]]</f>
        <v>192.09999999999854</v>
      </c>
      <c r="EX35">
        <f>(CO36-Table2[[#This Row],[Old CK Panel -2]])*1000</f>
        <v>561.99999999989814</v>
      </c>
      <c r="EY35">
        <f>N36-Table2[[#This Row],[4F1 Main UPS 1/C -1]]</f>
        <v>930.39999999990687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34.000000000006025</v>
      </c>
      <c r="FC35">
        <f>BW36-Table2[[#This Row],[7F3 CLC Power Panel]]</f>
        <v>296.38399999996182</v>
      </c>
      <c r="FD35">
        <f>(CI36-Table2[[#This Row],[PDB - 17 CLC Section ]])*1000</f>
        <v>201.99999999999818</v>
      </c>
      <c r="FE35">
        <f>(W36-Table2[[#This Row],[13F3 Water &amp; Lift Old CK]])*1000</f>
        <v>1061.5999999999985</v>
      </c>
      <c r="FF35">
        <f>AA36-Table2[[#This Row],[15F2 New ETP Panel]]</f>
        <v>253.63200000009965</v>
      </c>
      <c r="FG35">
        <f>AL36-Table2[[#This Row],[3F4 Old ETP Panel]]</f>
        <v>67.552000000025146</v>
      </c>
      <c r="FH35">
        <f>AF36-Table2[[#This Row],[2F1 RO Plant]]</f>
        <v>499.07200000004377</v>
      </c>
      <c r="FI35">
        <f>AK36-Table2[[#This Row],[3F3 Fire Hydrant Panel]]</f>
        <v>10.743999999991502</v>
      </c>
      <c r="FJ35">
        <f>R36-Table2[[#This Row],[7F1 Freon System Panel]]</f>
        <v>6741.1200000001118</v>
      </c>
      <c r="FK35">
        <f>(AE36-Table2[[#This Row],[21F1 Refrigeration Ammonia]])*1000</f>
        <v>6973.599999999351</v>
      </c>
      <c r="FL35">
        <f>(AG36-Table2[[#This Row],[2F3 Air Compressor]])*1000</f>
        <v>1206.000000000131</v>
      </c>
      <c r="FM35">
        <f>(AX36-Table2[[#This Row],[Solar Reading Panel II]])*1000</f>
        <v>3094.9999999993452</v>
      </c>
      <c r="FN35">
        <f>AI36-Table2[[#This Row],[3F1 Maintenance Workshop]]</f>
        <v>3.9744000000009692</v>
      </c>
      <c r="FO35">
        <f>BD36-Table2[[#This Row],[4F B2B unit ]]</f>
        <v>59.744000000006054</v>
      </c>
      <c r="FP35">
        <f>BL36-Table2[[#This Row],[2F1 - PDB 6 - Bread, B2B section]]</f>
        <v>209.96839999999793</v>
      </c>
      <c r="FQ35">
        <f>(CG36-Table2[[#This Row],[9F5 - PDB 14 - Bread Lift]])</f>
        <v>0.44800000096438453</v>
      </c>
      <c r="FR35">
        <f>CJ36-Table2[[#This Row],[PDB - 16 Bread Section]]</f>
        <v>0.60000000000013642</v>
      </c>
      <c r="FS35">
        <f>BU36-Table2[[#This Row],[7F1 Donut Production area]]</f>
        <v>236.73600000003353</v>
      </c>
      <c r="FT35">
        <f>CB36-Table2[[#This Row],[8F5 Donut Ban Bary]]</f>
        <v>58.304000000003725</v>
      </c>
      <c r="FU35">
        <f>CF36-Table2[[#This Row],[9F4 - PDB 13 - Donut Sink Geyser area]]</f>
        <v>20.384000000020023</v>
      </c>
      <c r="FV35">
        <f>BV36-Table2[[#This Row],[7F2 Flour Silo]]</f>
        <v>599.04000000003725</v>
      </c>
      <c r="FW35">
        <f>BY36-Table2[[#This Row],[8F2 ACPDB - 3 SILO Ventilation]]</f>
        <v>49.055999999982305</v>
      </c>
      <c r="FX35">
        <f>J36-Table2[[#This Row],[DG 1010KVA Running Hours]]</f>
        <v>0.1999999999998181</v>
      </c>
      <c r="FY35">
        <f>K36-Table2[[#This Row],[DG 1010 KVA Meter Reading]]</f>
        <v>38</v>
      </c>
      <c r="FZ35">
        <f>L36-Table2[[#This Row],[GG 1010 KVA Running Hours]]</f>
        <v>0</v>
      </c>
      <c r="GA35">
        <f>M36-Table2[[#This Row],[GG 1010 KVA Meter Reading]]</f>
        <v>2.0000000000010232E-2</v>
      </c>
    </row>
    <row r="36" spans="1:183" x14ac:dyDescent="0.35">
      <c r="A36" s="1">
        <v>46</v>
      </c>
      <c r="B36" s="2">
        <v>46234.398842592593</v>
      </c>
      <c r="C36" s="2">
        <v>46234.446157407408</v>
      </c>
      <c r="D36" s="1" t="s">
        <v>111</v>
      </c>
      <c r="E36" s="1"/>
      <c r="F36" s="1"/>
      <c r="G36" s="3">
        <v>46234</v>
      </c>
      <c r="H36" s="1" t="s">
        <v>186</v>
      </c>
      <c r="I36" s="6">
        <v>6524.5320000000002</v>
      </c>
      <c r="J36" s="6">
        <v>4272.3999999999996</v>
      </c>
      <c r="K36" s="6">
        <v>1776237</v>
      </c>
      <c r="L36" s="6">
        <v>452</v>
      </c>
      <c r="M36" s="6">
        <v>190.44</v>
      </c>
      <c r="N36" s="6">
        <v>1865132</v>
      </c>
      <c r="O36" s="6">
        <v>4591483.5199999996</v>
      </c>
      <c r="P36" s="6">
        <v>644355.52</v>
      </c>
      <c r="Q36" s="6">
        <v>8080058.8799999999</v>
      </c>
      <c r="R36" s="6">
        <v>5516922.8799999999</v>
      </c>
      <c r="S36" s="6">
        <v>7351346.5599999996</v>
      </c>
      <c r="T36" s="6">
        <v>43149691.343000002</v>
      </c>
      <c r="U36" s="6">
        <v>2099075.04</v>
      </c>
      <c r="V36" s="6">
        <v>5109930.5599999996</v>
      </c>
      <c r="W36" s="6">
        <v>1590.4039</v>
      </c>
      <c r="X36" s="6">
        <v>773006.4</v>
      </c>
      <c r="Y36" s="6">
        <v>1087873.52</v>
      </c>
      <c r="Z36" s="6">
        <v>2777.8894</v>
      </c>
      <c r="AA36" s="6">
        <v>667411.71200000006</v>
      </c>
      <c r="AB36" s="6">
        <v>421231.29599999997</v>
      </c>
      <c r="AC36" s="6">
        <v>2136407.04</v>
      </c>
      <c r="AD36" s="6">
        <v>2618164.23</v>
      </c>
      <c r="AE36" s="6">
        <v>12780.8544</v>
      </c>
      <c r="AF36" s="6">
        <v>873296.70400000003</v>
      </c>
      <c r="AG36" s="6">
        <v>1394.2650000000001</v>
      </c>
      <c r="AH36" s="6">
        <v>133019.52799999999</v>
      </c>
      <c r="AI36" s="6">
        <v>14608.193600000001</v>
      </c>
      <c r="AJ36" s="6">
        <v>145355.68</v>
      </c>
      <c r="AK36" s="6">
        <v>105204.92</v>
      </c>
      <c r="AL36" s="6">
        <v>330330.91200000001</v>
      </c>
      <c r="AM36" s="6">
        <v>989.33900000000006</v>
      </c>
      <c r="AN36" s="6">
        <v>281.7</v>
      </c>
      <c r="AO36" s="6">
        <v>7</v>
      </c>
      <c r="AP36" s="6">
        <v>419545</v>
      </c>
      <c r="AQ36" s="6">
        <v>42313</v>
      </c>
      <c r="AR36" s="6">
        <v>41768</v>
      </c>
      <c r="AS36" s="6">
        <v>32308</v>
      </c>
      <c r="AT36" s="6">
        <v>22057</v>
      </c>
      <c r="AU36" s="6">
        <v>15551</v>
      </c>
      <c r="AV36" s="6">
        <v>6378</v>
      </c>
      <c r="AW36" s="6">
        <v>20.900064</v>
      </c>
      <c r="AX36" s="6">
        <v>7230.94</v>
      </c>
      <c r="AY36" s="6">
        <v>678.54223999999999</v>
      </c>
      <c r="AZ36" s="6">
        <v>20.788</v>
      </c>
      <c r="BA36" s="6">
        <v>10329</v>
      </c>
      <c r="BB36" s="6">
        <v>44.639000000000003</v>
      </c>
      <c r="BC36" s="6">
        <v>113989.152</v>
      </c>
      <c r="BD36" s="6">
        <v>275769.53600000002</v>
      </c>
      <c r="BE36" s="6">
        <v>3721.8083999999999</v>
      </c>
      <c r="BF36" s="6">
        <v>1712.0419999999999</v>
      </c>
      <c r="BG36" s="6">
        <v>74.930000000000007</v>
      </c>
      <c r="BH36" s="6">
        <v>363.666</v>
      </c>
      <c r="BI36" s="6">
        <v>913.86300000000006</v>
      </c>
      <c r="BJ36" s="6">
        <v>14.499000000000001</v>
      </c>
      <c r="BK36" s="6">
        <v>563.36500000000001</v>
      </c>
      <c r="BL36" s="6">
        <v>72392.566800000001</v>
      </c>
      <c r="BM36" s="6">
        <v>307923.00799999997</v>
      </c>
      <c r="BN36" s="6">
        <v>7190.1008000000002</v>
      </c>
      <c r="BO36" s="6">
        <v>53552.422400000003</v>
      </c>
      <c r="BP36" s="6">
        <v>314029.92</v>
      </c>
      <c r="BQ36" s="6">
        <v>324.69499999999999</v>
      </c>
      <c r="BR36" s="6">
        <v>180.864</v>
      </c>
      <c r="BS36" s="6">
        <v>1008442.662</v>
      </c>
      <c r="BT36" s="6">
        <v>1400617.8060000001</v>
      </c>
      <c r="BU36" s="6">
        <v>628731.00800000003</v>
      </c>
      <c r="BV36" s="6">
        <v>1021191.36</v>
      </c>
      <c r="BW36" s="6">
        <v>567920.576</v>
      </c>
      <c r="BX36" s="6">
        <v>991495.48800000001</v>
      </c>
      <c r="BY36" s="6">
        <v>157618.54399999999</v>
      </c>
      <c r="BZ36" s="6">
        <v>114326.76</v>
      </c>
      <c r="CA36" s="6">
        <v>1237.8313000000001</v>
      </c>
      <c r="CB36" s="6">
        <v>108601.008</v>
      </c>
      <c r="CC36" s="6">
        <v>150496.67199999999</v>
      </c>
      <c r="CD36" s="6">
        <v>446163.84</v>
      </c>
      <c r="CE36" s="6">
        <v>49125.260799999996</v>
      </c>
      <c r="CF36" s="6">
        <v>155846.19200000001</v>
      </c>
      <c r="CG36" s="6">
        <v>360805.52639999997</v>
      </c>
      <c r="CH36" s="6">
        <v>2385.8710000000001</v>
      </c>
      <c r="CI36" s="6">
        <v>214.09</v>
      </c>
      <c r="CJ36" s="6">
        <v>1191.4000000000001</v>
      </c>
      <c r="CK36" s="6">
        <v>78.003</v>
      </c>
      <c r="CL36" s="6">
        <v>733.59900000000005</v>
      </c>
      <c r="CM36" s="6">
        <v>551.4</v>
      </c>
      <c r="CN36" s="6">
        <v>45149.1</v>
      </c>
      <c r="CO36" s="6">
        <v>1649.779</v>
      </c>
      <c r="CP36" s="6">
        <v>294055.45199999999</v>
      </c>
      <c r="CQ36" s="6">
        <v>3681762.24</v>
      </c>
      <c r="CR36" s="6">
        <v>131108.75200000001</v>
      </c>
      <c r="CS36" s="6">
        <v>513948.73599999998</v>
      </c>
      <c r="CT36" s="6">
        <v>2923536.6660000002</v>
      </c>
      <c r="CU36" s="6">
        <v>298260.48499999999</v>
      </c>
      <c r="CV36" s="6">
        <v>30133.4624</v>
      </c>
      <c r="CW36" s="6">
        <v>62830.374400000001</v>
      </c>
      <c r="CX36" s="6">
        <v>33462.284800000001</v>
      </c>
      <c r="CY36" s="6">
        <v>167706.09599999999</v>
      </c>
      <c r="CZ36" s="6">
        <v>217828.416</v>
      </c>
      <c r="DA36" s="6">
        <v>19009.79</v>
      </c>
      <c r="DB36" s="6">
        <v>150062.14000000001</v>
      </c>
      <c r="DC36" s="6">
        <v>3017.31</v>
      </c>
      <c r="DD36" s="6">
        <v>3017.22</v>
      </c>
      <c r="DE36" s="6">
        <v>3043.33</v>
      </c>
      <c r="DF36" s="6">
        <v>0.998</v>
      </c>
      <c r="DG36" s="1" t="s">
        <v>242</v>
      </c>
      <c r="DH36" s="4">
        <f>Table2[[#This Row],[Date]]</f>
        <v>46234</v>
      </c>
      <c r="DI36">
        <f>(DD37-Table2[[#This Row],[MWH Total]])*4000</f>
        <v>25760.000000000218</v>
      </c>
      <c r="DJ36">
        <f>(DA37-Table2[[#This Row],[PNG Meter (Outside)]])*2.936</f>
        <v>49.647759999999572</v>
      </c>
      <c r="DK36">
        <f>(DB37-Table2[[#This Row],[PNG Meter (Inside)]])*2.936</f>
        <v>282.07032799992618</v>
      </c>
      <c r="DL36">
        <f>(BH37-Table2[[#This Row],[3F Dough cooler - 2 ]])*1000</f>
        <v>451.00000000002183</v>
      </c>
      <c r="DM36">
        <f>(BI37-Table2[[#This Row],[3F Dough Cooler- 1]])*1000</f>
        <v>486.99999999996635</v>
      </c>
      <c r="DN36">
        <f>(BJ37-Table2[[#This Row],[4F Dough Production cooling Unit]])*1000</f>
        <v>57.999999999999829</v>
      </c>
      <c r="DO36">
        <f>(BQ37-Table2[[#This Row],[3F2 - PDB 3 - Dough Production Area]])*1000</f>
        <v>281.99999999998226</v>
      </c>
      <c r="DP36">
        <f>(BR37-Table2[[#This Row],[3F3 - PDB 4 - Dough Area]])*1000</f>
        <v>145.99999999998658</v>
      </c>
      <c r="DQ36">
        <f>AC37-Table2[[#This Row],[16F1 Tray washer Panel for Light]]</f>
        <v>778.87999999988824</v>
      </c>
      <c r="DR36">
        <f>CQ37-Table2[[#This Row],[2F1 Tray Washer - 1]]</f>
        <v>1383.0399999995716</v>
      </c>
      <c r="DS36">
        <f>CS37-Table2[[#This Row],[2F5 Destacker]]</f>
        <v>378.9440000000177</v>
      </c>
      <c r="DT36">
        <f>CU37-Table2[[#This Row],[5F1 Metering (TW-2)]]</f>
        <v>267.53899999998976</v>
      </c>
      <c r="DU36">
        <f>CV37-Table2[[#This Row],[6F1 Pre soaker Tray washer]]</f>
        <v>4.1280000000006112</v>
      </c>
      <c r="DV36">
        <f>CZ37-Table2[[#This Row],[6F5 Vent tray Storage]]</f>
        <v>69.328000000008615</v>
      </c>
      <c r="DW36">
        <f>I37-Table2[[#This Row],[Popeyes Meter ]]</f>
        <v>54.970000000000255</v>
      </c>
      <c r="DX36">
        <f>AZ37-Table2[[#This Row],[2F WH Chiller, Segregation Area]]</f>
        <v>0</v>
      </c>
      <c r="DY36">
        <f>BA37-Table2[[#This Row],[3F1 AC Unit WH dock cooling - 2 Nos]]</f>
        <v>20</v>
      </c>
      <c r="DZ36">
        <f>BB37-Table2[[#This Row],[3F2 AC Unit WH dock cooling - 3 Nos]]</f>
        <v>4.7999999999994714E-2</v>
      </c>
      <c r="EA36">
        <f>(BK37-Table2[[#This Row],[5F WH Perishable]])*1000</f>
        <v>289.99999999996362</v>
      </c>
      <c r="EB36">
        <f>BN37-Table2[[#This Row],[2F3 - PDB 9 - WH Dock Leveler Door ]]</f>
        <v>1.0904000000000451</v>
      </c>
      <c r="EC36">
        <f>BP37-Table2[[#This Row],[3F1 - PDB 5 - WH HSD]]</f>
        <v>98.720000000030268</v>
      </c>
      <c r="ED36">
        <f>BX37-Table2[[#This Row],[8F1 WH Dock AHU - Ventilation]]</f>
        <v>2349.1840000000084</v>
      </c>
      <c r="EE36">
        <f>BZ37-Table2[[#This Row],[8F3 ACPDB - 4 WH Dock air curtain]]</f>
        <v>7.2880000000004657</v>
      </c>
      <c r="EF36">
        <f>CA37-Table2[[#This Row],[8F4 WH Light]]</f>
        <v>2.8156999999998789</v>
      </c>
      <c r="EG36">
        <f>CC37-Table2[[#This Row],[9F1 - PDB 10 - WH Dock door &amp; Office]]</f>
        <v>132.54399999999441</v>
      </c>
      <c r="EH36">
        <f>CD37-Table2[[#This Row],[9F2 - PDB 11 - WH flycatchers]]</f>
        <v>273.69599999999627</v>
      </c>
      <c r="EI36">
        <f>CE37-Table2[[#This Row],[9F3 - PDB 12 - Other items]]</f>
        <v>0</v>
      </c>
      <c r="EJ36">
        <f>CR37-Table2[[#This Row],[2F3 - PDB 1 - Dock 1 to 4 ]]</f>
        <v>80.775999999983469</v>
      </c>
      <c r="EK36">
        <f>BM37-Table2[[#This Row],[2F2 - PDB 3 - WH Truck &amp; Battery Charging]]</f>
        <v>649.18400000000838</v>
      </c>
      <c r="EL36">
        <f>(CK37-Table2[[#This Row],[PDB - 11 Truck Charging]])*1000</f>
        <v>75.000000000002842</v>
      </c>
      <c r="EM36">
        <f>P37-Table2[[#This Row],[5F3 Admin Area]]</f>
        <v>403.1359999999404</v>
      </c>
      <c r="EN36">
        <f>AH37-Table2[[#This Row],[2F5 Main Gate-1 Piller -1]]</f>
        <v>123.73600000000442</v>
      </c>
      <c r="EO36">
        <f>CW37-Table2[[#This Row],[6F2 Ground Floor AC]]</f>
        <v>27.763200000001234</v>
      </c>
      <c r="EP36">
        <f>CX37-Table2[[#This Row],[6F3 ACBD -1 (First floor AC)]]</f>
        <v>3.8079999999972642</v>
      </c>
      <c r="EQ36">
        <f>CY37-Table2[[#This Row],[6F4 ACBD - 2 (Second &amp; Third floor AC)]]</f>
        <v>122.7840000000142</v>
      </c>
      <c r="ER36">
        <f>(BC37-Table2[[#This Row],[4F Old BMC cooling Unit]])</f>
        <v>0</v>
      </c>
      <c r="ES36">
        <f>BO37-Table2[[#This Row],[2F4 - Old BMC]]</f>
        <v>5.3887999999933527</v>
      </c>
      <c r="ET36">
        <f>Y37-Table2[[#This Row],[14F2 New CK]]</f>
        <v>1320.6399999998976</v>
      </c>
      <c r="EU36">
        <f>(CL37-Table2[[#This Row],[OLD Ck Panel-1]])*1000</f>
        <v>208.99999999994634</v>
      </c>
      <c r="EV36">
        <f>CM37-Table2[[#This Row],[2F4 Old CK Blast (Blue star)]]</f>
        <v>0</v>
      </c>
      <c r="EW36">
        <f>CN37-Table2[[#This Row],[3F6 Old CK Blast (Carrier)]]</f>
        <v>21.5</v>
      </c>
      <c r="EX36">
        <f>(CO37-Table2[[#This Row],[Old CK Panel -2]])*1000</f>
        <v>739.00000000003274</v>
      </c>
      <c r="EY36">
        <f>N37-Table2[[#This Row],[4F1 Main UPS 1/C -1]]</f>
        <v>947.04000000003725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34.999999999996589</v>
      </c>
      <c r="FC36">
        <f>BW37-Table2[[#This Row],[7F3 CLC Power Panel]]</f>
        <v>307.6480000000447</v>
      </c>
      <c r="FD36">
        <f>(CI37-Table2[[#This Row],[PDB - 17 CLC Section ]])*1000</f>
        <v>185.00000000000227</v>
      </c>
      <c r="FE36">
        <f>(W37-Table2[[#This Row],[13F3 Water &amp; Lift Old CK]])*1000</f>
        <v>450.69999999986976</v>
      </c>
      <c r="FF36">
        <f>AA37-Table2[[#This Row],[15F2 New ETP Panel]]</f>
        <v>258.87999999988824</v>
      </c>
      <c r="FG36">
        <f>AL37-Table2[[#This Row],[3F4 Old ETP Panel]]</f>
        <v>74.368000000016764</v>
      </c>
      <c r="FH36">
        <f>AF37-Table2[[#This Row],[2F1 RO Plant]]</f>
        <v>533.0559999999823</v>
      </c>
      <c r="FI36">
        <f>AK37-Table2[[#This Row],[3F3 Fire Hydrant Panel]]</f>
        <v>11.207999999998719</v>
      </c>
      <c r="FJ36">
        <f>R37-Table2[[#This Row],[7F1 Freon System Panel]]</f>
        <v>6675.839999999851</v>
      </c>
      <c r="FK36">
        <f>(AE37-Table2[[#This Row],[21F1 Refrigeration Ammonia]])*1000</f>
        <v>7132.7999999994063</v>
      </c>
      <c r="FL36">
        <f>(AG37-Table2[[#This Row],[2F3 Air Compressor]])*1000</f>
        <v>1271.9999999999345</v>
      </c>
      <c r="FM36">
        <f>(AX37-Table2[[#This Row],[Solar Reading Panel II]])*1000</f>
        <v>3242.0000000001892</v>
      </c>
      <c r="FN36">
        <f>AI37-Table2[[#This Row],[3F1 Maintenance Workshop]]</f>
        <v>4.7471999999997934</v>
      </c>
      <c r="FO36">
        <f>BD37-Table2[[#This Row],[4F B2B unit ]]</f>
        <v>51.647999999986496</v>
      </c>
      <c r="FP36">
        <f>BL37-Table2[[#This Row],[2F1 - PDB 6 - Bread, B2B section]]</f>
        <v>203.40119999999297</v>
      </c>
      <c r="FQ36">
        <f>(CG37-Table2[[#This Row],[9F5 - PDB 14 - Bread Lift]])</f>
        <v>0.3552000000490807</v>
      </c>
      <c r="FR36">
        <f>CJ37-Table2[[#This Row],[PDB - 16 Bread Section]]</f>
        <v>0</v>
      </c>
      <c r="FS36">
        <f>BU37-Table2[[#This Row],[7F1 Donut Production area]]</f>
        <v>211.1359999999404</v>
      </c>
      <c r="FT36">
        <f>CB37-Table2[[#This Row],[8F5 Donut Ban Bary]]</f>
        <v>44.448000000003958</v>
      </c>
      <c r="FU36">
        <f>CF37-Table2[[#This Row],[9F4 - PDB 13 - Donut Sink Geyser area]]</f>
        <v>15.263999999995576</v>
      </c>
      <c r="FV36">
        <f>BV37-Table2[[#This Row],[7F2 Flour Silo]]</f>
        <v>566.95999999996275</v>
      </c>
      <c r="FW36">
        <f>BY37-Table2[[#This Row],[8F2 ACPDB - 3 SILO Ventilation]]</f>
        <v>49.504000000015367</v>
      </c>
      <c r="FX36">
        <f>J37-Table2[[#This Row],[DG 1010KVA Running Hours]]</f>
        <v>0.3000000000001819</v>
      </c>
      <c r="FY36">
        <f>K37-Table2[[#This Row],[DG 1010 KVA Meter Reading]]</f>
        <v>124</v>
      </c>
      <c r="FZ36">
        <f>L37-Table2[[#This Row],[GG 1010 KVA Running Hours]]</f>
        <v>1</v>
      </c>
      <c r="GA36">
        <f>M37-Table2[[#This Row],[GG 1010 KVA Meter Reading]]</f>
        <v>0.12999999999999545</v>
      </c>
    </row>
    <row r="37" spans="1:183" x14ac:dyDescent="0.35">
      <c r="A37" s="1">
        <v>47</v>
      </c>
      <c r="B37" s="2">
        <v>46235.407835648148</v>
      </c>
      <c r="C37" s="2">
        <v>46235.449791666666</v>
      </c>
      <c r="D37" s="1" t="s">
        <v>111</v>
      </c>
      <c r="E37" s="1"/>
      <c r="F37" s="1"/>
      <c r="G37" s="3">
        <v>46235</v>
      </c>
      <c r="H37" s="1" t="s">
        <v>186</v>
      </c>
      <c r="I37" s="6">
        <v>6579.5020000000004</v>
      </c>
      <c r="J37" s="6">
        <v>4272.7</v>
      </c>
      <c r="K37" s="6">
        <v>1776361</v>
      </c>
      <c r="L37" s="6">
        <v>453</v>
      </c>
      <c r="M37" s="6">
        <v>190.57</v>
      </c>
      <c r="N37" s="6">
        <v>1866079.04</v>
      </c>
      <c r="O37" s="6">
        <v>4593424.6399999997</v>
      </c>
      <c r="P37" s="6">
        <v>644758.65599999996</v>
      </c>
      <c r="Q37" s="6">
        <v>8083234.5599999996</v>
      </c>
      <c r="R37" s="6">
        <v>5523598.7199999997</v>
      </c>
      <c r="S37" s="6">
        <v>7354659.8399999999</v>
      </c>
      <c r="T37" s="6">
        <v>42722957.740999997</v>
      </c>
      <c r="U37" s="6">
        <v>2100603.6800000002</v>
      </c>
      <c r="V37" s="6">
        <v>5111805.4400000004</v>
      </c>
      <c r="W37" s="6">
        <v>1590.8545999999999</v>
      </c>
      <c r="X37" s="6">
        <v>773276.03200000001</v>
      </c>
      <c r="Y37" s="6">
        <v>1089194.1599999999</v>
      </c>
      <c r="Z37" s="6">
        <v>2777.8894</v>
      </c>
      <c r="AA37" s="6">
        <v>667670.59199999995</v>
      </c>
      <c r="AB37" s="6">
        <v>421246.33600000001</v>
      </c>
      <c r="AC37" s="6">
        <v>2137185.92</v>
      </c>
      <c r="AD37" s="6">
        <v>3996975.96</v>
      </c>
      <c r="AE37" s="6">
        <v>12787.9872</v>
      </c>
      <c r="AF37" s="6">
        <v>873829.76</v>
      </c>
      <c r="AG37" s="6">
        <v>1395.537</v>
      </c>
      <c r="AH37" s="6">
        <v>133143.264</v>
      </c>
      <c r="AI37" s="6">
        <v>14612.9408</v>
      </c>
      <c r="AJ37" s="6">
        <v>145358.75200000001</v>
      </c>
      <c r="AK37" s="6">
        <v>105216.128</v>
      </c>
      <c r="AL37" s="6">
        <v>330405.28000000003</v>
      </c>
      <c r="AM37" s="6">
        <v>989.84699999999998</v>
      </c>
      <c r="AN37" s="6">
        <v>325</v>
      </c>
      <c r="AO37" s="6">
        <v>7.5</v>
      </c>
      <c r="AP37" s="6">
        <v>429888</v>
      </c>
      <c r="AQ37" s="6">
        <v>42313</v>
      </c>
      <c r="AR37" s="6">
        <v>41768</v>
      </c>
      <c r="AS37" s="6">
        <v>32332</v>
      </c>
      <c r="AT37" s="6">
        <v>22071</v>
      </c>
      <c r="AU37" s="6">
        <v>15576</v>
      </c>
      <c r="AV37" s="6">
        <v>6393</v>
      </c>
      <c r="AW37" s="6">
        <v>20.906972</v>
      </c>
      <c r="AX37" s="6">
        <v>7234.1819999999998</v>
      </c>
      <c r="AY37" s="6">
        <v>678.69056</v>
      </c>
      <c r="AZ37" s="6">
        <v>20.788</v>
      </c>
      <c r="BA37" s="6">
        <v>10349</v>
      </c>
      <c r="BB37" s="6">
        <v>44.686999999999998</v>
      </c>
      <c r="BC37" s="6">
        <v>113989.152</v>
      </c>
      <c r="BD37" s="6">
        <v>275821.18400000001</v>
      </c>
      <c r="BE37" s="6">
        <v>3723.1792</v>
      </c>
      <c r="BF37" s="6">
        <v>1712.0419999999999</v>
      </c>
      <c r="BG37" s="6">
        <v>74.965000000000003</v>
      </c>
      <c r="BH37" s="6">
        <v>364.11700000000002</v>
      </c>
      <c r="BI37" s="6">
        <v>914.35</v>
      </c>
      <c r="BJ37" s="6">
        <v>14.557</v>
      </c>
      <c r="BK37" s="6">
        <v>563.65499999999997</v>
      </c>
      <c r="BL37" s="6">
        <v>72595.967999999993</v>
      </c>
      <c r="BM37" s="6">
        <v>308572.19199999998</v>
      </c>
      <c r="BN37" s="6">
        <v>7191.1912000000002</v>
      </c>
      <c r="BO37" s="6">
        <v>53557.811199999996</v>
      </c>
      <c r="BP37" s="6">
        <v>314128.64000000001</v>
      </c>
      <c r="BQ37" s="6">
        <v>324.97699999999998</v>
      </c>
      <c r="BR37" s="6">
        <v>181.01</v>
      </c>
      <c r="BS37" s="6">
        <v>1009944.38</v>
      </c>
      <c r="BT37" s="6">
        <v>1400618.6</v>
      </c>
      <c r="BU37" s="6">
        <v>628942.14399999997</v>
      </c>
      <c r="BV37" s="6">
        <v>1021758.32</v>
      </c>
      <c r="BW37" s="6">
        <v>568228.22400000005</v>
      </c>
      <c r="BX37" s="6">
        <v>993844.67200000002</v>
      </c>
      <c r="BY37" s="6">
        <v>157668.04800000001</v>
      </c>
      <c r="BZ37" s="6">
        <v>114334.048</v>
      </c>
      <c r="CA37" s="6">
        <v>1240.6469999999999</v>
      </c>
      <c r="CB37" s="6">
        <v>108645.45600000001</v>
      </c>
      <c r="CC37" s="6">
        <v>150629.21599999999</v>
      </c>
      <c r="CD37" s="6">
        <v>446437.53600000002</v>
      </c>
      <c r="CE37" s="6">
        <v>49125.260799999996</v>
      </c>
      <c r="CF37" s="6">
        <v>155861.45600000001</v>
      </c>
      <c r="CG37" s="6">
        <v>360805.88160000002</v>
      </c>
      <c r="CH37" s="6">
        <v>2385.8710000000001</v>
      </c>
      <c r="CI37" s="6">
        <v>214.27500000000001</v>
      </c>
      <c r="CJ37" s="6">
        <v>1191.4000000000001</v>
      </c>
      <c r="CK37" s="6">
        <v>78.078000000000003</v>
      </c>
      <c r="CL37" s="6">
        <v>733.80799999999999</v>
      </c>
      <c r="CM37" s="6">
        <v>551.4</v>
      </c>
      <c r="CN37" s="6">
        <v>45170.6</v>
      </c>
      <c r="CO37" s="6">
        <v>1650.518</v>
      </c>
      <c r="CP37" s="6">
        <v>294188.05200000003</v>
      </c>
      <c r="CQ37" s="6">
        <v>3683145.28</v>
      </c>
      <c r="CR37" s="6">
        <v>131189.52799999999</v>
      </c>
      <c r="CS37" s="6">
        <v>514327.68</v>
      </c>
      <c r="CT37" s="6">
        <v>2926906.7949999999</v>
      </c>
      <c r="CU37" s="6">
        <v>298528.02399999998</v>
      </c>
      <c r="CV37" s="6">
        <v>30137.590400000001</v>
      </c>
      <c r="CW37" s="6">
        <v>62858.137600000002</v>
      </c>
      <c r="CX37" s="6">
        <v>33466.092799999999</v>
      </c>
      <c r="CY37" s="6">
        <v>167828.88</v>
      </c>
      <c r="CZ37" s="6">
        <v>217897.74400000001</v>
      </c>
      <c r="DA37" s="6">
        <v>19026.7</v>
      </c>
      <c r="DB37" s="6">
        <v>150158.21299999999</v>
      </c>
      <c r="DC37" s="6">
        <v>3023.74</v>
      </c>
      <c r="DD37" s="6">
        <v>3023.66</v>
      </c>
      <c r="DE37" s="6">
        <v>3050.16</v>
      </c>
      <c r="DF37" s="6">
        <v>0.996</v>
      </c>
      <c r="DG37" s="1" t="s">
        <v>271</v>
      </c>
      <c r="DH37" s="4">
        <f>Table2[[#This Row],[Date]]</f>
        <v>46235</v>
      </c>
      <c r="DI37">
        <f>(DD38-Table2[[#This Row],[MWH Total]])*4000</f>
        <v>27079.999999999927</v>
      </c>
      <c r="DJ37">
        <f>(DA38-Table2[[#This Row],[PNG Meter (Outside)]])*2.936</f>
        <v>7.0170399999982909</v>
      </c>
      <c r="DK37">
        <f>(DB38-Table2[[#This Row],[PNG Meter (Inside)]])*2.936</f>
        <v>129.67724800001503</v>
      </c>
      <c r="DL37">
        <f>(BH38-Table2[[#This Row],[3F Dough cooler - 2 ]])*1000</f>
        <v>195.99999999996953</v>
      </c>
      <c r="DM37">
        <f>(BI38-Table2[[#This Row],[3F Dough Cooler- 1]])*1000</f>
        <v>358.9999999999236</v>
      </c>
      <c r="DN37">
        <f>(BJ38-Table2[[#This Row],[4F Dough Production cooling Unit]])*1000</f>
        <v>28.000000000000469</v>
      </c>
      <c r="DO37">
        <f>(BQ38-Table2[[#This Row],[3F2 - PDB 3 - Dough Production Area]])*1000</f>
        <v>149.00000000000091</v>
      </c>
      <c r="DP37">
        <f>(BR38-Table2[[#This Row],[3F3 - PDB 4 - Dough Area]])*1000</f>
        <v>85.000000000007958</v>
      </c>
      <c r="DQ37">
        <f>AC38-Table2[[#This Row],[16F1 Tray washer Panel for Light]]</f>
        <v>615.52000000001863</v>
      </c>
      <c r="DR37">
        <f>CQ38-Table2[[#This Row],[2F1 Tray Washer - 1]]</f>
        <v>989.12000000011176</v>
      </c>
      <c r="DS37">
        <f>CS38-Table2[[#This Row],[2F5 Destacker]]</f>
        <v>209.56800000002841</v>
      </c>
      <c r="DT37">
        <f>CU38-Table2[[#This Row],[5F1 Metering (TW-2)]]</f>
        <v>217.15200000000186</v>
      </c>
      <c r="DU37">
        <f>CV38-Table2[[#This Row],[6F1 Pre soaker Tray washer]]</f>
        <v>2.1087999999981548</v>
      </c>
      <c r="DV37">
        <f>CZ38-Table2[[#This Row],[6F5 Vent tray Storage]]</f>
        <v>54.720000000001164</v>
      </c>
      <c r="DW37">
        <f>I38-Table2[[#This Row],[Popeyes Meter ]]</f>
        <v>4.4799999999995634</v>
      </c>
      <c r="DX37">
        <f>AZ38-Table2[[#This Row],[2F WH Chiller, Segregation Area]]</f>
        <v>0</v>
      </c>
      <c r="DY37">
        <f>BA38-Table2[[#This Row],[3F1 AC Unit WH dock cooling - 2 Nos]]</f>
        <v>16</v>
      </c>
      <c r="DZ37">
        <f>BB38-Table2[[#This Row],[3F2 AC Unit WH dock cooling - 3 Nos]]</f>
        <v>3.5000000000003695E-2</v>
      </c>
      <c r="EA37">
        <f>(BK38-Table2[[#This Row],[5F WH Perishable]])*1000</f>
        <v>214.00000000005548</v>
      </c>
      <c r="EB37">
        <f>BN38-Table2[[#This Row],[2F3 - PDB 9 - WH Dock Leveler Door ]]</f>
        <v>0.60239999999976135</v>
      </c>
      <c r="EC37">
        <f>BP38-Table2[[#This Row],[3F1 - PDB 5 - WH HSD]]</f>
        <v>79.776000000012573</v>
      </c>
      <c r="ED37">
        <f>BX38-Table2[[#This Row],[8F1 WH Dock AHU - Ventilation]]</f>
        <v>1715.5200000000186</v>
      </c>
      <c r="EE37">
        <f>BZ38-Table2[[#This Row],[8F3 ACPDB - 4 WH Dock air curtain]]</f>
        <v>0.71199999999953434</v>
      </c>
      <c r="EF37">
        <f>CA38-Table2[[#This Row],[8F4 WH Light]]</f>
        <v>2.0540000000000873</v>
      </c>
      <c r="EG37">
        <f>CC38-Table2[[#This Row],[9F1 - PDB 10 - WH Dock door &amp; Office]]</f>
        <v>112.13600000002771</v>
      </c>
      <c r="EH37">
        <f>CD38-Table2[[#This Row],[9F2 - PDB 11 - WH flycatchers]]</f>
        <v>222.07999999995809</v>
      </c>
      <c r="EI37">
        <f>CE38-Table2[[#This Row],[9F3 - PDB 12 - Other items]]</f>
        <v>0</v>
      </c>
      <c r="EJ37">
        <f>CR38-Table2[[#This Row],[2F3 - PDB 1 - Dock 1 to 4 ]]</f>
        <v>59.847999999998137</v>
      </c>
      <c r="EK37">
        <f>BM38-Table2[[#This Row],[2F2 - PDB 3 - WH Truck &amp; Battery Charging]]</f>
        <v>513.08800000004703</v>
      </c>
      <c r="EL37">
        <f>(CK38-Table2[[#This Row],[PDB - 11 Truck Charging]])*1000</f>
        <v>69.000000000002615</v>
      </c>
      <c r="EM37">
        <f>P38-Table2[[#This Row],[5F3 Admin Area]]</f>
        <v>305.08799999998882</v>
      </c>
      <c r="EN37">
        <f>AH38-Table2[[#This Row],[2F5 Main Gate-1 Piller -1]]</f>
        <v>98.208000000013271</v>
      </c>
      <c r="EO37">
        <f>CW38-Table2[[#This Row],[6F2 Ground Floor AC]]</f>
        <v>24.435199999999895</v>
      </c>
      <c r="EP37">
        <f>CX38-Table2[[#This Row],[6F3 ACBD -1 (First floor AC)]]</f>
        <v>0</v>
      </c>
      <c r="EQ37">
        <f>CY38-Table2[[#This Row],[6F4 ACBD - 2 (Second &amp; Third floor AC)]]</f>
        <v>104.67199999999139</v>
      </c>
      <c r="ER37">
        <f>(BC38-Table2[[#This Row],[4F Old BMC cooling Unit]])</f>
        <v>0</v>
      </c>
      <c r="ES37">
        <f>BO38-Table2[[#This Row],[2F4 - Old BMC]]</f>
        <v>3.9744000000064261</v>
      </c>
      <c r="ET37">
        <f>Y38-Table2[[#This Row],[14F2 New CK]]</f>
        <v>1008.4799999999814</v>
      </c>
      <c r="EU37">
        <f>(CL38-Table2[[#This Row],[OLD Ck Panel-1]])*1000</f>
        <v>120.00000000000455</v>
      </c>
      <c r="EV37">
        <f>CM38-Table2[[#This Row],[2F4 Old CK Blast (Blue star)]]</f>
        <v>0</v>
      </c>
      <c r="EW37">
        <f>CN38-Table2[[#This Row],[3F6 Old CK Blast (Carrier)]]</f>
        <v>0.20000000000436557</v>
      </c>
      <c r="EX37">
        <f>(CO38-Table2[[#This Row],[Old CK Panel -2]])*1000</f>
        <v>643.0000000000291</v>
      </c>
      <c r="EY37">
        <f>N38-Table2[[#This Row],[4F1 Main UPS 1/C -1]]</f>
        <v>724.95999999996275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36.000000000001364</v>
      </c>
      <c r="FC37">
        <f>BW38-Table2[[#This Row],[7F3 CLC Power Panel]]</f>
        <v>225.85599999991246</v>
      </c>
      <c r="FD37">
        <f>(CI38-Table2[[#This Row],[PDB - 17 CLC Section ]])*1000</f>
        <v>125</v>
      </c>
      <c r="FE37">
        <f>(W38-Table2[[#This Row],[13F3 Water &amp; Lift Old CK]])*1000</f>
        <v>759.30000000016662</v>
      </c>
      <c r="FF37">
        <f>AA38-Table2[[#This Row],[15F2 New ETP Panel]]</f>
        <v>227.84000000008382</v>
      </c>
      <c r="FG37">
        <f>AL38-Table2[[#This Row],[3F4 Old ETP Panel]]</f>
        <v>64.991999999969266</v>
      </c>
      <c r="FH37">
        <f>AF38-Table2[[#This Row],[2F1 RO Plant]]</f>
        <v>432.06400000001304</v>
      </c>
      <c r="FI37">
        <f>AK38-Table2[[#This Row],[3F3 Fire Hydrant Panel]]</f>
        <v>8.7200000000011642</v>
      </c>
      <c r="FJ37">
        <f>R38-Table2[[#This Row],[7F1 Freon System Panel]]</f>
        <v>5112.320000000298</v>
      </c>
      <c r="FK37">
        <f>(AE38-Table2[[#This Row],[21F1 Refrigeration Ammonia]])*1000</f>
        <v>5821.6000000011263</v>
      </c>
      <c r="FL37">
        <f>(AG38-Table2[[#This Row],[2F3 Air Compressor]])*1000</f>
        <v>995.99999999986721</v>
      </c>
      <c r="FM37">
        <f>(AX38-Table2[[#This Row],[Solar Reading Panel II]])*1000</f>
        <v>2274.000000000342</v>
      </c>
      <c r="FN37">
        <f>AI38-Table2[[#This Row],[3F1 Maintenance Workshop]]</f>
        <v>3.1055999999989581</v>
      </c>
      <c r="FO37">
        <f>BD38-Table2[[#This Row],[4F B2B unit ]]</f>
        <v>27.135999999998603</v>
      </c>
      <c r="FP37">
        <f>BL38-Table2[[#This Row],[2F1 - PDB 6 - Bread, B2B section]]</f>
        <v>89.63200000001234</v>
      </c>
      <c r="FQ37">
        <f>(CG38-Table2[[#This Row],[9F5 - PDB 14 - Bread Lift]])</f>
        <v>0.22079999995185062</v>
      </c>
      <c r="FR37">
        <f>CJ38-Table2[[#This Row],[PDB - 16 Bread Section]]</f>
        <v>0</v>
      </c>
      <c r="FS37">
        <f>BU38-Table2[[#This Row],[7F1 Donut Production area]]</f>
        <v>146.75199999997858</v>
      </c>
      <c r="FT37">
        <f>CB38-Table2[[#This Row],[8F5 Donut Ban Bary]]</f>
        <v>21.711999999999534</v>
      </c>
      <c r="FU37">
        <f>CF38-Table2[[#This Row],[9F4 - PDB 13 - Donut Sink Geyser area]]</f>
        <v>60.799999999988358</v>
      </c>
      <c r="FV37">
        <f>BV38-Table2[[#This Row],[7F2 Flour Silo]]</f>
        <v>495.11999999999534</v>
      </c>
      <c r="FW37">
        <f>BY38-Table2[[#This Row],[8F2 ACPDB - 3 SILO Ventilation]]</f>
        <v>58.623999999981606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>
        <v>48</v>
      </c>
      <c r="B38" s="2">
        <v>46237.395636574074</v>
      </c>
      <c r="C38" s="2">
        <v>46237.415659722225</v>
      </c>
      <c r="D38" s="1" t="s">
        <v>111</v>
      </c>
      <c r="E38" s="1"/>
      <c r="F38" s="1"/>
      <c r="G38" s="3">
        <v>46236</v>
      </c>
      <c r="H38" s="1" t="s">
        <v>186</v>
      </c>
      <c r="I38" s="6">
        <v>6583.982</v>
      </c>
      <c r="J38" s="6">
        <v>4272.7</v>
      </c>
      <c r="K38" s="6">
        <v>1776361</v>
      </c>
      <c r="L38" s="6">
        <v>453</v>
      </c>
      <c r="M38" s="6">
        <v>190.57</v>
      </c>
      <c r="N38" s="6">
        <v>1866804</v>
      </c>
      <c r="O38" s="6">
        <v>4594966.4000000004</v>
      </c>
      <c r="P38" s="6">
        <v>645063.74399999995</v>
      </c>
      <c r="Q38" s="6">
        <v>8085854.7199999997</v>
      </c>
      <c r="R38" s="6">
        <v>5528711.04</v>
      </c>
      <c r="S38" s="6">
        <v>7357372.1600000001</v>
      </c>
      <c r="T38" s="6">
        <v>42733071.033</v>
      </c>
      <c r="U38" s="6">
        <v>2101688.48</v>
      </c>
      <c r="V38" s="6">
        <v>5113104</v>
      </c>
      <c r="W38" s="6">
        <v>1591.6139000000001</v>
      </c>
      <c r="X38" s="6">
        <v>773512.70400000003</v>
      </c>
      <c r="Y38" s="6">
        <v>1090202.6399999999</v>
      </c>
      <c r="Z38" s="6">
        <v>2777.8894</v>
      </c>
      <c r="AA38" s="6">
        <v>667898.43200000003</v>
      </c>
      <c r="AB38" s="6">
        <v>421257.82400000002</v>
      </c>
      <c r="AC38" s="6">
        <v>2137801.44</v>
      </c>
      <c r="AD38" s="6">
        <v>2634762.892</v>
      </c>
      <c r="AE38" s="6">
        <v>12793.808800000001</v>
      </c>
      <c r="AF38" s="6">
        <v>874261.82400000002</v>
      </c>
      <c r="AG38" s="6">
        <v>1396.5329999999999</v>
      </c>
      <c r="AH38" s="6">
        <v>133241.47200000001</v>
      </c>
      <c r="AI38" s="6">
        <v>14616.046399999999</v>
      </c>
      <c r="AJ38" s="6">
        <v>145360.89600000001</v>
      </c>
      <c r="AK38" s="6">
        <v>105224.848</v>
      </c>
      <c r="AL38" s="6">
        <v>330470.272</v>
      </c>
      <c r="AM38" s="6">
        <v>990.81500000000005</v>
      </c>
      <c r="AN38" s="6">
        <v>250.6</v>
      </c>
      <c r="AO38" s="6">
        <v>6.9</v>
      </c>
      <c r="AP38" s="6">
        <v>437585</v>
      </c>
      <c r="AQ38" s="6">
        <v>42313</v>
      </c>
      <c r="AR38" s="6">
        <v>41768</v>
      </c>
      <c r="AS38" s="6">
        <v>32351</v>
      </c>
      <c r="AT38" s="6">
        <v>22082</v>
      </c>
      <c r="AU38" s="6">
        <v>15595</v>
      </c>
      <c r="AV38" s="6">
        <v>6404</v>
      </c>
      <c r="AW38" s="6">
        <v>20.912520000000001</v>
      </c>
      <c r="AX38" s="6">
        <v>7236.4560000000001</v>
      </c>
      <c r="AY38" s="6">
        <v>678.79920000000004</v>
      </c>
      <c r="AZ38" s="6">
        <v>20.788</v>
      </c>
      <c r="BA38" s="6">
        <v>10365</v>
      </c>
      <c r="BB38" s="6">
        <v>44.722000000000001</v>
      </c>
      <c r="BC38" s="6">
        <v>113989.152</v>
      </c>
      <c r="BD38" s="6">
        <v>275848.32000000001</v>
      </c>
      <c r="BE38" s="6">
        <v>3724.0544</v>
      </c>
      <c r="BF38" s="6">
        <v>1712.0419999999999</v>
      </c>
      <c r="BG38" s="6">
        <v>75.001000000000005</v>
      </c>
      <c r="BH38" s="6">
        <v>364.31299999999999</v>
      </c>
      <c r="BI38" s="6">
        <v>914.70899999999995</v>
      </c>
      <c r="BJ38" s="6">
        <v>14.585000000000001</v>
      </c>
      <c r="BK38" s="6">
        <v>563.86900000000003</v>
      </c>
      <c r="BL38" s="6">
        <v>72685.600000000006</v>
      </c>
      <c r="BM38" s="6">
        <v>309085.28000000003</v>
      </c>
      <c r="BN38" s="6">
        <v>7191.7936</v>
      </c>
      <c r="BO38" s="6">
        <v>53561.785600000003</v>
      </c>
      <c r="BP38" s="6">
        <v>314208.41600000003</v>
      </c>
      <c r="BQ38" s="6">
        <v>325.12599999999998</v>
      </c>
      <c r="BR38" s="6">
        <v>181.095</v>
      </c>
      <c r="BS38" s="6">
        <v>1010924.719</v>
      </c>
      <c r="BT38" s="6">
        <v>1400618.6529999999</v>
      </c>
      <c r="BU38" s="6">
        <v>629088.89599999995</v>
      </c>
      <c r="BV38" s="6">
        <v>1022253.44</v>
      </c>
      <c r="BW38" s="6">
        <v>568454.07999999996</v>
      </c>
      <c r="BX38" s="6">
        <v>995560.19200000004</v>
      </c>
      <c r="BY38" s="6">
        <v>157726.67199999999</v>
      </c>
      <c r="BZ38" s="6">
        <v>114334.76</v>
      </c>
      <c r="CA38" s="6">
        <v>1242.701</v>
      </c>
      <c r="CB38" s="6">
        <v>108667.16800000001</v>
      </c>
      <c r="CC38" s="6">
        <v>150741.35200000001</v>
      </c>
      <c r="CD38" s="6">
        <v>446659.61599999998</v>
      </c>
      <c r="CE38" s="6">
        <v>49125.260799999996</v>
      </c>
      <c r="CF38" s="6">
        <v>155922.25599999999</v>
      </c>
      <c r="CG38" s="6">
        <v>360806.10239999997</v>
      </c>
      <c r="CH38" s="6">
        <v>2385.8710000000001</v>
      </c>
      <c r="CI38" s="6">
        <v>214.4</v>
      </c>
      <c r="CJ38" s="6">
        <v>1191.4000000000001</v>
      </c>
      <c r="CK38" s="6">
        <v>78.147000000000006</v>
      </c>
      <c r="CL38" s="6">
        <v>733.928</v>
      </c>
      <c r="CM38" s="6">
        <v>551.4</v>
      </c>
      <c r="CN38" s="6">
        <v>45170.8</v>
      </c>
      <c r="CO38" s="6">
        <v>1651.1610000000001</v>
      </c>
      <c r="CP38" s="6">
        <v>294291.31199999998</v>
      </c>
      <c r="CQ38" s="6">
        <v>3684134.4</v>
      </c>
      <c r="CR38" s="6">
        <v>131249.37599999999</v>
      </c>
      <c r="CS38" s="6">
        <v>514537.24800000002</v>
      </c>
      <c r="CT38" s="6">
        <v>2929366.0240000002</v>
      </c>
      <c r="CU38" s="6">
        <v>298745.17599999998</v>
      </c>
      <c r="CV38" s="6">
        <v>30139.699199999999</v>
      </c>
      <c r="CW38" s="6">
        <v>62882.572800000002</v>
      </c>
      <c r="CX38" s="6">
        <v>33466.092799999999</v>
      </c>
      <c r="CY38" s="6">
        <v>167933.552</v>
      </c>
      <c r="CZ38" s="6">
        <v>217952.46400000001</v>
      </c>
      <c r="DA38" s="6">
        <v>19029.09</v>
      </c>
      <c r="DB38" s="6">
        <v>150202.38099999999</v>
      </c>
      <c r="DC38" s="6">
        <v>3030.57</v>
      </c>
      <c r="DD38" s="6">
        <v>3030.43</v>
      </c>
      <c r="DE38" s="6">
        <v>3057.11</v>
      </c>
      <c r="DF38" s="6">
        <v>0.99299999999999999</v>
      </c>
      <c r="DG38" s="1" t="s">
        <v>257</v>
      </c>
      <c r="DH38" s="4">
        <f>Table2[[#This Row],[Date]]</f>
        <v>46236</v>
      </c>
      <c r="DI38">
        <f>(DD39-Table2[[#This Row],[MWH Total]])*4000</f>
        <v>20960.000000000946</v>
      </c>
      <c r="DJ38">
        <f>(DA39-Table2[[#This Row],[PNG Meter (Outside)]])*2.936</f>
        <v>2.113920000003418</v>
      </c>
      <c r="DK38">
        <f>(DB39-Table2[[#This Row],[PNG Meter (Inside)]])*2.936</f>
        <v>248.90820800005946</v>
      </c>
      <c r="DL38">
        <f>(BH39-Table2[[#This Row],[3F Dough cooler - 2 ]])*1000</f>
        <v>306.00000000004002</v>
      </c>
      <c r="DM38">
        <f>(BI39-Table2[[#This Row],[3F Dough Cooler- 1]])*1000</f>
        <v>605.00000000001819</v>
      </c>
      <c r="DN38">
        <f>(BJ39-Table2[[#This Row],[4F Dough Production cooling Unit]])*1000</f>
        <v>46.99999999999882</v>
      </c>
      <c r="DO38">
        <f>(BQ39-Table2[[#This Row],[3F2 - PDB 3 - Dough Production Area]])*1000</f>
        <v>236.00000000004684</v>
      </c>
      <c r="DP38">
        <f>(BR39-Table2[[#This Row],[3F3 - PDB 4 - Dough Area]])*1000</f>
        <v>125</v>
      </c>
      <c r="DQ38">
        <f>AC39-Table2[[#This Row],[16F1 Tray washer Panel for Light]]</f>
        <v>878.87999999988824</v>
      </c>
      <c r="DR38">
        <f>CQ39-Table2[[#This Row],[2F1 Tray Washer - 1]]</f>
        <v>1441.6000000000931</v>
      </c>
      <c r="DS38">
        <f>CS39-Table2[[#This Row],[2F5 Destacker]]</f>
        <v>309.5679999999702</v>
      </c>
      <c r="DT38">
        <f>CU39-Table2[[#This Row],[5F1 Metering (TW-2)]]</f>
        <v>325.09500000003027</v>
      </c>
      <c r="DU38">
        <f>CV39-Table2[[#This Row],[6F1 Pre soaker Tray washer]]</f>
        <v>3.1999999991967343E-3</v>
      </c>
      <c r="DV38">
        <f>CZ39-Table2[[#This Row],[6F5 Vent tray Storage]]</f>
        <v>65.199999999982538</v>
      </c>
      <c r="DW38">
        <f>I39-Table2[[#This Row],[Popeyes Meter ]]</f>
        <v>103.94999999999982</v>
      </c>
      <c r="DX38">
        <f>AZ39-Table2[[#This Row],[2F WH Chiller, Segregation Area]]</f>
        <v>0</v>
      </c>
      <c r="DY38">
        <f>BA39-Table2[[#This Row],[3F1 AC Unit WH dock cooling - 2 Nos]]</f>
        <v>23</v>
      </c>
      <c r="DZ38">
        <f>BB39-Table2[[#This Row],[3F2 AC Unit WH dock cooling - 3 Nos]]</f>
        <v>5.8999999999997499E-2</v>
      </c>
      <c r="EA38">
        <f>(BK39-Table2[[#This Row],[5F WH Perishable]])*1000</f>
        <v>365.00000000000909</v>
      </c>
      <c r="EB38">
        <f>BN39-Table2[[#This Row],[2F3 - PDB 9 - WH Dock Leveler Door ]]</f>
        <v>1.8815999999997075</v>
      </c>
      <c r="EC38">
        <f>BP39-Table2[[#This Row],[3F1 - PDB 5 - WH HSD]]</f>
        <v>132.19199999998091</v>
      </c>
      <c r="ED38">
        <f>BX39-Table2[[#This Row],[8F1 WH Dock AHU - Ventilation]]</f>
        <v>2925.0559999999823</v>
      </c>
      <c r="EE38">
        <f>BZ39-Table2[[#This Row],[8F3 ACPDB - 4 WH Dock air curtain]]</f>
        <v>19.896000000007916</v>
      </c>
      <c r="EF38">
        <f>CA39-Table2[[#This Row],[8F4 WH Light]]</f>
        <v>1.6060999999999694</v>
      </c>
      <c r="EG38">
        <f>CC39-Table2[[#This Row],[9F1 - PDB 10 - WH Dock door &amp; Office]]</f>
        <v>135.84799999999814</v>
      </c>
      <c r="EH38">
        <f>CD39-Table2[[#This Row],[9F2 - PDB 11 - WH flycatchers]]</f>
        <v>87.232000000018161</v>
      </c>
      <c r="EI38">
        <f>CE39-Table2[[#This Row],[9F3 - PDB 12 - Other items]]</f>
        <v>0</v>
      </c>
      <c r="EJ38">
        <f>CR39-Table2[[#This Row],[2F3 - PDB 1 - Dock 1 to 4 ]]</f>
        <v>93.168000000005122</v>
      </c>
      <c r="EK38">
        <f>BM39-Table2[[#This Row],[2F2 - PDB 3 - WH Truck &amp; Battery Charging]]</f>
        <v>331.71199999999953</v>
      </c>
      <c r="EL38">
        <f>(CK39-Table2[[#This Row],[PDB - 11 Truck Charging]])*1000</f>
        <v>12.000000000000455</v>
      </c>
      <c r="EM38">
        <f>P39-Table2[[#This Row],[5F3 Admin Area]]</f>
        <v>531.13600000005681</v>
      </c>
      <c r="EN38">
        <f>AH39-Table2[[#This Row],[2F5 Main Gate-1 Piller -1]]</f>
        <v>117.18399999997928</v>
      </c>
      <c r="EO38">
        <f>CW39-Table2[[#This Row],[6F2 Ground Floor AC]]</f>
        <v>40.300799999997253</v>
      </c>
      <c r="EP38">
        <f>CX39-Table2[[#This Row],[6F3 ACBD -1 (First floor AC)]]</f>
        <v>0</v>
      </c>
      <c r="EQ38">
        <f>CY39-Table2[[#This Row],[6F4 ACBD - 2 (Second &amp; Third floor AC)]]</f>
        <v>180.55999999999767</v>
      </c>
      <c r="ER38">
        <f>(BC39-Table2[[#This Row],[4F Old BMC cooling Unit]])</f>
        <v>0</v>
      </c>
      <c r="ES38">
        <f>BO39-Table2[[#This Row],[2F4 - Old BMC]]</f>
        <v>6.7999999999956344</v>
      </c>
      <c r="ET38">
        <f>Y39-Table2[[#This Row],[14F2 New CK]]</f>
        <v>1064.2399999999907</v>
      </c>
      <c r="EU38">
        <f>(CL39-Table2[[#This Row],[OLD Ck Panel-1]])*1000</f>
        <v>154.99999999997272</v>
      </c>
      <c r="EV38">
        <f>CM39-Table2[[#This Row],[2F4 Old CK Blast (Blue star)]]</f>
        <v>0</v>
      </c>
      <c r="EW38">
        <f>CN39-Table2[[#This Row],[3F6 Old CK Blast (Carrier)]]</f>
        <v>0.29999999999563443</v>
      </c>
      <c r="EX38">
        <f>(CO39-Table2[[#This Row],[Old CK Panel -2]])*1000</f>
        <v>706.99999999987995</v>
      </c>
      <c r="EY38">
        <f>N39-Table2[[#This Row],[4F1 Main UPS 1/C -1]]</f>
        <v>959.84000000008382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18.999999999991246</v>
      </c>
      <c r="FC38">
        <f>BW39-Table2[[#This Row],[7F3 CLC Power Panel]]</f>
        <v>194.4320000000298</v>
      </c>
      <c r="FD38">
        <f>(CI39-Table2[[#This Row],[PDB - 17 CLC Section ]])*1000</f>
        <v>122.99999999999045</v>
      </c>
      <c r="FE38">
        <f>(W39-Table2[[#This Row],[13F3 Water &amp; Lift Old CK]])*1000</f>
        <v>486.79999999990287</v>
      </c>
      <c r="FF38">
        <f>AA39-Table2[[#This Row],[15F2 New ETP Panel]]</f>
        <v>456.89599999994971</v>
      </c>
      <c r="FG38">
        <f>AL39-Table2[[#This Row],[3F4 Old ETP Panel]]</f>
        <v>73.184000000008382</v>
      </c>
      <c r="FH38">
        <f>AF39-Table2[[#This Row],[2F1 RO Plant]]</f>
        <v>683.39199999999255</v>
      </c>
      <c r="FI38">
        <f>AK39-Table2[[#This Row],[3F3 Fire Hydrant Panel]]</f>
        <v>16.576000000000931</v>
      </c>
      <c r="FJ38">
        <f>R39-Table2[[#This Row],[7F1 Freon System Panel]]</f>
        <v>6142.7199999997392</v>
      </c>
      <c r="FK38">
        <f>(AE39-Table2[[#This Row],[21F1 Refrigeration Ammonia]])*1000</f>
        <v>7730.3999999985535</v>
      </c>
      <c r="FL38">
        <f>(AG39-Table2[[#This Row],[2F3 Air Compressor]])*1000</f>
        <v>1447.0000000001164</v>
      </c>
      <c r="FM38">
        <f>(AX39-Table2[[#This Row],[Solar Reading Panel II]])*1000</f>
        <v>3994.9999999998909</v>
      </c>
      <c r="FN38">
        <f>AI39-Table2[[#This Row],[3F1 Maintenance Workshop]]</f>
        <v>4.3328000000001339</v>
      </c>
      <c r="FO38">
        <f>BD39-Table2[[#This Row],[4F B2B unit ]]</f>
        <v>78.656000000017229</v>
      </c>
      <c r="FP38">
        <f>BL39-Table2[[#This Row],[2F1 - PDB 6 - Bread, B2B section]]</f>
        <v>122.32319999999891</v>
      </c>
      <c r="FQ38">
        <f>(CG39-Table2[[#This Row],[9F5 - PDB 14 - Bread Lift]])</f>
        <v>0.44800000003306195</v>
      </c>
      <c r="FR38">
        <f>CJ39-Table2[[#This Row],[PDB - 16 Bread Section]]</f>
        <v>0</v>
      </c>
      <c r="FS38">
        <f>BU39-Table2[[#This Row],[7F1 Donut Production area]]</f>
        <v>215.10400000005029</v>
      </c>
      <c r="FT38">
        <f>CB39-Table2[[#This Row],[8F5 Donut Ban Bary]]</f>
        <v>51.679999999993015</v>
      </c>
      <c r="FU38">
        <f>CF39-Table2[[#This Row],[9F4 - PDB 13 - Donut Sink Geyser area]]</f>
        <v>46.512000000016997</v>
      </c>
      <c r="FV38">
        <f>BV39-Table2[[#This Row],[7F2 Flour Silo]]</f>
        <v>476</v>
      </c>
      <c r="FW38">
        <f>BY39-Table2[[#This Row],[8F2 ACPDB - 3 SILO Ventilation]]</f>
        <v>68.032000000006519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>
        <v>49</v>
      </c>
      <c r="B39" s="2">
        <v>46237.415902777779</v>
      </c>
      <c r="C39" s="2">
        <v>46237.455925925926</v>
      </c>
      <c r="D39" s="1" t="s">
        <v>111</v>
      </c>
      <c r="E39" s="1"/>
      <c r="F39" s="1"/>
      <c r="G39" s="3">
        <v>46237</v>
      </c>
      <c r="H39" s="1" t="s">
        <v>186</v>
      </c>
      <c r="I39" s="6">
        <v>6687.9319999999998</v>
      </c>
      <c r="J39" s="6">
        <v>4272.7</v>
      </c>
      <c r="K39" s="6">
        <v>1776361</v>
      </c>
      <c r="L39" s="6">
        <v>453</v>
      </c>
      <c r="M39" s="6">
        <v>190.57</v>
      </c>
      <c r="N39" s="6">
        <v>1867763.84</v>
      </c>
      <c r="O39" s="6">
        <v>4597175.3600000003</v>
      </c>
      <c r="P39" s="6">
        <v>645594.88</v>
      </c>
      <c r="Q39" s="6">
        <v>8089822.7199999997</v>
      </c>
      <c r="R39" s="6">
        <v>5534853.7599999998</v>
      </c>
      <c r="S39" s="6">
        <v>7360382.7199999997</v>
      </c>
      <c r="T39" s="6">
        <v>42744304.789999999</v>
      </c>
      <c r="U39" s="6">
        <v>2102692.96</v>
      </c>
      <c r="V39" s="6">
        <v>5114972.4800000004</v>
      </c>
      <c r="W39" s="6">
        <v>1592.1007</v>
      </c>
      <c r="X39" s="6">
        <v>773820.48</v>
      </c>
      <c r="Y39" s="6">
        <v>1091266.8799999999</v>
      </c>
      <c r="Z39" s="6">
        <v>2777.8894</v>
      </c>
      <c r="AA39" s="6">
        <v>668355.32799999998</v>
      </c>
      <c r="AB39" s="6">
        <v>421272.44799999997</v>
      </c>
      <c r="AC39" s="6">
        <v>2138680.3199999998</v>
      </c>
      <c r="AD39" s="6">
        <v>4021998.2990000001</v>
      </c>
      <c r="AE39" s="6">
        <v>12801.539199999999</v>
      </c>
      <c r="AF39" s="6">
        <v>874945.21600000001</v>
      </c>
      <c r="AG39" s="6">
        <v>1397.98</v>
      </c>
      <c r="AH39" s="6">
        <v>133358.65599999999</v>
      </c>
      <c r="AI39" s="6">
        <v>14620.379199999999</v>
      </c>
      <c r="AJ39" s="6">
        <v>145365.408</v>
      </c>
      <c r="AK39" s="6">
        <v>105241.424</v>
      </c>
      <c r="AL39" s="6">
        <v>330543.45600000001</v>
      </c>
      <c r="AM39" s="6">
        <v>990.91399999999999</v>
      </c>
      <c r="AN39" s="6">
        <v>292.60000000000002</v>
      </c>
      <c r="AO39" s="6">
        <v>7.8</v>
      </c>
      <c r="AP39" s="6">
        <v>448953</v>
      </c>
      <c r="AQ39" s="6">
        <v>42313</v>
      </c>
      <c r="AR39" s="6">
        <v>41768</v>
      </c>
      <c r="AS39" s="6">
        <v>32380</v>
      </c>
      <c r="AT39" s="6">
        <v>22100</v>
      </c>
      <c r="AU39" s="6">
        <v>15624</v>
      </c>
      <c r="AV39" s="6">
        <v>6419</v>
      </c>
      <c r="AW39" s="6">
        <v>20.920206</v>
      </c>
      <c r="AX39" s="6">
        <v>7240.451</v>
      </c>
      <c r="AY39" s="6">
        <v>678.96024</v>
      </c>
      <c r="AZ39" s="6">
        <v>20.788</v>
      </c>
      <c r="BA39" s="6">
        <v>10388</v>
      </c>
      <c r="BB39" s="6">
        <v>44.780999999999999</v>
      </c>
      <c r="BC39" s="6">
        <v>113989.152</v>
      </c>
      <c r="BD39" s="6">
        <v>275926.97600000002</v>
      </c>
      <c r="BE39" s="6">
        <v>3725.4756000000002</v>
      </c>
      <c r="BF39" s="6">
        <v>1712.0419999999999</v>
      </c>
      <c r="BG39" s="6">
        <v>75.02</v>
      </c>
      <c r="BH39" s="6">
        <v>364.61900000000003</v>
      </c>
      <c r="BI39" s="6">
        <v>915.31399999999996</v>
      </c>
      <c r="BJ39" s="6">
        <v>14.632</v>
      </c>
      <c r="BK39" s="6">
        <v>564.23400000000004</v>
      </c>
      <c r="BL39" s="6">
        <v>72807.923200000005</v>
      </c>
      <c r="BM39" s="6">
        <v>309416.99200000003</v>
      </c>
      <c r="BN39" s="6">
        <v>7193.6751999999997</v>
      </c>
      <c r="BO39" s="6">
        <v>53568.585599999999</v>
      </c>
      <c r="BP39" s="6">
        <v>314340.60800000001</v>
      </c>
      <c r="BQ39" s="6">
        <v>325.36200000000002</v>
      </c>
      <c r="BR39" s="6">
        <v>181.22</v>
      </c>
      <c r="BS39" s="6">
        <v>1011958.5820000001</v>
      </c>
      <c r="BT39" s="6">
        <v>1400619.6850000001</v>
      </c>
      <c r="BU39" s="6">
        <v>629304</v>
      </c>
      <c r="BV39" s="6">
        <v>1022729.44</v>
      </c>
      <c r="BW39" s="6">
        <v>568648.51199999999</v>
      </c>
      <c r="BX39" s="6">
        <v>998485.24800000002</v>
      </c>
      <c r="BY39" s="6">
        <v>157794.704</v>
      </c>
      <c r="BZ39" s="6">
        <v>114354.656</v>
      </c>
      <c r="CA39" s="6">
        <v>1244.3071</v>
      </c>
      <c r="CB39" s="6">
        <v>108718.848</v>
      </c>
      <c r="CC39" s="6">
        <v>150877.20000000001</v>
      </c>
      <c r="CD39" s="6">
        <v>446746.848</v>
      </c>
      <c r="CE39" s="6">
        <v>49125.260799999996</v>
      </c>
      <c r="CF39" s="6">
        <v>155968.76800000001</v>
      </c>
      <c r="CG39" s="6">
        <v>360806.55040000001</v>
      </c>
      <c r="CH39" s="6">
        <v>2385.8710000000001</v>
      </c>
      <c r="CI39" s="6">
        <v>214.523</v>
      </c>
      <c r="CJ39" s="6">
        <v>1191.4000000000001</v>
      </c>
      <c r="CK39" s="6">
        <v>78.159000000000006</v>
      </c>
      <c r="CL39" s="6">
        <v>734.08299999999997</v>
      </c>
      <c r="CM39" s="6">
        <v>551.4</v>
      </c>
      <c r="CN39" s="6">
        <v>45171.1</v>
      </c>
      <c r="CO39" s="6">
        <v>1651.8679999999999</v>
      </c>
      <c r="CP39" s="6">
        <v>294479.12199999997</v>
      </c>
      <c r="CQ39" s="6">
        <v>3685576</v>
      </c>
      <c r="CR39" s="6">
        <v>131342.54399999999</v>
      </c>
      <c r="CS39" s="6">
        <v>514846.81599999999</v>
      </c>
      <c r="CT39" s="6">
        <v>2932735.83</v>
      </c>
      <c r="CU39" s="6">
        <v>299070.27100000001</v>
      </c>
      <c r="CV39" s="6">
        <v>30139.702399999998</v>
      </c>
      <c r="CW39" s="6">
        <v>62922.873599999999</v>
      </c>
      <c r="CX39" s="6">
        <v>33466.092799999999</v>
      </c>
      <c r="CY39" s="6">
        <v>168114.11199999999</v>
      </c>
      <c r="CZ39" s="6">
        <v>218017.66399999999</v>
      </c>
      <c r="DA39" s="6">
        <v>19029.810000000001</v>
      </c>
      <c r="DB39" s="6">
        <v>150287.15900000001</v>
      </c>
      <c r="DC39" s="6">
        <v>3035.87</v>
      </c>
      <c r="DD39" s="6">
        <v>3035.67</v>
      </c>
      <c r="DE39" s="6">
        <v>3062.58</v>
      </c>
      <c r="DF39" s="6">
        <v>0.97899999999999998</v>
      </c>
      <c r="DG39" s="1" t="s">
        <v>272</v>
      </c>
      <c r="DH39" s="4">
        <f>Table2[[#This Row],[Date]]</f>
        <v>46237</v>
      </c>
      <c r="DI39">
        <f>(DD40-Table2[[#This Row],[MWH Total]])*4000</f>
        <v>25799.999999999272</v>
      </c>
      <c r="DJ39">
        <f>(DA40-Table2[[#This Row],[PNG Meter (Outside)]])*2.936</f>
        <v>19.14272000000128</v>
      </c>
      <c r="DK39">
        <f>(DB40-Table2[[#This Row],[PNG Meter (Inside)]])*2.936</f>
        <v>333.41509599996169</v>
      </c>
      <c r="DL39">
        <f>(BH40-Table2[[#This Row],[3F Dough cooler - 2 ]])*1000</f>
        <v>285.99999999994452</v>
      </c>
      <c r="DM39">
        <f>(BI40-Table2[[#This Row],[3F Dough Cooler- 1]])*1000</f>
        <v>479.00000000004184</v>
      </c>
      <c r="DN39">
        <f>(BJ40-Table2[[#This Row],[4F Dough Production cooling Unit]])*1000</f>
        <v>56.000000000000938</v>
      </c>
      <c r="DO39">
        <f>(BQ40-Table2[[#This Row],[3F2 - PDB 3 - Dough Production Area]])*1000</f>
        <v>240.99999999998545</v>
      </c>
      <c r="DP39">
        <f>(BR40-Table2[[#This Row],[3F3 - PDB 4 - Dough Area]])*1000</f>
        <v>120.00000000000455</v>
      </c>
      <c r="DQ39">
        <f>AC40-Table2[[#This Row],[16F1 Tray washer Panel for Light]]</f>
        <v>719.68000000016764</v>
      </c>
      <c r="DR39">
        <f>CQ40-Table2[[#This Row],[2F1 Tray Washer - 1]]</f>
        <v>1308.7999999998137</v>
      </c>
      <c r="DS39">
        <f>CS40-Table2[[#This Row],[2F5 Destacker]]</f>
        <v>286.62400000001071</v>
      </c>
      <c r="DT39">
        <f>CU40-Table2[[#This Row],[5F1 Metering (TW-2)]]</f>
        <v>296.88500000000931</v>
      </c>
      <c r="DU39">
        <f>CV40-Table2[[#This Row],[6F1 Pre soaker Tray washer]]</f>
        <v>3.2000000028347131E-3</v>
      </c>
      <c r="DV39">
        <f>CZ40-Table2[[#This Row],[6F5 Vent tray Storage]]</f>
        <v>98.768000000010943</v>
      </c>
      <c r="DW39">
        <f>I40-Table2[[#This Row],[Popeyes Meter ]]</f>
        <v>67.75</v>
      </c>
      <c r="DX39">
        <f>AZ40-Table2[[#This Row],[2F WH Chiller, Segregation Area]]</f>
        <v>0</v>
      </c>
      <c r="DY39">
        <f>BA40-Table2[[#This Row],[3F1 AC Unit WH dock cooling - 2 Nos]]</f>
        <v>19</v>
      </c>
      <c r="DZ39">
        <f>BB40-Table2[[#This Row],[3F2 AC Unit WH dock cooling - 3 Nos]]</f>
        <v>4.5999999999999375E-2</v>
      </c>
      <c r="EA39">
        <f>(BK40-Table2[[#This Row],[5F WH Perishable]])*1000</f>
        <v>285.99999999994452</v>
      </c>
      <c r="EB39">
        <f>BN40-Table2[[#This Row],[2F3 - PDB 9 - WH Dock Leveler Door ]]</f>
        <v>1.9832000000005792</v>
      </c>
      <c r="EC39">
        <f>BP40-Table2[[#This Row],[3F1 - PDB 5 - WH HSD]]</f>
        <v>119.58399999997346</v>
      </c>
      <c r="ED39">
        <f>BX40-Table2[[#This Row],[8F1 WH Dock AHU - Ventilation]]</f>
        <v>2295.951999999932</v>
      </c>
      <c r="EE39">
        <f>BZ40-Table2[[#This Row],[8F3 ACPDB - 4 WH Dock air curtain]]</f>
        <v>18.207999999998719</v>
      </c>
      <c r="EF39">
        <f>CA40-Table2[[#This Row],[8F4 WH Light]]</f>
        <v>2.1999999999934516E-2</v>
      </c>
      <c r="EG39">
        <f>CC40-Table2[[#This Row],[9F1 - PDB 10 - WH Dock door &amp; Office]]</f>
        <v>152.8640000000014</v>
      </c>
      <c r="EH39">
        <f>CD40-Table2[[#This Row],[9F2 - PDB 11 - WH flycatchers]]</f>
        <v>258.14400000002934</v>
      </c>
      <c r="EI39">
        <f>CE40-Table2[[#This Row],[9F3 - PDB 12 - Other items]]</f>
        <v>0</v>
      </c>
      <c r="EJ39">
        <f>CR40-Table2[[#This Row],[2F3 - PDB 1 - Dock 1 to 4 ]]</f>
        <v>76.535999999992782</v>
      </c>
      <c r="EK39">
        <f>BM40-Table2[[#This Row],[2F2 - PDB 3 - WH Truck &amp; Battery Charging]]</f>
        <v>535.4879999999539</v>
      </c>
      <c r="EL39">
        <f>(CK40-Table2[[#This Row],[PDB - 11 Truck Charging]])*1000</f>
        <v>62.999999999988177</v>
      </c>
      <c r="EM39">
        <f>P40-Table2[[#This Row],[5F3 Admin Area]]</f>
        <v>381.69599999999627</v>
      </c>
      <c r="EN39">
        <f>AH40-Table2[[#This Row],[2F5 Main Gate-1 Piller -1]]</f>
        <v>105.57600000000093</v>
      </c>
      <c r="EO39">
        <f>CW40-Table2[[#This Row],[6F2 Ground Floor AC]]</f>
        <v>30.604800000000978</v>
      </c>
      <c r="EP39">
        <f>CX40-Table2[[#This Row],[6F3 ACBD -1 (First floor AC)]]</f>
        <v>0</v>
      </c>
      <c r="EQ39">
        <f>CY40-Table2[[#This Row],[6F4 ACBD - 2 (Second &amp; Third floor AC)]]</f>
        <v>136</v>
      </c>
      <c r="ER39">
        <f>(BC40-Table2[[#This Row],[4F Old BMC cooling Unit]])</f>
        <v>0</v>
      </c>
      <c r="ES39">
        <f>BO40-Table2[[#This Row],[2F4 - Old BMC]]</f>
        <v>2.3680000000022119</v>
      </c>
      <c r="ET39">
        <f>Y40-Table2[[#This Row],[14F2 New CK]]</f>
        <v>1538.2400000002235</v>
      </c>
      <c r="EU39">
        <f>(CL40-Table2[[#This Row],[OLD Ck Panel-1]])*1000</f>
        <v>176.00000000004457</v>
      </c>
      <c r="EV39">
        <f>CM40-Table2[[#This Row],[2F4 Old CK Blast (Blue star)]]</f>
        <v>0</v>
      </c>
      <c r="EW39">
        <f>CN40-Table2[[#This Row],[3F6 Old CK Blast (Carrier)]]</f>
        <v>8</v>
      </c>
      <c r="EX39">
        <f>(CO40-Table2[[#This Row],[Old CK Panel -2]])*1000</f>
        <v>878.00000000015643</v>
      </c>
      <c r="EY39">
        <f>N40-Table2[[#This Row],[4F1 Main UPS 1/C -1]]</f>
        <v>924.95999999996275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32.000000000010687</v>
      </c>
      <c r="FC39">
        <f>BW40-Table2[[#This Row],[7F3 CLC Power Panel]]</f>
        <v>326.46400000003632</v>
      </c>
      <c r="FD39">
        <f>(CI40-Table2[[#This Row],[PDB - 17 CLC Section ]])*1000</f>
        <v>227.00000000000387</v>
      </c>
      <c r="FE39">
        <f>(W40-Table2[[#This Row],[13F3 Water &amp; Lift Old CK]])*1000</f>
        <v>412.00000000003456</v>
      </c>
      <c r="FF39">
        <f>AA40-Table2[[#This Row],[15F2 New ETP Panel]]</f>
        <v>364.54399999999441</v>
      </c>
      <c r="FG39">
        <f>AL40-Table2[[#This Row],[3F4 Old ETP Panel]]</f>
        <v>64.415999999968335</v>
      </c>
      <c r="FH39">
        <f>AF40-Table2[[#This Row],[2F1 RO Plant]]</f>
        <v>534.01599999994505</v>
      </c>
      <c r="FI39">
        <f>AK40-Table2[[#This Row],[3F3 Fire Hydrant Panel]]</f>
        <v>10.576000000000931</v>
      </c>
      <c r="FJ39">
        <f>R40-Table2[[#This Row],[7F1 Freon System Panel]]</f>
        <v>5775.3600000003353</v>
      </c>
      <c r="FK39">
        <f>(AE40-Table2[[#This Row],[21F1 Refrigeration Ammonia]])*1000</f>
        <v>6941.6000000001077</v>
      </c>
      <c r="FL39">
        <f>(AG40-Table2[[#This Row],[2F3 Air Compressor]])*1000</f>
        <v>1009.9999999999909</v>
      </c>
      <c r="FM39">
        <f>(AX40-Table2[[#This Row],[Solar Reading Panel II]])*1000</f>
        <v>2028.9999999995416</v>
      </c>
      <c r="FN39">
        <f>AI40-Table2[[#This Row],[3F1 Maintenance Workshop]]</f>
        <v>4.3712000000014086</v>
      </c>
      <c r="FO39">
        <f>BD40-Table2[[#This Row],[4F B2B unit ]]</f>
        <v>66.783999999985099</v>
      </c>
      <c r="FP39">
        <f>BL40-Table2[[#This Row],[2F1 - PDB 6 - Bread, B2B section]]</f>
        <v>135.46880000000237</v>
      </c>
      <c r="FQ39">
        <f>(CG40-Table2[[#This Row],[9F5 - PDB 14 - Bread Lift]])</f>
        <v>0.59840000001713634</v>
      </c>
      <c r="FR39">
        <f>CJ40-Table2[[#This Row],[PDB - 16 Bread Section]]</f>
        <v>0</v>
      </c>
      <c r="FS39">
        <f>BU40-Table2[[#This Row],[7F1 Donut Production area]]</f>
        <v>250.68799999996554</v>
      </c>
      <c r="FT39">
        <f>CB40-Table2[[#This Row],[8F5 Donut Ban Bary]]</f>
        <v>64.487999999997555</v>
      </c>
      <c r="FU39">
        <f>CF40-Table2[[#This Row],[9F4 - PDB 13 - Donut Sink Geyser area]]</f>
        <v>26.095999999990454</v>
      </c>
      <c r="FV39">
        <f>BV40-Table2[[#This Row],[7F2 Flour Silo]]</f>
        <v>484.64000000001397</v>
      </c>
      <c r="FW39">
        <f>BY40-Table2[[#This Row],[8F2 ACPDB - 3 SILO Ventilation]]</f>
        <v>48.144000000000233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>
        <v>50</v>
      </c>
      <c r="B40" s="2">
        <v>46238.395335648151</v>
      </c>
      <c r="C40" s="2">
        <v>46238.441006944442</v>
      </c>
      <c r="D40" s="1" t="s">
        <v>111</v>
      </c>
      <c r="E40" s="1"/>
      <c r="F40" s="1"/>
      <c r="G40" s="3">
        <v>46238</v>
      </c>
      <c r="H40" s="1" t="s">
        <v>186</v>
      </c>
      <c r="I40" s="6">
        <v>6755.6819999999998</v>
      </c>
      <c r="J40" s="6">
        <v>4272.7</v>
      </c>
      <c r="K40" s="6">
        <v>1776361</v>
      </c>
      <c r="L40" s="6">
        <v>453</v>
      </c>
      <c r="M40" s="6">
        <v>190.57</v>
      </c>
      <c r="N40" s="6">
        <v>1868688.8</v>
      </c>
      <c r="O40" s="6">
        <v>4598792.96</v>
      </c>
      <c r="P40" s="6">
        <v>645976.576</v>
      </c>
      <c r="Q40" s="6">
        <v>8091911.04</v>
      </c>
      <c r="R40" s="6">
        <v>5540629.1200000001</v>
      </c>
      <c r="S40" s="6">
        <v>7363605.7599999998</v>
      </c>
      <c r="T40" s="6">
        <v>43200508.241999999</v>
      </c>
      <c r="U40" s="6">
        <v>2103936.96</v>
      </c>
      <c r="V40" s="6">
        <v>5116617.5999999996</v>
      </c>
      <c r="W40" s="6">
        <v>1592.5127</v>
      </c>
      <c r="X40" s="6">
        <v>774116.16</v>
      </c>
      <c r="Y40" s="6">
        <v>1092805.1200000001</v>
      </c>
      <c r="Z40" s="6">
        <v>2777.8894</v>
      </c>
      <c r="AA40" s="6">
        <v>668719.87199999997</v>
      </c>
      <c r="AB40" s="6">
        <v>421285.21600000001</v>
      </c>
      <c r="AC40" s="6">
        <v>2139400</v>
      </c>
      <c r="AD40" s="6">
        <v>2653008.0950000002</v>
      </c>
      <c r="AE40" s="6">
        <v>12808.480799999999</v>
      </c>
      <c r="AF40" s="6">
        <v>875479.23199999996</v>
      </c>
      <c r="AG40" s="6">
        <v>1398.99</v>
      </c>
      <c r="AH40" s="6">
        <v>133464.23199999999</v>
      </c>
      <c r="AI40" s="6">
        <v>14624.750400000001</v>
      </c>
      <c r="AJ40" s="6">
        <v>145369.424</v>
      </c>
      <c r="AK40" s="6">
        <v>105252</v>
      </c>
      <c r="AL40" s="6">
        <v>330607.87199999997</v>
      </c>
      <c r="AM40" s="6">
        <v>991.45299999999997</v>
      </c>
      <c r="AN40" s="6">
        <v>284.2</v>
      </c>
      <c r="AO40" s="6">
        <v>7.7</v>
      </c>
      <c r="AP40" s="6">
        <v>456787</v>
      </c>
      <c r="AQ40" s="6">
        <v>42313</v>
      </c>
      <c r="AR40" s="6">
        <v>41768</v>
      </c>
      <c r="AS40" s="6">
        <v>32390</v>
      </c>
      <c r="AT40" s="6">
        <v>22105</v>
      </c>
      <c r="AU40" s="6">
        <v>15647</v>
      </c>
      <c r="AV40" s="6">
        <v>6432</v>
      </c>
      <c r="AW40" s="6">
        <v>20.926932000000001</v>
      </c>
      <c r="AX40" s="6">
        <v>7242.48</v>
      </c>
      <c r="AY40" s="6">
        <v>679.10303999999996</v>
      </c>
      <c r="AZ40" s="6">
        <v>20.788</v>
      </c>
      <c r="BA40" s="6">
        <v>10407</v>
      </c>
      <c r="BB40" s="6">
        <v>44.826999999999998</v>
      </c>
      <c r="BC40" s="6">
        <v>113989.152</v>
      </c>
      <c r="BD40" s="6">
        <v>275993.76</v>
      </c>
      <c r="BE40" s="6">
        <v>3726.6747999999998</v>
      </c>
      <c r="BF40" s="6">
        <v>1712.0419999999999</v>
      </c>
      <c r="BG40" s="6">
        <v>75.052000000000007</v>
      </c>
      <c r="BH40" s="6">
        <v>364.90499999999997</v>
      </c>
      <c r="BI40" s="6">
        <v>915.79300000000001</v>
      </c>
      <c r="BJ40" s="6">
        <v>14.688000000000001</v>
      </c>
      <c r="BK40" s="6">
        <v>564.52</v>
      </c>
      <c r="BL40" s="6">
        <v>72943.392000000007</v>
      </c>
      <c r="BM40" s="6">
        <v>309952.48</v>
      </c>
      <c r="BN40" s="6">
        <v>7195.6584000000003</v>
      </c>
      <c r="BO40" s="6">
        <v>53570.953600000001</v>
      </c>
      <c r="BP40" s="6">
        <v>314460.19199999998</v>
      </c>
      <c r="BQ40" s="6">
        <v>325.60300000000001</v>
      </c>
      <c r="BR40" s="6">
        <v>181.34</v>
      </c>
      <c r="BS40" s="6">
        <v>1013192.048</v>
      </c>
      <c r="BT40" s="6">
        <v>1400620.507</v>
      </c>
      <c r="BU40" s="6">
        <v>629554.68799999997</v>
      </c>
      <c r="BV40" s="6">
        <v>1023214.08</v>
      </c>
      <c r="BW40" s="6">
        <v>568974.97600000002</v>
      </c>
      <c r="BX40" s="6">
        <v>1000781.2</v>
      </c>
      <c r="BY40" s="6">
        <v>157842.848</v>
      </c>
      <c r="BZ40" s="6">
        <v>114372.864</v>
      </c>
      <c r="CA40" s="6">
        <v>1244.3290999999999</v>
      </c>
      <c r="CB40" s="6">
        <v>108783.336</v>
      </c>
      <c r="CC40" s="6">
        <v>151030.06400000001</v>
      </c>
      <c r="CD40" s="6">
        <v>447004.99200000003</v>
      </c>
      <c r="CE40" s="6">
        <v>49125.260799999996</v>
      </c>
      <c r="CF40" s="6">
        <v>155994.864</v>
      </c>
      <c r="CG40" s="6">
        <v>360807.14880000002</v>
      </c>
      <c r="CH40" s="6">
        <v>2385.8710000000001</v>
      </c>
      <c r="CI40" s="6">
        <v>214.75</v>
      </c>
      <c r="CJ40" s="6">
        <v>1191.4000000000001</v>
      </c>
      <c r="CK40" s="6">
        <v>78.221999999999994</v>
      </c>
      <c r="CL40" s="6">
        <v>734.25900000000001</v>
      </c>
      <c r="CM40" s="6">
        <v>551.4</v>
      </c>
      <c r="CN40" s="6">
        <v>45179.1</v>
      </c>
      <c r="CO40" s="6">
        <v>1652.7460000000001</v>
      </c>
      <c r="CP40" s="6">
        <v>294629.06400000001</v>
      </c>
      <c r="CQ40" s="6">
        <v>3686884.8</v>
      </c>
      <c r="CR40" s="6">
        <v>131419.07999999999</v>
      </c>
      <c r="CS40" s="6">
        <v>515133.44</v>
      </c>
      <c r="CT40" s="6">
        <v>2936032.1779999998</v>
      </c>
      <c r="CU40" s="6">
        <v>299367.15600000002</v>
      </c>
      <c r="CV40" s="6">
        <v>30139.705600000001</v>
      </c>
      <c r="CW40" s="6">
        <v>62953.4784</v>
      </c>
      <c r="CX40" s="6">
        <v>33466.092799999999</v>
      </c>
      <c r="CY40" s="6">
        <v>168250.11199999999</v>
      </c>
      <c r="CZ40" s="6">
        <v>218116.432</v>
      </c>
      <c r="DA40" s="6">
        <v>19036.330000000002</v>
      </c>
      <c r="DB40" s="6">
        <v>150400.72</v>
      </c>
      <c r="DC40" s="6">
        <v>3042.25</v>
      </c>
      <c r="DD40" s="6">
        <v>3042.12</v>
      </c>
      <c r="DE40" s="6">
        <v>3069.26</v>
      </c>
      <c r="DF40" s="6">
        <v>0.97799999999999998</v>
      </c>
      <c r="DG40" s="1" t="s">
        <v>245</v>
      </c>
      <c r="DH40" s="4">
        <f>Table2[[#This Row],[Date]]</f>
        <v>46238</v>
      </c>
      <c r="DI40">
        <f>(DD41-Table2[[#This Row],[MWH Total]])*4000</f>
        <v>25040.000000000873</v>
      </c>
      <c r="DJ40">
        <f>(DA41-Table2[[#This Row],[PNG Meter (Outside)]])*2.936</f>
        <v>-55890.664880000004</v>
      </c>
      <c r="DK40">
        <f>(DB41-Table2[[#This Row],[PNG Meter (Inside)]])*2.936</f>
        <v>371.6095200000205</v>
      </c>
      <c r="DL40">
        <f>(BH41-Table2[[#This Row],[3F Dough cooler - 2 ]])*1000</f>
        <v>429.00000000003047</v>
      </c>
      <c r="DM40">
        <f>(BI41-Table2[[#This Row],[3F Dough Cooler- 1]])*1000</f>
        <v>462.99999999996544</v>
      </c>
      <c r="DN40">
        <f>(BJ41-Table2[[#This Row],[4F Dough Production cooling Unit]])*1000</f>
        <v>54.00000000000027</v>
      </c>
      <c r="DO40">
        <f>(BQ41-Table2[[#This Row],[3F2 - PDB 3 - Dough Production Area]])*1000</f>
        <v>211.99999999998909</v>
      </c>
      <c r="DP40">
        <f>(BR41-Table2[[#This Row],[3F3 - PDB 4 - Dough Area]])*1000</f>
        <v>106.99999999999932</v>
      </c>
      <c r="DQ40">
        <f>AC41-Table2[[#This Row],[16F1 Tray washer Panel for Light]]</f>
        <v>712.31999999983236</v>
      </c>
      <c r="DR40">
        <f>CQ41-Table2[[#This Row],[2F1 Tray Washer - 1]]</f>
        <v>1233.9200000003912</v>
      </c>
      <c r="DS40">
        <f>CS41-Table2[[#This Row],[2F5 Destacker]]</f>
        <v>267.58399999997346</v>
      </c>
      <c r="DT40">
        <f>CU41-Table2[[#This Row],[5F1 Metering (TW-2)]]</f>
        <v>255.01899999997113</v>
      </c>
      <c r="DU40">
        <f>CV41-Table2[[#This Row],[6F1 Pre soaker Tray washer]]</f>
        <v>6.3999999983934686E-3</v>
      </c>
      <c r="DV40">
        <f>CZ41-Table2[[#This Row],[6F5 Vent tray Storage]]</f>
        <v>1076.8960000000079</v>
      </c>
      <c r="DW40">
        <f>I41-Table2[[#This Row],[Popeyes Meter ]]</f>
        <v>41.159999999999854</v>
      </c>
      <c r="DX40">
        <f>AZ41-Table2[[#This Row],[2F WH Chiller, Segregation Area]]</f>
        <v>0</v>
      </c>
      <c r="DY40">
        <f>BA41-Table2[[#This Row],[3F1 AC Unit WH dock cooling - 2 Nos]]</f>
        <v>19</v>
      </c>
      <c r="DZ40">
        <f>BB41-Table2[[#This Row],[3F2 AC Unit WH dock cooling - 3 Nos]]</f>
        <v>4.8999999999999488E-2</v>
      </c>
      <c r="EA40">
        <f>(BK41-Table2[[#This Row],[5F WH Perishable]])*1000</f>
        <v>274.99999999997726</v>
      </c>
      <c r="EB40">
        <f>BN41-Table2[[#This Row],[2F3 - PDB 9 - WH Dock Leveler Door ]]</f>
        <v>1.1279999999997017</v>
      </c>
      <c r="EC40">
        <f>BP41-Table2[[#This Row],[3F1 - PDB 5 - WH HSD]]</f>
        <v>119.52000000001863</v>
      </c>
      <c r="ED40">
        <f>BX41-Table2[[#This Row],[8F1 WH Dock AHU - Ventilation]]</f>
        <v>2308.4000000000233</v>
      </c>
      <c r="EE40">
        <f>BZ41-Table2[[#This Row],[8F3 ACPDB - 4 WH Dock air curtain]]</f>
        <v>1.6879999999946449</v>
      </c>
      <c r="EF40">
        <f>CA41-Table2[[#This Row],[8F4 WH Light]]</f>
        <v>9.3000000001666194E-3</v>
      </c>
      <c r="EG40">
        <f>CC41-Table2[[#This Row],[9F1 - PDB 10 - WH Dock door &amp; Office]]</f>
        <v>137.59999999997672</v>
      </c>
      <c r="EH40">
        <f>CD41-Table2[[#This Row],[9F2 - PDB 11 - WH flycatchers]]</f>
        <v>164.31999999994878</v>
      </c>
      <c r="EI40">
        <f>CE41-Table2[[#This Row],[9F3 - PDB 12 - Other items]]</f>
        <v>0</v>
      </c>
      <c r="EJ40">
        <f>CR41-Table2[[#This Row],[2F3 - PDB 1 - Dock 1 to 4 ]]</f>
        <v>66.080000000016298</v>
      </c>
      <c r="EK40">
        <f>BM41-Table2[[#This Row],[2F2 - PDB 3 - WH Truck &amp; Battery Charging]]</f>
        <v>365.76000000000931</v>
      </c>
      <c r="EL40">
        <f>(CK41-Table2[[#This Row],[PDB - 11 Truck Charging]])*1000</f>
        <v>27.000000000001023</v>
      </c>
      <c r="EM40">
        <f>P41-Table2[[#This Row],[5F3 Admin Area]]</f>
        <v>385.40800000005402</v>
      </c>
      <c r="EN40">
        <f>AH41-Table2[[#This Row],[2F5 Main Gate-1 Piller -1]]</f>
        <v>104.16000000000349</v>
      </c>
      <c r="EO40">
        <f>CW41-Table2[[#This Row],[6F2 Ground Floor AC]]</f>
        <v>25.247999999999593</v>
      </c>
      <c r="EP40">
        <f>CX41-Table2[[#This Row],[6F3 ACBD -1 (First floor AC)]]</f>
        <v>0</v>
      </c>
      <c r="EQ40">
        <f>CY41-Table2[[#This Row],[6F4 ACBD - 2 (Second &amp; Third floor AC)]]</f>
        <v>126.84799999999814</v>
      </c>
      <c r="ER40">
        <f>(BC41-Table2[[#This Row],[4F Old BMC cooling Unit]])</f>
        <v>0</v>
      </c>
      <c r="ES40">
        <f>BO41-Table2[[#This Row],[2F4 - Old BMC]]</f>
        <v>3.6416000000026543</v>
      </c>
      <c r="ET40">
        <f>Y41-Table2[[#This Row],[14F2 New CK]]</f>
        <v>1641.9199999999255</v>
      </c>
      <c r="EU40">
        <f>(CL41-Table2[[#This Row],[OLD Ck Panel-1]])*1000</f>
        <v>662.00000000003456</v>
      </c>
      <c r="EV40">
        <f>CM41-Table2[[#This Row],[2F4 Old CK Blast (Blue star)]]</f>
        <v>0</v>
      </c>
      <c r="EW40">
        <f>CN41-Table2[[#This Row],[3F6 Old CK Blast (Carrier)]]</f>
        <v>518.70000000000437</v>
      </c>
      <c r="EX40">
        <f>(CO41-Table2[[#This Row],[Old CK Panel -2]])*1000</f>
        <v>833.99999999983265</v>
      </c>
      <c r="EY40">
        <f>N41-Table2[[#This Row],[4F1 Main UPS 1/C -1]]</f>
        <v>941.76000000000931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32.99999999998704</v>
      </c>
      <c r="FC40">
        <f>BW41-Table2[[#This Row],[7F3 CLC Power Panel]]</f>
        <v>261.31199999991804</v>
      </c>
      <c r="FD40">
        <f>(CI41-Table2[[#This Row],[PDB - 17 CLC Section ]])*1000</f>
        <v>168.00000000000637</v>
      </c>
      <c r="FE40">
        <f>(W41-Table2[[#This Row],[13F3 Water &amp; Lift Old CK]])*1000</f>
        <v>553.49999999998545</v>
      </c>
      <c r="FF40">
        <f>AA41-Table2[[#This Row],[15F2 New ETP Panel]]</f>
        <v>332.28800000005867</v>
      </c>
      <c r="FG40">
        <f>AL41-Table2[[#This Row],[3F4 Old ETP Panel]]</f>
        <v>76.672000000020489</v>
      </c>
      <c r="FH40">
        <f>AF41-Table2[[#This Row],[2F1 RO Plant]]</f>
        <v>562.36800000001676</v>
      </c>
      <c r="FI40">
        <f>AK41-Table2[[#This Row],[3F3 Fire Hydrant Panel]]</f>
        <v>10.639999999999418</v>
      </c>
      <c r="FJ40">
        <f>R41-Table2[[#This Row],[7F1 Freon System Panel]]</f>
        <v>5783.679999999702</v>
      </c>
      <c r="FK40">
        <f>(AE41-Table2[[#This Row],[21F1 Refrigeration Ammonia]])*1000</f>
        <v>6905.6000000000495</v>
      </c>
      <c r="FL40">
        <f>(AG41-Table2[[#This Row],[2F3 Air Compressor]])*1000</f>
        <v>1257.0000000000618</v>
      </c>
      <c r="FM40">
        <f>(AX41-Table2[[#This Row],[Solar Reading Panel II]])*1000</f>
        <v>1737.00000000008</v>
      </c>
      <c r="FN40">
        <f>AI41-Table2[[#This Row],[3F1 Maintenance Workshop]]</f>
        <v>6.3663999999989755</v>
      </c>
      <c r="FO40">
        <f>BD41-Table2[[#This Row],[4F B2B unit ]]</f>
        <v>70.399999999965075</v>
      </c>
      <c r="FP40">
        <f>BL41-Table2[[#This Row],[2F1 - PDB 6 - Bread, B2B section]]</f>
        <v>181.56159999998636</v>
      </c>
      <c r="FQ40">
        <f>(CG41-Table2[[#This Row],[9F5 - PDB 14 - Bread Lift]])</f>
        <v>0.56959999998798594</v>
      </c>
      <c r="FR40">
        <f>CJ41-Table2[[#This Row],[PDB - 16 Bread Section]]</f>
        <v>9.9999999999909051E-2</v>
      </c>
      <c r="FS40">
        <f>BU41-Table2[[#This Row],[7F1 Donut Production area]]</f>
        <v>201.40800000005402</v>
      </c>
      <c r="FT40">
        <f>CB41-Table2[[#This Row],[8F5 Donut Ban Bary]]</f>
        <v>44.648000000001048</v>
      </c>
      <c r="FU40">
        <f>CF41-Table2[[#This Row],[9F4 - PDB 13 - Donut Sink Geyser area]]</f>
        <v>25.215999999985797</v>
      </c>
      <c r="FV40">
        <f>BV41-Table2[[#This Row],[7F2 Flour Silo]]</f>
        <v>647.11999999999534</v>
      </c>
      <c r="FW40">
        <f>BY41-Table2[[#This Row],[8F2 ACPDB - 3 SILO Ventilation]]</f>
        <v>48.511999999987893</v>
      </c>
      <c r="FX40">
        <f>J41-Table2[[#This Row],[DG 1010KVA Running Hours]]</f>
        <v>1.5</v>
      </c>
      <c r="FY40">
        <f>K41-Table2[[#This Row],[DG 1010 KVA Meter Reading]]</f>
        <v>512</v>
      </c>
      <c r="FZ40">
        <f>L41-Table2[[#This Row],[GG 1010 KVA Running Hours]]</f>
        <v>1</v>
      </c>
      <c r="GA40">
        <f>M41-Table2[[#This Row],[GG 1010 KVA Meter Reading]]</f>
        <v>0.56000000000000227</v>
      </c>
    </row>
    <row r="41" spans="1:183" x14ac:dyDescent="0.35">
      <c r="A41" s="1">
        <v>51</v>
      </c>
      <c r="B41" s="2">
        <v>46239.397199074076</v>
      </c>
      <c r="C41" s="2">
        <v>46239.457268518519</v>
      </c>
      <c r="D41" s="1" t="s">
        <v>111</v>
      </c>
      <c r="E41" s="1"/>
      <c r="F41" s="1"/>
      <c r="G41" s="3">
        <v>46239</v>
      </c>
      <c r="H41" s="1" t="s">
        <v>186</v>
      </c>
      <c r="I41" s="6">
        <v>6796.8419999999996</v>
      </c>
      <c r="J41" s="6">
        <v>4274.2</v>
      </c>
      <c r="K41" s="6">
        <v>1776873</v>
      </c>
      <c r="L41" s="6">
        <v>454</v>
      </c>
      <c r="M41" s="6">
        <v>191.13</v>
      </c>
      <c r="N41" s="6">
        <v>1869630.56</v>
      </c>
      <c r="O41" s="6">
        <v>4600708.4800000004</v>
      </c>
      <c r="P41" s="6">
        <v>646361.98400000005</v>
      </c>
      <c r="Q41" s="6">
        <v>8094778.2400000002</v>
      </c>
      <c r="R41" s="6">
        <v>5546412.7999999998</v>
      </c>
      <c r="S41" s="6">
        <v>7366694.4000000004</v>
      </c>
      <c r="T41" s="6">
        <v>370483.43599999999</v>
      </c>
      <c r="U41" s="6">
        <v>2105089.7599999998</v>
      </c>
      <c r="V41" s="6">
        <v>5118390.08</v>
      </c>
      <c r="W41" s="6">
        <v>1593.0662</v>
      </c>
      <c r="X41" s="6">
        <v>774375.74399999995</v>
      </c>
      <c r="Y41" s="6">
        <v>1094447.04</v>
      </c>
      <c r="Z41" s="6">
        <v>2777.8894</v>
      </c>
      <c r="AA41" s="6">
        <v>669052.16000000003</v>
      </c>
      <c r="AB41" s="6">
        <v>421297.53600000002</v>
      </c>
      <c r="AC41" s="6">
        <v>2140112.3199999998</v>
      </c>
      <c r="AD41" s="6">
        <v>4050811.96</v>
      </c>
      <c r="AE41" s="6">
        <v>12815.386399999999</v>
      </c>
      <c r="AF41" s="6">
        <v>876041.6</v>
      </c>
      <c r="AG41" s="6">
        <v>1400.2470000000001</v>
      </c>
      <c r="AH41" s="6">
        <v>133568.39199999999</v>
      </c>
      <c r="AI41" s="6">
        <v>14631.1168</v>
      </c>
      <c r="AJ41" s="6">
        <v>145371.05600000001</v>
      </c>
      <c r="AK41" s="6">
        <v>105262.64</v>
      </c>
      <c r="AL41" s="6">
        <v>330684.54399999999</v>
      </c>
      <c r="AM41" s="6">
        <v>992.03300000000002</v>
      </c>
      <c r="AN41" s="6">
        <v>287.60000000000002</v>
      </c>
      <c r="AO41" s="6">
        <v>7.2</v>
      </c>
      <c r="AP41" s="6">
        <v>467276</v>
      </c>
      <c r="AQ41" s="6">
        <v>42329</v>
      </c>
      <c r="AR41" s="6">
        <v>41785</v>
      </c>
      <c r="AS41" s="6">
        <v>32390</v>
      </c>
      <c r="AT41" s="6">
        <v>22105</v>
      </c>
      <c r="AU41" s="6">
        <v>15671</v>
      </c>
      <c r="AV41" s="6">
        <v>6447</v>
      </c>
      <c r="AW41" s="6">
        <v>20.933603999999999</v>
      </c>
      <c r="AX41" s="6">
        <v>7244.2169999999996</v>
      </c>
      <c r="AY41" s="6">
        <v>679.25216</v>
      </c>
      <c r="AZ41" s="6">
        <v>20.788</v>
      </c>
      <c r="BA41" s="6">
        <v>10426</v>
      </c>
      <c r="BB41" s="6">
        <v>44.875999999999998</v>
      </c>
      <c r="BC41" s="6">
        <v>113989.152</v>
      </c>
      <c r="BD41" s="6">
        <v>276064.15999999997</v>
      </c>
      <c r="BE41" s="6">
        <v>3727.9828000000002</v>
      </c>
      <c r="BF41" s="6">
        <v>1712.0419999999999</v>
      </c>
      <c r="BG41" s="6">
        <v>75.084999999999994</v>
      </c>
      <c r="BH41" s="6">
        <v>365.334</v>
      </c>
      <c r="BI41" s="6">
        <v>916.25599999999997</v>
      </c>
      <c r="BJ41" s="6">
        <v>14.742000000000001</v>
      </c>
      <c r="BK41" s="6">
        <v>564.79499999999996</v>
      </c>
      <c r="BL41" s="6">
        <v>73124.953599999993</v>
      </c>
      <c r="BM41" s="6">
        <v>310318.24</v>
      </c>
      <c r="BN41" s="6">
        <v>7196.7864</v>
      </c>
      <c r="BO41" s="6">
        <v>53574.595200000003</v>
      </c>
      <c r="BP41" s="6">
        <v>314579.712</v>
      </c>
      <c r="BQ41" s="6">
        <v>325.815</v>
      </c>
      <c r="BR41" s="6">
        <v>181.447</v>
      </c>
      <c r="BS41" s="6">
        <v>1014306.808</v>
      </c>
      <c r="BT41" s="6">
        <v>1400620.5379999999</v>
      </c>
      <c r="BU41" s="6">
        <v>629756.09600000002</v>
      </c>
      <c r="BV41" s="6">
        <v>1023861.2</v>
      </c>
      <c r="BW41" s="6">
        <v>569236.28799999994</v>
      </c>
      <c r="BX41" s="6">
        <v>1003089.6</v>
      </c>
      <c r="BY41" s="6">
        <v>157891.35999999999</v>
      </c>
      <c r="BZ41" s="6">
        <v>114374.552</v>
      </c>
      <c r="CA41" s="6">
        <v>1244.3384000000001</v>
      </c>
      <c r="CB41" s="6">
        <v>108827.984</v>
      </c>
      <c r="CC41" s="6">
        <v>151167.66399999999</v>
      </c>
      <c r="CD41" s="6">
        <v>447169.31199999998</v>
      </c>
      <c r="CE41" s="6">
        <v>49125.260799999996</v>
      </c>
      <c r="CF41" s="6">
        <v>156020.07999999999</v>
      </c>
      <c r="CG41" s="6">
        <v>360807.71840000001</v>
      </c>
      <c r="CH41" s="6">
        <v>2385.8710000000001</v>
      </c>
      <c r="CI41" s="6">
        <v>214.91800000000001</v>
      </c>
      <c r="CJ41" s="6">
        <v>1191.5</v>
      </c>
      <c r="CK41" s="6">
        <v>78.248999999999995</v>
      </c>
      <c r="CL41" s="6">
        <v>734.92100000000005</v>
      </c>
      <c r="CM41" s="6">
        <v>551.4</v>
      </c>
      <c r="CN41" s="6">
        <v>45697.8</v>
      </c>
      <c r="CO41" s="6">
        <v>1653.58</v>
      </c>
      <c r="CP41" s="6">
        <v>294770.81400000001</v>
      </c>
      <c r="CQ41" s="6">
        <v>3688118.72</v>
      </c>
      <c r="CR41" s="6">
        <v>131485.16</v>
      </c>
      <c r="CS41" s="6">
        <v>515401.02399999998</v>
      </c>
      <c r="CT41" s="6">
        <v>2939149.6609999998</v>
      </c>
      <c r="CU41" s="6">
        <v>299622.17499999999</v>
      </c>
      <c r="CV41" s="6">
        <v>30139.712</v>
      </c>
      <c r="CW41" s="6">
        <v>62978.7264</v>
      </c>
      <c r="CX41" s="6">
        <v>33466.092799999999</v>
      </c>
      <c r="CY41" s="6">
        <v>168376.95999999999</v>
      </c>
      <c r="CZ41" s="6">
        <v>219193.32800000001</v>
      </c>
      <c r="DA41" s="6">
        <v>0</v>
      </c>
      <c r="DB41" s="6">
        <v>150527.29</v>
      </c>
      <c r="DC41" s="6">
        <v>3048.48</v>
      </c>
      <c r="DD41" s="6">
        <v>3048.38</v>
      </c>
      <c r="DE41" s="6">
        <v>3075.6</v>
      </c>
      <c r="DF41" s="6">
        <v>0.99199999999999999</v>
      </c>
      <c r="DG41" s="1" t="s">
        <v>273</v>
      </c>
      <c r="DH41" s="4">
        <f>Table2[[#This Row],[Date]]</f>
        <v>46239</v>
      </c>
      <c r="DI41">
        <f>(DD42-Table2[[#This Row],[MWH Total]])*4000</f>
        <v>-12193520</v>
      </c>
      <c r="DJ41">
        <f>(DA42-Table2[[#This Row],[PNG Meter (Outside)]])*2.936</f>
        <v>0</v>
      </c>
      <c r="DK41">
        <f>(DB42-Table2[[#This Row],[PNG Meter (Inside)]])*2.936</f>
        <v>-441948.12344</v>
      </c>
      <c r="DL41">
        <f>(BH42-Table2[[#This Row],[3F Dough cooler - 2 ]])*1000</f>
        <v>-365334</v>
      </c>
      <c r="DM41">
        <f>(BI42-Table2[[#This Row],[3F Dough Cooler- 1]])*1000</f>
        <v>-916256</v>
      </c>
      <c r="DN41">
        <f>(BJ42-Table2[[#This Row],[4F Dough Production cooling Unit]])*1000</f>
        <v>-14742</v>
      </c>
      <c r="DO41">
        <f>(BQ42-Table2[[#This Row],[3F2 - PDB 3 - Dough Production Area]])*1000</f>
        <v>-325815</v>
      </c>
      <c r="DP41">
        <f>(BR42-Table2[[#This Row],[3F3 - PDB 4 - Dough Area]])*1000</f>
        <v>-181447</v>
      </c>
      <c r="DQ41">
        <f>AC42-Table2[[#This Row],[16F1 Tray washer Panel for Light]]</f>
        <v>-2140112.3199999998</v>
      </c>
      <c r="DR41">
        <f>CQ42-Table2[[#This Row],[2F1 Tray Washer - 1]]</f>
        <v>-3688118.72</v>
      </c>
      <c r="DS41">
        <f>CS42-Table2[[#This Row],[2F5 Destacker]]</f>
        <v>-515401.02399999998</v>
      </c>
      <c r="DT41">
        <f>CU42-Table2[[#This Row],[5F1 Metering (TW-2)]]</f>
        <v>-299622.17499999999</v>
      </c>
      <c r="DU41">
        <f>CV42-Table2[[#This Row],[6F1 Pre soaker Tray washer]]</f>
        <v>-30139.712</v>
      </c>
      <c r="DV41">
        <f>CZ42-Table2[[#This Row],[6F5 Vent tray Storage]]</f>
        <v>-219193.32800000001</v>
      </c>
      <c r="DW41">
        <f>I42-Table2[[#This Row],[Popeyes Meter ]]</f>
        <v>-6796.8419999999996</v>
      </c>
      <c r="DX41">
        <f>AZ42-Table2[[#This Row],[2F WH Chiller, Segregation Area]]</f>
        <v>-20.788</v>
      </c>
      <c r="DY41">
        <f>BA42-Table2[[#This Row],[3F1 AC Unit WH dock cooling - 2 Nos]]</f>
        <v>-10426</v>
      </c>
      <c r="DZ41">
        <f>BB42-Table2[[#This Row],[3F2 AC Unit WH dock cooling - 3 Nos]]</f>
        <v>-44.875999999999998</v>
      </c>
      <c r="EA41">
        <f>(BK42-Table2[[#This Row],[5F WH Perishable]])*1000</f>
        <v>-564795</v>
      </c>
      <c r="EB41">
        <f>BN42-Table2[[#This Row],[2F3 - PDB 9 - WH Dock Leveler Door ]]</f>
        <v>-7196.7864</v>
      </c>
      <c r="EC41">
        <f>BP42-Table2[[#This Row],[3F1 - PDB 5 - WH HSD]]</f>
        <v>-314579.712</v>
      </c>
      <c r="ED41">
        <f>BX42-Table2[[#This Row],[8F1 WH Dock AHU - Ventilation]]</f>
        <v>-1003089.6</v>
      </c>
      <c r="EE41">
        <f>BZ42-Table2[[#This Row],[8F3 ACPDB - 4 WH Dock air curtain]]</f>
        <v>-114374.552</v>
      </c>
      <c r="EF41">
        <f>CA42-Table2[[#This Row],[8F4 WH Light]]</f>
        <v>-1244.3384000000001</v>
      </c>
      <c r="EG41">
        <f>CC42-Table2[[#This Row],[9F1 - PDB 10 - WH Dock door &amp; Office]]</f>
        <v>-151167.66399999999</v>
      </c>
      <c r="EH41">
        <f>CD42-Table2[[#This Row],[9F2 - PDB 11 - WH flycatchers]]</f>
        <v>-447169.31199999998</v>
      </c>
      <c r="EI41">
        <f>CE42-Table2[[#This Row],[9F3 - PDB 12 - Other items]]</f>
        <v>-49125.260799999996</v>
      </c>
      <c r="EJ41">
        <f>CR42-Table2[[#This Row],[2F3 - PDB 1 - Dock 1 to 4 ]]</f>
        <v>-131485.16</v>
      </c>
      <c r="EK41">
        <f>BM42-Table2[[#This Row],[2F2 - PDB 3 - WH Truck &amp; Battery Charging]]</f>
        <v>-310318.24</v>
      </c>
      <c r="EL41">
        <f>(CK42-Table2[[#This Row],[PDB - 11 Truck Charging]])*1000</f>
        <v>-78249</v>
      </c>
      <c r="EM41">
        <f>P42-Table2[[#This Row],[5F3 Admin Area]]</f>
        <v>-646361.98400000005</v>
      </c>
      <c r="EN41">
        <f>AH42-Table2[[#This Row],[2F5 Main Gate-1 Piller -1]]</f>
        <v>-133568.39199999999</v>
      </c>
      <c r="EO41">
        <f>CW42-Table2[[#This Row],[6F2 Ground Floor AC]]</f>
        <v>-62978.7264</v>
      </c>
      <c r="EP41">
        <f>CX42-Table2[[#This Row],[6F3 ACBD -1 (First floor AC)]]</f>
        <v>-33466.092799999999</v>
      </c>
      <c r="EQ41">
        <f>CY42-Table2[[#This Row],[6F4 ACBD - 2 (Second &amp; Third floor AC)]]</f>
        <v>-168376.95999999999</v>
      </c>
      <c r="ER41">
        <f>(BC42-Table2[[#This Row],[4F Old BMC cooling Unit]])</f>
        <v>-113989.152</v>
      </c>
      <c r="ES41">
        <f>BO42-Table2[[#This Row],[2F4 - Old BMC]]</f>
        <v>-53574.595200000003</v>
      </c>
      <c r="ET41">
        <f>Y42-Table2[[#This Row],[14F2 New CK]]</f>
        <v>-1094447.04</v>
      </c>
      <c r="EU41">
        <f>(CL42-Table2[[#This Row],[OLD Ck Panel-1]])*1000</f>
        <v>-734921</v>
      </c>
      <c r="EV41">
        <f>CM42-Table2[[#This Row],[2F4 Old CK Blast (Blue star)]]</f>
        <v>-551.4</v>
      </c>
      <c r="EW41">
        <f>CN42-Table2[[#This Row],[3F6 Old CK Blast (Carrier)]]</f>
        <v>-45697.8</v>
      </c>
      <c r="EX41">
        <f>(CO42-Table2[[#This Row],[Old CK Panel -2]])*1000</f>
        <v>-1653580</v>
      </c>
      <c r="EY41">
        <f>N42-Table2[[#This Row],[4F1 Main UPS 1/C -1]]</f>
        <v>-1869630.56</v>
      </c>
      <c r="EZ41">
        <f>Z42-Table2[[#This Row],[15F1 Main UPS Panel - I/C - 2]]</f>
        <v>-2777.8894</v>
      </c>
      <c r="FA41">
        <f>BF42-Table2[[#This Row],[2F CLC -1 AC unit - 2]]</f>
        <v>-1712.0419999999999</v>
      </c>
      <c r="FB41">
        <f>(BG42-Table2[[#This Row],[2F CLC Anti room]])*1000</f>
        <v>-75085</v>
      </c>
      <c r="FC41">
        <f>BW42-Table2[[#This Row],[7F3 CLC Power Panel]]</f>
        <v>-569236.28799999994</v>
      </c>
      <c r="FD41">
        <f>(CI42-Table2[[#This Row],[PDB - 17 CLC Section ]])*1000</f>
        <v>-214918</v>
      </c>
      <c r="FE41">
        <f>(W42-Table2[[#This Row],[13F3 Water &amp; Lift Old CK]])*1000</f>
        <v>-1593066.2</v>
      </c>
      <c r="FF41">
        <f>AA42-Table2[[#This Row],[15F2 New ETP Panel]]</f>
        <v>-669052.16000000003</v>
      </c>
      <c r="FG41">
        <f>AL42-Table2[[#This Row],[3F4 Old ETP Panel]]</f>
        <v>-330684.54399999999</v>
      </c>
      <c r="FH41">
        <f>AF42-Table2[[#This Row],[2F1 RO Plant]]</f>
        <v>-876041.6</v>
      </c>
      <c r="FI41">
        <f>AK42-Table2[[#This Row],[3F3 Fire Hydrant Panel]]</f>
        <v>-105262.64</v>
      </c>
      <c r="FJ41">
        <f>R42-Table2[[#This Row],[7F1 Freon System Panel]]</f>
        <v>-5546412.7999999998</v>
      </c>
      <c r="FK41">
        <f>(AE42-Table2[[#This Row],[21F1 Refrigeration Ammonia]])*1000</f>
        <v>-12815386.399999999</v>
      </c>
      <c r="FL41">
        <f>(AG42-Table2[[#This Row],[2F3 Air Compressor]])*1000</f>
        <v>-1400247</v>
      </c>
      <c r="FM41">
        <f>(AX42-Table2[[#This Row],[Solar Reading Panel II]])*1000</f>
        <v>-7244217</v>
      </c>
      <c r="FN41">
        <f>AI42-Table2[[#This Row],[3F1 Maintenance Workshop]]</f>
        <v>-14631.1168</v>
      </c>
      <c r="FO41">
        <f>BD42-Table2[[#This Row],[4F B2B unit ]]</f>
        <v>-276064.15999999997</v>
      </c>
      <c r="FP41">
        <f>BL42-Table2[[#This Row],[2F1 - PDB 6 - Bread, B2B section]]</f>
        <v>-73124.953599999993</v>
      </c>
      <c r="FQ41">
        <f>(CG42-Table2[[#This Row],[9F5 - PDB 14 - Bread Lift]])</f>
        <v>-360807.71840000001</v>
      </c>
      <c r="FR41">
        <f>CJ42-Table2[[#This Row],[PDB - 16 Bread Section]]</f>
        <v>-1191.5</v>
      </c>
      <c r="FS41">
        <f>BU42-Table2[[#This Row],[7F1 Donut Production area]]</f>
        <v>-629756.09600000002</v>
      </c>
      <c r="FT41">
        <f>CB42-Table2[[#This Row],[8F5 Donut Ban Bary]]</f>
        <v>-108827.984</v>
      </c>
      <c r="FU41">
        <f>CF42-Table2[[#This Row],[9F4 - PDB 13 - Donut Sink Geyser area]]</f>
        <v>-156020.07999999999</v>
      </c>
      <c r="FV41">
        <f>BV42-Table2[[#This Row],[7F2 Flour Silo]]</f>
        <v>-1023861.2</v>
      </c>
      <c r="FW41">
        <f>BY42-Table2[[#This Row],[8F2 ACPDB - 3 SILO Ventilation]]</f>
        <v>-157891.35999999999</v>
      </c>
      <c r="FX41">
        <f>J42-Table2[[#This Row],[DG 1010KVA Running Hours]]</f>
        <v>-4274.2</v>
      </c>
      <c r="FY41">
        <f>K42-Table2[[#This Row],[DG 1010 KVA Meter Reading]]</f>
        <v>-1776873</v>
      </c>
      <c r="FZ41">
        <f>L42-Table2[[#This Row],[GG 1010 KVA Running Hours]]</f>
        <v>-454</v>
      </c>
      <c r="GA41">
        <f>M42-Table2[[#This Row],[GG 1010 KVA Meter Reading]]</f>
        <v>-191.13</v>
      </c>
    </row>
    <row r="42" spans="1:183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>
        <f>Table2[[#This Row],[Date]]</f>
        <v>0</v>
      </c>
      <c r="DI42">
        <f>(DD43-Table2[[#This Row],[MWH Total]])*4000</f>
        <v>0</v>
      </c>
      <c r="DJ42">
        <f>(DA43-Table2[[#This Row],[PNG Meter (Outside)]])*2.936</f>
        <v>0</v>
      </c>
      <c r="DK42">
        <f>(DB43-Table2[[#This Row],[PNG Meter (Inside)]])*2.936</f>
        <v>0</v>
      </c>
      <c r="DL42">
        <f>(BH43-Table2[[#This Row],[3F Dough cooler - 2 ]])*1000</f>
        <v>0</v>
      </c>
      <c r="DM42">
        <f>(BI43-Table2[[#This Row],[3F Dough Cooler- 1]])*1000</f>
        <v>0</v>
      </c>
      <c r="DN42">
        <f>(BJ43-Table2[[#This Row],[4F Dough Production cooling Unit]])*1000</f>
        <v>0</v>
      </c>
      <c r="DO42">
        <f>(BQ43-Table2[[#This Row],[3F2 - PDB 3 - Dough Production Area]])*1000</f>
        <v>0</v>
      </c>
      <c r="DP42">
        <f>(BR43-Table2[[#This Row],[3F3 - PDB 4 - Dough Area]])*1000</f>
        <v>0</v>
      </c>
      <c r="DQ42">
        <f>AC43-Table2[[#This Row],[16F1 Tray washer Panel for Light]]</f>
        <v>0</v>
      </c>
      <c r="DR42">
        <f>CQ43-Table2[[#This Row],[2F1 Tray Washer - 1]]</f>
        <v>0</v>
      </c>
      <c r="DS42">
        <f>CS43-Table2[[#This Row],[2F5 Destacker]]</f>
        <v>0</v>
      </c>
      <c r="DT42">
        <f>CU43-Table2[[#This Row],[5F1 Metering (TW-2)]]</f>
        <v>0</v>
      </c>
      <c r="DU42">
        <f>CV43-Table2[[#This Row],[6F1 Pre soaker Tray washer]]</f>
        <v>0</v>
      </c>
      <c r="DV42">
        <f>CZ43-Table2[[#This Row],[6F5 Vent tray Storage]]</f>
        <v>0</v>
      </c>
      <c r="DW42">
        <f>I43-Table2[[#This Row],[Popeyes Meter ]]</f>
        <v>0</v>
      </c>
      <c r="DX42">
        <f>AZ43-Table2[[#This Row],[2F WH Chiller, Segregation Area]]</f>
        <v>0</v>
      </c>
      <c r="DY42">
        <f>BA43-Table2[[#This Row],[3F1 AC Unit WH dock cooling - 2 Nos]]</f>
        <v>0</v>
      </c>
      <c r="DZ42">
        <f>BB43-Table2[[#This Row],[3F2 AC Unit WH dock cooling - 3 Nos]]</f>
        <v>0</v>
      </c>
      <c r="EA42">
        <f>(BK43-Table2[[#This Row],[5F WH Perishable]])*1000</f>
        <v>0</v>
      </c>
      <c r="EB42">
        <f>BN43-Table2[[#This Row],[2F3 - PDB 9 - WH Dock Leveler Door ]]</f>
        <v>0</v>
      </c>
      <c r="EC42">
        <f>BP43-Table2[[#This Row],[3F1 - PDB 5 - WH HSD]]</f>
        <v>0</v>
      </c>
      <c r="ED42">
        <f>BX43-Table2[[#This Row],[8F1 WH Dock AHU - Ventilation]]</f>
        <v>0</v>
      </c>
      <c r="EE42">
        <f>BZ43-Table2[[#This Row],[8F3 ACPDB - 4 WH Dock air curtain]]</f>
        <v>0</v>
      </c>
      <c r="EF42">
        <f>CA43-Table2[[#This Row],[8F4 WH Light]]</f>
        <v>0</v>
      </c>
      <c r="EG42">
        <f>CC43-Table2[[#This Row],[9F1 - PDB 10 - WH Dock door &amp; Office]]</f>
        <v>0</v>
      </c>
      <c r="EH42">
        <f>CD43-Table2[[#This Row],[9F2 - PDB 11 - WH flycatchers]]</f>
        <v>0</v>
      </c>
      <c r="EI42">
        <f>CE43-Table2[[#This Row],[9F3 - PDB 12 - Other items]]</f>
        <v>0</v>
      </c>
      <c r="EJ42">
        <f>CR43-Table2[[#This Row],[2F3 - PDB 1 - Dock 1 to 4 ]]</f>
        <v>0</v>
      </c>
      <c r="EK42">
        <f>BM43-Table2[[#This Row],[2F2 - PDB 3 - WH Truck &amp; Battery Charging]]</f>
        <v>0</v>
      </c>
      <c r="EL42">
        <f>(CK43-Table2[[#This Row],[PDB - 11 Truck Charging]])*1000</f>
        <v>0</v>
      </c>
      <c r="EM42">
        <f>P43-Table2[[#This Row],[5F3 Admin Area]]</f>
        <v>0</v>
      </c>
      <c r="EN42">
        <f>AH43-Table2[[#This Row],[2F5 Main Gate-1 Piller -1]]</f>
        <v>0</v>
      </c>
      <c r="EO42">
        <f>CW43-Table2[[#This Row],[6F2 Ground Floor AC]]</f>
        <v>0</v>
      </c>
      <c r="EP42">
        <f>CX43-Table2[[#This Row],[6F3 ACBD -1 (First floor AC)]]</f>
        <v>0</v>
      </c>
      <c r="EQ42">
        <f>CY43-Table2[[#This Row],[6F4 ACBD - 2 (Second &amp; Third floor AC)]]</f>
        <v>0</v>
      </c>
      <c r="ER42">
        <f>(BC43-Table2[[#This Row],[4F Old BMC cooling Unit]])</f>
        <v>0</v>
      </c>
      <c r="ES42">
        <f>BO43-Table2[[#This Row],[2F4 - Old BMC]]</f>
        <v>0</v>
      </c>
      <c r="ET42">
        <f>Y43-Table2[[#This Row],[14F2 New CK]]</f>
        <v>0</v>
      </c>
      <c r="EU42">
        <f>(CL43-Table2[[#This Row],[OLD Ck Panel-1]])*1000</f>
        <v>0</v>
      </c>
      <c r="EV42">
        <f>CM43-Table2[[#This Row],[2F4 Old CK Blast (Blue star)]]</f>
        <v>0</v>
      </c>
      <c r="EW42">
        <f>CN43-Table2[[#This Row],[3F6 Old CK Blast (Carrier)]]</f>
        <v>0</v>
      </c>
      <c r="EX42">
        <f>(CO43-Table2[[#This Row],[Old CK Panel -2]])*1000</f>
        <v>0</v>
      </c>
      <c r="EY42">
        <f>N43-Table2[[#This Row],[4F1 Main UPS 1/C -1]]</f>
        <v>0</v>
      </c>
      <c r="EZ42">
        <f>Z43-Table2[[#This Row],[15F1 Main UPS Panel - I/C - 2]]</f>
        <v>0</v>
      </c>
      <c r="FA42">
        <f>BF43-Table2[[#This Row],[2F CLC -1 AC unit - 2]]</f>
        <v>0</v>
      </c>
      <c r="FB42">
        <f>(BG43-Table2[[#This Row],[2F CLC Anti room]])*1000</f>
        <v>0</v>
      </c>
      <c r="FC42">
        <f>BW43-Table2[[#This Row],[7F3 CLC Power Panel]]</f>
        <v>0</v>
      </c>
      <c r="FD42">
        <f>(CI43-Table2[[#This Row],[PDB - 17 CLC Section ]])*1000</f>
        <v>0</v>
      </c>
      <c r="FE42">
        <f>(W43-Table2[[#This Row],[13F3 Water &amp; Lift Old CK]])*1000</f>
        <v>0</v>
      </c>
      <c r="FF42">
        <f>AA43-Table2[[#This Row],[15F2 New ETP Panel]]</f>
        <v>0</v>
      </c>
      <c r="FG42">
        <f>AL43-Table2[[#This Row],[3F4 Old ETP Panel]]</f>
        <v>0</v>
      </c>
      <c r="FH42">
        <f>AF43-Table2[[#This Row],[2F1 RO Plant]]</f>
        <v>0</v>
      </c>
      <c r="FI42">
        <f>AK43-Table2[[#This Row],[3F3 Fire Hydrant Panel]]</f>
        <v>0</v>
      </c>
      <c r="FJ42">
        <f>R43-Table2[[#This Row],[7F1 Freon System Panel]]</f>
        <v>0</v>
      </c>
      <c r="FK42">
        <f>(AE43-Table2[[#This Row],[21F1 Refrigeration Ammonia]])*1000</f>
        <v>0</v>
      </c>
      <c r="FL42">
        <f>(AG43-Table2[[#This Row],[2F3 Air Compressor]])*1000</f>
        <v>0</v>
      </c>
      <c r="FM42">
        <f>(AX43-Table2[[#This Row],[Solar Reading Panel II]])*1000</f>
        <v>0</v>
      </c>
      <c r="FN42">
        <f>AI43-Table2[[#This Row],[3F1 Maintenance Workshop]]</f>
        <v>0</v>
      </c>
      <c r="FO42">
        <f>BD43-Table2[[#This Row],[4F B2B unit ]]</f>
        <v>0</v>
      </c>
      <c r="FP42">
        <f>BL43-Table2[[#This Row],[2F1 - PDB 6 - Bread, B2B section]]</f>
        <v>0</v>
      </c>
      <c r="FQ42">
        <f>(CG43-Table2[[#This Row],[9F5 - PDB 14 - Bread Lift]])</f>
        <v>0</v>
      </c>
      <c r="FR42">
        <f>CJ43-Table2[[#This Row],[PDB - 16 Bread Section]]</f>
        <v>0</v>
      </c>
      <c r="FS42">
        <f>BU43-Table2[[#This Row],[7F1 Donut Production area]]</f>
        <v>0</v>
      </c>
      <c r="FT42">
        <f>CB43-Table2[[#This Row],[8F5 Donut Ban Bary]]</f>
        <v>0</v>
      </c>
      <c r="FU42">
        <f>CF43-Table2[[#This Row],[9F4 - PDB 13 - Donut Sink Geyser area]]</f>
        <v>0</v>
      </c>
      <c r="FV42">
        <f>BV43-Table2[[#This Row],[7F2 Flour Silo]]</f>
        <v>0</v>
      </c>
      <c r="FW42">
        <f>BY43-Table2[[#This Row],[8F2 ACPDB - 3 SILO Ventilation]]</f>
        <v>0</v>
      </c>
      <c r="FX42">
        <f>J43-Table2[[#This Row],[DG 1010KVA Running Hours]]</f>
        <v>0</v>
      </c>
      <c r="FY42">
        <f>K43-Table2[[#This Row],[DG 1010 KVA Meter Reading]]</f>
        <v>0</v>
      </c>
      <c r="FZ42">
        <f>L43-Table2[[#This Row],[GG 1010 KVA Running Hours]]</f>
        <v>0</v>
      </c>
      <c r="GA42">
        <f>M43-Table2[[#This Row],[GG 1010 KVA Meter Reading]]</f>
        <v>0</v>
      </c>
    </row>
    <row r="43" spans="1:183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>
        <f>Table2[[#This Row],[Date]]</f>
        <v>0</v>
      </c>
      <c r="DI43">
        <f>(DD44-Table2[[#This Row],[MWH Total]])*4000</f>
        <v>0</v>
      </c>
      <c r="DJ43">
        <f>(DA44-Table2[[#This Row],[PNG Meter (Outside)]])*2.936</f>
        <v>0</v>
      </c>
      <c r="DK43">
        <f>(DB44-Table2[[#This Row],[PNG Meter (Inside)]])*2.936</f>
        <v>0</v>
      </c>
      <c r="DL43">
        <f>(BH44-Table2[[#This Row],[3F Dough cooler - 2 ]])*1000</f>
        <v>0</v>
      </c>
      <c r="DM43">
        <f>(BI44-Table2[[#This Row],[3F Dough Cooler- 1]])*1000</f>
        <v>0</v>
      </c>
      <c r="DN43">
        <f>(BJ44-Table2[[#This Row],[4F Dough Production cooling Unit]])*1000</f>
        <v>0</v>
      </c>
      <c r="DO43">
        <f>(BQ44-Table2[[#This Row],[3F2 - PDB 3 - Dough Production Area]])*1000</f>
        <v>0</v>
      </c>
      <c r="DP43">
        <f>(BR44-Table2[[#This Row],[3F3 - PDB 4 - Dough Area]])*1000</f>
        <v>0</v>
      </c>
      <c r="DQ43">
        <f>AC44-Table2[[#This Row],[16F1 Tray washer Panel for Light]]</f>
        <v>0</v>
      </c>
      <c r="DR43">
        <f>CQ44-Table2[[#This Row],[2F1 Tray Washer - 1]]</f>
        <v>0</v>
      </c>
      <c r="DS43">
        <f>CS44-Table2[[#This Row],[2F5 Destacker]]</f>
        <v>0</v>
      </c>
      <c r="DT43">
        <f>CU44-Table2[[#This Row],[5F1 Metering (TW-2)]]</f>
        <v>0</v>
      </c>
      <c r="DU43">
        <f>CV44-Table2[[#This Row],[6F1 Pre soaker Tray washer]]</f>
        <v>0</v>
      </c>
      <c r="DV43">
        <f>CZ44-Table2[[#This Row],[6F5 Vent tray Storage]]</f>
        <v>0</v>
      </c>
      <c r="DW43">
        <f>I44-Table2[[#This Row],[Popeyes Meter ]]</f>
        <v>0</v>
      </c>
      <c r="DX43">
        <f>AZ44-Table2[[#This Row],[2F WH Chiller, Segregation Area]]</f>
        <v>0</v>
      </c>
      <c r="DY43">
        <f>BA44-Table2[[#This Row],[3F1 AC Unit WH dock cooling - 2 Nos]]</f>
        <v>0</v>
      </c>
      <c r="DZ43">
        <f>BB44-Table2[[#This Row],[3F2 AC Unit WH dock cooling - 3 Nos]]</f>
        <v>0</v>
      </c>
      <c r="EA43">
        <f>(BK44-Table2[[#This Row],[5F WH Perishable]])*1000</f>
        <v>0</v>
      </c>
      <c r="EB43">
        <f>BN44-Table2[[#This Row],[2F3 - PDB 9 - WH Dock Leveler Door ]]</f>
        <v>0</v>
      </c>
      <c r="EC43">
        <f>BP44-Table2[[#This Row],[3F1 - PDB 5 - WH HSD]]</f>
        <v>0</v>
      </c>
      <c r="ED43">
        <f>BX44-Table2[[#This Row],[8F1 WH Dock AHU - Ventilation]]</f>
        <v>0</v>
      </c>
      <c r="EE43">
        <f>BZ44-Table2[[#This Row],[8F3 ACPDB - 4 WH Dock air curtain]]</f>
        <v>0</v>
      </c>
      <c r="EF43">
        <f>CA44-Table2[[#This Row],[8F4 WH Light]]</f>
        <v>0</v>
      </c>
      <c r="EG43">
        <f>CC44-Table2[[#This Row],[9F1 - PDB 10 - WH Dock door &amp; Office]]</f>
        <v>0</v>
      </c>
      <c r="EH43">
        <f>CD44-Table2[[#This Row],[9F2 - PDB 11 - WH flycatchers]]</f>
        <v>0</v>
      </c>
      <c r="EI43">
        <f>CE44-Table2[[#This Row],[9F3 - PDB 12 - Other items]]</f>
        <v>0</v>
      </c>
      <c r="EJ43">
        <f>CR44-Table2[[#This Row],[2F3 - PDB 1 - Dock 1 to 4 ]]</f>
        <v>0</v>
      </c>
      <c r="EK43">
        <f>BM44-Table2[[#This Row],[2F2 - PDB 3 - WH Truck &amp; Battery Charging]]</f>
        <v>0</v>
      </c>
      <c r="EL43">
        <f>(CK44-Table2[[#This Row],[PDB - 11 Truck Charging]])*1000</f>
        <v>0</v>
      </c>
      <c r="EM43">
        <f>P44-Table2[[#This Row],[5F3 Admin Area]]</f>
        <v>0</v>
      </c>
      <c r="EN43">
        <f>AH44-Table2[[#This Row],[2F5 Main Gate-1 Piller -1]]</f>
        <v>0</v>
      </c>
      <c r="EO43">
        <f>CW44-Table2[[#This Row],[6F2 Ground Floor AC]]</f>
        <v>0</v>
      </c>
      <c r="EP43">
        <f>CX44-Table2[[#This Row],[6F3 ACBD -1 (First floor AC)]]</f>
        <v>0</v>
      </c>
      <c r="EQ43">
        <f>CY44-Table2[[#This Row],[6F4 ACBD - 2 (Second &amp; Third floor AC)]]</f>
        <v>0</v>
      </c>
      <c r="ER43">
        <f>(BC44-Table2[[#This Row],[4F Old BMC cooling Unit]])</f>
        <v>0</v>
      </c>
      <c r="ES43">
        <f>BO44-Table2[[#This Row],[2F4 - Old BMC]]</f>
        <v>0</v>
      </c>
      <c r="ET43">
        <f>Y44-Table2[[#This Row],[14F2 New CK]]</f>
        <v>0</v>
      </c>
      <c r="EU43">
        <f>(CL44-Table2[[#This Row],[OLD Ck Panel-1]])*1000</f>
        <v>0</v>
      </c>
      <c r="EV43">
        <f>CM44-Table2[[#This Row],[2F4 Old CK Blast (Blue star)]]</f>
        <v>0</v>
      </c>
      <c r="EW43">
        <f>CN44-Table2[[#This Row],[3F6 Old CK Blast (Carrier)]]</f>
        <v>0</v>
      </c>
      <c r="EX43">
        <f>(CO44-Table2[[#This Row],[Old CK Panel -2]])*1000</f>
        <v>0</v>
      </c>
      <c r="EY43">
        <f>N44-Table2[[#This Row],[4F1 Main UPS 1/C -1]]</f>
        <v>0</v>
      </c>
      <c r="EZ43">
        <f>Z44-Table2[[#This Row],[15F1 Main UPS Panel - I/C - 2]]</f>
        <v>0</v>
      </c>
      <c r="FA43">
        <f>BF44-Table2[[#This Row],[2F CLC -1 AC unit - 2]]</f>
        <v>0</v>
      </c>
      <c r="FB43">
        <f>(BG44-Table2[[#This Row],[2F CLC Anti room]])*1000</f>
        <v>0</v>
      </c>
      <c r="FC43">
        <f>BW44-Table2[[#This Row],[7F3 CLC Power Panel]]</f>
        <v>0</v>
      </c>
      <c r="FD43">
        <f>(CI44-Table2[[#This Row],[PDB - 17 CLC Section ]])*1000</f>
        <v>0</v>
      </c>
      <c r="FE43">
        <f>(W44-Table2[[#This Row],[13F3 Water &amp; Lift Old CK]])*1000</f>
        <v>0</v>
      </c>
      <c r="FF43">
        <f>AA44-Table2[[#This Row],[15F2 New ETP Panel]]</f>
        <v>0</v>
      </c>
      <c r="FG43">
        <f>AL44-Table2[[#This Row],[3F4 Old ETP Panel]]</f>
        <v>0</v>
      </c>
      <c r="FH43">
        <f>AF44-Table2[[#This Row],[2F1 RO Plant]]</f>
        <v>0</v>
      </c>
      <c r="FI43">
        <f>AK44-Table2[[#This Row],[3F3 Fire Hydrant Panel]]</f>
        <v>0</v>
      </c>
      <c r="FJ43">
        <f>R44-Table2[[#This Row],[7F1 Freon System Panel]]</f>
        <v>0</v>
      </c>
      <c r="FK43">
        <f>(AE44-Table2[[#This Row],[21F1 Refrigeration Ammonia]])*1000</f>
        <v>0</v>
      </c>
      <c r="FL43">
        <f>(AG44-Table2[[#This Row],[2F3 Air Compressor]])*1000</f>
        <v>0</v>
      </c>
      <c r="FM43">
        <f>(AX44-Table2[[#This Row],[Solar Reading Panel II]])*1000</f>
        <v>0</v>
      </c>
      <c r="FN43">
        <f>AI44-Table2[[#This Row],[3F1 Maintenance Workshop]]</f>
        <v>0</v>
      </c>
      <c r="FO43">
        <f>BD44-Table2[[#This Row],[4F B2B unit ]]</f>
        <v>0</v>
      </c>
      <c r="FP43">
        <f>BL44-Table2[[#This Row],[2F1 - PDB 6 - Bread, B2B section]]</f>
        <v>0</v>
      </c>
      <c r="FQ43">
        <f>(CG44-Table2[[#This Row],[9F5 - PDB 14 - Bread Lift]])</f>
        <v>0</v>
      </c>
      <c r="FR43">
        <f>CJ44-Table2[[#This Row],[PDB - 16 Bread Section]]</f>
        <v>0</v>
      </c>
      <c r="FS43">
        <f>BU44-Table2[[#This Row],[7F1 Donut Production area]]</f>
        <v>0</v>
      </c>
      <c r="FT43">
        <f>CB44-Table2[[#This Row],[8F5 Donut Ban Bary]]</f>
        <v>0</v>
      </c>
      <c r="FU43">
        <f>CF44-Table2[[#This Row],[9F4 - PDB 13 - Donut Sink Geyser area]]</f>
        <v>0</v>
      </c>
      <c r="FV43">
        <f>BV44-Table2[[#This Row],[7F2 Flour Silo]]</f>
        <v>0</v>
      </c>
      <c r="FW43">
        <f>BY44-Table2[[#This Row],[8F2 ACPDB - 3 SILO Ventilation]]</f>
        <v>0</v>
      </c>
      <c r="FX43">
        <f>J44-Table2[[#This Row],[DG 1010KVA Running Hours]]</f>
        <v>0</v>
      </c>
      <c r="FY43">
        <f>K44-Table2[[#This Row],[DG 1010 KVA Meter Reading]]</f>
        <v>0</v>
      </c>
      <c r="FZ43">
        <f>L44-Table2[[#This Row],[GG 1010 KVA Running Hours]]</f>
        <v>0</v>
      </c>
      <c r="GA43">
        <f>M44-Table2[[#This Row],[GG 1010 KVA Meter Reading]]</f>
        <v>0</v>
      </c>
    </row>
    <row r="44" spans="1:183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>
        <f>Table2[[#This Row],[Date]]</f>
        <v>0</v>
      </c>
      <c r="DI44">
        <f>(DD45-Table2[[#This Row],[MWH Total]])*4000</f>
        <v>0</v>
      </c>
      <c r="DJ44">
        <f>(DA45-Table2[[#This Row],[PNG Meter (Outside)]])*2.936</f>
        <v>0</v>
      </c>
      <c r="DK44">
        <f>(DB45-Table2[[#This Row],[PNG Meter (Inside)]])*2.936</f>
        <v>0</v>
      </c>
      <c r="DL44">
        <f>(BH45-Table2[[#This Row],[3F Dough cooler - 2 ]])*1000</f>
        <v>0</v>
      </c>
      <c r="DM44">
        <f>(BI45-Table2[[#This Row],[3F Dough Cooler- 1]])*1000</f>
        <v>0</v>
      </c>
      <c r="DN44">
        <f>(BJ45-Table2[[#This Row],[4F Dough Production cooling Unit]])*1000</f>
        <v>0</v>
      </c>
      <c r="DO44">
        <f>(BQ45-Table2[[#This Row],[3F2 - PDB 3 - Dough Production Area]])*1000</f>
        <v>0</v>
      </c>
      <c r="DP44">
        <f>(BR45-Table2[[#This Row],[3F3 - PDB 4 - Dough Area]])*1000</f>
        <v>0</v>
      </c>
      <c r="DQ44">
        <f>AC45-Table2[[#This Row],[16F1 Tray washer Panel for Light]]</f>
        <v>0</v>
      </c>
      <c r="DR44">
        <f>CQ45-Table2[[#This Row],[2F1 Tray Washer - 1]]</f>
        <v>0</v>
      </c>
      <c r="DS44">
        <f>CS45-Table2[[#This Row],[2F5 Destacker]]</f>
        <v>0</v>
      </c>
      <c r="DT44">
        <f>CU45-Table2[[#This Row],[5F1 Metering (TW-2)]]</f>
        <v>0</v>
      </c>
      <c r="DU44">
        <f>CV45-Table2[[#This Row],[6F1 Pre soaker Tray washer]]</f>
        <v>0</v>
      </c>
      <c r="DV44">
        <f>CZ45-Table2[[#This Row],[6F5 Vent tray Storage]]</f>
        <v>0</v>
      </c>
      <c r="DW44">
        <f>I45-Table2[[#This Row],[Popeyes Meter ]]</f>
        <v>0</v>
      </c>
      <c r="DX44">
        <f>AZ45-Table2[[#This Row],[2F WH Chiller, Segregation Area]]</f>
        <v>0</v>
      </c>
      <c r="DY44">
        <f>BA45-Table2[[#This Row],[3F1 AC Unit WH dock cooling - 2 Nos]]</f>
        <v>0</v>
      </c>
      <c r="DZ44">
        <f>BB45-Table2[[#This Row],[3F2 AC Unit WH dock cooling - 3 Nos]]</f>
        <v>0</v>
      </c>
      <c r="EA44">
        <f>(BK45-Table2[[#This Row],[5F WH Perishable]])*1000</f>
        <v>0</v>
      </c>
      <c r="EB44">
        <f>BN45-Table2[[#This Row],[2F3 - PDB 9 - WH Dock Leveler Door ]]</f>
        <v>0</v>
      </c>
      <c r="EC44">
        <f>BP45-Table2[[#This Row],[3F1 - PDB 5 - WH HSD]]</f>
        <v>0</v>
      </c>
      <c r="ED44">
        <f>BX45-Table2[[#This Row],[8F1 WH Dock AHU - Ventilation]]</f>
        <v>0</v>
      </c>
      <c r="EE44">
        <f>BZ45-Table2[[#This Row],[8F3 ACPDB - 4 WH Dock air curtain]]</f>
        <v>0</v>
      </c>
      <c r="EF44">
        <f>CA45-Table2[[#This Row],[8F4 WH Light]]</f>
        <v>0</v>
      </c>
      <c r="EG44">
        <f>CC45-Table2[[#This Row],[9F1 - PDB 10 - WH Dock door &amp; Office]]</f>
        <v>0</v>
      </c>
      <c r="EH44">
        <f>CD45-Table2[[#This Row],[9F2 - PDB 11 - WH flycatchers]]</f>
        <v>0</v>
      </c>
      <c r="EI44">
        <f>CE45-Table2[[#This Row],[9F3 - PDB 12 - Other items]]</f>
        <v>0</v>
      </c>
      <c r="EJ44">
        <f>CR45-Table2[[#This Row],[2F3 - PDB 1 - Dock 1 to 4 ]]</f>
        <v>0</v>
      </c>
      <c r="EK44">
        <f>BM45-Table2[[#This Row],[2F2 - PDB 3 - WH Truck &amp; Battery Charging]]</f>
        <v>0</v>
      </c>
      <c r="EL44">
        <f>(CK45-Table2[[#This Row],[PDB - 11 Truck Charging]])*1000</f>
        <v>0</v>
      </c>
      <c r="EM44">
        <f>P45-Table2[[#This Row],[5F3 Admin Area]]</f>
        <v>0</v>
      </c>
      <c r="EN44">
        <f>AH45-Table2[[#This Row],[2F5 Main Gate-1 Piller -1]]</f>
        <v>0</v>
      </c>
      <c r="EO44">
        <f>CW45-Table2[[#This Row],[6F2 Ground Floor AC]]</f>
        <v>0</v>
      </c>
      <c r="EP44">
        <f>CX45-Table2[[#This Row],[6F3 ACBD -1 (First floor AC)]]</f>
        <v>0</v>
      </c>
      <c r="EQ44">
        <f>CY45-Table2[[#This Row],[6F4 ACBD - 2 (Second &amp; Third floor AC)]]</f>
        <v>0</v>
      </c>
      <c r="ER44">
        <f>(BC45-Table2[[#This Row],[4F Old BMC cooling Unit]])</f>
        <v>0</v>
      </c>
      <c r="ES44">
        <f>BO45-Table2[[#This Row],[2F4 - Old BMC]]</f>
        <v>0</v>
      </c>
      <c r="ET44">
        <f>Y45-Table2[[#This Row],[14F2 New CK]]</f>
        <v>0</v>
      </c>
      <c r="EU44">
        <f>(CL45-Table2[[#This Row],[OLD Ck Panel-1]])*1000</f>
        <v>0</v>
      </c>
      <c r="EV44">
        <f>CM45-Table2[[#This Row],[2F4 Old CK Blast (Blue star)]]</f>
        <v>0</v>
      </c>
      <c r="EW44">
        <f>CN45-Table2[[#This Row],[3F6 Old CK Blast (Carrier)]]</f>
        <v>0</v>
      </c>
      <c r="EX44">
        <f>(CO45-Table2[[#This Row],[Old CK Panel -2]])*1000</f>
        <v>0</v>
      </c>
      <c r="EY44">
        <f>N45-Table2[[#This Row],[4F1 Main UPS 1/C -1]]</f>
        <v>0</v>
      </c>
      <c r="EZ44">
        <f>Z45-Table2[[#This Row],[15F1 Main UPS Panel - I/C - 2]]</f>
        <v>0</v>
      </c>
      <c r="FA44">
        <f>BF45-Table2[[#This Row],[2F CLC -1 AC unit - 2]]</f>
        <v>0</v>
      </c>
      <c r="FB44">
        <f>(BG45-Table2[[#This Row],[2F CLC Anti room]])*1000</f>
        <v>0</v>
      </c>
      <c r="FC44">
        <f>BW45-Table2[[#This Row],[7F3 CLC Power Panel]]</f>
        <v>0</v>
      </c>
      <c r="FD44">
        <f>(CI45-Table2[[#This Row],[PDB - 17 CLC Section ]])*1000</f>
        <v>0</v>
      </c>
      <c r="FE44">
        <f>(W45-Table2[[#This Row],[13F3 Water &amp; Lift Old CK]])*1000</f>
        <v>0</v>
      </c>
      <c r="FF44">
        <f>AA45-Table2[[#This Row],[15F2 New ETP Panel]]</f>
        <v>0</v>
      </c>
      <c r="FG44">
        <f>AL45-Table2[[#This Row],[3F4 Old ETP Panel]]</f>
        <v>0</v>
      </c>
      <c r="FH44">
        <f>AF45-Table2[[#This Row],[2F1 RO Plant]]</f>
        <v>0</v>
      </c>
      <c r="FI44">
        <f>AK45-Table2[[#This Row],[3F3 Fire Hydrant Panel]]</f>
        <v>0</v>
      </c>
      <c r="FJ44">
        <f>R45-Table2[[#This Row],[7F1 Freon System Panel]]</f>
        <v>0</v>
      </c>
      <c r="FK44">
        <f>(AE45-Table2[[#This Row],[21F1 Refrigeration Ammonia]])*1000</f>
        <v>0</v>
      </c>
      <c r="FL44">
        <f>(AG45-Table2[[#This Row],[2F3 Air Compressor]])*1000</f>
        <v>0</v>
      </c>
      <c r="FM44">
        <f>(AX45-Table2[[#This Row],[Solar Reading Panel II]])*1000</f>
        <v>0</v>
      </c>
      <c r="FN44">
        <f>AI45-Table2[[#This Row],[3F1 Maintenance Workshop]]</f>
        <v>0</v>
      </c>
      <c r="FO44">
        <f>BD45-Table2[[#This Row],[4F B2B unit ]]</f>
        <v>0</v>
      </c>
      <c r="FP44">
        <f>BL45-Table2[[#This Row],[2F1 - PDB 6 - Bread, B2B section]]</f>
        <v>0</v>
      </c>
      <c r="FQ44">
        <f>(CG45-Table2[[#This Row],[9F5 - PDB 14 - Bread Lift]])</f>
        <v>0</v>
      </c>
      <c r="FR44">
        <f>CJ45-Table2[[#This Row],[PDB - 16 Bread Section]]</f>
        <v>0</v>
      </c>
      <c r="FS44">
        <f>BU45-Table2[[#This Row],[7F1 Donut Production area]]</f>
        <v>0</v>
      </c>
      <c r="FT44">
        <f>CB45-Table2[[#This Row],[8F5 Donut Ban Bary]]</f>
        <v>0</v>
      </c>
      <c r="FU44">
        <f>CF45-Table2[[#This Row],[9F4 - PDB 13 - Donut Sink Geyser area]]</f>
        <v>0</v>
      </c>
      <c r="FV44">
        <f>BV45-Table2[[#This Row],[7F2 Flour Silo]]</f>
        <v>0</v>
      </c>
      <c r="FW44">
        <f>BY45-Table2[[#This Row],[8F2 ACPDB - 3 SILO Ventilation]]</f>
        <v>0</v>
      </c>
      <c r="FX44">
        <f>J45-Table2[[#This Row],[DG 1010KVA Running Hours]]</f>
        <v>0</v>
      </c>
      <c r="FY44">
        <f>K45-Table2[[#This Row],[DG 1010 KVA Meter Reading]]</f>
        <v>0</v>
      </c>
      <c r="FZ44">
        <f>L45-Table2[[#This Row],[GG 1010 KVA Running Hours]]</f>
        <v>0</v>
      </c>
      <c r="GA44">
        <f>M45-Table2[[#This Row],[GG 1010 KVA Meter Reading]]</f>
        <v>0</v>
      </c>
    </row>
    <row r="45" spans="1:183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>
        <f>Table2[[#This Row],[Date]]</f>
        <v>0</v>
      </c>
      <c r="DI45">
        <f>(DD46-Table2[[#This Row],[MWH Total]])*4000</f>
        <v>0</v>
      </c>
      <c r="DJ45">
        <f>(DA46-Table2[[#This Row],[PNG Meter (Outside)]])*2.936</f>
        <v>0</v>
      </c>
      <c r="DK45">
        <f>(DB46-Table2[[#This Row],[PNG Meter (Inside)]])*2.936</f>
        <v>0</v>
      </c>
      <c r="DL45">
        <f>(BH46-Table2[[#This Row],[3F Dough cooler - 2 ]])*1000</f>
        <v>0</v>
      </c>
      <c r="DM45">
        <f>(BI46-Table2[[#This Row],[3F Dough Cooler- 1]])*1000</f>
        <v>0</v>
      </c>
      <c r="DN45">
        <f>(BJ46-Table2[[#This Row],[4F Dough Production cooling Unit]])*1000</f>
        <v>0</v>
      </c>
      <c r="DO45">
        <f>(BQ46-Table2[[#This Row],[3F2 - PDB 3 - Dough Production Area]])*1000</f>
        <v>0</v>
      </c>
      <c r="DP45">
        <f>(BR46-Table2[[#This Row],[3F3 - PDB 4 - Dough Area]])*1000</f>
        <v>0</v>
      </c>
      <c r="DQ45">
        <f>AC46-Table2[[#This Row],[16F1 Tray washer Panel for Light]]</f>
        <v>0</v>
      </c>
      <c r="DR45">
        <f>CQ46-Table2[[#This Row],[2F1 Tray Washer - 1]]</f>
        <v>0</v>
      </c>
      <c r="DS45">
        <f>CS46-Table2[[#This Row],[2F5 Destacker]]</f>
        <v>0</v>
      </c>
      <c r="DT45">
        <f>CU46-Table2[[#This Row],[5F1 Metering (TW-2)]]</f>
        <v>0</v>
      </c>
      <c r="DU45">
        <f>CV46-Table2[[#This Row],[6F1 Pre soaker Tray washer]]</f>
        <v>0</v>
      </c>
      <c r="DV45">
        <f>CZ46-Table2[[#This Row],[6F5 Vent tray Storage]]</f>
        <v>0</v>
      </c>
      <c r="DW45">
        <f>I46-Table2[[#This Row],[Popeyes Meter ]]</f>
        <v>0</v>
      </c>
      <c r="DX45">
        <f>AZ46-Table2[[#This Row],[2F WH Chiller, Segregation Area]]</f>
        <v>0</v>
      </c>
      <c r="DY45">
        <f>BA46-Table2[[#This Row],[3F1 AC Unit WH dock cooling - 2 Nos]]</f>
        <v>0</v>
      </c>
      <c r="DZ45">
        <f>BB46-Table2[[#This Row],[3F2 AC Unit WH dock cooling - 3 Nos]]</f>
        <v>0</v>
      </c>
      <c r="EA45">
        <f>(BK46-Table2[[#This Row],[5F WH Perishable]])*1000</f>
        <v>0</v>
      </c>
      <c r="EB45">
        <f>BN46-Table2[[#This Row],[2F3 - PDB 9 - WH Dock Leveler Door ]]</f>
        <v>0</v>
      </c>
      <c r="EC45">
        <f>BP46-Table2[[#This Row],[3F1 - PDB 5 - WH HSD]]</f>
        <v>0</v>
      </c>
      <c r="ED45">
        <f>BX46-Table2[[#This Row],[8F1 WH Dock AHU - Ventilation]]</f>
        <v>0</v>
      </c>
      <c r="EE45">
        <f>BZ46-Table2[[#This Row],[8F3 ACPDB - 4 WH Dock air curtain]]</f>
        <v>0</v>
      </c>
      <c r="EF45">
        <f>CA46-Table2[[#This Row],[8F4 WH Light]]</f>
        <v>0</v>
      </c>
      <c r="EG45">
        <f>CC46-Table2[[#This Row],[9F1 - PDB 10 - WH Dock door &amp; Office]]</f>
        <v>0</v>
      </c>
      <c r="EH45">
        <f>CD46-Table2[[#This Row],[9F2 - PDB 11 - WH flycatchers]]</f>
        <v>0</v>
      </c>
      <c r="EI45">
        <f>CE46-Table2[[#This Row],[9F3 - PDB 12 - Other items]]</f>
        <v>0</v>
      </c>
      <c r="EJ45">
        <f>CR46-Table2[[#This Row],[2F3 - PDB 1 - Dock 1 to 4 ]]</f>
        <v>0</v>
      </c>
      <c r="EK45">
        <f>BM46-Table2[[#This Row],[2F2 - PDB 3 - WH Truck &amp; Battery Charging]]</f>
        <v>0</v>
      </c>
      <c r="EL45">
        <f>(CK46-Table2[[#This Row],[PDB - 11 Truck Charging]])*1000</f>
        <v>0</v>
      </c>
      <c r="EM45">
        <f>P46-Table2[[#This Row],[5F3 Admin Area]]</f>
        <v>0</v>
      </c>
      <c r="EN45">
        <f>AH46-Table2[[#This Row],[2F5 Main Gate-1 Piller -1]]</f>
        <v>0</v>
      </c>
      <c r="EO45">
        <f>CW46-Table2[[#This Row],[6F2 Ground Floor AC]]</f>
        <v>0</v>
      </c>
      <c r="EP45">
        <f>CX46-Table2[[#This Row],[6F3 ACBD -1 (First floor AC)]]</f>
        <v>0</v>
      </c>
      <c r="EQ45">
        <f>CY46-Table2[[#This Row],[6F4 ACBD - 2 (Second &amp; Third floor AC)]]</f>
        <v>0</v>
      </c>
      <c r="ER45">
        <f>(BC46-Table2[[#This Row],[4F Old BMC cooling Unit]])</f>
        <v>0</v>
      </c>
      <c r="ES45">
        <f>BO46-Table2[[#This Row],[2F4 - Old BMC]]</f>
        <v>0</v>
      </c>
      <c r="ET45">
        <f>Y46-Table2[[#This Row],[14F2 New CK]]</f>
        <v>0</v>
      </c>
      <c r="EU45">
        <f>(CL46-Table2[[#This Row],[OLD Ck Panel-1]])*1000</f>
        <v>0</v>
      </c>
      <c r="EV45">
        <f>CM46-Table2[[#This Row],[2F4 Old CK Blast (Blue star)]]</f>
        <v>0</v>
      </c>
      <c r="EW45">
        <f>CN46-Table2[[#This Row],[3F6 Old CK Blast (Carrier)]]</f>
        <v>0</v>
      </c>
      <c r="EX45">
        <f>(CO46-Table2[[#This Row],[Old CK Panel -2]])*1000</f>
        <v>0</v>
      </c>
      <c r="EY45">
        <f>N46-Table2[[#This Row],[4F1 Main UPS 1/C -1]]</f>
        <v>0</v>
      </c>
      <c r="EZ45">
        <f>Z46-Table2[[#This Row],[15F1 Main UPS Panel - I/C - 2]]</f>
        <v>0</v>
      </c>
      <c r="FA45">
        <f>BF46-Table2[[#This Row],[2F CLC -1 AC unit - 2]]</f>
        <v>0</v>
      </c>
      <c r="FB45">
        <f>(BG46-Table2[[#This Row],[2F CLC Anti room]])*1000</f>
        <v>0</v>
      </c>
      <c r="FC45">
        <f>BW46-Table2[[#This Row],[7F3 CLC Power Panel]]</f>
        <v>0</v>
      </c>
      <c r="FD45">
        <f>(CI46-Table2[[#This Row],[PDB - 17 CLC Section ]])*1000</f>
        <v>0</v>
      </c>
      <c r="FE45">
        <f>(W46-Table2[[#This Row],[13F3 Water &amp; Lift Old CK]])*1000</f>
        <v>0</v>
      </c>
      <c r="FF45">
        <f>AA46-Table2[[#This Row],[15F2 New ETP Panel]]</f>
        <v>0</v>
      </c>
      <c r="FG45">
        <f>AL46-Table2[[#This Row],[3F4 Old ETP Panel]]</f>
        <v>0</v>
      </c>
      <c r="FH45">
        <f>AF46-Table2[[#This Row],[2F1 RO Plant]]</f>
        <v>0</v>
      </c>
      <c r="FI45">
        <f>AK46-Table2[[#This Row],[3F3 Fire Hydrant Panel]]</f>
        <v>0</v>
      </c>
      <c r="FJ45">
        <f>R46-Table2[[#This Row],[7F1 Freon System Panel]]</f>
        <v>0</v>
      </c>
      <c r="FK45">
        <f>(AE46-Table2[[#This Row],[21F1 Refrigeration Ammonia]])*1000</f>
        <v>0</v>
      </c>
      <c r="FL45">
        <f>(AG46-Table2[[#This Row],[2F3 Air Compressor]])*1000</f>
        <v>0</v>
      </c>
      <c r="FM45">
        <f>(AX46-Table2[[#This Row],[Solar Reading Panel II]])*1000</f>
        <v>0</v>
      </c>
      <c r="FN45">
        <f>AI46-Table2[[#This Row],[3F1 Maintenance Workshop]]</f>
        <v>0</v>
      </c>
      <c r="FO45">
        <f>BD46-Table2[[#This Row],[4F B2B unit ]]</f>
        <v>0</v>
      </c>
      <c r="FP45">
        <f>BL46-Table2[[#This Row],[2F1 - PDB 6 - Bread, B2B section]]</f>
        <v>0</v>
      </c>
      <c r="FQ45">
        <f>(CG46-Table2[[#This Row],[9F5 - PDB 14 - Bread Lift]])</f>
        <v>0</v>
      </c>
      <c r="FR45">
        <f>CJ46-Table2[[#This Row],[PDB - 16 Bread Section]]</f>
        <v>0</v>
      </c>
      <c r="FS45">
        <f>BU46-Table2[[#This Row],[7F1 Donut Production area]]</f>
        <v>0</v>
      </c>
      <c r="FT45">
        <f>CB46-Table2[[#This Row],[8F5 Donut Ban Bary]]</f>
        <v>0</v>
      </c>
      <c r="FU45">
        <f>CF46-Table2[[#This Row],[9F4 - PDB 13 - Donut Sink Geyser area]]</f>
        <v>0</v>
      </c>
      <c r="FV45">
        <f>BV46-Table2[[#This Row],[7F2 Flour Silo]]</f>
        <v>0</v>
      </c>
      <c r="FW45">
        <f>BY46-Table2[[#This Row],[8F2 ACPDB - 3 SILO Ventilation]]</f>
        <v>0</v>
      </c>
      <c r="FX45">
        <f>J46-Table2[[#This Row],[DG 1010KVA Running Hours]]</f>
        <v>0</v>
      </c>
      <c r="FY45">
        <f>K46-Table2[[#This Row],[DG 1010 KVA Meter Reading]]</f>
        <v>0</v>
      </c>
      <c r="FZ45">
        <f>L46-Table2[[#This Row],[GG 1010 KVA Running Hours]]</f>
        <v>0</v>
      </c>
      <c r="GA45">
        <f>M46-Table2[[#This Row],[GG 1010 KVA Meter Reading]]</f>
        <v>0</v>
      </c>
    </row>
    <row r="46" spans="1:183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>
        <f>Table2[[#This Row],[Date]]</f>
        <v>0</v>
      </c>
      <c r="DI46">
        <f>(DD47-Table2[[#This Row],[MWH Total]])*4000</f>
        <v>0</v>
      </c>
      <c r="DJ46">
        <f>(DA47-Table2[[#This Row],[PNG Meter (Outside)]])*2.936</f>
        <v>0</v>
      </c>
      <c r="DK46">
        <f>(DB47-Table2[[#This Row],[PNG Meter (Inside)]])*2.936</f>
        <v>0</v>
      </c>
      <c r="DL46">
        <f>(BH47-Table2[[#This Row],[3F Dough cooler - 2 ]])*1000</f>
        <v>0</v>
      </c>
      <c r="DM46">
        <f>(BI47-Table2[[#This Row],[3F Dough Cooler- 1]])*1000</f>
        <v>0</v>
      </c>
      <c r="DN46">
        <f>(BJ47-Table2[[#This Row],[4F Dough Production cooling Unit]])*1000</f>
        <v>0</v>
      </c>
      <c r="DO46">
        <f>(BQ47-Table2[[#This Row],[3F2 - PDB 3 - Dough Production Area]])*1000</f>
        <v>0</v>
      </c>
      <c r="DP46">
        <f>(BR47-Table2[[#This Row],[3F3 - PDB 4 - Dough Area]])*1000</f>
        <v>0</v>
      </c>
      <c r="DQ46">
        <f>AC47-Table2[[#This Row],[16F1 Tray washer Panel for Light]]</f>
        <v>0</v>
      </c>
      <c r="DR46">
        <f>CQ47-Table2[[#This Row],[2F1 Tray Washer - 1]]</f>
        <v>0</v>
      </c>
      <c r="DS46">
        <f>CS47-Table2[[#This Row],[2F5 Destacker]]</f>
        <v>0</v>
      </c>
      <c r="DT46">
        <f>CU47-Table2[[#This Row],[5F1 Metering (TW-2)]]</f>
        <v>0</v>
      </c>
      <c r="DU46">
        <f>CV47-Table2[[#This Row],[6F1 Pre soaker Tray washer]]</f>
        <v>0</v>
      </c>
      <c r="DV46">
        <f>CZ47-Table2[[#This Row],[6F5 Vent tray Storage]]</f>
        <v>0</v>
      </c>
      <c r="DW46">
        <f>I47-Table2[[#This Row],[Popeyes Meter ]]</f>
        <v>0</v>
      </c>
      <c r="DX46">
        <f>AZ47-Table2[[#This Row],[2F WH Chiller, Segregation Area]]</f>
        <v>0</v>
      </c>
      <c r="DY46">
        <f>BA47-Table2[[#This Row],[3F1 AC Unit WH dock cooling - 2 Nos]]</f>
        <v>0</v>
      </c>
      <c r="DZ46">
        <f>BB47-Table2[[#This Row],[3F2 AC Unit WH dock cooling - 3 Nos]]</f>
        <v>0</v>
      </c>
      <c r="EA46">
        <f>(BK47-Table2[[#This Row],[5F WH Perishable]])*1000</f>
        <v>0</v>
      </c>
      <c r="EB46">
        <f>BN47-Table2[[#This Row],[2F3 - PDB 9 - WH Dock Leveler Door ]]</f>
        <v>0</v>
      </c>
      <c r="EC46">
        <f>BP47-Table2[[#This Row],[3F1 - PDB 5 - WH HSD]]</f>
        <v>0</v>
      </c>
      <c r="ED46">
        <f>BX47-Table2[[#This Row],[8F1 WH Dock AHU - Ventilation]]</f>
        <v>0</v>
      </c>
      <c r="EE46">
        <f>BZ47-Table2[[#This Row],[8F3 ACPDB - 4 WH Dock air curtain]]</f>
        <v>0</v>
      </c>
      <c r="EF46">
        <f>CA47-Table2[[#This Row],[8F4 WH Light]]</f>
        <v>0</v>
      </c>
      <c r="EG46">
        <f>CC47-Table2[[#This Row],[9F1 - PDB 10 - WH Dock door &amp; Office]]</f>
        <v>0</v>
      </c>
      <c r="EH46">
        <f>CD47-Table2[[#This Row],[9F2 - PDB 11 - WH flycatchers]]</f>
        <v>0</v>
      </c>
      <c r="EI46">
        <f>CE47-Table2[[#This Row],[9F3 - PDB 12 - Other items]]</f>
        <v>0</v>
      </c>
      <c r="EJ46">
        <f>CR47-Table2[[#This Row],[2F3 - PDB 1 - Dock 1 to 4 ]]</f>
        <v>0</v>
      </c>
      <c r="EK46">
        <f>BM47-Table2[[#This Row],[2F2 - PDB 3 - WH Truck &amp; Battery Charging]]</f>
        <v>0</v>
      </c>
      <c r="EL46">
        <f>(CK47-Table2[[#This Row],[PDB - 11 Truck Charging]])*1000</f>
        <v>0</v>
      </c>
      <c r="EM46">
        <f>P47-Table2[[#This Row],[5F3 Admin Area]]</f>
        <v>0</v>
      </c>
      <c r="EN46">
        <f>AH47-Table2[[#This Row],[2F5 Main Gate-1 Piller -1]]</f>
        <v>0</v>
      </c>
      <c r="EO46">
        <f>CW47-Table2[[#This Row],[6F2 Ground Floor AC]]</f>
        <v>0</v>
      </c>
      <c r="EP46">
        <f>CX47-Table2[[#This Row],[6F3 ACBD -1 (First floor AC)]]</f>
        <v>0</v>
      </c>
      <c r="EQ46">
        <f>CY47-Table2[[#This Row],[6F4 ACBD - 2 (Second &amp; Third floor AC)]]</f>
        <v>0</v>
      </c>
      <c r="ER46">
        <f>(BC47-Table2[[#This Row],[4F Old BMC cooling Unit]])</f>
        <v>0</v>
      </c>
      <c r="ES46">
        <f>BO47-Table2[[#This Row],[2F4 - Old BMC]]</f>
        <v>0</v>
      </c>
      <c r="ET46">
        <f>Y47-Table2[[#This Row],[14F2 New CK]]</f>
        <v>0</v>
      </c>
      <c r="EU46">
        <f>(CL47-Table2[[#This Row],[OLD Ck Panel-1]])*1000</f>
        <v>0</v>
      </c>
      <c r="EV46">
        <f>CM47-Table2[[#This Row],[2F4 Old CK Blast (Blue star)]]</f>
        <v>0</v>
      </c>
      <c r="EW46">
        <f>CN47-Table2[[#This Row],[3F6 Old CK Blast (Carrier)]]</f>
        <v>0</v>
      </c>
      <c r="EX46">
        <f>(CO47-Table2[[#This Row],[Old CK Panel -2]])*1000</f>
        <v>0</v>
      </c>
      <c r="EY46">
        <f>N47-Table2[[#This Row],[4F1 Main UPS 1/C -1]]</f>
        <v>0</v>
      </c>
      <c r="EZ46">
        <f>Z47-Table2[[#This Row],[15F1 Main UPS Panel - I/C - 2]]</f>
        <v>0</v>
      </c>
      <c r="FA46">
        <f>BF47-Table2[[#This Row],[2F CLC -1 AC unit - 2]]</f>
        <v>0</v>
      </c>
      <c r="FB46">
        <f>(BG47-Table2[[#This Row],[2F CLC Anti room]])*1000</f>
        <v>0</v>
      </c>
      <c r="FC46">
        <f>BW47-Table2[[#This Row],[7F3 CLC Power Panel]]</f>
        <v>0</v>
      </c>
      <c r="FD46">
        <f>(CI47-Table2[[#This Row],[PDB - 17 CLC Section ]])*1000</f>
        <v>0</v>
      </c>
      <c r="FE46">
        <f>(W47-Table2[[#This Row],[13F3 Water &amp; Lift Old CK]])*1000</f>
        <v>0</v>
      </c>
      <c r="FF46">
        <f>AA47-Table2[[#This Row],[15F2 New ETP Panel]]</f>
        <v>0</v>
      </c>
      <c r="FG46">
        <f>AL47-Table2[[#This Row],[3F4 Old ETP Panel]]</f>
        <v>0</v>
      </c>
      <c r="FH46">
        <f>AF47-Table2[[#This Row],[2F1 RO Plant]]</f>
        <v>0</v>
      </c>
      <c r="FI46">
        <f>AK47-Table2[[#This Row],[3F3 Fire Hydrant Panel]]</f>
        <v>0</v>
      </c>
      <c r="FJ46">
        <f>R47-Table2[[#This Row],[7F1 Freon System Panel]]</f>
        <v>0</v>
      </c>
      <c r="FK46">
        <f>(AE47-Table2[[#This Row],[21F1 Refrigeration Ammonia]])*1000</f>
        <v>0</v>
      </c>
      <c r="FL46">
        <f>(AG47-Table2[[#This Row],[2F3 Air Compressor]])*1000</f>
        <v>0</v>
      </c>
      <c r="FM46">
        <f>(AX47-Table2[[#This Row],[Solar Reading Panel II]])*1000</f>
        <v>0</v>
      </c>
      <c r="FN46">
        <f>AI47-Table2[[#This Row],[3F1 Maintenance Workshop]]</f>
        <v>0</v>
      </c>
      <c r="FO46">
        <f>BD47-Table2[[#This Row],[4F B2B unit ]]</f>
        <v>0</v>
      </c>
      <c r="FP46">
        <f>BL47-Table2[[#This Row],[2F1 - PDB 6 - Bread, B2B section]]</f>
        <v>0</v>
      </c>
      <c r="FQ46">
        <f>(CG47-Table2[[#This Row],[9F5 - PDB 14 - Bread Lift]])</f>
        <v>0</v>
      </c>
      <c r="FR46">
        <f>CJ47-Table2[[#This Row],[PDB - 16 Bread Section]]</f>
        <v>0</v>
      </c>
      <c r="FS46">
        <f>BU47-Table2[[#This Row],[7F1 Donut Production area]]</f>
        <v>0</v>
      </c>
      <c r="FT46">
        <f>CB47-Table2[[#This Row],[8F5 Donut Ban Bary]]</f>
        <v>0</v>
      </c>
      <c r="FU46">
        <f>CF47-Table2[[#This Row],[9F4 - PDB 13 - Donut Sink Geyser area]]</f>
        <v>0</v>
      </c>
      <c r="FV46">
        <f>BV47-Table2[[#This Row],[7F2 Flour Silo]]</f>
        <v>0</v>
      </c>
      <c r="FW46">
        <f>BY47-Table2[[#This Row],[8F2 ACPDB - 3 SILO Ventilation]]</f>
        <v>0</v>
      </c>
      <c r="FX46">
        <f>J47-Table2[[#This Row],[DG 1010KVA Running Hours]]</f>
        <v>0</v>
      </c>
      <c r="FY46">
        <f>K47-Table2[[#This Row],[DG 1010 KVA Meter Reading]]</f>
        <v>0</v>
      </c>
      <c r="FZ46">
        <f>L47-Table2[[#This Row],[GG 1010 KVA Running Hours]]</f>
        <v>0</v>
      </c>
      <c r="GA46">
        <f>M47-Table2[[#This Row],[GG 1010 KVA Meter Reading]]</f>
        <v>0</v>
      </c>
    </row>
    <row r="47" spans="1:183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>
        <f>Table2[[#This Row],[Date]]</f>
        <v>0</v>
      </c>
      <c r="DI47">
        <f>(DD48-Table2[[#This Row],[MWH Total]])*4000</f>
        <v>0</v>
      </c>
      <c r="DJ47">
        <f>(DA48-Table2[[#This Row],[PNG Meter (Outside)]])*2.936</f>
        <v>0</v>
      </c>
      <c r="DK47">
        <f>(DB48-Table2[[#This Row],[PNG Meter (Inside)]])*2.936</f>
        <v>0</v>
      </c>
      <c r="DL47">
        <f>(BH48-Table2[[#This Row],[3F Dough cooler - 2 ]])*1000</f>
        <v>0</v>
      </c>
      <c r="DM47">
        <f>(BI48-Table2[[#This Row],[3F Dough Cooler- 1]])*1000</f>
        <v>0</v>
      </c>
      <c r="DN47">
        <f>(BJ48-Table2[[#This Row],[4F Dough Production cooling Unit]])*1000</f>
        <v>0</v>
      </c>
      <c r="DO47">
        <f>(BQ48-Table2[[#This Row],[3F2 - PDB 3 - Dough Production Area]])*1000</f>
        <v>0</v>
      </c>
      <c r="DP47">
        <f>(BR48-Table2[[#This Row],[3F3 - PDB 4 - Dough Area]])*1000</f>
        <v>0</v>
      </c>
      <c r="DQ47">
        <f>AC48-Table2[[#This Row],[16F1 Tray washer Panel for Light]]</f>
        <v>0</v>
      </c>
      <c r="DR47">
        <f>CQ48-Table2[[#This Row],[2F1 Tray Washer - 1]]</f>
        <v>0</v>
      </c>
      <c r="DS47">
        <f>CS48-Table2[[#This Row],[2F5 Destacker]]</f>
        <v>0</v>
      </c>
      <c r="DT47">
        <f>CU48-Table2[[#This Row],[5F1 Metering (TW-2)]]</f>
        <v>0</v>
      </c>
      <c r="DU47">
        <f>CV48-Table2[[#This Row],[6F1 Pre soaker Tray washer]]</f>
        <v>0</v>
      </c>
      <c r="DV47">
        <f>CZ48-Table2[[#This Row],[6F5 Vent tray Storage]]</f>
        <v>0</v>
      </c>
      <c r="DW47">
        <f>I48-Table2[[#This Row],[Popeyes Meter ]]</f>
        <v>0</v>
      </c>
      <c r="DX47">
        <f>AZ48-Table2[[#This Row],[2F WH Chiller, Segregation Area]]</f>
        <v>0</v>
      </c>
      <c r="DY47">
        <f>BA48-Table2[[#This Row],[3F1 AC Unit WH dock cooling - 2 Nos]]</f>
        <v>0</v>
      </c>
      <c r="DZ47">
        <f>BB48-Table2[[#This Row],[3F2 AC Unit WH dock cooling - 3 Nos]]</f>
        <v>0</v>
      </c>
      <c r="EA47">
        <f>(BK48-Table2[[#This Row],[5F WH Perishable]])*1000</f>
        <v>0</v>
      </c>
      <c r="EB47">
        <f>BN48-Table2[[#This Row],[2F3 - PDB 9 - WH Dock Leveler Door ]]</f>
        <v>0</v>
      </c>
      <c r="EC47">
        <f>BP48-Table2[[#This Row],[3F1 - PDB 5 - WH HSD]]</f>
        <v>0</v>
      </c>
      <c r="ED47">
        <f>BX48-Table2[[#This Row],[8F1 WH Dock AHU - Ventilation]]</f>
        <v>0</v>
      </c>
      <c r="EE47">
        <f>BZ48-Table2[[#This Row],[8F3 ACPDB - 4 WH Dock air curtain]]</f>
        <v>0</v>
      </c>
      <c r="EF47">
        <f>CA48-Table2[[#This Row],[8F4 WH Light]]</f>
        <v>0</v>
      </c>
      <c r="EG47">
        <f>CC48-Table2[[#This Row],[9F1 - PDB 10 - WH Dock door &amp; Office]]</f>
        <v>0</v>
      </c>
      <c r="EH47">
        <f>CD48-Table2[[#This Row],[9F2 - PDB 11 - WH flycatchers]]</f>
        <v>0</v>
      </c>
      <c r="EI47">
        <f>CE48-Table2[[#This Row],[9F3 - PDB 12 - Other items]]</f>
        <v>0</v>
      </c>
      <c r="EJ47">
        <f>CR48-Table2[[#This Row],[2F3 - PDB 1 - Dock 1 to 4 ]]</f>
        <v>0</v>
      </c>
      <c r="EK47">
        <f>BM48-Table2[[#This Row],[2F2 - PDB 3 - WH Truck &amp; Battery Charging]]</f>
        <v>0</v>
      </c>
      <c r="EL47">
        <f>(CK48-Table2[[#This Row],[PDB - 11 Truck Charging]])*1000</f>
        <v>0</v>
      </c>
      <c r="EM47">
        <f>P48-Table2[[#This Row],[5F3 Admin Area]]</f>
        <v>0</v>
      </c>
      <c r="EN47">
        <f>AH48-Table2[[#This Row],[2F5 Main Gate-1 Piller -1]]</f>
        <v>0</v>
      </c>
      <c r="EO47">
        <f>CW48-Table2[[#This Row],[6F2 Ground Floor AC]]</f>
        <v>0</v>
      </c>
      <c r="EP47">
        <f>CX48-Table2[[#This Row],[6F3 ACBD -1 (First floor AC)]]</f>
        <v>0</v>
      </c>
      <c r="EQ47">
        <f>CY48-Table2[[#This Row],[6F4 ACBD - 2 (Second &amp; Third floor AC)]]</f>
        <v>0</v>
      </c>
      <c r="ER47">
        <f>(BC48-Table2[[#This Row],[4F Old BMC cooling Unit]])</f>
        <v>0</v>
      </c>
      <c r="ES47">
        <f>BO48-Table2[[#This Row],[2F4 - Old BMC]]</f>
        <v>0</v>
      </c>
      <c r="ET47">
        <f>Y48-Table2[[#This Row],[14F2 New CK]]</f>
        <v>0</v>
      </c>
      <c r="EU47">
        <f>(CL48-Table2[[#This Row],[OLD Ck Panel-1]])*1000</f>
        <v>0</v>
      </c>
      <c r="EV47">
        <f>CM48-Table2[[#This Row],[2F4 Old CK Blast (Blue star)]]</f>
        <v>0</v>
      </c>
      <c r="EW47">
        <f>CN48-Table2[[#This Row],[3F6 Old CK Blast (Carrier)]]</f>
        <v>0</v>
      </c>
      <c r="EX47">
        <f>(CO48-Table2[[#This Row],[Old CK Panel -2]])*1000</f>
        <v>0</v>
      </c>
      <c r="EY47">
        <f>N48-Table2[[#This Row],[4F1 Main UPS 1/C -1]]</f>
        <v>0</v>
      </c>
      <c r="EZ47">
        <f>Z48-Table2[[#This Row],[15F1 Main UPS Panel - I/C - 2]]</f>
        <v>0</v>
      </c>
      <c r="FA47">
        <f>BF48-Table2[[#This Row],[2F CLC -1 AC unit - 2]]</f>
        <v>0</v>
      </c>
      <c r="FB47">
        <f>(BG48-Table2[[#This Row],[2F CLC Anti room]])*1000</f>
        <v>0</v>
      </c>
      <c r="FC47">
        <f>BW48-Table2[[#This Row],[7F3 CLC Power Panel]]</f>
        <v>0</v>
      </c>
      <c r="FD47">
        <f>(CI48-Table2[[#This Row],[PDB - 17 CLC Section ]])*1000</f>
        <v>0</v>
      </c>
      <c r="FE47">
        <f>(W48-Table2[[#This Row],[13F3 Water &amp; Lift Old CK]])*1000</f>
        <v>0</v>
      </c>
      <c r="FF47">
        <f>AA48-Table2[[#This Row],[15F2 New ETP Panel]]</f>
        <v>0</v>
      </c>
      <c r="FG47">
        <f>AL48-Table2[[#This Row],[3F4 Old ETP Panel]]</f>
        <v>0</v>
      </c>
      <c r="FH47">
        <f>AF48-Table2[[#This Row],[2F1 RO Plant]]</f>
        <v>0</v>
      </c>
      <c r="FI47">
        <f>AK48-Table2[[#This Row],[3F3 Fire Hydrant Panel]]</f>
        <v>0</v>
      </c>
      <c r="FJ47">
        <f>R48-Table2[[#This Row],[7F1 Freon System Panel]]</f>
        <v>0</v>
      </c>
      <c r="FK47">
        <f>(AE48-Table2[[#This Row],[21F1 Refrigeration Ammonia]])*1000</f>
        <v>0</v>
      </c>
      <c r="FL47">
        <f>(AG48-Table2[[#This Row],[2F3 Air Compressor]])*1000</f>
        <v>0</v>
      </c>
      <c r="FM47">
        <f>(AX48-Table2[[#This Row],[Solar Reading Panel II]])*1000</f>
        <v>0</v>
      </c>
      <c r="FN47">
        <f>AI48-Table2[[#This Row],[3F1 Maintenance Workshop]]</f>
        <v>0</v>
      </c>
      <c r="FO47">
        <f>BD48-Table2[[#This Row],[4F B2B unit ]]</f>
        <v>0</v>
      </c>
      <c r="FP47">
        <f>BL48-Table2[[#This Row],[2F1 - PDB 6 - Bread, B2B section]]</f>
        <v>0</v>
      </c>
      <c r="FQ47">
        <f>(CG48-Table2[[#This Row],[9F5 - PDB 14 - Bread Lift]])</f>
        <v>0</v>
      </c>
      <c r="FR47">
        <f>CJ48-Table2[[#This Row],[PDB - 16 Bread Section]]</f>
        <v>0</v>
      </c>
      <c r="FS47">
        <f>BU48-Table2[[#This Row],[7F1 Donut Production area]]</f>
        <v>0</v>
      </c>
      <c r="FT47">
        <f>CB48-Table2[[#This Row],[8F5 Donut Ban Bary]]</f>
        <v>0</v>
      </c>
      <c r="FU47">
        <f>CF48-Table2[[#This Row],[9F4 - PDB 13 - Donut Sink Geyser area]]</f>
        <v>0</v>
      </c>
      <c r="FV47">
        <f>BV48-Table2[[#This Row],[7F2 Flour Silo]]</f>
        <v>0</v>
      </c>
      <c r="FW47">
        <f>BY48-Table2[[#This Row],[8F2 ACPDB - 3 SILO Ventilation]]</f>
        <v>0</v>
      </c>
      <c r="FX47">
        <f>J48-Table2[[#This Row],[DG 1010KVA Running Hours]]</f>
        <v>0</v>
      </c>
      <c r="FY47">
        <f>K48-Table2[[#This Row],[DG 1010 KVA Meter Reading]]</f>
        <v>0</v>
      </c>
      <c r="FZ47">
        <f>L48-Table2[[#This Row],[GG 1010 KVA Running Hours]]</f>
        <v>0</v>
      </c>
      <c r="GA47">
        <f>M48-Table2[[#This Row],[GG 1010 KVA Meter Reading]]</f>
        <v>0</v>
      </c>
    </row>
    <row r="48" spans="1:183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>
        <f>Table2[[#This Row],[Date]]</f>
        <v>0</v>
      </c>
      <c r="DI48">
        <f>(DD49-Table2[[#This Row],[MWH Total]])*4000</f>
        <v>0</v>
      </c>
      <c r="DJ48">
        <f>(DA49-Table2[[#This Row],[PNG Meter (Outside)]])*2.936</f>
        <v>0</v>
      </c>
      <c r="DK48">
        <f>(DB49-Table2[[#This Row],[PNG Meter (Inside)]])*2.936</f>
        <v>0</v>
      </c>
      <c r="DL48">
        <f>(BH49-Table2[[#This Row],[3F Dough cooler - 2 ]])*1000</f>
        <v>0</v>
      </c>
      <c r="DM48">
        <f>(BI49-Table2[[#This Row],[3F Dough Cooler- 1]])*1000</f>
        <v>0</v>
      </c>
      <c r="DN48">
        <f>(BJ49-Table2[[#This Row],[4F Dough Production cooling Unit]])*1000</f>
        <v>0</v>
      </c>
      <c r="DO48">
        <f>(BQ49-Table2[[#This Row],[3F2 - PDB 3 - Dough Production Area]])*1000</f>
        <v>0</v>
      </c>
      <c r="DP48">
        <f>(BR49-Table2[[#This Row],[3F3 - PDB 4 - Dough Area]])*1000</f>
        <v>0</v>
      </c>
      <c r="DQ48">
        <f>AC49-Table2[[#This Row],[16F1 Tray washer Panel for Light]]</f>
        <v>0</v>
      </c>
      <c r="DR48">
        <f>CQ49-Table2[[#This Row],[2F1 Tray Washer - 1]]</f>
        <v>0</v>
      </c>
      <c r="DS48">
        <f>CS49-Table2[[#This Row],[2F5 Destacker]]</f>
        <v>0</v>
      </c>
      <c r="DT48">
        <f>CU49-Table2[[#This Row],[5F1 Metering (TW-2)]]</f>
        <v>0</v>
      </c>
      <c r="DU48">
        <f>CV49-Table2[[#This Row],[6F1 Pre soaker Tray washer]]</f>
        <v>0</v>
      </c>
      <c r="DV48">
        <f>CZ49-Table2[[#This Row],[6F5 Vent tray Storage]]</f>
        <v>0</v>
      </c>
      <c r="DW48">
        <f>I49-Table2[[#This Row],[Popeyes Meter ]]</f>
        <v>0</v>
      </c>
      <c r="DX48">
        <f>AZ49-Table2[[#This Row],[2F WH Chiller, Segregation Area]]</f>
        <v>0</v>
      </c>
      <c r="DY48">
        <f>BA49-Table2[[#This Row],[3F1 AC Unit WH dock cooling - 2 Nos]]</f>
        <v>0</v>
      </c>
      <c r="DZ48">
        <f>BB49-Table2[[#This Row],[3F2 AC Unit WH dock cooling - 3 Nos]]</f>
        <v>0</v>
      </c>
      <c r="EA48">
        <f>(BK49-Table2[[#This Row],[5F WH Perishable]])*1000</f>
        <v>0</v>
      </c>
      <c r="EB48">
        <f>BN49-Table2[[#This Row],[2F3 - PDB 9 - WH Dock Leveler Door ]]</f>
        <v>0</v>
      </c>
      <c r="EC48">
        <f>BP49-Table2[[#This Row],[3F1 - PDB 5 - WH HSD]]</f>
        <v>0</v>
      </c>
      <c r="ED48">
        <f>BX49-Table2[[#This Row],[8F1 WH Dock AHU - Ventilation]]</f>
        <v>0</v>
      </c>
      <c r="EE48">
        <f>BZ49-Table2[[#This Row],[8F3 ACPDB - 4 WH Dock air curtain]]</f>
        <v>0</v>
      </c>
      <c r="EF48">
        <f>CA49-Table2[[#This Row],[8F4 WH Light]]</f>
        <v>0</v>
      </c>
      <c r="EG48">
        <f>CC49-Table2[[#This Row],[9F1 - PDB 10 - WH Dock door &amp; Office]]</f>
        <v>0</v>
      </c>
      <c r="EH48">
        <f>CD49-Table2[[#This Row],[9F2 - PDB 11 - WH flycatchers]]</f>
        <v>0</v>
      </c>
      <c r="EI48">
        <f>CE49-Table2[[#This Row],[9F3 - PDB 12 - Other items]]</f>
        <v>0</v>
      </c>
      <c r="EJ48">
        <f>CR49-Table2[[#This Row],[2F3 - PDB 1 - Dock 1 to 4 ]]</f>
        <v>0</v>
      </c>
      <c r="EK48">
        <f>BM49-Table2[[#This Row],[2F2 - PDB 3 - WH Truck &amp; Battery Charging]]</f>
        <v>0</v>
      </c>
      <c r="EL48">
        <f>(CK49-Table2[[#This Row],[PDB - 11 Truck Charging]])*1000</f>
        <v>0</v>
      </c>
      <c r="EM48">
        <f>P49-Table2[[#This Row],[5F3 Admin Area]]</f>
        <v>0</v>
      </c>
      <c r="EN48">
        <f>AH49-Table2[[#This Row],[2F5 Main Gate-1 Piller -1]]</f>
        <v>0</v>
      </c>
      <c r="EO48">
        <f>CW49-Table2[[#This Row],[6F2 Ground Floor AC]]</f>
        <v>0</v>
      </c>
      <c r="EP48">
        <f>CX49-Table2[[#This Row],[6F3 ACBD -1 (First floor AC)]]</f>
        <v>0</v>
      </c>
      <c r="EQ48">
        <f>CY49-Table2[[#This Row],[6F4 ACBD - 2 (Second &amp; Third floor AC)]]</f>
        <v>0</v>
      </c>
      <c r="ER48">
        <f>(BC49-Table2[[#This Row],[4F Old BMC cooling Unit]])</f>
        <v>0</v>
      </c>
      <c r="ES48">
        <f>BO49-Table2[[#This Row],[2F4 - Old BMC]]</f>
        <v>0</v>
      </c>
      <c r="ET48">
        <f>Y49-Table2[[#This Row],[14F2 New CK]]</f>
        <v>0</v>
      </c>
      <c r="EU48">
        <f>(CL49-Table2[[#This Row],[OLD Ck Panel-1]])*1000</f>
        <v>0</v>
      </c>
      <c r="EV48">
        <f>CM49-Table2[[#This Row],[2F4 Old CK Blast (Blue star)]]</f>
        <v>0</v>
      </c>
      <c r="EW48">
        <f>CN49-Table2[[#This Row],[3F6 Old CK Blast (Carrier)]]</f>
        <v>0</v>
      </c>
      <c r="EX48">
        <f>(CO49-Table2[[#This Row],[Old CK Panel -2]])*1000</f>
        <v>0</v>
      </c>
      <c r="EY48">
        <f>N49-Table2[[#This Row],[4F1 Main UPS 1/C -1]]</f>
        <v>0</v>
      </c>
      <c r="EZ48">
        <f>Z49-Table2[[#This Row],[15F1 Main UPS Panel - I/C - 2]]</f>
        <v>0</v>
      </c>
      <c r="FA48">
        <f>BF49-Table2[[#This Row],[2F CLC -1 AC unit - 2]]</f>
        <v>0</v>
      </c>
      <c r="FB48">
        <f>(BG49-Table2[[#This Row],[2F CLC Anti room]])*1000</f>
        <v>0</v>
      </c>
      <c r="FC48">
        <f>BW49-Table2[[#This Row],[7F3 CLC Power Panel]]</f>
        <v>0</v>
      </c>
      <c r="FD48">
        <f>(CI49-Table2[[#This Row],[PDB - 17 CLC Section ]])*1000</f>
        <v>0</v>
      </c>
      <c r="FE48">
        <f>(W49-Table2[[#This Row],[13F3 Water &amp; Lift Old CK]])*1000</f>
        <v>0</v>
      </c>
      <c r="FF48">
        <f>AA49-Table2[[#This Row],[15F2 New ETP Panel]]</f>
        <v>0</v>
      </c>
      <c r="FG48">
        <f>AL49-Table2[[#This Row],[3F4 Old ETP Panel]]</f>
        <v>0</v>
      </c>
      <c r="FH48">
        <f>AF49-Table2[[#This Row],[2F1 RO Plant]]</f>
        <v>0</v>
      </c>
      <c r="FI48">
        <f>AK49-Table2[[#This Row],[3F3 Fire Hydrant Panel]]</f>
        <v>0</v>
      </c>
      <c r="FJ48">
        <f>R49-Table2[[#This Row],[7F1 Freon System Panel]]</f>
        <v>0</v>
      </c>
      <c r="FK48">
        <f>(AE49-Table2[[#This Row],[21F1 Refrigeration Ammonia]])*1000</f>
        <v>0</v>
      </c>
      <c r="FL48">
        <f>(AG49-Table2[[#This Row],[2F3 Air Compressor]])*1000</f>
        <v>0</v>
      </c>
      <c r="FM48">
        <f>(AX49-Table2[[#This Row],[Solar Reading Panel II]])*1000</f>
        <v>0</v>
      </c>
      <c r="FN48">
        <f>AI49-Table2[[#This Row],[3F1 Maintenance Workshop]]</f>
        <v>0</v>
      </c>
      <c r="FO48">
        <f>BD49-Table2[[#This Row],[4F B2B unit ]]</f>
        <v>0</v>
      </c>
      <c r="FP48">
        <f>BL49-Table2[[#This Row],[2F1 - PDB 6 - Bread, B2B section]]</f>
        <v>0</v>
      </c>
      <c r="FQ48">
        <f>(CG49-Table2[[#This Row],[9F5 - PDB 14 - Bread Lift]])</f>
        <v>0</v>
      </c>
      <c r="FR48">
        <f>CJ49-Table2[[#This Row],[PDB - 16 Bread Section]]</f>
        <v>0</v>
      </c>
      <c r="FS48">
        <f>BU49-Table2[[#This Row],[7F1 Donut Production area]]</f>
        <v>0</v>
      </c>
      <c r="FT48">
        <f>CB49-Table2[[#This Row],[8F5 Donut Ban Bary]]</f>
        <v>0</v>
      </c>
      <c r="FU48">
        <f>CF49-Table2[[#This Row],[9F4 - PDB 13 - Donut Sink Geyser area]]</f>
        <v>0</v>
      </c>
      <c r="FV48">
        <f>BV49-Table2[[#This Row],[7F2 Flour Silo]]</f>
        <v>0</v>
      </c>
      <c r="FW48">
        <f>BY49-Table2[[#This Row],[8F2 ACPDB - 3 SILO Ventilation]]</f>
        <v>0</v>
      </c>
      <c r="FX48">
        <f>J49-Table2[[#This Row],[DG 1010KVA Running Hours]]</f>
        <v>0</v>
      </c>
      <c r="FY48">
        <f>K49-Table2[[#This Row],[DG 1010 KVA Meter Reading]]</f>
        <v>0</v>
      </c>
      <c r="FZ48">
        <f>L49-Table2[[#This Row],[GG 1010 KVA Running Hours]]</f>
        <v>0</v>
      </c>
      <c r="GA48">
        <f>M49-Table2[[#This Row],[GG 1010 KVA Meter Reading]]</f>
        <v>0</v>
      </c>
    </row>
    <row r="49" spans="1:183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>
        <f>Table2[[#This Row],[Date]]</f>
        <v>0</v>
      </c>
      <c r="DI49">
        <f>(DD50-Table2[[#This Row],[MWH Total]])*4000</f>
        <v>0</v>
      </c>
      <c r="DJ49">
        <f>(DA50-Table2[[#This Row],[PNG Meter (Outside)]])*2.936</f>
        <v>0</v>
      </c>
      <c r="DK49">
        <f>(DB50-Table2[[#This Row],[PNG Meter (Inside)]])*2.936</f>
        <v>0</v>
      </c>
      <c r="DL49">
        <f>(BH50-Table2[[#This Row],[3F Dough cooler - 2 ]])*1000</f>
        <v>0</v>
      </c>
      <c r="DM49">
        <f>(BI50-Table2[[#This Row],[3F Dough Cooler- 1]])*1000</f>
        <v>0</v>
      </c>
      <c r="DN49">
        <f>(BJ50-Table2[[#This Row],[4F Dough Production cooling Unit]])*1000</f>
        <v>0</v>
      </c>
      <c r="DO49">
        <f>(BQ50-Table2[[#This Row],[3F2 - PDB 3 - Dough Production Area]])*1000</f>
        <v>0</v>
      </c>
      <c r="DP49">
        <f>(BR50-Table2[[#This Row],[3F3 - PDB 4 - Dough Area]])*1000</f>
        <v>0</v>
      </c>
      <c r="DQ49">
        <f>AC50-Table2[[#This Row],[16F1 Tray washer Panel for Light]]</f>
        <v>0</v>
      </c>
      <c r="DR49">
        <f>CQ50-Table2[[#This Row],[2F1 Tray Washer - 1]]</f>
        <v>0</v>
      </c>
      <c r="DS49">
        <f>CS50-Table2[[#This Row],[2F5 Destacker]]</f>
        <v>0</v>
      </c>
      <c r="DT49">
        <f>CU50-Table2[[#This Row],[5F1 Metering (TW-2)]]</f>
        <v>0</v>
      </c>
      <c r="DU49">
        <f>CV50-Table2[[#This Row],[6F1 Pre soaker Tray washer]]</f>
        <v>0</v>
      </c>
      <c r="DV49">
        <f>CZ50-Table2[[#This Row],[6F5 Vent tray Storage]]</f>
        <v>0</v>
      </c>
      <c r="DW49">
        <f>I50-Table2[[#This Row],[Popeyes Meter ]]</f>
        <v>0</v>
      </c>
      <c r="DX49">
        <f>AZ50-Table2[[#This Row],[2F WH Chiller, Segregation Area]]</f>
        <v>0</v>
      </c>
      <c r="DY49">
        <f>BA50-Table2[[#This Row],[3F1 AC Unit WH dock cooling - 2 Nos]]</f>
        <v>0</v>
      </c>
      <c r="DZ49">
        <f>BB50-Table2[[#This Row],[3F2 AC Unit WH dock cooling - 3 Nos]]</f>
        <v>0</v>
      </c>
      <c r="EA49">
        <f>(BK50-Table2[[#This Row],[5F WH Perishable]])*1000</f>
        <v>0</v>
      </c>
      <c r="EB49">
        <f>BN50-Table2[[#This Row],[2F3 - PDB 9 - WH Dock Leveler Door ]]</f>
        <v>0</v>
      </c>
      <c r="EC49">
        <f>BP50-Table2[[#This Row],[3F1 - PDB 5 - WH HSD]]</f>
        <v>0</v>
      </c>
      <c r="ED49">
        <f>BX50-Table2[[#This Row],[8F1 WH Dock AHU - Ventilation]]</f>
        <v>0</v>
      </c>
      <c r="EE49">
        <f>BZ50-Table2[[#This Row],[8F3 ACPDB - 4 WH Dock air curtain]]</f>
        <v>0</v>
      </c>
      <c r="EF49">
        <f>CA50-Table2[[#This Row],[8F4 WH Light]]</f>
        <v>0</v>
      </c>
      <c r="EG49">
        <f>CC50-Table2[[#This Row],[9F1 - PDB 10 - WH Dock door &amp; Office]]</f>
        <v>0</v>
      </c>
      <c r="EH49">
        <f>CD50-Table2[[#This Row],[9F2 - PDB 11 - WH flycatchers]]</f>
        <v>0</v>
      </c>
      <c r="EI49">
        <f>CE50-Table2[[#This Row],[9F3 - PDB 12 - Other items]]</f>
        <v>0</v>
      </c>
      <c r="EJ49">
        <f>CR50-Table2[[#This Row],[2F3 - PDB 1 - Dock 1 to 4 ]]</f>
        <v>0</v>
      </c>
      <c r="EK49">
        <f>BM50-Table2[[#This Row],[2F2 - PDB 3 - WH Truck &amp; Battery Charging]]</f>
        <v>0</v>
      </c>
      <c r="EL49">
        <f>(CK50-Table2[[#This Row],[PDB - 11 Truck Charging]])*1000</f>
        <v>0</v>
      </c>
      <c r="EM49">
        <f>P50-Table2[[#This Row],[5F3 Admin Area]]</f>
        <v>0</v>
      </c>
      <c r="EN49">
        <f>AH50-Table2[[#This Row],[2F5 Main Gate-1 Piller -1]]</f>
        <v>0</v>
      </c>
      <c r="EO49">
        <f>CW50-Table2[[#This Row],[6F2 Ground Floor AC]]</f>
        <v>0</v>
      </c>
      <c r="EP49">
        <f>CX50-Table2[[#This Row],[6F3 ACBD -1 (First floor AC)]]</f>
        <v>0</v>
      </c>
      <c r="EQ49">
        <f>CY50-Table2[[#This Row],[6F4 ACBD - 2 (Second &amp; Third floor AC)]]</f>
        <v>0</v>
      </c>
      <c r="ER49">
        <f>(BC50-Table2[[#This Row],[4F Old BMC cooling Unit]])</f>
        <v>0</v>
      </c>
      <c r="ES49">
        <f>BO50-Table2[[#This Row],[2F4 - Old BMC]]</f>
        <v>0</v>
      </c>
      <c r="ET49">
        <f>Y50-Table2[[#This Row],[14F2 New CK]]</f>
        <v>0</v>
      </c>
      <c r="EU49">
        <f>(CL50-Table2[[#This Row],[OLD Ck Panel-1]])*1000</f>
        <v>0</v>
      </c>
      <c r="EV49">
        <f>CM50-Table2[[#This Row],[2F4 Old CK Blast (Blue star)]]</f>
        <v>0</v>
      </c>
      <c r="EW49">
        <f>CN50-Table2[[#This Row],[3F6 Old CK Blast (Carrier)]]</f>
        <v>0</v>
      </c>
      <c r="EX49">
        <f>(CO50-Table2[[#This Row],[Old CK Panel -2]])*1000</f>
        <v>0</v>
      </c>
      <c r="EY49">
        <f>N50-Table2[[#This Row],[4F1 Main UPS 1/C -1]]</f>
        <v>0</v>
      </c>
      <c r="EZ49">
        <f>Z50-Table2[[#This Row],[15F1 Main UPS Panel - I/C - 2]]</f>
        <v>0</v>
      </c>
      <c r="FA49">
        <f>BF50-Table2[[#This Row],[2F CLC -1 AC unit - 2]]</f>
        <v>0</v>
      </c>
      <c r="FB49">
        <f>(BG50-Table2[[#This Row],[2F CLC Anti room]])*1000</f>
        <v>0</v>
      </c>
      <c r="FC49">
        <f>BW50-Table2[[#This Row],[7F3 CLC Power Panel]]</f>
        <v>0</v>
      </c>
      <c r="FD49">
        <f>(CI50-Table2[[#This Row],[PDB - 17 CLC Section ]])*1000</f>
        <v>0</v>
      </c>
      <c r="FE49">
        <f>(W50-Table2[[#This Row],[13F3 Water &amp; Lift Old CK]])*1000</f>
        <v>0</v>
      </c>
      <c r="FF49">
        <f>AA50-Table2[[#This Row],[15F2 New ETP Panel]]</f>
        <v>0</v>
      </c>
      <c r="FG49">
        <f>AL50-Table2[[#This Row],[3F4 Old ETP Panel]]</f>
        <v>0</v>
      </c>
      <c r="FH49">
        <f>AF50-Table2[[#This Row],[2F1 RO Plant]]</f>
        <v>0</v>
      </c>
      <c r="FI49">
        <f>AK50-Table2[[#This Row],[3F3 Fire Hydrant Panel]]</f>
        <v>0</v>
      </c>
      <c r="FJ49">
        <f>R50-Table2[[#This Row],[7F1 Freon System Panel]]</f>
        <v>0</v>
      </c>
      <c r="FK49">
        <f>(AE50-Table2[[#This Row],[21F1 Refrigeration Ammonia]])*1000</f>
        <v>0</v>
      </c>
      <c r="FL49">
        <f>(AG50-Table2[[#This Row],[2F3 Air Compressor]])*1000</f>
        <v>0</v>
      </c>
      <c r="FM49">
        <f>(AX50-Table2[[#This Row],[Solar Reading Panel II]])*1000</f>
        <v>0</v>
      </c>
      <c r="FN49">
        <f>AI50-Table2[[#This Row],[3F1 Maintenance Workshop]]</f>
        <v>0</v>
      </c>
      <c r="FO49">
        <f>BD50-Table2[[#This Row],[4F B2B unit ]]</f>
        <v>0</v>
      </c>
      <c r="FP49">
        <f>BL50-Table2[[#This Row],[2F1 - PDB 6 - Bread, B2B section]]</f>
        <v>0</v>
      </c>
      <c r="FQ49">
        <f>(CG50-Table2[[#This Row],[9F5 - PDB 14 - Bread Lift]])</f>
        <v>0</v>
      </c>
      <c r="FR49">
        <f>CJ50-Table2[[#This Row],[PDB - 16 Bread Section]]</f>
        <v>0</v>
      </c>
      <c r="FS49">
        <f>BU50-Table2[[#This Row],[7F1 Donut Production area]]</f>
        <v>0</v>
      </c>
      <c r="FT49">
        <f>CB50-Table2[[#This Row],[8F5 Donut Ban Bary]]</f>
        <v>0</v>
      </c>
      <c r="FU49">
        <f>CF50-Table2[[#This Row],[9F4 - PDB 13 - Donut Sink Geyser area]]</f>
        <v>0</v>
      </c>
      <c r="FV49">
        <f>BV50-Table2[[#This Row],[7F2 Flour Silo]]</f>
        <v>0</v>
      </c>
      <c r="FW49">
        <f>BY50-Table2[[#This Row],[8F2 ACPDB - 3 SILO Ventilation]]</f>
        <v>0</v>
      </c>
      <c r="FX49">
        <f>J50-Table2[[#This Row],[DG 1010KVA Running Hours]]</f>
        <v>0</v>
      </c>
      <c r="FY49">
        <f>K50-Table2[[#This Row],[DG 1010 KVA Meter Reading]]</f>
        <v>0</v>
      </c>
      <c r="FZ49">
        <f>L50-Table2[[#This Row],[GG 1010 KVA Running Hours]]</f>
        <v>0</v>
      </c>
      <c r="GA49">
        <f>M50-Table2[[#This Row],[GG 1010 KVA Meter Reading]]</f>
        <v>0</v>
      </c>
    </row>
    <row r="50" spans="1:183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>
        <f>Table2[[#This Row],[Date]]</f>
        <v>0</v>
      </c>
      <c r="DI50">
        <f>(DD51-Table2[[#This Row],[MWH Total]])*4000</f>
        <v>0</v>
      </c>
      <c r="DJ50">
        <f>(DA51-Table2[[#This Row],[PNG Meter (Outside)]])*2.936</f>
        <v>0</v>
      </c>
      <c r="DK50">
        <f>(DB51-Table2[[#This Row],[PNG Meter (Inside)]])*2.936</f>
        <v>0</v>
      </c>
      <c r="DL50">
        <f>(BH51-Table2[[#This Row],[3F Dough cooler - 2 ]])*1000</f>
        <v>0</v>
      </c>
      <c r="DM50">
        <f>(BI51-Table2[[#This Row],[3F Dough Cooler- 1]])*1000</f>
        <v>0</v>
      </c>
      <c r="DN50">
        <f>(BJ51-Table2[[#This Row],[4F Dough Production cooling Unit]])*1000</f>
        <v>0</v>
      </c>
      <c r="DO50">
        <f>(BQ51-Table2[[#This Row],[3F2 - PDB 3 - Dough Production Area]])*1000</f>
        <v>0</v>
      </c>
      <c r="DP50">
        <f>(BR51-Table2[[#This Row],[3F3 - PDB 4 - Dough Area]])*1000</f>
        <v>0</v>
      </c>
      <c r="DQ50">
        <f>AC51-Table2[[#This Row],[16F1 Tray washer Panel for Light]]</f>
        <v>0</v>
      </c>
      <c r="DR50">
        <f>CQ51-Table2[[#This Row],[2F1 Tray Washer - 1]]</f>
        <v>0</v>
      </c>
      <c r="DS50">
        <f>CS51-Table2[[#This Row],[2F5 Destacker]]</f>
        <v>0</v>
      </c>
      <c r="DT50">
        <f>CU51-Table2[[#This Row],[5F1 Metering (TW-2)]]</f>
        <v>0</v>
      </c>
      <c r="DU50">
        <f>CV51-Table2[[#This Row],[6F1 Pre soaker Tray washer]]</f>
        <v>0</v>
      </c>
      <c r="DV50">
        <f>CZ51-Table2[[#This Row],[6F5 Vent tray Storage]]</f>
        <v>0</v>
      </c>
      <c r="DW50">
        <f>I51-Table2[[#This Row],[Popeyes Meter ]]</f>
        <v>0</v>
      </c>
      <c r="DX50">
        <f>AZ51-Table2[[#This Row],[2F WH Chiller, Segregation Area]]</f>
        <v>0</v>
      </c>
      <c r="DY50">
        <f>BA51-Table2[[#This Row],[3F1 AC Unit WH dock cooling - 2 Nos]]</f>
        <v>0</v>
      </c>
      <c r="DZ50">
        <f>BB51-Table2[[#This Row],[3F2 AC Unit WH dock cooling - 3 Nos]]</f>
        <v>0</v>
      </c>
      <c r="EA50">
        <f>(BK51-Table2[[#This Row],[5F WH Perishable]])*1000</f>
        <v>0</v>
      </c>
      <c r="EB50">
        <f>BN51-Table2[[#This Row],[2F3 - PDB 9 - WH Dock Leveler Door ]]</f>
        <v>0</v>
      </c>
      <c r="EC50">
        <f>BP51-Table2[[#This Row],[3F1 - PDB 5 - WH HSD]]</f>
        <v>0</v>
      </c>
      <c r="ED50">
        <f>BX51-Table2[[#This Row],[8F1 WH Dock AHU - Ventilation]]</f>
        <v>0</v>
      </c>
      <c r="EE50">
        <f>BZ51-Table2[[#This Row],[8F3 ACPDB - 4 WH Dock air curtain]]</f>
        <v>0</v>
      </c>
      <c r="EF50">
        <f>CA51-Table2[[#This Row],[8F4 WH Light]]</f>
        <v>0</v>
      </c>
      <c r="EG50">
        <f>CC51-Table2[[#This Row],[9F1 - PDB 10 - WH Dock door &amp; Office]]</f>
        <v>0</v>
      </c>
      <c r="EH50">
        <f>CD51-Table2[[#This Row],[9F2 - PDB 11 - WH flycatchers]]</f>
        <v>0</v>
      </c>
      <c r="EI50">
        <f>CE51-Table2[[#This Row],[9F3 - PDB 12 - Other items]]</f>
        <v>0</v>
      </c>
      <c r="EJ50">
        <f>CR51-Table2[[#This Row],[2F3 - PDB 1 - Dock 1 to 4 ]]</f>
        <v>0</v>
      </c>
      <c r="EK50">
        <f>BM51-Table2[[#This Row],[2F2 - PDB 3 - WH Truck &amp; Battery Charging]]</f>
        <v>0</v>
      </c>
      <c r="EL50">
        <f>(CK51-Table2[[#This Row],[PDB - 11 Truck Charging]])*1000</f>
        <v>0</v>
      </c>
      <c r="EM50">
        <f>P51-Table2[[#This Row],[5F3 Admin Area]]</f>
        <v>0</v>
      </c>
      <c r="EN50">
        <f>AH51-Table2[[#This Row],[2F5 Main Gate-1 Piller -1]]</f>
        <v>0</v>
      </c>
      <c r="EO50">
        <f>CW51-Table2[[#This Row],[6F2 Ground Floor AC]]</f>
        <v>0</v>
      </c>
      <c r="EP50">
        <f>CX51-Table2[[#This Row],[6F3 ACBD -1 (First floor AC)]]</f>
        <v>0</v>
      </c>
      <c r="EQ50">
        <f>CY51-Table2[[#This Row],[6F4 ACBD - 2 (Second &amp; Third floor AC)]]</f>
        <v>0</v>
      </c>
      <c r="ER50">
        <f>(BC51-Table2[[#This Row],[4F Old BMC cooling Unit]])</f>
        <v>0</v>
      </c>
      <c r="ES50">
        <f>BO51-Table2[[#This Row],[2F4 - Old BMC]]</f>
        <v>0</v>
      </c>
      <c r="ET50">
        <f>Y51-Table2[[#This Row],[14F2 New CK]]</f>
        <v>0</v>
      </c>
      <c r="EU50">
        <f>(CL51-Table2[[#This Row],[OLD Ck Panel-1]])*1000</f>
        <v>0</v>
      </c>
      <c r="EV50">
        <f>CM51-Table2[[#This Row],[2F4 Old CK Blast (Blue star)]]</f>
        <v>0</v>
      </c>
      <c r="EW50">
        <f>CN51-Table2[[#This Row],[3F6 Old CK Blast (Carrier)]]</f>
        <v>0</v>
      </c>
      <c r="EX50">
        <f>(CO51-Table2[[#This Row],[Old CK Panel -2]])*1000</f>
        <v>0</v>
      </c>
      <c r="EY50">
        <f>N51-Table2[[#This Row],[4F1 Main UPS 1/C -1]]</f>
        <v>0</v>
      </c>
      <c r="EZ50">
        <f>Z51-Table2[[#This Row],[15F1 Main UPS Panel - I/C - 2]]</f>
        <v>0</v>
      </c>
      <c r="FA50">
        <f>BF51-Table2[[#This Row],[2F CLC -1 AC unit - 2]]</f>
        <v>0</v>
      </c>
      <c r="FB50">
        <f>(BG51-Table2[[#This Row],[2F CLC Anti room]])*1000</f>
        <v>0</v>
      </c>
      <c r="FC50">
        <f>BW51-Table2[[#This Row],[7F3 CLC Power Panel]]</f>
        <v>0</v>
      </c>
      <c r="FD50">
        <f>(CI51-Table2[[#This Row],[PDB - 17 CLC Section ]])*1000</f>
        <v>0</v>
      </c>
      <c r="FE50">
        <f>(W51-Table2[[#This Row],[13F3 Water &amp; Lift Old CK]])*1000</f>
        <v>0</v>
      </c>
      <c r="FF50">
        <f>AA51-Table2[[#This Row],[15F2 New ETP Panel]]</f>
        <v>0</v>
      </c>
      <c r="FG50">
        <f>AL51-Table2[[#This Row],[3F4 Old ETP Panel]]</f>
        <v>0</v>
      </c>
      <c r="FH50">
        <f>AF51-Table2[[#This Row],[2F1 RO Plant]]</f>
        <v>0</v>
      </c>
      <c r="FI50">
        <f>AK51-Table2[[#This Row],[3F3 Fire Hydrant Panel]]</f>
        <v>0</v>
      </c>
      <c r="FJ50">
        <f>R51-Table2[[#This Row],[7F1 Freon System Panel]]</f>
        <v>0</v>
      </c>
      <c r="FK50">
        <f>(AE51-Table2[[#This Row],[21F1 Refrigeration Ammonia]])*1000</f>
        <v>0</v>
      </c>
      <c r="FL50">
        <f>(AG51-Table2[[#This Row],[2F3 Air Compressor]])*1000</f>
        <v>0</v>
      </c>
      <c r="FM50">
        <f>(AX51-Table2[[#This Row],[Solar Reading Panel II]])*1000</f>
        <v>0</v>
      </c>
      <c r="FN50">
        <f>AI51-Table2[[#This Row],[3F1 Maintenance Workshop]]</f>
        <v>0</v>
      </c>
      <c r="FO50">
        <f>BD51-Table2[[#This Row],[4F B2B unit ]]</f>
        <v>0</v>
      </c>
      <c r="FP50">
        <f>BL51-Table2[[#This Row],[2F1 - PDB 6 - Bread, B2B section]]</f>
        <v>0</v>
      </c>
      <c r="FQ50">
        <f>(CG51-Table2[[#This Row],[9F5 - PDB 14 - Bread Lift]])</f>
        <v>0</v>
      </c>
      <c r="FR50">
        <f>CJ51-Table2[[#This Row],[PDB - 16 Bread Section]]</f>
        <v>0</v>
      </c>
      <c r="FS50">
        <f>BU51-Table2[[#This Row],[7F1 Donut Production area]]</f>
        <v>0</v>
      </c>
      <c r="FT50">
        <f>CB51-Table2[[#This Row],[8F5 Donut Ban Bary]]</f>
        <v>0</v>
      </c>
      <c r="FU50">
        <f>CF51-Table2[[#This Row],[9F4 - PDB 13 - Donut Sink Geyser area]]</f>
        <v>0</v>
      </c>
      <c r="FV50">
        <f>BV51-Table2[[#This Row],[7F2 Flour Silo]]</f>
        <v>0</v>
      </c>
      <c r="FW50">
        <f>BY51-Table2[[#This Row],[8F2 ACPDB - 3 SILO Ventilation]]</f>
        <v>0</v>
      </c>
      <c r="FX50">
        <f>J51-Table2[[#This Row],[DG 1010KVA Running Hours]]</f>
        <v>0</v>
      </c>
      <c r="FY50">
        <f>K51-Table2[[#This Row],[DG 1010 KVA Meter Reading]]</f>
        <v>0</v>
      </c>
      <c r="FZ50">
        <f>L51-Table2[[#This Row],[GG 1010 KVA Running Hours]]</f>
        <v>0</v>
      </c>
      <c r="GA50">
        <f>M51-Table2[[#This Row],[GG 1010 KVA Meter Reading]]</f>
        <v>0</v>
      </c>
    </row>
    <row r="51" spans="1:183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4">
        <f>Table2[[#This Row],[Date]]</f>
        <v>0</v>
      </c>
      <c r="DI51">
        <f>(DD52-Table2[[#This Row],[MWH Total]])*4000</f>
        <v>0</v>
      </c>
      <c r="DJ51">
        <f>(DA52-Table2[[#This Row],[PNG Meter (Outside)]])*2.936</f>
        <v>0</v>
      </c>
      <c r="DK51">
        <f>(DB52-Table2[[#This Row],[PNG Meter (Inside)]])*2.936</f>
        <v>0</v>
      </c>
      <c r="DL51">
        <f>(BH52-Table2[[#This Row],[3F Dough cooler - 2 ]])*1000</f>
        <v>0</v>
      </c>
      <c r="DM51">
        <f>(BI52-Table2[[#This Row],[3F Dough Cooler- 1]])*1000</f>
        <v>0</v>
      </c>
      <c r="DN51">
        <f>(BJ52-Table2[[#This Row],[4F Dough Production cooling Unit]])*1000</f>
        <v>0</v>
      </c>
      <c r="DO51">
        <f>(BQ52-Table2[[#This Row],[3F2 - PDB 3 - Dough Production Area]])*1000</f>
        <v>0</v>
      </c>
      <c r="DP51">
        <f>(BR52-Table2[[#This Row],[3F3 - PDB 4 - Dough Area]])*1000</f>
        <v>0</v>
      </c>
      <c r="DQ51">
        <f>AC52-Table2[[#This Row],[16F1 Tray washer Panel for Light]]</f>
        <v>0</v>
      </c>
      <c r="DR51">
        <f>CQ52-Table2[[#This Row],[2F1 Tray Washer - 1]]</f>
        <v>0</v>
      </c>
      <c r="DS51">
        <f>CS52-Table2[[#This Row],[2F5 Destacker]]</f>
        <v>0</v>
      </c>
      <c r="DT51">
        <f>CU52-Table2[[#This Row],[5F1 Metering (TW-2)]]</f>
        <v>0</v>
      </c>
      <c r="DU51">
        <f>CV52-Table2[[#This Row],[6F1 Pre soaker Tray washer]]</f>
        <v>0</v>
      </c>
      <c r="DV51">
        <f>CZ52-Table2[[#This Row],[6F5 Vent tray Storage]]</f>
        <v>0</v>
      </c>
      <c r="DW51">
        <f>I52-Table2[[#This Row],[Popeyes Meter ]]</f>
        <v>0</v>
      </c>
      <c r="DX51">
        <f>AZ52-Table2[[#This Row],[2F WH Chiller, Segregation Area]]</f>
        <v>0</v>
      </c>
      <c r="DY51">
        <f>BA52-Table2[[#This Row],[3F1 AC Unit WH dock cooling - 2 Nos]]</f>
        <v>0</v>
      </c>
      <c r="DZ51">
        <f>BB52-Table2[[#This Row],[3F2 AC Unit WH dock cooling - 3 Nos]]</f>
        <v>0</v>
      </c>
      <c r="EA51">
        <f>(BK52-Table2[[#This Row],[5F WH Perishable]])*1000</f>
        <v>0</v>
      </c>
      <c r="EB51">
        <f>BN52-Table2[[#This Row],[2F3 - PDB 9 - WH Dock Leveler Door ]]</f>
        <v>0</v>
      </c>
      <c r="EC51">
        <f>BP52-Table2[[#This Row],[3F1 - PDB 5 - WH HSD]]</f>
        <v>0</v>
      </c>
      <c r="ED51">
        <f>BX52-Table2[[#This Row],[8F1 WH Dock AHU - Ventilation]]</f>
        <v>0</v>
      </c>
      <c r="EE51">
        <f>BZ52-Table2[[#This Row],[8F3 ACPDB - 4 WH Dock air curtain]]</f>
        <v>0</v>
      </c>
      <c r="EF51">
        <f>CA52-Table2[[#This Row],[8F4 WH Light]]</f>
        <v>0</v>
      </c>
      <c r="EG51">
        <f>CC52-Table2[[#This Row],[9F1 - PDB 10 - WH Dock door &amp; Office]]</f>
        <v>0</v>
      </c>
      <c r="EH51">
        <f>CD52-Table2[[#This Row],[9F2 - PDB 11 - WH flycatchers]]</f>
        <v>0</v>
      </c>
      <c r="EI51">
        <f>CE52-Table2[[#This Row],[9F3 - PDB 12 - Other items]]</f>
        <v>0</v>
      </c>
      <c r="EJ51">
        <f>CR52-Table2[[#This Row],[2F3 - PDB 1 - Dock 1 to 4 ]]</f>
        <v>0</v>
      </c>
      <c r="EK51">
        <f>BM52-Table2[[#This Row],[2F2 - PDB 3 - WH Truck &amp; Battery Charging]]</f>
        <v>0</v>
      </c>
      <c r="EL51">
        <f>(CK52-Table2[[#This Row],[PDB - 11 Truck Charging]])*1000</f>
        <v>0</v>
      </c>
      <c r="EM51">
        <f>P52-Table2[[#This Row],[5F3 Admin Area]]</f>
        <v>0</v>
      </c>
      <c r="EN51">
        <f>AH52-Table2[[#This Row],[2F5 Main Gate-1 Piller -1]]</f>
        <v>0</v>
      </c>
      <c r="EO51">
        <f>CW52-Table2[[#This Row],[6F2 Ground Floor AC]]</f>
        <v>0</v>
      </c>
      <c r="EP51">
        <f>CX52-Table2[[#This Row],[6F3 ACBD -1 (First floor AC)]]</f>
        <v>0</v>
      </c>
      <c r="EQ51">
        <f>CY52-Table2[[#This Row],[6F4 ACBD - 2 (Second &amp; Third floor AC)]]</f>
        <v>0</v>
      </c>
      <c r="ER51">
        <f>(BC52-Table2[[#This Row],[4F Old BMC cooling Unit]])</f>
        <v>0</v>
      </c>
      <c r="ES51">
        <f>BO52-Table2[[#This Row],[2F4 - Old BMC]]</f>
        <v>0</v>
      </c>
      <c r="ET51">
        <f>Y52-Table2[[#This Row],[14F2 New CK]]</f>
        <v>0</v>
      </c>
      <c r="EU51">
        <f>(CL52-Table2[[#This Row],[OLD Ck Panel-1]])*1000</f>
        <v>0</v>
      </c>
      <c r="EV51">
        <f>CM52-Table2[[#This Row],[2F4 Old CK Blast (Blue star)]]</f>
        <v>0</v>
      </c>
      <c r="EW51">
        <f>CN52-Table2[[#This Row],[3F6 Old CK Blast (Carrier)]]</f>
        <v>0</v>
      </c>
      <c r="EX51">
        <f>(CO52-Table2[[#This Row],[Old CK Panel -2]])*1000</f>
        <v>0</v>
      </c>
      <c r="EY51">
        <f>N52-Table2[[#This Row],[4F1 Main UPS 1/C -1]]</f>
        <v>0</v>
      </c>
      <c r="EZ51">
        <f>Z52-Table2[[#This Row],[15F1 Main UPS Panel - I/C - 2]]</f>
        <v>0</v>
      </c>
      <c r="FA51">
        <f>BF52-Table2[[#This Row],[2F CLC -1 AC unit - 2]]</f>
        <v>0</v>
      </c>
      <c r="FB51">
        <f>(BG52-Table2[[#This Row],[2F CLC Anti room]])*1000</f>
        <v>0</v>
      </c>
      <c r="FC51">
        <f>BW52-Table2[[#This Row],[7F3 CLC Power Panel]]</f>
        <v>0</v>
      </c>
      <c r="FD51">
        <f>(CI52-Table2[[#This Row],[PDB - 17 CLC Section ]])*1000</f>
        <v>0</v>
      </c>
      <c r="FE51">
        <f>(W52-Table2[[#This Row],[13F3 Water &amp; Lift Old CK]])*1000</f>
        <v>0</v>
      </c>
      <c r="FF51">
        <f>AA52-Table2[[#This Row],[15F2 New ETP Panel]]</f>
        <v>0</v>
      </c>
      <c r="FG51">
        <f>AL52-Table2[[#This Row],[3F4 Old ETP Panel]]</f>
        <v>0</v>
      </c>
      <c r="FH51">
        <f>AF52-Table2[[#This Row],[2F1 RO Plant]]</f>
        <v>0</v>
      </c>
      <c r="FI51">
        <f>AK52-Table2[[#This Row],[3F3 Fire Hydrant Panel]]</f>
        <v>0</v>
      </c>
      <c r="FJ51">
        <f>R52-Table2[[#This Row],[7F1 Freon System Panel]]</f>
        <v>0</v>
      </c>
      <c r="FK51">
        <f>(AE52-Table2[[#This Row],[21F1 Refrigeration Ammonia]])*1000</f>
        <v>0</v>
      </c>
      <c r="FL51">
        <f>(AG52-Table2[[#This Row],[2F3 Air Compressor]])*1000</f>
        <v>0</v>
      </c>
      <c r="FM51">
        <f>(AX52-Table2[[#This Row],[Solar Reading Panel II]])*1000</f>
        <v>0</v>
      </c>
      <c r="FN51">
        <f>AI52-Table2[[#This Row],[3F1 Maintenance Workshop]]</f>
        <v>0</v>
      </c>
      <c r="FO51">
        <f>BD52-Table2[[#This Row],[4F B2B unit ]]</f>
        <v>0</v>
      </c>
      <c r="FP51">
        <f>BL52-Table2[[#This Row],[2F1 - PDB 6 - Bread, B2B section]]</f>
        <v>0</v>
      </c>
      <c r="FQ51">
        <f>(CG52-Table2[[#This Row],[9F5 - PDB 14 - Bread Lift]])</f>
        <v>0</v>
      </c>
      <c r="FR51">
        <f>CJ52-Table2[[#This Row],[PDB - 16 Bread Section]]</f>
        <v>0</v>
      </c>
      <c r="FS51">
        <f>BU52-Table2[[#This Row],[7F1 Donut Production area]]</f>
        <v>0</v>
      </c>
      <c r="FT51">
        <f>CB52-Table2[[#This Row],[8F5 Donut Ban Bary]]</f>
        <v>0</v>
      </c>
      <c r="FU51">
        <f>CF52-Table2[[#This Row],[9F4 - PDB 13 - Donut Sink Geyser area]]</f>
        <v>0</v>
      </c>
      <c r="FV51">
        <f>BV52-Table2[[#This Row],[7F2 Flour Silo]]</f>
        <v>0</v>
      </c>
      <c r="FW51">
        <f>BY52-Table2[[#This Row],[8F2 ACPDB - 3 SILO Ventilation]]</f>
        <v>0</v>
      </c>
      <c r="FX51">
        <f>J52-Table2[[#This Row],[DG 1010KVA Running Hours]]</f>
        <v>0</v>
      </c>
      <c r="FY51">
        <f>K52-Table2[[#This Row],[DG 1010 KVA Meter Reading]]</f>
        <v>0</v>
      </c>
      <c r="FZ51">
        <f>L52-Table2[[#This Row],[GG 1010 KVA Running Hours]]</f>
        <v>0</v>
      </c>
      <c r="GA51">
        <f>M52-Table2[[#This Row],[GG 1010 KVA Meter Reading]]</f>
        <v>0</v>
      </c>
    </row>
    <row r="52" spans="1:183" x14ac:dyDescent="0.35">
      <c r="DH52" s="4" t="e">
        <f>Table2[[#This Row],[Date]]</f>
        <v>#VALUE!</v>
      </c>
      <c r="DI52" t="e">
        <f>(DD53-Table2[[#This Row],[MWH Total]])*4000</f>
        <v>#VALUE!</v>
      </c>
      <c r="DJ52" t="e">
        <f>(DA53-Table2[[#This Row],[PNG Meter (Outside)]])*2.936</f>
        <v>#VALUE!</v>
      </c>
      <c r="DK52" t="e">
        <f>(DB53-Table2[[#This Row],[PNG Meter (Inside)]])*2.936</f>
        <v>#VALUE!</v>
      </c>
      <c r="DL52" t="e">
        <f>(BH53-Table2[[#This Row],[3F Dough cooler - 2 ]])*1000</f>
        <v>#VALUE!</v>
      </c>
      <c r="DM52" t="e">
        <f>(BI53-Table2[[#This Row],[3F Dough Cooler- 1]])*1000</f>
        <v>#VALUE!</v>
      </c>
      <c r="DN52" t="e">
        <f>(BJ53-Table2[[#This Row],[4F Dough Production cooling Unit]])*1000</f>
        <v>#VALUE!</v>
      </c>
      <c r="DO52" t="e">
        <f>(BQ53-Table2[[#This Row],[3F2 - PDB 3 - Dough Production Area]])*1000</f>
        <v>#VALUE!</v>
      </c>
      <c r="DP52" t="e">
        <f>(BR53-Table2[[#This Row],[3F3 - PDB 4 - Dough Area]])*1000</f>
        <v>#VALUE!</v>
      </c>
      <c r="DQ52" t="e">
        <f>AC53-Table2[[#This Row],[16F1 Tray washer Panel for Light]]</f>
        <v>#VALUE!</v>
      </c>
      <c r="DR52" t="e">
        <f>CQ53-Table2[[#This Row],[2F1 Tray Washer - 1]]</f>
        <v>#VALUE!</v>
      </c>
      <c r="DS52" t="e">
        <f>CS53-Table2[[#This Row],[2F5 Destacker]]</f>
        <v>#VALUE!</v>
      </c>
      <c r="DT52" t="e">
        <f>CU53-Table2[[#This Row],[5F1 Metering (TW-2)]]</f>
        <v>#VALUE!</v>
      </c>
      <c r="DU52" t="e">
        <f>CV53-Table2[[#This Row],[6F1 Pre soaker Tray washer]]</f>
        <v>#VALUE!</v>
      </c>
      <c r="DV52" t="e">
        <f>CZ53-Table2[[#This Row],[6F5 Vent tray Storage]]</f>
        <v>#VALUE!</v>
      </c>
      <c r="DW52" t="e">
        <f>I53-Table2[[#This Row],[Popeyes Meter ]]</f>
        <v>#VALUE!</v>
      </c>
      <c r="DX52" t="e">
        <f>AZ53-Table2[[#This Row],[2F WH Chiller, Segregation Area]]</f>
        <v>#VALUE!</v>
      </c>
      <c r="DY52" t="e">
        <f>BA53-Table2[[#This Row],[3F1 AC Unit WH dock cooling - 2 Nos]]</f>
        <v>#VALUE!</v>
      </c>
      <c r="DZ52" t="e">
        <f>BB53-Table2[[#This Row],[3F2 AC Unit WH dock cooling - 3 Nos]]</f>
        <v>#VALUE!</v>
      </c>
      <c r="EA52" t="e">
        <f>(BK53-Table2[[#This Row],[5F WH Perishable]])*1000</f>
        <v>#VALUE!</v>
      </c>
      <c r="EB52" t="e">
        <f>BN53-Table2[[#This Row],[2F3 - PDB 9 - WH Dock Leveler Door ]]</f>
        <v>#VALUE!</v>
      </c>
      <c r="EC52" t="e">
        <f>BP53-Table2[[#This Row],[3F1 - PDB 5 - WH HSD]]</f>
        <v>#VALUE!</v>
      </c>
      <c r="ED52" t="e">
        <f>BX53-Table2[[#This Row],[8F1 WH Dock AHU - Ventilation]]</f>
        <v>#VALUE!</v>
      </c>
      <c r="EE52" t="e">
        <f>BZ53-Table2[[#This Row],[8F3 ACPDB - 4 WH Dock air curtain]]</f>
        <v>#VALUE!</v>
      </c>
      <c r="EF52" t="e">
        <f>CA53-Table2[[#This Row],[8F4 WH Light]]</f>
        <v>#VALUE!</v>
      </c>
      <c r="EG52" t="e">
        <f>CC53-Table2[[#This Row],[9F1 - PDB 10 - WH Dock door &amp; Office]]</f>
        <v>#VALUE!</v>
      </c>
      <c r="EH52" t="e">
        <f>CD53-Table2[[#This Row],[9F2 - PDB 11 - WH flycatchers]]</f>
        <v>#VALUE!</v>
      </c>
      <c r="EI52" t="e">
        <f>CE53-Table2[[#This Row],[9F3 - PDB 12 - Other items]]</f>
        <v>#VALUE!</v>
      </c>
      <c r="EJ52" t="e">
        <f>CR53-Table2[[#This Row],[2F3 - PDB 1 - Dock 1 to 4 ]]</f>
        <v>#VALUE!</v>
      </c>
      <c r="EK52" t="e">
        <f>BM53-Table2[[#This Row],[2F2 - PDB 3 - WH Truck &amp; Battery Charging]]</f>
        <v>#VALUE!</v>
      </c>
      <c r="EL52" t="e">
        <f>(CK53-Table2[[#This Row],[PDB - 11 Truck Charging]])*1000</f>
        <v>#VALUE!</v>
      </c>
      <c r="EM52" t="e">
        <f>P53-Table2[[#This Row],[5F3 Admin Area]]</f>
        <v>#VALUE!</v>
      </c>
      <c r="EN52" t="e">
        <f>AH53-Table2[[#This Row],[2F5 Main Gate-1 Piller -1]]</f>
        <v>#VALUE!</v>
      </c>
      <c r="EO52" t="e">
        <f>CW53-Table2[[#This Row],[6F2 Ground Floor AC]]</f>
        <v>#VALUE!</v>
      </c>
      <c r="EP52" t="e">
        <f>CX53-Table2[[#This Row],[6F3 ACBD -1 (First floor AC)]]</f>
        <v>#VALUE!</v>
      </c>
      <c r="EQ52" t="e">
        <f>CY53-Table2[[#This Row],[6F4 ACBD - 2 (Second &amp; Third floor AC)]]</f>
        <v>#VALUE!</v>
      </c>
      <c r="ER52" t="e">
        <f>(BC53-Table2[[#This Row],[4F Old BMC cooling Unit]])</f>
        <v>#VALUE!</v>
      </c>
      <c r="ES52" t="e">
        <f>BO53-Table2[[#This Row],[2F4 - Old BMC]]</f>
        <v>#VALUE!</v>
      </c>
      <c r="ET52" t="e">
        <f>Y53-Table2[[#This Row],[14F2 New CK]]</f>
        <v>#VALUE!</v>
      </c>
      <c r="EU52" t="e">
        <f>(CL53-Table2[[#This Row],[OLD Ck Panel-1]])*1000</f>
        <v>#VALUE!</v>
      </c>
      <c r="EV52" t="e">
        <f>CM53-Table2[[#This Row],[2F4 Old CK Blast (Blue star)]]</f>
        <v>#VALUE!</v>
      </c>
      <c r="EW52" t="e">
        <f>CN53-Table2[[#This Row],[3F6 Old CK Blast (Carrier)]]</f>
        <v>#VALUE!</v>
      </c>
      <c r="EX52" t="e">
        <f>(CO53-Table2[[#This Row],[Old CK Panel -2]])*1000</f>
        <v>#VALUE!</v>
      </c>
      <c r="EY52" t="e">
        <f>N53-Table2[[#This Row],[4F1 Main UPS 1/C -1]]</f>
        <v>#VALUE!</v>
      </c>
      <c r="EZ52" t="e">
        <f>Z53-Table2[[#This Row],[15F1 Main UPS Panel - I/C - 2]]</f>
        <v>#VALUE!</v>
      </c>
      <c r="FA52" t="e">
        <f>BF53-Table2[[#This Row],[2F CLC -1 AC unit - 2]]</f>
        <v>#VALUE!</v>
      </c>
      <c r="FB52" t="e">
        <f>(BG53-Table2[[#This Row],[2F CLC Anti room]])*1000</f>
        <v>#VALUE!</v>
      </c>
      <c r="FC52" t="e">
        <f>BW53-Table2[[#This Row],[7F3 CLC Power Panel]]</f>
        <v>#VALUE!</v>
      </c>
      <c r="FD52" t="e">
        <f>(CI53-Table2[[#This Row],[PDB - 17 CLC Section ]])*1000</f>
        <v>#VALUE!</v>
      </c>
      <c r="FE52" t="e">
        <f>(W53-Table2[[#This Row],[13F3 Water &amp; Lift Old CK]])*1000</f>
        <v>#VALUE!</v>
      </c>
      <c r="FF52" t="e">
        <f>AA53-Table2[[#This Row],[15F2 New ETP Panel]]</f>
        <v>#VALUE!</v>
      </c>
      <c r="FG52" t="e">
        <f>AL53-Table2[[#This Row],[3F4 Old ETP Panel]]</f>
        <v>#VALUE!</v>
      </c>
      <c r="FH52" t="e">
        <f>AF53-Table2[[#This Row],[2F1 RO Plant]]</f>
        <v>#VALUE!</v>
      </c>
      <c r="FI52" t="e">
        <f>AK53-Table2[[#This Row],[3F3 Fire Hydrant Panel]]</f>
        <v>#VALUE!</v>
      </c>
      <c r="FJ52" t="e">
        <f>R53-Table2[[#This Row],[7F1 Freon System Panel]]</f>
        <v>#VALUE!</v>
      </c>
      <c r="FK52" t="e">
        <f>(AE53-Table2[[#This Row],[21F1 Refrigeration Ammonia]])*1000</f>
        <v>#VALUE!</v>
      </c>
      <c r="FL52" t="e">
        <f>(AG53-Table2[[#This Row],[2F3 Air Compressor]])*1000</f>
        <v>#VALUE!</v>
      </c>
      <c r="FM52" t="e">
        <f>(AX53-Table2[[#This Row],[Solar Reading Panel II]])*1000</f>
        <v>#VALUE!</v>
      </c>
      <c r="FN52" t="e">
        <f>AI53-Table2[[#This Row],[3F1 Maintenance Workshop]]</f>
        <v>#VALUE!</v>
      </c>
      <c r="FO52" t="e">
        <f>BD53-Table2[[#This Row],[4F B2B unit ]]</f>
        <v>#VALUE!</v>
      </c>
      <c r="FP52" t="e">
        <f>BL53-Table2[[#This Row],[2F1 - PDB 6 - Bread, B2B section]]</f>
        <v>#VALUE!</v>
      </c>
      <c r="FQ52" t="e">
        <f>(CG53-Table2[[#This Row],[9F5 - PDB 14 - Bread Lift]])</f>
        <v>#VALUE!</v>
      </c>
      <c r="FR52" t="e">
        <f>CJ53-Table2[[#This Row],[PDB - 16 Bread Section]]</f>
        <v>#VALUE!</v>
      </c>
      <c r="FS52" t="e">
        <f>BU53-Table2[[#This Row],[7F1 Donut Production area]]</f>
        <v>#VALUE!</v>
      </c>
      <c r="FT52" t="e">
        <f>CB53-Table2[[#This Row],[8F5 Donut Ban Bary]]</f>
        <v>#VALUE!</v>
      </c>
      <c r="FU52" t="e">
        <f>CF53-Table2[[#This Row],[9F4 - PDB 13 - Donut Sink Geyser area]]</f>
        <v>#VALUE!</v>
      </c>
      <c r="FV52" t="e">
        <f>BV53-Table2[[#This Row],[7F2 Flour Silo]]</f>
        <v>#VALUE!</v>
      </c>
      <c r="FW52" t="e">
        <f>BY53-Table2[[#This Row],[8F2 ACPDB - 3 SILO Ventilation]]</f>
        <v>#VALUE!</v>
      </c>
      <c r="FX52" t="e">
        <f>J53-Table2[[#This Row],[DG 1010KVA Running Hours]]</f>
        <v>#VALUE!</v>
      </c>
      <c r="FY52" t="e">
        <f>K53-Table2[[#This Row],[DG 1010 KVA Meter Reading]]</f>
        <v>#VALUE!</v>
      </c>
      <c r="FZ52" t="e">
        <f>L53-Table2[[#This Row],[GG 1010 KVA Running Hours]]</f>
        <v>#VALUE!</v>
      </c>
      <c r="GA52" t="e">
        <f>M53-Table2[[#This Row],[GG 1010 KVA Meter Reading]]</f>
        <v>#VALUE!</v>
      </c>
    </row>
    <row r="53" spans="1:183" x14ac:dyDescent="0.35">
      <c r="DH53" s="4" t="e">
        <f>Table2[[#This Row],[Date]]</f>
        <v>#VALUE!</v>
      </c>
      <c r="DI53" t="e">
        <f>(DD54-Table2[[#This Row],[MWH Total]])*4000</f>
        <v>#VALUE!</v>
      </c>
      <c r="DJ53" t="e">
        <f>(DA54-Table2[[#This Row],[PNG Meter (Outside)]])*2.936</f>
        <v>#VALUE!</v>
      </c>
      <c r="DK53" t="e">
        <f>(DB54-Table2[[#This Row],[PNG Meter (Inside)]])*2.936</f>
        <v>#VALUE!</v>
      </c>
      <c r="DL53" t="e">
        <f>(BH54-Table2[[#This Row],[3F Dough cooler - 2 ]])*1000</f>
        <v>#VALUE!</v>
      </c>
      <c r="DM53" t="e">
        <f>(BI54-Table2[[#This Row],[3F Dough Cooler- 1]])*1000</f>
        <v>#VALUE!</v>
      </c>
      <c r="DN53" t="e">
        <f>(BJ54-Table2[[#This Row],[4F Dough Production cooling Unit]])*1000</f>
        <v>#VALUE!</v>
      </c>
      <c r="DO53" t="e">
        <f>(BQ54-Table2[[#This Row],[3F2 - PDB 3 - Dough Production Area]])*1000</f>
        <v>#VALUE!</v>
      </c>
      <c r="DP53" t="e">
        <f>(BR54-Table2[[#This Row],[3F3 - PDB 4 - Dough Area]])*1000</f>
        <v>#VALUE!</v>
      </c>
      <c r="DQ53" t="e">
        <f>AC54-Table2[[#This Row],[16F1 Tray washer Panel for Light]]</f>
        <v>#VALUE!</v>
      </c>
      <c r="DR53" t="e">
        <f>CQ54-Table2[[#This Row],[2F1 Tray Washer - 1]]</f>
        <v>#VALUE!</v>
      </c>
      <c r="DS53" t="e">
        <f>CS54-Table2[[#This Row],[2F5 Destacker]]</f>
        <v>#VALUE!</v>
      </c>
      <c r="DT53" t="e">
        <f>CU54-Table2[[#This Row],[5F1 Metering (TW-2)]]</f>
        <v>#VALUE!</v>
      </c>
      <c r="DU53" t="e">
        <f>CV54-Table2[[#This Row],[6F1 Pre soaker Tray washer]]</f>
        <v>#VALUE!</v>
      </c>
      <c r="DV53" t="e">
        <f>CZ54-Table2[[#This Row],[6F5 Vent tray Storage]]</f>
        <v>#VALUE!</v>
      </c>
      <c r="DW53" t="e">
        <f>I54-Table2[[#This Row],[Popeyes Meter ]]</f>
        <v>#VALUE!</v>
      </c>
      <c r="DX53" t="e">
        <f>AZ54-Table2[[#This Row],[2F WH Chiller, Segregation Area]]</f>
        <v>#VALUE!</v>
      </c>
      <c r="DY53" t="e">
        <f>BA54-Table2[[#This Row],[3F1 AC Unit WH dock cooling - 2 Nos]]</f>
        <v>#VALUE!</v>
      </c>
      <c r="DZ53" t="e">
        <f>BB54-Table2[[#This Row],[3F2 AC Unit WH dock cooling - 3 Nos]]</f>
        <v>#VALUE!</v>
      </c>
      <c r="EA53" t="e">
        <f>(BK54-Table2[[#This Row],[5F WH Perishable]])*1000</f>
        <v>#VALUE!</v>
      </c>
      <c r="EB53" t="e">
        <f>BN54-Table2[[#This Row],[2F3 - PDB 9 - WH Dock Leveler Door ]]</f>
        <v>#VALUE!</v>
      </c>
      <c r="EC53" t="e">
        <f>BP54-Table2[[#This Row],[3F1 - PDB 5 - WH HSD]]</f>
        <v>#VALUE!</v>
      </c>
      <c r="ED53" t="e">
        <f>BX54-Table2[[#This Row],[8F1 WH Dock AHU - Ventilation]]</f>
        <v>#VALUE!</v>
      </c>
      <c r="EE53" t="e">
        <f>BZ54-Table2[[#This Row],[8F3 ACPDB - 4 WH Dock air curtain]]</f>
        <v>#VALUE!</v>
      </c>
      <c r="EF53" t="e">
        <f>CA54-Table2[[#This Row],[8F4 WH Light]]</f>
        <v>#VALUE!</v>
      </c>
      <c r="EG53" t="e">
        <f>CC54-Table2[[#This Row],[9F1 - PDB 10 - WH Dock door &amp; Office]]</f>
        <v>#VALUE!</v>
      </c>
      <c r="EH53" t="e">
        <f>CD54-Table2[[#This Row],[9F2 - PDB 11 - WH flycatchers]]</f>
        <v>#VALUE!</v>
      </c>
      <c r="EI53" t="e">
        <f>CE54-Table2[[#This Row],[9F3 - PDB 12 - Other items]]</f>
        <v>#VALUE!</v>
      </c>
      <c r="EJ53" t="e">
        <f>CR54-Table2[[#This Row],[2F3 - PDB 1 - Dock 1 to 4 ]]</f>
        <v>#VALUE!</v>
      </c>
      <c r="EK53" t="e">
        <f>BM54-Table2[[#This Row],[2F2 - PDB 3 - WH Truck &amp; Battery Charging]]</f>
        <v>#VALUE!</v>
      </c>
      <c r="EL53" t="e">
        <f>(CK54-Table2[[#This Row],[PDB - 11 Truck Charging]])*1000</f>
        <v>#VALUE!</v>
      </c>
      <c r="EM53" t="e">
        <f>P54-Table2[[#This Row],[5F3 Admin Area]]</f>
        <v>#VALUE!</v>
      </c>
      <c r="EN53" t="e">
        <f>AH54-Table2[[#This Row],[2F5 Main Gate-1 Piller -1]]</f>
        <v>#VALUE!</v>
      </c>
      <c r="EO53" t="e">
        <f>CW54-Table2[[#This Row],[6F2 Ground Floor AC]]</f>
        <v>#VALUE!</v>
      </c>
      <c r="EP53" t="e">
        <f>CX54-Table2[[#This Row],[6F3 ACBD -1 (First floor AC)]]</f>
        <v>#VALUE!</v>
      </c>
      <c r="EQ53" t="e">
        <f>CY54-Table2[[#This Row],[6F4 ACBD - 2 (Second &amp; Third floor AC)]]</f>
        <v>#VALUE!</v>
      </c>
      <c r="ER53" t="e">
        <f>(BC54-Table2[[#This Row],[4F Old BMC cooling Unit]])</f>
        <v>#VALUE!</v>
      </c>
      <c r="ES53" t="e">
        <f>BO54-Table2[[#This Row],[2F4 - Old BMC]]</f>
        <v>#VALUE!</v>
      </c>
      <c r="ET53" t="e">
        <f>Y54-Table2[[#This Row],[14F2 New CK]]</f>
        <v>#VALUE!</v>
      </c>
      <c r="EU53" t="e">
        <f>(CL54-Table2[[#This Row],[OLD Ck Panel-1]])*1000</f>
        <v>#VALUE!</v>
      </c>
      <c r="EV53" t="e">
        <f>CM54-Table2[[#This Row],[2F4 Old CK Blast (Blue star)]]</f>
        <v>#VALUE!</v>
      </c>
      <c r="EW53" t="e">
        <f>CN54-Table2[[#This Row],[3F6 Old CK Blast (Carrier)]]</f>
        <v>#VALUE!</v>
      </c>
      <c r="EX53" t="e">
        <f>(CO54-Table2[[#This Row],[Old CK Panel -2]])*1000</f>
        <v>#VALUE!</v>
      </c>
      <c r="EY53" t="e">
        <f>N54-Table2[[#This Row],[4F1 Main UPS 1/C -1]]</f>
        <v>#VALUE!</v>
      </c>
      <c r="EZ53" t="e">
        <f>Z54-Table2[[#This Row],[15F1 Main UPS Panel - I/C - 2]]</f>
        <v>#VALUE!</v>
      </c>
      <c r="FA53" t="e">
        <f>BF54-Table2[[#This Row],[2F CLC -1 AC unit - 2]]</f>
        <v>#VALUE!</v>
      </c>
      <c r="FB53" t="e">
        <f>(BG54-Table2[[#This Row],[2F CLC Anti room]])*1000</f>
        <v>#VALUE!</v>
      </c>
      <c r="FC53" t="e">
        <f>BW54-Table2[[#This Row],[7F3 CLC Power Panel]]</f>
        <v>#VALUE!</v>
      </c>
      <c r="FD53" t="e">
        <f>(CI54-Table2[[#This Row],[PDB - 17 CLC Section ]])*1000</f>
        <v>#VALUE!</v>
      </c>
      <c r="FE53" t="e">
        <f>(W54-Table2[[#This Row],[13F3 Water &amp; Lift Old CK]])*1000</f>
        <v>#VALUE!</v>
      </c>
      <c r="FF53" t="e">
        <f>AA54-Table2[[#This Row],[15F2 New ETP Panel]]</f>
        <v>#VALUE!</v>
      </c>
      <c r="FG53" t="e">
        <f>AL54-Table2[[#This Row],[3F4 Old ETP Panel]]</f>
        <v>#VALUE!</v>
      </c>
      <c r="FH53" t="e">
        <f>AF54-Table2[[#This Row],[2F1 RO Plant]]</f>
        <v>#VALUE!</v>
      </c>
      <c r="FI53" t="e">
        <f>AK54-Table2[[#This Row],[3F3 Fire Hydrant Panel]]</f>
        <v>#VALUE!</v>
      </c>
      <c r="FJ53" t="e">
        <f>R54-Table2[[#This Row],[7F1 Freon System Panel]]</f>
        <v>#VALUE!</v>
      </c>
      <c r="FK53" t="e">
        <f>(AE54-Table2[[#This Row],[21F1 Refrigeration Ammonia]])*1000</f>
        <v>#VALUE!</v>
      </c>
      <c r="FL53" t="e">
        <f>(AG54-Table2[[#This Row],[2F3 Air Compressor]])*1000</f>
        <v>#VALUE!</v>
      </c>
      <c r="FM53" t="e">
        <f>(AX54-Table2[[#This Row],[Solar Reading Panel II]])*1000</f>
        <v>#VALUE!</v>
      </c>
      <c r="FN53" t="e">
        <f>AI54-Table2[[#This Row],[3F1 Maintenance Workshop]]</f>
        <v>#VALUE!</v>
      </c>
      <c r="FO53" t="e">
        <f>BD54-Table2[[#This Row],[4F B2B unit ]]</f>
        <v>#VALUE!</v>
      </c>
      <c r="FP53" t="e">
        <f>BL54-Table2[[#This Row],[2F1 - PDB 6 - Bread, B2B section]]</f>
        <v>#VALUE!</v>
      </c>
      <c r="FQ53" t="e">
        <f>(CG54-Table2[[#This Row],[9F5 - PDB 14 - Bread Lift]])</f>
        <v>#VALUE!</v>
      </c>
      <c r="FR53" t="e">
        <f>CJ54-Table2[[#This Row],[PDB - 16 Bread Section]]</f>
        <v>#VALUE!</v>
      </c>
      <c r="FS53" t="e">
        <f>BU54-Table2[[#This Row],[7F1 Donut Production area]]</f>
        <v>#VALUE!</v>
      </c>
      <c r="FT53" t="e">
        <f>CB54-Table2[[#This Row],[8F5 Donut Ban Bary]]</f>
        <v>#VALUE!</v>
      </c>
      <c r="FU53" t="e">
        <f>CF54-Table2[[#This Row],[9F4 - PDB 13 - Donut Sink Geyser area]]</f>
        <v>#VALUE!</v>
      </c>
      <c r="FV53" t="e">
        <f>BV54-Table2[[#This Row],[7F2 Flour Silo]]</f>
        <v>#VALUE!</v>
      </c>
      <c r="FW53" t="e">
        <f>BY54-Table2[[#This Row],[8F2 ACPDB - 3 SILO Ventilation]]</f>
        <v>#VALUE!</v>
      </c>
      <c r="FX53" t="e">
        <f>J54-Table2[[#This Row],[DG 1010KVA Running Hours]]</f>
        <v>#VALUE!</v>
      </c>
      <c r="FY53" t="e">
        <f>K54-Table2[[#This Row],[DG 1010 KVA Meter Reading]]</f>
        <v>#VALUE!</v>
      </c>
      <c r="FZ53" t="e">
        <f>L54-Table2[[#This Row],[GG 1010 KVA Running Hours]]</f>
        <v>#VALUE!</v>
      </c>
      <c r="GA53" t="e">
        <f>M54-Table2[[#This Row],[GG 1010 KVA Meter Reading]]</f>
        <v>#VALUE!</v>
      </c>
    </row>
    <row r="54" spans="1:183" x14ac:dyDescent="0.35">
      <c r="DH54" s="4" t="e">
        <f>Table2[[#This Row],[Date]]</f>
        <v>#VALUE!</v>
      </c>
      <c r="DI54" t="e">
        <f>(DD55-Table2[[#This Row],[MWH Total]])*4000</f>
        <v>#VALUE!</v>
      </c>
      <c r="DJ54" t="e">
        <f>(DA55-Table2[[#This Row],[PNG Meter (Outside)]])*2.936</f>
        <v>#VALUE!</v>
      </c>
      <c r="DK54" t="e">
        <f>(DB55-Table2[[#This Row],[PNG Meter (Inside)]])*2.936</f>
        <v>#VALUE!</v>
      </c>
      <c r="DL54" t="e">
        <f>(BH55-Table2[[#This Row],[3F Dough cooler - 2 ]])*1000</f>
        <v>#VALUE!</v>
      </c>
      <c r="DM54" t="e">
        <f>(BI55-Table2[[#This Row],[3F Dough Cooler- 1]])*1000</f>
        <v>#VALUE!</v>
      </c>
      <c r="DN54" t="e">
        <f>(BJ55-Table2[[#This Row],[4F Dough Production cooling Unit]])*1000</f>
        <v>#VALUE!</v>
      </c>
      <c r="DO54" t="e">
        <f>(BQ55-Table2[[#This Row],[3F2 - PDB 3 - Dough Production Area]])*1000</f>
        <v>#VALUE!</v>
      </c>
      <c r="DP54" t="e">
        <f>(BR55-Table2[[#This Row],[3F3 - PDB 4 - Dough Area]])*1000</f>
        <v>#VALUE!</v>
      </c>
      <c r="DQ54" t="e">
        <f>AC55-Table2[[#This Row],[16F1 Tray washer Panel for Light]]</f>
        <v>#VALUE!</v>
      </c>
      <c r="DR54" t="e">
        <f>CQ55-Table2[[#This Row],[2F1 Tray Washer - 1]]</f>
        <v>#VALUE!</v>
      </c>
      <c r="DS54" t="e">
        <f>CS55-Table2[[#This Row],[2F5 Destacker]]</f>
        <v>#VALUE!</v>
      </c>
      <c r="DT54" t="e">
        <f>CU55-Table2[[#This Row],[5F1 Metering (TW-2)]]</f>
        <v>#VALUE!</v>
      </c>
      <c r="DU54" t="e">
        <f>CV55-Table2[[#This Row],[6F1 Pre soaker Tray washer]]</f>
        <v>#VALUE!</v>
      </c>
      <c r="DV54" t="e">
        <f>CZ55-Table2[[#This Row],[6F5 Vent tray Storage]]</f>
        <v>#VALUE!</v>
      </c>
      <c r="DW54" t="e">
        <f>I55-Table2[[#This Row],[Popeyes Meter ]]</f>
        <v>#VALUE!</v>
      </c>
      <c r="DX54" t="e">
        <f>AZ55-Table2[[#This Row],[2F WH Chiller, Segregation Area]]</f>
        <v>#VALUE!</v>
      </c>
      <c r="DY54" t="e">
        <f>BA55-Table2[[#This Row],[3F1 AC Unit WH dock cooling - 2 Nos]]</f>
        <v>#VALUE!</v>
      </c>
      <c r="DZ54" t="e">
        <f>BB55-Table2[[#This Row],[3F2 AC Unit WH dock cooling - 3 Nos]]</f>
        <v>#VALUE!</v>
      </c>
      <c r="EA54" t="e">
        <f>(BK55-Table2[[#This Row],[5F WH Perishable]])*1000</f>
        <v>#VALUE!</v>
      </c>
      <c r="EB54" t="e">
        <f>BN55-Table2[[#This Row],[2F3 - PDB 9 - WH Dock Leveler Door ]]</f>
        <v>#VALUE!</v>
      </c>
      <c r="EC54" t="e">
        <f>BP55-Table2[[#This Row],[3F1 - PDB 5 - WH HSD]]</f>
        <v>#VALUE!</v>
      </c>
      <c r="ED54" t="e">
        <f>BX55-Table2[[#This Row],[8F1 WH Dock AHU - Ventilation]]</f>
        <v>#VALUE!</v>
      </c>
      <c r="EE54" t="e">
        <f>BZ55-Table2[[#This Row],[8F3 ACPDB - 4 WH Dock air curtain]]</f>
        <v>#VALUE!</v>
      </c>
      <c r="EF54" t="e">
        <f>CA55-Table2[[#This Row],[8F4 WH Light]]</f>
        <v>#VALUE!</v>
      </c>
      <c r="EG54" t="e">
        <f>CC55-Table2[[#This Row],[9F1 - PDB 10 - WH Dock door &amp; Office]]</f>
        <v>#VALUE!</v>
      </c>
      <c r="EH54" t="e">
        <f>CD55-Table2[[#This Row],[9F2 - PDB 11 - WH flycatchers]]</f>
        <v>#VALUE!</v>
      </c>
      <c r="EI54" t="e">
        <f>CE55-Table2[[#This Row],[9F3 - PDB 12 - Other items]]</f>
        <v>#VALUE!</v>
      </c>
      <c r="EJ54" t="e">
        <f>CR55-Table2[[#This Row],[2F3 - PDB 1 - Dock 1 to 4 ]]</f>
        <v>#VALUE!</v>
      </c>
      <c r="EK54" t="e">
        <f>BM55-Table2[[#This Row],[2F2 - PDB 3 - WH Truck &amp; Battery Charging]]</f>
        <v>#VALUE!</v>
      </c>
      <c r="EL54" t="e">
        <f>(CK55-Table2[[#This Row],[PDB - 11 Truck Charging]])*1000</f>
        <v>#VALUE!</v>
      </c>
      <c r="EM54" t="e">
        <f>P55-Table2[[#This Row],[5F3 Admin Area]]</f>
        <v>#VALUE!</v>
      </c>
      <c r="EN54" t="e">
        <f>AH55-Table2[[#This Row],[2F5 Main Gate-1 Piller -1]]</f>
        <v>#VALUE!</v>
      </c>
      <c r="EO54" t="e">
        <f>CW55-Table2[[#This Row],[6F2 Ground Floor AC]]</f>
        <v>#VALUE!</v>
      </c>
      <c r="EP54" t="e">
        <f>CX55-Table2[[#This Row],[6F3 ACBD -1 (First floor AC)]]</f>
        <v>#VALUE!</v>
      </c>
      <c r="EQ54" t="e">
        <f>CY55-Table2[[#This Row],[6F4 ACBD - 2 (Second &amp; Third floor AC)]]</f>
        <v>#VALUE!</v>
      </c>
      <c r="ER54" t="e">
        <f>(BC55-Table2[[#This Row],[4F Old BMC cooling Unit]])</f>
        <v>#VALUE!</v>
      </c>
      <c r="ES54" t="e">
        <f>BO55-Table2[[#This Row],[2F4 - Old BMC]]</f>
        <v>#VALUE!</v>
      </c>
      <c r="ET54" t="e">
        <f>Y55-Table2[[#This Row],[14F2 New CK]]</f>
        <v>#VALUE!</v>
      </c>
      <c r="EU54" t="e">
        <f>(CL55-Table2[[#This Row],[OLD Ck Panel-1]])*1000</f>
        <v>#VALUE!</v>
      </c>
      <c r="EV54" t="e">
        <f>CM55-Table2[[#This Row],[2F4 Old CK Blast (Blue star)]]</f>
        <v>#VALUE!</v>
      </c>
      <c r="EW54" t="e">
        <f>CN55-Table2[[#This Row],[3F6 Old CK Blast (Carrier)]]</f>
        <v>#VALUE!</v>
      </c>
      <c r="EX54" t="e">
        <f>(CO55-Table2[[#This Row],[Old CK Panel -2]])*1000</f>
        <v>#VALUE!</v>
      </c>
      <c r="EY54" t="e">
        <f>N55-Table2[[#This Row],[4F1 Main UPS 1/C -1]]</f>
        <v>#VALUE!</v>
      </c>
      <c r="EZ54" t="e">
        <f>Z55-Table2[[#This Row],[15F1 Main UPS Panel - I/C - 2]]</f>
        <v>#VALUE!</v>
      </c>
      <c r="FA54" t="e">
        <f>BF55-Table2[[#This Row],[2F CLC -1 AC unit - 2]]</f>
        <v>#VALUE!</v>
      </c>
      <c r="FB54" t="e">
        <f>(BG55-Table2[[#This Row],[2F CLC Anti room]])*1000</f>
        <v>#VALUE!</v>
      </c>
      <c r="FC54" t="e">
        <f>BW55-Table2[[#This Row],[7F3 CLC Power Panel]]</f>
        <v>#VALUE!</v>
      </c>
      <c r="FD54" t="e">
        <f>(CI55-Table2[[#This Row],[PDB - 17 CLC Section ]])*1000</f>
        <v>#VALUE!</v>
      </c>
      <c r="FE54" t="e">
        <f>(W55-Table2[[#This Row],[13F3 Water &amp; Lift Old CK]])*1000</f>
        <v>#VALUE!</v>
      </c>
      <c r="FF54" t="e">
        <f>AA55-Table2[[#This Row],[15F2 New ETP Panel]]</f>
        <v>#VALUE!</v>
      </c>
      <c r="FG54" t="e">
        <f>AL55-Table2[[#This Row],[3F4 Old ETP Panel]]</f>
        <v>#VALUE!</v>
      </c>
      <c r="FH54" t="e">
        <f>AF55-Table2[[#This Row],[2F1 RO Plant]]</f>
        <v>#VALUE!</v>
      </c>
      <c r="FI54" t="e">
        <f>AK55-Table2[[#This Row],[3F3 Fire Hydrant Panel]]</f>
        <v>#VALUE!</v>
      </c>
      <c r="FJ54" t="e">
        <f>R55-Table2[[#This Row],[7F1 Freon System Panel]]</f>
        <v>#VALUE!</v>
      </c>
      <c r="FK54" t="e">
        <f>(AE55-Table2[[#This Row],[21F1 Refrigeration Ammonia]])*1000</f>
        <v>#VALUE!</v>
      </c>
      <c r="FL54" t="e">
        <f>(AG55-Table2[[#This Row],[2F3 Air Compressor]])*1000</f>
        <v>#VALUE!</v>
      </c>
      <c r="FM54" t="e">
        <f>(AX55-Table2[[#This Row],[Solar Reading Panel II]])*1000</f>
        <v>#VALUE!</v>
      </c>
      <c r="FN54" t="e">
        <f>AI55-Table2[[#This Row],[3F1 Maintenance Workshop]]</f>
        <v>#VALUE!</v>
      </c>
      <c r="FO54" t="e">
        <f>BD55-Table2[[#This Row],[4F B2B unit ]]</f>
        <v>#VALUE!</v>
      </c>
      <c r="FP54" t="e">
        <f>BL55-Table2[[#This Row],[2F1 - PDB 6 - Bread, B2B section]]</f>
        <v>#VALUE!</v>
      </c>
      <c r="FQ54" t="e">
        <f>(CG55-Table2[[#This Row],[9F5 - PDB 14 - Bread Lift]])</f>
        <v>#VALUE!</v>
      </c>
      <c r="FR54" t="e">
        <f>CJ55-Table2[[#This Row],[PDB - 16 Bread Section]]</f>
        <v>#VALUE!</v>
      </c>
      <c r="FS54" t="e">
        <f>BU55-Table2[[#This Row],[7F1 Donut Production area]]</f>
        <v>#VALUE!</v>
      </c>
      <c r="FT54" t="e">
        <f>CB55-Table2[[#This Row],[8F5 Donut Ban Bary]]</f>
        <v>#VALUE!</v>
      </c>
      <c r="FU54" t="e">
        <f>CF55-Table2[[#This Row],[9F4 - PDB 13 - Donut Sink Geyser area]]</f>
        <v>#VALUE!</v>
      </c>
      <c r="FV54" t="e">
        <f>BV55-Table2[[#This Row],[7F2 Flour Silo]]</f>
        <v>#VALUE!</v>
      </c>
      <c r="FW54" t="e">
        <f>BY55-Table2[[#This Row],[8F2 ACPDB - 3 SILO Ventilation]]</f>
        <v>#VALUE!</v>
      </c>
      <c r="FX54" t="e">
        <f>J55-Table2[[#This Row],[DG 1010KVA Running Hours]]</f>
        <v>#VALUE!</v>
      </c>
      <c r="FY54" t="e">
        <f>K55-Table2[[#This Row],[DG 1010 KVA Meter Reading]]</f>
        <v>#VALUE!</v>
      </c>
      <c r="FZ54" t="e">
        <f>L55-Table2[[#This Row],[GG 1010 KVA Running Hours]]</f>
        <v>#VALUE!</v>
      </c>
      <c r="GA54" t="e">
        <f>M55-Table2[[#This Row],[GG 1010 KVA Meter Reading]]</f>
        <v>#VALUE!</v>
      </c>
    </row>
    <row r="55" spans="1:183" x14ac:dyDescent="0.35">
      <c r="DH55" s="4" t="e">
        <f>Table2[[#This Row],[Date]]</f>
        <v>#VALUE!</v>
      </c>
      <c r="DI55" t="e">
        <f>(DD56-Table2[[#This Row],[MWH Total]])*4000</f>
        <v>#VALUE!</v>
      </c>
      <c r="DJ55" t="e">
        <f>(DA56-Table2[[#This Row],[PNG Meter (Outside)]])*2.936</f>
        <v>#VALUE!</v>
      </c>
      <c r="DK55" t="e">
        <f>(DB56-Table2[[#This Row],[PNG Meter (Inside)]])*2.936</f>
        <v>#VALUE!</v>
      </c>
      <c r="DL55" t="e">
        <f>(BH56-Table2[[#This Row],[3F Dough cooler - 2 ]])*1000</f>
        <v>#VALUE!</v>
      </c>
      <c r="DM55" t="e">
        <f>(BI56-Table2[[#This Row],[3F Dough Cooler- 1]])*1000</f>
        <v>#VALUE!</v>
      </c>
      <c r="DN55" t="e">
        <f>(BJ56-Table2[[#This Row],[4F Dough Production cooling Unit]])*1000</f>
        <v>#VALUE!</v>
      </c>
      <c r="DO55" t="e">
        <f>(BQ56-Table2[[#This Row],[3F2 - PDB 3 - Dough Production Area]])*1000</f>
        <v>#VALUE!</v>
      </c>
      <c r="DP55" t="e">
        <f>(BR56-Table2[[#This Row],[3F3 - PDB 4 - Dough Area]])*1000</f>
        <v>#VALUE!</v>
      </c>
      <c r="DQ55" t="e">
        <f>AC56-Table2[[#This Row],[16F1 Tray washer Panel for Light]]</f>
        <v>#VALUE!</v>
      </c>
      <c r="DR55" t="e">
        <f>CQ56-Table2[[#This Row],[2F1 Tray Washer - 1]]</f>
        <v>#VALUE!</v>
      </c>
      <c r="DS55" t="e">
        <f>CS56-Table2[[#This Row],[2F5 Destacker]]</f>
        <v>#VALUE!</v>
      </c>
      <c r="DT55" t="e">
        <f>CU56-Table2[[#This Row],[5F1 Metering (TW-2)]]</f>
        <v>#VALUE!</v>
      </c>
      <c r="DU55" t="e">
        <f>CV56-Table2[[#This Row],[6F1 Pre soaker Tray washer]]</f>
        <v>#VALUE!</v>
      </c>
      <c r="DV55" t="e">
        <f>CZ56-Table2[[#This Row],[6F5 Vent tray Storage]]</f>
        <v>#VALUE!</v>
      </c>
      <c r="DW55" t="e">
        <f>I56-Table2[[#This Row],[Popeyes Meter ]]</f>
        <v>#VALUE!</v>
      </c>
      <c r="DX55" t="e">
        <f>AZ56-Table2[[#This Row],[2F WH Chiller, Segregation Area]]</f>
        <v>#VALUE!</v>
      </c>
      <c r="DY55" t="e">
        <f>BA56-Table2[[#This Row],[3F1 AC Unit WH dock cooling - 2 Nos]]</f>
        <v>#VALUE!</v>
      </c>
      <c r="DZ55" t="e">
        <f>BB56-Table2[[#This Row],[3F2 AC Unit WH dock cooling - 3 Nos]]</f>
        <v>#VALUE!</v>
      </c>
      <c r="EA55" t="e">
        <f>(BK56-Table2[[#This Row],[5F WH Perishable]])*1000</f>
        <v>#VALUE!</v>
      </c>
      <c r="EB55" t="e">
        <f>BN56-Table2[[#This Row],[2F3 - PDB 9 - WH Dock Leveler Door ]]</f>
        <v>#VALUE!</v>
      </c>
      <c r="EC55" t="e">
        <f>BP56-Table2[[#This Row],[3F1 - PDB 5 - WH HSD]]</f>
        <v>#VALUE!</v>
      </c>
      <c r="ED55" t="e">
        <f>BX56-Table2[[#This Row],[8F1 WH Dock AHU - Ventilation]]</f>
        <v>#VALUE!</v>
      </c>
      <c r="EE55" t="e">
        <f>BZ56-Table2[[#This Row],[8F3 ACPDB - 4 WH Dock air curtain]]</f>
        <v>#VALUE!</v>
      </c>
      <c r="EF55" t="e">
        <f>CA56-Table2[[#This Row],[8F4 WH Light]]</f>
        <v>#VALUE!</v>
      </c>
      <c r="EG55" t="e">
        <f>CC56-Table2[[#This Row],[9F1 - PDB 10 - WH Dock door &amp; Office]]</f>
        <v>#VALUE!</v>
      </c>
      <c r="EH55" t="e">
        <f>CD56-Table2[[#This Row],[9F2 - PDB 11 - WH flycatchers]]</f>
        <v>#VALUE!</v>
      </c>
      <c r="EI55" t="e">
        <f>CE56-Table2[[#This Row],[9F3 - PDB 12 - Other items]]</f>
        <v>#VALUE!</v>
      </c>
      <c r="EJ55" t="e">
        <f>CR56-Table2[[#This Row],[2F3 - PDB 1 - Dock 1 to 4 ]]</f>
        <v>#VALUE!</v>
      </c>
      <c r="EK55" t="e">
        <f>BM56-Table2[[#This Row],[2F2 - PDB 3 - WH Truck &amp; Battery Charging]]</f>
        <v>#VALUE!</v>
      </c>
      <c r="EL55" t="e">
        <f>(CK56-Table2[[#This Row],[PDB - 11 Truck Charging]])*1000</f>
        <v>#VALUE!</v>
      </c>
      <c r="EM55" t="e">
        <f>P56-Table2[[#This Row],[5F3 Admin Area]]</f>
        <v>#VALUE!</v>
      </c>
      <c r="EN55" t="e">
        <f>AH56-Table2[[#This Row],[2F5 Main Gate-1 Piller -1]]</f>
        <v>#VALUE!</v>
      </c>
      <c r="EO55" t="e">
        <f>CW56-Table2[[#This Row],[6F2 Ground Floor AC]]</f>
        <v>#VALUE!</v>
      </c>
      <c r="EP55" t="e">
        <f>CX56-Table2[[#This Row],[6F3 ACBD -1 (First floor AC)]]</f>
        <v>#VALUE!</v>
      </c>
      <c r="EQ55" t="e">
        <f>CY56-Table2[[#This Row],[6F4 ACBD - 2 (Second &amp; Third floor AC)]]</f>
        <v>#VALUE!</v>
      </c>
      <c r="ER55" t="e">
        <f>(BC56-Table2[[#This Row],[4F Old BMC cooling Unit]])</f>
        <v>#VALUE!</v>
      </c>
      <c r="ES55" t="e">
        <f>BO56-Table2[[#This Row],[2F4 - Old BMC]]</f>
        <v>#VALUE!</v>
      </c>
      <c r="ET55" t="e">
        <f>Y56-Table2[[#This Row],[14F2 New CK]]</f>
        <v>#VALUE!</v>
      </c>
      <c r="EU55" t="e">
        <f>(CL56-Table2[[#This Row],[OLD Ck Panel-1]])*1000</f>
        <v>#VALUE!</v>
      </c>
      <c r="EV55" t="e">
        <f>CM56-Table2[[#This Row],[2F4 Old CK Blast (Blue star)]]</f>
        <v>#VALUE!</v>
      </c>
      <c r="EW55" t="e">
        <f>CN56-Table2[[#This Row],[3F6 Old CK Blast (Carrier)]]</f>
        <v>#VALUE!</v>
      </c>
      <c r="EX55" t="e">
        <f>(CO56-Table2[[#This Row],[Old CK Panel -2]])*1000</f>
        <v>#VALUE!</v>
      </c>
      <c r="EY55" t="e">
        <f>N56-Table2[[#This Row],[4F1 Main UPS 1/C -1]]</f>
        <v>#VALUE!</v>
      </c>
      <c r="EZ55" t="e">
        <f>Z56-Table2[[#This Row],[15F1 Main UPS Panel - I/C - 2]]</f>
        <v>#VALUE!</v>
      </c>
      <c r="FA55" t="e">
        <f>BF56-Table2[[#This Row],[2F CLC -1 AC unit - 2]]</f>
        <v>#VALUE!</v>
      </c>
      <c r="FB55" t="e">
        <f>(BG56-Table2[[#This Row],[2F CLC Anti room]])*1000</f>
        <v>#VALUE!</v>
      </c>
      <c r="FC55" t="e">
        <f>BW56-Table2[[#This Row],[7F3 CLC Power Panel]]</f>
        <v>#VALUE!</v>
      </c>
      <c r="FD55" t="e">
        <f>(CI56-Table2[[#This Row],[PDB - 17 CLC Section ]])*1000</f>
        <v>#VALUE!</v>
      </c>
      <c r="FE55" t="e">
        <f>(W56-Table2[[#This Row],[13F3 Water &amp; Lift Old CK]])*1000</f>
        <v>#VALUE!</v>
      </c>
      <c r="FF55" t="e">
        <f>AA56-Table2[[#This Row],[15F2 New ETP Panel]]</f>
        <v>#VALUE!</v>
      </c>
      <c r="FG55" t="e">
        <f>AL56-Table2[[#This Row],[3F4 Old ETP Panel]]</f>
        <v>#VALUE!</v>
      </c>
      <c r="FH55" t="e">
        <f>AF56-Table2[[#This Row],[2F1 RO Plant]]</f>
        <v>#VALUE!</v>
      </c>
      <c r="FI55" t="e">
        <f>AK56-Table2[[#This Row],[3F3 Fire Hydrant Panel]]</f>
        <v>#VALUE!</v>
      </c>
      <c r="FJ55" t="e">
        <f>R56-Table2[[#This Row],[7F1 Freon System Panel]]</f>
        <v>#VALUE!</v>
      </c>
      <c r="FK55" t="e">
        <f>(AE56-Table2[[#This Row],[21F1 Refrigeration Ammonia]])*1000</f>
        <v>#VALUE!</v>
      </c>
      <c r="FL55" t="e">
        <f>(AG56-Table2[[#This Row],[2F3 Air Compressor]])*1000</f>
        <v>#VALUE!</v>
      </c>
      <c r="FM55" t="e">
        <f>(AX56-Table2[[#This Row],[Solar Reading Panel II]])*1000</f>
        <v>#VALUE!</v>
      </c>
      <c r="FN55" t="e">
        <f>AI56-Table2[[#This Row],[3F1 Maintenance Workshop]]</f>
        <v>#VALUE!</v>
      </c>
      <c r="FO55" t="e">
        <f>BD56-Table2[[#This Row],[4F B2B unit ]]</f>
        <v>#VALUE!</v>
      </c>
      <c r="FP55" t="e">
        <f>BL56-Table2[[#This Row],[2F1 - PDB 6 - Bread, B2B section]]</f>
        <v>#VALUE!</v>
      </c>
      <c r="FQ55" t="e">
        <f>(CG56-Table2[[#This Row],[9F5 - PDB 14 - Bread Lift]])</f>
        <v>#VALUE!</v>
      </c>
      <c r="FR55" t="e">
        <f>CJ56-Table2[[#This Row],[PDB - 16 Bread Section]]</f>
        <v>#VALUE!</v>
      </c>
      <c r="FS55" t="e">
        <f>BU56-Table2[[#This Row],[7F1 Donut Production area]]</f>
        <v>#VALUE!</v>
      </c>
      <c r="FT55" t="e">
        <f>CB56-Table2[[#This Row],[8F5 Donut Ban Bary]]</f>
        <v>#VALUE!</v>
      </c>
      <c r="FU55" t="e">
        <f>CF56-Table2[[#This Row],[9F4 - PDB 13 - Donut Sink Geyser area]]</f>
        <v>#VALUE!</v>
      </c>
      <c r="FV55" t="e">
        <f>BV56-Table2[[#This Row],[7F2 Flour Silo]]</f>
        <v>#VALUE!</v>
      </c>
      <c r="FW55" t="e">
        <f>BY56-Table2[[#This Row],[8F2 ACPDB - 3 SILO Ventilation]]</f>
        <v>#VALUE!</v>
      </c>
      <c r="FX55" t="e">
        <f>J56-Table2[[#This Row],[DG 1010KVA Running Hours]]</f>
        <v>#VALUE!</v>
      </c>
      <c r="FY55" t="e">
        <f>K56-Table2[[#This Row],[DG 1010 KVA Meter Reading]]</f>
        <v>#VALUE!</v>
      </c>
      <c r="FZ55" t="e">
        <f>L56-Table2[[#This Row],[GG 1010 KVA Running Hours]]</f>
        <v>#VALUE!</v>
      </c>
      <c r="GA55" t="e">
        <f>M56-Table2[[#This Row],[GG 1010 KVA Meter Reading]]</f>
        <v>#VALUE!</v>
      </c>
    </row>
    <row r="56" spans="1:183" x14ac:dyDescent="0.35">
      <c r="DH56" s="4" t="e">
        <f>Table2[[#This Row],[Date]]</f>
        <v>#VALUE!</v>
      </c>
      <c r="DI56" t="e">
        <f>(DD57-Table2[[#This Row],[MWH Total]])*4000</f>
        <v>#VALUE!</v>
      </c>
      <c r="DJ56" t="e">
        <f>(DA57-Table2[[#This Row],[PNG Meter (Outside)]])*2.936</f>
        <v>#VALUE!</v>
      </c>
      <c r="DK56" t="e">
        <f>(DB57-Table2[[#This Row],[PNG Meter (Inside)]])*2.936</f>
        <v>#VALUE!</v>
      </c>
      <c r="DL56" t="e">
        <f>(BH57-Table2[[#This Row],[3F Dough cooler - 2 ]])*1000</f>
        <v>#VALUE!</v>
      </c>
      <c r="DM56" t="e">
        <f>(BI57-Table2[[#This Row],[3F Dough Cooler- 1]])*1000</f>
        <v>#VALUE!</v>
      </c>
      <c r="DN56" t="e">
        <f>(BJ57-Table2[[#This Row],[4F Dough Production cooling Unit]])*1000</f>
        <v>#VALUE!</v>
      </c>
      <c r="DO56" t="e">
        <f>(BQ57-Table2[[#This Row],[3F2 - PDB 3 - Dough Production Area]])*1000</f>
        <v>#VALUE!</v>
      </c>
      <c r="DP56" t="e">
        <f>(BR57-Table2[[#This Row],[3F3 - PDB 4 - Dough Area]])*1000</f>
        <v>#VALUE!</v>
      </c>
      <c r="DQ56" t="e">
        <f>AC57-Table2[[#This Row],[16F1 Tray washer Panel for Light]]</f>
        <v>#VALUE!</v>
      </c>
      <c r="DR56" t="e">
        <f>CQ57-Table2[[#This Row],[2F1 Tray Washer - 1]]</f>
        <v>#VALUE!</v>
      </c>
      <c r="DS56" t="e">
        <f>CS57-Table2[[#This Row],[2F5 Destacker]]</f>
        <v>#VALUE!</v>
      </c>
      <c r="DT56" t="e">
        <f>CU57-Table2[[#This Row],[5F1 Metering (TW-2)]]</f>
        <v>#VALUE!</v>
      </c>
      <c r="DU56" t="e">
        <f>CV57-Table2[[#This Row],[6F1 Pre soaker Tray washer]]</f>
        <v>#VALUE!</v>
      </c>
      <c r="DV56" t="e">
        <f>CZ57-Table2[[#This Row],[6F5 Vent tray Storage]]</f>
        <v>#VALUE!</v>
      </c>
      <c r="DW56" t="e">
        <f>I57-Table2[[#This Row],[Popeyes Meter ]]</f>
        <v>#VALUE!</v>
      </c>
      <c r="DX56" t="e">
        <f>AZ57-Table2[[#This Row],[2F WH Chiller, Segregation Area]]</f>
        <v>#VALUE!</v>
      </c>
      <c r="DY56" t="e">
        <f>BA57-Table2[[#This Row],[3F1 AC Unit WH dock cooling - 2 Nos]]</f>
        <v>#VALUE!</v>
      </c>
      <c r="DZ56" t="e">
        <f>BB57-Table2[[#This Row],[3F2 AC Unit WH dock cooling - 3 Nos]]</f>
        <v>#VALUE!</v>
      </c>
      <c r="EA56" t="e">
        <f>(BK57-Table2[[#This Row],[5F WH Perishable]])*1000</f>
        <v>#VALUE!</v>
      </c>
      <c r="EB56" t="e">
        <f>BN57-Table2[[#This Row],[2F3 - PDB 9 - WH Dock Leveler Door ]]</f>
        <v>#VALUE!</v>
      </c>
      <c r="EC56" t="e">
        <f>BP57-Table2[[#This Row],[3F1 - PDB 5 - WH HSD]]</f>
        <v>#VALUE!</v>
      </c>
      <c r="ED56" t="e">
        <f>BX57-Table2[[#This Row],[8F1 WH Dock AHU - Ventilation]]</f>
        <v>#VALUE!</v>
      </c>
      <c r="EE56" t="e">
        <f>BZ57-Table2[[#This Row],[8F3 ACPDB - 4 WH Dock air curtain]]</f>
        <v>#VALUE!</v>
      </c>
      <c r="EF56" t="e">
        <f>CA57-Table2[[#This Row],[8F4 WH Light]]</f>
        <v>#VALUE!</v>
      </c>
      <c r="EG56" t="e">
        <f>CC57-Table2[[#This Row],[9F1 - PDB 10 - WH Dock door &amp; Office]]</f>
        <v>#VALUE!</v>
      </c>
      <c r="EH56" t="e">
        <f>CD57-Table2[[#This Row],[9F2 - PDB 11 - WH flycatchers]]</f>
        <v>#VALUE!</v>
      </c>
      <c r="EI56" t="e">
        <f>CE57-Table2[[#This Row],[9F3 - PDB 12 - Other items]]</f>
        <v>#VALUE!</v>
      </c>
      <c r="EJ56" t="e">
        <f>CR57-Table2[[#This Row],[2F3 - PDB 1 - Dock 1 to 4 ]]</f>
        <v>#VALUE!</v>
      </c>
      <c r="EK56" t="e">
        <f>BM57-Table2[[#This Row],[2F2 - PDB 3 - WH Truck &amp; Battery Charging]]</f>
        <v>#VALUE!</v>
      </c>
      <c r="EL56" t="e">
        <f>(CK57-Table2[[#This Row],[PDB - 11 Truck Charging]])*1000</f>
        <v>#VALUE!</v>
      </c>
      <c r="EM56" t="e">
        <f>P57-Table2[[#This Row],[5F3 Admin Area]]</f>
        <v>#VALUE!</v>
      </c>
      <c r="EN56" t="e">
        <f>AH57-Table2[[#This Row],[2F5 Main Gate-1 Piller -1]]</f>
        <v>#VALUE!</v>
      </c>
      <c r="EO56" t="e">
        <f>CW57-Table2[[#This Row],[6F2 Ground Floor AC]]</f>
        <v>#VALUE!</v>
      </c>
      <c r="EP56" t="e">
        <f>CX57-Table2[[#This Row],[6F3 ACBD -1 (First floor AC)]]</f>
        <v>#VALUE!</v>
      </c>
      <c r="EQ56" t="e">
        <f>CY57-Table2[[#This Row],[6F4 ACBD - 2 (Second &amp; Third floor AC)]]</f>
        <v>#VALUE!</v>
      </c>
      <c r="ER56" t="e">
        <f>(BC57-Table2[[#This Row],[4F Old BMC cooling Unit]])</f>
        <v>#VALUE!</v>
      </c>
      <c r="ES56" t="e">
        <f>BO57-Table2[[#This Row],[2F4 - Old BMC]]</f>
        <v>#VALUE!</v>
      </c>
      <c r="ET56" t="e">
        <f>Y57-Table2[[#This Row],[14F2 New CK]]</f>
        <v>#VALUE!</v>
      </c>
      <c r="EU56" t="e">
        <f>(CL57-Table2[[#This Row],[OLD Ck Panel-1]])*1000</f>
        <v>#VALUE!</v>
      </c>
      <c r="EV56" t="e">
        <f>CM57-Table2[[#This Row],[2F4 Old CK Blast (Blue star)]]</f>
        <v>#VALUE!</v>
      </c>
      <c r="EW56" t="e">
        <f>CN57-Table2[[#This Row],[3F6 Old CK Blast (Carrier)]]</f>
        <v>#VALUE!</v>
      </c>
      <c r="EX56" t="e">
        <f>(CO57-Table2[[#This Row],[Old CK Panel -2]])*1000</f>
        <v>#VALUE!</v>
      </c>
      <c r="EY56" t="e">
        <f>N57-Table2[[#This Row],[4F1 Main UPS 1/C -1]]</f>
        <v>#VALUE!</v>
      </c>
      <c r="EZ56" t="e">
        <f>Z57-Table2[[#This Row],[15F1 Main UPS Panel - I/C - 2]]</f>
        <v>#VALUE!</v>
      </c>
      <c r="FA56" t="e">
        <f>BF57-Table2[[#This Row],[2F CLC -1 AC unit - 2]]</f>
        <v>#VALUE!</v>
      </c>
      <c r="FB56" t="e">
        <f>(BG57-Table2[[#This Row],[2F CLC Anti room]])*1000</f>
        <v>#VALUE!</v>
      </c>
      <c r="FC56" t="e">
        <f>BW57-Table2[[#This Row],[7F3 CLC Power Panel]]</f>
        <v>#VALUE!</v>
      </c>
      <c r="FD56" t="e">
        <f>(CI57-Table2[[#This Row],[PDB - 17 CLC Section ]])*1000</f>
        <v>#VALUE!</v>
      </c>
      <c r="FE56" t="e">
        <f>(W57-Table2[[#This Row],[13F3 Water &amp; Lift Old CK]])*1000</f>
        <v>#VALUE!</v>
      </c>
      <c r="FF56" t="e">
        <f>AA57-Table2[[#This Row],[15F2 New ETP Panel]]</f>
        <v>#VALUE!</v>
      </c>
      <c r="FG56" t="e">
        <f>AL57-Table2[[#This Row],[3F4 Old ETP Panel]]</f>
        <v>#VALUE!</v>
      </c>
      <c r="FH56" t="e">
        <f>AF57-Table2[[#This Row],[2F1 RO Plant]]</f>
        <v>#VALUE!</v>
      </c>
      <c r="FI56" t="e">
        <f>AK57-Table2[[#This Row],[3F3 Fire Hydrant Panel]]</f>
        <v>#VALUE!</v>
      </c>
      <c r="FJ56" t="e">
        <f>R57-Table2[[#This Row],[7F1 Freon System Panel]]</f>
        <v>#VALUE!</v>
      </c>
      <c r="FK56" t="e">
        <f>(AE57-Table2[[#This Row],[21F1 Refrigeration Ammonia]])*1000</f>
        <v>#VALUE!</v>
      </c>
      <c r="FL56" t="e">
        <f>(AG57-Table2[[#This Row],[2F3 Air Compressor]])*1000</f>
        <v>#VALUE!</v>
      </c>
      <c r="FM56" t="e">
        <f>(AX57-Table2[[#This Row],[Solar Reading Panel II]])*1000</f>
        <v>#VALUE!</v>
      </c>
      <c r="FN56" t="e">
        <f>AI57-Table2[[#This Row],[3F1 Maintenance Workshop]]</f>
        <v>#VALUE!</v>
      </c>
      <c r="FO56" t="e">
        <f>BD57-Table2[[#This Row],[4F B2B unit ]]</f>
        <v>#VALUE!</v>
      </c>
      <c r="FP56" t="e">
        <f>BL57-Table2[[#This Row],[2F1 - PDB 6 - Bread, B2B section]]</f>
        <v>#VALUE!</v>
      </c>
      <c r="FQ56" t="e">
        <f>(CG57-Table2[[#This Row],[9F5 - PDB 14 - Bread Lift]])</f>
        <v>#VALUE!</v>
      </c>
      <c r="FR56" t="e">
        <f>CJ57-Table2[[#This Row],[PDB - 16 Bread Section]]</f>
        <v>#VALUE!</v>
      </c>
      <c r="FS56" t="e">
        <f>BU57-Table2[[#This Row],[7F1 Donut Production area]]</f>
        <v>#VALUE!</v>
      </c>
      <c r="FT56" t="e">
        <f>CB57-Table2[[#This Row],[8F5 Donut Ban Bary]]</f>
        <v>#VALUE!</v>
      </c>
      <c r="FU56" t="e">
        <f>CF57-Table2[[#This Row],[9F4 - PDB 13 - Donut Sink Geyser area]]</f>
        <v>#VALUE!</v>
      </c>
      <c r="FV56" t="e">
        <f>BV57-Table2[[#This Row],[7F2 Flour Silo]]</f>
        <v>#VALUE!</v>
      </c>
      <c r="FW56" t="e">
        <f>BY57-Table2[[#This Row],[8F2 ACPDB - 3 SILO Ventilation]]</f>
        <v>#VALUE!</v>
      </c>
      <c r="FX56" t="e">
        <f>J57-Table2[[#This Row],[DG 1010KVA Running Hours]]</f>
        <v>#VALUE!</v>
      </c>
      <c r="FY56" t="e">
        <f>K57-Table2[[#This Row],[DG 1010 KVA Meter Reading]]</f>
        <v>#VALUE!</v>
      </c>
      <c r="FZ56" t="e">
        <f>L57-Table2[[#This Row],[GG 1010 KVA Running Hours]]</f>
        <v>#VALUE!</v>
      </c>
      <c r="GA56" t="e">
        <f>M57-Table2[[#This Row],[GG 1010 KVA Meter Reading]]</f>
        <v>#VALUE!</v>
      </c>
    </row>
    <row r="57" spans="1:183" x14ac:dyDescent="0.35">
      <c r="DH57" s="4" t="e">
        <f>Table2[[#This Row],[Date]]</f>
        <v>#VALUE!</v>
      </c>
      <c r="DI57" t="e">
        <f>(DD58-Table2[[#This Row],[MWH Total]])*4000</f>
        <v>#VALUE!</v>
      </c>
      <c r="DJ57" t="e">
        <f>(DA58-Table2[[#This Row],[PNG Meter (Outside)]])*2.936</f>
        <v>#VALUE!</v>
      </c>
      <c r="DK57" t="e">
        <f>(DB58-Table2[[#This Row],[PNG Meter (Inside)]])*2.936</f>
        <v>#VALUE!</v>
      </c>
      <c r="DL57" t="e">
        <f>(BH58-Table2[[#This Row],[3F Dough cooler - 2 ]])*1000</f>
        <v>#VALUE!</v>
      </c>
      <c r="DM57" t="e">
        <f>(BI58-Table2[[#This Row],[3F Dough Cooler- 1]])*1000</f>
        <v>#VALUE!</v>
      </c>
      <c r="DN57" t="e">
        <f>(BJ58-Table2[[#This Row],[4F Dough Production cooling Unit]])*1000</f>
        <v>#VALUE!</v>
      </c>
      <c r="DO57" t="e">
        <f>(BQ58-Table2[[#This Row],[3F2 - PDB 3 - Dough Production Area]])*1000</f>
        <v>#VALUE!</v>
      </c>
      <c r="DP57" t="e">
        <f>(BR58-Table2[[#This Row],[3F3 - PDB 4 - Dough Area]])*1000</f>
        <v>#VALUE!</v>
      </c>
      <c r="DQ57" t="e">
        <f>AC58-Table2[[#This Row],[16F1 Tray washer Panel for Light]]</f>
        <v>#VALUE!</v>
      </c>
      <c r="DR57" t="e">
        <f>CQ58-Table2[[#This Row],[2F1 Tray Washer - 1]]</f>
        <v>#VALUE!</v>
      </c>
      <c r="DS57" t="e">
        <f>CS58-Table2[[#This Row],[2F5 Destacker]]</f>
        <v>#VALUE!</v>
      </c>
      <c r="DT57" t="e">
        <f>CU58-Table2[[#This Row],[5F1 Metering (TW-2)]]</f>
        <v>#VALUE!</v>
      </c>
      <c r="DU57" t="e">
        <f>CV58-Table2[[#This Row],[6F1 Pre soaker Tray washer]]</f>
        <v>#VALUE!</v>
      </c>
      <c r="DV57" t="e">
        <f>CZ58-Table2[[#This Row],[6F5 Vent tray Storage]]</f>
        <v>#VALUE!</v>
      </c>
      <c r="DW57" t="e">
        <f>I58-Table2[[#This Row],[Popeyes Meter ]]</f>
        <v>#VALUE!</v>
      </c>
      <c r="DX57" t="e">
        <f>AZ58-Table2[[#This Row],[2F WH Chiller, Segregation Area]]</f>
        <v>#VALUE!</v>
      </c>
      <c r="DY57" t="e">
        <f>BA58-Table2[[#This Row],[3F1 AC Unit WH dock cooling - 2 Nos]]</f>
        <v>#VALUE!</v>
      </c>
      <c r="DZ57" t="e">
        <f>BB58-Table2[[#This Row],[3F2 AC Unit WH dock cooling - 3 Nos]]</f>
        <v>#VALUE!</v>
      </c>
      <c r="EA57" t="e">
        <f>(BK58-Table2[[#This Row],[5F WH Perishable]])*1000</f>
        <v>#VALUE!</v>
      </c>
      <c r="EB57" t="e">
        <f>BN58-Table2[[#This Row],[2F3 - PDB 9 - WH Dock Leveler Door ]]</f>
        <v>#VALUE!</v>
      </c>
      <c r="EC57" t="e">
        <f>BP58-Table2[[#This Row],[3F1 - PDB 5 - WH HSD]]</f>
        <v>#VALUE!</v>
      </c>
      <c r="ED57" t="e">
        <f>BX58-Table2[[#This Row],[8F1 WH Dock AHU - Ventilation]]</f>
        <v>#VALUE!</v>
      </c>
      <c r="EE57" t="e">
        <f>BZ58-Table2[[#This Row],[8F3 ACPDB - 4 WH Dock air curtain]]</f>
        <v>#VALUE!</v>
      </c>
      <c r="EF57" t="e">
        <f>CA58-Table2[[#This Row],[8F4 WH Light]]</f>
        <v>#VALUE!</v>
      </c>
      <c r="EG57" t="e">
        <f>CC58-Table2[[#This Row],[9F1 - PDB 10 - WH Dock door &amp; Office]]</f>
        <v>#VALUE!</v>
      </c>
      <c r="EH57" t="e">
        <f>CD58-Table2[[#This Row],[9F2 - PDB 11 - WH flycatchers]]</f>
        <v>#VALUE!</v>
      </c>
      <c r="EI57" t="e">
        <f>CE58-Table2[[#This Row],[9F3 - PDB 12 - Other items]]</f>
        <v>#VALUE!</v>
      </c>
      <c r="EJ57" t="e">
        <f>CR58-Table2[[#This Row],[2F3 - PDB 1 - Dock 1 to 4 ]]</f>
        <v>#VALUE!</v>
      </c>
      <c r="EK57" t="e">
        <f>BM58-Table2[[#This Row],[2F2 - PDB 3 - WH Truck &amp; Battery Charging]]</f>
        <v>#VALUE!</v>
      </c>
      <c r="EL57" t="e">
        <f>(CK58-Table2[[#This Row],[PDB - 11 Truck Charging]])*1000</f>
        <v>#VALUE!</v>
      </c>
      <c r="EM57" t="e">
        <f>P58-Table2[[#This Row],[5F3 Admin Area]]</f>
        <v>#VALUE!</v>
      </c>
      <c r="EN57" t="e">
        <f>AH58-Table2[[#This Row],[2F5 Main Gate-1 Piller -1]]</f>
        <v>#VALUE!</v>
      </c>
      <c r="EO57" t="e">
        <f>CW58-Table2[[#This Row],[6F2 Ground Floor AC]]</f>
        <v>#VALUE!</v>
      </c>
      <c r="EP57" t="e">
        <f>CX58-Table2[[#This Row],[6F3 ACBD -1 (First floor AC)]]</f>
        <v>#VALUE!</v>
      </c>
      <c r="EQ57" t="e">
        <f>CY58-Table2[[#This Row],[6F4 ACBD - 2 (Second &amp; Third floor AC)]]</f>
        <v>#VALUE!</v>
      </c>
      <c r="ER57" t="e">
        <f>(BC58-Table2[[#This Row],[4F Old BMC cooling Unit]])</f>
        <v>#VALUE!</v>
      </c>
      <c r="ES57" t="e">
        <f>BO58-Table2[[#This Row],[2F4 - Old BMC]]</f>
        <v>#VALUE!</v>
      </c>
      <c r="ET57" t="e">
        <f>Y58-Table2[[#This Row],[14F2 New CK]]</f>
        <v>#VALUE!</v>
      </c>
      <c r="EU57" t="e">
        <f>(CL58-Table2[[#This Row],[OLD Ck Panel-1]])*1000</f>
        <v>#VALUE!</v>
      </c>
      <c r="EV57" t="e">
        <f>CM58-Table2[[#This Row],[2F4 Old CK Blast (Blue star)]]</f>
        <v>#VALUE!</v>
      </c>
      <c r="EW57" t="e">
        <f>CN58-Table2[[#This Row],[3F6 Old CK Blast (Carrier)]]</f>
        <v>#VALUE!</v>
      </c>
      <c r="EX57" t="e">
        <f>(CO58-Table2[[#This Row],[Old CK Panel -2]])*1000</f>
        <v>#VALUE!</v>
      </c>
      <c r="EY57" t="e">
        <f>N58-Table2[[#This Row],[4F1 Main UPS 1/C -1]]</f>
        <v>#VALUE!</v>
      </c>
      <c r="EZ57" t="e">
        <f>Z58-Table2[[#This Row],[15F1 Main UPS Panel - I/C - 2]]</f>
        <v>#VALUE!</v>
      </c>
      <c r="FA57" t="e">
        <f>BF58-Table2[[#This Row],[2F CLC -1 AC unit - 2]]</f>
        <v>#VALUE!</v>
      </c>
      <c r="FB57" t="e">
        <f>(BG58-Table2[[#This Row],[2F CLC Anti room]])*1000</f>
        <v>#VALUE!</v>
      </c>
      <c r="FC57" t="e">
        <f>BW58-Table2[[#This Row],[7F3 CLC Power Panel]]</f>
        <v>#VALUE!</v>
      </c>
      <c r="FD57" t="e">
        <f>(CI58-Table2[[#This Row],[PDB - 17 CLC Section ]])*1000</f>
        <v>#VALUE!</v>
      </c>
      <c r="FE57" t="e">
        <f>(W58-Table2[[#This Row],[13F3 Water &amp; Lift Old CK]])*1000</f>
        <v>#VALUE!</v>
      </c>
      <c r="FF57" t="e">
        <f>AA58-Table2[[#This Row],[15F2 New ETP Panel]]</f>
        <v>#VALUE!</v>
      </c>
      <c r="FG57" t="e">
        <f>AL58-Table2[[#This Row],[3F4 Old ETP Panel]]</f>
        <v>#VALUE!</v>
      </c>
      <c r="FH57" t="e">
        <f>AF58-Table2[[#This Row],[2F1 RO Plant]]</f>
        <v>#VALUE!</v>
      </c>
      <c r="FI57" t="e">
        <f>AK58-Table2[[#This Row],[3F3 Fire Hydrant Panel]]</f>
        <v>#VALUE!</v>
      </c>
      <c r="FJ57" t="e">
        <f>R58-Table2[[#This Row],[7F1 Freon System Panel]]</f>
        <v>#VALUE!</v>
      </c>
      <c r="FK57" t="e">
        <f>(AE58-Table2[[#This Row],[21F1 Refrigeration Ammonia]])*1000</f>
        <v>#VALUE!</v>
      </c>
      <c r="FL57" t="e">
        <f>(AG58-Table2[[#This Row],[2F3 Air Compressor]])*1000</f>
        <v>#VALUE!</v>
      </c>
      <c r="FM57" t="e">
        <f>(AX58-Table2[[#This Row],[Solar Reading Panel II]])*1000</f>
        <v>#VALUE!</v>
      </c>
      <c r="FN57" t="e">
        <f>AI58-Table2[[#This Row],[3F1 Maintenance Workshop]]</f>
        <v>#VALUE!</v>
      </c>
      <c r="FO57" t="e">
        <f>BD58-Table2[[#This Row],[4F B2B unit ]]</f>
        <v>#VALUE!</v>
      </c>
      <c r="FP57" t="e">
        <f>BL58-Table2[[#This Row],[2F1 - PDB 6 - Bread, B2B section]]</f>
        <v>#VALUE!</v>
      </c>
      <c r="FQ57" t="e">
        <f>(CG58-Table2[[#This Row],[9F5 - PDB 14 - Bread Lift]])</f>
        <v>#VALUE!</v>
      </c>
      <c r="FR57" t="e">
        <f>CJ58-Table2[[#This Row],[PDB - 16 Bread Section]]</f>
        <v>#VALUE!</v>
      </c>
      <c r="FS57" t="e">
        <f>BU58-Table2[[#This Row],[7F1 Donut Production area]]</f>
        <v>#VALUE!</v>
      </c>
      <c r="FT57" t="e">
        <f>CB58-Table2[[#This Row],[8F5 Donut Ban Bary]]</f>
        <v>#VALUE!</v>
      </c>
      <c r="FU57" t="e">
        <f>CF58-Table2[[#This Row],[9F4 - PDB 13 - Donut Sink Geyser area]]</f>
        <v>#VALUE!</v>
      </c>
      <c r="FV57" t="e">
        <f>BV58-Table2[[#This Row],[7F2 Flour Silo]]</f>
        <v>#VALUE!</v>
      </c>
      <c r="FW57" t="e">
        <f>BY58-Table2[[#This Row],[8F2 ACPDB - 3 SILO Ventilation]]</f>
        <v>#VALUE!</v>
      </c>
      <c r="FX57" t="e">
        <f>J58-Table2[[#This Row],[DG 1010KVA Running Hours]]</f>
        <v>#VALUE!</v>
      </c>
      <c r="FY57" t="e">
        <f>K58-Table2[[#This Row],[DG 1010 KVA Meter Reading]]</f>
        <v>#VALUE!</v>
      </c>
      <c r="FZ57" t="e">
        <f>L58-Table2[[#This Row],[GG 1010 KVA Running Hours]]</f>
        <v>#VALUE!</v>
      </c>
      <c r="GA57" t="e">
        <f>M58-Table2[[#This Row],[GG 1010 KVA Meter Reading]]</f>
        <v>#VALUE!</v>
      </c>
    </row>
    <row r="58" spans="1:183" x14ac:dyDescent="0.35">
      <c r="DH58" s="4" t="e">
        <f>Table2[[#This Row],[Date]]</f>
        <v>#VALUE!</v>
      </c>
      <c r="DI58" t="e">
        <f>(DD59-Table2[[#This Row],[MWH Total]])*4000</f>
        <v>#VALUE!</v>
      </c>
      <c r="DJ58" t="e">
        <f>(DA59-Table2[[#This Row],[PNG Meter (Outside)]])*2.936</f>
        <v>#VALUE!</v>
      </c>
      <c r="DK58" t="e">
        <f>(DB59-Table2[[#This Row],[PNG Meter (Inside)]])*2.936</f>
        <v>#VALUE!</v>
      </c>
      <c r="DL58" t="e">
        <f>(BH59-Table2[[#This Row],[3F Dough cooler - 2 ]])*1000</f>
        <v>#VALUE!</v>
      </c>
      <c r="DM58" t="e">
        <f>(BI59-Table2[[#This Row],[3F Dough Cooler- 1]])*1000</f>
        <v>#VALUE!</v>
      </c>
      <c r="DN58" t="e">
        <f>(BJ59-Table2[[#This Row],[4F Dough Production cooling Unit]])*1000</f>
        <v>#VALUE!</v>
      </c>
      <c r="DO58" t="e">
        <f>(BQ59-Table2[[#This Row],[3F2 - PDB 3 - Dough Production Area]])*1000</f>
        <v>#VALUE!</v>
      </c>
      <c r="DP58" t="e">
        <f>(BR59-Table2[[#This Row],[3F3 - PDB 4 - Dough Area]])*1000</f>
        <v>#VALUE!</v>
      </c>
      <c r="DQ58" t="e">
        <f>AC59-Table2[[#This Row],[16F1 Tray washer Panel for Light]]</f>
        <v>#VALUE!</v>
      </c>
      <c r="DR58" t="e">
        <f>CQ59-Table2[[#This Row],[2F1 Tray Washer - 1]]</f>
        <v>#VALUE!</v>
      </c>
      <c r="DS58" t="e">
        <f>CS59-Table2[[#This Row],[2F5 Destacker]]</f>
        <v>#VALUE!</v>
      </c>
      <c r="DT58" t="e">
        <f>CU59-Table2[[#This Row],[5F1 Metering (TW-2)]]</f>
        <v>#VALUE!</v>
      </c>
      <c r="DU58" t="e">
        <f>CV59-Table2[[#This Row],[6F1 Pre soaker Tray washer]]</f>
        <v>#VALUE!</v>
      </c>
      <c r="DV58" t="e">
        <f>CZ59-Table2[[#This Row],[6F5 Vent tray Storage]]</f>
        <v>#VALUE!</v>
      </c>
      <c r="DW58" t="e">
        <f>I59-Table2[[#This Row],[Popeyes Meter ]]</f>
        <v>#VALUE!</v>
      </c>
      <c r="DX58" t="e">
        <f>AZ59-Table2[[#This Row],[2F WH Chiller, Segregation Area]]</f>
        <v>#VALUE!</v>
      </c>
      <c r="DY58" t="e">
        <f>BA59-Table2[[#This Row],[3F1 AC Unit WH dock cooling - 2 Nos]]</f>
        <v>#VALUE!</v>
      </c>
      <c r="DZ58" t="e">
        <f>BB59-Table2[[#This Row],[3F2 AC Unit WH dock cooling - 3 Nos]]</f>
        <v>#VALUE!</v>
      </c>
      <c r="EA58" t="e">
        <f>(BK59-Table2[[#This Row],[5F WH Perishable]])*1000</f>
        <v>#VALUE!</v>
      </c>
      <c r="EB58" t="e">
        <f>BN59-Table2[[#This Row],[2F3 - PDB 9 - WH Dock Leveler Door ]]</f>
        <v>#VALUE!</v>
      </c>
      <c r="EC58" t="e">
        <f>BP59-Table2[[#This Row],[3F1 - PDB 5 - WH HSD]]</f>
        <v>#VALUE!</v>
      </c>
      <c r="ED58" t="e">
        <f>BX59-Table2[[#This Row],[8F1 WH Dock AHU - Ventilation]]</f>
        <v>#VALUE!</v>
      </c>
      <c r="EE58" t="e">
        <f>BZ59-Table2[[#This Row],[8F3 ACPDB - 4 WH Dock air curtain]]</f>
        <v>#VALUE!</v>
      </c>
      <c r="EF58" t="e">
        <f>CA59-Table2[[#This Row],[8F4 WH Light]]</f>
        <v>#VALUE!</v>
      </c>
      <c r="EG58" t="e">
        <f>CC59-Table2[[#This Row],[9F1 - PDB 10 - WH Dock door &amp; Office]]</f>
        <v>#VALUE!</v>
      </c>
      <c r="EH58" t="e">
        <f>CD59-Table2[[#This Row],[9F2 - PDB 11 - WH flycatchers]]</f>
        <v>#VALUE!</v>
      </c>
      <c r="EI58" t="e">
        <f>CE59-Table2[[#This Row],[9F3 - PDB 12 - Other items]]</f>
        <v>#VALUE!</v>
      </c>
      <c r="EJ58" t="e">
        <f>CR59-Table2[[#This Row],[2F3 - PDB 1 - Dock 1 to 4 ]]</f>
        <v>#VALUE!</v>
      </c>
      <c r="EK58" t="e">
        <f>BM59-Table2[[#This Row],[2F2 - PDB 3 - WH Truck &amp; Battery Charging]]</f>
        <v>#VALUE!</v>
      </c>
      <c r="EL58" t="e">
        <f>(CK59-Table2[[#This Row],[PDB - 11 Truck Charging]])*1000</f>
        <v>#VALUE!</v>
      </c>
      <c r="EM58" t="e">
        <f>P59-Table2[[#This Row],[5F3 Admin Area]]</f>
        <v>#VALUE!</v>
      </c>
      <c r="EN58" t="e">
        <f>AH59-Table2[[#This Row],[2F5 Main Gate-1 Piller -1]]</f>
        <v>#VALUE!</v>
      </c>
      <c r="EO58" t="e">
        <f>CW59-Table2[[#This Row],[6F2 Ground Floor AC]]</f>
        <v>#VALUE!</v>
      </c>
      <c r="EP58" t="e">
        <f>CX59-Table2[[#This Row],[6F3 ACBD -1 (First floor AC)]]</f>
        <v>#VALUE!</v>
      </c>
      <c r="EQ58" t="e">
        <f>CY59-Table2[[#This Row],[6F4 ACBD - 2 (Second &amp; Third floor AC)]]</f>
        <v>#VALUE!</v>
      </c>
      <c r="ER58" t="e">
        <f>(BC59-Table2[[#This Row],[4F Old BMC cooling Unit]])</f>
        <v>#VALUE!</v>
      </c>
      <c r="ES58" t="e">
        <f>BO59-Table2[[#This Row],[2F4 - Old BMC]]</f>
        <v>#VALUE!</v>
      </c>
      <c r="ET58" t="e">
        <f>Y59-Table2[[#This Row],[14F2 New CK]]</f>
        <v>#VALUE!</v>
      </c>
      <c r="EU58" t="e">
        <f>(CL59-Table2[[#This Row],[OLD Ck Panel-1]])*1000</f>
        <v>#VALUE!</v>
      </c>
      <c r="EV58" t="e">
        <f>CM59-Table2[[#This Row],[2F4 Old CK Blast (Blue star)]]</f>
        <v>#VALUE!</v>
      </c>
      <c r="EW58" t="e">
        <f>CN59-Table2[[#This Row],[3F6 Old CK Blast (Carrier)]]</f>
        <v>#VALUE!</v>
      </c>
      <c r="EX58" t="e">
        <f>(CO59-Table2[[#This Row],[Old CK Panel -2]])*1000</f>
        <v>#VALUE!</v>
      </c>
      <c r="EY58" t="e">
        <f>N59-Table2[[#This Row],[4F1 Main UPS 1/C -1]]</f>
        <v>#VALUE!</v>
      </c>
      <c r="EZ58" t="e">
        <f>Z59-Table2[[#This Row],[15F1 Main UPS Panel - I/C - 2]]</f>
        <v>#VALUE!</v>
      </c>
      <c r="FA58" t="e">
        <f>BF59-Table2[[#This Row],[2F CLC -1 AC unit - 2]]</f>
        <v>#VALUE!</v>
      </c>
      <c r="FB58" t="e">
        <f>(BG59-Table2[[#This Row],[2F CLC Anti room]])*1000</f>
        <v>#VALUE!</v>
      </c>
      <c r="FC58" t="e">
        <f>BW59-Table2[[#This Row],[7F3 CLC Power Panel]]</f>
        <v>#VALUE!</v>
      </c>
      <c r="FD58" t="e">
        <f>(CI59-Table2[[#This Row],[PDB - 17 CLC Section ]])*1000</f>
        <v>#VALUE!</v>
      </c>
      <c r="FE58" t="e">
        <f>(W59-Table2[[#This Row],[13F3 Water &amp; Lift Old CK]])*1000</f>
        <v>#VALUE!</v>
      </c>
      <c r="FF58" t="e">
        <f>AA59-Table2[[#This Row],[15F2 New ETP Panel]]</f>
        <v>#VALUE!</v>
      </c>
      <c r="FG58" t="e">
        <f>AL59-Table2[[#This Row],[3F4 Old ETP Panel]]</f>
        <v>#VALUE!</v>
      </c>
      <c r="FH58" t="e">
        <f>AF59-Table2[[#This Row],[2F1 RO Plant]]</f>
        <v>#VALUE!</v>
      </c>
      <c r="FI58" t="e">
        <f>AK59-Table2[[#This Row],[3F3 Fire Hydrant Panel]]</f>
        <v>#VALUE!</v>
      </c>
      <c r="FJ58" t="e">
        <f>R59-Table2[[#This Row],[7F1 Freon System Panel]]</f>
        <v>#VALUE!</v>
      </c>
      <c r="FK58" t="e">
        <f>(AE59-Table2[[#This Row],[21F1 Refrigeration Ammonia]])*1000</f>
        <v>#VALUE!</v>
      </c>
      <c r="FL58" t="e">
        <f>(AG59-Table2[[#This Row],[2F3 Air Compressor]])*1000</f>
        <v>#VALUE!</v>
      </c>
      <c r="FM58" t="e">
        <f>(AX59-Table2[[#This Row],[Solar Reading Panel II]])*1000</f>
        <v>#VALUE!</v>
      </c>
      <c r="FN58" t="e">
        <f>AI59-Table2[[#This Row],[3F1 Maintenance Workshop]]</f>
        <v>#VALUE!</v>
      </c>
      <c r="FO58" t="e">
        <f>BD59-Table2[[#This Row],[4F B2B unit ]]</f>
        <v>#VALUE!</v>
      </c>
      <c r="FP58" t="e">
        <f>BL59-Table2[[#This Row],[2F1 - PDB 6 - Bread, B2B section]]</f>
        <v>#VALUE!</v>
      </c>
      <c r="FQ58" t="e">
        <f>(CG59-Table2[[#This Row],[9F5 - PDB 14 - Bread Lift]])</f>
        <v>#VALUE!</v>
      </c>
      <c r="FR58" t="e">
        <f>CJ59-Table2[[#This Row],[PDB - 16 Bread Section]]</f>
        <v>#VALUE!</v>
      </c>
      <c r="FS58" t="e">
        <f>BU59-Table2[[#This Row],[7F1 Donut Production area]]</f>
        <v>#VALUE!</v>
      </c>
      <c r="FT58" t="e">
        <f>CB59-Table2[[#This Row],[8F5 Donut Ban Bary]]</f>
        <v>#VALUE!</v>
      </c>
      <c r="FU58" t="e">
        <f>CF59-Table2[[#This Row],[9F4 - PDB 13 - Donut Sink Geyser area]]</f>
        <v>#VALUE!</v>
      </c>
      <c r="FV58" t="e">
        <f>BV59-Table2[[#This Row],[7F2 Flour Silo]]</f>
        <v>#VALUE!</v>
      </c>
      <c r="FW58" t="e">
        <f>BY59-Table2[[#This Row],[8F2 ACPDB - 3 SILO Ventilation]]</f>
        <v>#VALUE!</v>
      </c>
      <c r="FX58" t="e">
        <f>J59-Table2[[#This Row],[DG 1010KVA Running Hours]]</f>
        <v>#VALUE!</v>
      </c>
      <c r="FY58" t="e">
        <f>K59-Table2[[#This Row],[DG 1010 KVA Meter Reading]]</f>
        <v>#VALUE!</v>
      </c>
      <c r="FZ58" t="e">
        <f>L59-Table2[[#This Row],[GG 1010 KVA Running Hours]]</f>
        <v>#VALUE!</v>
      </c>
      <c r="GA58" t="e">
        <f>M59-Table2[[#This Row],[GG 1010 KVA Meter Reading]]</f>
        <v>#VALUE!</v>
      </c>
    </row>
    <row r="59" spans="1:183" x14ac:dyDescent="0.35">
      <c r="DH59" s="4" t="e">
        <f>Table2[[#This Row],[Date]]</f>
        <v>#VALUE!</v>
      </c>
      <c r="DI59" t="e">
        <f>(DD60-Table2[[#This Row],[MWH Total]])*4000</f>
        <v>#VALUE!</v>
      </c>
      <c r="DJ59" t="e">
        <f>(DA60-Table2[[#This Row],[PNG Meter (Outside)]])*2.936</f>
        <v>#VALUE!</v>
      </c>
      <c r="DK59" t="e">
        <f>(DB60-Table2[[#This Row],[PNG Meter (Inside)]])*2.936</f>
        <v>#VALUE!</v>
      </c>
      <c r="DL59" t="e">
        <f>(BH60-Table2[[#This Row],[3F Dough cooler - 2 ]])*1000</f>
        <v>#VALUE!</v>
      </c>
      <c r="DM59" t="e">
        <f>(BI60-Table2[[#This Row],[3F Dough Cooler- 1]])*1000</f>
        <v>#VALUE!</v>
      </c>
      <c r="DN59" t="e">
        <f>(BJ60-Table2[[#This Row],[4F Dough Production cooling Unit]])*1000</f>
        <v>#VALUE!</v>
      </c>
      <c r="DO59" t="e">
        <f>(BQ60-Table2[[#This Row],[3F2 - PDB 3 - Dough Production Area]])*1000</f>
        <v>#VALUE!</v>
      </c>
      <c r="DP59" t="e">
        <f>(BR60-Table2[[#This Row],[3F3 - PDB 4 - Dough Area]])*1000</f>
        <v>#VALUE!</v>
      </c>
      <c r="DQ59" t="e">
        <f>AC60-Table2[[#This Row],[16F1 Tray washer Panel for Light]]</f>
        <v>#VALUE!</v>
      </c>
      <c r="DR59" t="e">
        <f>CQ60-Table2[[#This Row],[2F1 Tray Washer - 1]]</f>
        <v>#VALUE!</v>
      </c>
      <c r="DS59" t="e">
        <f>CS60-Table2[[#This Row],[2F5 Destacker]]</f>
        <v>#VALUE!</v>
      </c>
      <c r="DT59" t="e">
        <f>CU60-Table2[[#This Row],[5F1 Metering (TW-2)]]</f>
        <v>#VALUE!</v>
      </c>
      <c r="DU59" t="e">
        <f>CV60-Table2[[#This Row],[6F1 Pre soaker Tray washer]]</f>
        <v>#VALUE!</v>
      </c>
      <c r="DV59" t="e">
        <f>CZ60-Table2[[#This Row],[6F5 Vent tray Storage]]</f>
        <v>#VALUE!</v>
      </c>
      <c r="DW59" t="e">
        <f>I60-Table2[[#This Row],[Popeyes Meter ]]</f>
        <v>#VALUE!</v>
      </c>
      <c r="DX59" t="e">
        <f>AZ60-Table2[[#This Row],[2F WH Chiller, Segregation Area]]</f>
        <v>#VALUE!</v>
      </c>
      <c r="DY59" t="e">
        <f>BA60-Table2[[#This Row],[3F1 AC Unit WH dock cooling - 2 Nos]]</f>
        <v>#VALUE!</v>
      </c>
      <c r="DZ59" t="e">
        <f>BB60-Table2[[#This Row],[3F2 AC Unit WH dock cooling - 3 Nos]]</f>
        <v>#VALUE!</v>
      </c>
      <c r="EA59" t="e">
        <f>(BK60-Table2[[#This Row],[5F WH Perishable]])*1000</f>
        <v>#VALUE!</v>
      </c>
      <c r="EB59" t="e">
        <f>BN60-Table2[[#This Row],[2F3 - PDB 9 - WH Dock Leveler Door ]]</f>
        <v>#VALUE!</v>
      </c>
      <c r="EC59" t="e">
        <f>BP60-Table2[[#This Row],[3F1 - PDB 5 - WH HSD]]</f>
        <v>#VALUE!</v>
      </c>
      <c r="ED59" t="e">
        <f>BX60-Table2[[#This Row],[8F1 WH Dock AHU - Ventilation]]</f>
        <v>#VALUE!</v>
      </c>
      <c r="EE59" t="e">
        <f>BZ60-Table2[[#This Row],[8F3 ACPDB - 4 WH Dock air curtain]]</f>
        <v>#VALUE!</v>
      </c>
      <c r="EF59" t="e">
        <f>CA60-Table2[[#This Row],[8F4 WH Light]]</f>
        <v>#VALUE!</v>
      </c>
      <c r="EG59" t="e">
        <f>CC60-Table2[[#This Row],[9F1 - PDB 10 - WH Dock door &amp; Office]]</f>
        <v>#VALUE!</v>
      </c>
      <c r="EH59" t="e">
        <f>CD60-Table2[[#This Row],[9F2 - PDB 11 - WH flycatchers]]</f>
        <v>#VALUE!</v>
      </c>
      <c r="EI59" t="e">
        <f>CE60-Table2[[#This Row],[9F3 - PDB 12 - Other items]]</f>
        <v>#VALUE!</v>
      </c>
      <c r="EJ59" t="e">
        <f>CR60-Table2[[#This Row],[2F3 - PDB 1 - Dock 1 to 4 ]]</f>
        <v>#VALUE!</v>
      </c>
      <c r="EK59" t="e">
        <f>BM60-Table2[[#This Row],[2F2 - PDB 3 - WH Truck &amp; Battery Charging]]</f>
        <v>#VALUE!</v>
      </c>
      <c r="EL59" t="e">
        <f>(CK60-Table2[[#This Row],[PDB - 11 Truck Charging]])*1000</f>
        <v>#VALUE!</v>
      </c>
      <c r="EM59" t="e">
        <f>P60-Table2[[#This Row],[5F3 Admin Area]]</f>
        <v>#VALUE!</v>
      </c>
      <c r="EN59" t="e">
        <f>AH60-Table2[[#This Row],[2F5 Main Gate-1 Piller -1]]</f>
        <v>#VALUE!</v>
      </c>
      <c r="EO59" t="e">
        <f>CW60-Table2[[#This Row],[6F2 Ground Floor AC]]</f>
        <v>#VALUE!</v>
      </c>
      <c r="EP59" t="e">
        <f>CX60-Table2[[#This Row],[6F3 ACBD -1 (First floor AC)]]</f>
        <v>#VALUE!</v>
      </c>
      <c r="EQ59" t="e">
        <f>CY60-Table2[[#This Row],[6F4 ACBD - 2 (Second &amp; Third floor AC)]]</f>
        <v>#VALUE!</v>
      </c>
      <c r="ER59" t="e">
        <f>(BC60-Table2[[#This Row],[4F Old BMC cooling Unit]])</f>
        <v>#VALUE!</v>
      </c>
      <c r="ES59" t="e">
        <f>BO60-Table2[[#This Row],[2F4 - Old BMC]]</f>
        <v>#VALUE!</v>
      </c>
      <c r="ET59" t="e">
        <f>Y60-Table2[[#This Row],[14F2 New CK]]</f>
        <v>#VALUE!</v>
      </c>
      <c r="EU59" t="e">
        <f>(CL60-Table2[[#This Row],[OLD Ck Panel-1]])*1000</f>
        <v>#VALUE!</v>
      </c>
      <c r="EV59" t="e">
        <f>CM60-Table2[[#This Row],[2F4 Old CK Blast (Blue star)]]</f>
        <v>#VALUE!</v>
      </c>
      <c r="EW59" t="e">
        <f>CN60-Table2[[#This Row],[3F6 Old CK Blast (Carrier)]]</f>
        <v>#VALUE!</v>
      </c>
      <c r="EX59" t="e">
        <f>(CO60-Table2[[#This Row],[Old CK Panel -2]])*1000</f>
        <v>#VALUE!</v>
      </c>
      <c r="EY59" t="e">
        <f>N60-Table2[[#This Row],[4F1 Main UPS 1/C -1]]</f>
        <v>#VALUE!</v>
      </c>
      <c r="EZ59" t="e">
        <f>Z60-Table2[[#This Row],[15F1 Main UPS Panel - I/C - 2]]</f>
        <v>#VALUE!</v>
      </c>
      <c r="FA59" t="e">
        <f>BF60-Table2[[#This Row],[2F CLC -1 AC unit - 2]]</f>
        <v>#VALUE!</v>
      </c>
      <c r="FB59" t="e">
        <f>(BG60-Table2[[#This Row],[2F CLC Anti room]])*1000</f>
        <v>#VALUE!</v>
      </c>
      <c r="FC59" t="e">
        <f>BW60-Table2[[#This Row],[7F3 CLC Power Panel]]</f>
        <v>#VALUE!</v>
      </c>
      <c r="FD59" t="e">
        <f>(CI60-Table2[[#This Row],[PDB - 17 CLC Section ]])*1000</f>
        <v>#VALUE!</v>
      </c>
      <c r="FE59" t="e">
        <f>(W60-Table2[[#This Row],[13F3 Water &amp; Lift Old CK]])*1000</f>
        <v>#VALUE!</v>
      </c>
      <c r="FF59" t="e">
        <f>AA60-Table2[[#This Row],[15F2 New ETP Panel]]</f>
        <v>#VALUE!</v>
      </c>
      <c r="FG59" t="e">
        <f>AL60-Table2[[#This Row],[3F4 Old ETP Panel]]</f>
        <v>#VALUE!</v>
      </c>
      <c r="FH59" t="e">
        <f>AF60-Table2[[#This Row],[2F1 RO Plant]]</f>
        <v>#VALUE!</v>
      </c>
      <c r="FI59" t="e">
        <f>AK60-Table2[[#This Row],[3F3 Fire Hydrant Panel]]</f>
        <v>#VALUE!</v>
      </c>
      <c r="FJ59" t="e">
        <f>R60-Table2[[#This Row],[7F1 Freon System Panel]]</f>
        <v>#VALUE!</v>
      </c>
      <c r="FK59" t="e">
        <f>(AE60-Table2[[#This Row],[21F1 Refrigeration Ammonia]])*1000</f>
        <v>#VALUE!</v>
      </c>
      <c r="FL59" t="e">
        <f>(AG60-Table2[[#This Row],[2F3 Air Compressor]])*1000</f>
        <v>#VALUE!</v>
      </c>
      <c r="FM59" t="e">
        <f>(AX60-Table2[[#This Row],[Solar Reading Panel II]])*1000</f>
        <v>#VALUE!</v>
      </c>
      <c r="FN59" t="e">
        <f>AI60-Table2[[#This Row],[3F1 Maintenance Workshop]]</f>
        <v>#VALUE!</v>
      </c>
      <c r="FO59" t="e">
        <f>BD60-Table2[[#This Row],[4F B2B unit ]]</f>
        <v>#VALUE!</v>
      </c>
      <c r="FP59" t="e">
        <f>BL60-Table2[[#This Row],[2F1 - PDB 6 - Bread, B2B section]]</f>
        <v>#VALUE!</v>
      </c>
      <c r="FQ59" t="e">
        <f>(CG60-Table2[[#This Row],[9F5 - PDB 14 - Bread Lift]])</f>
        <v>#VALUE!</v>
      </c>
      <c r="FR59" t="e">
        <f>CJ60-Table2[[#This Row],[PDB - 16 Bread Section]]</f>
        <v>#VALUE!</v>
      </c>
      <c r="FS59" t="e">
        <f>BU60-Table2[[#This Row],[7F1 Donut Production area]]</f>
        <v>#VALUE!</v>
      </c>
      <c r="FT59" t="e">
        <f>CB60-Table2[[#This Row],[8F5 Donut Ban Bary]]</f>
        <v>#VALUE!</v>
      </c>
      <c r="FU59" t="e">
        <f>CF60-Table2[[#This Row],[9F4 - PDB 13 - Donut Sink Geyser area]]</f>
        <v>#VALUE!</v>
      </c>
      <c r="FV59" t="e">
        <f>BV60-Table2[[#This Row],[7F2 Flour Silo]]</f>
        <v>#VALUE!</v>
      </c>
      <c r="FW59" t="e">
        <f>BY60-Table2[[#This Row],[8F2 ACPDB - 3 SILO Ventilation]]</f>
        <v>#VALUE!</v>
      </c>
      <c r="FX59" t="e">
        <f>J60-Table2[[#This Row],[DG 1010KVA Running Hours]]</f>
        <v>#VALUE!</v>
      </c>
      <c r="FY59" t="e">
        <f>K60-Table2[[#This Row],[DG 1010 KVA Meter Reading]]</f>
        <v>#VALUE!</v>
      </c>
      <c r="FZ59" t="e">
        <f>L60-Table2[[#This Row],[GG 1010 KVA Running Hours]]</f>
        <v>#VALUE!</v>
      </c>
      <c r="GA59" t="e">
        <f>M60-Table2[[#This Row],[GG 1010 KVA Meter Reading]]</f>
        <v>#VALUE!</v>
      </c>
    </row>
    <row r="60" spans="1:183" x14ac:dyDescent="0.35">
      <c r="DH60" s="4" t="e">
        <f>Table2[[#This Row],[Date]]</f>
        <v>#VALUE!</v>
      </c>
      <c r="DI60" t="e">
        <f>(DD61-Table2[[#This Row],[MWH Total]])*4000</f>
        <v>#VALUE!</v>
      </c>
      <c r="DJ60" t="e">
        <f>(DA61-Table2[[#This Row],[PNG Meter (Outside)]])*2.936</f>
        <v>#VALUE!</v>
      </c>
      <c r="DK60" t="e">
        <f>(DB61-Table2[[#This Row],[PNG Meter (Inside)]])*2.936</f>
        <v>#VALUE!</v>
      </c>
      <c r="DL60" t="e">
        <f>(BH61-Table2[[#This Row],[3F Dough cooler - 2 ]])*1000</f>
        <v>#VALUE!</v>
      </c>
      <c r="DM60" t="e">
        <f>(BI61-Table2[[#This Row],[3F Dough Cooler- 1]])*1000</f>
        <v>#VALUE!</v>
      </c>
      <c r="DN60" t="e">
        <f>(BJ61-Table2[[#This Row],[4F Dough Production cooling Unit]])*1000</f>
        <v>#VALUE!</v>
      </c>
      <c r="DO60" t="e">
        <f>(BQ61-Table2[[#This Row],[3F2 - PDB 3 - Dough Production Area]])*1000</f>
        <v>#VALUE!</v>
      </c>
      <c r="DP60" t="e">
        <f>(BR61-Table2[[#This Row],[3F3 - PDB 4 - Dough Area]])*1000</f>
        <v>#VALUE!</v>
      </c>
      <c r="DQ60" t="e">
        <f>AC61-Table2[[#This Row],[16F1 Tray washer Panel for Light]]</f>
        <v>#VALUE!</v>
      </c>
      <c r="DR60" t="e">
        <f>CQ61-Table2[[#This Row],[2F1 Tray Washer - 1]]</f>
        <v>#VALUE!</v>
      </c>
      <c r="DS60" t="e">
        <f>CS61-Table2[[#This Row],[2F5 Destacker]]</f>
        <v>#VALUE!</v>
      </c>
      <c r="DT60" t="e">
        <f>CU61-Table2[[#This Row],[5F1 Metering (TW-2)]]</f>
        <v>#VALUE!</v>
      </c>
      <c r="DU60" t="e">
        <f>CV61-Table2[[#This Row],[6F1 Pre soaker Tray washer]]</f>
        <v>#VALUE!</v>
      </c>
      <c r="DV60" t="e">
        <f>CZ61-Table2[[#This Row],[6F5 Vent tray Storage]]</f>
        <v>#VALUE!</v>
      </c>
      <c r="DW60" t="e">
        <f>I61-Table2[[#This Row],[Popeyes Meter ]]</f>
        <v>#VALUE!</v>
      </c>
      <c r="DX60" t="e">
        <f>AZ61-Table2[[#This Row],[2F WH Chiller, Segregation Area]]</f>
        <v>#VALUE!</v>
      </c>
      <c r="DY60" t="e">
        <f>BA61-Table2[[#This Row],[3F1 AC Unit WH dock cooling - 2 Nos]]</f>
        <v>#VALUE!</v>
      </c>
      <c r="DZ60" t="e">
        <f>BB61-Table2[[#This Row],[3F2 AC Unit WH dock cooling - 3 Nos]]</f>
        <v>#VALUE!</v>
      </c>
      <c r="EA60" t="e">
        <f>(BK61-Table2[[#This Row],[5F WH Perishable]])*1000</f>
        <v>#VALUE!</v>
      </c>
      <c r="EB60" t="e">
        <f>BN61-Table2[[#This Row],[2F3 - PDB 9 - WH Dock Leveler Door ]]</f>
        <v>#VALUE!</v>
      </c>
      <c r="EC60" t="e">
        <f>BP61-Table2[[#This Row],[3F1 - PDB 5 - WH HSD]]</f>
        <v>#VALUE!</v>
      </c>
      <c r="ED60" t="e">
        <f>BX61-Table2[[#This Row],[8F1 WH Dock AHU - Ventilation]]</f>
        <v>#VALUE!</v>
      </c>
      <c r="EE60" t="e">
        <f>BZ61-Table2[[#This Row],[8F3 ACPDB - 4 WH Dock air curtain]]</f>
        <v>#VALUE!</v>
      </c>
      <c r="EF60" t="e">
        <f>CA61-Table2[[#This Row],[8F4 WH Light]]</f>
        <v>#VALUE!</v>
      </c>
      <c r="EG60" t="e">
        <f>CC61-Table2[[#This Row],[9F1 - PDB 10 - WH Dock door &amp; Office]]</f>
        <v>#VALUE!</v>
      </c>
      <c r="EH60" t="e">
        <f>CD61-Table2[[#This Row],[9F2 - PDB 11 - WH flycatchers]]</f>
        <v>#VALUE!</v>
      </c>
      <c r="EI60" t="e">
        <f>CE61-Table2[[#This Row],[9F3 - PDB 12 - Other items]]</f>
        <v>#VALUE!</v>
      </c>
      <c r="EJ60" t="e">
        <f>CR61-Table2[[#This Row],[2F3 - PDB 1 - Dock 1 to 4 ]]</f>
        <v>#VALUE!</v>
      </c>
      <c r="EK60" t="e">
        <f>BM61-Table2[[#This Row],[2F2 - PDB 3 - WH Truck &amp; Battery Charging]]</f>
        <v>#VALUE!</v>
      </c>
      <c r="EL60" t="e">
        <f>(CK61-Table2[[#This Row],[PDB - 11 Truck Charging]])*1000</f>
        <v>#VALUE!</v>
      </c>
      <c r="EM60" t="e">
        <f>P61-Table2[[#This Row],[5F3 Admin Area]]</f>
        <v>#VALUE!</v>
      </c>
      <c r="EN60" t="e">
        <f>AH61-Table2[[#This Row],[2F5 Main Gate-1 Piller -1]]</f>
        <v>#VALUE!</v>
      </c>
      <c r="EO60" t="e">
        <f>CW61-Table2[[#This Row],[6F2 Ground Floor AC]]</f>
        <v>#VALUE!</v>
      </c>
      <c r="EP60" t="e">
        <f>CX61-Table2[[#This Row],[6F3 ACBD -1 (First floor AC)]]</f>
        <v>#VALUE!</v>
      </c>
      <c r="EQ60" t="e">
        <f>CY61-Table2[[#This Row],[6F4 ACBD - 2 (Second &amp; Third floor AC)]]</f>
        <v>#VALUE!</v>
      </c>
      <c r="ER60" t="e">
        <f>(BC61-Table2[[#This Row],[4F Old BMC cooling Unit]])</f>
        <v>#VALUE!</v>
      </c>
      <c r="ES60" t="e">
        <f>BO61-Table2[[#This Row],[2F4 - Old BMC]]</f>
        <v>#VALUE!</v>
      </c>
      <c r="ET60" t="e">
        <f>Y61-Table2[[#This Row],[14F2 New CK]]</f>
        <v>#VALUE!</v>
      </c>
      <c r="EU60" t="e">
        <f>(CL61-Table2[[#This Row],[OLD Ck Panel-1]])*1000</f>
        <v>#VALUE!</v>
      </c>
      <c r="EV60" t="e">
        <f>CM61-Table2[[#This Row],[2F4 Old CK Blast (Blue star)]]</f>
        <v>#VALUE!</v>
      </c>
      <c r="EW60" t="e">
        <f>CN61-Table2[[#This Row],[3F6 Old CK Blast (Carrier)]]</f>
        <v>#VALUE!</v>
      </c>
      <c r="EX60" t="e">
        <f>(CO61-Table2[[#This Row],[Old CK Panel -2]])*1000</f>
        <v>#VALUE!</v>
      </c>
      <c r="EY60" t="e">
        <f>N61-Table2[[#This Row],[4F1 Main UPS 1/C -1]]</f>
        <v>#VALUE!</v>
      </c>
      <c r="EZ60" t="e">
        <f>Z61-Table2[[#This Row],[15F1 Main UPS Panel - I/C - 2]]</f>
        <v>#VALUE!</v>
      </c>
      <c r="FA60" t="e">
        <f>BF61-Table2[[#This Row],[2F CLC -1 AC unit - 2]]</f>
        <v>#VALUE!</v>
      </c>
      <c r="FB60" t="e">
        <f>(BG61-Table2[[#This Row],[2F CLC Anti room]])*1000</f>
        <v>#VALUE!</v>
      </c>
      <c r="FC60" t="e">
        <f>BW61-Table2[[#This Row],[7F3 CLC Power Panel]]</f>
        <v>#VALUE!</v>
      </c>
      <c r="FD60" t="e">
        <f>(CI61-Table2[[#This Row],[PDB - 17 CLC Section ]])*1000</f>
        <v>#VALUE!</v>
      </c>
      <c r="FE60" t="e">
        <f>(W61-Table2[[#This Row],[13F3 Water &amp; Lift Old CK]])*1000</f>
        <v>#VALUE!</v>
      </c>
      <c r="FF60" t="e">
        <f>AA61-Table2[[#This Row],[15F2 New ETP Panel]]</f>
        <v>#VALUE!</v>
      </c>
      <c r="FG60" t="e">
        <f>AL61-Table2[[#This Row],[3F4 Old ETP Panel]]</f>
        <v>#VALUE!</v>
      </c>
      <c r="FH60" t="e">
        <f>AF61-Table2[[#This Row],[2F1 RO Plant]]</f>
        <v>#VALUE!</v>
      </c>
      <c r="FI60" t="e">
        <f>AK61-Table2[[#This Row],[3F3 Fire Hydrant Panel]]</f>
        <v>#VALUE!</v>
      </c>
      <c r="FJ60" t="e">
        <f>R61-Table2[[#This Row],[7F1 Freon System Panel]]</f>
        <v>#VALUE!</v>
      </c>
      <c r="FK60" t="e">
        <f>(AE61-Table2[[#This Row],[21F1 Refrigeration Ammonia]])*1000</f>
        <v>#VALUE!</v>
      </c>
      <c r="FL60" t="e">
        <f>(AG61-Table2[[#This Row],[2F3 Air Compressor]])*1000</f>
        <v>#VALUE!</v>
      </c>
      <c r="FM60" t="e">
        <f>(AX61-Table2[[#This Row],[Solar Reading Panel II]])*1000</f>
        <v>#VALUE!</v>
      </c>
      <c r="FN60" t="e">
        <f>AI61-Table2[[#This Row],[3F1 Maintenance Workshop]]</f>
        <v>#VALUE!</v>
      </c>
      <c r="FO60" t="e">
        <f>BD61-Table2[[#This Row],[4F B2B unit ]]</f>
        <v>#VALUE!</v>
      </c>
      <c r="FP60" t="e">
        <f>BL61-Table2[[#This Row],[2F1 - PDB 6 - Bread, B2B section]]</f>
        <v>#VALUE!</v>
      </c>
      <c r="FQ60" t="e">
        <f>(CG61-Table2[[#This Row],[9F5 - PDB 14 - Bread Lift]])</f>
        <v>#VALUE!</v>
      </c>
      <c r="FR60" t="e">
        <f>CJ61-Table2[[#This Row],[PDB - 16 Bread Section]]</f>
        <v>#VALUE!</v>
      </c>
      <c r="FS60" t="e">
        <f>BU61-Table2[[#This Row],[7F1 Donut Production area]]</f>
        <v>#VALUE!</v>
      </c>
      <c r="FT60" t="e">
        <f>CB61-Table2[[#This Row],[8F5 Donut Ban Bary]]</f>
        <v>#VALUE!</v>
      </c>
      <c r="FU60" t="e">
        <f>CF61-Table2[[#This Row],[9F4 - PDB 13 - Donut Sink Geyser area]]</f>
        <v>#VALUE!</v>
      </c>
      <c r="FV60" t="e">
        <f>BV61-Table2[[#This Row],[7F2 Flour Silo]]</f>
        <v>#VALUE!</v>
      </c>
      <c r="FW60" t="e">
        <f>BY61-Table2[[#This Row],[8F2 ACPDB - 3 SILO Ventilation]]</f>
        <v>#VALUE!</v>
      </c>
      <c r="FX60" t="e">
        <f>J61-Table2[[#This Row],[DG 1010KVA Running Hours]]</f>
        <v>#VALUE!</v>
      </c>
      <c r="FY60" t="e">
        <f>K61-Table2[[#This Row],[DG 1010 KVA Meter Reading]]</f>
        <v>#VALUE!</v>
      </c>
      <c r="FZ60" t="e">
        <f>L61-Table2[[#This Row],[GG 1010 KVA Running Hours]]</f>
        <v>#VALUE!</v>
      </c>
      <c r="GA60" t="e">
        <f>M61-Table2[[#This Row],[GG 1010 KVA Meter Reading]]</f>
        <v>#VALUE!</v>
      </c>
    </row>
    <row r="61" spans="1:183" x14ac:dyDescent="0.35">
      <c r="DH61" s="4" t="e">
        <f>Table2[[#This Row],[Date]]</f>
        <v>#VALUE!</v>
      </c>
      <c r="DI61" t="e">
        <f>(DD62-Table2[[#This Row],[MWH Total]])*4000</f>
        <v>#VALUE!</v>
      </c>
      <c r="DJ61" t="e">
        <f>(DA62-Table2[[#This Row],[PNG Meter (Outside)]])*2.936</f>
        <v>#VALUE!</v>
      </c>
      <c r="DK61" t="e">
        <f>(DB62-Table2[[#This Row],[PNG Meter (Inside)]])*2.936</f>
        <v>#VALUE!</v>
      </c>
      <c r="DL61" t="e">
        <f>(BH62-Table2[[#This Row],[3F Dough cooler - 2 ]])*1000</f>
        <v>#VALUE!</v>
      </c>
      <c r="DM61" t="e">
        <f>(BI62-Table2[[#This Row],[3F Dough Cooler- 1]])*1000</f>
        <v>#VALUE!</v>
      </c>
      <c r="DN61" t="e">
        <f>(BJ62-Table2[[#This Row],[4F Dough Production cooling Unit]])*1000</f>
        <v>#VALUE!</v>
      </c>
      <c r="DO61" t="e">
        <f>(BQ62-Table2[[#This Row],[3F2 - PDB 3 - Dough Production Area]])*1000</f>
        <v>#VALUE!</v>
      </c>
      <c r="DP61" t="e">
        <f>(BR62-Table2[[#This Row],[3F3 - PDB 4 - Dough Area]])*1000</f>
        <v>#VALUE!</v>
      </c>
      <c r="DQ61" t="e">
        <f>AC62-Table2[[#This Row],[16F1 Tray washer Panel for Light]]</f>
        <v>#VALUE!</v>
      </c>
      <c r="DR61" t="e">
        <f>CQ62-Table2[[#This Row],[2F1 Tray Washer - 1]]</f>
        <v>#VALUE!</v>
      </c>
      <c r="DS61" t="e">
        <f>CS62-Table2[[#This Row],[2F5 Destacker]]</f>
        <v>#VALUE!</v>
      </c>
      <c r="DT61" t="e">
        <f>CU62-Table2[[#This Row],[5F1 Metering (TW-2)]]</f>
        <v>#VALUE!</v>
      </c>
      <c r="DU61" t="e">
        <f>CV62-Table2[[#This Row],[6F1 Pre soaker Tray washer]]</f>
        <v>#VALUE!</v>
      </c>
      <c r="DV61" t="e">
        <f>CZ62-Table2[[#This Row],[6F5 Vent tray Storage]]</f>
        <v>#VALUE!</v>
      </c>
      <c r="DW61" t="e">
        <f>I62-Table2[[#This Row],[Popeyes Meter ]]</f>
        <v>#VALUE!</v>
      </c>
      <c r="DX61" t="e">
        <f>AZ62-Table2[[#This Row],[2F WH Chiller, Segregation Area]]</f>
        <v>#VALUE!</v>
      </c>
      <c r="DY61" t="e">
        <f>BA62-Table2[[#This Row],[3F1 AC Unit WH dock cooling - 2 Nos]]</f>
        <v>#VALUE!</v>
      </c>
      <c r="DZ61" t="e">
        <f>BB62-Table2[[#This Row],[3F2 AC Unit WH dock cooling - 3 Nos]]</f>
        <v>#VALUE!</v>
      </c>
      <c r="EA61" t="e">
        <f>(BK62-Table2[[#This Row],[5F WH Perishable]])*1000</f>
        <v>#VALUE!</v>
      </c>
      <c r="EB61" t="e">
        <f>BN62-Table2[[#This Row],[2F3 - PDB 9 - WH Dock Leveler Door ]]</f>
        <v>#VALUE!</v>
      </c>
      <c r="EC61" t="e">
        <f>BP62-Table2[[#This Row],[3F1 - PDB 5 - WH HSD]]</f>
        <v>#VALUE!</v>
      </c>
      <c r="ED61" t="e">
        <f>BX62-Table2[[#This Row],[8F1 WH Dock AHU - Ventilation]]</f>
        <v>#VALUE!</v>
      </c>
      <c r="EE61" t="e">
        <f>BZ62-Table2[[#This Row],[8F3 ACPDB - 4 WH Dock air curtain]]</f>
        <v>#VALUE!</v>
      </c>
      <c r="EF61" t="e">
        <f>CA62-Table2[[#This Row],[8F4 WH Light]]</f>
        <v>#VALUE!</v>
      </c>
      <c r="EG61" t="e">
        <f>CC62-Table2[[#This Row],[9F1 - PDB 10 - WH Dock door &amp; Office]]</f>
        <v>#VALUE!</v>
      </c>
      <c r="EH61" t="e">
        <f>CD62-Table2[[#This Row],[9F2 - PDB 11 - WH flycatchers]]</f>
        <v>#VALUE!</v>
      </c>
      <c r="EI61" t="e">
        <f>CE62-Table2[[#This Row],[9F3 - PDB 12 - Other items]]</f>
        <v>#VALUE!</v>
      </c>
      <c r="EJ61" t="e">
        <f>CR62-Table2[[#This Row],[2F3 - PDB 1 - Dock 1 to 4 ]]</f>
        <v>#VALUE!</v>
      </c>
      <c r="EK61" t="e">
        <f>BM62-Table2[[#This Row],[2F2 - PDB 3 - WH Truck &amp; Battery Charging]]</f>
        <v>#VALUE!</v>
      </c>
      <c r="EL61" t="e">
        <f>(CK62-Table2[[#This Row],[PDB - 11 Truck Charging]])*1000</f>
        <v>#VALUE!</v>
      </c>
      <c r="EM61" t="e">
        <f>P62-Table2[[#This Row],[5F3 Admin Area]]</f>
        <v>#VALUE!</v>
      </c>
      <c r="EN61" t="e">
        <f>AH62-Table2[[#This Row],[2F5 Main Gate-1 Piller -1]]</f>
        <v>#VALUE!</v>
      </c>
      <c r="EO61" t="e">
        <f>CW62-Table2[[#This Row],[6F2 Ground Floor AC]]</f>
        <v>#VALUE!</v>
      </c>
      <c r="EP61" t="e">
        <f>CX62-Table2[[#This Row],[6F3 ACBD -1 (First floor AC)]]</f>
        <v>#VALUE!</v>
      </c>
      <c r="EQ61" t="e">
        <f>CY62-Table2[[#This Row],[6F4 ACBD - 2 (Second &amp; Third floor AC)]]</f>
        <v>#VALUE!</v>
      </c>
      <c r="ER61" t="e">
        <f>(BC62-Table2[[#This Row],[4F Old BMC cooling Unit]])</f>
        <v>#VALUE!</v>
      </c>
      <c r="ES61" t="e">
        <f>BO62-Table2[[#This Row],[2F4 - Old BMC]]</f>
        <v>#VALUE!</v>
      </c>
      <c r="ET61" t="e">
        <f>Y62-Table2[[#This Row],[14F2 New CK]]</f>
        <v>#VALUE!</v>
      </c>
      <c r="EU61" t="e">
        <f>(CL62-Table2[[#This Row],[OLD Ck Panel-1]])*1000</f>
        <v>#VALUE!</v>
      </c>
      <c r="EV61" t="e">
        <f>CM62-Table2[[#This Row],[2F4 Old CK Blast (Blue star)]]</f>
        <v>#VALUE!</v>
      </c>
      <c r="EW61" t="e">
        <f>CN62-Table2[[#This Row],[3F6 Old CK Blast (Carrier)]]</f>
        <v>#VALUE!</v>
      </c>
      <c r="EX61" t="e">
        <f>(CO62-Table2[[#This Row],[Old CK Panel -2]])*1000</f>
        <v>#VALUE!</v>
      </c>
      <c r="EY61" t="e">
        <f>N62-Table2[[#This Row],[4F1 Main UPS 1/C -1]]</f>
        <v>#VALUE!</v>
      </c>
      <c r="EZ61" t="e">
        <f>Z62-Table2[[#This Row],[15F1 Main UPS Panel - I/C - 2]]</f>
        <v>#VALUE!</v>
      </c>
      <c r="FA61" t="e">
        <f>BF62-Table2[[#This Row],[2F CLC -1 AC unit - 2]]</f>
        <v>#VALUE!</v>
      </c>
      <c r="FB61" t="e">
        <f>(BG62-Table2[[#This Row],[2F CLC Anti room]])*1000</f>
        <v>#VALUE!</v>
      </c>
      <c r="FC61" t="e">
        <f>BW62-Table2[[#This Row],[7F3 CLC Power Panel]]</f>
        <v>#VALUE!</v>
      </c>
      <c r="FD61" t="e">
        <f>(CI62-Table2[[#This Row],[PDB - 17 CLC Section ]])*1000</f>
        <v>#VALUE!</v>
      </c>
      <c r="FE61" t="e">
        <f>(W62-Table2[[#This Row],[13F3 Water &amp; Lift Old CK]])*1000</f>
        <v>#VALUE!</v>
      </c>
      <c r="FF61" t="e">
        <f>AA62-Table2[[#This Row],[15F2 New ETP Panel]]</f>
        <v>#VALUE!</v>
      </c>
      <c r="FG61" t="e">
        <f>AL62-Table2[[#This Row],[3F4 Old ETP Panel]]</f>
        <v>#VALUE!</v>
      </c>
      <c r="FH61" t="e">
        <f>AF62-Table2[[#This Row],[2F1 RO Plant]]</f>
        <v>#VALUE!</v>
      </c>
      <c r="FI61" t="e">
        <f>AK62-Table2[[#This Row],[3F3 Fire Hydrant Panel]]</f>
        <v>#VALUE!</v>
      </c>
      <c r="FJ61" t="e">
        <f>R62-Table2[[#This Row],[7F1 Freon System Panel]]</f>
        <v>#VALUE!</v>
      </c>
      <c r="FK61" t="e">
        <f>(AE62-Table2[[#This Row],[21F1 Refrigeration Ammonia]])*1000</f>
        <v>#VALUE!</v>
      </c>
      <c r="FL61" t="e">
        <f>(AG62-Table2[[#This Row],[2F3 Air Compressor]])*1000</f>
        <v>#VALUE!</v>
      </c>
      <c r="FM61" t="e">
        <f>(AX62-Table2[[#This Row],[Solar Reading Panel II]])*1000</f>
        <v>#VALUE!</v>
      </c>
      <c r="FN61" t="e">
        <f>AI62-Table2[[#This Row],[3F1 Maintenance Workshop]]</f>
        <v>#VALUE!</v>
      </c>
      <c r="FO61" t="e">
        <f>BD62-Table2[[#This Row],[4F B2B unit ]]</f>
        <v>#VALUE!</v>
      </c>
      <c r="FP61" t="e">
        <f>BL62-Table2[[#This Row],[2F1 - PDB 6 - Bread, B2B section]]</f>
        <v>#VALUE!</v>
      </c>
      <c r="FQ61" t="e">
        <f>(CG62-Table2[[#This Row],[9F5 - PDB 14 - Bread Lift]])</f>
        <v>#VALUE!</v>
      </c>
      <c r="FR61" t="e">
        <f>CJ62-Table2[[#This Row],[PDB - 16 Bread Section]]</f>
        <v>#VALUE!</v>
      </c>
      <c r="FS61" t="e">
        <f>BU62-Table2[[#This Row],[7F1 Donut Production area]]</f>
        <v>#VALUE!</v>
      </c>
      <c r="FT61" t="e">
        <f>CB62-Table2[[#This Row],[8F5 Donut Ban Bary]]</f>
        <v>#VALUE!</v>
      </c>
      <c r="FU61" t="e">
        <f>CF62-Table2[[#This Row],[9F4 - PDB 13 - Donut Sink Geyser area]]</f>
        <v>#VALUE!</v>
      </c>
      <c r="FV61" t="e">
        <f>BV62-Table2[[#This Row],[7F2 Flour Silo]]</f>
        <v>#VALUE!</v>
      </c>
      <c r="FW61" t="e">
        <f>BY62-Table2[[#This Row],[8F2 ACPDB - 3 SILO Ventilation]]</f>
        <v>#VALUE!</v>
      </c>
      <c r="FX61" t="e">
        <f>J62-Table2[[#This Row],[DG 1010KVA Running Hours]]</f>
        <v>#VALUE!</v>
      </c>
      <c r="FY61" t="e">
        <f>K62-Table2[[#This Row],[DG 1010 KVA Meter Reading]]</f>
        <v>#VALUE!</v>
      </c>
      <c r="FZ61" t="e">
        <f>L62-Table2[[#This Row],[GG 1010 KVA Running Hours]]</f>
        <v>#VALUE!</v>
      </c>
      <c r="GA61" t="e">
        <f>M62-Table2[[#This Row],[GG 1010 KVA Meter Reading]]</f>
        <v>#VALUE!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zoomScale="76" workbookViewId="0">
      <pane ySplit="9" topLeftCell="A41" activePane="bottomLeft" state="frozen"/>
      <selection pane="bottomLeft" activeCell="J52" sqref="J52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-405117.19999999995</v>
      </c>
      <c r="M8" s="43">
        <f t="shared" ref="M8:X8" si="0">SUBTOTAL(9,M10:M11152)</f>
        <v>3252.6999999999825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-519206.7</v>
      </c>
      <c r="R8" s="43">
        <f t="shared" si="0"/>
        <v>3749.5000000000582</v>
      </c>
      <c r="S8" s="43">
        <f t="shared" si="0"/>
        <v>-702622.9</v>
      </c>
      <c r="T8" s="43">
        <f t="shared" si="0"/>
        <v>-1418815</v>
      </c>
      <c r="U8" s="43">
        <f t="shared" si="0"/>
        <v>-924323.9</v>
      </c>
      <c r="V8" s="43">
        <f t="shared" si="0"/>
        <v>7002.2000000000407</v>
      </c>
      <c r="W8" s="43">
        <f t="shared" si="0"/>
        <v>-745656.9</v>
      </c>
      <c r="X8" s="43">
        <f t="shared" si="0"/>
        <v>-2027049.9000000001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406.80000000001746</v>
      </c>
      <c r="N42" s="46">
        <f t="shared" si="3"/>
        <v>348.30000000000291</v>
      </c>
      <c r="O42" s="46">
        <f t="shared" si="3"/>
        <v>370.70000000001164</v>
      </c>
      <c r="P42" s="46">
        <f t="shared" si="3"/>
        <v>225.5</v>
      </c>
      <c r="Q42" s="46">
        <f t="shared" si="3"/>
        <v>0</v>
      </c>
      <c r="R42" s="46">
        <f t="shared" si="3"/>
        <v>439.60000000003492</v>
      </c>
      <c r="S42" s="46">
        <f t="shared" si="3"/>
        <v>1283.4000000000233</v>
      </c>
      <c r="T42" s="46">
        <f t="shared" si="3"/>
        <v>1481</v>
      </c>
      <c r="U42" s="47">
        <f t="shared" si="4"/>
        <v>0</v>
      </c>
      <c r="V42" s="47">
        <f t="shared" si="4"/>
        <v>846.40000000005239</v>
      </c>
      <c r="W42" s="47">
        <f t="shared" si="4"/>
        <v>1631.7000000000262</v>
      </c>
      <c r="X42" s="47">
        <f t="shared" ref="X42:X73" si="5">O42+P42+T42</f>
        <v>2077.2000000000116</v>
      </c>
    </row>
    <row r="43" spans="1:24" ht="20" customHeight="1" x14ac:dyDescent="0.35">
      <c r="A43" s="29" t="s">
        <v>265</v>
      </c>
      <c r="B43" s="30" t="s">
        <v>237</v>
      </c>
      <c r="C43" s="29">
        <v>220128.1</v>
      </c>
      <c r="D43" s="31">
        <v>52200</v>
      </c>
      <c r="E43" s="31">
        <v>375022.9</v>
      </c>
      <c r="F43" s="31">
        <v>251543.8</v>
      </c>
      <c r="G43" s="31" t="s">
        <v>237</v>
      </c>
      <c r="H43" s="32">
        <v>308428.90000000002</v>
      </c>
      <c r="I43" s="34">
        <v>733328.9</v>
      </c>
      <c r="J43" s="34">
        <v>1465936</v>
      </c>
      <c r="L43" s="46">
        <f t="shared" si="3"/>
        <v>0</v>
      </c>
      <c r="M43" s="46">
        <f t="shared" si="3"/>
        <v>414.79999999998836</v>
      </c>
      <c r="N43" s="46">
        <f t="shared" si="3"/>
        <v>362.80000000000291</v>
      </c>
      <c r="O43" s="46">
        <f t="shared" si="3"/>
        <v>374.19999999995343</v>
      </c>
      <c r="P43" s="46">
        <f t="shared" si="3"/>
        <v>230.10000000000582</v>
      </c>
      <c r="Q43" s="46">
        <f t="shared" si="3"/>
        <v>0</v>
      </c>
      <c r="R43" s="46">
        <f t="shared" si="3"/>
        <v>456.29999999998836</v>
      </c>
      <c r="S43" s="46">
        <f t="shared" si="3"/>
        <v>1274.4000000000233</v>
      </c>
      <c r="T43" s="46">
        <f t="shared" si="3"/>
        <v>1830</v>
      </c>
      <c r="U43" s="47">
        <f t="shared" si="4"/>
        <v>0</v>
      </c>
      <c r="V43" s="47">
        <f t="shared" si="4"/>
        <v>871.09999999997672</v>
      </c>
      <c r="W43" s="47">
        <f t="shared" si="4"/>
        <v>1637.2000000000262</v>
      </c>
      <c r="X43" s="47">
        <f t="shared" si="5"/>
        <v>2434.2999999999593</v>
      </c>
    </row>
    <row r="44" spans="1:24" ht="20" customHeight="1" x14ac:dyDescent="0.35">
      <c r="A44" s="29" t="s">
        <v>266</v>
      </c>
      <c r="B44" s="30" t="s">
        <v>237</v>
      </c>
      <c r="C44" s="29">
        <v>220542.9</v>
      </c>
      <c r="D44" s="31">
        <v>52562.8</v>
      </c>
      <c r="E44" s="31">
        <v>375397.1</v>
      </c>
      <c r="F44" s="31">
        <v>251773.9</v>
      </c>
      <c r="G44" s="31" t="s">
        <v>237</v>
      </c>
      <c r="H44" s="32">
        <v>308885.2</v>
      </c>
      <c r="I44" s="34">
        <v>734603.3</v>
      </c>
      <c r="J44" s="34">
        <v>1467766</v>
      </c>
      <c r="L44" s="46">
        <f t="shared" si="3"/>
        <v>0</v>
      </c>
      <c r="M44" s="46">
        <f t="shared" si="3"/>
        <v>414.80000000001746</v>
      </c>
      <c r="N44" s="46">
        <f t="shared" si="3"/>
        <v>370.79999999999563</v>
      </c>
      <c r="O44" s="46">
        <f t="shared" si="3"/>
        <v>365.70000000001164</v>
      </c>
      <c r="P44" s="46">
        <f t="shared" si="3"/>
        <v>220.60000000000582</v>
      </c>
      <c r="Q44" s="46">
        <f t="shared" si="3"/>
        <v>0</v>
      </c>
      <c r="R44" s="46">
        <f t="shared" si="3"/>
        <v>432.29999999998836</v>
      </c>
      <c r="S44" s="46">
        <f t="shared" si="3"/>
        <v>1297.1999999999534</v>
      </c>
      <c r="T44" s="46">
        <f t="shared" si="3"/>
        <v>1693</v>
      </c>
      <c r="U44" s="47">
        <f t="shared" si="4"/>
        <v>0</v>
      </c>
      <c r="V44" s="47">
        <f t="shared" si="4"/>
        <v>847.10000000000582</v>
      </c>
      <c r="W44" s="47">
        <f t="shared" si="4"/>
        <v>1667.9999999999491</v>
      </c>
      <c r="X44" s="47">
        <f t="shared" si="5"/>
        <v>2279.3000000000175</v>
      </c>
    </row>
    <row r="45" spans="1:24" ht="42.75" customHeight="1" x14ac:dyDescent="0.35">
      <c r="A45" s="37" t="s">
        <v>268</v>
      </c>
      <c r="B45" s="38">
        <v>416535.3</v>
      </c>
      <c r="C45" s="37">
        <v>220957.7</v>
      </c>
      <c r="D45" s="39">
        <v>52933.599999999999</v>
      </c>
      <c r="E45" s="39">
        <v>375762.8</v>
      </c>
      <c r="F45" s="39">
        <v>251994.5</v>
      </c>
      <c r="G45" s="39">
        <v>536208.69999999995</v>
      </c>
      <c r="H45" s="40">
        <v>309317.5</v>
      </c>
      <c r="I45" s="34">
        <v>735900.5</v>
      </c>
      <c r="J45" s="42">
        <v>1469459</v>
      </c>
      <c r="L45" s="46">
        <f t="shared" ref="L45:T73" si="6">IFERROR(B46-B45,0)</f>
        <v>491.20000000001164</v>
      </c>
      <c r="M45" s="46">
        <f t="shared" si="6"/>
        <v>414.59999999997672</v>
      </c>
      <c r="N45" s="46">
        <f t="shared" si="6"/>
        <v>363.20000000000437</v>
      </c>
      <c r="O45" s="46">
        <f t="shared" si="6"/>
        <v>363.60000000003492</v>
      </c>
      <c r="P45" s="46">
        <f t="shared" si="6"/>
        <v>219</v>
      </c>
      <c r="Q45" s="46">
        <f t="shared" si="6"/>
        <v>678.10000000009313</v>
      </c>
      <c r="R45" s="46">
        <f t="shared" si="6"/>
        <v>369</v>
      </c>
      <c r="S45" s="46">
        <f t="shared" si="6"/>
        <v>1289.6999999999534</v>
      </c>
      <c r="T45" s="46">
        <f t="shared" si="6"/>
        <v>1636</v>
      </c>
      <c r="U45" s="47">
        <f t="shared" ref="U45:W108" si="7">L45+Q45</f>
        <v>1169.3000000001048</v>
      </c>
      <c r="V45" s="47">
        <f t="shared" si="7"/>
        <v>783.59999999997672</v>
      </c>
      <c r="W45" s="47">
        <f t="shared" si="7"/>
        <v>1652.8999999999578</v>
      </c>
      <c r="X45" s="47">
        <f t="shared" si="5"/>
        <v>2218.6000000000349</v>
      </c>
    </row>
    <row r="46" spans="1:24" ht="20" customHeight="1" x14ac:dyDescent="0.35">
      <c r="A46" s="29" t="s">
        <v>269</v>
      </c>
      <c r="B46" s="30">
        <v>417026.5</v>
      </c>
      <c r="C46" s="29">
        <v>221372.3</v>
      </c>
      <c r="D46" s="31">
        <v>53296.800000000003</v>
      </c>
      <c r="E46" s="31">
        <v>376126.4</v>
      </c>
      <c r="F46" s="31">
        <v>252213.5</v>
      </c>
      <c r="G46" s="31">
        <v>536886.80000000005</v>
      </c>
      <c r="H46" s="29">
        <v>309686.5</v>
      </c>
      <c r="I46" s="31">
        <v>737190.2</v>
      </c>
      <c r="J46" s="34">
        <v>1471095</v>
      </c>
      <c r="L46" s="46">
        <f t="shared" si="6"/>
        <v>484.09999999997672</v>
      </c>
      <c r="M46" s="46">
        <f t="shared" si="6"/>
        <v>404.40000000002328</v>
      </c>
      <c r="N46" s="46">
        <f t="shared" si="6"/>
        <v>367.29999999999563</v>
      </c>
      <c r="O46" s="46">
        <f t="shared" si="6"/>
        <v>410.79999999998836</v>
      </c>
      <c r="P46" s="46">
        <f t="shared" si="6"/>
        <v>251.5</v>
      </c>
      <c r="Q46" s="46">
        <f t="shared" si="6"/>
        <v>558.19999999995343</v>
      </c>
      <c r="R46" s="46">
        <f t="shared" si="6"/>
        <v>332.40000000002328</v>
      </c>
      <c r="S46" s="46">
        <f t="shared" si="6"/>
        <v>1281.5</v>
      </c>
      <c r="T46" s="46">
        <f t="shared" si="6"/>
        <v>1794</v>
      </c>
      <c r="U46" s="47">
        <f t="shared" si="7"/>
        <v>1042.2999999999302</v>
      </c>
      <c r="V46" s="47">
        <f t="shared" si="7"/>
        <v>736.80000000004657</v>
      </c>
      <c r="W46" s="47">
        <f t="shared" si="7"/>
        <v>1648.7999999999956</v>
      </c>
      <c r="X46" s="47">
        <f t="shared" si="5"/>
        <v>2456.2999999999884</v>
      </c>
    </row>
    <row r="47" spans="1:24" ht="20" customHeight="1" x14ac:dyDescent="0.35">
      <c r="A47" s="29" t="s">
        <v>270</v>
      </c>
      <c r="B47" s="30">
        <v>417510.6</v>
      </c>
      <c r="C47" s="29">
        <v>221776.7</v>
      </c>
      <c r="D47" s="31">
        <v>53664.1</v>
      </c>
      <c r="E47" s="31">
        <v>376537.2</v>
      </c>
      <c r="F47" s="31">
        <v>252465</v>
      </c>
      <c r="G47" s="31">
        <v>537445</v>
      </c>
      <c r="H47" s="29">
        <v>310018.90000000002</v>
      </c>
      <c r="I47" s="31">
        <v>738471.7</v>
      </c>
      <c r="J47" s="34">
        <v>1472889</v>
      </c>
      <c r="L47" s="46">
        <f t="shared" si="6"/>
        <v>501.30000000004657</v>
      </c>
      <c r="M47" s="46">
        <f t="shared" si="6"/>
        <v>414.59999999997672</v>
      </c>
      <c r="N47" s="46">
        <f t="shared" si="6"/>
        <v>355</v>
      </c>
      <c r="O47" s="46">
        <f t="shared" si="6"/>
        <v>370.39999999996508</v>
      </c>
      <c r="P47" s="46">
        <f t="shared" si="6"/>
        <v>231.89999999999418</v>
      </c>
      <c r="Q47" s="46">
        <f t="shared" si="6"/>
        <v>566.69999999995343</v>
      </c>
      <c r="R47" s="46">
        <f t="shared" si="6"/>
        <v>399.79999999998836</v>
      </c>
      <c r="S47" s="46">
        <f t="shared" si="6"/>
        <v>955.90000000002328</v>
      </c>
      <c r="T47" s="46">
        <f t="shared" si="6"/>
        <v>1870</v>
      </c>
      <c r="U47" s="47">
        <f t="shared" si="7"/>
        <v>1068</v>
      </c>
      <c r="V47" s="47">
        <f t="shared" si="7"/>
        <v>814.39999999996508</v>
      </c>
      <c r="W47" s="47">
        <f t="shared" si="7"/>
        <v>1310.9000000000233</v>
      </c>
      <c r="X47" s="47">
        <f t="shared" si="5"/>
        <v>2472.2999999999593</v>
      </c>
    </row>
    <row r="48" spans="1:24" ht="20" customHeight="1" x14ac:dyDescent="0.35">
      <c r="A48" s="29" t="s">
        <v>274</v>
      </c>
      <c r="B48" s="30">
        <v>418011.9</v>
      </c>
      <c r="C48" s="29">
        <v>222191.3</v>
      </c>
      <c r="D48" s="31">
        <v>54019.1</v>
      </c>
      <c r="E48" s="31">
        <v>376907.6</v>
      </c>
      <c r="F48" s="31">
        <v>252696.9</v>
      </c>
      <c r="G48" s="31">
        <v>538011.69999999995</v>
      </c>
      <c r="H48" s="29">
        <v>310418.7</v>
      </c>
      <c r="I48" s="31">
        <v>739427.6</v>
      </c>
      <c r="J48" s="34">
        <v>1474759</v>
      </c>
      <c r="L48" s="46">
        <f t="shared" si="6"/>
        <v>481.09999999997672</v>
      </c>
      <c r="M48" s="46">
        <f t="shared" si="6"/>
        <v>0</v>
      </c>
      <c r="N48" s="46">
        <f t="shared" si="6"/>
        <v>333.09999999999854</v>
      </c>
      <c r="O48" s="46">
        <f t="shared" si="6"/>
        <v>377</v>
      </c>
      <c r="P48" s="46">
        <f t="shared" si="6"/>
        <v>232.70000000001164</v>
      </c>
      <c r="Q48" s="46">
        <f t="shared" si="6"/>
        <v>466.30000000004657</v>
      </c>
      <c r="R48" s="46">
        <f t="shared" si="6"/>
        <v>0</v>
      </c>
      <c r="S48" s="46">
        <f t="shared" si="6"/>
        <v>793.70000000006985</v>
      </c>
      <c r="T48" s="46">
        <f t="shared" si="6"/>
        <v>1835</v>
      </c>
      <c r="U48" s="47">
        <f t="shared" si="7"/>
        <v>947.40000000002328</v>
      </c>
      <c r="V48" s="47">
        <f t="shared" si="7"/>
        <v>0</v>
      </c>
      <c r="W48" s="47">
        <f t="shared" si="7"/>
        <v>1126.8000000000684</v>
      </c>
      <c r="X48" s="47">
        <f t="shared" si="5"/>
        <v>2444.7000000000116</v>
      </c>
    </row>
    <row r="49" spans="1:24" ht="20" customHeight="1" x14ac:dyDescent="0.35">
      <c r="A49" s="29" t="s">
        <v>275</v>
      </c>
      <c r="B49" s="30">
        <v>418493</v>
      </c>
      <c r="C49" s="29" t="s">
        <v>237</v>
      </c>
      <c r="D49" s="31">
        <v>54352.2</v>
      </c>
      <c r="E49" s="31">
        <v>377284.6</v>
      </c>
      <c r="F49" s="31">
        <v>252929.6</v>
      </c>
      <c r="G49" s="31">
        <v>538478</v>
      </c>
      <c r="H49" s="29" t="s">
        <v>237</v>
      </c>
      <c r="I49" s="31">
        <v>740221.3</v>
      </c>
      <c r="J49" s="34">
        <v>1476594</v>
      </c>
      <c r="L49" s="46">
        <f t="shared" si="6"/>
        <v>496</v>
      </c>
      <c r="M49" s="46">
        <f t="shared" si="6"/>
        <v>0</v>
      </c>
      <c r="N49" s="46">
        <f t="shared" si="6"/>
        <v>361</v>
      </c>
      <c r="O49" s="46">
        <f t="shared" si="6"/>
        <v>376.30000000004657</v>
      </c>
      <c r="P49" s="46">
        <f t="shared" si="6"/>
        <v>232.60000000000582</v>
      </c>
      <c r="Q49" s="46">
        <f t="shared" si="6"/>
        <v>585.5</v>
      </c>
      <c r="R49" s="46">
        <f t="shared" si="6"/>
        <v>0</v>
      </c>
      <c r="S49" s="46">
        <f t="shared" si="6"/>
        <v>1256.8999999999069</v>
      </c>
      <c r="T49" s="46">
        <f t="shared" si="6"/>
        <v>1820</v>
      </c>
      <c r="U49" s="47">
        <f t="shared" si="7"/>
        <v>1081.5</v>
      </c>
      <c r="V49" s="47">
        <f t="shared" si="7"/>
        <v>0</v>
      </c>
      <c r="W49" s="47">
        <f t="shared" si="7"/>
        <v>1617.8999999999069</v>
      </c>
      <c r="X49" s="47">
        <f t="shared" si="5"/>
        <v>2428.9000000000524</v>
      </c>
    </row>
    <row r="50" spans="1:24" ht="20" customHeight="1" x14ac:dyDescent="0.35">
      <c r="A50" s="29" t="s">
        <v>276</v>
      </c>
      <c r="B50" s="30">
        <v>418989</v>
      </c>
      <c r="C50" s="29" t="s">
        <v>237</v>
      </c>
      <c r="D50" s="31">
        <v>54713.2</v>
      </c>
      <c r="E50" s="31">
        <v>377660.9</v>
      </c>
      <c r="F50" s="31">
        <v>253162.2</v>
      </c>
      <c r="G50" s="31">
        <v>539063.5</v>
      </c>
      <c r="H50" s="29" t="s">
        <v>237</v>
      </c>
      <c r="I50" s="31">
        <v>741478.2</v>
      </c>
      <c r="J50" s="34">
        <v>1478414</v>
      </c>
      <c r="L50" s="46">
        <f t="shared" si="6"/>
        <v>511.29999999998836</v>
      </c>
      <c r="M50" s="46">
        <f t="shared" si="6"/>
        <v>0</v>
      </c>
      <c r="N50" s="46">
        <f t="shared" si="6"/>
        <v>372.40000000000146</v>
      </c>
      <c r="O50" s="46">
        <f t="shared" si="6"/>
        <v>376.19999999995343</v>
      </c>
      <c r="P50" s="46">
        <f t="shared" si="6"/>
        <v>232.29999999998836</v>
      </c>
      <c r="Q50" s="46">
        <f t="shared" si="6"/>
        <v>618</v>
      </c>
      <c r="R50" s="46">
        <f t="shared" si="6"/>
        <v>0</v>
      </c>
      <c r="S50" s="46">
        <f t="shared" si="6"/>
        <v>1353.6000000000931</v>
      </c>
      <c r="T50" s="46">
        <f t="shared" si="6"/>
        <v>1677</v>
      </c>
      <c r="U50" s="47">
        <f t="shared" si="7"/>
        <v>1129.2999999999884</v>
      </c>
      <c r="V50" s="47">
        <f t="shared" si="7"/>
        <v>0</v>
      </c>
      <c r="W50" s="47">
        <f t="shared" si="7"/>
        <v>1726.0000000000946</v>
      </c>
      <c r="X50" s="47">
        <f t="shared" si="5"/>
        <v>2285.4999999999418</v>
      </c>
    </row>
    <row r="51" spans="1:24" ht="20" customHeight="1" x14ac:dyDescent="0.35">
      <c r="A51" s="29" t="s">
        <v>277</v>
      </c>
      <c r="B51" s="30">
        <v>419500.3</v>
      </c>
      <c r="C51" s="29" t="s">
        <v>237</v>
      </c>
      <c r="D51" s="31">
        <v>55085.599999999999</v>
      </c>
      <c r="E51" s="31">
        <v>378037.1</v>
      </c>
      <c r="F51" s="31">
        <v>253394.5</v>
      </c>
      <c r="G51" s="31">
        <v>539681.5</v>
      </c>
      <c r="H51" s="29" t="s">
        <v>237</v>
      </c>
      <c r="I51" s="31">
        <v>742831.8</v>
      </c>
      <c r="J51" s="34">
        <v>1480091</v>
      </c>
      <c r="L51" s="46">
        <f t="shared" si="6"/>
        <v>-419500.3</v>
      </c>
      <c r="M51" s="46">
        <f t="shared" si="6"/>
        <v>0</v>
      </c>
      <c r="N51" s="46">
        <f t="shared" si="6"/>
        <v>-55085.599999999999</v>
      </c>
      <c r="O51" s="46">
        <f t="shared" si="6"/>
        <v>-378037.1</v>
      </c>
      <c r="P51" s="46">
        <f t="shared" si="6"/>
        <v>-253394.5</v>
      </c>
      <c r="Q51" s="46">
        <f t="shared" si="6"/>
        <v>-539681.5</v>
      </c>
      <c r="R51" s="46">
        <f t="shared" si="6"/>
        <v>0</v>
      </c>
      <c r="S51" s="46">
        <f t="shared" si="6"/>
        <v>-742831.8</v>
      </c>
      <c r="T51" s="46">
        <f t="shared" si="6"/>
        <v>-1480091</v>
      </c>
      <c r="U51" s="47">
        <f t="shared" si="7"/>
        <v>-959181.8</v>
      </c>
      <c r="V51" s="47">
        <f t="shared" si="7"/>
        <v>0</v>
      </c>
      <c r="W51" s="47">
        <f t="shared" si="7"/>
        <v>-797917.4</v>
      </c>
      <c r="X51" s="47">
        <f t="shared" si="5"/>
        <v>-2111522.6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2026-08-05T07:20:33Z</dcterms:modified>
</cp:coreProperties>
</file>