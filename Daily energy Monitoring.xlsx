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July'26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61" i="2" l="1"/>
  <c r="FZ61" i="2"/>
  <c r="FY61" i="2"/>
  <c r="FX61" i="2"/>
  <c r="FW61" i="2"/>
  <c r="FV61" i="2"/>
  <c r="FU61" i="2"/>
  <c r="FT61" i="2"/>
  <c r="FS61" i="2"/>
  <c r="FR61" i="2"/>
  <c r="FQ61" i="2"/>
  <c r="FP61" i="2"/>
  <c r="FO61" i="2"/>
  <c r="FN61" i="2"/>
  <c r="FM61" i="2"/>
  <c r="FL61" i="2"/>
  <c r="FK61" i="2"/>
  <c r="FJ61" i="2"/>
  <c r="FI61" i="2"/>
  <c r="FH61" i="2"/>
  <c r="FG61" i="2"/>
  <c r="FF61" i="2"/>
  <c r="FE61" i="2"/>
  <c r="FD61" i="2"/>
  <c r="FC61" i="2"/>
  <c r="FB61" i="2"/>
  <c r="FA61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GA60" i="2"/>
  <c r="FZ60" i="2"/>
  <c r="FY60" i="2"/>
  <c r="FX60" i="2"/>
  <c r="FW60" i="2"/>
  <c r="FV60" i="2"/>
  <c r="FU60" i="2"/>
  <c r="FT60" i="2"/>
  <c r="FS60" i="2"/>
  <c r="FR60" i="2"/>
  <c r="FQ60" i="2"/>
  <c r="FP60" i="2"/>
  <c r="FO60" i="2"/>
  <c r="FN60" i="2"/>
  <c r="FM60" i="2"/>
  <c r="FL60" i="2"/>
  <c r="FK60" i="2"/>
  <c r="FJ60" i="2"/>
  <c r="FI60" i="2"/>
  <c r="FH60" i="2"/>
  <c r="FG60" i="2"/>
  <c r="FF60" i="2"/>
  <c r="FE60" i="2"/>
  <c r="FD60" i="2"/>
  <c r="FC60" i="2"/>
  <c r="FB60" i="2"/>
  <c r="FA60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GA59" i="2"/>
  <c r="FZ59" i="2"/>
  <c r="FY59" i="2"/>
  <c r="FX59" i="2"/>
  <c r="FW59" i="2"/>
  <c r="FV59" i="2"/>
  <c r="FU59" i="2"/>
  <c r="FT59" i="2"/>
  <c r="FS59" i="2"/>
  <c r="FR59" i="2"/>
  <c r="FQ59" i="2"/>
  <c r="FP59" i="2"/>
  <c r="FO59" i="2"/>
  <c r="FN59" i="2"/>
  <c r="FM59" i="2"/>
  <c r="FL59" i="2"/>
  <c r="FK59" i="2"/>
  <c r="FJ59" i="2"/>
  <c r="FI59" i="2"/>
  <c r="FH59" i="2"/>
  <c r="FG59" i="2"/>
  <c r="FF59" i="2"/>
  <c r="FE59" i="2"/>
  <c r="FD59" i="2"/>
  <c r="FC59" i="2"/>
  <c r="FB59" i="2"/>
  <c r="FA59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GA58" i="2"/>
  <c r="FZ58" i="2"/>
  <c r="FY58" i="2"/>
  <c r="FX58" i="2"/>
  <c r="FW58" i="2"/>
  <c r="FV58" i="2"/>
  <c r="FU58" i="2"/>
  <c r="FT58" i="2"/>
  <c r="FS58" i="2"/>
  <c r="FR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GA57" i="2"/>
  <c r="FZ57" i="2"/>
  <c r="FY57" i="2"/>
  <c r="FX57" i="2"/>
  <c r="FW57" i="2"/>
  <c r="FV57" i="2"/>
  <c r="FU57" i="2"/>
  <c r="FT57" i="2"/>
  <c r="FS57" i="2"/>
  <c r="FR57" i="2"/>
  <c r="FQ57" i="2"/>
  <c r="FP57" i="2"/>
  <c r="FO57" i="2"/>
  <c r="FN57" i="2"/>
  <c r="FM57" i="2"/>
  <c r="FL57" i="2"/>
  <c r="FK57" i="2"/>
  <c r="FJ57" i="2"/>
  <c r="FI57" i="2"/>
  <c r="FH57" i="2"/>
  <c r="FG57" i="2"/>
  <c r="FF57" i="2"/>
  <c r="FE57" i="2"/>
  <c r="FD57" i="2"/>
  <c r="FC57" i="2"/>
  <c r="FB57" i="2"/>
  <c r="FA57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GA56" i="2"/>
  <c r="FZ56" i="2"/>
  <c r="FY56" i="2"/>
  <c r="FX56" i="2"/>
  <c r="FW56" i="2"/>
  <c r="FV56" i="2"/>
  <c r="FU56" i="2"/>
  <c r="FT56" i="2"/>
  <c r="FS56" i="2"/>
  <c r="FR56" i="2"/>
  <c r="FQ56" i="2"/>
  <c r="FP56" i="2"/>
  <c r="FO56" i="2"/>
  <c r="FN56" i="2"/>
  <c r="FM56" i="2"/>
  <c r="FL56" i="2"/>
  <c r="FK56" i="2"/>
  <c r="FJ56" i="2"/>
  <c r="FI56" i="2"/>
  <c r="FH56" i="2"/>
  <c r="FG56" i="2"/>
  <c r="FF56" i="2"/>
  <c r="FE56" i="2"/>
  <c r="FD56" i="2"/>
  <c r="FC56" i="2"/>
  <c r="FB56" i="2"/>
  <c r="FA56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GA55" i="2"/>
  <c r="FZ55" i="2"/>
  <c r="FY55" i="2"/>
  <c r="FX55" i="2"/>
  <c r="FW55" i="2"/>
  <c r="FV55" i="2"/>
  <c r="FU55" i="2"/>
  <c r="FT55" i="2"/>
  <c r="FS55" i="2"/>
  <c r="FR55" i="2"/>
  <c r="FQ55" i="2"/>
  <c r="FP55" i="2"/>
  <c r="FO55" i="2"/>
  <c r="FN55" i="2"/>
  <c r="FM55" i="2"/>
  <c r="FL55" i="2"/>
  <c r="FK55" i="2"/>
  <c r="FJ55" i="2"/>
  <c r="FI55" i="2"/>
  <c r="FH55" i="2"/>
  <c r="FG55" i="2"/>
  <c r="FF55" i="2"/>
  <c r="FE55" i="2"/>
  <c r="FD55" i="2"/>
  <c r="FC55" i="2"/>
  <c r="FB55" i="2"/>
  <c r="FA55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GA54" i="2"/>
  <c r="FZ54" i="2"/>
  <c r="FY54" i="2"/>
  <c r="FX54" i="2"/>
  <c r="FW54" i="2"/>
  <c r="FV54" i="2"/>
  <c r="FU54" i="2"/>
  <c r="FT54" i="2"/>
  <c r="FS54" i="2"/>
  <c r="FR54" i="2"/>
  <c r="FQ54" i="2"/>
  <c r="FP54" i="2"/>
  <c r="FO54" i="2"/>
  <c r="FN54" i="2"/>
  <c r="FM54" i="2"/>
  <c r="FL54" i="2"/>
  <c r="FK54" i="2"/>
  <c r="FJ54" i="2"/>
  <c r="FI54" i="2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GA53" i="2"/>
  <c r="FZ53" i="2"/>
  <c r="FY53" i="2"/>
  <c r="FX53" i="2"/>
  <c r="FW53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GA52" i="2"/>
  <c r="FZ52" i="2"/>
  <c r="FY52" i="2"/>
  <c r="FX52" i="2"/>
  <c r="FW52" i="2"/>
  <c r="FV52" i="2"/>
  <c r="FU52" i="2"/>
  <c r="FT52" i="2"/>
  <c r="FS52" i="2"/>
  <c r="FR52" i="2"/>
  <c r="FQ52" i="2"/>
  <c r="FP52" i="2"/>
  <c r="FO52" i="2"/>
  <c r="FN52" i="2"/>
  <c r="FM52" i="2"/>
  <c r="FL52" i="2"/>
  <c r="FK52" i="2"/>
  <c r="FJ52" i="2"/>
  <c r="FI52" i="2"/>
  <c r="FH52" i="2"/>
  <c r="FG52" i="2"/>
  <c r="FF52" i="2"/>
  <c r="FE52" i="2"/>
  <c r="FD52" i="2"/>
  <c r="FC52" i="2"/>
  <c r="FB52" i="2"/>
  <c r="FA52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GA51" i="2"/>
  <c r="FZ51" i="2"/>
  <c r="FY51" i="2"/>
  <c r="FX51" i="2"/>
  <c r="FW51" i="2"/>
  <c r="FV51" i="2"/>
  <c r="FU51" i="2"/>
  <c r="FT51" i="2"/>
  <c r="FS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U52" i="3" l="1"/>
  <c r="X50" i="3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<sst xmlns="http://schemas.openxmlformats.org/spreadsheetml/2006/main" count="653" uniqueCount="280">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</sst>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1"/>
  <sheetViews>
    <sheetView tabSelected="1" workbookViewId="0">
      <pane xSplit="1" ySplit="2" topLeftCell="FM36" activePane="bottomRight" state="frozen"/>
      <selection pane="topRight" activeCell="B1" sqref="B1"/>
      <selection pane="bottomLeft" activeCell="A3" sqref="A3"/>
      <selection pane="bottomRight" activeCell="GC41" sqref="GC41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>
        <f>BZ35-Table2[[#This Row],[8F3 ACPDB - 4 WH Dock air curtain]]</f>
        <v>-5.7590000000054715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114324.12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114326.76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7.2880000000004657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19.14272000000128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76.896000000007916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218193.32800000001</v>
      </c>
      <c r="DA41" s="6">
        <v>19042.850000000002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25159.999999999854</v>
      </c>
      <c r="DJ41">
        <f>(DA42-Table2[[#This Row],[PNG Meter (Outside)]])*2.936</f>
        <v>235.20295999999104</v>
      </c>
      <c r="DK41">
        <f>(DB42-Table2[[#This Row],[PNG Meter (Inside)]])*2.936</f>
        <v>379.00823999998971</v>
      </c>
      <c r="DL41">
        <f>(BH42-Table2[[#This Row],[3F Dough cooler - 2 ]])*1000</f>
        <v>314.00000000002137</v>
      </c>
      <c r="DM41">
        <f>(BI42-Table2[[#This Row],[3F Dough Cooler- 1]])*1000</f>
        <v>498.00000000004729</v>
      </c>
      <c r="DN41">
        <f>(BJ42-Table2[[#This Row],[4F Dough Production cooling Unit]])*1000</f>
        <v>57.999999999999829</v>
      </c>
      <c r="DO41">
        <f>(BQ42-Table2[[#This Row],[3F2 - PDB 3 - Dough Production Area]])*1000</f>
        <v>242.00000000001864</v>
      </c>
      <c r="DP41">
        <f>(BR42-Table2[[#This Row],[3F3 - PDB 4 - Dough Area]])*1000</f>
        <v>133.00000000000978</v>
      </c>
      <c r="DQ41">
        <f>AC42-Table2[[#This Row],[16F1 Tray washer Panel for Light]]</f>
        <v>754.72000000020489</v>
      </c>
      <c r="DR41">
        <f>CQ42-Table2[[#This Row],[2F1 Tray Washer - 1]]</f>
        <v>1449.9199999999255</v>
      </c>
      <c r="DS41">
        <f>CS42-Table2[[#This Row],[2F5 Destacker]]</f>
        <v>320.54400000005262</v>
      </c>
      <c r="DT41">
        <f>CU42-Table2[[#This Row],[5F1 Metering (TW-2)]]</f>
        <v>223.23200000001816</v>
      </c>
      <c r="DU41">
        <f>CV42-Table2[[#This Row],[6F1 Pre soaker Tray washer]]</f>
        <v>9.6000000012281816E-3</v>
      </c>
      <c r="DV41" s="1">
        <f>CZ42-Table2[[#This Row],[6F5 Vent tray Storage]]</f>
        <v>68.831999999994878</v>
      </c>
      <c r="DW41">
        <f>I42-Table2[[#This Row],[Popeyes Meter ]]</f>
        <v>59.3100000000004</v>
      </c>
      <c r="DX41">
        <f>AZ42-Table2[[#This Row],[2F WH Chiller, Segregation Area]]</f>
        <v>0</v>
      </c>
      <c r="DY41">
        <f>BA42-Table2[[#This Row],[3F1 AC Unit WH dock cooling - 2 Nos]]</f>
        <v>16</v>
      </c>
      <c r="DZ41">
        <f>BB42-Table2[[#This Row],[3F2 AC Unit WH dock cooling - 3 Nos]]</f>
        <v>4.2999999999999261E-2</v>
      </c>
      <c r="EA41">
        <f>(BK42-Table2[[#This Row],[5F WH Perishable]])*1000</f>
        <v>295.00000000007276</v>
      </c>
      <c r="EB41">
        <f>BN42-Table2[[#This Row],[2F3 - PDB 9 - WH Dock Leveler Door ]]</f>
        <v>1.5976000000000568</v>
      </c>
      <c r="EC41">
        <f>BP42-Table2[[#This Row],[3F1 - PDB 5 - WH HSD]]</f>
        <v>127.71199999999953</v>
      </c>
      <c r="ED41">
        <f>BX42-Table2[[#This Row],[8F1 WH Dock AHU - Ventilation]]</f>
        <v>2410</v>
      </c>
      <c r="EE41">
        <f>BZ42-Table2[[#This Row],[8F3 ACPDB - 4 WH Dock air curtain]]</f>
        <v>4.8880000000062864</v>
      </c>
      <c r="EF41">
        <f>CA42-Table2[[#This Row],[8F4 WH Light]]</f>
        <v>2.9999999992469384E-4</v>
      </c>
      <c r="EG41">
        <f>CC42-Table2[[#This Row],[9F1 - PDB 10 - WH Dock door &amp; Office]]</f>
        <v>112.7039999999979</v>
      </c>
      <c r="EH41">
        <f>CD42-Table2[[#This Row],[9F2 - PDB 11 - WH flycatchers]]</f>
        <v>194.91200000001118</v>
      </c>
      <c r="EI41">
        <f>CE42-Table2[[#This Row],[9F3 - PDB 12 - Other items]]</f>
        <v>0</v>
      </c>
      <c r="EJ41">
        <f>CR42-Table2[[#This Row],[2F3 - PDB 1 - Dock 1 to 4 ]]</f>
        <v>63.62400000001071</v>
      </c>
      <c r="EK41">
        <f>BM42-Table2[[#This Row],[2F2 - PDB 3 - WH Truck &amp; Battery Charging]]</f>
        <v>454.40000000002328</v>
      </c>
      <c r="EL41">
        <f>(CK42-Table2[[#This Row],[PDB - 11 Truck Charging]])*1000</f>
        <v>58.000000000006935</v>
      </c>
      <c r="EM41">
        <f>P42-Table2[[#This Row],[5F3 Admin Area]]</f>
        <v>355.71199999994133</v>
      </c>
      <c r="EN41" s="1">
        <f>AH42-Table2[[#This Row],[2F5 Main Gate-1 Piller -1]]</f>
        <v>100</v>
      </c>
      <c r="EO41">
        <f>CW42-Table2[[#This Row],[6F2 Ground Floor AC]]</f>
        <v>18.271999999997206</v>
      </c>
      <c r="EP41">
        <f>CX42-Table2[[#This Row],[6F3 ACBD -1 (First floor AC)]]</f>
        <v>0</v>
      </c>
      <c r="EQ41">
        <f>CY42-Table2[[#This Row],[6F4 ACBD - 2 (Second &amp; Third floor AC)]]</f>
        <v>115.77600000001257</v>
      </c>
      <c r="ER41">
        <f>(BC42-Table2[[#This Row],[4F Old BMC cooling Unit]])</f>
        <v>0</v>
      </c>
      <c r="ES41">
        <f>BO42-Table2[[#This Row],[2F4 - Old BMC]]</f>
        <v>4.1440000000002328</v>
      </c>
      <c r="ET41">
        <f>Y42-Table2[[#This Row],[14F2 New CK]]</f>
        <v>1546.2399999999907</v>
      </c>
      <c r="EU41">
        <f>(CL42-Table2[[#This Row],[OLD Ck Panel-1]])*1000</f>
        <v>736.99999999996635</v>
      </c>
      <c r="EV41">
        <f>CM42-Table2[[#This Row],[2F4 Old CK Blast (Blue star)]]</f>
        <v>0</v>
      </c>
      <c r="EW41">
        <f>CN42-Table2[[#This Row],[3F6 Old CK Blast (Carrier)]]</f>
        <v>593</v>
      </c>
      <c r="EX41">
        <f>(CO42-Table2[[#This Row],[Old CK Panel -2]])*1000</f>
        <v>918.00000000012005</v>
      </c>
      <c r="EY41">
        <f>N42-Table2[[#This Row],[4F1 Main UPS 1/C -1]]</f>
        <v>996.80000000004657</v>
      </c>
      <c r="EZ41">
        <f>Z42-Table2[[#This Row],[15F1 Main UPS Panel - I/C - 2]]</f>
        <v>0</v>
      </c>
      <c r="FA41">
        <f>BF42-Table2[[#This Row],[2F CLC -1 AC unit - 2]]</f>
        <v>0</v>
      </c>
      <c r="FB41">
        <f>(BG42-Table2[[#This Row],[2F CLC Anti room]])*1000</f>
        <v>35.0000000000108</v>
      </c>
      <c r="FC41">
        <f>BW42-Table2[[#This Row],[7F3 CLC Power Panel]]</f>
        <v>290.36800000001676</v>
      </c>
      <c r="FD41">
        <f>(CI42-Table2[[#This Row],[PDB - 17 CLC Section ]])*1000</f>
        <v>187.99999999998818</v>
      </c>
      <c r="FE41">
        <f>(W42-Table2[[#This Row],[13F3 Water &amp; Lift Old CK]])*1000</f>
        <v>457.49999999998181</v>
      </c>
      <c r="FF41">
        <f>AA42-Table2[[#This Row],[15F2 New ETP Panel]]</f>
        <v>275.71199999994133</v>
      </c>
      <c r="FG41">
        <f>AL42-Table2[[#This Row],[3F4 Old ETP Panel]]</f>
        <v>83.488000000012107</v>
      </c>
      <c r="FH41">
        <f>AF42-Table2[[#This Row],[2F1 RO Plant]]</f>
        <v>580.67200000002049</v>
      </c>
      <c r="FI41">
        <f>AK42-Table2[[#This Row],[3F3 Fire Hydrant Panel]]</f>
        <v>11.039999999993597</v>
      </c>
      <c r="FJ41">
        <f>R42-Table2[[#This Row],[7F1 Freon System Panel]]</f>
        <v>5855.3600000003353</v>
      </c>
      <c r="FK41">
        <f>(AE42-Table2[[#This Row],[21F1 Refrigeration Ammonia]])*1000</f>
        <v>7155.2000000010594</v>
      </c>
      <c r="FL41">
        <f>(AG42-Table2[[#This Row],[2F3 Air Compressor]])*1000</f>
        <v>1144.9999999999818</v>
      </c>
      <c r="FM41">
        <f>(AX42-Table2[[#This Row],[Solar Reading Panel II]])*1000</f>
        <v>1509.0000000000146</v>
      </c>
      <c r="FN41">
        <f>AI42-Table2[[#This Row],[3F1 Maintenance Workshop]]</f>
        <v>6.3536000000003696</v>
      </c>
      <c r="FO41">
        <f>BD42-Table2[[#This Row],[4F B2B unit ]]</f>
        <v>66.784000000043306</v>
      </c>
      <c r="FP41">
        <f>BL42-Table2[[#This Row],[2F1 - PDB 6 - Bread, B2B section]]</f>
        <v>179.63520000000426</v>
      </c>
      <c r="FQ41">
        <f>(CG42-Table2[[#This Row],[9F5 - PDB 14 - Bread Lift]])</f>
        <v>0.44479999999748543</v>
      </c>
      <c r="FR41">
        <f>CJ42-Table2[[#This Row],[PDB - 16 Bread Section]]</f>
        <v>0</v>
      </c>
      <c r="FS41">
        <f>BU42-Table2[[#This Row],[7F1 Donut Production area]]</f>
        <v>202.4320000000298</v>
      </c>
      <c r="FT41">
        <f>CB42-Table2[[#This Row],[8F5 Donut Ban Bary]]</f>
        <v>56.927999999999884</v>
      </c>
      <c r="FU41">
        <f>CF42-Table2[[#This Row],[9F4 - PDB 13 - Donut Sink Geyser area]]</f>
        <v>23.104000000021188</v>
      </c>
      <c r="FV41">
        <f>BV42-Table2[[#This Row],[7F2 Flour Silo]]</f>
        <v>679.84000000008382</v>
      </c>
      <c r="FW41">
        <f>BY42-Table2[[#This Row],[8F2 ACPDB - 3 SILO Ventilation]]</f>
        <v>50.224000000016531</v>
      </c>
      <c r="FX41">
        <f>J42-Table2[[#This Row],[DG 1010KVA Running Hours]]</f>
        <v>0.4000000000005457</v>
      </c>
      <c r="FY41">
        <f>K42-Table2[[#This Row],[DG 1010 KVA Meter Reading]]</f>
        <v>149</v>
      </c>
      <c r="FZ41">
        <f>L42-Table2[[#This Row],[GG 1010 KVA Running Hours]]</f>
        <v>0</v>
      </c>
      <c r="GA41">
        <f>M42-Table2[[#This Row],[GG 1010 KVA Meter Reading]]</f>
        <v>0.12000000000000455</v>
      </c>
    </row>
    <row r="42" spans="1:183" x14ac:dyDescent="0.35">
      <c r="A42" s="1">
        <v>52</v>
      </c>
      <c r="B42" s="2">
        <v>46240.427222222221</v>
      </c>
      <c r="C42" s="2">
        <v>46240.469618055555</v>
      </c>
      <c r="D42" s="1" t="s">
        <v>111</v>
      </c>
      <c r="E42" s="1"/>
      <c r="F42" s="1"/>
      <c r="G42" s="3">
        <v>46240</v>
      </c>
      <c r="H42" s="1" t="s">
        <v>186</v>
      </c>
      <c r="I42" s="6">
        <v>6856.152</v>
      </c>
      <c r="J42" s="6">
        <v>4274.6000000000004</v>
      </c>
      <c r="K42" s="6">
        <v>1777022</v>
      </c>
      <c r="L42" s="6">
        <v>454</v>
      </c>
      <c r="M42" s="6">
        <v>191.25</v>
      </c>
      <c r="N42" s="6">
        <v>1870627.36</v>
      </c>
      <c r="O42" s="6">
        <v>4602525.12</v>
      </c>
      <c r="P42" s="6">
        <v>646717.696</v>
      </c>
      <c r="Q42" s="6">
        <v>8097114.8799999999</v>
      </c>
      <c r="R42" s="6">
        <v>5552268.1600000001</v>
      </c>
      <c r="S42" s="6">
        <v>7370200.3200000003</v>
      </c>
      <c r="T42" s="6">
        <v>43226275.839000002</v>
      </c>
      <c r="U42" s="6">
        <v>2106364.96</v>
      </c>
      <c r="V42" s="6">
        <v>5120123.5199999996</v>
      </c>
      <c r="W42" s="6">
        <v>1593.5237</v>
      </c>
      <c r="X42" s="6">
        <v>774602.11199999996</v>
      </c>
      <c r="Y42" s="6">
        <v>1095993.28</v>
      </c>
      <c r="Z42" s="6">
        <v>2777.8894</v>
      </c>
      <c r="AA42" s="6">
        <v>669327.87199999997</v>
      </c>
      <c r="AB42" s="6">
        <v>421308.51199999999</v>
      </c>
      <c r="AC42" s="6">
        <v>2140867.04</v>
      </c>
      <c r="AD42" s="6">
        <v>2672378.2149999999</v>
      </c>
      <c r="AE42" s="6">
        <v>12822.5416</v>
      </c>
      <c r="AF42" s="6">
        <v>876622.272</v>
      </c>
      <c r="AG42" s="6">
        <v>1401.3920000000001</v>
      </c>
      <c r="AH42" s="6">
        <v>133668.39199999999</v>
      </c>
      <c r="AI42" s="6">
        <v>14637.4704</v>
      </c>
      <c r="AJ42" s="6">
        <v>145374.16</v>
      </c>
      <c r="AK42" s="6">
        <v>105273.68</v>
      </c>
      <c r="AL42" s="6">
        <v>330768.03200000001</v>
      </c>
      <c r="AM42" s="6">
        <v>992.81</v>
      </c>
      <c r="AN42" s="6">
        <v>319.60000000000002</v>
      </c>
      <c r="AO42" s="6">
        <v>7.6</v>
      </c>
      <c r="AP42" s="6">
        <v>478037</v>
      </c>
      <c r="AQ42" s="6">
        <v>42329</v>
      </c>
      <c r="AR42" s="6">
        <v>41785</v>
      </c>
      <c r="AS42" s="6">
        <v>32390</v>
      </c>
      <c r="AT42" s="6">
        <v>22105</v>
      </c>
      <c r="AU42" s="6">
        <v>15696</v>
      </c>
      <c r="AV42" s="6">
        <v>6466</v>
      </c>
      <c r="AW42" s="6">
        <v>20.940496</v>
      </c>
      <c r="AX42" s="6">
        <v>7245.7259999999997</v>
      </c>
      <c r="AY42" s="6">
        <v>679.37336000000005</v>
      </c>
      <c r="AZ42" s="6">
        <v>20.788</v>
      </c>
      <c r="BA42" s="6">
        <v>10442</v>
      </c>
      <c r="BB42" s="6">
        <v>44.918999999999997</v>
      </c>
      <c r="BC42" s="6">
        <v>113989.152</v>
      </c>
      <c r="BD42" s="6">
        <v>276130.94400000002</v>
      </c>
      <c r="BE42" s="6">
        <v>3729.2451999999998</v>
      </c>
      <c r="BF42" s="6">
        <v>1712.0419999999999</v>
      </c>
      <c r="BG42" s="6">
        <v>75.12</v>
      </c>
      <c r="BH42" s="6">
        <v>365.64800000000002</v>
      </c>
      <c r="BI42" s="6">
        <v>916.75400000000002</v>
      </c>
      <c r="BJ42" s="6">
        <v>14.8</v>
      </c>
      <c r="BK42" s="6">
        <v>565.09</v>
      </c>
      <c r="BL42" s="6">
        <v>73304.588799999998</v>
      </c>
      <c r="BM42" s="6">
        <v>310772.64</v>
      </c>
      <c r="BN42" s="6">
        <v>7198.384</v>
      </c>
      <c r="BO42" s="6">
        <v>53578.739200000004</v>
      </c>
      <c r="BP42" s="6">
        <v>314707.424</v>
      </c>
      <c r="BQ42" s="6">
        <v>326.05700000000002</v>
      </c>
      <c r="BR42" s="6">
        <v>181.58</v>
      </c>
      <c r="BS42" s="6">
        <v>101550.97</v>
      </c>
      <c r="BT42" s="6">
        <v>1400620.58</v>
      </c>
      <c r="BU42" s="6">
        <v>629958.52800000005</v>
      </c>
      <c r="BV42" s="6">
        <v>1024541.04</v>
      </c>
      <c r="BW42" s="6">
        <v>569526.65599999996</v>
      </c>
      <c r="BX42" s="6">
        <v>1005499.6</v>
      </c>
      <c r="BY42" s="6">
        <v>157941.584</v>
      </c>
      <c r="BZ42" s="6">
        <v>114379.44</v>
      </c>
      <c r="CA42" s="6">
        <v>1244.3387</v>
      </c>
      <c r="CB42" s="6">
        <v>108884.912</v>
      </c>
      <c r="CC42" s="6">
        <v>151280.36799999999</v>
      </c>
      <c r="CD42" s="6">
        <v>447364.22399999999</v>
      </c>
      <c r="CE42" s="6">
        <v>49125.260799999996</v>
      </c>
      <c r="CF42" s="6">
        <v>156043.18400000001</v>
      </c>
      <c r="CG42" s="6">
        <v>360808.16320000001</v>
      </c>
      <c r="CH42" s="6">
        <v>2385.8710000000001</v>
      </c>
      <c r="CI42" s="6">
        <v>215.10599999999999</v>
      </c>
      <c r="CJ42" s="6">
        <v>1191.5</v>
      </c>
      <c r="CK42" s="6">
        <v>78.307000000000002</v>
      </c>
      <c r="CL42" s="6">
        <v>735.65800000000002</v>
      </c>
      <c r="CM42" s="6">
        <v>551.4</v>
      </c>
      <c r="CN42" s="6">
        <v>46290.8</v>
      </c>
      <c r="CO42" s="6">
        <v>1654.498</v>
      </c>
      <c r="CP42" s="6">
        <v>294925.29599999997</v>
      </c>
      <c r="CQ42" s="6">
        <v>3689568.64</v>
      </c>
      <c r="CR42" s="6">
        <v>131548.78400000001</v>
      </c>
      <c r="CS42" s="6">
        <v>515721.56800000003</v>
      </c>
      <c r="CT42" s="6">
        <v>2942730.1919999998</v>
      </c>
      <c r="CU42" s="6">
        <v>299845.40700000001</v>
      </c>
      <c r="CV42" s="6">
        <v>30139.721600000001</v>
      </c>
      <c r="CW42" s="6">
        <v>62996.998399999997</v>
      </c>
      <c r="CX42" s="6">
        <v>33466.092799999999</v>
      </c>
      <c r="CY42" s="6">
        <v>168492.736</v>
      </c>
      <c r="CZ42" s="6">
        <v>218262.16</v>
      </c>
      <c r="DA42" s="6">
        <v>19122.96</v>
      </c>
      <c r="DB42" s="6">
        <v>150656.38</v>
      </c>
      <c r="DC42" s="6">
        <v>3054.78</v>
      </c>
      <c r="DD42" s="6">
        <v>3054.67</v>
      </c>
      <c r="DE42" s="6">
        <v>3082.22</v>
      </c>
      <c r="DF42" s="6">
        <v>0.98699999999999999</v>
      </c>
      <c r="DG42" s="1" t="s">
        <v>279</v>
      </c>
      <c r="DH42" s="4">
        <f>Table2[[#This Row],[Date]]</f>
        <v>46240</v>
      </c>
      <c r="DI42">
        <f>(DD43-Table2[[#This Row],[MWH Total]])*4000</f>
        <v>-12218680</v>
      </c>
      <c r="DJ42">
        <f>(DA43-Table2[[#This Row],[PNG Meter (Outside)]])*2.936</f>
        <v>-56145.010559999995</v>
      </c>
      <c r="DK42">
        <f>(DB43-Table2[[#This Row],[PNG Meter (Inside)]])*2.936</f>
        <v>-442327.13167999999</v>
      </c>
      <c r="DL42">
        <f>(BH43-Table2[[#This Row],[3F Dough cooler - 2 ]])*1000</f>
        <v>-365648</v>
      </c>
      <c r="DM42">
        <f>(BI43-Table2[[#This Row],[3F Dough Cooler- 1]])*1000</f>
        <v>-916754</v>
      </c>
      <c r="DN42">
        <f>(BJ43-Table2[[#This Row],[4F Dough Production cooling Unit]])*1000</f>
        <v>-14800</v>
      </c>
      <c r="DO42">
        <f>(BQ43-Table2[[#This Row],[3F2 - PDB 3 - Dough Production Area]])*1000</f>
        <v>-326057</v>
      </c>
      <c r="DP42">
        <f>(BR43-Table2[[#This Row],[3F3 - PDB 4 - Dough Area]])*1000</f>
        <v>-181580</v>
      </c>
      <c r="DQ42">
        <f>AC43-Table2[[#This Row],[16F1 Tray washer Panel for Light]]</f>
        <v>-2140867.04</v>
      </c>
      <c r="DR42">
        <f>CQ43-Table2[[#This Row],[2F1 Tray Washer - 1]]</f>
        <v>-3689568.64</v>
      </c>
      <c r="DS42">
        <f>CS43-Table2[[#This Row],[2F5 Destacker]]</f>
        <v>-515721.56800000003</v>
      </c>
      <c r="DT42">
        <f>CU43-Table2[[#This Row],[5F1 Metering (TW-2)]]</f>
        <v>-299845.40700000001</v>
      </c>
      <c r="DU42">
        <f>CV43-Table2[[#This Row],[6F1 Pre soaker Tray washer]]</f>
        <v>-30139.721600000001</v>
      </c>
      <c r="DV42">
        <f>CZ43-Table2[[#This Row],[6F5 Vent tray Storage]]</f>
        <v>-218262.16</v>
      </c>
      <c r="DW42">
        <f>I43-Table2[[#This Row],[Popeyes Meter ]]</f>
        <v>-6856.152</v>
      </c>
      <c r="DX42">
        <f>AZ43-Table2[[#This Row],[2F WH Chiller, Segregation Area]]</f>
        <v>-20.788</v>
      </c>
      <c r="DY42">
        <f>BA43-Table2[[#This Row],[3F1 AC Unit WH dock cooling - 2 Nos]]</f>
        <v>-10442</v>
      </c>
      <c r="DZ42">
        <f>BB43-Table2[[#This Row],[3F2 AC Unit WH dock cooling - 3 Nos]]</f>
        <v>-44.918999999999997</v>
      </c>
      <c r="EA42">
        <f>(BK43-Table2[[#This Row],[5F WH Perishable]])*1000</f>
        <v>-565090</v>
      </c>
      <c r="EB42">
        <f>BN43-Table2[[#This Row],[2F3 - PDB 9 - WH Dock Leveler Door ]]</f>
        <v>-7198.384</v>
      </c>
      <c r="EC42">
        <f>BP43-Table2[[#This Row],[3F1 - PDB 5 - WH HSD]]</f>
        <v>-314707.424</v>
      </c>
      <c r="ED42">
        <f>BX43-Table2[[#This Row],[8F1 WH Dock AHU - Ventilation]]</f>
        <v>-1005499.6</v>
      </c>
      <c r="EE42">
        <f>BZ43-Table2[[#This Row],[8F3 ACPDB - 4 WH Dock air curtain]]</f>
        <v>-114379.44</v>
      </c>
      <c r="EF42">
        <f>CA43-Table2[[#This Row],[8F4 WH Light]]</f>
        <v>-1244.3387</v>
      </c>
      <c r="EG42">
        <f>CC43-Table2[[#This Row],[9F1 - PDB 10 - WH Dock door &amp; Office]]</f>
        <v>-151280.36799999999</v>
      </c>
      <c r="EH42">
        <f>CD43-Table2[[#This Row],[9F2 - PDB 11 - WH flycatchers]]</f>
        <v>-447364.22399999999</v>
      </c>
      <c r="EI42">
        <f>CE43-Table2[[#This Row],[9F3 - PDB 12 - Other items]]</f>
        <v>-49125.260799999996</v>
      </c>
      <c r="EJ42">
        <f>CR43-Table2[[#This Row],[2F3 - PDB 1 - Dock 1 to 4 ]]</f>
        <v>-131548.78400000001</v>
      </c>
      <c r="EK42">
        <f>BM43-Table2[[#This Row],[2F2 - PDB 3 - WH Truck &amp; Battery Charging]]</f>
        <v>-310772.64</v>
      </c>
      <c r="EL42">
        <f>(CK43-Table2[[#This Row],[PDB - 11 Truck Charging]])*1000</f>
        <v>-78307</v>
      </c>
      <c r="EM42">
        <f>P43-Table2[[#This Row],[5F3 Admin Area]]</f>
        <v>-646717.696</v>
      </c>
      <c r="EN42">
        <f>AH43-Table2[[#This Row],[2F5 Main Gate-1 Piller -1]]</f>
        <v>-133668.39199999999</v>
      </c>
      <c r="EO42">
        <f>CW43-Table2[[#This Row],[6F2 Ground Floor AC]]</f>
        <v>-62996.998399999997</v>
      </c>
      <c r="EP42">
        <f>CX43-Table2[[#This Row],[6F3 ACBD -1 (First floor AC)]]</f>
        <v>-33466.092799999999</v>
      </c>
      <c r="EQ42">
        <f>CY43-Table2[[#This Row],[6F4 ACBD - 2 (Second &amp; Third floor AC)]]</f>
        <v>-168492.736</v>
      </c>
      <c r="ER42">
        <f>(BC43-Table2[[#This Row],[4F Old BMC cooling Unit]])</f>
        <v>-113989.152</v>
      </c>
      <c r="ES42">
        <f>BO43-Table2[[#This Row],[2F4 - Old BMC]]</f>
        <v>-53578.739200000004</v>
      </c>
      <c r="ET42">
        <f>Y43-Table2[[#This Row],[14F2 New CK]]</f>
        <v>-1095993.28</v>
      </c>
      <c r="EU42">
        <f>(CL43-Table2[[#This Row],[OLD Ck Panel-1]])*1000</f>
        <v>-735658</v>
      </c>
      <c r="EV42">
        <f>CM43-Table2[[#This Row],[2F4 Old CK Blast (Blue star)]]</f>
        <v>-551.4</v>
      </c>
      <c r="EW42">
        <f>CN43-Table2[[#This Row],[3F6 Old CK Blast (Carrier)]]</f>
        <v>-46290.8</v>
      </c>
      <c r="EX42">
        <f>(CO43-Table2[[#This Row],[Old CK Panel -2]])*1000</f>
        <v>-1654498</v>
      </c>
      <c r="EY42">
        <f>N43-Table2[[#This Row],[4F1 Main UPS 1/C -1]]</f>
        <v>-1870627.36</v>
      </c>
      <c r="EZ42">
        <f>Z43-Table2[[#This Row],[15F1 Main UPS Panel - I/C - 2]]</f>
        <v>-2777.8894</v>
      </c>
      <c r="FA42">
        <f>BF43-Table2[[#This Row],[2F CLC -1 AC unit - 2]]</f>
        <v>-1712.0419999999999</v>
      </c>
      <c r="FB42">
        <f>(BG43-Table2[[#This Row],[2F CLC Anti room]])*1000</f>
        <v>-75120</v>
      </c>
      <c r="FC42">
        <f>BW43-Table2[[#This Row],[7F3 CLC Power Panel]]</f>
        <v>-569526.65599999996</v>
      </c>
      <c r="FD42">
        <f>(CI43-Table2[[#This Row],[PDB - 17 CLC Section ]])*1000</f>
        <v>-215106</v>
      </c>
      <c r="FE42">
        <f>(W43-Table2[[#This Row],[13F3 Water &amp; Lift Old CK]])*1000</f>
        <v>-1593523.7</v>
      </c>
      <c r="FF42">
        <f>AA43-Table2[[#This Row],[15F2 New ETP Panel]]</f>
        <v>-669327.87199999997</v>
      </c>
      <c r="FG42">
        <f>AL43-Table2[[#This Row],[3F4 Old ETP Panel]]</f>
        <v>-330768.03200000001</v>
      </c>
      <c r="FH42">
        <f>AF43-Table2[[#This Row],[2F1 RO Plant]]</f>
        <v>-876622.272</v>
      </c>
      <c r="FI42">
        <f>AK43-Table2[[#This Row],[3F3 Fire Hydrant Panel]]</f>
        <v>-105273.68</v>
      </c>
      <c r="FJ42">
        <f>R43-Table2[[#This Row],[7F1 Freon System Panel]]</f>
        <v>-5552268.1600000001</v>
      </c>
      <c r="FK42">
        <f>(AE43-Table2[[#This Row],[21F1 Refrigeration Ammonia]])*1000</f>
        <v>-12822541.6</v>
      </c>
      <c r="FL42">
        <f>(AG43-Table2[[#This Row],[2F3 Air Compressor]])*1000</f>
        <v>-1401392</v>
      </c>
      <c r="FM42">
        <f>(AX43-Table2[[#This Row],[Solar Reading Panel II]])*1000</f>
        <v>-7245726</v>
      </c>
      <c r="FN42">
        <f>AI43-Table2[[#This Row],[3F1 Maintenance Workshop]]</f>
        <v>-14637.4704</v>
      </c>
      <c r="FO42">
        <f>BD43-Table2[[#This Row],[4F B2B unit ]]</f>
        <v>-276130.94400000002</v>
      </c>
      <c r="FP42">
        <f>BL43-Table2[[#This Row],[2F1 - PDB 6 - Bread, B2B section]]</f>
        <v>-73304.588799999998</v>
      </c>
      <c r="FQ42">
        <f>(CG43-Table2[[#This Row],[9F5 - PDB 14 - Bread Lift]])</f>
        <v>-360808.16320000001</v>
      </c>
      <c r="FR42">
        <f>CJ43-Table2[[#This Row],[PDB - 16 Bread Section]]</f>
        <v>-1191.5</v>
      </c>
      <c r="FS42">
        <f>BU43-Table2[[#This Row],[7F1 Donut Production area]]</f>
        <v>-629958.52800000005</v>
      </c>
      <c r="FT42">
        <f>CB43-Table2[[#This Row],[8F5 Donut Ban Bary]]</f>
        <v>-108884.912</v>
      </c>
      <c r="FU42">
        <f>CF43-Table2[[#This Row],[9F4 - PDB 13 - Donut Sink Geyser area]]</f>
        <v>-156043.18400000001</v>
      </c>
      <c r="FV42">
        <f>BV43-Table2[[#This Row],[7F2 Flour Silo]]</f>
        <v>-1024541.04</v>
      </c>
      <c r="FW42">
        <f>BY43-Table2[[#This Row],[8F2 ACPDB - 3 SILO Ventilation]]</f>
        <v>-157941.584</v>
      </c>
      <c r="FX42">
        <f>J43-Table2[[#This Row],[DG 1010KVA Running Hours]]</f>
        <v>-4274.6000000000004</v>
      </c>
      <c r="FY42">
        <f>K43-Table2[[#This Row],[DG 1010 KVA Meter Reading]]</f>
        <v>-1777022</v>
      </c>
      <c r="FZ42">
        <f>L43-Table2[[#This Row],[GG 1010 KVA Running Hours]]</f>
        <v>-454</v>
      </c>
      <c r="GA42">
        <f>M43-Table2[[#This Row],[GG 1010 KVA Meter Reading]]</f>
        <v>-191.25</v>
      </c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>
        <f>Table2[[#This Row],[Date]]</f>
        <v>0</v>
      </c>
      <c r="DI43">
        <f>(DD44-Table2[[#This Row],[MWH Total]])*4000</f>
        <v>0</v>
      </c>
      <c r="DJ43">
        <f>(DA44-Table2[[#This Row],[PNG Meter (Outside)]])*2.936</f>
        <v>0</v>
      </c>
      <c r="DK43">
        <f>(DB44-Table2[[#This Row],[PNG Meter (Inside)]])*2.936</f>
        <v>0</v>
      </c>
      <c r="DL43">
        <f>(BH44-Table2[[#This Row],[3F Dough cooler - 2 ]])*1000</f>
        <v>0</v>
      </c>
      <c r="DM43">
        <f>(BI44-Table2[[#This Row],[3F Dough Cooler- 1]])*1000</f>
        <v>0</v>
      </c>
      <c r="DN43">
        <f>(BJ44-Table2[[#This Row],[4F Dough Production cooling Unit]])*1000</f>
        <v>0</v>
      </c>
      <c r="DO43">
        <f>(BQ44-Table2[[#This Row],[3F2 - PDB 3 - Dough Production Area]])*1000</f>
        <v>0</v>
      </c>
      <c r="DP43">
        <f>(BR44-Table2[[#This Row],[3F3 - PDB 4 - Dough Area]])*1000</f>
        <v>0</v>
      </c>
      <c r="DQ43">
        <f>AC44-Table2[[#This Row],[16F1 Tray washer Panel for Light]]</f>
        <v>0</v>
      </c>
      <c r="DR43">
        <f>CQ44-Table2[[#This Row],[2F1 Tray Washer - 1]]</f>
        <v>0</v>
      </c>
      <c r="DS43">
        <f>CS44-Table2[[#This Row],[2F5 Destacker]]</f>
        <v>0</v>
      </c>
      <c r="DT43">
        <f>CU44-Table2[[#This Row],[5F1 Metering (TW-2)]]</f>
        <v>0</v>
      </c>
      <c r="DU43">
        <f>CV44-Table2[[#This Row],[6F1 Pre soaker Tray washer]]</f>
        <v>0</v>
      </c>
      <c r="DV43">
        <f>CZ44-Table2[[#This Row],[6F5 Vent tray Storage]]</f>
        <v>0</v>
      </c>
      <c r="DW43">
        <f>I44-Table2[[#This Row],[Popeyes Meter ]]</f>
        <v>0</v>
      </c>
      <c r="DX43">
        <f>AZ44-Table2[[#This Row],[2F WH Chiller, Segregation Area]]</f>
        <v>0</v>
      </c>
      <c r="DY43">
        <f>BA44-Table2[[#This Row],[3F1 AC Unit WH dock cooling - 2 Nos]]</f>
        <v>0</v>
      </c>
      <c r="DZ43">
        <f>BB44-Table2[[#This Row],[3F2 AC Unit WH dock cooling - 3 Nos]]</f>
        <v>0</v>
      </c>
      <c r="EA43">
        <f>(BK44-Table2[[#This Row],[5F WH Perishable]])*1000</f>
        <v>0</v>
      </c>
      <c r="EB43">
        <f>BN44-Table2[[#This Row],[2F3 - PDB 9 - WH Dock Leveler Door ]]</f>
        <v>0</v>
      </c>
      <c r="EC43">
        <f>BP44-Table2[[#This Row],[3F1 - PDB 5 - WH HSD]]</f>
        <v>0</v>
      </c>
      <c r="ED43">
        <f>BX44-Table2[[#This Row],[8F1 WH Dock AHU - Ventilation]]</f>
        <v>0</v>
      </c>
      <c r="EE43">
        <f>BZ44-Table2[[#This Row],[8F3 ACPDB - 4 WH Dock air curtain]]</f>
        <v>0</v>
      </c>
      <c r="EF43">
        <f>CA44-Table2[[#This Row],[8F4 WH Light]]</f>
        <v>0</v>
      </c>
      <c r="EG43">
        <f>CC44-Table2[[#This Row],[9F1 - PDB 10 - WH Dock door &amp; Office]]</f>
        <v>0</v>
      </c>
      <c r="EH43">
        <f>CD44-Table2[[#This Row],[9F2 - PDB 11 - WH flycatchers]]</f>
        <v>0</v>
      </c>
      <c r="EI43">
        <f>CE44-Table2[[#This Row],[9F3 - PDB 12 - Other items]]</f>
        <v>0</v>
      </c>
      <c r="EJ43">
        <f>CR44-Table2[[#This Row],[2F3 - PDB 1 - Dock 1 to 4 ]]</f>
        <v>0</v>
      </c>
      <c r="EK43">
        <f>BM44-Table2[[#This Row],[2F2 - PDB 3 - WH Truck &amp; Battery Charging]]</f>
        <v>0</v>
      </c>
      <c r="EL43">
        <f>(CK44-Table2[[#This Row],[PDB - 11 Truck Charging]])*1000</f>
        <v>0</v>
      </c>
      <c r="EM43">
        <f>P44-Table2[[#This Row],[5F3 Admin Area]]</f>
        <v>0</v>
      </c>
      <c r="EN43">
        <f>AH44-Table2[[#This Row],[2F5 Main Gate-1 Piller -1]]</f>
        <v>0</v>
      </c>
      <c r="EO43">
        <f>CW44-Table2[[#This Row],[6F2 Ground Floor AC]]</f>
        <v>0</v>
      </c>
      <c r="EP43">
        <f>CX44-Table2[[#This Row],[6F3 ACBD -1 (First floor AC)]]</f>
        <v>0</v>
      </c>
      <c r="EQ43">
        <f>CY44-Table2[[#This Row],[6F4 ACBD - 2 (Second &amp; Third floor AC)]]</f>
        <v>0</v>
      </c>
      <c r="ER43">
        <f>(BC44-Table2[[#This Row],[4F Old BMC cooling Unit]])</f>
        <v>0</v>
      </c>
      <c r="ES43">
        <f>BO44-Table2[[#This Row],[2F4 - Old BMC]]</f>
        <v>0</v>
      </c>
      <c r="ET43">
        <f>Y44-Table2[[#This Row],[14F2 New CK]]</f>
        <v>0</v>
      </c>
      <c r="EU43">
        <f>(CL44-Table2[[#This Row],[OLD Ck Panel-1]])*1000</f>
        <v>0</v>
      </c>
      <c r="EV43">
        <f>CM44-Table2[[#This Row],[2F4 Old CK Blast (Blue star)]]</f>
        <v>0</v>
      </c>
      <c r="EW43">
        <f>CN44-Table2[[#This Row],[3F6 Old CK Blast (Carrier)]]</f>
        <v>0</v>
      </c>
      <c r="EX43">
        <f>(CO44-Table2[[#This Row],[Old CK Panel -2]])*1000</f>
        <v>0</v>
      </c>
      <c r="EY43">
        <f>N44-Table2[[#This Row],[4F1 Main UPS 1/C -1]]</f>
        <v>0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0</v>
      </c>
      <c r="FC43">
        <f>BW44-Table2[[#This Row],[7F3 CLC Power Panel]]</f>
        <v>0</v>
      </c>
      <c r="FD43">
        <f>(CI44-Table2[[#This Row],[PDB - 17 CLC Section ]])*1000</f>
        <v>0</v>
      </c>
      <c r="FE43">
        <f>(W44-Table2[[#This Row],[13F3 Water &amp; Lift Old CK]])*1000</f>
        <v>0</v>
      </c>
      <c r="FF43">
        <f>AA44-Table2[[#This Row],[15F2 New ETP Panel]]</f>
        <v>0</v>
      </c>
      <c r="FG43">
        <f>AL44-Table2[[#This Row],[3F4 Old ETP Panel]]</f>
        <v>0</v>
      </c>
      <c r="FH43">
        <f>AF44-Table2[[#This Row],[2F1 RO Plant]]</f>
        <v>0</v>
      </c>
      <c r="FI43">
        <f>AK44-Table2[[#This Row],[3F3 Fire Hydrant Panel]]</f>
        <v>0</v>
      </c>
      <c r="FJ43">
        <f>R44-Table2[[#This Row],[7F1 Freon System Panel]]</f>
        <v>0</v>
      </c>
      <c r="FK43">
        <f>(AE44-Table2[[#This Row],[21F1 Refrigeration Ammonia]])*1000</f>
        <v>0</v>
      </c>
      <c r="FL43">
        <f>(AG44-Table2[[#This Row],[2F3 Air Compressor]])*1000</f>
        <v>0</v>
      </c>
      <c r="FM43">
        <f>(AX44-Table2[[#This Row],[Solar Reading Panel II]])*1000</f>
        <v>0</v>
      </c>
      <c r="FN43">
        <f>AI44-Table2[[#This Row],[3F1 Maintenance Workshop]]</f>
        <v>0</v>
      </c>
      <c r="FO43">
        <f>BD44-Table2[[#This Row],[4F B2B unit ]]</f>
        <v>0</v>
      </c>
      <c r="FP43">
        <f>BL44-Table2[[#This Row],[2F1 - PDB 6 - Bread, B2B section]]</f>
        <v>0</v>
      </c>
      <c r="FQ43">
        <f>(CG44-Table2[[#This Row],[9F5 - PDB 14 - Bread Lift]])</f>
        <v>0</v>
      </c>
      <c r="FR43">
        <f>CJ44-Table2[[#This Row],[PDB - 16 Bread Section]]</f>
        <v>0</v>
      </c>
      <c r="FS43">
        <f>BU44-Table2[[#This Row],[7F1 Donut Production area]]</f>
        <v>0</v>
      </c>
      <c r="FT43">
        <f>CB44-Table2[[#This Row],[8F5 Donut Ban Bary]]</f>
        <v>0</v>
      </c>
      <c r="FU43">
        <f>CF44-Table2[[#This Row],[9F4 - PDB 13 - Donut Sink Geyser area]]</f>
        <v>0</v>
      </c>
      <c r="FV43">
        <f>BV44-Table2[[#This Row],[7F2 Flour Silo]]</f>
        <v>0</v>
      </c>
      <c r="FW43">
        <f>BY44-Table2[[#This Row],[8F2 ACPDB - 3 SILO Ventilation]]</f>
        <v>0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>
        <f>Table2[[#This Row],[Date]]</f>
        <v>0</v>
      </c>
      <c r="DI44">
        <f>(DD45-Table2[[#This Row],[MWH Total]])*4000</f>
        <v>0</v>
      </c>
      <c r="DJ44">
        <f>(DA45-Table2[[#This Row],[PNG Meter (Outside)]])*2.936</f>
        <v>0</v>
      </c>
      <c r="DK44">
        <f>(DB45-Table2[[#This Row],[PNG Meter (Inside)]])*2.936</f>
        <v>0</v>
      </c>
      <c r="DL44">
        <f>(BH45-Table2[[#This Row],[3F Dough cooler - 2 ]])*1000</f>
        <v>0</v>
      </c>
      <c r="DM44">
        <f>(BI45-Table2[[#This Row],[3F Dough Cooler- 1]])*1000</f>
        <v>0</v>
      </c>
      <c r="DN44">
        <f>(BJ45-Table2[[#This Row],[4F Dough Production cooling Unit]])*1000</f>
        <v>0</v>
      </c>
      <c r="DO44">
        <f>(BQ45-Table2[[#This Row],[3F2 - PDB 3 - Dough Production Area]])*1000</f>
        <v>0</v>
      </c>
      <c r="DP44">
        <f>(BR45-Table2[[#This Row],[3F3 - PDB 4 - Dough Area]])*1000</f>
        <v>0</v>
      </c>
      <c r="DQ44">
        <f>AC45-Table2[[#This Row],[16F1 Tray washer Panel for Light]]</f>
        <v>0</v>
      </c>
      <c r="DR44">
        <f>CQ45-Table2[[#This Row],[2F1 Tray Washer - 1]]</f>
        <v>0</v>
      </c>
      <c r="DS44">
        <f>CS45-Table2[[#This Row],[2F5 Destacker]]</f>
        <v>0</v>
      </c>
      <c r="DT44">
        <f>CU45-Table2[[#This Row],[5F1 Metering (TW-2)]]</f>
        <v>0</v>
      </c>
      <c r="DU44">
        <f>CV45-Table2[[#This Row],[6F1 Pre soaker Tray washer]]</f>
        <v>0</v>
      </c>
      <c r="DV44">
        <f>CZ45-Table2[[#This Row],[6F5 Vent tray Storage]]</f>
        <v>0</v>
      </c>
      <c r="DW44">
        <f>I45-Table2[[#This Row],[Popeyes Meter ]]</f>
        <v>0</v>
      </c>
      <c r="DX44">
        <f>AZ45-Table2[[#This Row],[2F WH Chiller, Segregation Area]]</f>
        <v>0</v>
      </c>
      <c r="DY44">
        <f>BA45-Table2[[#This Row],[3F1 AC Unit WH dock cooling - 2 Nos]]</f>
        <v>0</v>
      </c>
      <c r="DZ44">
        <f>BB45-Table2[[#This Row],[3F2 AC Unit WH dock cooling - 3 Nos]]</f>
        <v>0</v>
      </c>
      <c r="EA44">
        <f>(BK45-Table2[[#This Row],[5F WH Perishable]])*1000</f>
        <v>0</v>
      </c>
      <c r="EB44">
        <f>BN45-Table2[[#This Row],[2F3 - PDB 9 - WH Dock Leveler Door ]]</f>
        <v>0</v>
      </c>
      <c r="EC44">
        <f>BP45-Table2[[#This Row],[3F1 - PDB 5 - WH HSD]]</f>
        <v>0</v>
      </c>
      <c r="ED44">
        <f>BX45-Table2[[#This Row],[8F1 WH Dock AHU - Ventilation]]</f>
        <v>0</v>
      </c>
      <c r="EE44">
        <f>BZ45-Table2[[#This Row],[8F3 ACPDB - 4 WH Dock air curtain]]</f>
        <v>0</v>
      </c>
      <c r="EF44">
        <f>CA45-Table2[[#This Row],[8F4 WH Light]]</f>
        <v>0</v>
      </c>
      <c r="EG44">
        <f>CC45-Table2[[#This Row],[9F1 - PDB 10 - WH Dock door &amp; Office]]</f>
        <v>0</v>
      </c>
      <c r="EH44">
        <f>CD45-Table2[[#This Row],[9F2 - PDB 11 - WH flycatchers]]</f>
        <v>0</v>
      </c>
      <c r="EI44">
        <f>CE45-Table2[[#This Row],[9F3 - PDB 12 - Other items]]</f>
        <v>0</v>
      </c>
      <c r="EJ44">
        <f>CR45-Table2[[#This Row],[2F3 - PDB 1 - Dock 1 to 4 ]]</f>
        <v>0</v>
      </c>
      <c r="EK44">
        <f>BM45-Table2[[#This Row],[2F2 - PDB 3 - WH Truck &amp; Battery Charging]]</f>
        <v>0</v>
      </c>
      <c r="EL44">
        <f>(CK45-Table2[[#This Row],[PDB - 11 Truck Charging]])*1000</f>
        <v>0</v>
      </c>
      <c r="EM44">
        <f>P45-Table2[[#This Row],[5F3 Admin Area]]</f>
        <v>0</v>
      </c>
      <c r="EN44">
        <f>AH45-Table2[[#This Row],[2F5 Main Gate-1 Piller -1]]</f>
        <v>0</v>
      </c>
      <c r="EO44">
        <f>CW45-Table2[[#This Row],[6F2 Ground Floor AC]]</f>
        <v>0</v>
      </c>
      <c r="EP44">
        <f>CX45-Table2[[#This Row],[6F3 ACBD -1 (First floor AC)]]</f>
        <v>0</v>
      </c>
      <c r="EQ44">
        <f>CY45-Table2[[#This Row],[6F4 ACBD - 2 (Second &amp; Third floor AC)]]</f>
        <v>0</v>
      </c>
      <c r="ER44">
        <f>(BC45-Table2[[#This Row],[4F Old BMC cooling Unit]])</f>
        <v>0</v>
      </c>
      <c r="ES44">
        <f>BO45-Table2[[#This Row],[2F4 - Old BMC]]</f>
        <v>0</v>
      </c>
      <c r="ET44">
        <f>Y45-Table2[[#This Row],[14F2 New CK]]</f>
        <v>0</v>
      </c>
      <c r="EU44">
        <f>(CL45-Table2[[#This Row],[OLD Ck Panel-1]])*1000</f>
        <v>0</v>
      </c>
      <c r="EV44">
        <f>CM45-Table2[[#This Row],[2F4 Old CK Blast (Blue star)]]</f>
        <v>0</v>
      </c>
      <c r="EW44">
        <f>CN45-Table2[[#This Row],[3F6 Old CK Blast (Carrier)]]</f>
        <v>0</v>
      </c>
      <c r="EX44">
        <f>(CO45-Table2[[#This Row],[Old CK Panel -2]])*1000</f>
        <v>0</v>
      </c>
      <c r="EY44">
        <f>N45-Table2[[#This Row],[4F1 Main UPS 1/C -1]]</f>
        <v>0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0</v>
      </c>
      <c r="FC44">
        <f>BW45-Table2[[#This Row],[7F3 CLC Power Panel]]</f>
        <v>0</v>
      </c>
      <c r="FD44">
        <f>(CI45-Table2[[#This Row],[PDB - 17 CLC Section ]])*1000</f>
        <v>0</v>
      </c>
      <c r="FE44">
        <f>(W45-Table2[[#This Row],[13F3 Water &amp; Lift Old CK]])*1000</f>
        <v>0</v>
      </c>
      <c r="FF44">
        <f>AA45-Table2[[#This Row],[15F2 New ETP Panel]]</f>
        <v>0</v>
      </c>
      <c r="FG44">
        <f>AL45-Table2[[#This Row],[3F4 Old ETP Panel]]</f>
        <v>0</v>
      </c>
      <c r="FH44">
        <f>AF45-Table2[[#This Row],[2F1 RO Plant]]</f>
        <v>0</v>
      </c>
      <c r="FI44">
        <f>AK45-Table2[[#This Row],[3F3 Fire Hydrant Panel]]</f>
        <v>0</v>
      </c>
      <c r="FJ44">
        <f>R45-Table2[[#This Row],[7F1 Freon System Panel]]</f>
        <v>0</v>
      </c>
      <c r="FK44">
        <f>(AE45-Table2[[#This Row],[21F1 Refrigeration Ammonia]])*1000</f>
        <v>0</v>
      </c>
      <c r="FL44">
        <f>(AG45-Table2[[#This Row],[2F3 Air Compressor]])*1000</f>
        <v>0</v>
      </c>
      <c r="FM44">
        <f>(AX45-Table2[[#This Row],[Solar Reading Panel II]])*1000</f>
        <v>0</v>
      </c>
      <c r="FN44">
        <f>AI45-Table2[[#This Row],[3F1 Maintenance Workshop]]</f>
        <v>0</v>
      </c>
      <c r="FO44">
        <f>BD45-Table2[[#This Row],[4F B2B unit ]]</f>
        <v>0</v>
      </c>
      <c r="FP44">
        <f>BL45-Table2[[#This Row],[2F1 - PDB 6 - Bread, B2B section]]</f>
        <v>0</v>
      </c>
      <c r="FQ44">
        <f>(CG45-Table2[[#This Row],[9F5 - PDB 14 - Bread Lift]])</f>
        <v>0</v>
      </c>
      <c r="FR44">
        <f>CJ45-Table2[[#This Row],[PDB - 16 Bread Section]]</f>
        <v>0</v>
      </c>
      <c r="FS44">
        <f>BU45-Table2[[#This Row],[7F1 Donut Production area]]</f>
        <v>0</v>
      </c>
      <c r="FT44">
        <f>CB45-Table2[[#This Row],[8F5 Donut Ban Bary]]</f>
        <v>0</v>
      </c>
      <c r="FU44">
        <f>CF45-Table2[[#This Row],[9F4 - PDB 13 - Donut Sink Geyser area]]</f>
        <v>0</v>
      </c>
      <c r="FV44">
        <f>BV45-Table2[[#This Row],[7F2 Flour Silo]]</f>
        <v>0</v>
      </c>
      <c r="FW44">
        <f>BY45-Table2[[#This Row],[8F2 ACPDB - 3 SILO Ventilation]]</f>
        <v>0</v>
      </c>
      <c r="FX44">
        <f>J45-Table2[[#This Row],[DG 1010KVA Running Hours]]</f>
        <v>0</v>
      </c>
      <c r="FY44">
        <f>K45-Table2[[#This Row],[DG 1010 KVA Meter Reading]]</f>
        <v>0</v>
      </c>
      <c r="FZ44">
        <f>L45-Table2[[#This Row],[GG 1010 KVA Running Hours]]</f>
        <v>0</v>
      </c>
      <c r="GA44">
        <f>M45-Table2[[#This Row],[GG 1010 KVA Meter Reading]]</f>
        <v>0</v>
      </c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>
        <f>Table2[[#This Row],[Date]]</f>
        <v>0</v>
      </c>
      <c r="DI45">
        <f>(DD46-Table2[[#This Row],[MWH Total]])*4000</f>
        <v>0</v>
      </c>
      <c r="DJ45">
        <f>(DA46-Table2[[#This Row],[PNG Meter (Outside)]])*2.936</f>
        <v>0</v>
      </c>
      <c r="DK45">
        <f>(DB46-Table2[[#This Row],[PNG Meter (Inside)]])*2.936</f>
        <v>0</v>
      </c>
      <c r="DL45">
        <f>(BH46-Table2[[#This Row],[3F Dough cooler - 2 ]])*1000</f>
        <v>0</v>
      </c>
      <c r="DM45">
        <f>(BI46-Table2[[#This Row],[3F Dough Cooler- 1]])*1000</f>
        <v>0</v>
      </c>
      <c r="DN45">
        <f>(BJ46-Table2[[#This Row],[4F Dough Production cooling Unit]])*1000</f>
        <v>0</v>
      </c>
      <c r="DO45">
        <f>(BQ46-Table2[[#This Row],[3F2 - PDB 3 - Dough Production Area]])*1000</f>
        <v>0</v>
      </c>
      <c r="DP45">
        <f>(BR46-Table2[[#This Row],[3F3 - PDB 4 - Dough Area]])*1000</f>
        <v>0</v>
      </c>
      <c r="DQ45">
        <f>AC46-Table2[[#This Row],[16F1 Tray washer Panel for Light]]</f>
        <v>0</v>
      </c>
      <c r="DR45">
        <f>CQ46-Table2[[#This Row],[2F1 Tray Washer - 1]]</f>
        <v>0</v>
      </c>
      <c r="DS45">
        <f>CS46-Table2[[#This Row],[2F5 Destacker]]</f>
        <v>0</v>
      </c>
      <c r="DT45">
        <f>CU46-Table2[[#This Row],[5F1 Metering (TW-2)]]</f>
        <v>0</v>
      </c>
      <c r="DU45">
        <f>CV46-Table2[[#This Row],[6F1 Pre soaker Tray washer]]</f>
        <v>0</v>
      </c>
      <c r="DV45">
        <f>CZ46-Table2[[#This Row],[6F5 Vent tray Storage]]</f>
        <v>0</v>
      </c>
      <c r="DW45">
        <f>I46-Table2[[#This Row],[Popeyes Meter ]]</f>
        <v>0</v>
      </c>
      <c r="DX45">
        <f>AZ46-Table2[[#This Row],[2F WH Chiller, Segregation Area]]</f>
        <v>0</v>
      </c>
      <c r="DY45">
        <f>BA46-Table2[[#This Row],[3F1 AC Unit WH dock cooling - 2 Nos]]</f>
        <v>0</v>
      </c>
      <c r="DZ45">
        <f>BB46-Table2[[#This Row],[3F2 AC Unit WH dock cooling - 3 Nos]]</f>
        <v>0</v>
      </c>
      <c r="EA45">
        <f>(BK46-Table2[[#This Row],[5F WH Perishable]])*1000</f>
        <v>0</v>
      </c>
      <c r="EB45">
        <f>BN46-Table2[[#This Row],[2F3 - PDB 9 - WH Dock Leveler Door ]]</f>
        <v>0</v>
      </c>
      <c r="EC45">
        <f>BP46-Table2[[#This Row],[3F1 - PDB 5 - WH HSD]]</f>
        <v>0</v>
      </c>
      <c r="ED45">
        <f>BX46-Table2[[#This Row],[8F1 WH Dock AHU - Ventilation]]</f>
        <v>0</v>
      </c>
      <c r="EE45">
        <f>BZ46-Table2[[#This Row],[8F3 ACPDB - 4 WH Dock air curtain]]</f>
        <v>0</v>
      </c>
      <c r="EF45">
        <f>CA46-Table2[[#This Row],[8F4 WH Light]]</f>
        <v>0</v>
      </c>
      <c r="EG45">
        <f>CC46-Table2[[#This Row],[9F1 - PDB 10 - WH Dock door &amp; Office]]</f>
        <v>0</v>
      </c>
      <c r="EH45">
        <f>CD46-Table2[[#This Row],[9F2 - PDB 11 - WH flycatchers]]</f>
        <v>0</v>
      </c>
      <c r="EI45">
        <f>CE46-Table2[[#This Row],[9F3 - PDB 12 - Other items]]</f>
        <v>0</v>
      </c>
      <c r="EJ45">
        <f>CR46-Table2[[#This Row],[2F3 - PDB 1 - Dock 1 to 4 ]]</f>
        <v>0</v>
      </c>
      <c r="EK45">
        <f>BM46-Table2[[#This Row],[2F2 - PDB 3 - WH Truck &amp; Battery Charging]]</f>
        <v>0</v>
      </c>
      <c r="EL45">
        <f>(CK46-Table2[[#This Row],[PDB - 11 Truck Charging]])*1000</f>
        <v>0</v>
      </c>
      <c r="EM45">
        <f>P46-Table2[[#This Row],[5F3 Admin Area]]</f>
        <v>0</v>
      </c>
      <c r="EN45">
        <f>AH46-Table2[[#This Row],[2F5 Main Gate-1 Piller -1]]</f>
        <v>0</v>
      </c>
      <c r="EO45">
        <f>CW46-Table2[[#This Row],[6F2 Ground Floor AC]]</f>
        <v>0</v>
      </c>
      <c r="EP45">
        <f>CX46-Table2[[#This Row],[6F3 ACBD -1 (First floor AC)]]</f>
        <v>0</v>
      </c>
      <c r="EQ45">
        <f>CY46-Table2[[#This Row],[6F4 ACBD - 2 (Second &amp; Third floor AC)]]</f>
        <v>0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0</v>
      </c>
      <c r="EU45">
        <f>(CL46-Table2[[#This Row],[OLD Ck Panel-1]])*1000</f>
        <v>0</v>
      </c>
      <c r="EV45">
        <f>CM46-Table2[[#This Row],[2F4 Old CK Blast (Blue star)]]</f>
        <v>0</v>
      </c>
      <c r="EW45">
        <f>CN46-Table2[[#This Row],[3F6 Old CK Blast (Carrier)]]</f>
        <v>0</v>
      </c>
      <c r="EX45">
        <f>(CO46-Table2[[#This Row],[Old CK Panel -2]])*1000</f>
        <v>0</v>
      </c>
      <c r="EY45">
        <f>N46-Table2[[#This Row],[4F1 Main UPS 1/C -1]]</f>
        <v>0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0</v>
      </c>
      <c r="FC45">
        <f>BW46-Table2[[#This Row],[7F3 CLC Power Panel]]</f>
        <v>0</v>
      </c>
      <c r="FD45">
        <f>(CI46-Table2[[#This Row],[PDB - 17 CLC Section ]])*1000</f>
        <v>0</v>
      </c>
      <c r="FE45">
        <f>(W46-Table2[[#This Row],[13F3 Water &amp; Lift Old CK]])*1000</f>
        <v>0</v>
      </c>
      <c r="FF45">
        <f>AA46-Table2[[#This Row],[15F2 New ETP Panel]]</f>
        <v>0</v>
      </c>
      <c r="FG45">
        <f>AL46-Table2[[#This Row],[3F4 Old ETP Panel]]</f>
        <v>0</v>
      </c>
      <c r="FH45">
        <f>AF46-Table2[[#This Row],[2F1 RO Plant]]</f>
        <v>0</v>
      </c>
      <c r="FI45">
        <f>AK46-Table2[[#This Row],[3F3 Fire Hydrant Panel]]</f>
        <v>0</v>
      </c>
      <c r="FJ45">
        <f>R46-Table2[[#This Row],[7F1 Freon System Panel]]</f>
        <v>0</v>
      </c>
      <c r="FK45">
        <f>(AE46-Table2[[#This Row],[21F1 Refrigeration Ammonia]])*1000</f>
        <v>0</v>
      </c>
      <c r="FL45">
        <f>(AG46-Table2[[#This Row],[2F3 Air Compressor]])*1000</f>
        <v>0</v>
      </c>
      <c r="FM45">
        <f>(AX46-Table2[[#This Row],[Solar Reading Panel II]])*1000</f>
        <v>0</v>
      </c>
      <c r="FN45">
        <f>AI46-Table2[[#This Row],[3F1 Maintenance Workshop]]</f>
        <v>0</v>
      </c>
      <c r="FO45">
        <f>BD46-Table2[[#This Row],[4F B2B unit ]]</f>
        <v>0</v>
      </c>
      <c r="FP45">
        <f>BL46-Table2[[#This Row],[2F1 - PDB 6 - Bread, B2B section]]</f>
        <v>0</v>
      </c>
      <c r="FQ45">
        <f>(CG46-Table2[[#This Row],[9F5 - PDB 14 - Bread Lift]])</f>
        <v>0</v>
      </c>
      <c r="FR45">
        <f>CJ46-Table2[[#This Row],[PDB - 16 Bread Section]]</f>
        <v>0</v>
      </c>
      <c r="FS45">
        <f>BU46-Table2[[#This Row],[7F1 Donut Production area]]</f>
        <v>0</v>
      </c>
      <c r="FT45">
        <f>CB46-Table2[[#This Row],[8F5 Donut Ban Bary]]</f>
        <v>0</v>
      </c>
      <c r="FU45">
        <f>CF46-Table2[[#This Row],[9F4 - PDB 13 - Donut Sink Geyser area]]</f>
        <v>0</v>
      </c>
      <c r="FV45">
        <f>BV46-Table2[[#This Row],[7F2 Flour Silo]]</f>
        <v>0</v>
      </c>
      <c r="FW45">
        <f>BY46-Table2[[#This Row],[8F2 ACPDB - 3 SILO Ventilation]]</f>
        <v>0</v>
      </c>
      <c r="FX45">
        <f>J46-Table2[[#This Row],[DG 1010KVA Running Hours]]</f>
        <v>0</v>
      </c>
      <c r="FY45">
        <f>K46-Table2[[#This Row],[DG 1010 KVA Meter Reading]]</f>
        <v>0</v>
      </c>
      <c r="FZ45">
        <f>L46-Table2[[#This Row],[GG 1010 KVA Running Hours]]</f>
        <v>0</v>
      </c>
      <c r="GA45">
        <f>M46-Table2[[#This Row],[GG 1010 KVA Meter Reading]]</f>
        <v>0</v>
      </c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>
        <f>Table2[[#This Row],[Date]]</f>
        <v>0</v>
      </c>
      <c r="DI46">
        <f>(DD47-Table2[[#This Row],[MWH Total]])*4000</f>
        <v>0</v>
      </c>
      <c r="DJ46">
        <f>(DA47-Table2[[#This Row],[PNG Meter (Outside)]])*2.936</f>
        <v>0</v>
      </c>
      <c r="DK46">
        <f>(DB47-Table2[[#This Row],[PNG Meter (Inside)]])*2.936</f>
        <v>0</v>
      </c>
      <c r="DL46">
        <f>(BH47-Table2[[#This Row],[3F Dough cooler - 2 ]])*1000</f>
        <v>0</v>
      </c>
      <c r="DM46">
        <f>(BI47-Table2[[#This Row],[3F Dough Cooler- 1]])*1000</f>
        <v>0</v>
      </c>
      <c r="DN46">
        <f>(BJ47-Table2[[#This Row],[4F Dough Production cooling Unit]])*1000</f>
        <v>0</v>
      </c>
      <c r="DO46">
        <f>(BQ47-Table2[[#This Row],[3F2 - PDB 3 - Dough Production Area]])*1000</f>
        <v>0</v>
      </c>
      <c r="DP46">
        <f>(BR47-Table2[[#This Row],[3F3 - PDB 4 - Dough Area]])*1000</f>
        <v>0</v>
      </c>
      <c r="DQ46">
        <f>AC47-Table2[[#This Row],[16F1 Tray washer Panel for Light]]</f>
        <v>0</v>
      </c>
      <c r="DR46">
        <f>CQ47-Table2[[#This Row],[2F1 Tray Washer - 1]]</f>
        <v>0</v>
      </c>
      <c r="DS46">
        <f>CS47-Table2[[#This Row],[2F5 Destacker]]</f>
        <v>0</v>
      </c>
      <c r="DT46">
        <f>CU47-Table2[[#This Row],[5F1 Metering (TW-2)]]</f>
        <v>0</v>
      </c>
      <c r="DU46">
        <f>CV47-Table2[[#This Row],[6F1 Pre soaker Tray washer]]</f>
        <v>0</v>
      </c>
      <c r="DV46">
        <f>CZ47-Table2[[#This Row],[6F5 Vent tray Storage]]</f>
        <v>0</v>
      </c>
      <c r="DW46">
        <f>I47-Table2[[#This Row],[Popeyes Meter ]]</f>
        <v>0</v>
      </c>
      <c r="DX46">
        <f>AZ47-Table2[[#This Row],[2F WH Chiller, Segregation Area]]</f>
        <v>0</v>
      </c>
      <c r="DY46">
        <f>BA47-Table2[[#This Row],[3F1 AC Unit WH dock cooling - 2 Nos]]</f>
        <v>0</v>
      </c>
      <c r="DZ46">
        <f>BB47-Table2[[#This Row],[3F2 AC Unit WH dock cooling - 3 Nos]]</f>
        <v>0</v>
      </c>
      <c r="EA46">
        <f>(BK47-Table2[[#This Row],[5F WH Perishable]])*1000</f>
        <v>0</v>
      </c>
      <c r="EB46">
        <f>BN47-Table2[[#This Row],[2F3 - PDB 9 - WH Dock Leveler Door ]]</f>
        <v>0</v>
      </c>
      <c r="EC46">
        <f>BP47-Table2[[#This Row],[3F1 - PDB 5 - WH HSD]]</f>
        <v>0</v>
      </c>
      <c r="ED46">
        <f>BX47-Table2[[#This Row],[8F1 WH Dock AHU - Ventilation]]</f>
        <v>0</v>
      </c>
      <c r="EE46">
        <f>BZ47-Table2[[#This Row],[8F3 ACPDB - 4 WH Dock air curtain]]</f>
        <v>0</v>
      </c>
      <c r="EF46">
        <f>CA47-Table2[[#This Row],[8F4 WH Light]]</f>
        <v>0</v>
      </c>
      <c r="EG46">
        <f>CC47-Table2[[#This Row],[9F1 - PDB 10 - WH Dock door &amp; Office]]</f>
        <v>0</v>
      </c>
      <c r="EH46">
        <f>CD47-Table2[[#This Row],[9F2 - PDB 11 - WH flycatchers]]</f>
        <v>0</v>
      </c>
      <c r="EI46">
        <f>CE47-Table2[[#This Row],[9F3 - PDB 12 - Other items]]</f>
        <v>0</v>
      </c>
      <c r="EJ46">
        <f>CR47-Table2[[#This Row],[2F3 - PDB 1 - Dock 1 to 4 ]]</f>
        <v>0</v>
      </c>
      <c r="EK46">
        <f>BM47-Table2[[#This Row],[2F2 - PDB 3 - WH Truck &amp; Battery Charging]]</f>
        <v>0</v>
      </c>
      <c r="EL46">
        <f>(CK47-Table2[[#This Row],[PDB - 11 Truck Charging]])*1000</f>
        <v>0</v>
      </c>
      <c r="EM46">
        <f>P47-Table2[[#This Row],[5F3 Admin Area]]</f>
        <v>0</v>
      </c>
      <c r="EN46">
        <f>AH47-Table2[[#This Row],[2F5 Main Gate-1 Piller -1]]</f>
        <v>0</v>
      </c>
      <c r="EO46">
        <f>CW47-Table2[[#This Row],[6F2 Ground Floor AC]]</f>
        <v>0</v>
      </c>
      <c r="EP46">
        <f>CX47-Table2[[#This Row],[6F3 ACBD -1 (First floor AC)]]</f>
        <v>0</v>
      </c>
      <c r="EQ46">
        <f>CY47-Table2[[#This Row],[6F4 ACBD - 2 (Second &amp; Third floor AC)]]</f>
        <v>0</v>
      </c>
      <c r="ER46">
        <f>(BC47-Table2[[#This Row],[4F Old BMC cooling Unit]])</f>
        <v>0</v>
      </c>
      <c r="ES46">
        <f>BO47-Table2[[#This Row],[2F4 - Old BMC]]</f>
        <v>0</v>
      </c>
      <c r="ET46">
        <f>Y47-Table2[[#This Row],[14F2 New CK]]</f>
        <v>0</v>
      </c>
      <c r="EU46">
        <f>(CL47-Table2[[#This Row],[OLD Ck Panel-1]])*1000</f>
        <v>0</v>
      </c>
      <c r="EV46">
        <f>CM47-Table2[[#This Row],[2F4 Old CK Blast (Blue star)]]</f>
        <v>0</v>
      </c>
      <c r="EW46">
        <f>CN47-Table2[[#This Row],[3F6 Old CK Blast (Carrier)]]</f>
        <v>0</v>
      </c>
      <c r="EX46">
        <f>(CO47-Table2[[#This Row],[Old CK Panel -2]])*1000</f>
        <v>0</v>
      </c>
      <c r="EY46">
        <f>N47-Table2[[#This Row],[4F1 Main UPS 1/C -1]]</f>
        <v>0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0</v>
      </c>
      <c r="FC46">
        <f>BW47-Table2[[#This Row],[7F3 CLC Power Panel]]</f>
        <v>0</v>
      </c>
      <c r="FD46">
        <f>(CI47-Table2[[#This Row],[PDB - 17 CLC Section ]])*1000</f>
        <v>0</v>
      </c>
      <c r="FE46">
        <f>(W47-Table2[[#This Row],[13F3 Water &amp; Lift Old CK]])*1000</f>
        <v>0</v>
      </c>
      <c r="FF46">
        <f>AA47-Table2[[#This Row],[15F2 New ETP Panel]]</f>
        <v>0</v>
      </c>
      <c r="FG46">
        <f>AL47-Table2[[#This Row],[3F4 Old ETP Panel]]</f>
        <v>0</v>
      </c>
      <c r="FH46">
        <f>AF47-Table2[[#This Row],[2F1 RO Plant]]</f>
        <v>0</v>
      </c>
      <c r="FI46">
        <f>AK47-Table2[[#This Row],[3F3 Fire Hydrant Panel]]</f>
        <v>0</v>
      </c>
      <c r="FJ46">
        <f>R47-Table2[[#This Row],[7F1 Freon System Panel]]</f>
        <v>0</v>
      </c>
      <c r="FK46">
        <f>(AE47-Table2[[#This Row],[21F1 Refrigeration Ammonia]])*1000</f>
        <v>0</v>
      </c>
      <c r="FL46">
        <f>(AG47-Table2[[#This Row],[2F3 Air Compressor]])*1000</f>
        <v>0</v>
      </c>
      <c r="FM46">
        <f>(AX47-Table2[[#This Row],[Solar Reading Panel II]])*1000</f>
        <v>0</v>
      </c>
      <c r="FN46">
        <f>AI47-Table2[[#This Row],[3F1 Maintenance Workshop]]</f>
        <v>0</v>
      </c>
      <c r="FO46">
        <f>BD47-Table2[[#This Row],[4F B2B unit ]]</f>
        <v>0</v>
      </c>
      <c r="FP46">
        <f>BL47-Table2[[#This Row],[2F1 - PDB 6 - Bread, B2B section]]</f>
        <v>0</v>
      </c>
      <c r="FQ46">
        <f>(CG47-Table2[[#This Row],[9F5 - PDB 14 - Bread Lift]])</f>
        <v>0</v>
      </c>
      <c r="FR46">
        <f>CJ47-Table2[[#This Row],[PDB - 16 Bread Section]]</f>
        <v>0</v>
      </c>
      <c r="FS46">
        <f>BU47-Table2[[#This Row],[7F1 Donut Production area]]</f>
        <v>0</v>
      </c>
      <c r="FT46">
        <f>CB47-Table2[[#This Row],[8F5 Donut Ban Bary]]</f>
        <v>0</v>
      </c>
      <c r="FU46">
        <f>CF47-Table2[[#This Row],[9F4 - PDB 13 - Donut Sink Geyser area]]</f>
        <v>0</v>
      </c>
      <c r="FV46">
        <f>BV47-Table2[[#This Row],[7F2 Flour Silo]]</f>
        <v>0</v>
      </c>
      <c r="FW46">
        <f>BY47-Table2[[#This Row],[8F2 ACPDB - 3 SILO Ventilation]]</f>
        <v>0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>
        <f>Table2[[#This Row],[Date]]</f>
        <v>0</v>
      </c>
      <c r="DI47">
        <f>(DD48-Table2[[#This Row],[MWH Total]])*4000</f>
        <v>0</v>
      </c>
      <c r="DJ47">
        <f>(DA48-Table2[[#This Row],[PNG Meter (Outside)]])*2.936</f>
        <v>0</v>
      </c>
      <c r="DK47">
        <f>(DB48-Table2[[#This Row],[PNG Meter (Inside)]])*2.936</f>
        <v>0</v>
      </c>
      <c r="DL47">
        <f>(BH48-Table2[[#This Row],[3F Dough cooler - 2 ]])*1000</f>
        <v>0</v>
      </c>
      <c r="DM47">
        <f>(BI48-Table2[[#This Row],[3F Dough Cooler- 1]])*1000</f>
        <v>0</v>
      </c>
      <c r="DN47">
        <f>(BJ48-Table2[[#This Row],[4F Dough Production cooling Unit]])*1000</f>
        <v>0</v>
      </c>
      <c r="DO47">
        <f>(BQ48-Table2[[#This Row],[3F2 - PDB 3 - Dough Production Area]])*1000</f>
        <v>0</v>
      </c>
      <c r="DP47">
        <f>(BR48-Table2[[#This Row],[3F3 - PDB 4 - Dough Area]])*1000</f>
        <v>0</v>
      </c>
      <c r="DQ47">
        <f>AC48-Table2[[#This Row],[16F1 Tray washer Panel for Light]]</f>
        <v>0</v>
      </c>
      <c r="DR47">
        <f>CQ48-Table2[[#This Row],[2F1 Tray Washer - 1]]</f>
        <v>0</v>
      </c>
      <c r="DS47">
        <f>CS48-Table2[[#This Row],[2F5 Destacker]]</f>
        <v>0</v>
      </c>
      <c r="DT47">
        <f>CU48-Table2[[#This Row],[5F1 Metering (TW-2)]]</f>
        <v>0</v>
      </c>
      <c r="DU47">
        <f>CV48-Table2[[#This Row],[6F1 Pre soaker Tray washer]]</f>
        <v>0</v>
      </c>
      <c r="DV47">
        <f>CZ48-Table2[[#This Row],[6F5 Vent tray Storage]]</f>
        <v>0</v>
      </c>
      <c r="DW47">
        <f>I48-Table2[[#This Row],[Popeyes Meter ]]</f>
        <v>0</v>
      </c>
      <c r="DX47">
        <f>AZ48-Table2[[#This Row],[2F WH Chiller, Segregation Area]]</f>
        <v>0</v>
      </c>
      <c r="DY47">
        <f>BA48-Table2[[#This Row],[3F1 AC Unit WH dock cooling - 2 Nos]]</f>
        <v>0</v>
      </c>
      <c r="DZ47">
        <f>BB48-Table2[[#This Row],[3F2 AC Unit WH dock cooling - 3 Nos]]</f>
        <v>0</v>
      </c>
      <c r="EA47">
        <f>(BK48-Table2[[#This Row],[5F WH Perishable]])*1000</f>
        <v>0</v>
      </c>
      <c r="EB47">
        <f>BN48-Table2[[#This Row],[2F3 - PDB 9 - WH Dock Leveler Door ]]</f>
        <v>0</v>
      </c>
      <c r="EC47">
        <f>BP48-Table2[[#This Row],[3F1 - PDB 5 - WH HSD]]</f>
        <v>0</v>
      </c>
      <c r="ED47">
        <f>BX48-Table2[[#This Row],[8F1 WH Dock AHU - Ventilation]]</f>
        <v>0</v>
      </c>
      <c r="EE47">
        <f>BZ48-Table2[[#This Row],[8F3 ACPDB - 4 WH Dock air curtain]]</f>
        <v>0</v>
      </c>
      <c r="EF47">
        <f>CA48-Table2[[#This Row],[8F4 WH Light]]</f>
        <v>0</v>
      </c>
      <c r="EG47">
        <f>CC48-Table2[[#This Row],[9F1 - PDB 10 - WH Dock door &amp; Office]]</f>
        <v>0</v>
      </c>
      <c r="EH47">
        <f>CD48-Table2[[#This Row],[9F2 - PDB 11 - WH flycatchers]]</f>
        <v>0</v>
      </c>
      <c r="EI47">
        <f>CE48-Table2[[#This Row],[9F3 - PDB 12 - Other items]]</f>
        <v>0</v>
      </c>
      <c r="EJ47">
        <f>CR48-Table2[[#This Row],[2F3 - PDB 1 - Dock 1 to 4 ]]</f>
        <v>0</v>
      </c>
      <c r="EK47">
        <f>BM48-Table2[[#This Row],[2F2 - PDB 3 - WH Truck &amp; Battery Charging]]</f>
        <v>0</v>
      </c>
      <c r="EL47">
        <f>(CK48-Table2[[#This Row],[PDB - 11 Truck Charging]])*1000</f>
        <v>0</v>
      </c>
      <c r="EM47">
        <f>P48-Table2[[#This Row],[5F3 Admin Area]]</f>
        <v>0</v>
      </c>
      <c r="EN47">
        <f>AH48-Table2[[#This Row],[2F5 Main Gate-1 Piller -1]]</f>
        <v>0</v>
      </c>
      <c r="EO47">
        <f>CW48-Table2[[#This Row],[6F2 Ground Floor AC]]</f>
        <v>0</v>
      </c>
      <c r="EP47">
        <f>CX48-Table2[[#This Row],[6F3 ACBD -1 (First floor AC)]]</f>
        <v>0</v>
      </c>
      <c r="EQ47">
        <f>CY48-Table2[[#This Row],[6F4 ACBD - 2 (Second &amp; Third floor AC)]]</f>
        <v>0</v>
      </c>
      <c r="ER47">
        <f>(BC48-Table2[[#This Row],[4F Old BMC cooling Unit]])</f>
        <v>0</v>
      </c>
      <c r="ES47">
        <f>BO48-Table2[[#This Row],[2F4 - Old BMC]]</f>
        <v>0</v>
      </c>
      <c r="ET47">
        <f>Y48-Table2[[#This Row],[14F2 New CK]]</f>
        <v>0</v>
      </c>
      <c r="EU47">
        <f>(CL48-Table2[[#This Row],[OLD Ck Panel-1]])*1000</f>
        <v>0</v>
      </c>
      <c r="EV47">
        <f>CM48-Table2[[#This Row],[2F4 Old CK Blast (Blue star)]]</f>
        <v>0</v>
      </c>
      <c r="EW47">
        <f>CN48-Table2[[#This Row],[3F6 Old CK Blast (Carrier)]]</f>
        <v>0</v>
      </c>
      <c r="EX47">
        <f>(CO48-Table2[[#This Row],[Old CK Panel -2]])*1000</f>
        <v>0</v>
      </c>
      <c r="EY47">
        <f>N48-Table2[[#This Row],[4F1 Main UPS 1/C -1]]</f>
        <v>0</v>
      </c>
      <c r="EZ47">
        <f>Z48-Table2[[#This Row],[15F1 Main UPS Panel - I/C - 2]]</f>
        <v>0</v>
      </c>
      <c r="FA47">
        <f>BF48-Table2[[#This Row],[2F CLC -1 AC unit - 2]]</f>
        <v>0</v>
      </c>
      <c r="FB47">
        <f>(BG48-Table2[[#This Row],[2F CLC Anti room]])*1000</f>
        <v>0</v>
      </c>
      <c r="FC47">
        <f>BW48-Table2[[#This Row],[7F3 CLC Power Panel]]</f>
        <v>0</v>
      </c>
      <c r="FD47">
        <f>(CI48-Table2[[#This Row],[PDB - 17 CLC Section ]])*1000</f>
        <v>0</v>
      </c>
      <c r="FE47">
        <f>(W48-Table2[[#This Row],[13F3 Water &amp; Lift Old CK]])*1000</f>
        <v>0</v>
      </c>
      <c r="FF47">
        <f>AA48-Table2[[#This Row],[15F2 New ETP Panel]]</f>
        <v>0</v>
      </c>
      <c r="FG47">
        <f>AL48-Table2[[#This Row],[3F4 Old ETP Panel]]</f>
        <v>0</v>
      </c>
      <c r="FH47">
        <f>AF48-Table2[[#This Row],[2F1 RO Plant]]</f>
        <v>0</v>
      </c>
      <c r="FI47">
        <f>AK48-Table2[[#This Row],[3F3 Fire Hydrant Panel]]</f>
        <v>0</v>
      </c>
      <c r="FJ47">
        <f>R48-Table2[[#This Row],[7F1 Freon System Panel]]</f>
        <v>0</v>
      </c>
      <c r="FK47">
        <f>(AE48-Table2[[#This Row],[21F1 Refrigeration Ammonia]])*1000</f>
        <v>0</v>
      </c>
      <c r="FL47">
        <f>(AG48-Table2[[#This Row],[2F3 Air Compressor]])*1000</f>
        <v>0</v>
      </c>
      <c r="FM47">
        <f>(AX48-Table2[[#This Row],[Solar Reading Panel II]])*1000</f>
        <v>0</v>
      </c>
      <c r="FN47">
        <f>AI48-Table2[[#This Row],[3F1 Maintenance Workshop]]</f>
        <v>0</v>
      </c>
      <c r="FO47">
        <f>BD48-Table2[[#This Row],[4F B2B unit ]]</f>
        <v>0</v>
      </c>
      <c r="FP47">
        <f>BL48-Table2[[#This Row],[2F1 - PDB 6 - Bread, B2B section]]</f>
        <v>0</v>
      </c>
      <c r="FQ47">
        <f>(CG48-Table2[[#This Row],[9F5 - PDB 14 - Bread Lift]])</f>
        <v>0</v>
      </c>
      <c r="FR47">
        <f>CJ48-Table2[[#This Row],[PDB - 16 Bread Section]]</f>
        <v>0</v>
      </c>
      <c r="FS47">
        <f>BU48-Table2[[#This Row],[7F1 Donut Production area]]</f>
        <v>0</v>
      </c>
      <c r="FT47">
        <f>CB48-Table2[[#This Row],[8F5 Donut Ban Bary]]</f>
        <v>0</v>
      </c>
      <c r="FU47">
        <f>CF48-Table2[[#This Row],[9F4 - PDB 13 - Donut Sink Geyser area]]</f>
        <v>0</v>
      </c>
      <c r="FV47">
        <f>BV48-Table2[[#This Row],[7F2 Flour Silo]]</f>
        <v>0</v>
      </c>
      <c r="FW47">
        <f>BY48-Table2[[#This Row],[8F2 ACPDB - 3 SILO Ventilation]]</f>
        <v>0</v>
      </c>
      <c r="FX47">
        <f>J48-Table2[[#This Row],[DG 1010KVA Running Hours]]</f>
        <v>0</v>
      </c>
      <c r="FY47">
        <f>K48-Table2[[#This Row],[DG 1010 KVA Meter Reading]]</f>
        <v>0</v>
      </c>
      <c r="FZ47">
        <f>L48-Table2[[#This Row],[GG 1010 KVA Running Hours]]</f>
        <v>0</v>
      </c>
      <c r="GA47">
        <f>M48-Table2[[#This Row],[GG 1010 KVA Meter Reading]]</f>
        <v>0</v>
      </c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>
        <f>Table2[[#This Row],[Date]]</f>
        <v>0</v>
      </c>
      <c r="DI48">
        <f>(DD49-Table2[[#This Row],[MWH Total]])*4000</f>
        <v>0</v>
      </c>
      <c r="DJ48">
        <f>(DA49-Table2[[#This Row],[PNG Meter (Outside)]])*2.936</f>
        <v>0</v>
      </c>
      <c r="DK48">
        <f>(DB49-Table2[[#This Row],[PNG Meter (Inside)]])*2.936</f>
        <v>0</v>
      </c>
      <c r="DL48">
        <f>(BH49-Table2[[#This Row],[3F Dough cooler - 2 ]])*1000</f>
        <v>0</v>
      </c>
      <c r="DM48">
        <f>(BI49-Table2[[#This Row],[3F Dough Cooler- 1]])*1000</f>
        <v>0</v>
      </c>
      <c r="DN48">
        <f>(BJ49-Table2[[#This Row],[4F Dough Production cooling Unit]])*1000</f>
        <v>0</v>
      </c>
      <c r="DO48">
        <f>(BQ49-Table2[[#This Row],[3F2 - PDB 3 - Dough Production Area]])*1000</f>
        <v>0</v>
      </c>
      <c r="DP48">
        <f>(BR49-Table2[[#This Row],[3F3 - PDB 4 - Dough Area]])*1000</f>
        <v>0</v>
      </c>
      <c r="DQ48">
        <f>AC49-Table2[[#This Row],[16F1 Tray washer Panel for Light]]</f>
        <v>0</v>
      </c>
      <c r="DR48">
        <f>CQ49-Table2[[#This Row],[2F1 Tray Washer - 1]]</f>
        <v>0</v>
      </c>
      <c r="DS48">
        <f>CS49-Table2[[#This Row],[2F5 Destacker]]</f>
        <v>0</v>
      </c>
      <c r="DT48">
        <f>CU49-Table2[[#This Row],[5F1 Metering (TW-2)]]</f>
        <v>0</v>
      </c>
      <c r="DU48">
        <f>CV49-Table2[[#This Row],[6F1 Pre soaker Tray washer]]</f>
        <v>0</v>
      </c>
      <c r="DV48">
        <f>CZ49-Table2[[#This Row],[6F5 Vent tray Storage]]</f>
        <v>0</v>
      </c>
      <c r="DW48">
        <f>I49-Table2[[#This Row],[Popeyes Meter ]]</f>
        <v>0</v>
      </c>
      <c r="DX48">
        <f>AZ49-Table2[[#This Row],[2F WH Chiller, Segregation Area]]</f>
        <v>0</v>
      </c>
      <c r="DY48">
        <f>BA49-Table2[[#This Row],[3F1 AC Unit WH dock cooling - 2 Nos]]</f>
        <v>0</v>
      </c>
      <c r="DZ48">
        <f>BB49-Table2[[#This Row],[3F2 AC Unit WH dock cooling - 3 Nos]]</f>
        <v>0</v>
      </c>
      <c r="EA48">
        <f>(BK49-Table2[[#This Row],[5F WH Perishable]])*1000</f>
        <v>0</v>
      </c>
      <c r="EB48">
        <f>BN49-Table2[[#This Row],[2F3 - PDB 9 - WH Dock Leveler Door ]]</f>
        <v>0</v>
      </c>
      <c r="EC48">
        <f>BP49-Table2[[#This Row],[3F1 - PDB 5 - WH HSD]]</f>
        <v>0</v>
      </c>
      <c r="ED48">
        <f>BX49-Table2[[#This Row],[8F1 WH Dock AHU - Ventilation]]</f>
        <v>0</v>
      </c>
      <c r="EE48">
        <f>BZ49-Table2[[#This Row],[8F3 ACPDB - 4 WH Dock air curtain]]</f>
        <v>0</v>
      </c>
      <c r="EF48">
        <f>CA49-Table2[[#This Row],[8F4 WH Light]]</f>
        <v>0</v>
      </c>
      <c r="EG48">
        <f>CC49-Table2[[#This Row],[9F1 - PDB 10 - WH Dock door &amp; Office]]</f>
        <v>0</v>
      </c>
      <c r="EH48">
        <f>CD49-Table2[[#This Row],[9F2 - PDB 11 - WH flycatchers]]</f>
        <v>0</v>
      </c>
      <c r="EI48">
        <f>CE49-Table2[[#This Row],[9F3 - PDB 12 - Other items]]</f>
        <v>0</v>
      </c>
      <c r="EJ48">
        <f>CR49-Table2[[#This Row],[2F3 - PDB 1 - Dock 1 to 4 ]]</f>
        <v>0</v>
      </c>
      <c r="EK48">
        <f>BM49-Table2[[#This Row],[2F2 - PDB 3 - WH Truck &amp; Battery Charging]]</f>
        <v>0</v>
      </c>
      <c r="EL48">
        <f>(CK49-Table2[[#This Row],[PDB - 11 Truck Charging]])*1000</f>
        <v>0</v>
      </c>
      <c r="EM48">
        <f>P49-Table2[[#This Row],[5F3 Admin Area]]</f>
        <v>0</v>
      </c>
      <c r="EN48">
        <f>AH49-Table2[[#This Row],[2F5 Main Gate-1 Piller -1]]</f>
        <v>0</v>
      </c>
      <c r="EO48">
        <f>CW49-Table2[[#This Row],[6F2 Ground Floor AC]]</f>
        <v>0</v>
      </c>
      <c r="EP48">
        <f>CX49-Table2[[#This Row],[6F3 ACBD -1 (First floor AC)]]</f>
        <v>0</v>
      </c>
      <c r="EQ48">
        <f>CY49-Table2[[#This Row],[6F4 ACBD - 2 (Second &amp; Third floor AC)]]</f>
        <v>0</v>
      </c>
      <c r="ER48">
        <f>(BC49-Table2[[#This Row],[4F Old BMC cooling Unit]])</f>
        <v>0</v>
      </c>
      <c r="ES48">
        <f>BO49-Table2[[#This Row],[2F4 - Old BMC]]</f>
        <v>0</v>
      </c>
      <c r="ET48">
        <f>Y49-Table2[[#This Row],[14F2 New CK]]</f>
        <v>0</v>
      </c>
      <c r="EU48">
        <f>(CL49-Table2[[#This Row],[OLD Ck Panel-1]])*1000</f>
        <v>0</v>
      </c>
      <c r="EV48">
        <f>CM49-Table2[[#This Row],[2F4 Old CK Blast (Blue star)]]</f>
        <v>0</v>
      </c>
      <c r="EW48">
        <f>CN49-Table2[[#This Row],[3F6 Old CK Blast (Carrier)]]</f>
        <v>0</v>
      </c>
      <c r="EX48">
        <f>(CO49-Table2[[#This Row],[Old CK Panel -2]])*1000</f>
        <v>0</v>
      </c>
      <c r="EY48">
        <f>N49-Table2[[#This Row],[4F1 Main UPS 1/C -1]]</f>
        <v>0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0</v>
      </c>
      <c r="FC48">
        <f>BW49-Table2[[#This Row],[7F3 CLC Power Panel]]</f>
        <v>0</v>
      </c>
      <c r="FD48">
        <f>(CI49-Table2[[#This Row],[PDB - 17 CLC Section ]])*1000</f>
        <v>0</v>
      </c>
      <c r="FE48">
        <f>(W49-Table2[[#This Row],[13F3 Water &amp; Lift Old CK]])*1000</f>
        <v>0</v>
      </c>
      <c r="FF48">
        <f>AA49-Table2[[#This Row],[15F2 New ETP Panel]]</f>
        <v>0</v>
      </c>
      <c r="FG48">
        <f>AL49-Table2[[#This Row],[3F4 Old ETP Panel]]</f>
        <v>0</v>
      </c>
      <c r="FH48">
        <f>AF49-Table2[[#This Row],[2F1 RO Plant]]</f>
        <v>0</v>
      </c>
      <c r="FI48">
        <f>AK49-Table2[[#This Row],[3F3 Fire Hydrant Panel]]</f>
        <v>0</v>
      </c>
      <c r="FJ48">
        <f>R49-Table2[[#This Row],[7F1 Freon System Panel]]</f>
        <v>0</v>
      </c>
      <c r="FK48">
        <f>(AE49-Table2[[#This Row],[21F1 Refrigeration Ammonia]])*1000</f>
        <v>0</v>
      </c>
      <c r="FL48">
        <f>(AG49-Table2[[#This Row],[2F3 Air Compressor]])*1000</f>
        <v>0</v>
      </c>
      <c r="FM48">
        <f>(AX49-Table2[[#This Row],[Solar Reading Panel II]])*1000</f>
        <v>0</v>
      </c>
      <c r="FN48">
        <f>AI49-Table2[[#This Row],[3F1 Maintenance Workshop]]</f>
        <v>0</v>
      </c>
      <c r="FO48">
        <f>BD49-Table2[[#This Row],[4F B2B unit ]]</f>
        <v>0</v>
      </c>
      <c r="FP48">
        <f>BL49-Table2[[#This Row],[2F1 - PDB 6 - Bread, B2B section]]</f>
        <v>0</v>
      </c>
      <c r="FQ48">
        <f>(CG49-Table2[[#This Row],[9F5 - PDB 14 - Bread Lift]])</f>
        <v>0</v>
      </c>
      <c r="FR48">
        <f>CJ49-Table2[[#This Row],[PDB - 16 Bread Section]]</f>
        <v>0</v>
      </c>
      <c r="FS48">
        <f>BU49-Table2[[#This Row],[7F1 Donut Production area]]</f>
        <v>0</v>
      </c>
      <c r="FT48">
        <f>CB49-Table2[[#This Row],[8F5 Donut Ban Bary]]</f>
        <v>0</v>
      </c>
      <c r="FU48">
        <f>CF49-Table2[[#This Row],[9F4 - PDB 13 - Donut Sink Geyser area]]</f>
        <v>0</v>
      </c>
      <c r="FV48">
        <f>BV49-Table2[[#This Row],[7F2 Flour Silo]]</f>
        <v>0</v>
      </c>
      <c r="FW48">
        <f>BY49-Table2[[#This Row],[8F2 ACPDB - 3 SILO Ventilation]]</f>
        <v>0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>
        <f>Table2[[#This Row],[Date]]</f>
        <v>0</v>
      </c>
      <c r="DI49">
        <f>(DD50-Table2[[#This Row],[MWH Total]])*4000</f>
        <v>0</v>
      </c>
      <c r="DJ49">
        <f>(DA50-Table2[[#This Row],[PNG Meter (Outside)]])*2.936</f>
        <v>0</v>
      </c>
      <c r="DK49">
        <f>(DB50-Table2[[#This Row],[PNG Meter (Inside)]])*2.936</f>
        <v>0</v>
      </c>
      <c r="DL49">
        <f>(BH50-Table2[[#This Row],[3F Dough cooler - 2 ]])*1000</f>
        <v>0</v>
      </c>
      <c r="DM49">
        <f>(BI50-Table2[[#This Row],[3F Dough Cooler- 1]])*1000</f>
        <v>0</v>
      </c>
      <c r="DN49">
        <f>(BJ50-Table2[[#This Row],[4F Dough Production cooling Unit]])*1000</f>
        <v>0</v>
      </c>
      <c r="DO49">
        <f>(BQ50-Table2[[#This Row],[3F2 - PDB 3 - Dough Production Area]])*1000</f>
        <v>0</v>
      </c>
      <c r="DP49">
        <f>(BR50-Table2[[#This Row],[3F3 - PDB 4 - Dough Area]])*1000</f>
        <v>0</v>
      </c>
      <c r="DQ49">
        <f>AC50-Table2[[#This Row],[16F1 Tray washer Panel for Light]]</f>
        <v>0</v>
      </c>
      <c r="DR49">
        <f>CQ50-Table2[[#This Row],[2F1 Tray Washer - 1]]</f>
        <v>0</v>
      </c>
      <c r="DS49">
        <f>CS50-Table2[[#This Row],[2F5 Destacker]]</f>
        <v>0</v>
      </c>
      <c r="DT49">
        <f>CU50-Table2[[#This Row],[5F1 Metering (TW-2)]]</f>
        <v>0</v>
      </c>
      <c r="DU49">
        <f>CV50-Table2[[#This Row],[6F1 Pre soaker Tray washer]]</f>
        <v>0</v>
      </c>
      <c r="DV49">
        <f>CZ50-Table2[[#This Row],[6F5 Vent tray Storage]]</f>
        <v>0</v>
      </c>
      <c r="DW49">
        <f>I50-Table2[[#This Row],[Popeyes Meter ]]</f>
        <v>0</v>
      </c>
      <c r="DX49">
        <f>AZ50-Table2[[#This Row],[2F WH Chiller, Segregation Area]]</f>
        <v>0</v>
      </c>
      <c r="DY49">
        <f>BA50-Table2[[#This Row],[3F1 AC Unit WH dock cooling - 2 Nos]]</f>
        <v>0</v>
      </c>
      <c r="DZ49">
        <f>BB50-Table2[[#This Row],[3F2 AC Unit WH dock cooling - 3 Nos]]</f>
        <v>0</v>
      </c>
      <c r="EA49">
        <f>(BK50-Table2[[#This Row],[5F WH Perishable]])*1000</f>
        <v>0</v>
      </c>
      <c r="EB49">
        <f>BN50-Table2[[#This Row],[2F3 - PDB 9 - WH Dock Leveler Door ]]</f>
        <v>0</v>
      </c>
      <c r="EC49">
        <f>BP50-Table2[[#This Row],[3F1 - PDB 5 - WH HSD]]</f>
        <v>0</v>
      </c>
      <c r="ED49">
        <f>BX50-Table2[[#This Row],[8F1 WH Dock AHU - Ventilation]]</f>
        <v>0</v>
      </c>
      <c r="EE49">
        <f>BZ50-Table2[[#This Row],[8F3 ACPDB - 4 WH Dock air curtain]]</f>
        <v>0</v>
      </c>
      <c r="EF49">
        <f>CA50-Table2[[#This Row],[8F4 WH Light]]</f>
        <v>0</v>
      </c>
      <c r="EG49">
        <f>CC50-Table2[[#This Row],[9F1 - PDB 10 - WH Dock door &amp; Office]]</f>
        <v>0</v>
      </c>
      <c r="EH49">
        <f>CD50-Table2[[#This Row],[9F2 - PDB 11 - WH flycatchers]]</f>
        <v>0</v>
      </c>
      <c r="EI49">
        <f>CE50-Table2[[#This Row],[9F3 - PDB 12 - Other items]]</f>
        <v>0</v>
      </c>
      <c r="EJ49">
        <f>CR50-Table2[[#This Row],[2F3 - PDB 1 - Dock 1 to 4 ]]</f>
        <v>0</v>
      </c>
      <c r="EK49">
        <f>BM50-Table2[[#This Row],[2F2 - PDB 3 - WH Truck &amp; Battery Charging]]</f>
        <v>0</v>
      </c>
      <c r="EL49">
        <f>(CK50-Table2[[#This Row],[PDB - 11 Truck Charging]])*1000</f>
        <v>0</v>
      </c>
      <c r="EM49">
        <f>P50-Table2[[#This Row],[5F3 Admin Area]]</f>
        <v>0</v>
      </c>
      <c r="EN49">
        <f>AH50-Table2[[#This Row],[2F5 Main Gate-1 Piller -1]]</f>
        <v>0</v>
      </c>
      <c r="EO49">
        <f>CW50-Table2[[#This Row],[6F2 Ground Floor AC]]</f>
        <v>0</v>
      </c>
      <c r="EP49">
        <f>CX50-Table2[[#This Row],[6F3 ACBD -1 (First floor AC)]]</f>
        <v>0</v>
      </c>
      <c r="EQ49">
        <f>CY50-Table2[[#This Row],[6F4 ACBD - 2 (Second &amp; Third floor AC)]]</f>
        <v>0</v>
      </c>
      <c r="ER49">
        <f>(BC50-Table2[[#This Row],[4F Old BMC cooling Unit]])</f>
        <v>0</v>
      </c>
      <c r="ES49">
        <f>BO50-Table2[[#This Row],[2F4 - Old BMC]]</f>
        <v>0</v>
      </c>
      <c r="ET49">
        <f>Y50-Table2[[#This Row],[14F2 New CK]]</f>
        <v>0</v>
      </c>
      <c r="EU49">
        <f>(CL50-Table2[[#This Row],[OLD Ck Panel-1]])*1000</f>
        <v>0</v>
      </c>
      <c r="EV49">
        <f>CM50-Table2[[#This Row],[2F4 Old CK Blast (Blue star)]]</f>
        <v>0</v>
      </c>
      <c r="EW49">
        <f>CN50-Table2[[#This Row],[3F6 Old CK Blast (Carrier)]]</f>
        <v>0</v>
      </c>
      <c r="EX49">
        <f>(CO50-Table2[[#This Row],[Old CK Panel -2]])*1000</f>
        <v>0</v>
      </c>
      <c r="EY49">
        <f>N50-Table2[[#This Row],[4F1 Main UPS 1/C -1]]</f>
        <v>0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0</v>
      </c>
      <c r="FC49">
        <f>BW50-Table2[[#This Row],[7F3 CLC Power Panel]]</f>
        <v>0</v>
      </c>
      <c r="FD49">
        <f>(CI50-Table2[[#This Row],[PDB - 17 CLC Section ]])*1000</f>
        <v>0</v>
      </c>
      <c r="FE49">
        <f>(W50-Table2[[#This Row],[13F3 Water &amp; Lift Old CK]])*1000</f>
        <v>0</v>
      </c>
      <c r="FF49">
        <f>AA50-Table2[[#This Row],[15F2 New ETP Panel]]</f>
        <v>0</v>
      </c>
      <c r="FG49">
        <f>AL50-Table2[[#This Row],[3F4 Old ETP Panel]]</f>
        <v>0</v>
      </c>
      <c r="FH49">
        <f>AF50-Table2[[#This Row],[2F1 RO Plant]]</f>
        <v>0</v>
      </c>
      <c r="FI49">
        <f>AK50-Table2[[#This Row],[3F3 Fire Hydrant Panel]]</f>
        <v>0</v>
      </c>
      <c r="FJ49">
        <f>R50-Table2[[#This Row],[7F1 Freon System Panel]]</f>
        <v>0</v>
      </c>
      <c r="FK49">
        <f>(AE50-Table2[[#This Row],[21F1 Refrigeration Ammonia]])*1000</f>
        <v>0</v>
      </c>
      <c r="FL49">
        <f>(AG50-Table2[[#This Row],[2F3 Air Compressor]])*1000</f>
        <v>0</v>
      </c>
      <c r="FM49">
        <f>(AX50-Table2[[#This Row],[Solar Reading Panel II]])*1000</f>
        <v>0</v>
      </c>
      <c r="FN49">
        <f>AI50-Table2[[#This Row],[3F1 Maintenance Workshop]]</f>
        <v>0</v>
      </c>
      <c r="FO49">
        <f>BD50-Table2[[#This Row],[4F B2B unit ]]</f>
        <v>0</v>
      </c>
      <c r="FP49">
        <f>BL50-Table2[[#This Row],[2F1 - PDB 6 - Bread, B2B section]]</f>
        <v>0</v>
      </c>
      <c r="FQ49">
        <f>(CG50-Table2[[#This Row],[9F5 - PDB 14 - Bread Lift]])</f>
        <v>0</v>
      </c>
      <c r="FR49">
        <f>CJ50-Table2[[#This Row],[PDB - 16 Bread Section]]</f>
        <v>0</v>
      </c>
      <c r="FS49">
        <f>BU50-Table2[[#This Row],[7F1 Donut Production area]]</f>
        <v>0</v>
      </c>
      <c r="FT49">
        <f>CB50-Table2[[#This Row],[8F5 Donut Ban Bary]]</f>
        <v>0</v>
      </c>
      <c r="FU49">
        <f>CF50-Table2[[#This Row],[9F4 - PDB 13 - Donut Sink Geyser area]]</f>
        <v>0</v>
      </c>
      <c r="FV49">
        <f>BV50-Table2[[#This Row],[7F2 Flour Silo]]</f>
        <v>0</v>
      </c>
      <c r="FW49">
        <f>BY50-Table2[[#This Row],[8F2 ACPDB - 3 SILO Ventilation]]</f>
        <v>0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>
        <f>Table2[[#This Row],[Date]]</f>
        <v>0</v>
      </c>
      <c r="DI50">
        <f>(DD51-Table2[[#This Row],[MWH Total]])*4000</f>
        <v>0</v>
      </c>
      <c r="DJ50">
        <f>(DA51-Table2[[#This Row],[PNG Meter (Outside)]])*2.936</f>
        <v>0</v>
      </c>
      <c r="DK50">
        <f>(DB51-Table2[[#This Row],[PNG Meter (Inside)]])*2.936</f>
        <v>0</v>
      </c>
      <c r="DL50">
        <f>(BH51-Table2[[#This Row],[3F Dough cooler - 2 ]])*1000</f>
        <v>0</v>
      </c>
      <c r="DM50">
        <f>(BI51-Table2[[#This Row],[3F Dough Cooler- 1]])*1000</f>
        <v>0</v>
      </c>
      <c r="DN50">
        <f>(BJ51-Table2[[#This Row],[4F Dough Production cooling Unit]])*1000</f>
        <v>0</v>
      </c>
      <c r="DO50">
        <f>(BQ51-Table2[[#This Row],[3F2 - PDB 3 - Dough Production Area]])*1000</f>
        <v>0</v>
      </c>
      <c r="DP50">
        <f>(BR51-Table2[[#This Row],[3F3 - PDB 4 - Dough Area]])*1000</f>
        <v>0</v>
      </c>
      <c r="DQ50">
        <f>AC51-Table2[[#This Row],[16F1 Tray washer Panel for Light]]</f>
        <v>0</v>
      </c>
      <c r="DR50">
        <f>CQ51-Table2[[#This Row],[2F1 Tray Washer - 1]]</f>
        <v>0</v>
      </c>
      <c r="DS50">
        <f>CS51-Table2[[#This Row],[2F5 Destacker]]</f>
        <v>0</v>
      </c>
      <c r="DT50">
        <f>CU51-Table2[[#This Row],[5F1 Metering (TW-2)]]</f>
        <v>0</v>
      </c>
      <c r="DU50">
        <f>CV51-Table2[[#This Row],[6F1 Pre soaker Tray washer]]</f>
        <v>0</v>
      </c>
      <c r="DV50">
        <f>CZ51-Table2[[#This Row],[6F5 Vent tray Storage]]</f>
        <v>0</v>
      </c>
      <c r="DW50">
        <f>I51-Table2[[#This Row],[Popeyes Meter ]]</f>
        <v>0</v>
      </c>
      <c r="DX50">
        <f>AZ51-Table2[[#This Row],[2F WH Chiller, Segregation Area]]</f>
        <v>0</v>
      </c>
      <c r="DY50">
        <f>BA51-Table2[[#This Row],[3F1 AC Unit WH dock cooling - 2 Nos]]</f>
        <v>0</v>
      </c>
      <c r="DZ50">
        <f>BB51-Table2[[#This Row],[3F2 AC Unit WH dock cooling - 3 Nos]]</f>
        <v>0</v>
      </c>
      <c r="EA50">
        <f>(BK51-Table2[[#This Row],[5F WH Perishable]])*1000</f>
        <v>0</v>
      </c>
      <c r="EB50">
        <f>BN51-Table2[[#This Row],[2F3 - PDB 9 - WH Dock Leveler Door ]]</f>
        <v>0</v>
      </c>
      <c r="EC50">
        <f>BP51-Table2[[#This Row],[3F1 - PDB 5 - WH HSD]]</f>
        <v>0</v>
      </c>
      <c r="ED50">
        <f>BX51-Table2[[#This Row],[8F1 WH Dock AHU - Ventilation]]</f>
        <v>0</v>
      </c>
      <c r="EE50">
        <f>BZ51-Table2[[#This Row],[8F3 ACPDB - 4 WH Dock air curtain]]</f>
        <v>0</v>
      </c>
      <c r="EF50">
        <f>CA51-Table2[[#This Row],[8F4 WH Light]]</f>
        <v>0</v>
      </c>
      <c r="EG50">
        <f>CC51-Table2[[#This Row],[9F1 - PDB 10 - WH Dock door &amp; Office]]</f>
        <v>0</v>
      </c>
      <c r="EH50">
        <f>CD51-Table2[[#This Row],[9F2 - PDB 11 - WH flycatchers]]</f>
        <v>0</v>
      </c>
      <c r="EI50">
        <f>CE51-Table2[[#This Row],[9F3 - PDB 12 - Other items]]</f>
        <v>0</v>
      </c>
      <c r="EJ50">
        <f>CR51-Table2[[#This Row],[2F3 - PDB 1 - Dock 1 to 4 ]]</f>
        <v>0</v>
      </c>
      <c r="EK50">
        <f>BM51-Table2[[#This Row],[2F2 - PDB 3 - WH Truck &amp; Battery Charging]]</f>
        <v>0</v>
      </c>
      <c r="EL50">
        <f>(CK51-Table2[[#This Row],[PDB - 11 Truck Charging]])*1000</f>
        <v>0</v>
      </c>
      <c r="EM50">
        <f>P51-Table2[[#This Row],[5F3 Admin Area]]</f>
        <v>0</v>
      </c>
      <c r="EN50">
        <f>AH51-Table2[[#This Row],[2F5 Main Gate-1 Piller -1]]</f>
        <v>0</v>
      </c>
      <c r="EO50">
        <f>CW51-Table2[[#This Row],[6F2 Ground Floor AC]]</f>
        <v>0</v>
      </c>
      <c r="EP50">
        <f>CX51-Table2[[#This Row],[6F3 ACBD -1 (First floor AC)]]</f>
        <v>0</v>
      </c>
      <c r="EQ50">
        <f>CY51-Table2[[#This Row],[6F4 ACBD - 2 (Second &amp; Third floor AC)]]</f>
        <v>0</v>
      </c>
      <c r="ER50">
        <f>(BC51-Table2[[#This Row],[4F Old BMC cooling Unit]])</f>
        <v>0</v>
      </c>
      <c r="ES50">
        <f>BO51-Table2[[#This Row],[2F4 - Old BMC]]</f>
        <v>0</v>
      </c>
      <c r="ET50">
        <f>Y51-Table2[[#This Row],[14F2 New CK]]</f>
        <v>0</v>
      </c>
      <c r="EU50">
        <f>(CL51-Table2[[#This Row],[OLD Ck Panel-1]])*1000</f>
        <v>0</v>
      </c>
      <c r="EV50">
        <f>CM51-Table2[[#This Row],[2F4 Old CK Blast (Blue star)]]</f>
        <v>0</v>
      </c>
      <c r="EW50">
        <f>CN51-Table2[[#This Row],[3F6 Old CK Blast (Carrier)]]</f>
        <v>0</v>
      </c>
      <c r="EX50">
        <f>(CO51-Table2[[#This Row],[Old CK Panel -2]])*1000</f>
        <v>0</v>
      </c>
      <c r="EY50">
        <f>N51-Table2[[#This Row],[4F1 Main UPS 1/C -1]]</f>
        <v>0</v>
      </c>
      <c r="EZ50">
        <f>Z51-Table2[[#This Row],[15F1 Main UPS Panel - I/C - 2]]</f>
        <v>0</v>
      </c>
      <c r="FA50">
        <f>BF51-Table2[[#This Row],[2F CLC -1 AC unit - 2]]</f>
        <v>0</v>
      </c>
      <c r="FB50">
        <f>(BG51-Table2[[#This Row],[2F CLC Anti room]])*1000</f>
        <v>0</v>
      </c>
      <c r="FC50">
        <f>BW51-Table2[[#This Row],[7F3 CLC Power Panel]]</f>
        <v>0</v>
      </c>
      <c r="FD50">
        <f>(CI51-Table2[[#This Row],[PDB - 17 CLC Section ]])*1000</f>
        <v>0</v>
      </c>
      <c r="FE50">
        <f>(W51-Table2[[#This Row],[13F3 Water &amp; Lift Old CK]])*1000</f>
        <v>0</v>
      </c>
      <c r="FF50">
        <f>AA51-Table2[[#This Row],[15F2 New ETP Panel]]</f>
        <v>0</v>
      </c>
      <c r="FG50">
        <f>AL51-Table2[[#This Row],[3F4 Old ETP Panel]]</f>
        <v>0</v>
      </c>
      <c r="FH50">
        <f>AF51-Table2[[#This Row],[2F1 RO Plant]]</f>
        <v>0</v>
      </c>
      <c r="FI50">
        <f>AK51-Table2[[#This Row],[3F3 Fire Hydrant Panel]]</f>
        <v>0</v>
      </c>
      <c r="FJ50">
        <f>R51-Table2[[#This Row],[7F1 Freon System Panel]]</f>
        <v>0</v>
      </c>
      <c r="FK50">
        <f>(AE51-Table2[[#This Row],[21F1 Refrigeration Ammonia]])*1000</f>
        <v>0</v>
      </c>
      <c r="FL50">
        <f>(AG51-Table2[[#This Row],[2F3 Air Compressor]])*1000</f>
        <v>0</v>
      </c>
      <c r="FM50">
        <f>(AX51-Table2[[#This Row],[Solar Reading Panel II]])*1000</f>
        <v>0</v>
      </c>
      <c r="FN50">
        <f>AI51-Table2[[#This Row],[3F1 Maintenance Workshop]]</f>
        <v>0</v>
      </c>
      <c r="FO50">
        <f>BD51-Table2[[#This Row],[4F B2B unit ]]</f>
        <v>0</v>
      </c>
      <c r="FP50">
        <f>BL51-Table2[[#This Row],[2F1 - PDB 6 - Bread, B2B section]]</f>
        <v>0</v>
      </c>
      <c r="FQ50">
        <f>(CG51-Table2[[#This Row],[9F5 - PDB 14 - Bread Lift]])</f>
        <v>0</v>
      </c>
      <c r="FR50">
        <f>CJ51-Table2[[#This Row],[PDB - 16 Bread Section]]</f>
        <v>0</v>
      </c>
      <c r="FS50">
        <f>BU51-Table2[[#This Row],[7F1 Donut Production area]]</f>
        <v>0</v>
      </c>
      <c r="FT50">
        <f>CB51-Table2[[#This Row],[8F5 Donut Ban Bary]]</f>
        <v>0</v>
      </c>
      <c r="FU50">
        <f>CF51-Table2[[#This Row],[9F4 - PDB 13 - Donut Sink Geyser area]]</f>
        <v>0</v>
      </c>
      <c r="FV50">
        <f>BV51-Table2[[#This Row],[7F2 Flour Silo]]</f>
        <v>0</v>
      </c>
      <c r="FW50">
        <f>BY51-Table2[[#This Row],[8F2 ACPDB - 3 SILO Ventilation]]</f>
        <v>0</v>
      </c>
      <c r="FX50">
        <f>J51-Table2[[#This Row],[DG 1010KVA Running Hours]]</f>
        <v>0</v>
      </c>
      <c r="FY50">
        <f>K51-Table2[[#This Row],[DG 1010 KVA Meter Reading]]</f>
        <v>0</v>
      </c>
      <c r="FZ50">
        <f>L51-Table2[[#This Row],[GG 1010 KVA Running Hours]]</f>
        <v>0</v>
      </c>
      <c r="GA50">
        <f>M51-Table2[[#This Row],[GG 1010 KVA Meter Reading]]</f>
        <v>0</v>
      </c>
    </row>
    <row r="51" spans="1:183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4">
        <f>Table2[[#This Row],[Date]]</f>
        <v>0</v>
      </c>
      <c r="DI51">
        <f>(DD52-Table2[[#This Row],[MWH Total]])*4000</f>
        <v>0</v>
      </c>
      <c r="DJ51">
        <f>(DA52-Table2[[#This Row],[PNG Meter (Outside)]])*2.936</f>
        <v>0</v>
      </c>
      <c r="DK51">
        <f>(DB52-Table2[[#This Row],[PNG Meter (Inside)]])*2.936</f>
        <v>0</v>
      </c>
      <c r="DL51">
        <f>(BH52-Table2[[#This Row],[3F Dough cooler - 2 ]])*1000</f>
        <v>0</v>
      </c>
      <c r="DM51">
        <f>(BI52-Table2[[#This Row],[3F Dough Cooler- 1]])*1000</f>
        <v>0</v>
      </c>
      <c r="DN51">
        <f>(BJ52-Table2[[#This Row],[4F Dough Production cooling Unit]])*1000</f>
        <v>0</v>
      </c>
      <c r="DO51">
        <f>(BQ52-Table2[[#This Row],[3F2 - PDB 3 - Dough Production Area]])*1000</f>
        <v>0</v>
      </c>
      <c r="DP51">
        <f>(BR52-Table2[[#This Row],[3F3 - PDB 4 - Dough Area]])*1000</f>
        <v>0</v>
      </c>
      <c r="DQ51">
        <f>AC52-Table2[[#This Row],[16F1 Tray washer Panel for Light]]</f>
        <v>0</v>
      </c>
      <c r="DR51">
        <f>CQ52-Table2[[#This Row],[2F1 Tray Washer - 1]]</f>
        <v>0</v>
      </c>
      <c r="DS51">
        <f>CS52-Table2[[#This Row],[2F5 Destacker]]</f>
        <v>0</v>
      </c>
      <c r="DT51">
        <f>CU52-Table2[[#This Row],[5F1 Metering (TW-2)]]</f>
        <v>0</v>
      </c>
      <c r="DU51">
        <f>CV52-Table2[[#This Row],[6F1 Pre soaker Tray washer]]</f>
        <v>0</v>
      </c>
      <c r="DV51">
        <f>CZ52-Table2[[#This Row],[6F5 Vent tray Storage]]</f>
        <v>0</v>
      </c>
      <c r="DW51">
        <f>I52-Table2[[#This Row],[Popeyes Meter ]]</f>
        <v>0</v>
      </c>
      <c r="DX51">
        <f>AZ52-Table2[[#This Row],[2F WH Chiller, Segregation Area]]</f>
        <v>0</v>
      </c>
      <c r="DY51">
        <f>BA52-Table2[[#This Row],[3F1 AC Unit WH dock cooling - 2 Nos]]</f>
        <v>0</v>
      </c>
      <c r="DZ51">
        <f>BB52-Table2[[#This Row],[3F2 AC Unit WH dock cooling - 3 Nos]]</f>
        <v>0</v>
      </c>
      <c r="EA51">
        <f>(BK52-Table2[[#This Row],[5F WH Perishable]])*1000</f>
        <v>0</v>
      </c>
      <c r="EB51">
        <f>BN52-Table2[[#This Row],[2F3 - PDB 9 - WH Dock Leveler Door ]]</f>
        <v>0</v>
      </c>
      <c r="EC51">
        <f>BP52-Table2[[#This Row],[3F1 - PDB 5 - WH HSD]]</f>
        <v>0</v>
      </c>
      <c r="ED51">
        <f>BX52-Table2[[#This Row],[8F1 WH Dock AHU - Ventilation]]</f>
        <v>0</v>
      </c>
      <c r="EE51">
        <f>BZ52-Table2[[#This Row],[8F3 ACPDB - 4 WH Dock air curtain]]</f>
        <v>0</v>
      </c>
      <c r="EF51">
        <f>CA52-Table2[[#This Row],[8F4 WH Light]]</f>
        <v>0</v>
      </c>
      <c r="EG51">
        <f>CC52-Table2[[#This Row],[9F1 - PDB 10 - WH Dock door &amp; Office]]</f>
        <v>0</v>
      </c>
      <c r="EH51">
        <f>CD52-Table2[[#This Row],[9F2 - PDB 11 - WH flycatchers]]</f>
        <v>0</v>
      </c>
      <c r="EI51">
        <f>CE52-Table2[[#This Row],[9F3 - PDB 12 - Other items]]</f>
        <v>0</v>
      </c>
      <c r="EJ51">
        <f>CR52-Table2[[#This Row],[2F3 - PDB 1 - Dock 1 to 4 ]]</f>
        <v>0</v>
      </c>
      <c r="EK51">
        <f>BM52-Table2[[#This Row],[2F2 - PDB 3 - WH Truck &amp; Battery Charging]]</f>
        <v>0</v>
      </c>
      <c r="EL51">
        <f>(CK52-Table2[[#This Row],[PDB - 11 Truck Charging]])*1000</f>
        <v>0</v>
      </c>
      <c r="EM51">
        <f>P52-Table2[[#This Row],[5F3 Admin Area]]</f>
        <v>0</v>
      </c>
      <c r="EN51">
        <f>AH52-Table2[[#This Row],[2F5 Main Gate-1 Piller -1]]</f>
        <v>0</v>
      </c>
      <c r="EO51">
        <f>CW52-Table2[[#This Row],[6F2 Ground Floor AC]]</f>
        <v>0</v>
      </c>
      <c r="EP51">
        <f>CX52-Table2[[#This Row],[6F3 ACBD -1 (First floor AC)]]</f>
        <v>0</v>
      </c>
      <c r="EQ51">
        <f>CY52-Table2[[#This Row],[6F4 ACBD - 2 (Second &amp; Third floor AC)]]</f>
        <v>0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0</v>
      </c>
      <c r="EU51">
        <f>(CL52-Table2[[#This Row],[OLD Ck Panel-1]])*1000</f>
        <v>0</v>
      </c>
      <c r="EV51">
        <f>CM52-Table2[[#This Row],[2F4 Old CK Blast (Blue star)]]</f>
        <v>0</v>
      </c>
      <c r="EW51">
        <f>CN52-Table2[[#This Row],[3F6 Old CK Blast (Carrier)]]</f>
        <v>0</v>
      </c>
      <c r="EX51">
        <f>(CO52-Table2[[#This Row],[Old CK Panel -2]])*1000</f>
        <v>0</v>
      </c>
      <c r="EY51">
        <f>N52-Table2[[#This Row],[4F1 Main UPS 1/C -1]]</f>
        <v>0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0</v>
      </c>
      <c r="FC51">
        <f>BW52-Table2[[#This Row],[7F3 CLC Power Panel]]</f>
        <v>0</v>
      </c>
      <c r="FD51">
        <f>(CI52-Table2[[#This Row],[PDB - 17 CLC Section ]])*1000</f>
        <v>0</v>
      </c>
      <c r="FE51">
        <f>(W52-Table2[[#This Row],[13F3 Water &amp; Lift Old CK]])*1000</f>
        <v>0</v>
      </c>
      <c r="FF51">
        <f>AA52-Table2[[#This Row],[15F2 New ETP Panel]]</f>
        <v>0</v>
      </c>
      <c r="FG51">
        <f>AL52-Table2[[#This Row],[3F4 Old ETP Panel]]</f>
        <v>0</v>
      </c>
      <c r="FH51">
        <f>AF52-Table2[[#This Row],[2F1 RO Plant]]</f>
        <v>0</v>
      </c>
      <c r="FI51">
        <f>AK52-Table2[[#This Row],[3F3 Fire Hydrant Panel]]</f>
        <v>0</v>
      </c>
      <c r="FJ51">
        <f>R52-Table2[[#This Row],[7F1 Freon System Panel]]</f>
        <v>0</v>
      </c>
      <c r="FK51">
        <f>(AE52-Table2[[#This Row],[21F1 Refrigeration Ammonia]])*1000</f>
        <v>0</v>
      </c>
      <c r="FL51">
        <f>(AG52-Table2[[#This Row],[2F3 Air Compressor]])*1000</f>
        <v>0</v>
      </c>
      <c r="FM51">
        <f>(AX52-Table2[[#This Row],[Solar Reading Panel II]])*1000</f>
        <v>0</v>
      </c>
      <c r="FN51">
        <f>AI52-Table2[[#This Row],[3F1 Maintenance Workshop]]</f>
        <v>0</v>
      </c>
      <c r="FO51">
        <f>BD52-Table2[[#This Row],[4F B2B unit ]]</f>
        <v>0</v>
      </c>
      <c r="FP51">
        <f>BL52-Table2[[#This Row],[2F1 - PDB 6 - Bread, B2B section]]</f>
        <v>0</v>
      </c>
      <c r="FQ51">
        <f>(CG52-Table2[[#This Row],[9F5 - PDB 14 - Bread Lift]])</f>
        <v>0</v>
      </c>
      <c r="FR51">
        <f>CJ52-Table2[[#This Row],[PDB - 16 Bread Section]]</f>
        <v>0</v>
      </c>
      <c r="FS51">
        <f>BU52-Table2[[#This Row],[7F1 Donut Production area]]</f>
        <v>0</v>
      </c>
      <c r="FT51">
        <f>CB52-Table2[[#This Row],[8F5 Donut Ban Bary]]</f>
        <v>0</v>
      </c>
      <c r="FU51">
        <f>CF52-Table2[[#This Row],[9F4 - PDB 13 - Donut Sink Geyser area]]</f>
        <v>0</v>
      </c>
      <c r="FV51">
        <f>BV52-Table2[[#This Row],[7F2 Flour Silo]]</f>
        <v>0</v>
      </c>
      <c r="FW51">
        <f>BY52-Table2[[#This Row],[8F2 ACPDB - 3 SILO Ventilation]]</f>
        <v>0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DH52" s="4" t="e">
        <f>Table2[[#This Row],[Date]]</f>
        <v>#VALUE!</v>
      </c>
      <c r="DI52" t="e">
        <f>(DD53-Table2[[#This Row],[MWH Total]])*4000</f>
        <v>#VALUE!</v>
      </c>
      <c r="DJ52" t="e">
        <f>(DA53-Table2[[#This Row],[PNG Meter (Outside)]])*2.936</f>
        <v>#VALUE!</v>
      </c>
      <c r="DK52" t="e">
        <f>(DB53-Table2[[#This Row],[PNG Meter (Inside)]])*2.936</f>
        <v>#VALUE!</v>
      </c>
      <c r="DL52" t="e">
        <f>(BH53-Table2[[#This Row],[3F Dough cooler - 2 ]])*1000</f>
        <v>#VALUE!</v>
      </c>
      <c r="DM52" t="e">
        <f>(BI53-Table2[[#This Row],[3F Dough Cooler- 1]])*1000</f>
        <v>#VALUE!</v>
      </c>
      <c r="DN52" t="e">
        <f>(BJ53-Table2[[#This Row],[4F Dough Production cooling Unit]])*1000</f>
        <v>#VALUE!</v>
      </c>
      <c r="DO52" t="e">
        <f>(BQ53-Table2[[#This Row],[3F2 - PDB 3 - Dough Production Area]])*1000</f>
        <v>#VALUE!</v>
      </c>
      <c r="DP52" t="e">
        <f>(BR53-Table2[[#This Row],[3F3 - PDB 4 - Dough Area]])*1000</f>
        <v>#VALUE!</v>
      </c>
      <c r="DQ52" t="e">
        <f>AC53-Table2[[#This Row],[16F1 Tray washer Panel for Light]]</f>
        <v>#VALUE!</v>
      </c>
      <c r="DR52" t="e">
        <f>CQ53-Table2[[#This Row],[2F1 Tray Washer - 1]]</f>
        <v>#VALUE!</v>
      </c>
      <c r="DS52" t="e">
        <f>CS53-Table2[[#This Row],[2F5 Destacker]]</f>
        <v>#VALUE!</v>
      </c>
      <c r="DT52" t="e">
        <f>CU53-Table2[[#This Row],[5F1 Metering (TW-2)]]</f>
        <v>#VALUE!</v>
      </c>
      <c r="DU52" t="e">
        <f>CV53-Table2[[#This Row],[6F1 Pre soaker Tray washer]]</f>
        <v>#VALUE!</v>
      </c>
      <c r="DV52" t="e">
        <f>CZ53-Table2[[#This Row],[6F5 Vent tray Storage]]</f>
        <v>#VALUE!</v>
      </c>
      <c r="DW52" t="e">
        <f>I53-Table2[[#This Row],[Popeyes Meter ]]</f>
        <v>#VALUE!</v>
      </c>
      <c r="DX52" t="e">
        <f>AZ53-Table2[[#This Row],[2F WH Chiller, Segregation Area]]</f>
        <v>#VALUE!</v>
      </c>
      <c r="DY52" t="e">
        <f>BA53-Table2[[#This Row],[3F1 AC Unit WH dock cooling - 2 Nos]]</f>
        <v>#VALUE!</v>
      </c>
      <c r="DZ52" t="e">
        <f>BB53-Table2[[#This Row],[3F2 AC Unit WH dock cooling - 3 Nos]]</f>
        <v>#VALUE!</v>
      </c>
      <c r="EA52" t="e">
        <f>(BK53-Table2[[#This Row],[5F WH Perishable]])*1000</f>
        <v>#VALUE!</v>
      </c>
      <c r="EB52" t="e">
        <f>BN53-Table2[[#This Row],[2F3 - PDB 9 - WH Dock Leveler Door ]]</f>
        <v>#VALUE!</v>
      </c>
      <c r="EC52" t="e">
        <f>BP53-Table2[[#This Row],[3F1 - PDB 5 - WH HSD]]</f>
        <v>#VALUE!</v>
      </c>
      <c r="ED52" t="e">
        <f>BX53-Table2[[#This Row],[8F1 WH Dock AHU - Ventilation]]</f>
        <v>#VALUE!</v>
      </c>
      <c r="EE52" t="e">
        <f>BZ53-Table2[[#This Row],[8F3 ACPDB - 4 WH Dock air curtain]]</f>
        <v>#VALUE!</v>
      </c>
      <c r="EF52" t="e">
        <f>CA53-Table2[[#This Row],[8F4 WH Light]]</f>
        <v>#VALUE!</v>
      </c>
      <c r="EG52" t="e">
        <f>CC53-Table2[[#This Row],[9F1 - PDB 10 - WH Dock door &amp; Office]]</f>
        <v>#VALUE!</v>
      </c>
      <c r="EH52" t="e">
        <f>CD53-Table2[[#This Row],[9F2 - PDB 11 - WH flycatchers]]</f>
        <v>#VALUE!</v>
      </c>
      <c r="EI52" t="e">
        <f>CE53-Table2[[#This Row],[9F3 - PDB 12 - Other items]]</f>
        <v>#VALUE!</v>
      </c>
      <c r="EJ52" t="e">
        <f>CR53-Table2[[#This Row],[2F3 - PDB 1 - Dock 1 to 4 ]]</f>
        <v>#VALUE!</v>
      </c>
      <c r="EK52" t="e">
        <f>BM53-Table2[[#This Row],[2F2 - PDB 3 - WH Truck &amp; Battery Charging]]</f>
        <v>#VALUE!</v>
      </c>
      <c r="EL52" t="e">
        <f>(CK53-Table2[[#This Row],[PDB - 11 Truck Charging]])*1000</f>
        <v>#VALUE!</v>
      </c>
      <c r="EM52" t="e">
        <f>P53-Table2[[#This Row],[5F3 Admin Area]]</f>
        <v>#VALUE!</v>
      </c>
      <c r="EN52" t="e">
        <f>AH53-Table2[[#This Row],[2F5 Main Gate-1 Piller -1]]</f>
        <v>#VALUE!</v>
      </c>
      <c r="EO52" t="e">
        <f>CW53-Table2[[#This Row],[6F2 Ground Floor AC]]</f>
        <v>#VALUE!</v>
      </c>
      <c r="EP52" t="e">
        <f>CX53-Table2[[#This Row],[6F3 ACBD -1 (First floor AC)]]</f>
        <v>#VALUE!</v>
      </c>
      <c r="EQ52" t="e">
        <f>CY53-Table2[[#This Row],[6F4 ACBD - 2 (Second &amp; Third floor AC)]]</f>
        <v>#VALUE!</v>
      </c>
      <c r="ER52" t="e">
        <f>(BC53-Table2[[#This Row],[4F Old BMC cooling Unit]])</f>
        <v>#VALUE!</v>
      </c>
      <c r="ES52" t="e">
        <f>BO53-Table2[[#This Row],[2F4 - Old BMC]]</f>
        <v>#VALUE!</v>
      </c>
      <c r="ET52" t="e">
        <f>Y53-Table2[[#This Row],[14F2 New CK]]</f>
        <v>#VALUE!</v>
      </c>
      <c r="EU52" t="e">
        <f>(CL53-Table2[[#This Row],[OLD Ck Panel-1]])*1000</f>
        <v>#VALUE!</v>
      </c>
      <c r="EV52" t="e">
        <f>CM53-Table2[[#This Row],[2F4 Old CK Blast (Blue star)]]</f>
        <v>#VALUE!</v>
      </c>
      <c r="EW52" t="e">
        <f>CN53-Table2[[#This Row],[3F6 Old CK Blast (Carrier)]]</f>
        <v>#VALUE!</v>
      </c>
      <c r="EX52" t="e">
        <f>(CO53-Table2[[#This Row],[Old CK Panel -2]])*1000</f>
        <v>#VALUE!</v>
      </c>
      <c r="EY52" t="e">
        <f>N53-Table2[[#This Row],[4F1 Main UPS 1/C -1]]</f>
        <v>#VALUE!</v>
      </c>
      <c r="EZ52" t="e">
        <f>Z53-Table2[[#This Row],[15F1 Main UPS Panel - I/C - 2]]</f>
        <v>#VALUE!</v>
      </c>
      <c r="FA52" t="e">
        <f>BF53-Table2[[#This Row],[2F CLC -1 AC unit - 2]]</f>
        <v>#VALUE!</v>
      </c>
      <c r="FB52" t="e">
        <f>(BG53-Table2[[#This Row],[2F CLC Anti room]])*1000</f>
        <v>#VALUE!</v>
      </c>
      <c r="FC52" t="e">
        <f>BW53-Table2[[#This Row],[7F3 CLC Power Panel]]</f>
        <v>#VALUE!</v>
      </c>
      <c r="FD52" t="e">
        <f>(CI53-Table2[[#This Row],[PDB - 17 CLC Section ]])*1000</f>
        <v>#VALUE!</v>
      </c>
      <c r="FE52" t="e">
        <f>(W53-Table2[[#This Row],[13F3 Water &amp; Lift Old CK]])*1000</f>
        <v>#VALUE!</v>
      </c>
      <c r="FF52" t="e">
        <f>AA53-Table2[[#This Row],[15F2 New ETP Panel]]</f>
        <v>#VALUE!</v>
      </c>
      <c r="FG52" t="e">
        <f>AL53-Table2[[#This Row],[3F4 Old ETP Panel]]</f>
        <v>#VALUE!</v>
      </c>
      <c r="FH52" t="e">
        <f>AF53-Table2[[#This Row],[2F1 RO Plant]]</f>
        <v>#VALUE!</v>
      </c>
      <c r="FI52" t="e">
        <f>AK53-Table2[[#This Row],[3F3 Fire Hydrant Panel]]</f>
        <v>#VALUE!</v>
      </c>
      <c r="FJ52" t="e">
        <f>R53-Table2[[#This Row],[7F1 Freon System Panel]]</f>
        <v>#VALUE!</v>
      </c>
      <c r="FK52" t="e">
        <f>(AE53-Table2[[#This Row],[21F1 Refrigeration Ammonia]])*1000</f>
        <v>#VALUE!</v>
      </c>
      <c r="FL52" t="e">
        <f>(AG53-Table2[[#This Row],[2F3 Air Compressor]])*1000</f>
        <v>#VALUE!</v>
      </c>
      <c r="FM52" t="e">
        <f>(AX53-Table2[[#This Row],[Solar Reading Panel II]])*1000</f>
        <v>#VALUE!</v>
      </c>
      <c r="FN52" t="e">
        <f>AI53-Table2[[#This Row],[3F1 Maintenance Workshop]]</f>
        <v>#VALUE!</v>
      </c>
      <c r="FO52" t="e">
        <f>BD53-Table2[[#This Row],[4F B2B unit ]]</f>
        <v>#VALUE!</v>
      </c>
      <c r="FP52" t="e">
        <f>BL53-Table2[[#This Row],[2F1 - PDB 6 - Bread, B2B section]]</f>
        <v>#VALUE!</v>
      </c>
      <c r="FQ52" t="e">
        <f>(CG53-Table2[[#This Row],[9F5 - PDB 14 - Bread Lift]])</f>
        <v>#VALUE!</v>
      </c>
      <c r="FR52" t="e">
        <f>CJ53-Table2[[#This Row],[PDB - 16 Bread Section]]</f>
        <v>#VALUE!</v>
      </c>
      <c r="FS52" t="e">
        <f>BU53-Table2[[#This Row],[7F1 Donut Production area]]</f>
        <v>#VALUE!</v>
      </c>
      <c r="FT52" t="e">
        <f>CB53-Table2[[#This Row],[8F5 Donut Ban Bary]]</f>
        <v>#VALUE!</v>
      </c>
      <c r="FU52" t="e">
        <f>CF53-Table2[[#This Row],[9F4 - PDB 13 - Donut Sink Geyser area]]</f>
        <v>#VALUE!</v>
      </c>
      <c r="FV52" t="e">
        <f>BV53-Table2[[#This Row],[7F2 Flour Silo]]</f>
        <v>#VALUE!</v>
      </c>
      <c r="FW52" t="e">
        <f>BY53-Table2[[#This Row],[8F2 ACPDB - 3 SILO Ventilation]]</f>
        <v>#VALUE!</v>
      </c>
      <c r="FX52" t="e">
        <f>J53-Table2[[#This Row],[DG 1010KVA Running Hours]]</f>
        <v>#VALUE!</v>
      </c>
      <c r="FY52" t="e">
        <f>K53-Table2[[#This Row],[DG 1010 KVA Meter Reading]]</f>
        <v>#VALUE!</v>
      </c>
      <c r="FZ52" t="e">
        <f>L53-Table2[[#This Row],[GG 1010 KVA Running Hours]]</f>
        <v>#VALUE!</v>
      </c>
      <c r="GA52" t="e">
        <f>M53-Table2[[#This Row],[GG 1010 KVA Meter Reading]]</f>
        <v>#VALUE!</v>
      </c>
    </row>
    <row r="53" spans="1:183" x14ac:dyDescent="0.35">
      <c r="DH53" s="4" t="e">
        <f>Table2[[#This Row],[Date]]</f>
        <v>#VALUE!</v>
      </c>
      <c r="DI53" t="e">
        <f>(DD54-Table2[[#This Row],[MWH Total]])*4000</f>
        <v>#VALUE!</v>
      </c>
      <c r="DJ53" t="e">
        <f>(DA54-Table2[[#This Row],[PNG Meter (Outside)]])*2.936</f>
        <v>#VALUE!</v>
      </c>
      <c r="DK53" t="e">
        <f>(DB54-Table2[[#This Row],[PNG Meter (Inside)]])*2.936</f>
        <v>#VALUE!</v>
      </c>
      <c r="DL53" t="e">
        <f>(BH54-Table2[[#This Row],[3F Dough cooler - 2 ]])*1000</f>
        <v>#VALUE!</v>
      </c>
      <c r="DM53" t="e">
        <f>(BI54-Table2[[#This Row],[3F Dough Cooler- 1]])*1000</f>
        <v>#VALUE!</v>
      </c>
      <c r="DN53" t="e">
        <f>(BJ54-Table2[[#This Row],[4F Dough Production cooling Unit]])*1000</f>
        <v>#VALUE!</v>
      </c>
      <c r="DO53" t="e">
        <f>(BQ54-Table2[[#This Row],[3F2 - PDB 3 - Dough Production Area]])*1000</f>
        <v>#VALUE!</v>
      </c>
      <c r="DP53" t="e">
        <f>(BR54-Table2[[#This Row],[3F3 - PDB 4 - Dough Area]])*1000</f>
        <v>#VALUE!</v>
      </c>
      <c r="DQ53" t="e">
        <f>AC54-Table2[[#This Row],[16F1 Tray washer Panel for Light]]</f>
        <v>#VALUE!</v>
      </c>
      <c r="DR53" t="e">
        <f>CQ54-Table2[[#This Row],[2F1 Tray Washer - 1]]</f>
        <v>#VALUE!</v>
      </c>
      <c r="DS53" t="e">
        <f>CS54-Table2[[#This Row],[2F5 Destacker]]</f>
        <v>#VALUE!</v>
      </c>
      <c r="DT53" t="e">
        <f>CU54-Table2[[#This Row],[5F1 Metering (TW-2)]]</f>
        <v>#VALUE!</v>
      </c>
      <c r="DU53" t="e">
        <f>CV54-Table2[[#This Row],[6F1 Pre soaker Tray washer]]</f>
        <v>#VALUE!</v>
      </c>
      <c r="DV53" t="e">
        <f>CZ54-Table2[[#This Row],[6F5 Vent tray Storage]]</f>
        <v>#VALUE!</v>
      </c>
      <c r="DW53" t="e">
        <f>I54-Table2[[#This Row],[Popeyes Meter ]]</f>
        <v>#VALUE!</v>
      </c>
      <c r="DX53" t="e">
        <f>AZ54-Table2[[#This Row],[2F WH Chiller, Segregation Area]]</f>
        <v>#VALUE!</v>
      </c>
      <c r="DY53" t="e">
        <f>BA54-Table2[[#This Row],[3F1 AC Unit WH dock cooling - 2 Nos]]</f>
        <v>#VALUE!</v>
      </c>
      <c r="DZ53" t="e">
        <f>BB54-Table2[[#This Row],[3F2 AC Unit WH dock cooling - 3 Nos]]</f>
        <v>#VALUE!</v>
      </c>
      <c r="EA53" t="e">
        <f>(BK54-Table2[[#This Row],[5F WH Perishable]])*1000</f>
        <v>#VALUE!</v>
      </c>
      <c r="EB53" t="e">
        <f>BN54-Table2[[#This Row],[2F3 - PDB 9 - WH Dock Leveler Door ]]</f>
        <v>#VALUE!</v>
      </c>
      <c r="EC53" t="e">
        <f>BP54-Table2[[#This Row],[3F1 - PDB 5 - WH HSD]]</f>
        <v>#VALUE!</v>
      </c>
      <c r="ED53" t="e">
        <f>BX54-Table2[[#This Row],[8F1 WH Dock AHU - Ventilation]]</f>
        <v>#VALUE!</v>
      </c>
      <c r="EE53" t="e">
        <f>BZ54-Table2[[#This Row],[8F3 ACPDB - 4 WH Dock air curtain]]</f>
        <v>#VALUE!</v>
      </c>
      <c r="EF53" t="e">
        <f>CA54-Table2[[#This Row],[8F4 WH Light]]</f>
        <v>#VALUE!</v>
      </c>
      <c r="EG53" t="e">
        <f>CC54-Table2[[#This Row],[9F1 - PDB 10 - WH Dock door &amp; Office]]</f>
        <v>#VALUE!</v>
      </c>
      <c r="EH53" t="e">
        <f>CD54-Table2[[#This Row],[9F2 - PDB 11 - WH flycatchers]]</f>
        <v>#VALUE!</v>
      </c>
      <c r="EI53" t="e">
        <f>CE54-Table2[[#This Row],[9F3 - PDB 12 - Other items]]</f>
        <v>#VALUE!</v>
      </c>
      <c r="EJ53" t="e">
        <f>CR54-Table2[[#This Row],[2F3 - PDB 1 - Dock 1 to 4 ]]</f>
        <v>#VALUE!</v>
      </c>
      <c r="EK53" t="e">
        <f>BM54-Table2[[#This Row],[2F2 - PDB 3 - WH Truck &amp; Battery Charging]]</f>
        <v>#VALUE!</v>
      </c>
      <c r="EL53" t="e">
        <f>(CK54-Table2[[#This Row],[PDB - 11 Truck Charging]])*1000</f>
        <v>#VALUE!</v>
      </c>
      <c r="EM53" t="e">
        <f>P54-Table2[[#This Row],[5F3 Admin Area]]</f>
        <v>#VALUE!</v>
      </c>
      <c r="EN53" t="e">
        <f>AH54-Table2[[#This Row],[2F5 Main Gate-1 Piller -1]]</f>
        <v>#VALUE!</v>
      </c>
      <c r="EO53" t="e">
        <f>CW54-Table2[[#This Row],[6F2 Ground Floor AC]]</f>
        <v>#VALUE!</v>
      </c>
      <c r="EP53" t="e">
        <f>CX54-Table2[[#This Row],[6F3 ACBD -1 (First floor AC)]]</f>
        <v>#VALUE!</v>
      </c>
      <c r="EQ53" t="e">
        <f>CY54-Table2[[#This Row],[6F4 ACBD - 2 (Second &amp; Third floor AC)]]</f>
        <v>#VALUE!</v>
      </c>
      <c r="ER53" t="e">
        <f>(BC54-Table2[[#This Row],[4F Old BMC cooling Unit]])</f>
        <v>#VALUE!</v>
      </c>
      <c r="ES53" t="e">
        <f>BO54-Table2[[#This Row],[2F4 - Old BMC]]</f>
        <v>#VALUE!</v>
      </c>
      <c r="ET53" t="e">
        <f>Y54-Table2[[#This Row],[14F2 New CK]]</f>
        <v>#VALUE!</v>
      </c>
      <c r="EU53" t="e">
        <f>(CL54-Table2[[#This Row],[OLD Ck Panel-1]])*1000</f>
        <v>#VALUE!</v>
      </c>
      <c r="EV53" t="e">
        <f>CM54-Table2[[#This Row],[2F4 Old CK Blast (Blue star)]]</f>
        <v>#VALUE!</v>
      </c>
      <c r="EW53" t="e">
        <f>CN54-Table2[[#This Row],[3F6 Old CK Blast (Carrier)]]</f>
        <v>#VALUE!</v>
      </c>
      <c r="EX53" t="e">
        <f>(CO54-Table2[[#This Row],[Old CK Panel -2]])*1000</f>
        <v>#VALUE!</v>
      </c>
      <c r="EY53" t="e">
        <f>N54-Table2[[#This Row],[4F1 Main UPS 1/C -1]]</f>
        <v>#VALUE!</v>
      </c>
      <c r="EZ53" t="e">
        <f>Z54-Table2[[#This Row],[15F1 Main UPS Panel - I/C - 2]]</f>
        <v>#VALUE!</v>
      </c>
      <c r="FA53" t="e">
        <f>BF54-Table2[[#This Row],[2F CLC -1 AC unit - 2]]</f>
        <v>#VALUE!</v>
      </c>
      <c r="FB53" t="e">
        <f>(BG54-Table2[[#This Row],[2F CLC Anti room]])*1000</f>
        <v>#VALUE!</v>
      </c>
      <c r="FC53" t="e">
        <f>BW54-Table2[[#This Row],[7F3 CLC Power Panel]]</f>
        <v>#VALUE!</v>
      </c>
      <c r="FD53" t="e">
        <f>(CI54-Table2[[#This Row],[PDB - 17 CLC Section ]])*1000</f>
        <v>#VALUE!</v>
      </c>
      <c r="FE53" t="e">
        <f>(W54-Table2[[#This Row],[13F3 Water &amp; Lift Old CK]])*1000</f>
        <v>#VALUE!</v>
      </c>
      <c r="FF53" t="e">
        <f>AA54-Table2[[#This Row],[15F2 New ETP Panel]]</f>
        <v>#VALUE!</v>
      </c>
      <c r="FG53" t="e">
        <f>AL54-Table2[[#This Row],[3F4 Old ETP Panel]]</f>
        <v>#VALUE!</v>
      </c>
      <c r="FH53" t="e">
        <f>AF54-Table2[[#This Row],[2F1 RO Plant]]</f>
        <v>#VALUE!</v>
      </c>
      <c r="FI53" t="e">
        <f>AK54-Table2[[#This Row],[3F3 Fire Hydrant Panel]]</f>
        <v>#VALUE!</v>
      </c>
      <c r="FJ53" t="e">
        <f>R54-Table2[[#This Row],[7F1 Freon System Panel]]</f>
        <v>#VALUE!</v>
      </c>
      <c r="FK53" t="e">
        <f>(AE54-Table2[[#This Row],[21F1 Refrigeration Ammonia]])*1000</f>
        <v>#VALUE!</v>
      </c>
      <c r="FL53" t="e">
        <f>(AG54-Table2[[#This Row],[2F3 Air Compressor]])*1000</f>
        <v>#VALUE!</v>
      </c>
      <c r="FM53" t="e">
        <f>(AX54-Table2[[#This Row],[Solar Reading Panel II]])*1000</f>
        <v>#VALUE!</v>
      </c>
      <c r="FN53" t="e">
        <f>AI54-Table2[[#This Row],[3F1 Maintenance Workshop]]</f>
        <v>#VALUE!</v>
      </c>
      <c r="FO53" t="e">
        <f>BD54-Table2[[#This Row],[4F B2B unit ]]</f>
        <v>#VALUE!</v>
      </c>
      <c r="FP53" t="e">
        <f>BL54-Table2[[#This Row],[2F1 - PDB 6 - Bread, B2B section]]</f>
        <v>#VALUE!</v>
      </c>
      <c r="FQ53" t="e">
        <f>(CG54-Table2[[#This Row],[9F5 - PDB 14 - Bread Lift]])</f>
        <v>#VALUE!</v>
      </c>
      <c r="FR53" t="e">
        <f>CJ54-Table2[[#This Row],[PDB - 16 Bread Section]]</f>
        <v>#VALUE!</v>
      </c>
      <c r="FS53" t="e">
        <f>BU54-Table2[[#This Row],[7F1 Donut Production area]]</f>
        <v>#VALUE!</v>
      </c>
      <c r="FT53" t="e">
        <f>CB54-Table2[[#This Row],[8F5 Donut Ban Bary]]</f>
        <v>#VALUE!</v>
      </c>
      <c r="FU53" t="e">
        <f>CF54-Table2[[#This Row],[9F4 - PDB 13 - Donut Sink Geyser area]]</f>
        <v>#VALUE!</v>
      </c>
      <c r="FV53" t="e">
        <f>BV54-Table2[[#This Row],[7F2 Flour Silo]]</f>
        <v>#VALUE!</v>
      </c>
      <c r="FW53" t="e">
        <f>BY54-Table2[[#This Row],[8F2 ACPDB - 3 SILO Ventilation]]</f>
        <v>#VALUE!</v>
      </c>
      <c r="FX53" t="e">
        <f>J54-Table2[[#This Row],[DG 1010KVA Running Hours]]</f>
        <v>#VALUE!</v>
      </c>
      <c r="FY53" t="e">
        <f>K54-Table2[[#This Row],[DG 1010 KVA Meter Reading]]</f>
        <v>#VALUE!</v>
      </c>
      <c r="FZ53" t="e">
        <f>L54-Table2[[#This Row],[GG 1010 KVA Running Hours]]</f>
        <v>#VALUE!</v>
      </c>
      <c r="GA53" t="e">
        <f>M54-Table2[[#This Row],[GG 1010 KVA Meter Reading]]</f>
        <v>#VALUE!</v>
      </c>
    </row>
    <row r="54" spans="1:183" x14ac:dyDescent="0.35">
      <c r="DH54" s="4" t="e">
        <f>Table2[[#This Row],[Date]]</f>
        <v>#VALUE!</v>
      </c>
      <c r="DI54" t="e">
        <f>(DD55-Table2[[#This Row],[MWH Total]])*4000</f>
        <v>#VALUE!</v>
      </c>
      <c r="DJ54" t="e">
        <f>(DA55-Table2[[#This Row],[PNG Meter (Outside)]])*2.936</f>
        <v>#VALUE!</v>
      </c>
      <c r="DK54" t="e">
        <f>(DB55-Table2[[#This Row],[PNG Meter (Inside)]])*2.936</f>
        <v>#VALUE!</v>
      </c>
      <c r="DL54" t="e">
        <f>(BH55-Table2[[#This Row],[3F Dough cooler - 2 ]])*1000</f>
        <v>#VALUE!</v>
      </c>
      <c r="DM54" t="e">
        <f>(BI55-Table2[[#This Row],[3F Dough Cooler- 1]])*1000</f>
        <v>#VALUE!</v>
      </c>
      <c r="DN54" t="e">
        <f>(BJ55-Table2[[#This Row],[4F Dough Production cooling Unit]])*1000</f>
        <v>#VALUE!</v>
      </c>
      <c r="DO54" t="e">
        <f>(BQ55-Table2[[#This Row],[3F2 - PDB 3 - Dough Production Area]])*1000</f>
        <v>#VALUE!</v>
      </c>
      <c r="DP54" t="e">
        <f>(BR55-Table2[[#This Row],[3F3 - PDB 4 - Dough Area]])*1000</f>
        <v>#VALUE!</v>
      </c>
      <c r="DQ54" t="e">
        <f>AC55-Table2[[#This Row],[16F1 Tray washer Panel for Light]]</f>
        <v>#VALUE!</v>
      </c>
      <c r="DR54" t="e">
        <f>CQ55-Table2[[#This Row],[2F1 Tray Washer - 1]]</f>
        <v>#VALUE!</v>
      </c>
      <c r="DS54" t="e">
        <f>CS55-Table2[[#This Row],[2F5 Destacker]]</f>
        <v>#VALUE!</v>
      </c>
      <c r="DT54" t="e">
        <f>CU55-Table2[[#This Row],[5F1 Metering (TW-2)]]</f>
        <v>#VALUE!</v>
      </c>
      <c r="DU54" t="e">
        <f>CV55-Table2[[#This Row],[6F1 Pre soaker Tray washer]]</f>
        <v>#VALUE!</v>
      </c>
      <c r="DV54" t="e">
        <f>CZ55-Table2[[#This Row],[6F5 Vent tray Storage]]</f>
        <v>#VALUE!</v>
      </c>
      <c r="DW54" t="e">
        <f>I55-Table2[[#This Row],[Popeyes Meter ]]</f>
        <v>#VALUE!</v>
      </c>
      <c r="DX54" t="e">
        <f>AZ55-Table2[[#This Row],[2F WH Chiller, Segregation Area]]</f>
        <v>#VALUE!</v>
      </c>
      <c r="DY54" t="e">
        <f>BA55-Table2[[#This Row],[3F1 AC Unit WH dock cooling - 2 Nos]]</f>
        <v>#VALUE!</v>
      </c>
      <c r="DZ54" t="e">
        <f>BB55-Table2[[#This Row],[3F2 AC Unit WH dock cooling - 3 Nos]]</f>
        <v>#VALUE!</v>
      </c>
      <c r="EA54" t="e">
        <f>(BK55-Table2[[#This Row],[5F WH Perishable]])*1000</f>
        <v>#VALUE!</v>
      </c>
      <c r="EB54" t="e">
        <f>BN55-Table2[[#This Row],[2F3 - PDB 9 - WH Dock Leveler Door ]]</f>
        <v>#VALUE!</v>
      </c>
      <c r="EC54" t="e">
        <f>BP55-Table2[[#This Row],[3F1 - PDB 5 - WH HSD]]</f>
        <v>#VALUE!</v>
      </c>
      <c r="ED54" t="e">
        <f>BX55-Table2[[#This Row],[8F1 WH Dock AHU - Ventilation]]</f>
        <v>#VALUE!</v>
      </c>
      <c r="EE54" t="e">
        <f>BZ55-Table2[[#This Row],[8F3 ACPDB - 4 WH Dock air curtain]]</f>
        <v>#VALUE!</v>
      </c>
      <c r="EF54" t="e">
        <f>CA55-Table2[[#This Row],[8F4 WH Light]]</f>
        <v>#VALUE!</v>
      </c>
      <c r="EG54" t="e">
        <f>CC55-Table2[[#This Row],[9F1 - PDB 10 - WH Dock door &amp; Office]]</f>
        <v>#VALUE!</v>
      </c>
      <c r="EH54" t="e">
        <f>CD55-Table2[[#This Row],[9F2 - PDB 11 - WH flycatchers]]</f>
        <v>#VALUE!</v>
      </c>
      <c r="EI54" t="e">
        <f>CE55-Table2[[#This Row],[9F3 - PDB 12 - Other items]]</f>
        <v>#VALUE!</v>
      </c>
      <c r="EJ54" t="e">
        <f>CR55-Table2[[#This Row],[2F3 - PDB 1 - Dock 1 to 4 ]]</f>
        <v>#VALUE!</v>
      </c>
      <c r="EK54" t="e">
        <f>BM55-Table2[[#This Row],[2F2 - PDB 3 - WH Truck &amp; Battery Charging]]</f>
        <v>#VALUE!</v>
      </c>
      <c r="EL54" t="e">
        <f>(CK55-Table2[[#This Row],[PDB - 11 Truck Charging]])*1000</f>
        <v>#VALUE!</v>
      </c>
      <c r="EM54" t="e">
        <f>P55-Table2[[#This Row],[5F3 Admin Area]]</f>
        <v>#VALUE!</v>
      </c>
      <c r="EN54" t="e">
        <f>AH55-Table2[[#This Row],[2F5 Main Gate-1 Piller -1]]</f>
        <v>#VALUE!</v>
      </c>
      <c r="EO54" t="e">
        <f>CW55-Table2[[#This Row],[6F2 Ground Floor AC]]</f>
        <v>#VALUE!</v>
      </c>
      <c r="EP54" t="e">
        <f>CX55-Table2[[#This Row],[6F3 ACBD -1 (First floor AC)]]</f>
        <v>#VALUE!</v>
      </c>
      <c r="EQ54" t="e">
        <f>CY55-Table2[[#This Row],[6F4 ACBD - 2 (Second &amp; Third floor AC)]]</f>
        <v>#VALUE!</v>
      </c>
      <c r="ER54" t="e">
        <f>(BC55-Table2[[#This Row],[4F Old BMC cooling Unit]])</f>
        <v>#VALUE!</v>
      </c>
      <c r="ES54" t="e">
        <f>BO55-Table2[[#This Row],[2F4 - Old BMC]]</f>
        <v>#VALUE!</v>
      </c>
      <c r="ET54" t="e">
        <f>Y55-Table2[[#This Row],[14F2 New CK]]</f>
        <v>#VALUE!</v>
      </c>
      <c r="EU54" t="e">
        <f>(CL55-Table2[[#This Row],[OLD Ck Panel-1]])*1000</f>
        <v>#VALUE!</v>
      </c>
      <c r="EV54" t="e">
        <f>CM55-Table2[[#This Row],[2F4 Old CK Blast (Blue star)]]</f>
        <v>#VALUE!</v>
      </c>
      <c r="EW54" t="e">
        <f>CN55-Table2[[#This Row],[3F6 Old CK Blast (Carrier)]]</f>
        <v>#VALUE!</v>
      </c>
      <c r="EX54" t="e">
        <f>(CO55-Table2[[#This Row],[Old CK Panel -2]])*1000</f>
        <v>#VALUE!</v>
      </c>
      <c r="EY54" t="e">
        <f>N55-Table2[[#This Row],[4F1 Main UPS 1/C -1]]</f>
        <v>#VALUE!</v>
      </c>
      <c r="EZ54" t="e">
        <f>Z55-Table2[[#This Row],[15F1 Main UPS Panel - I/C - 2]]</f>
        <v>#VALUE!</v>
      </c>
      <c r="FA54" t="e">
        <f>BF55-Table2[[#This Row],[2F CLC -1 AC unit - 2]]</f>
        <v>#VALUE!</v>
      </c>
      <c r="FB54" t="e">
        <f>(BG55-Table2[[#This Row],[2F CLC Anti room]])*1000</f>
        <v>#VALUE!</v>
      </c>
      <c r="FC54" t="e">
        <f>BW55-Table2[[#This Row],[7F3 CLC Power Panel]]</f>
        <v>#VALUE!</v>
      </c>
      <c r="FD54" t="e">
        <f>(CI55-Table2[[#This Row],[PDB - 17 CLC Section ]])*1000</f>
        <v>#VALUE!</v>
      </c>
      <c r="FE54" t="e">
        <f>(W55-Table2[[#This Row],[13F3 Water &amp; Lift Old CK]])*1000</f>
        <v>#VALUE!</v>
      </c>
      <c r="FF54" t="e">
        <f>AA55-Table2[[#This Row],[15F2 New ETP Panel]]</f>
        <v>#VALUE!</v>
      </c>
      <c r="FG54" t="e">
        <f>AL55-Table2[[#This Row],[3F4 Old ETP Panel]]</f>
        <v>#VALUE!</v>
      </c>
      <c r="FH54" t="e">
        <f>AF55-Table2[[#This Row],[2F1 RO Plant]]</f>
        <v>#VALUE!</v>
      </c>
      <c r="FI54" t="e">
        <f>AK55-Table2[[#This Row],[3F3 Fire Hydrant Panel]]</f>
        <v>#VALUE!</v>
      </c>
      <c r="FJ54" t="e">
        <f>R55-Table2[[#This Row],[7F1 Freon System Panel]]</f>
        <v>#VALUE!</v>
      </c>
      <c r="FK54" t="e">
        <f>(AE55-Table2[[#This Row],[21F1 Refrigeration Ammonia]])*1000</f>
        <v>#VALUE!</v>
      </c>
      <c r="FL54" t="e">
        <f>(AG55-Table2[[#This Row],[2F3 Air Compressor]])*1000</f>
        <v>#VALUE!</v>
      </c>
      <c r="FM54" t="e">
        <f>(AX55-Table2[[#This Row],[Solar Reading Panel II]])*1000</f>
        <v>#VALUE!</v>
      </c>
      <c r="FN54" t="e">
        <f>AI55-Table2[[#This Row],[3F1 Maintenance Workshop]]</f>
        <v>#VALUE!</v>
      </c>
      <c r="FO54" t="e">
        <f>BD55-Table2[[#This Row],[4F B2B unit ]]</f>
        <v>#VALUE!</v>
      </c>
      <c r="FP54" t="e">
        <f>BL55-Table2[[#This Row],[2F1 - PDB 6 - Bread, B2B section]]</f>
        <v>#VALUE!</v>
      </c>
      <c r="FQ54" t="e">
        <f>(CG55-Table2[[#This Row],[9F5 - PDB 14 - Bread Lift]])</f>
        <v>#VALUE!</v>
      </c>
      <c r="FR54" t="e">
        <f>CJ55-Table2[[#This Row],[PDB - 16 Bread Section]]</f>
        <v>#VALUE!</v>
      </c>
      <c r="FS54" t="e">
        <f>BU55-Table2[[#This Row],[7F1 Donut Production area]]</f>
        <v>#VALUE!</v>
      </c>
      <c r="FT54" t="e">
        <f>CB55-Table2[[#This Row],[8F5 Donut Ban Bary]]</f>
        <v>#VALUE!</v>
      </c>
      <c r="FU54" t="e">
        <f>CF55-Table2[[#This Row],[9F4 - PDB 13 - Donut Sink Geyser area]]</f>
        <v>#VALUE!</v>
      </c>
      <c r="FV54" t="e">
        <f>BV55-Table2[[#This Row],[7F2 Flour Silo]]</f>
        <v>#VALUE!</v>
      </c>
      <c r="FW54" t="e">
        <f>BY55-Table2[[#This Row],[8F2 ACPDB - 3 SILO Ventilation]]</f>
        <v>#VALUE!</v>
      </c>
      <c r="FX54" t="e">
        <f>J55-Table2[[#This Row],[DG 1010KVA Running Hours]]</f>
        <v>#VALUE!</v>
      </c>
      <c r="FY54" t="e">
        <f>K55-Table2[[#This Row],[DG 1010 KVA Meter Reading]]</f>
        <v>#VALUE!</v>
      </c>
      <c r="FZ54" t="e">
        <f>L55-Table2[[#This Row],[GG 1010 KVA Running Hours]]</f>
        <v>#VALUE!</v>
      </c>
      <c r="GA54" t="e">
        <f>M55-Table2[[#This Row],[GG 1010 KVA Meter Reading]]</f>
        <v>#VALUE!</v>
      </c>
    </row>
    <row r="55" spans="1:183" x14ac:dyDescent="0.35">
      <c r="DH55" s="4" t="e">
        <f>Table2[[#This Row],[Date]]</f>
        <v>#VALUE!</v>
      </c>
      <c r="DI55" t="e">
        <f>(DD56-Table2[[#This Row],[MWH Total]])*4000</f>
        <v>#VALUE!</v>
      </c>
      <c r="DJ55" t="e">
        <f>(DA56-Table2[[#This Row],[PNG Meter (Outside)]])*2.936</f>
        <v>#VALUE!</v>
      </c>
      <c r="DK55" t="e">
        <f>(DB56-Table2[[#This Row],[PNG Meter (Inside)]])*2.936</f>
        <v>#VALUE!</v>
      </c>
      <c r="DL55" t="e">
        <f>(BH56-Table2[[#This Row],[3F Dough cooler - 2 ]])*1000</f>
        <v>#VALUE!</v>
      </c>
      <c r="DM55" t="e">
        <f>(BI56-Table2[[#This Row],[3F Dough Cooler- 1]])*1000</f>
        <v>#VALUE!</v>
      </c>
      <c r="DN55" t="e">
        <f>(BJ56-Table2[[#This Row],[4F Dough Production cooling Unit]])*1000</f>
        <v>#VALUE!</v>
      </c>
      <c r="DO55" t="e">
        <f>(BQ56-Table2[[#This Row],[3F2 - PDB 3 - Dough Production Area]])*1000</f>
        <v>#VALUE!</v>
      </c>
      <c r="DP55" t="e">
        <f>(BR56-Table2[[#This Row],[3F3 - PDB 4 - Dough Area]])*1000</f>
        <v>#VALUE!</v>
      </c>
      <c r="DQ55" t="e">
        <f>AC56-Table2[[#This Row],[16F1 Tray washer Panel for Light]]</f>
        <v>#VALUE!</v>
      </c>
      <c r="DR55" t="e">
        <f>CQ56-Table2[[#This Row],[2F1 Tray Washer - 1]]</f>
        <v>#VALUE!</v>
      </c>
      <c r="DS55" t="e">
        <f>CS56-Table2[[#This Row],[2F5 Destacker]]</f>
        <v>#VALUE!</v>
      </c>
      <c r="DT55" t="e">
        <f>CU56-Table2[[#This Row],[5F1 Metering (TW-2)]]</f>
        <v>#VALUE!</v>
      </c>
      <c r="DU55" t="e">
        <f>CV56-Table2[[#This Row],[6F1 Pre soaker Tray washer]]</f>
        <v>#VALUE!</v>
      </c>
      <c r="DV55" t="e">
        <f>CZ56-Table2[[#This Row],[6F5 Vent tray Storage]]</f>
        <v>#VALUE!</v>
      </c>
      <c r="DW55" t="e">
        <f>I56-Table2[[#This Row],[Popeyes Meter ]]</f>
        <v>#VALUE!</v>
      </c>
      <c r="DX55" t="e">
        <f>AZ56-Table2[[#This Row],[2F WH Chiller, Segregation Area]]</f>
        <v>#VALUE!</v>
      </c>
      <c r="DY55" t="e">
        <f>BA56-Table2[[#This Row],[3F1 AC Unit WH dock cooling - 2 Nos]]</f>
        <v>#VALUE!</v>
      </c>
      <c r="DZ55" t="e">
        <f>BB56-Table2[[#This Row],[3F2 AC Unit WH dock cooling - 3 Nos]]</f>
        <v>#VALUE!</v>
      </c>
      <c r="EA55" t="e">
        <f>(BK56-Table2[[#This Row],[5F WH Perishable]])*1000</f>
        <v>#VALUE!</v>
      </c>
      <c r="EB55" t="e">
        <f>BN56-Table2[[#This Row],[2F3 - PDB 9 - WH Dock Leveler Door ]]</f>
        <v>#VALUE!</v>
      </c>
      <c r="EC55" t="e">
        <f>BP56-Table2[[#This Row],[3F1 - PDB 5 - WH HSD]]</f>
        <v>#VALUE!</v>
      </c>
      <c r="ED55" t="e">
        <f>BX56-Table2[[#This Row],[8F1 WH Dock AHU - Ventilation]]</f>
        <v>#VALUE!</v>
      </c>
      <c r="EE55" t="e">
        <f>BZ56-Table2[[#This Row],[8F3 ACPDB - 4 WH Dock air curtain]]</f>
        <v>#VALUE!</v>
      </c>
      <c r="EF55" t="e">
        <f>CA56-Table2[[#This Row],[8F4 WH Light]]</f>
        <v>#VALUE!</v>
      </c>
      <c r="EG55" t="e">
        <f>CC56-Table2[[#This Row],[9F1 - PDB 10 - WH Dock door &amp; Office]]</f>
        <v>#VALUE!</v>
      </c>
      <c r="EH55" t="e">
        <f>CD56-Table2[[#This Row],[9F2 - PDB 11 - WH flycatchers]]</f>
        <v>#VALUE!</v>
      </c>
      <c r="EI55" t="e">
        <f>CE56-Table2[[#This Row],[9F3 - PDB 12 - Other items]]</f>
        <v>#VALUE!</v>
      </c>
      <c r="EJ55" t="e">
        <f>CR56-Table2[[#This Row],[2F3 - PDB 1 - Dock 1 to 4 ]]</f>
        <v>#VALUE!</v>
      </c>
      <c r="EK55" t="e">
        <f>BM56-Table2[[#This Row],[2F2 - PDB 3 - WH Truck &amp; Battery Charging]]</f>
        <v>#VALUE!</v>
      </c>
      <c r="EL55" t="e">
        <f>(CK56-Table2[[#This Row],[PDB - 11 Truck Charging]])*1000</f>
        <v>#VALUE!</v>
      </c>
      <c r="EM55" t="e">
        <f>P56-Table2[[#This Row],[5F3 Admin Area]]</f>
        <v>#VALUE!</v>
      </c>
      <c r="EN55" t="e">
        <f>AH56-Table2[[#This Row],[2F5 Main Gate-1 Piller -1]]</f>
        <v>#VALUE!</v>
      </c>
      <c r="EO55" t="e">
        <f>CW56-Table2[[#This Row],[6F2 Ground Floor AC]]</f>
        <v>#VALUE!</v>
      </c>
      <c r="EP55" t="e">
        <f>CX56-Table2[[#This Row],[6F3 ACBD -1 (First floor AC)]]</f>
        <v>#VALUE!</v>
      </c>
      <c r="EQ55" t="e">
        <f>CY56-Table2[[#This Row],[6F4 ACBD - 2 (Second &amp; Third floor AC)]]</f>
        <v>#VALUE!</v>
      </c>
      <c r="ER55" t="e">
        <f>(BC56-Table2[[#This Row],[4F Old BMC cooling Unit]])</f>
        <v>#VALUE!</v>
      </c>
      <c r="ES55" t="e">
        <f>BO56-Table2[[#This Row],[2F4 - Old BMC]]</f>
        <v>#VALUE!</v>
      </c>
      <c r="ET55" t="e">
        <f>Y56-Table2[[#This Row],[14F2 New CK]]</f>
        <v>#VALUE!</v>
      </c>
      <c r="EU55" t="e">
        <f>(CL56-Table2[[#This Row],[OLD Ck Panel-1]])*1000</f>
        <v>#VALUE!</v>
      </c>
      <c r="EV55" t="e">
        <f>CM56-Table2[[#This Row],[2F4 Old CK Blast (Blue star)]]</f>
        <v>#VALUE!</v>
      </c>
      <c r="EW55" t="e">
        <f>CN56-Table2[[#This Row],[3F6 Old CK Blast (Carrier)]]</f>
        <v>#VALUE!</v>
      </c>
      <c r="EX55" t="e">
        <f>(CO56-Table2[[#This Row],[Old CK Panel -2]])*1000</f>
        <v>#VALUE!</v>
      </c>
      <c r="EY55" t="e">
        <f>N56-Table2[[#This Row],[4F1 Main UPS 1/C -1]]</f>
        <v>#VALUE!</v>
      </c>
      <c r="EZ55" t="e">
        <f>Z56-Table2[[#This Row],[15F1 Main UPS Panel - I/C - 2]]</f>
        <v>#VALUE!</v>
      </c>
      <c r="FA55" t="e">
        <f>BF56-Table2[[#This Row],[2F CLC -1 AC unit - 2]]</f>
        <v>#VALUE!</v>
      </c>
      <c r="FB55" t="e">
        <f>(BG56-Table2[[#This Row],[2F CLC Anti room]])*1000</f>
        <v>#VALUE!</v>
      </c>
      <c r="FC55" t="e">
        <f>BW56-Table2[[#This Row],[7F3 CLC Power Panel]]</f>
        <v>#VALUE!</v>
      </c>
      <c r="FD55" t="e">
        <f>(CI56-Table2[[#This Row],[PDB - 17 CLC Section ]])*1000</f>
        <v>#VALUE!</v>
      </c>
      <c r="FE55" t="e">
        <f>(W56-Table2[[#This Row],[13F3 Water &amp; Lift Old CK]])*1000</f>
        <v>#VALUE!</v>
      </c>
      <c r="FF55" t="e">
        <f>AA56-Table2[[#This Row],[15F2 New ETP Panel]]</f>
        <v>#VALUE!</v>
      </c>
      <c r="FG55" t="e">
        <f>AL56-Table2[[#This Row],[3F4 Old ETP Panel]]</f>
        <v>#VALUE!</v>
      </c>
      <c r="FH55" t="e">
        <f>AF56-Table2[[#This Row],[2F1 RO Plant]]</f>
        <v>#VALUE!</v>
      </c>
      <c r="FI55" t="e">
        <f>AK56-Table2[[#This Row],[3F3 Fire Hydrant Panel]]</f>
        <v>#VALUE!</v>
      </c>
      <c r="FJ55" t="e">
        <f>R56-Table2[[#This Row],[7F1 Freon System Panel]]</f>
        <v>#VALUE!</v>
      </c>
      <c r="FK55" t="e">
        <f>(AE56-Table2[[#This Row],[21F1 Refrigeration Ammonia]])*1000</f>
        <v>#VALUE!</v>
      </c>
      <c r="FL55" t="e">
        <f>(AG56-Table2[[#This Row],[2F3 Air Compressor]])*1000</f>
        <v>#VALUE!</v>
      </c>
      <c r="FM55" t="e">
        <f>(AX56-Table2[[#This Row],[Solar Reading Panel II]])*1000</f>
        <v>#VALUE!</v>
      </c>
      <c r="FN55" t="e">
        <f>AI56-Table2[[#This Row],[3F1 Maintenance Workshop]]</f>
        <v>#VALUE!</v>
      </c>
      <c r="FO55" t="e">
        <f>BD56-Table2[[#This Row],[4F B2B unit ]]</f>
        <v>#VALUE!</v>
      </c>
      <c r="FP55" t="e">
        <f>BL56-Table2[[#This Row],[2F1 - PDB 6 - Bread, B2B section]]</f>
        <v>#VALUE!</v>
      </c>
      <c r="FQ55" t="e">
        <f>(CG56-Table2[[#This Row],[9F5 - PDB 14 - Bread Lift]])</f>
        <v>#VALUE!</v>
      </c>
      <c r="FR55" t="e">
        <f>CJ56-Table2[[#This Row],[PDB - 16 Bread Section]]</f>
        <v>#VALUE!</v>
      </c>
      <c r="FS55" t="e">
        <f>BU56-Table2[[#This Row],[7F1 Donut Production area]]</f>
        <v>#VALUE!</v>
      </c>
      <c r="FT55" t="e">
        <f>CB56-Table2[[#This Row],[8F5 Donut Ban Bary]]</f>
        <v>#VALUE!</v>
      </c>
      <c r="FU55" t="e">
        <f>CF56-Table2[[#This Row],[9F4 - PDB 13 - Donut Sink Geyser area]]</f>
        <v>#VALUE!</v>
      </c>
      <c r="FV55" t="e">
        <f>BV56-Table2[[#This Row],[7F2 Flour Silo]]</f>
        <v>#VALUE!</v>
      </c>
      <c r="FW55" t="e">
        <f>BY56-Table2[[#This Row],[8F2 ACPDB - 3 SILO Ventilation]]</f>
        <v>#VALUE!</v>
      </c>
      <c r="FX55" t="e">
        <f>J56-Table2[[#This Row],[DG 1010KVA Running Hours]]</f>
        <v>#VALUE!</v>
      </c>
      <c r="FY55" t="e">
        <f>K56-Table2[[#This Row],[DG 1010 KVA Meter Reading]]</f>
        <v>#VALUE!</v>
      </c>
      <c r="FZ55" t="e">
        <f>L56-Table2[[#This Row],[GG 1010 KVA Running Hours]]</f>
        <v>#VALUE!</v>
      </c>
      <c r="GA55" t="e">
        <f>M56-Table2[[#This Row],[GG 1010 KVA Meter Reading]]</f>
        <v>#VALUE!</v>
      </c>
    </row>
    <row r="56" spans="1:183" x14ac:dyDescent="0.35">
      <c r="DH56" s="4" t="e">
        <f>Table2[[#This Row],[Date]]</f>
        <v>#VALUE!</v>
      </c>
      <c r="DI56" t="e">
        <f>(DD57-Table2[[#This Row],[MWH Total]])*4000</f>
        <v>#VALUE!</v>
      </c>
      <c r="DJ56" t="e">
        <f>(DA57-Table2[[#This Row],[PNG Meter (Outside)]])*2.936</f>
        <v>#VALUE!</v>
      </c>
      <c r="DK56" t="e">
        <f>(DB57-Table2[[#This Row],[PNG Meter (Inside)]])*2.936</f>
        <v>#VALUE!</v>
      </c>
      <c r="DL56" t="e">
        <f>(BH57-Table2[[#This Row],[3F Dough cooler - 2 ]])*1000</f>
        <v>#VALUE!</v>
      </c>
      <c r="DM56" t="e">
        <f>(BI57-Table2[[#This Row],[3F Dough Cooler- 1]])*1000</f>
        <v>#VALUE!</v>
      </c>
      <c r="DN56" t="e">
        <f>(BJ57-Table2[[#This Row],[4F Dough Production cooling Unit]])*1000</f>
        <v>#VALUE!</v>
      </c>
      <c r="DO56" t="e">
        <f>(BQ57-Table2[[#This Row],[3F2 - PDB 3 - Dough Production Area]])*1000</f>
        <v>#VALUE!</v>
      </c>
      <c r="DP56" t="e">
        <f>(BR57-Table2[[#This Row],[3F3 - PDB 4 - Dough Area]])*1000</f>
        <v>#VALUE!</v>
      </c>
      <c r="DQ56" t="e">
        <f>AC57-Table2[[#This Row],[16F1 Tray washer Panel for Light]]</f>
        <v>#VALUE!</v>
      </c>
      <c r="DR56" t="e">
        <f>CQ57-Table2[[#This Row],[2F1 Tray Washer - 1]]</f>
        <v>#VALUE!</v>
      </c>
      <c r="DS56" t="e">
        <f>CS57-Table2[[#This Row],[2F5 Destacker]]</f>
        <v>#VALUE!</v>
      </c>
      <c r="DT56" t="e">
        <f>CU57-Table2[[#This Row],[5F1 Metering (TW-2)]]</f>
        <v>#VALUE!</v>
      </c>
      <c r="DU56" t="e">
        <f>CV57-Table2[[#This Row],[6F1 Pre soaker Tray washer]]</f>
        <v>#VALUE!</v>
      </c>
      <c r="DV56" t="e">
        <f>CZ57-Table2[[#This Row],[6F5 Vent tray Storage]]</f>
        <v>#VALUE!</v>
      </c>
      <c r="DW56" t="e">
        <f>I57-Table2[[#This Row],[Popeyes Meter ]]</f>
        <v>#VALUE!</v>
      </c>
      <c r="DX56" t="e">
        <f>AZ57-Table2[[#This Row],[2F WH Chiller, Segregation Area]]</f>
        <v>#VALUE!</v>
      </c>
      <c r="DY56" t="e">
        <f>BA57-Table2[[#This Row],[3F1 AC Unit WH dock cooling - 2 Nos]]</f>
        <v>#VALUE!</v>
      </c>
      <c r="DZ56" t="e">
        <f>BB57-Table2[[#This Row],[3F2 AC Unit WH dock cooling - 3 Nos]]</f>
        <v>#VALUE!</v>
      </c>
      <c r="EA56" t="e">
        <f>(BK57-Table2[[#This Row],[5F WH Perishable]])*1000</f>
        <v>#VALUE!</v>
      </c>
      <c r="EB56" t="e">
        <f>BN57-Table2[[#This Row],[2F3 - PDB 9 - WH Dock Leveler Door ]]</f>
        <v>#VALUE!</v>
      </c>
      <c r="EC56" t="e">
        <f>BP57-Table2[[#This Row],[3F1 - PDB 5 - WH HSD]]</f>
        <v>#VALUE!</v>
      </c>
      <c r="ED56" t="e">
        <f>BX57-Table2[[#This Row],[8F1 WH Dock AHU - Ventilation]]</f>
        <v>#VALUE!</v>
      </c>
      <c r="EE56" t="e">
        <f>BZ57-Table2[[#This Row],[8F3 ACPDB - 4 WH Dock air curtain]]</f>
        <v>#VALUE!</v>
      </c>
      <c r="EF56" t="e">
        <f>CA57-Table2[[#This Row],[8F4 WH Light]]</f>
        <v>#VALUE!</v>
      </c>
      <c r="EG56" t="e">
        <f>CC57-Table2[[#This Row],[9F1 - PDB 10 - WH Dock door &amp; Office]]</f>
        <v>#VALUE!</v>
      </c>
      <c r="EH56" t="e">
        <f>CD57-Table2[[#This Row],[9F2 - PDB 11 - WH flycatchers]]</f>
        <v>#VALUE!</v>
      </c>
      <c r="EI56" t="e">
        <f>CE57-Table2[[#This Row],[9F3 - PDB 12 - Other items]]</f>
        <v>#VALUE!</v>
      </c>
      <c r="EJ56" t="e">
        <f>CR57-Table2[[#This Row],[2F3 - PDB 1 - Dock 1 to 4 ]]</f>
        <v>#VALUE!</v>
      </c>
      <c r="EK56" t="e">
        <f>BM57-Table2[[#This Row],[2F2 - PDB 3 - WH Truck &amp; Battery Charging]]</f>
        <v>#VALUE!</v>
      </c>
      <c r="EL56" t="e">
        <f>(CK57-Table2[[#This Row],[PDB - 11 Truck Charging]])*1000</f>
        <v>#VALUE!</v>
      </c>
      <c r="EM56" t="e">
        <f>P57-Table2[[#This Row],[5F3 Admin Area]]</f>
        <v>#VALUE!</v>
      </c>
      <c r="EN56" t="e">
        <f>AH57-Table2[[#This Row],[2F5 Main Gate-1 Piller -1]]</f>
        <v>#VALUE!</v>
      </c>
      <c r="EO56" t="e">
        <f>CW57-Table2[[#This Row],[6F2 Ground Floor AC]]</f>
        <v>#VALUE!</v>
      </c>
      <c r="EP56" t="e">
        <f>CX57-Table2[[#This Row],[6F3 ACBD -1 (First floor AC)]]</f>
        <v>#VALUE!</v>
      </c>
      <c r="EQ56" t="e">
        <f>CY57-Table2[[#This Row],[6F4 ACBD - 2 (Second &amp; Third floor AC)]]</f>
        <v>#VALUE!</v>
      </c>
      <c r="ER56" t="e">
        <f>(BC57-Table2[[#This Row],[4F Old BMC cooling Unit]])</f>
        <v>#VALUE!</v>
      </c>
      <c r="ES56" t="e">
        <f>BO57-Table2[[#This Row],[2F4 - Old BMC]]</f>
        <v>#VALUE!</v>
      </c>
      <c r="ET56" t="e">
        <f>Y57-Table2[[#This Row],[14F2 New CK]]</f>
        <v>#VALUE!</v>
      </c>
      <c r="EU56" t="e">
        <f>(CL57-Table2[[#This Row],[OLD Ck Panel-1]])*1000</f>
        <v>#VALUE!</v>
      </c>
      <c r="EV56" t="e">
        <f>CM57-Table2[[#This Row],[2F4 Old CK Blast (Blue star)]]</f>
        <v>#VALUE!</v>
      </c>
      <c r="EW56" t="e">
        <f>CN57-Table2[[#This Row],[3F6 Old CK Blast (Carrier)]]</f>
        <v>#VALUE!</v>
      </c>
      <c r="EX56" t="e">
        <f>(CO57-Table2[[#This Row],[Old CK Panel -2]])*1000</f>
        <v>#VALUE!</v>
      </c>
      <c r="EY56" t="e">
        <f>N57-Table2[[#This Row],[4F1 Main UPS 1/C -1]]</f>
        <v>#VALUE!</v>
      </c>
      <c r="EZ56" t="e">
        <f>Z57-Table2[[#This Row],[15F1 Main UPS Panel - I/C - 2]]</f>
        <v>#VALUE!</v>
      </c>
      <c r="FA56" t="e">
        <f>BF57-Table2[[#This Row],[2F CLC -1 AC unit - 2]]</f>
        <v>#VALUE!</v>
      </c>
      <c r="FB56" t="e">
        <f>(BG57-Table2[[#This Row],[2F CLC Anti room]])*1000</f>
        <v>#VALUE!</v>
      </c>
      <c r="FC56" t="e">
        <f>BW57-Table2[[#This Row],[7F3 CLC Power Panel]]</f>
        <v>#VALUE!</v>
      </c>
      <c r="FD56" t="e">
        <f>(CI57-Table2[[#This Row],[PDB - 17 CLC Section ]])*1000</f>
        <v>#VALUE!</v>
      </c>
      <c r="FE56" t="e">
        <f>(W57-Table2[[#This Row],[13F3 Water &amp; Lift Old CK]])*1000</f>
        <v>#VALUE!</v>
      </c>
      <c r="FF56" t="e">
        <f>AA57-Table2[[#This Row],[15F2 New ETP Panel]]</f>
        <v>#VALUE!</v>
      </c>
      <c r="FG56" t="e">
        <f>AL57-Table2[[#This Row],[3F4 Old ETP Panel]]</f>
        <v>#VALUE!</v>
      </c>
      <c r="FH56" t="e">
        <f>AF57-Table2[[#This Row],[2F1 RO Plant]]</f>
        <v>#VALUE!</v>
      </c>
      <c r="FI56" t="e">
        <f>AK57-Table2[[#This Row],[3F3 Fire Hydrant Panel]]</f>
        <v>#VALUE!</v>
      </c>
      <c r="FJ56" t="e">
        <f>R57-Table2[[#This Row],[7F1 Freon System Panel]]</f>
        <v>#VALUE!</v>
      </c>
      <c r="FK56" t="e">
        <f>(AE57-Table2[[#This Row],[21F1 Refrigeration Ammonia]])*1000</f>
        <v>#VALUE!</v>
      </c>
      <c r="FL56" t="e">
        <f>(AG57-Table2[[#This Row],[2F3 Air Compressor]])*1000</f>
        <v>#VALUE!</v>
      </c>
      <c r="FM56" t="e">
        <f>(AX57-Table2[[#This Row],[Solar Reading Panel II]])*1000</f>
        <v>#VALUE!</v>
      </c>
      <c r="FN56" t="e">
        <f>AI57-Table2[[#This Row],[3F1 Maintenance Workshop]]</f>
        <v>#VALUE!</v>
      </c>
      <c r="FO56" t="e">
        <f>BD57-Table2[[#This Row],[4F B2B unit ]]</f>
        <v>#VALUE!</v>
      </c>
      <c r="FP56" t="e">
        <f>BL57-Table2[[#This Row],[2F1 - PDB 6 - Bread, B2B section]]</f>
        <v>#VALUE!</v>
      </c>
      <c r="FQ56" t="e">
        <f>(CG57-Table2[[#This Row],[9F5 - PDB 14 - Bread Lift]])</f>
        <v>#VALUE!</v>
      </c>
      <c r="FR56" t="e">
        <f>CJ57-Table2[[#This Row],[PDB - 16 Bread Section]]</f>
        <v>#VALUE!</v>
      </c>
      <c r="FS56" t="e">
        <f>BU57-Table2[[#This Row],[7F1 Donut Production area]]</f>
        <v>#VALUE!</v>
      </c>
      <c r="FT56" t="e">
        <f>CB57-Table2[[#This Row],[8F5 Donut Ban Bary]]</f>
        <v>#VALUE!</v>
      </c>
      <c r="FU56" t="e">
        <f>CF57-Table2[[#This Row],[9F4 - PDB 13 - Donut Sink Geyser area]]</f>
        <v>#VALUE!</v>
      </c>
      <c r="FV56" t="e">
        <f>BV57-Table2[[#This Row],[7F2 Flour Silo]]</f>
        <v>#VALUE!</v>
      </c>
      <c r="FW56" t="e">
        <f>BY57-Table2[[#This Row],[8F2 ACPDB - 3 SILO Ventilation]]</f>
        <v>#VALUE!</v>
      </c>
      <c r="FX56" t="e">
        <f>J57-Table2[[#This Row],[DG 1010KVA Running Hours]]</f>
        <v>#VALUE!</v>
      </c>
      <c r="FY56" t="e">
        <f>K57-Table2[[#This Row],[DG 1010 KVA Meter Reading]]</f>
        <v>#VALUE!</v>
      </c>
      <c r="FZ56" t="e">
        <f>L57-Table2[[#This Row],[GG 1010 KVA Running Hours]]</f>
        <v>#VALUE!</v>
      </c>
      <c r="GA56" t="e">
        <f>M57-Table2[[#This Row],[GG 1010 KVA Meter Reading]]</f>
        <v>#VALUE!</v>
      </c>
    </row>
    <row r="57" spans="1:183" x14ac:dyDescent="0.35">
      <c r="DH57" s="4" t="e">
        <f>Table2[[#This Row],[Date]]</f>
        <v>#VALUE!</v>
      </c>
      <c r="DI57" t="e">
        <f>(DD58-Table2[[#This Row],[MWH Total]])*4000</f>
        <v>#VALUE!</v>
      </c>
      <c r="DJ57" t="e">
        <f>(DA58-Table2[[#This Row],[PNG Meter (Outside)]])*2.936</f>
        <v>#VALUE!</v>
      </c>
      <c r="DK57" t="e">
        <f>(DB58-Table2[[#This Row],[PNG Meter (Inside)]])*2.936</f>
        <v>#VALUE!</v>
      </c>
      <c r="DL57" t="e">
        <f>(BH58-Table2[[#This Row],[3F Dough cooler - 2 ]])*1000</f>
        <v>#VALUE!</v>
      </c>
      <c r="DM57" t="e">
        <f>(BI58-Table2[[#This Row],[3F Dough Cooler- 1]])*1000</f>
        <v>#VALUE!</v>
      </c>
      <c r="DN57" t="e">
        <f>(BJ58-Table2[[#This Row],[4F Dough Production cooling Unit]])*1000</f>
        <v>#VALUE!</v>
      </c>
      <c r="DO57" t="e">
        <f>(BQ58-Table2[[#This Row],[3F2 - PDB 3 - Dough Production Area]])*1000</f>
        <v>#VALUE!</v>
      </c>
      <c r="DP57" t="e">
        <f>(BR58-Table2[[#This Row],[3F3 - PDB 4 - Dough Area]])*1000</f>
        <v>#VALUE!</v>
      </c>
      <c r="DQ57" t="e">
        <f>AC58-Table2[[#This Row],[16F1 Tray washer Panel for Light]]</f>
        <v>#VALUE!</v>
      </c>
      <c r="DR57" t="e">
        <f>CQ58-Table2[[#This Row],[2F1 Tray Washer - 1]]</f>
        <v>#VALUE!</v>
      </c>
      <c r="DS57" t="e">
        <f>CS58-Table2[[#This Row],[2F5 Destacker]]</f>
        <v>#VALUE!</v>
      </c>
      <c r="DT57" t="e">
        <f>CU58-Table2[[#This Row],[5F1 Metering (TW-2)]]</f>
        <v>#VALUE!</v>
      </c>
      <c r="DU57" t="e">
        <f>CV58-Table2[[#This Row],[6F1 Pre soaker Tray washer]]</f>
        <v>#VALUE!</v>
      </c>
      <c r="DV57" t="e">
        <f>CZ58-Table2[[#This Row],[6F5 Vent tray Storage]]</f>
        <v>#VALUE!</v>
      </c>
      <c r="DW57" t="e">
        <f>I58-Table2[[#This Row],[Popeyes Meter ]]</f>
        <v>#VALUE!</v>
      </c>
      <c r="DX57" t="e">
        <f>AZ58-Table2[[#This Row],[2F WH Chiller, Segregation Area]]</f>
        <v>#VALUE!</v>
      </c>
      <c r="DY57" t="e">
        <f>BA58-Table2[[#This Row],[3F1 AC Unit WH dock cooling - 2 Nos]]</f>
        <v>#VALUE!</v>
      </c>
      <c r="DZ57" t="e">
        <f>BB58-Table2[[#This Row],[3F2 AC Unit WH dock cooling - 3 Nos]]</f>
        <v>#VALUE!</v>
      </c>
      <c r="EA57" t="e">
        <f>(BK58-Table2[[#This Row],[5F WH Perishable]])*1000</f>
        <v>#VALUE!</v>
      </c>
      <c r="EB57" t="e">
        <f>BN58-Table2[[#This Row],[2F3 - PDB 9 - WH Dock Leveler Door ]]</f>
        <v>#VALUE!</v>
      </c>
      <c r="EC57" t="e">
        <f>BP58-Table2[[#This Row],[3F1 - PDB 5 - WH HSD]]</f>
        <v>#VALUE!</v>
      </c>
      <c r="ED57" t="e">
        <f>BX58-Table2[[#This Row],[8F1 WH Dock AHU - Ventilation]]</f>
        <v>#VALUE!</v>
      </c>
      <c r="EE57" t="e">
        <f>BZ58-Table2[[#This Row],[8F3 ACPDB - 4 WH Dock air curtain]]</f>
        <v>#VALUE!</v>
      </c>
      <c r="EF57" t="e">
        <f>CA58-Table2[[#This Row],[8F4 WH Light]]</f>
        <v>#VALUE!</v>
      </c>
      <c r="EG57" t="e">
        <f>CC58-Table2[[#This Row],[9F1 - PDB 10 - WH Dock door &amp; Office]]</f>
        <v>#VALUE!</v>
      </c>
      <c r="EH57" t="e">
        <f>CD58-Table2[[#This Row],[9F2 - PDB 11 - WH flycatchers]]</f>
        <v>#VALUE!</v>
      </c>
      <c r="EI57" t="e">
        <f>CE58-Table2[[#This Row],[9F3 - PDB 12 - Other items]]</f>
        <v>#VALUE!</v>
      </c>
      <c r="EJ57" t="e">
        <f>CR58-Table2[[#This Row],[2F3 - PDB 1 - Dock 1 to 4 ]]</f>
        <v>#VALUE!</v>
      </c>
      <c r="EK57" t="e">
        <f>BM58-Table2[[#This Row],[2F2 - PDB 3 - WH Truck &amp; Battery Charging]]</f>
        <v>#VALUE!</v>
      </c>
      <c r="EL57" t="e">
        <f>(CK58-Table2[[#This Row],[PDB - 11 Truck Charging]])*1000</f>
        <v>#VALUE!</v>
      </c>
      <c r="EM57" t="e">
        <f>P58-Table2[[#This Row],[5F3 Admin Area]]</f>
        <v>#VALUE!</v>
      </c>
      <c r="EN57" t="e">
        <f>AH58-Table2[[#This Row],[2F5 Main Gate-1 Piller -1]]</f>
        <v>#VALUE!</v>
      </c>
      <c r="EO57" t="e">
        <f>CW58-Table2[[#This Row],[6F2 Ground Floor AC]]</f>
        <v>#VALUE!</v>
      </c>
      <c r="EP57" t="e">
        <f>CX58-Table2[[#This Row],[6F3 ACBD -1 (First floor AC)]]</f>
        <v>#VALUE!</v>
      </c>
      <c r="EQ57" t="e">
        <f>CY58-Table2[[#This Row],[6F4 ACBD - 2 (Second &amp; Third floor AC)]]</f>
        <v>#VALUE!</v>
      </c>
      <c r="ER57" t="e">
        <f>(BC58-Table2[[#This Row],[4F Old BMC cooling Unit]])</f>
        <v>#VALUE!</v>
      </c>
      <c r="ES57" t="e">
        <f>BO58-Table2[[#This Row],[2F4 - Old BMC]]</f>
        <v>#VALUE!</v>
      </c>
      <c r="ET57" t="e">
        <f>Y58-Table2[[#This Row],[14F2 New CK]]</f>
        <v>#VALUE!</v>
      </c>
      <c r="EU57" t="e">
        <f>(CL58-Table2[[#This Row],[OLD Ck Panel-1]])*1000</f>
        <v>#VALUE!</v>
      </c>
      <c r="EV57" t="e">
        <f>CM58-Table2[[#This Row],[2F4 Old CK Blast (Blue star)]]</f>
        <v>#VALUE!</v>
      </c>
      <c r="EW57" t="e">
        <f>CN58-Table2[[#This Row],[3F6 Old CK Blast (Carrier)]]</f>
        <v>#VALUE!</v>
      </c>
      <c r="EX57" t="e">
        <f>(CO58-Table2[[#This Row],[Old CK Panel -2]])*1000</f>
        <v>#VALUE!</v>
      </c>
      <c r="EY57" t="e">
        <f>N58-Table2[[#This Row],[4F1 Main UPS 1/C -1]]</f>
        <v>#VALUE!</v>
      </c>
      <c r="EZ57" t="e">
        <f>Z58-Table2[[#This Row],[15F1 Main UPS Panel - I/C - 2]]</f>
        <v>#VALUE!</v>
      </c>
      <c r="FA57" t="e">
        <f>BF58-Table2[[#This Row],[2F CLC -1 AC unit - 2]]</f>
        <v>#VALUE!</v>
      </c>
      <c r="FB57" t="e">
        <f>(BG58-Table2[[#This Row],[2F CLC Anti room]])*1000</f>
        <v>#VALUE!</v>
      </c>
      <c r="FC57" t="e">
        <f>BW58-Table2[[#This Row],[7F3 CLC Power Panel]]</f>
        <v>#VALUE!</v>
      </c>
      <c r="FD57" t="e">
        <f>(CI58-Table2[[#This Row],[PDB - 17 CLC Section ]])*1000</f>
        <v>#VALUE!</v>
      </c>
      <c r="FE57" t="e">
        <f>(W58-Table2[[#This Row],[13F3 Water &amp; Lift Old CK]])*1000</f>
        <v>#VALUE!</v>
      </c>
      <c r="FF57" t="e">
        <f>AA58-Table2[[#This Row],[15F2 New ETP Panel]]</f>
        <v>#VALUE!</v>
      </c>
      <c r="FG57" t="e">
        <f>AL58-Table2[[#This Row],[3F4 Old ETP Panel]]</f>
        <v>#VALUE!</v>
      </c>
      <c r="FH57" t="e">
        <f>AF58-Table2[[#This Row],[2F1 RO Plant]]</f>
        <v>#VALUE!</v>
      </c>
      <c r="FI57" t="e">
        <f>AK58-Table2[[#This Row],[3F3 Fire Hydrant Panel]]</f>
        <v>#VALUE!</v>
      </c>
      <c r="FJ57" t="e">
        <f>R58-Table2[[#This Row],[7F1 Freon System Panel]]</f>
        <v>#VALUE!</v>
      </c>
      <c r="FK57" t="e">
        <f>(AE58-Table2[[#This Row],[21F1 Refrigeration Ammonia]])*1000</f>
        <v>#VALUE!</v>
      </c>
      <c r="FL57" t="e">
        <f>(AG58-Table2[[#This Row],[2F3 Air Compressor]])*1000</f>
        <v>#VALUE!</v>
      </c>
      <c r="FM57" t="e">
        <f>(AX58-Table2[[#This Row],[Solar Reading Panel II]])*1000</f>
        <v>#VALUE!</v>
      </c>
      <c r="FN57" t="e">
        <f>AI58-Table2[[#This Row],[3F1 Maintenance Workshop]]</f>
        <v>#VALUE!</v>
      </c>
      <c r="FO57" t="e">
        <f>BD58-Table2[[#This Row],[4F B2B unit ]]</f>
        <v>#VALUE!</v>
      </c>
      <c r="FP57" t="e">
        <f>BL58-Table2[[#This Row],[2F1 - PDB 6 - Bread, B2B section]]</f>
        <v>#VALUE!</v>
      </c>
      <c r="FQ57" t="e">
        <f>(CG58-Table2[[#This Row],[9F5 - PDB 14 - Bread Lift]])</f>
        <v>#VALUE!</v>
      </c>
      <c r="FR57" t="e">
        <f>CJ58-Table2[[#This Row],[PDB - 16 Bread Section]]</f>
        <v>#VALUE!</v>
      </c>
      <c r="FS57" t="e">
        <f>BU58-Table2[[#This Row],[7F1 Donut Production area]]</f>
        <v>#VALUE!</v>
      </c>
      <c r="FT57" t="e">
        <f>CB58-Table2[[#This Row],[8F5 Donut Ban Bary]]</f>
        <v>#VALUE!</v>
      </c>
      <c r="FU57" t="e">
        <f>CF58-Table2[[#This Row],[9F4 - PDB 13 - Donut Sink Geyser area]]</f>
        <v>#VALUE!</v>
      </c>
      <c r="FV57" t="e">
        <f>BV58-Table2[[#This Row],[7F2 Flour Silo]]</f>
        <v>#VALUE!</v>
      </c>
      <c r="FW57" t="e">
        <f>BY58-Table2[[#This Row],[8F2 ACPDB - 3 SILO Ventilation]]</f>
        <v>#VALUE!</v>
      </c>
      <c r="FX57" t="e">
        <f>J58-Table2[[#This Row],[DG 1010KVA Running Hours]]</f>
        <v>#VALUE!</v>
      </c>
      <c r="FY57" t="e">
        <f>K58-Table2[[#This Row],[DG 1010 KVA Meter Reading]]</f>
        <v>#VALUE!</v>
      </c>
      <c r="FZ57" t="e">
        <f>L58-Table2[[#This Row],[GG 1010 KVA Running Hours]]</f>
        <v>#VALUE!</v>
      </c>
      <c r="GA57" t="e">
        <f>M58-Table2[[#This Row],[GG 1010 KVA Meter Reading]]</f>
        <v>#VALUE!</v>
      </c>
    </row>
    <row r="58" spans="1:183" x14ac:dyDescent="0.35">
      <c r="DH58" s="4" t="e">
        <f>Table2[[#This Row],[Date]]</f>
        <v>#VALUE!</v>
      </c>
      <c r="DI58" t="e">
        <f>(DD59-Table2[[#This Row],[MWH Total]])*4000</f>
        <v>#VALUE!</v>
      </c>
      <c r="DJ58" t="e">
        <f>(DA59-Table2[[#This Row],[PNG Meter (Outside)]])*2.936</f>
        <v>#VALUE!</v>
      </c>
      <c r="DK58" t="e">
        <f>(DB59-Table2[[#This Row],[PNG Meter (Inside)]])*2.936</f>
        <v>#VALUE!</v>
      </c>
      <c r="DL58" t="e">
        <f>(BH59-Table2[[#This Row],[3F Dough cooler - 2 ]])*1000</f>
        <v>#VALUE!</v>
      </c>
      <c r="DM58" t="e">
        <f>(BI59-Table2[[#This Row],[3F Dough Cooler- 1]])*1000</f>
        <v>#VALUE!</v>
      </c>
      <c r="DN58" t="e">
        <f>(BJ59-Table2[[#This Row],[4F Dough Production cooling Unit]])*1000</f>
        <v>#VALUE!</v>
      </c>
      <c r="DO58" t="e">
        <f>(BQ59-Table2[[#This Row],[3F2 - PDB 3 - Dough Production Area]])*1000</f>
        <v>#VALUE!</v>
      </c>
      <c r="DP58" t="e">
        <f>(BR59-Table2[[#This Row],[3F3 - PDB 4 - Dough Area]])*1000</f>
        <v>#VALUE!</v>
      </c>
      <c r="DQ58" t="e">
        <f>AC59-Table2[[#This Row],[16F1 Tray washer Panel for Light]]</f>
        <v>#VALUE!</v>
      </c>
      <c r="DR58" t="e">
        <f>CQ59-Table2[[#This Row],[2F1 Tray Washer - 1]]</f>
        <v>#VALUE!</v>
      </c>
      <c r="DS58" t="e">
        <f>CS59-Table2[[#This Row],[2F5 Destacker]]</f>
        <v>#VALUE!</v>
      </c>
      <c r="DT58" t="e">
        <f>CU59-Table2[[#This Row],[5F1 Metering (TW-2)]]</f>
        <v>#VALUE!</v>
      </c>
      <c r="DU58" t="e">
        <f>CV59-Table2[[#This Row],[6F1 Pre soaker Tray washer]]</f>
        <v>#VALUE!</v>
      </c>
      <c r="DV58" t="e">
        <f>CZ59-Table2[[#This Row],[6F5 Vent tray Storage]]</f>
        <v>#VALUE!</v>
      </c>
      <c r="DW58" t="e">
        <f>I59-Table2[[#This Row],[Popeyes Meter ]]</f>
        <v>#VALUE!</v>
      </c>
      <c r="DX58" t="e">
        <f>AZ59-Table2[[#This Row],[2F WH Chiller, Segregation Area]]</f>
        <v>#VALUE!</v>
      </c>
      <c r="DY58" t="e">
        <f>BA59-Table2[[#This Row],[3F1 AC Unit WH dock cooling - 2 Nos]]</f>
        <v>#VALUE!</v>
      </c>
      <c r="DZ58" t="e">
        <f>BB59-Table2[[#This Row],[3F2 AC Unit WH dock cooling - 3 Nos]]</f>
        <v>#VALUE!</v>
      </c>
      <c r="EA58" t="e">
        <f>(BK59-Table2[[#This Row],[5F WH Perishable]])*1000</f>
        <v>#VALUE!</v>
      </c>
      <c r="EB58" t="e">
        <f>BN59-Table2[[#This Row],[2F3 - PDB 9 - WH Dock Leveler Door ]]</f>
        <v>#VALUE!</v>
      </c>
      <c r="EC58" t="e">
        <f>BP59-Table2[[#This Row],[3F1 - PDB 5 - WH HSD]]</f>
        <v>#VALUE!</v>
      </c>
      <c r="ED58" t="e">
        <f>BX59-Table2[[#This Row],[8F1 WH Dock AHU - Ventilation]]</f>
        <v>#VALUE!</v>
      </c>
      <c r="EE58" t="e">
        <f>BZ59-Table2[[#This Row],[8F3 ACPDB - 4 WH Dock air curtain]]</f>
        <v>#VALUE!</v>
      </c>
      <c r="EF58" t="e">
        <f>CA59-Table2[[#This Row],[8F4 WH Light]]</f>
        <v>#VALUE!</v>
      </c>
      <c r="EG58" t="e">
        <f>CC59-Table2[[#This Row],[9F1 - PDB 10 - WH Dock door &amp; Office]]</f>
        <v>#VALUE!</v>
      </c>
      <c r="EH58" t="e">
        <f>CD59-Table2[[#This Row],[9F2 - PDB 11 - WH flycatchers]]</f>
        <v>#VALUE!</v>
      </c>
      <c r="EI58" t="e">
        <f>CE59-Table2[[#This Row],[9F3 - PDB 12 - Other items]]</f>
        <v>#VALUE!</v>
      </c>
      <c r="EJ58" t="e">
        <f>CR59-Table2[[#This Row],[2F3 - PDB 1 - Dock 1 to 4 ]]</f>
        <v>#VALUE!</v>
      </c>
      <c r="EK58" t="e">
        <f>BM59-Table2[[#This Row],[2F2 - PDB 3 - WH Truck &amp; Battery Charging]]</f>
        <v>#VALUE!</v>
      </c>
      <c r="EL58" t="e">
        <f>(CK59-Table2[[#This Row],[PDB - 11 Truck Charging]])*1000</f>
        <v>#VALUE!</v>
      </c>
      <c r="EM58" t="e">
        <f>P59-Table2[[#This Row],[5F3 Admin Area]]</f>
        <v>#VALUE!</v>
      </c>
      <c r="EN58" t="e">
        <f>AH59-Table2[[#This Row],[2F5 Main Gate-1 Piller -1]]</f>
        <v>#VALUE!</v>
      </c>
      <c r="EO58" t="e">
        <f>CW59-Table2[[#This Row],[6F2 Ground Floor AC]]</f>
        <v>#VALUE!</v>
      </c>
      <c r="EP58" t="e">
        <f>CX59-Table2[[#This Row],[6F3 ACBD -1 (First floor AC)]]</f>
        <v>#VALUE!</v>
      </c>
      <c r="EQ58" t="e">
        <f>CY59-Table2[[#This Row],[6F4 ACBD - 2 (Second &amp; Third floor AC)]]</f>
        <v>#VALUE!</v>
      </c>
      <c r="ER58" t="e">
        <f>(BC59-Table2[[#This Row],[4F Old BMC cooling Unit]])</f>
        <v>#VALUE!</v>
      </c>
      <c r="ES58" t="e">
        <f>BO59-Table2[[#This Row],[2F4 - Old BMC]]</f>
        <v>#VALUE!</v>
      </c>
      <c r="ET58" t="e">
        <f>Y59-Table2[[#This Row],[14F2 New CK]]</f>
        <v>#VALUE!</v>
      </c>
      <c r="EU58" t="e">
        <f>(CL59-Table2[[#This Row],[OLD Ck Panel-1]])*1000</f>
        <v>#VALUE!</v>
      </c>
      <c r="EV58" t="e">
        <f>CM59-Table2[[#This Row],[2F4 Old CK Blast (Blue star)]]</f>
        <v>#VALUE!</v>
      </c>
      <c r="EW58" t="e">
        <f>CN59-Table2[[#This Row],[3F6 Old CK Blast (Carrier)]]</f>
        <v>#VALUE!</v>
      </c>
      <c r="EX58" t="e">
        <f>(CO59-Table2[[#This Row],[Old CK Panel -2]])*1000</f>
        <v>#VALUE!</v>
      </c>
      <c r="EY58" t="e">
        <f>N59-Table2[[#This Row],[4F1 Main UPS 1/C -1]]</f>
        <v>#VALUE!</v>
      </c>
      <c r="EZ58" t="e">
        <f>Z59-Table2[[#This Row],[15F1 Main UPS Panel - I/C - 2]]</f>
        <v>#VALUE!</v>
      </c>
      <c r="FA58" t="e">
        <f>BF59-Table2[[#This Row],[2F CLC -1 AC unit - 2]]</f>
        <v>#VALUE!</v>
      </c>
      <c r="FB58" t="e">
        <f>(BG59-Table2[[#This Row],[2F CLC Anti room]])*1000</f>
        <v>#VALUE!</v>
      </c>
      <c r="FC58" t="e">
        <f>BW59-Table2[[#This Row],[7F3 CLC Power Panel]]</f>
        <v>#VALUE!</v>
      </c>
      <c r="FD58" t="e">
        <f>(CI59-Table2[[#This Row],[PDB - 17 CLC Section ]])*1000</f>
        <v>#VALUE!</v>
      </c>
      <c r="FE58" t="e">
        <f>(W59-Table2[[#This Row],[13F3 Water &amp; Lift Old CK]])*1000</f>
        <v>#VALUE!</v>
      </c>
      <c r="FF58" t="e">
        <f>AA59-Table2[[#This Row],[15F2 New ETP Panel]]</f>
        <v>#VALUE!</v>
      </c>
      <c r="FG58" t="e">
        <f>AL59-Table2[[#This Row],[3F4 Old ETP Panel]]</f>
        <v>#VALUE!</v>
      </c>
      <c r="FH58" t="e">
        <f>AF59-Table2[[#This Row],[2F1 RO Plant]]</f>
        <v>#VALUE!</v>
      </c>
      <c r="FI58" t="e">
        <f>AK59-Table2[[#This Row],[3F3 Fire Hydrant Panel]]</f>
        <v>#VALUE!</v>
      </c>
      <c r="FJ58" t="e">
        <f>R59-Table2[[#This Row],[7F1 Freon System Panel]]</f>
        <v>#VALUE!</v>
      </c>
      <c r="FK58" t="e">
        <f>(AE59-Table2[[#This Row],[21F1 Refrigeration Ammonia]])*1000</f>
        <v>#VALUE!</v>
      </c>
      <c r="FL58" t="e">
        <f>(AG59-Table2[[#This Row],[2F3 Air Compressor]])*1000</f>
        <v>#VALUE!</v>
      </c>
      <c r="FM58" t="e">
        <f>(AX59-Table2[[#This Row],[Solar Reading Panel II]])*1000</f>
        <v>#VALUE!</v>
      </c>
      <c r="FN58" t="e">
        <f>AI59-Table2[[#This Row],[3F1 Maintenance Workshop]]</f>
        <v>#VALUE!</v>
      </c>
      <c r="FO58" t="e">
        <f>BD59-Table2[[#This Row],[4F B2B unit ]]</f>
        <v>#VALUE!</v>
      </c>
      <c r="FP58" t="e">
        <f>BL59-Table2[[#This Row],[2F1 - PDB 6 - Bread, B2B section]]</f>
        <v>#VALUE!</v>
      </c>
      <c r="FQ58" t="e">
        <f>(CG59-Table2[[#This Row],[9F5 - PDB 14 - Bread Lift]])</f>
        <v>#VALUE!</v>
      </c>
      <c r="FR58" t="e">
        <f>CJ59-Table2[[#This Row],[PDB - 16 Bread Section]]</f>
        <v>#VALUE!</v>
      </c>
      <c r="FS58" t="e">
        <f>BU59-Table2[[#This Row],[7F1 Donut Production area]]</f>
        <v>#VALUE!</v>
      </c>
      <c r="FT58" t="e">
        <f>CB59-Table2[[#This Row],[8F5 Donut Ban Bary]]</f>
        <v>#VALUE!</v>
      </c>
      <c r="FU58" t="e">
        <f>CF59-Table2[[#This Row],[9F4 - PDB 13 - Donut Sink Geyser area]]</f>
        <v>#VALUE!</v>
      </c>
      <c r="FV58" t="e">
        <f>BV59-Table2[[#This Row],[7F2 Flour Silo]]</f>
        <v>#VALUE!</v>
      </c>
      <c r="FW58" t="e">
        <f>BY59-Table2[[#This Row],[8F2 ACPDB - 3 SILO Ventilation]]</f>
        <v>#VALUE!</v>
      </c>
      <c r="FX58" t="e">
        <f>J59-Table2[[#This Row],[DG 1010KVA Running Hours]]</f>
        <v>#VALUE!</v>
      </c>
      <c r="FY58" t="e">
        <f>K59-Table2[[#This Row],[DG 1010 KVA Meter Reading]]</f>
        <v>#VALUE!</v>
      </c>
      <c r="FZ58" t="e">
        <f>L59-Table2[[#This Row],[GG 1010 KVA Running Hours]]</f>
        <v>#VALUE!</v>
      </c>
      <c r="GA58" t="e">
        <f>M59-Table2[[#This Row],[GG 1010 KVA Meter Reading]]</f>
        <v>#VALUE!</v>
      </c>
    </row>
    <row r="59" spans="1:183" x14ac:dyDescent="0.35">
      <c r="DH59" s="4" t="e">
        <f>Table2[[#This Row],[Date]]</f>
        <v>#VALUE!</v>
      </c>
      <c r="DI59" t="e">
        <f>(DD60-Table2[[#This Row],[MWH Total]])*4000</f>
        <v>#VALUE!</v>
      </c>
      <c r="DJ59" t="e">
        <f>(DA60-Table2[[#This Row],[PNG Meter (Outside)]])*2.936</f>
        <v>#VALUE!</v>
      </c>
      <c r="DK59" t="e">
        <f>(DB60-Table2[[#This Row],[PNG Meter (Inside)]])*2.936</f>
        <v>#VALUE!</v>
      </c>
      <c r="DL59" t="e">
        <f>(BH60-Table2[[#This Row],[3F Dough cooler - 2 ]])*1000</f>
        <v>#VALUE!</v>
      </c>
      <c r="DM59" t="e">
        <f>(BI60-Table2[[#This Row],[3F Dough Cooler- 1]])*1000</f>
        <v>#VALUE!</v>
      </c>
      <c r="DN59" t="e">
        <f>(BJ60-Table2[[#This Row],[4F Dough Production cooling Unit]])*1000</f>
        <v>#VALUE!</v>
      </c>
      <c r="DO59" t="e">
        <f>(BQ60-Table2[[#This Row],[3F2 - PDB 3 - Dough Production Area]])*1000</f>
        <v>#VALUE!</v>
      </c>
      <c r="DP59" t="e">
        <f>(BR60-Table2[[#This Row],[3F3 - PDB 4 - Dough Area]])*1000</f>
        <v>#VALUE!</v>
      </c>
      <c r="DQ59" t="e">
        <f>AC60-Table2[[#This Row],[16F1 Tray washer Panel for Light]]</f>
        <v>#VALUE!</v>
      </c>
      <c r="DR59" t="e">
        <f>CQ60-Table2[[#This Row],[2F1 Tray Washer - 1]]</f>
        <v>#VALUE!</v>
      </c>
      <c r="DS59" t="e">
        <f>CS60-Table2[[#This Row],[2F5 Destacker]]</f>
        <v>#VALUE!</v>
      </c>
      <c r="DT59" t="e">
        <f>CU60-Table2[[#This Row],[5F1 Metering (TW-2)]]</f>
        <v>#VALUE!</v>
      </c>
      <c r="DU59" t="e">
        <f>CV60-Table2[[#This Row],[6F1 Pre soaker Tray washer]]</f>
        <v>#VALUE!</v>
      </c>
      <c r="DV59" t="e">
        <f>CZ60-Table2[[#This Row],[6F5 Vent tray Storage]]</f>
        <v>#VALUE!</v>
      </c>
      <c r="DW59" t="e">
        <f>I60-Table2[[#This Row],[Popeyes Meter ]]</f>
        <v>#VALUE!</v>
      </c>
      <c r="DX59" t="e">
        <f>AZ60-Table2[[#This Row],[2F WH Chiller, Segregation Area]]</f>
        <v>#VALUE!</v>
      </c>
      <c r="DY59" t="e">
        <f>BA60-Table2[[#This Row],[3F1 AC Unit WH dock cooling - 2 Nos]]</f>
        <v>#VALUE!</v>
      </c>
      <c r="DZ59" t="e">
        <f>BB60-Table2[[#This Row],[3F2 AC Unit WH dock cooling - 3 Nos]]</f>
        <v>#VALUE!</v>
      </c>
      <c r="EA59" t="e">
        <f>(BK60-Table2[[#This Row],[5F WH Perishable]])*1000</f>
        <v>#VALUE!</v>
      </c>
      <c r="EB59" t="e">
        <f>BN60-Table2[[#This Row],[2F3 - PDB 9 - WH Dock Leveler Door ]]</f>
        <v>#VALUE!</v>
      </c>
      <c r="EC59" t="e">
        <f>BP60-Table2[[#This Row],[3F1 - PDB 5 - WH HSD]]</f>
        <v>#VALUE!</v>
      </c>
      <c r="ED59" t="e">
        <f>BX60-Table2[[#This Row],[8F1 WH Dock AHU - Ventilation]]</f>
        <v>#VALUE!</v>
      </c>
      <c r="EE59" t="e">
        <f>BZ60-Table2[[#This Row],[8F3 ACPDB - 4 WH Dock air curtain]]</f>
        <v>#VALUE!</v>
      </c>
      <c r="EF59" t="e">
        <f>CA60-Table2[[#This Row],[8F4 WH Light]]</f>
        <v>#VALUE!</v>
      </c>
      <c r="EG59" t="e">
        <f>CC60-Table2[[#This Row],[9F1 - PDB 10 - WH Dock door &amp; Office]]</f>
        <v>#VALUE!</v>
      </c>
      <c r="EH59" t="e">
        <f>CD60-Table2[[#This Row],[9F2 - PDB 11 - WH flycatchers]]</f>
        <v>#VALUE!</v>
      </c>
      <c r="EI59" t="e">
        <f>CE60-Table2[[#This Row],[9F3 - PDB 12 - Other items]]</f>
        <v>#VALUE!</v>
      </c>
      <c r="EJ59" t="e">
        <f>CR60-Table2[[#This Row],[2F3 - PDB 1 - Dock 1 to 4 ]]</f>
        <v>#VALUE!</v>
      </c>
      <c r="EK59" t="e">
        <f>BM60-Table2[[#This Row],[2F2 - PDB 3 - WH Truck &amp; Battery Charging]]</f>
        <v>#VALUE!</v>
      </c>
      <c r="EL59" t="e">
        <f>(CK60-Table2[[#This Row],[PDB - 11 Truck Charging]])*1000</f>
        <v>#VALUE!</v>
      </c>
      <c r="EM59" t="e">
        <f>P60-Table2[[#This Row],[5F3 Admin Area]]</f>
        <v>#VALUE!</v>
      </c>
      <c r="EN59" t="e">
        <f>AH60-Table2[[#This Row],[2F5 Main Gate-1 Piller -1]]</f>
        <v>#VALUE!</v>
      </c>
      <c r="EO59" t="e">
        <f>CW60-Table2[[#This Row],[6F2 Ground Floor AC]]</f>
        <v>#VALUE!</v>
      </c>
      <c r="EP59" t="e">
        <f>CX60-Table2[[#This Row],[6F3 ACBD -1 (First floor AC)]]</f>
        <v>#VALUE!</v>
      </c>
      <c r="EQ59" t="e">
        <f>CY60-Table2[[#This Row],[6F4 ACBD - 2 (Second &amp; Third floor AC)]]</f>
        <v>#VALUE!</v>
      </c>
      <c r="ER59" t="e">
        <f>(BC60-Table2[[#This Row],[4F Old BMC cooling Unit]])</f>
        <v>#VALUE!</v>
      </c>
      <c r="ES59" t="e">
        <f>BO60-Table2[[#This Row],[2F4 - Old BMC]]</f>
        <v>#VALUE!</v>
      </c>
      <c r="ET59" t="e">
        <f>Y60-Table2[[#This Row],[14F2 New CK]]</f>
        <v>#VALUE!</v>
      </c>
      <c r="EU59" t="e">
        <f>(CL60-Table2[[#This Row],[OLD Ck Panel-1]])*1000</f>
        <v>#VALUE!</v>
      </c>
      <c r="EV59" t="e">
        <f>CM60-Table2[[#This Row],[2F4 Old CK Blast (Blue star)]]</f>
        <v>#VALUE!</v>
      </c>
      <c r="EW59" t="e">
        <f>CN60-Table2[[#This Row],[3F6 Old CK Blast (Carrier)]]</f>
        <v>#VALUE!</v>
      </c>
      <c r="EX59" t="e">
        <f>(CO60-Table2[[#This Row],[Old CK Panel -2]])*1000</f>
        <v>#VALUE!</v>
      </c>
      <c r="EY59" t="e">
        <f>N60-Table2[[#This Row],[4F1 Main UPS 1/C -1]]</f>
        <v>#VALUE!</v>
      </c>
      <c r="EZ59" t="e">
        <f>Z60-Table2[[#This Row],[15F1 Main UPS Panel - I/C - 2]]</f>
        <v>#VALUE!</v>
      </c>
      <c r="FA59" t="e">
        <f>BF60-Table2[[#This Row],[2F CLC -1 AC unit - 2]]</f>
        <v>#VALUE!</v>
      </c>
      <c r="FB59" t="e">
        <f>(BG60-Table2[[#This Row],[2F CLC Anti room]])*1000</f>
        <v>#VALUE!</v>
      </c>
      <c r="FC59" t="e">
        <f>BW60-Table2[[#This Row],[7F3 CLC Power Panel]]</f>
        <v>#VALUE!</v>
      </c>
      <c r="FD59" t="e">
        <f>(CI60-Table2[[#This Row],[PDB - 17 CLC Section ]])*1000</f>
        <v>#VALUE!</v>
      </c>
      <c r="FE59" t="e">
        <f>(W60-Table2[[#This Row],[13F3 Water &amp; Lift Old CK]])*1000</f>
        <v>#VALUE!</v>
      </c>
      <c r="FF59" t="e">
        <f>AA60-Table2[[#This Row],[15F2 New ETP Panel]]</f>
        <v>#VALUE!</v>
      </c>
      <c r="FG59" t="e">
        <f>AL60-Table2[[#This Row],[3F4 Old ETP Panel]]</f>
        <v>#VALUE!</v>
      </c>
      <c r="FH59" t="e">
        <f>AF60-Table2[[#This Row],[2F1 RO Plant]]</f>
        <v>#VALUE!</v>
      </c>
      <c r="FI59" t="e">
        <f>AK60-Table2[[#This Row],[3F3 Fire Hydrant Panel]]</f>
        <v>#VALUE!</v>
      </c>
      <c r="FJ59" t="e">
        <f>R60-Table2[[#This Row],[7F1 Freon System Panel]]</f>
        <v>#VALUE!</v>
      </c>
      <c r="FK59" t="e">
        <f>(AE60-Table2[[#This Row],[21F1 Refrigeration Ammonia]])*1000</f>
        <v>#VALUE!</v>
      </c>
      <c r="FL59" t="e">
        <f>(AG60-Table2[[#This Row],[2F3 Air Compressor]])*1000</f>
        <v>#VALUE!</v>
      </c>
      <c r="FM59" t="e">
        <f>(AX60-Table2[[#This Row],[Solar Reading Panel II]])*1000</f>
        <v>#VALUE!</v>
      </c>
      <c r="FN59" t="e">
        <f>AI60-Table2[[#This Row],[3F1 Maintenance Workshop]]</f>
        <v>#VALUE!</v>
      </c>
      <c r="FO59" t="e">
        <f>BD60-Table2[[#This Row],[4F B2B unit ]]</f>
        <v>#VALUE!</v>
      </c>
      <c r="FP59" t="e">
        <f>BL60-Table2[[#This Row],[2F1 - PDB 6 - Bread, B2B section]]</f>
        <v>#VALUE!</v>
      </c>
      <c r="FQ59" t="e">
        <f>(CG60-Table2[[#This Row],[9F5 - PDB 14 - Bread Lift]])</f>
        <v>#VALUE!</v>
      </c>
      <c r="FR59" t="e">
        <f>CJ60-Table2[[#This Row],[PDB - 16 Bread Section]]</f>
        <v>#VALUE!</v>
      </c>
      <c r="FS59" t="e">
        <f>BU60-Table2[[#This Row],[7F1 Donut Production area]]</f>
        <v>#VALUE!</v>
      </c>
      <c r="FT59" t="e">
        <f>CB60-Table2[[#This Row],[8F5 Donut Ban Bary]]</f>
        <v>#VALUE!</v>
      </c>
      <c r="FU59" t="e">
        <f>CF60-Table2[[#This Row],[9F4 - PDB 13 - Donut Sink Geyser area]]</f>
        <v>#VALUE!</v>
      </c>
      <c r="FV59" t="e">
        <f>BV60-Table2[[#This Row],[7F2 Flour Silo]]</f>
        <v>#VALUE!</v>
      </c>
      <c r="FW59" t="e">
        <f>BY60-Table2[[#This Row],[8F2 ACPDB - 3 SILO Ventilation]]</f>
        <v>#VALUE!</v>
      </c>
      <c r="FX59" t="e">
        <f>J60-Table2[[#This Row],[DG 1010KVA Running Hours]]</f>
        <v>#VALUE!</v>
      </c>
      <c r="FY59" t="e">
        <f>K60-Table2[[#This Row],[DG 1010 KVA Meter Reading]]</f>
        <v>#VALUE!</v>
      </c>
      <c r="FZ59" t="e">
        <f>L60-Table2[[#This Row],[GG 1010 KVA Running Hours]]</f>
        <v>#VALUE!</v>
      </c>
      <c r="GA59" t="e">
        <f>M60-Table2[[#This Row],[GG 1010 KVA Meter Reading]]</f>
        <v>#VALUE!</v>
      </c>
    </row>
    <row r="60" spans="1:183" x14ac:dyDescent="0.35"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  <row r="61" spans="1:183" x14ac:dyDescent="0.35">
      <c r="DH61" s="4" t="e">
        <f>Table2[[#This Row],[Date]]</f>
        <v>#VALUE!</v>
      </c>
      <c r="DI61" t="e">
        <f>(DD62-Table2[[#This Row],[MWH Total]])*4000</f>
        <v>#VALUE!</v>
      </c>
      <c r="DJ61" t="e">
        <f>(DA62-Table2[[#This Row],[PNG Meter (Outside)]])*2.936</f>
        <v>#VALUE!</v>
      </c>
      <c r="DK61" t="e">
        <f>(DB62-Table2[[#This Row],[PNG Meter (Inside)]])*2.936</f>
        <v>#VALUE!</v>
      </c>
      <c r="DL61" t="e">
        <f>(BH62-Table2[[#This Row],[3F Dough cooler - 2 ]])*1000</f>
        <v>#VALUE!</v>
      </c>
      <c r="DM61" t="e">
        <f>(BI62-Table2[[#This Row],[3F Dough Cooler- 1]])*1000</f>
        <v>#VALUE!</v>
      </c>
      <c r="DN61" t="e">
        <f>(BJ62-Table2[[#This Row],[4F Dough Production cooling Unit]])*1000</f>
        <v>#VALUE!</v>
      </c>
      <c r="DO61" t="e">
        <f>(BQ62-Table2[[#This Row],[3F2 - PDB 3 - Dough Production Area]])*1000</f>
        <v>#VALUE!</v>
      </c>
      <c r="DP61" t="e">
        <f>(BR62-Table2[[#This Row],[3F3 - PDB 4 - Dough Area]])*1000</f>
        <v>#VALUE!</v>
      </c>
      <c r="DQ61" t="e">
        <f>AC62-Table2[[#This Row],[16F1 Tray washer Panel for Light]]</f>
        <v>#VALUE!</v>
      </c>
      <c r="DR61" t="e">
        <f>CQ62-Table2[[#This Row],[2F1 Tray Washer - 1]]</f>
        <v>#VALUE!</v>
      </c>
      <c r="DS61" t="e">
        <f>CS62-Table2[[#This Row],[2F5 Destacker]]</f>
        <v>#VALUE!</v>
      </c>
      <c r="DT61" t="e">
        <f>CU62-Table2[[#This Row],[5F1 Metering (TW-2)]]</f>
        <v>#VALUE!</v>
      </c>
      <c r="DU61" t="e">
        <f>CV62-Table2[[#This Row],[6F1 Pre soaker Tray washer]]</f>
        <v>#VALUE!</v>
      </c>
      <c r="DV61" t="e">
        <f>CZ62-Table2[[#This Row],[6F5 Vent tray Storage]]</f>
        <v>#VALUE!</v>
      </c>
      <c r="DW61" t="e">
        <f>I62-Table2[[#This Row],[Popeyes Meter ]]</f>
        <v>#VALUE!</v>
      </c>
      <c r="DX61" t="e">
        <f>AZ62-Table2[[#This Row],[2F WH Chiller, Segregation Area]]</f>
        <v>#VALUE!</v>
      </c>
      <c r="DY61" t="e">
        <f>BA62-Table2[[#This Row],[3F1 AC Unit WH dock cooling - 2 Nos]]</f>
        <v>#VALUE!</v>
      </c>
      <c r="DZ61" t="e">
        <f>BB62-Table2[[#This Row],[3F2 AC Unit WH dock cooling - 3 Nos]]</f>
        <v>#VALUE!</v>
      </c>
      <c r="EA61" t="e">
        <f>(BK62-Table2[[#This Row],[5F WH Perishable]])*1000</f>
        <v>#VALUE!</v>
      </c>
      <c r="EB61" t="e">
        <f>BN62-Table2[[#This Row],[2F3 - PDB 9 - WH Dock Leveler Door ]]</f>
        <v>#VALUE!</v>
      </c>
      <c r="EC61" t="e">
        <f>BP62-Table2[[#This Row],[3F1 - PDB 5 - WH HSD]]</f>
        <v>#VALUE!</v>
      </c>
      <c r="ED61" t="e">
        <f>BX62-Table2[[#This Row],[8F1 WH Dock AHU - Ventilation]]</f>
        <v>#VALUE!</v>
      </c>
      <c r="EE61" t="e">
        <f>BZ62-Table2[[#This Row],[8F3 ACPDB - 4 WH Dock air curtain]]</f>
        <v>#VALUE!</v>
      </c>
      <c r="EF61" t="e">
        <f>CA62-Table2[[#This Row],[8F4 WH Light]]</f>
        <v>#VALUE!</v>
      </c>
      <c r="EG61" t="e">
        <f>CC62-Table2[[#This Row],[9F1 - PDB 10 - WH Dock door &amp; Office]]</f>
        <v>#VALUE!</v>
      </c>
      <c r="EH61" t="e">
        <f>CD62-Table2[[#This Row],[9F2 - PDB 11 - WH flycatchers]]</f>
        <v>#VALUE!</v>
      </c>
      <c r="EI61" t="e">
        <f>CE62-Table2[[#This Row],[9F3 - PDB 12 - Other items]]</f>
        <v>#VALUE!</v>
      </c>
      <c r="EJ61" t="e">
        <f>CR62-Table2[[#This Row],[2F3 - PDB 1 - Dock 1 to 4 ]]</f>
        <v>#VALUE!</v>
      </c>
      <c r="EK61" t="e">
        <f>BM62-Table2[[#This Row],[2F2 - PDB 3 - WH Truck &amp; Battery Charging]]</f>
        <v>#VALUE!</v>
      </c>
      <c r="EL61" t="e">
        <f>(CK62-Table2[[#This Row],[PDB - 11 Truck Charging]])*1000</f>
        <v>#VALUE!</v>
      </c>
      <c r="EM61" t="e">
        <f>P62-Table2[[#This Row],[5F3 Admin Area]]</f>
        <v>#VALUE!</v>
      </c>
      <c r="EN61" t="e">
        <f>AH62-Table2[[#This Row],[2F5 Main Gate-1 Piller -1]]</f>
        <v>#VALUE!</v>
      </c>
      <c r="EO61" t="e">
        <f>CW62-Table2[[#This Row],[6F2 Ground Floor AC]]</f>
        <v>#VALUE!</v>
      </c>
      <c r="EP61" t="e">
        <f>CX62-Table2[[#This Row],[6F3 ACBD -1 (First floor AC)]]</f>
        <v>#VALUE!</v>
      </c>
      <c r="EQ61" t="e">
        <f>CY62-Table2[[#This Row],[6F4 ACBD - 2 (Second &amp; Third floor AC)]]</f>
        <v>#VALUE!</v>
      </c>
      <c r="ER61" t="e">
        <f>(BC62-Table2[[#This Row],[4F Old BMC cooling Unit]])</f>
        <v>#VALUE!</v>
      </c>
      <c r="ES61" t="e">
        <f>BO62-Table2[[#This Row],[2F4 - Old BMC]]</f>
        <v>#VALUE!</v>
      </c>
      <c r="ET61" t="e">
        <f>Y62-Table2[[#This Row],[14F2 New CK]]</f>
        <v>#VALUE!</v>
      </c>
      <c r="EU61" t="e">
        <f>(CL62-Table2[[#This Row],[OLD Ck Panel-1]])*1000</f>
        <v>#VALUE!</v>
      </c>
      <c r="EV61" t="e">
        <f>CM62-Table2[[#This Row],[2F4 Old CK Blast (Blue star)]]</f>
        <v>#VALUE!</v>
      </c>
      <c r="EW61" t="e">
        <f>CN62-Table2[[#This Row],[3F6 Old CK Blast (Carrier)]]</f>
        <v>#VALUE!</v>
      </c>
      <c r="EX61" t="e">
        <f>(CO62-Table2[[#This Row],[Old CK Panel -2]])*1000</f>
        <v>#VALUE!</v>
      </c>
      <c r="EY61" t="e">
        <f>N62-Table2[[#This Row],[4F1 Main UPS 1/C -1]]</f>
        <v>#VALUE!</v>
      </c>
      <c r="EZ61" t="e">
        <f>Z62-Table2[[#This Row],[15F1 Main UPS Panel - I/C - 2]]</f>
        <v>#VALUE!</v>
      </c>
      <c r="FA61" t="e">
        <f>BF62-Table2[[#This Row],[2F CLC -1 AC unit - 2]]</f>
        <v>#VALUE!</v>
      </c>
      <c r="FB61" t="e">
        <f>(BG62-Table2[[#This Row],[2F CLC Anti room]])*1000</f>
        <v>#VALUE!</v>
      </c>
      <c r="FC61" t="e">
        <f>BW62-Table2[[#This Row],[7F3 CLC Power Panel]]</f>
        <v>#VALUE!</v>
      </c>
      <c r="FD61" t="e">
        <f>(CI62-Table2[[#This Row],[PDB - 17 CLC Section ]])*1000</f>
        <v>#VALUE!</v>
      </c>
      <c r="FE61" t="e">
        <f>(W62-Table2[[#This Row],[13F3 Water &amp; Lift Old CK]])*1000</f>
        <v>#VALUE!</v>
      </c>
      <c r="FF61" t="e">
        <f>AA62-Table2[[#This Row],[15F2 New ETP Panel]]</f>
        <v>#VALUE!</v>
      </c>
      <c r="FG61" t="e">
        <f>AL62-Table2[[#This Row],[3F4 Old ETP Panel]]</f>
        <v>#VALUE!</v>
      </c>
      <c r="FH61" t="e">
        <f>AF62-Table2[[#This Row],[2F1 RO Plant]]</f>
        <v>#VALUE!</v>
      </c>
      <c r="FI61" t="e">
        <f>AK62-Table2[[#This Row],[3F3 Fire Hydrant Panel]]</f>
        <v>#VALUE!</v>
      </c>
      <c r="FJ61" t="e">
        <f>R62-Table2[[#This Row],[7F1 Freon System Panel]]</f>
        <v>#VALUE!</v>
      </c>
      <c r="FK61" t="e">
        <f>(AE62-Table2[[#This Row],[21F1 Refrigeration Ammonia]])*1000</f>
        <v>#VALUE!</v>
      </c>
      <c r="FL61" t="e">
        <f>(AG62-Table2[[#This Row],[2F3 Air Compressor]])*1000</f>
        <v>#VALUE!</v>
      </c>
      <c r="FM61" t="e">
        <f>(AX62-Table2[[#This Row],[Solar Reading Panel II]])*1000</f>
        <v>#VALUE!</v>
      </c>
      <c r="FN61" t="e">
        <f>AI62-Table2[[#This Row],[3F1 Maintenance Workshop]]</f>
        <v>#VALUE!</v>
      </c>
      <c r="FO61" t="e">
        <f>BD62-Table2[[#This Row],[4F B2B unit ]]</f>
        <v>#VALUE!</v>
      </c>
      <c r="FP61" t="e">
        <f>BL62-Table2[[#This Row],[2F1 - PDB 6 - Bread, B2B section]]</f>
        <v>#VALUE!</v>
      </c>
      <c r="FQ61" t="e">
        <f>(CG62-Table2[[#This Row],[9F5 - PDB 14 - Bread Lift]])</f>
        <v>#VALUE!</v>
      </c>
      <c r="FR61" t="e">
        <f>CJ62-Table2[[#This Row],[PDB - 16 Bread Section]]</f>
        <v>#VALUE!</v>
      </c>
      <c r="FS61" t="e">
        <f>BU62-Table2[[#This Row],[7F1 Donut Production area]]</f>
        <v>#VALUE!</v>
      </c>
      <c r="FT61" t="e">
        <f>CB62-Table2[[#This Row],[8F5 Donut Ban Bary]]</f>
        <v>#VALUE!</v>
      </c>
      <c r="FU61" t="e">
        <f>CF62-Table2[[#This Row],[9F4 - PDB 13 - Donut Sink Geyser area]]</f>
        <v>#VALUE!</v>
      </c>
      <c r="FV61" t="e">
        <f>BV62-Table2[[#This Row],[7F2 Flour Silo]]</f>
        <v>#VALUE!</v>
      </c>
      <c r="FW61" t="e">
        <f>BY62-Table2[[#This Row],[8F2 ACPDB - 3 SILO Ventilation]]</f>
        <v>#VALUE!</v>
      </c>
      <c r="FX61" t="e">
        <f>J62-Table2[[#This Row],[DG 1010KVA Running Hours]]</f>
        <v>#VALUE!</v>
      </c>
      <c r="FY61" t="e">
        <f>K62-Table2[[#This Row],[DG 1010 KVA Meter Reading]]</f>
        <v>#VALUE!</v>
      </c>
      <c r="FZ61" t="e">
        <f>L62-Table2[[#This Row],[GG 1010 KVA Running Hours]]</f>
        <v>#VALUE!</v>
      </c>
      <c r="GA61" t="e">
        <f>M62-Table2[[#This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41" activePane="bottomLeft" state="frozen"/>
      <selection pane="bottomLeft" activeCell="I53" sqref="I53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3252.6999999999825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3749.5000000000582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7002.2000000000407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501.29999999998836</v>
      </c>
      <c r="M51" s="46">
        <f t="shared" si="6"/>
        <v>0</v>
      </c>
      <c r="N51" s="46">
        <f t="shared" si="6"/>
        <v>367</v>
      </c>
      <c r="O51" s="46">
        <f t="shared" si="6"/>
        <v>370.70000000001164</v>
      </c>
      <c r="P51" s="46">
        <f t="shared" si="6"/>
        <v>228.10000000000582</v>
      </c>
      <c r="Q51" s="46">
        <f t="shared" si="6"/>
        <v>565.59999999997672</v>
      </c>
      <c r="R51" s="46">
        <f t="shared" si="6"/>
        <v>0</v>
      </c>
      <c r="S51" s="46">
        <f t="shared" si="6"/>
        <v>1378.6999999999534</v>
      </c>
      <c r="T51" s="46">
        <f t="shared" si="6"/>
        <v>1417</v>
      </c>
      <c r="U51" s="47">
        <f t="shared" si="7"/>
        <v>1066.8999999999651</v>
      </c>
      <c r="V51" s="47">
        <f t="shared" si="7"/>
        <v>0</v>
      </c>
      <c r="W51" s="47">
        <f t="shared" si="7"/>
        <v>1745.6999999999534</v>
      </c>
      <c r="X51" s="47">
        <f t="shared" si="5"/>
        <v>2015.8000000000175</v>
      </c>
    </row>
    <row r="52" spans="1:24" ht="20" customHeight="1" x14ac:dyDescent="0.35">
      <c r="A52" s="29" t="s">
        <v>278</v>
      </c>
      <c r="B52" s="30">
        <v>420001.6</v>
      </c>
      <c r="C52" s="29" t="s">
        <v>237</v>
      </c>
      <c r="D52" s="31">
        <v>55452.6</v>
      </c>
      <c r="E52" s="31">
        <v>378407.8</v>
      </c>
      <c r="F52" s="31">
        <v>253622.6</v>
      </c>
      <c r="G52" s="31">
        <v>540247.1</v>
      </c>
      <c r="H52" s="29" t="s">
        <v>237</v>
      </c>
      <c r="I52" s="31">
        <v>744210.5</v>
      </c>
      <c r="J52" s="34">
        <v>1481508</v>
      </c>
      <c r="L52" s="46">
        <f t="shared" si="6"/>
        <v>-420001.6</v>
      </c>
      <c r="M52" s="46">
        <f t="shared" si="6"/>
        <v>0</v>
      </c>
      <c r="N52" s="46">
        <f t="shared" si="6"/>
        <v>-55452.6</v>
      </c>
      <c r="O52" s="46">
        <f t="shared" si="6"/>
        <v>-378407.8</v>
      </c>
      <c r="P52" s="46">
        <f t="shared" si="6"/>
        <v>-253622.6</v>
      </c>
      <c r="Q52" s="46">
        <f t="shared" si="6"/>
        <v>-540247.1</v>
      </c>
      <c r="R52" s="46">
        <f t="shared" si="6"/>
        <v>0</v>
      </c>
      <c r="S52" s="46">
        <f t="shared" si="6"/>
        <v>-744210.5</v>
      </c>
      <c r="T52" s="46">
        <f t="shared" si="6"/>
        <v>-1481508</v>
      </c>
      <c r="U52" s="47">
        <f t="shared" si="7"/>
        <v>-960248.7</v>
      </c>
      <c r="V52" s="47">
        <f t="shared" si="7"/>
        <v>0</v>
      </c>
      <c r="W52" s="47">
        <f t="shared" si="7"/>
        <v>-799663.1</v>
      </c>
      <c r="X52" s="47">
        <f t="shared" si="5"/>
        <v>-2113538.4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2026-08-06T09:49:52Z</dcterms:modified>
</cp:coreProperties>
</file>