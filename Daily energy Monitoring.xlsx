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 activeTab="1"/>
  </bookViews>
  <sheets>
    <sheet name="Sheet2" sheetId="2" r:id="rId1"/>
    <sheet name="Freon Meter reading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153" i="3" l="1"/>
  <c r="W153" i="3"/>
  <c r="V153" i="3"/>
  <c r="U153" i="3"/>
  <c r="T152" i="3"/>
  <c r="S152" i="3"/>
  <c r="W152" i="3" s="1"/>
  <c r="R152" i="3"/>
  <c r="V152" i="3" s="1"/>
  <c r="Q152" i="3"/>
  <c r="U152" i="3" s="1"/>
  <c r="P152" i="3"/>
  <c r="O152" i="3"/>
  <c r="X152" i="3" s="1"/>
  <c r="N152" i="3"/>
  <c r="M152" i="3"/>
  <c r="L152" i="3"/>
  <c r="T151" i="3"/>
  <c r="S151" i="3"/>
  <c r="R151" i="3"/>
  <c r="V151" i="3" s="1"/>
  <c r="Q151" i="3"/>
  <c r="U151" i="3" s="1"/>
  <c r="P151" i="3"/>
  <c r="O151" i="3"/>
  <c r="X151" i="3" s="1"/>
  <c r="N151" i="3"/>
  <c r="W151" i="3" s="1"/>
  <c r="M151" i="3"/>
  <c r="L151" i="3"/>
  <c r="U150" i="3"/>
  <c r="T150" i="3"/>
  <c r="S150" i="3"/>
  <c r="R150" i="3"/>
  <c r="Q150" i="3"/>
  <c r="P150" i="3"/>
  <c r="O150" i="3"/>
  <c r="N150" i="3"/>
  <c r="W150" i="3" s="1"/>
  <c r="M150" i="3"/>
  <c r="V150" i="3" s="1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X148" i="3" s="1"/>
  <c r="N148" i="3"/>
  <c r="W148" i="3" s="1"/>
  <c r="M148" i="3"/>
  <c r="V148" i="3" s="1"/>
  <c r="L148" i="3"/>
  <c r="U148" i="3" s="1"/>
  <c r="X147" i="3"/>
  <c r="T147" i="3"/>
  <c r="S147" i="3"/>
  <c r="R147" i="3"/>
  <c r="Q147" i="3"/>
  <c r="P147" i="3"/>
  <c r="O147" i="3"/>
  <c r="N147" i="3"/>
  <c r="W147" i="3" s="1"/>
  <c r="M147" i="3"/>
  <c r="V147" i="3" s="1"/>
  <c r="L147" i="3"/>
  <c r="U147" i="3" s="1"/>
  <c r="X146" i="3"/>
  <c r="W146" i="3"/>
  <c r="T146" i="3"/>
  <c r="S146" i="3"/>
  <c r="R146" i="3"/>
  <c r="Q146" i="3"/>
  <c r="P146" i="3"/>
  <c r="O146" i="3"/>
  <c r="N146" i="3"/>
  <c r="M146" i="3"/>
  <c r="V146" i="3" s="1"/>
  <c r="L146" i="3"/>
  <c r="U146" i="3" s="1"/>
  <c r="W145" i="3"/>
  <c r="V145" i="3"/>
  <c r="T145" i="3"/>
  <c r="S145" i="3"/>
  <c r="R145" i="3"/>
  <c r="Q145" i="3"/>
  <c r="P145" i="3"/>
  <c r="O145" i="3"/>
  <c r="X145" i="3" s="1"/>
  <c r="N145" i="3"/>
  <c r="M145" i="3"/>
  <c r="L145" i="3"/>
  <c r="U145" i="3" s="1"/>
  <c r="X144" i="3"/>
  <c r="V144" i="3"/>
  <c r="U144" i="3"/>
  <c r="T144" i="3"/>
  <c r="S144" i="3"/>
  <c r="R144" i="3"/>
  <c r="Q144" i="3"/>
  <c r="P144" i="3"/>
  <c r="O144" i="3"/>
  <c r="N144" i="3"/>
  <c r="W144" i="3" s="1"/>
  <c r="M144" i="3"/>
  <c r="L144" i="3"/>
  <c r="W143" i="3"/>
  <c r="U143" i="3"/>
  <c r="T143" i="3"/>
  <c r="X143" i="3" s="1"/>
  <c r="S143" i="3"/>
  <c r="R143" i="3"/>
  <c r="Q143" i="3"/>
  <c r="P143" i="3"/>
  <c r="O143" i="3"/>
  <c r="N143" i="3"/>
  <c r="M143" i="3"/>
  <c r="V143" i="3" s="1"/>
  <c r="L143" i="3"/>
  <c r="V142" i="3"/>
  <c r="T142" i="3"/>
  <c r="X142" i="3" s="1"/>
  <c r="S142" i="3"/>
  <c r="W142" i="3" s="1"/>
  <c r="R142" i="3"/>
  <c r="Q142" i="3"/>
  <c r="P142" i="3"/>
  <c r="O142" i="3"/>
  <c r="N142" i="3"/>
  <c r="M142" i="3"/>
  <c r="L142" i="3"/>
  <c r="U142" i="3" s="1"/>
  <c r="U141" i="3"/>
  <c r="T141" i="3"/>
  <c r="X141" i="3" s="1"/>
  <c r="S141" i="3"/>
  <c r="W141" i="3" s="1"/>
  <c r="R141" i="3"/>
  <c r="V141" i="3" s="1"/>
  <c r="Q141" i="3"/>
  <c r="P141" i="3"/>
  <c r="O141" i="3"/>
  <c r="N141" i="3"/>
  <c r="M141" i="3"/>
  <c r="L141" i="3"/>
  <c r="X140" i="3"/>
  <c r="T140" i="3"/>
  <c r="S140" i="3"/>
  <c r="W140" i="3" s="1"/>
  <c r="R140" i="3"/>
  <c r="V140" i="3" s="1"/>
  <c r="Q140" i="3"/>
  <c r="U140" i="3" s="1"/>
  <c r="P140" i="3"/>
  <c r="O140" i="3"/>
  <c r="N140" i="3"/>
  <c r="M140" i="3"/>
  <c r="L140" i="3"/>
  <c r="W139" i="3"/>
  <c r="V139" i="3"/>
  <c r="T139" i="3"/>
  <c r="S139" i="3"/>
  <c r="R139" i="3"/>
  <c r="Q139" i="3"/>
  <c r="U139" i="3" s="1"/>
  <c r="P139" i="3"/>
  <c r="X139" i="3" s="1"/>
  <c r="O139" i="3"/>
  <c r="N139" i="3"/>
  <c r="M139" i="3"/>
  <c r="L139" i="3"/>
  <c r="V138" i="3"/>
  <c r="U138" i="3"/>
  <c r="T138" i="3"/>
  <c r="S138" i="3"/>
  <c r="W138" i="3" s="1"/>
  <c r="R138" i="3"/>
  <c r="Q138" i="3"/>
  <c r="P138" i="3"/>
  <c r="O138" i="3"/>
  <c r="N138" i="3"/>
  <c r="M138" i="3"/>
  <c r="L138" i="3"/>
  <c r="T137" i="3"/>
  <c r="S137" i="3"/>
  <c r="R137" i="3"/>
  <c r="V137" i="3" s="1"/>
  <c r="Q137" i="3"/>
  <c r="U137" i="3" s="1"/>
  <c r="P137" i="3"/>
  <c r="O137" i="3"/>
  <c r="X137" i="3" s="1"/>
  <c r="N137" i="3"/>
  <c r="M137" i="3"/>
  <c r="L137" i="3"/>
  <c r="T136" i="3"/>
  <c r="S136" i="3"/>
  <c r="R136" i="3"/>
  <c r="Q136" i="3"/>
  <c r="U136" i="3" s="1"/>
  <c r="P136" i="3"/>
  <c r="O136" i="3"/>
  <c r="X136" i="3" s="1"/>
  <c r="N136" i="3"/>
  <c r="W136" i="3" s="1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V135" i="3" s="1"/>
  <c r="L135" i="3"/>
  <c r="U135" i="3" s="1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X133" i="3" s="1"/>
  <c r="N133" i="3"/>
  <c r="W133" i="3" s="1"/>
  <c r="M133" i="3"/>
  <c r="V133" i="3" s="1"/>
  <c r="L133" i="3"/>
  <c r="U133" i="3" s="1"/>
  <c r="X132" i="3"/>
  <c r="W132" i="3"/>
  <c r="T132" i="3"/>
  <c r="S132" i="3"/>
  <c r="R132" i="3"/>
  <c r="Q132" i="3"/>
  <c r="P132" i="3"/>
  <c r="O132" i="3"/>
  <c r="N132" i="3"/>
  <c r="M132" i="3"/>
  <c r="V132" i="3" s="1"/>
  <c r="L132" i="3"/>
  <c r="U132" i="3" s="1"/>
  <c r="X131" i="3"/>
  <c r="W131" i="3"/>
  <c r="V131" i="3"/>
  <c r="T131" i="3"/>
  <c r="S131" i="3"/>
  <c r="R131" i="3"/>
  <c r="Q131" i="3"/>
  <c r="P131" i="3"/>
  <c r="O131" i="3"/>
  <c r="N131" i="3"/>
  <c r="M131" i="3"/>
  <c r="L131" i="3"/>
  <c r="U131" i="3" s="1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W129" i="3"/>
  <c r="V129" i="3"/>
  <c r="U129" i="3"/>
  <c r="T129" i="3"/>
  <c r="X129" i="3" s="1"/>
  <c r="S129" i="3"/>
  <c r="R129" i="3"/>
  <c r="Q129" i="3"/>
  <c r="P129" i="3"/>
  <c r="O129" i="3"/>
  <c r="N129" i="3"/>
  <c r="M129" i="3"/>
  <c r="L129" i="3"/>
  <c r="V128" i="3"/>
  <c r="U128" i="3"/>
  <c r="T128" i="3"/>
  <c r="X128" i="3" s="1"/>
  <c r="S128" i="3"/>
  <c r="W128" i="3" s="1"/>
  <c r="R128" i="3"/>
  <c r="Q128" i="3"/>
  <c r="P128" i="3"/>
  <c r="O128" i="3"/>
  <c r="N128" i="3"/>
  <c r="M128" i="3"/>
  <c r="L128" i="3"/>
  <c r="U127" i="3"/>
  <c r="T127" i="3"/>
  <c r="X127" i="3" s="1"/>
  <c r="S127" i="3"/>
  <c r="W127" i="3" s="1"/>
  <c r="R127" i="3"/>
  <c r="V127" i="3" s="1"/>
  <c r="Q127" i="3"/>
  <c r="P127" i="3"/>
  <c r="O127" i="3"/>
  <c r="N127" i="3"/>
  <c r="M127" i="3"/>
  <c r="L127" i="3"/>
  <c r="T126" i="3"/>
  <c r="X126" i="3" s="1"/>
  <c r="S126" i="3"/>
  <c r="W126" i="3" s="1"/>
  <c r="R126" i="3"/>
  <c r="V126" i="3" s="1"/>
  <c r="Q126" i="3"/>
  <c r="U126" i="3" s="1"/>
  <c r="P126" i="3"/>
  <c r="O126" i="3"/>
  <c r="N126" i="3"/>
  <c r="M126" i="3"/>
  <c r="L126" i="3"/>
  <c r="T125" i="3"/>
  <c r="S125" i="3"/>
  <c r="W125" i="3" s="1"/>
  <c r="R125" i="3"/>
  <c r="V125" i="3" s="1"/>
  <c r="Q125" i="3"/>
  <c r="U125" i="3" s="1"/>
  <c r="P125" i="3"/>
  <c r="X125" i="3" s="1"/>
  <c r="O125" i="3"/>
  <c r="N125" i="3"/>
  <c r="M125" i="3"/>
  <c r="L125" i="3"/>
  <c r="T124" i="3"/>
  <c r="S124" i="3"/>
  <c r="W124" i="3" s="1"/>
  <c r="R124" i="3"/>
  <c r="V124" i="3" s="1"/>
  <c r="Q124" i="3"/>
  <c r="U124" i="3" s="1"/>
  <c r="P124" i="3"/>
  <c r="O124" i="3"/>
  <c r="X124" i="3" s="1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X121" i="3" s="1"/>
  <c r="N121" i="3"/>
  <c r="W121" i="3" s="1"/>
  <c r="M121" i="3"/>
  <c r="V121" i="3" s="1"/>
  <c r="L121" i="3"/>
  <c r="U121" i="3" s="1"/>
  <c r="T120" i="3"/>
  <c r="S120" i="3"/>
  <c r="R120" i="3"/>
  <c r="Q120" i="3"/>
  <c r="P120" i="3"/>
  <c r="O120" i="3"/>
  <c r="X120" i="3" s="1"/>
  <c r="N120" i="3"/>
  <c r="W120" i="3" s="1"/>
  <c r="M120" i="3"/>
  <c r="L120" i="3"/>
  <c r="U120" i="3" s="1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W118" i="3" s="1"/>
  <c r="M118" i="3"/>
  <c r="V118" i="3" s="1"/>
  <c r="L118" i="3"/>
  <c r="U118" i="3" s="1"/>
  <c r="X117" i="3"/>
  <c r="T117" i="3"/>
  <c r="S117" i="3"/>
  <c r="R117" i="3"/>
  <c r="Q117" i="3"/>
  <c r="P117" i="3"/>
  <c r="O117" i="3"/>
  <c r="N117" i="3"/>
  <c r="W117" i="3" s="1"/>
  <c r="M117" i="3"/>
  <c r="V117" i="3" s="1"/>
  <c r="L117" i="3"/>
  <c r="U117" i="3" s="1"/>
  <c r="X116" i="3"/>
  <c r="W116" i="3"/>
  <c r="V116" i="3"/>
  <c r="T116" i="3"/>
  <c r="S116" i="3"/>
  <c r="R116" i="3"/>
  <c r="Q116" i="3"/>
  <c r="P116" i="3"/>
  <c r="O116" i="3"/>
  <c r="N116" i="3"/>
  <c r="M116" i="3"/>
  <c r="L116" i="3"/>
  <c r="U116" i="3" s="1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W114" i="3"/>
  <c r="V114" i="3"/>
  <c r="U114" i="3"/>
  <c r="T114" i="3"/>
  <c r="X114" i="3" s="1"/>
  <c r="S114" i="3"/>
  <c r="R114" i="3"/>
  <c r="Q114" i="3"/>
  <c r="P114" i="3"/>
  <c r="O114" i="3"/>
  <c r="N114" i="3"/>
  <c r="M114" i="3"/>
  <c r="L114" i="3"/>
  <c r="V113" i="3"/>
  <c r="U113" i="3"/>
  <c r="T113" i="3"/>
  <c r="X113" i="3" s="1"/>
  <c r="S113" i="3"/>
  <c r="W113" i="3" s="1"/>
  <c r="R113" i="3"/>
  <c r="Q113" i="3"/>
  <c r="P113" i="3"/>
  <c r="O113" i="3"/>
  <c r="N113" i="3"/>
  <c r="M113" i="3"/>
  <c r="L113" i="3"/>
  <c r="U112" i="3"/>
  <c r="T112" i="3"/>
  <c r="X112" i="3" s="1"/>
  <c r="S112" i="3"/>
  <c r="W112" i="3" s="1"/>
  <c r="R112" i="3"/>
  <c r="V112" i="3" s="1"/>
  <c r="Q112" i="3"/>
  <c r="P112" i="3"/>
  <c r="O112" i="3"/>
  <c r="N112" i="3"/>
  <c r="M112" i="3"/>
  <c r="L112" i="3"/>
  <c r="T111" i="3"/>
  <c r="S111" i="3"/>
  <c r="W111" i="3" s="1"/>
  <c r="R111" i="3"/>
  <c r="V111" i="3" s="1"/>
  <c r="Q111" i="3"/>
  <c r="U111" i="3" s="1"/>
  <c r="P111" i="3"/>
  <c r="X111" i="3" s="1"/>
  <c r="O111" i="3"/>
  <c r="N111" i="3"/>
  <c r="M111" i="3"/>
  <c r="L111" i="3"/>
  <c r="T110" i="3"/>
  <c r="S110" i="3"/>
  <c r="W110" i="3" s="1"/>
  <c r="R110" i="3"/>
  <c r="V110" i="3" s="1"/>
  <c r="Q110" i="3"/>
  <c r="U110" i="3" s="1"/>
  <c r="P110" i="3"/>
  <c r="O110" i="3"/>
  <c r="X110" i="3" s="1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W109" i="3" s="1"/>
  <c r="M109" i="3"/>
  <c r="L109" i="3"/>
  <c r="U108" i="3"/>
  <c r="T108" i="3"/>
  <c r="S108" i="3"/>
  <c r="R108" i="3"/>
  <c r="Q108" i="3"/>
  <c r="P108" i="3"/>
  <c r="O108" i="3"/>
  <c r="N108" i="3"/>
  <c r="W108" i="3" s="1"/>
  <c r="M108" i="3"/>
  <c r="V108" i="3" s="1"/>
  <c r="L108" i="3"/>
  <c r="T107" i="3"/>
  <c r="S107" i="3"/>
  <c r="R107" i="3"/>
  <c r="Q107" i="3"/>
  <c r="P107" i="3"/>
  <c r="O107" i="3"/>
  <c r="X107" i="3" s="1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V106" i="3" s="1"/>
  <c r="L106" i="3"/>
  <c r="U106" i="3" s="1"/>
  <c r="X105" i="3"/>
  <c r="T105" i="3"/>
  <c r="S105" i="3"/>
  <c r="R105" i="3"/>
  <c r="Q105" i="3"/>
  <c r="P105" i="3"/>
  <c r="O105" i="3"/>
  <c r="N105" i="3"/>
  <c r="W105" i="3" s="1"/>
  <c r="M105" i="3"/>
  <c r="V105" i="3" s="1"/>
  <c r="L105" i="3"/>
  <c r="U105" i="3" s="1"/>
  <c r="X104" i="3"/>
  <c r="W104" i="3"/>
  <c r="T104" i="3"/>
  <c r="S104" i="3"/>
  <c r="R104" i="3"/>
  <c r="Q104" i="3"/>
  <c r="P104" i="3"/>
  <c r="O104" i="3"/>
  <c r="N104" i="3"/>
  <c r="M104" i="3"/>
  <c r="V104" i="3" s="1"/>
  <c r="L104" i="3"/>
  <c r="W103" i="3"/>
  <c r="V103" i="3"/>
  <c r="T103" i="3"/>
  <c r="S103" i="3"/>
  <c r="R103" i="3"/>
  <c r="Q103" i="3"/>
  <c r="P103" i="3"/>
  <c r="O103" i="3"/>
  <c r="X103" i="3" s="1"/>
  <c r="N103" i="3"/>
  <c r="M103" i="3"/>
  <c r="L103" i="3"/>
  <c r="U103" i="3" s="1"/>
  <c r="V102" i="3"/>
  <c r="U102" i="3"/>
  <c r="T102" i="3"/>
  <c r="S102" i="3"/>
  <c r="R102" i="3"/>
  <c r="Q102" i="3"/>
  <c r="P102" i="3"/>
  <c r="O102" i="3"/>
  <c r="X102" i="3" s="1"/>
  <c r="N102" i="3"/>
  <c r="W102" i="3" s="1"/>
  <c r="M102" i="3"/>
  <c r="L102" i="3"/>
  <c r="U101" i="3"/>
  <c r="T101" i="3"/>
  <c r="X101" i="3" s="1"/>
  <c r="S101" i="3"/>
  <c r="R101" i="3"/>
  <c r="Q101" i="3"/>
  <c r="P101" i="3"/>
  <c r="O101" i="3"/>
  <c r="N101" i="3"/>
  <c r="W101" i="3" s="1"/>
  <c r="M101" i="3"/>
  <c r="V101" i="3" s="1"/>
  <c r="L101" i="3"/>
  <c r="T100" i="3"/>
  <c r="X100" i="3" s="1"/>
  <c r="S100" i="3"/>
  <c r="W100" i="3" s="1"/>
  <c r="R100" i="3"/>
  <c r="Q100" i="3"/>
  <c r="P100" i="3"/>
  <c r="O100" i="3"/>
  <c r="N100" i="3"/>
  <c r="M100" i="3"/>
  <c r="V100" i="3" s="1"/>
  <c r="L100" i="3"/>
  <c r="U100" i="3" s="1"/>
  <c r="T99" i="3"/>
  <c r="X99" i="3" s="1"/>
  <c r="S99" i="3"/>
  <c r="W99" i="3" s="1"/>
  <c r="R99" i="3"/>
  <c r="V99" i="3" s="1"/>
  <c r="Q99" i="3"/>
  <c r="P99" i="3"/>
  <c r="O99" i="3"/>
  <c r="N99" i="3"/>
  <c r="M99" i="3"/>
  <c r="L99" i="3"/>
  <c r="U99" i="3" s="1"/>
  <c r="X98" i="3"/>
  <c r="T98" i="3"/>
  <c r="S98" i="3"/>
  <c r="W98" i="3" s="1"/>
  <c r="R98" i="3"/>
  <c r="V98" i="3" s="1"/>
  <c r="Q98" i="3"/>
  <c r="U98" i="3" s="1"/>
  <c r="P98" i="3"/>
  <c r="O98" i="3"/>
  <c r="N98" i="3"/>
  <c r="M98" i="3"/>
  <c r="L98" i="3"/>
  <c r="X97" i="3"/>
  <c r="W97" i="3"/>
  <c r="T97" i="3"/>
  <c r="S97" i="3"/>
  <c r="R97" i="3"/>
  <c r="V97" i="3" s="1"/>
  <c r="Q97" i="3"/>
  <c r="U97" i="3" s="1"/>
  <c r="P97" i="3"/>
  <c r="O97" i="3"/>
  <c r="N97" i="3"/>
  <c r="M97" i="3"/>
  <c r="L97" i="3"/>
  <c r="W96" i="3"/>
  <c r="V96" i="3"/>
  <c r="U96" i="3"/>
  <c r="T96" i="3"/>
  <c r="S96" i="3"/>
  <c r="R96" i="3"/>
  <c r="Q96" i="3"/>
  <c r="P96" i="3"/>
  <c r="O96" i="3"/>
  <c r="X96" i="3" s="1"/>
  <c r="N96" i="3"/>
  <c r="M96" i="3"/>
  <c r="L96" i="3"/>
  <c r="U95" i="3"/>
  <c r="T95" i="3"/>
  <c r="S95" i="3"/>
  <c r="R95" i="3"/>
  <c r="V95" i="3" s="1"/>
  <c r="Q95" i="3"/>
  <c r="P95" i="3"/>
  <c r="O95" i="3"/>
  <c r="N95" i="3"/>
  <c r="M95" i="3"/>
  <c r="L95" i="3"/>
  <c r="T94" i="3"/>
  <c r="S94" i="3"/>
  <c r="R94" i="3"/>
  <c r="Q94" i="3"/>
  <c r="U94" i="3" s="1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X93" i="3" s="1"/>
  <c r="N93" i="3"/>
  <c r="W93" i="3" s="1"/>
  <c r="M93" i="3"/>
  <c r="V93" i="3" s="1"/>
  <c r="L93" i="3"/>
  <c r="U93" i="3" s="1"/>
  <c r="T92" i="3"/>
  <c r="S92" i="3"/>
  <c r="R92" i="3"/>
  <c r="Q92" i="3"/>
  <c r="P92" i="3"/>
  <c r="O92" i="3"/>
  <c r="X92" i="3" s="1"/>
  <c r="N92" i="3"/>
  <c r="M92" i="3"/>
  <c r="L92" i="3"/>
  <c r="U92" i="3" s="1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X90" i="3" s="1"/>
  <c r="N90" i="3"/>
  <c r="W90" i="3" s="1"/>
  <c r="M90" i="3"/>
  <c r="V90" i="3" s="1"/>
  <c r="L90" i="3"/>
  <c r="U90" i="3" s="1"/>
  <c r="X89" i="3"/>
  <c r="T89" i="3"/>
  <c r="S89" i="3"/>
  <c r="R89" i="3"/>
  <c r="Q89" i="3"/>
  <c r="P89" i="3"/>
  <c r="O89" i="3"/>
  <c r="N89" i="3"/>
  <c r="W89" i="3" s="1"/>
  <c r="M89" i="3"/>
  <c r="V89" i="3" s="1"/>
  <c r="L89" i="3"/>
  <c r="U89" i="3" s="1"/>
  <c r="X88" i="3"/>
  <c r="W88" i="3"/>
  <c r="V88" i="3"/>
  <c r="T88" i="3"/>
  <c r="S88" i="3"/>
  <c r="R88" i="3"/>
  <c r="Q88" i="3"/>
  <c r="P88" i="3"/>
  <c r="O88" i="3"/>
  <c r="N88" i="3"/>
  <c r="M88" i="3"/>
  <c r="L88" i="3"/>
  <c r="U88" i="3" s="1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W86" i="3"/>
  <c r="V86" i="3"/>
  <c r="U86" i="3"/>
  <c r="T86" i="3"/>
  <c r="X86" i="3" s="1"/>
  <c r="S86" i="3"/>
  <c r="R86" i="3"/>
  <c r="Q86" i="3"/>
  <c r="P86" i="3"/>
  <c r="O86" i="3"/>
  <c r="N86" i="3"/>
  <c r="M86" i="3"/>
  <c r="L86" i="3"/>
  <c r="V85" i="3"/>
  <c r="U85" i="3"/>
  <c r="T85" i="3"/>
  <c r="X85" i="3" s="1"/>
  <c r="S85" i="3"/>
  <c r="W85" i="3" s="1"/>
  <c r="R85" i="3"/>
  <c r="Q85" i="3"/>
  <c r="P85" i="3"/>
  <c r="O85" i="3"/>
  <c r="N85" i="3"/>
  <c r="M85" i="3"/>
  <c r="L85" i="3"/>
  <c r="U84" i="3"/>
  <c r="T84" i="3"/>
  <c r="X84" i="3" s="1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V83" i="3" s="1"/>
  <c r="Q83" i="3"/>
  <c r="U83" i="3" s="1"/>
  <c r="P83" i="3"/>
  <c r="O83" i="3"/>
  <c r="N83" i="3"/>
  <c r="M83" i="3"/>
  <c r="L83" i="3"/>
  <c r="T82" i="3"/>
  <c r="S82" i="3"/>
  <c r="W82" i="3" s="1"/>
  <c r="R82" i="3"/>
  <c r="V82" i="3" s="1"/>
  <c r="Q82" i="3"/>
  <c r="U82" i="3" s="1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X81" i="3" s="1"/>
  <c r="N81" i="3"/>
  <c r="W81" i="3" s="1"/>
  <c r="M81" i="3"/>
  <c r="L81" i="3"/>
  <c r="T80" i="3"/>
  <c r="S80" i="3"/>
  <c r="R80" i="3"/>
  <c r="Q80" i="3"/>
  <c r="U80" i="3" s="1"/>
  <c r="P80" i="3"/>
  <c r="O80" i="3"/>
  <c r="X80" i="3" s="1"/>
  <c r="N80" i="3"/>
  <c r="W80" i="3" s="1"/>
  <c r="M80" i="3"/>
  <c r="V80" i="3" s="1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U78" i="3" s="1"/>
  <c r="T77" i="3"/>
  <c r="S77" i="3"/>
  <c r="R77" i="3"/>
  <c r="Q77" i="3"/>
  <c r="P77" i="3"/>
  <c r="O77" i="3"/>
  <c r="X77" i="3" s="1"/>
  <c r="N77" i="3"/>
  <c r="W77" i="3" s="1"/>
  <c r="M77" i="3"/>
  <c r="V77" i="3" s="1"/>
  <c r="L77" i="3"/>
  <c r="U77" i="3" s="1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X75" i="3"/>
  <c r="W75" i="3"/>
  <c r="V75" i="3"/>
  <c r="T75" i="3"/>
  <c r="S75" i="3"/>
  <c r="R75" i="3"/>
  <c r="Q75" i="3"/>
  <c r="P75" i="3"/>
  <c r="O75" i="3"/>
  <c r="N75" i="3"/>
  <c r="M75" i="3"/>
  <c r="L75" i="3"/>
  <c r="U75" i="3" s="1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W73" i="3"/>
  <c r="V73" i="3"/>
  <c r="U73" i="3"/>
  <c r="T73" i="3"/>
  <c r="X73" i="3" s="1"/>
  <c r="S73" i="3"/>
  <c r="R73" i="3"/>
  <c r="Q73" i="3"/>
  <c r="P73" i="3"/>
  <c r="O73" i="3"/>
  <c r="N73" i="3"/>
  <c r="M73" i="3"/>
  <c r="L73" i="3"/>
  <c r="V72" i="3"/>
  <c r="U72" i="3"/>
  <c r="T72" i="3"/>
  <c r="X72" i="3" s="1"/>
  <c r="S72" i="3"/>
  <c r="W72" i="3" s="1"/>
  <c r="R72" i="3"/>
  <c r="Q72" i="3"/>
  <c r="P72" i="3"/>
  <c r="O72" i="3"/>
  <c r="N72" i="3"/>
  <c r="M72" i="3"/>
  <c r="L72" i="3"/>
  <c r="U71" i="3"/>
  <c r="T71" i="3"/>
  <c r="X71" i="3" s="1"/>
  <c r="S71" i="3"/>
  <c r="W71" i="3" s="1"/>
  <c r="R71" i="3"/>
  <c r="V71" i="3" s="1"/>
  <c r="Q71" i="3"/>
  <c r="P71" i="3"/>
  <c r="O71" i="3"/>
  <c r="N71" i="3"/>
  <c r="M71" i="3"/>
  <c r="L71" i="3"/>
  <c r="T70" i="3"/>
  <c r="X70" i="3" s="1"/>
  <c r="S70" i="3"/>
  <c r="W70" i="3" s="1"/>
  <c r="R70" i="3"/>
  <c r="V70" i="3" s="1"/>
  <c r="Q70" i="3"/>
  <c r="U70" i="3" s="1"/>
  <c r="P70" i="3"/>
  <c r="O70" i="3"/>
  <c r="N70" i="3"/>
  <c r="M70" i="3"/>
  <c r="L70" i="3"/>
  <c r="T69" i="3"/>
  <c r="S69" i="3"/>
  <c r="W69" i="3" s="1"/>
  <c r="R69" i="3"/>
  <c r="V69" i="3" s="1"/>
  <c r="Q69" i="3"/>
  <c r="U69" i="3" s="1"/>
  <c r="P69" i="3"/>
  <c r="X69" i="3" s="1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X68" i="3" s="1"/>
  <c r="N68" i="3"/>
  <c r="M68" i="3"/>
  <c r="L68" i="3"/>
  <c r="V67" i="3"/>
  <c r="U67" i="3"/>
  <c r="T67" i="3"/>
  <c r="S67" i="3"/>
  <c r="R67" i="3"/>
  <c r="Q67" i="3"/>
  <c r="P67" i="3"/>
  <c r="O67" i="3"/>
  <c r="N67" i="3"/>
  <c r="W67" i="3" s="1"/>
  <c r="M67" i="3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W65" i="3" s="1"/>
  <c r="M65" i="3"/>
  <c r="V65" i="3" s="1"/>
  <c r="L65" i="3"/>
  <c r="U65" i="3" s="1"/>
  <c r="T64" i="3"/>
  <c r="S64" i="3"/>
  <c r="R64" i="3"/>
  <c r="Q64" i="3"/>
  <c r="P64" i="3"/>
  <c r="O64" i="3"/>
  <c r="X64" i="3" s="1"/>
  <c r="N64" i="3"/>
  <c r="W64" i="3" s="1"/>
  <c r="M64" i="3"/>
  <c r="V64" i="3" s="1"/>
  <c r="L64" i="3"/>
  <c r="U64" i="3" s="1"/>
  <c r="T63" i="3"/>
  <c r="S63" i="3"/>
  <c r="R63" i="3"/>
  <c r="Q63" i="3"/>
  <c r="P63" i="3"/>
  <c r="X63" i="3" s="1"/>
  <c r="O63" i="3"/>
  <c r="N63" i="3"/>
  <c r="W63" i="3" s="1"/>
  <c r="M63" i="3"/>
  <c r="L63" i="3"/>
  <c r="T62" i="3"/>
  <c r="S62" i="3"/>
  <c r="R62" i="3"/>
  <c r="Q62" i="3"/>
  <c r="P62" i="3"/>
  <c r="O62" i="3"/>
  <c r="X62" i="3" s="1"/>
  <c r="N62" i="3"/>
  <c r="W62" i="3" s="1"/>
  <c r="M62" i="3"/>
  <c r="V62" i="3" s="1"/>
  <c r="L62" i="3"/>
  <c r="T61" i="3"/>
  <c r="S61" i="3"/>
  <c r="R61" i="3"/>
  <c r="Q61" i="3"/>
  <c r="P61" i="3"/>
  <c r="O61" i="3"/>
  <c r="X61" i="3" s="1"/>
  <c r="N61" i="3"/>
  <c r="W61" i="3" s="1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X59" i="3"/>
  <c r="W59" i="3"/>
  <c r="T59" i="3"/>
  <c r="S59" i="3"/>
  <c r="R59" i="3"/>
  <c r="Q59" i="3"/>
  <c r="P59" i="3"/>
  <c r="O59" i="3"/>
  <c r="N59" i="3"/>
  <c r="M59" i="3"/>
  <c r="V59" i="3" s="1"/>
  <c r="L59" i="3"/>
  <c r="U59" i="3" s="1"/>
  <c r="X58" i="3"/>
  <c r="W58" i="3"/>
  <c r="V58" i="3"/>
  <c r="T58" i="3"/>
  <c r="S58" i="3"/>
  <c r="R58" i="3"/>
  <c r="Q58" i="3"/>
  <c r="P58" i="3"/>
  <c r="O58" i="3"/>
  <c r="N58" i="3"/>
  <c r="M58" i="3"/>
  <c r="L58" i="3"/>
  <c r="U58" i="3" s="1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W56" i="3"/>
  <c r="V56" i="3"/>
  <c r="U56" i="3"/>
  <c r="T56" i="3"/>
  <c r="X56" i="3" s="1"/>
  <c r="S56" i="3"/>
  <c r="R56" i="3"/>
  <c r="Q56" i="3"/>
  <c r="P56" i="3"/>
  <c r="O56" i="3"/>
  <c r="N56" i="3"/>
  <c r="M56" i="3"/>
  <c r="L56" i="3"/>
  <c r="V55" i="3"/>
  <c r="U55" i="3"/>
  <c r="T55" i="3"/>
  <c r="X55" i="3" s="1"/>
  <c r="S55" i="3"/>
  <c r="W55" i="3" s="1"/>
  <c r="R55" i="3"/>
  <c r="Q55" i="3"/>
  <c r="P55" i="3"/>
  <c r="O55" i="3"/>
  <c r="N55" i="3"/>
  <c r="M55" i="3"/>
  <c r="L55" i="3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V53" i="3" s="1"/>
  <c r="Q53" i="3"/>
  <c r="U53" i="3" s="1"/>
  <c r="P53" i="3"/>
  <c r="O53" i="3"/>
  <c r="X53" i="3" s="1"/>
  <c r="N53" i="3"/>
  <c r="W53" i="3" s="1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V52" i="3" s="1"/>
  <c r="L52" i="3"/>
  <c r="T51" i="3"/>
  <c r="S51" i="3"/>
  <c r="R51" i="3"/>
  <c r="Q51" i="3"/>
  <c r="P51" i="3"/>
  <c r="O51" i="3"/>
  <c r="N51" i="3"/>
  <c r="M51" i="3"/>
  <c r="V51" i="3" s="1"/>
  <c r="L51" i="3"/>
  <c r="U51" i="3" s="1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X49" i="3" s="1"/>
  <c r="N49" i="3"/>
  <c r="W49" i="3" s="1"/>
  <c r="M49" i="3"/>
  <c r="V49" i="3" s="1"/>
  <c r="L49" i="3"/>
  <c r="U49" i="3" s="1"/>
  <c r="X48" i="3"/>
  <c r="W48" i="3"/>
  <c r="T48" i="3"/>
  <c r="S48" i="3"/>
  <c r="R48" i="3"/>
  <c r="Q48" i="3"/>
  <c r="P48" i="3"/>
  <c r="O48" i="3"/>
  <c r="N48" i="3"/>
  <c r="M48" i="3"/>
  <c r="V48" i="3" s="1"/>
  <c r="L48" i="3"/>
  <c r="U48" i="3" s="1"/>
  <c r="X47" i="3"/>
  <c r="W47" i="3"/>
  <c r="V47" i="3"/>
  <c r="T47" i="3"/>
  <c r="S47" i="3"/>
  <c r="R47" i="3"/>
  <c r="Q47" i="3"/>
  <c r="P47" i="3"/>
  <c r="O47" i="3"/>
  <c r="N47" i="3"/>
  <c r="M47" i="3"/>
  <c r="L47" i="3"/>
  <c r="U47" i="3" s="1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W45" i="3"/>
  <c r="V45" i="3"/>
  <c r="U45" i="3"/>
  <c r="T45" i="3"/>
  <c r="X45" i="3" s="1"/>
  <c r="S45" i="3"/>
  <c r="R45" i="3"/>
  <c r="Q45" i="3"/>
  <c r="P45" i="3"/>
  <c r="O45" i="3"/>
  <c r="N45" i="3"/>
  <c r="M45" i="3"/>
  <c r="L45" i="3"/>
  <c r="V44" i="3"/>
  <c r="U44" i="3"/>
  <c r="T44" i="3"/>
  <c r="X44" i="3" s="1"/>
  <c r="S44" i="3"/>
  <c r="W44" i="3" s="1"/>
  <c r="R44" i="3"/>
  <c r="Q44" i="3"/>
  <c r="P44" i="3"/>
  <c r="O44" i="3"/>
  <c r="N44" i="3"/>
  <c r="M44" i="3"/>
  <c r="L44" i="3"/>
  <c r="U43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T42" i="3"/>
  <c r="X42" i="3" s="1"/>
  <c r="S42" i="3"/>
  <c r="W42" i="3" s="1"/>
  <c r="R42" i="3"/>
  <c r="V42" i="3" s="1"/>
  <c r="Q42" i="3"/>
  <c r="U42" i="3" s="1"/>
  <c r="P42" i="3"/>
  <c r="O42" i="3"/>
  <c r="N42" i="3"/>
  <c r="M42" i="3"/>
  <c r="L42" i="3"/>
  <c r="T41" i="3"/>
  <c r="S41" i="3"/>
  <c r="W41" i="3" s="1"/>
  <c r="R41" i="3"/>
  <c r="V41" i="3" s="1"/>
  <c r="Q41" i="3"/>
  <c r="U41" i="3" s="1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X40" i="3" s="1"/>
  <c r="N40" i="3"/>
  <c r="M40" i="3"/>
  <c r="L40" i="3"/>
  <c r="V39" i="3"/>
  <c r="T39" i="3"/>
  <c r="S39" i="3"/>
  <c r="R39" i="3"/>
  <c r="Q39" i="3"/>
  <c r="U39" i="3" s="1"/>
  <c r="P39" i="3"/>
  <c r="O39" i="3"/>
  <c r="X39" i="3" s="1"/>
  <c r="N39" i="3"/>
  <c r="W39" i="3" s="1"/>
  <c r="M39" i="3"/>
  <c r="L39" i="3"/>
  <c r="U38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X37" i="3" s="1"/>
  <c r="N37" i="3"/>
  <c r="W37" i="3" s="1"/>
  <c r="M37" i="3"/>
  <c r="V37" i="3" s="1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X35" i="3"/>
  <c r="T35" i="3"/>
  <c r="S35" i="3"/>
  <c r="R35" i="3"/>
  <c r="Q35" i="3"/>
  <c r="P35" i="3"/>
  <c r="O35" i="3"/>
  <c r="N35" i="3"/>
  <c r="W35" i="3" s="1"/>
  <c r="M35" i="3"/>
  <c r="L35" i="3"/>
  <c r="U35" i="3" s="1"/>
  <c r="W34" i="3"/>
  <c r="T34" i="3"/>
  <c r="S34" i="3"/>
  <c r="R34" i="3"/>
  <c r="Q34" i="3"/>
  <c r="P34" i="3"/>
  <c r="O34" i="3"/>
  <c r="X34" i="3" s="1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U33" i="3" s="1"/>
  <c r="T32" i="3"/>
  <c r="S32" i="3"/>
  <c r="R32" i="3"/>
  <c r="Q32" i="3"/>
  <c r="P32" i="3"/>
  <c r="O32" i="3"/>
  <c r="X32" i="3" s="1"/>
  <c r="N32" i="3"/>
  <c r="W32" i="3" s="1"/>
  <c r="M32" i="3"/>
  <c r="V32" i="3" s="1"/>
  <c r="L32" i="3"/>
  <c r="U32" i="3" s="1"/>
  <c r="T31" i="3"/>
  <c r="X31" i="3" s="1"/>
  <c r="S31" i="3"/>
  <c r="R31" i="3"/>
  <c r="Q31" i="3"/>
  <c r="P31" i="3"/>
  <c r="O31" i="3"/>
  <c r="N31" i="3"/>
  <c r="W31" i="3" s="1"/>
  <c r="M31" i="3"/>
  <c r="V31" i="3" s="1"/>
  <c r="L31" i="3"/>
  <c r="U31" i="3" s="1"/>
  <c r="X30" i="3"/>
  <c r="T30" i="3"/>
  <c r="S30" i="3"/>
  <c r="W30" i="3" s="1"/>
  <c r="R30" i="3"/>
  <c r="Q30" i="3"/>
  <c r="P30" i="3"/>
  <c r="O30" i="3"/>
  <c r="N30" i="3"/>
  <c r="M30" i="3"/>
  <c r="V30" i="3" s="1"/>
  <c r="L30" i="3"/>
  <c r="U30" i="3" s="1"/>
  <c r="X29" i="3"/>
  <c r="W29" i="3"/>
  <c r="T29" i="3"/>
  <c r="S29" i="3"/>
  <c r="R29" i="3"/>
  <c r="V29" i="3" s="1"/>
  <c r="Q29" i="3"/>
  <c r="P29" i="3"/>
  <c r="O29" i="3"/>
  <c r="N29" i="3"/>
  <c r="M29" i="3"/>
  <c r="L29" i="3"/>
  <c r="U29" i="3" s="1"/>
  <c r="X28" i="3"/>
  <c r="W28" i="3"/>
  <c r="V28" i="3"/>
  <c r="T28" i="3"/>
  <c r="S28" i="3"/>
  <c r="R28" i="3"/>
  <c r="Q28" i="3"/>
  <c r="U28" i="3" s="1"/>
  <c r="P28" i="3"/>
  <c r="O28" i="3"/>
  <c r="N28" i="3"/>
  <c r="M28" i="3"/>
  <c r="L28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V26" i="3"/>
  <c r="U26" i="3"/>
  <c r="T26" i="3"/>
  <c r="S26" i="3"/>
  <c r="W26" i="3" s="1"/>
  <c r="R26" i="3"/>
  <c r="Q26" i="3"/>
  <c r="P26" i="3"/>
  <c r="O26" i="3"/>
  <c r="N26" i="3"/>
  <c r="M26" i="3"/>
  <c r="L26" i="3"/>
  <c r="T25" i="3"/>
  <c r="S25" i="3"/>
  <c r="R25" i="3"/>
  <c r="V25" i="3" s="1"/>
  <c r="Q25" i="3"/>
  <c r="U25" i="3" s="1"/>
  <c r="P25" i="3"/>
  <c r="O25" i="3"/>
  <c r="N25" i="3"/>
  <c r="M25" i="3"/>
  <c r="L25" i="3"/>
  <c r="T24" i="3"/>
  <c r="S24" i="3"/>
  <c r="R24" i="3"/>
  <c r="Q24" i="3"/>
  <c r="U24" i="3" s="1"/>
  <c r="P24" i="3"/>
  <c r="O24" i="3"/>
  <c r="X24" i="3" s="1"/>
  <c r="N24" i="3"/>
  <c r="W24" i="3" s="1"/>
  <c r="M24" i="3"/>
  <c r="V24" i="3" s="1"/>
  <c r="L24" i="3"/>
  <c r="T23" i="3"/>
  <c r="S23" i="3"/>
  <c r="R23" i="3"/>
  <c r="Q23" i="3"/>
  <c r="P23" i="3"/>
  <c r="O23" i="3"/>
  <c r="X23" i="3" s="1"/>
  <c r="N23" i="3"/>
  <c r="W23" i="3" s="1"/>
  <c r="M23" i="3"/>
  <c r="V23" i="3" s="1"/>
  <c r="L23" i="3"/>
  <c r="U23" i="3" s="1"/>
  <c r="T22" i="3"/>
  <c r="S22" i="3"/>
  <c r="R22" i="3"/>
  <c r="Q22" i="3"/>
  <c r="P22" i="3"/>
  <c r="P8" i="3" s="1"/>
  <c r="O22" i="3"/>
  <c r="N22" i="3"/>
  <c r="M22" i="3"/>
  <c r="L22" i="3"/>
  <c r="T21" i="3"/>
  <c r="S21" i="3"/>
  <c r="R21" i="3"/>
  <c r="Q21" i="3"/>
  <c r="P21" i="3"/>
  <c r="O21" i="3"/>
  <c r="X21" i="3" s="1"/>
  <c r="N21" i="3"/>
  <c r="W21" i="3" s="1"/>
  <c r="M21" i="3"/>
  <c r="V21" i="3" s="1"/>
  <c r="L21" i="3"/>
  <c r="U21" i="3" s="1"/>
  <c r="T20" i="3"/>
  <c r="S20" i="3"/>
  <c r="R20" i="3"/>
  <c r="Q20" i="3"/>
  <c r="P20" i="3"/>
  <c r="O20" i="3"/>
  <c r="X20" i="3" s="1"/>
  <c r="N20" i="3"/>
  <c r="W20" i="3" s="1"/>
  <c r="M20" i="3"/>
  <c r="V20" i="3" s="1"/>
  <c r="L20" i="3"/>
  <c r="U20" i="3" s="1"/>
  <c r="X19" i="3"/>
  <c r="W19" i="3"/>
  <c r="V19" i="3"/>
  <c r="T19" i="3"/>
  <c r="S19" i="3"/>
  <c r="R19" i="3"/>
  <c r="Q19" i="3"/>
  <c r="P19" i="3"/>
  <c r="O19" i="3"/>
  <c r="N19" i="3"/>
  <c r="M19" i="3"/>
  <c r="L19" i="3"/>
  <c r="U19" i="3" s="1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W17" i="3"/>
  <c r="V17" i="3"/>
  <c r="U17" i="3"/>
  <c r="T17" i="3"/>
  <c r="X17" i="3" s="1"/>
  <c r="S17" i="3"/>
  <c r="R17" i="3"/>
  <c r="Q17" i="3"/>
  <c r="P17" i="3"/>
  <c r="O17" i="3"/>
  <c r="N17" i="3"/>
  <c r="M17" i="3"/>
  <c r="L17" i="3"/>
  <c r="V16" i="3"/>
  <c r="U16" i="3"/>
  <c r="T16" i="3"/>
  <c r="X16" i="3" s="1"/>
  <c r="S16" i="3"/>
  <c r="W16" i="3" s="1"/>
  <c r="R16" i="3"/>
  <c r="Q16" i="3"/>
  <c r="P16" i="3"/>
  <c r="O16" i="3"/>
  <c r="N16" i="3"/>
  <c r="M16" i="3"/>
  <c r="L16" i="3"/>
  <c r="U15" i="3"/>
  <c r="T15" i="3"/>
  <c r="X15" i="3" s="1"/>
  <c r="S15" i="3"/>
  <c r="W15" i="3" s="1"/>
  <c r="R15" i="3"/>
  <c r="V15" i="3" s="1"/>
  <c r="Q15" i="3"/>
  <c r="P15" i="3"/>
  <c r="O15" i="3"/>
  <c r="N15" i="3"/>
  <c r="M15" i="3"/>
  <c r="L15" i="3"/>
  <c r="L8" i="3" s="1"/>
  <c r="T14" i="3"/>
  <c r="X14" i="3" s="1"/>
  <c r="S14" i="3"/>
  <c r="W14" i="3" s="1"/>
  <c r="R14" i="3"/>
  <c r="V14" i="3" s="1"/>
  <c r="Q14" i="3"/>
  <c r="U14" i="3" s="1"/>
  <c r="P14" i="3"/>
  <c r="O14" i="3"/>
  <c r="N14" i="3"/>
  <c r="M14" i="3"/>
  <c r="L14" i="3"/>
  <c r="T13" i="3"/>
  <c r="S13" i="3"/>
  <c r="W13" i="3" s="1"/>
  <c r="R13" i="3"/>
  <c r="V13" i="3" s="1"/>
  <c r="Q13" i="3"/>
  <c r="U13" i="3" s="1"/>
  <c r="P13" i="3"/>
  <c r="X13" i="3" s="1"/>
  <c r="O13" i="3"/>
  <c r="N13" i="3"/>
  <c r="M13" i="3"/>
  <c r="L13" i="3"/>
  <c r="T12" i="3"/>
  <c r="S12" i="3"/>
  <c r="W12" i="3" s="1"/>
  <c r="R12" i="3"/>
  <c r="V12" i="3" s="1"/>
  <c r="Q12" i="3"/>
  <c r="U12" i="3" s="1"/>
  <c r="P12" i="3"/>
  <c r="O12" i="3"/>
  <c r="X12" i="3" s="1"/>
  <c r="N12" i="3"/>
  <c r="M12" i="3"/>
  <c r="L12" i="3"/>
  <c r="T11" i="3"/>
  <c r="S11" i="3"/>
  <c r="R11" i="3"/>
  <c r="V11" i="3" s="1"/>
  <c r="Q11" i="3"/>
  <c r="U11" i="3" s="1"/>
  <c r="P11" i="3"/>
  <c r="O11" i="3"/>
  <c r="X11" i="3" s="1"/>
  <c r="N11" i="3"/>
  <c r="W11" i="3" s="1"/>
  <c r="M11" i="3"/>
  <c r="L11" i="3"/>
  <c r="U10" i="3"/>
  <c r="T10" i="3"/>
  <c r="T8" i="3" s="1"/>
  <c r="S10" i="3"/>
  <c r="R10" i="3"/>
  <c r="Q10" i="3"/>
  <c r="P10" i="3"/>
  <c r="O10" i="3"/>
  <c r="N10" i="3"/>
  <c r="W10" i="3" s="1"/>
  <c r="M10" i="3"/>
  <c r="V10" i="3" s="1"/>
  <c r="L10" i="3"/>
  <c r="O8" i="3"/>
  <c r="S8" i="3" l="1"/>
  <c r="Q8" i="3"/>
  <c r="R8" i="3"/>
  <c r="X10" i="3"/>
  <c r="V35" i="3"/>
  <c r="V8" i="3" s="1"/>
  <c r="V38" i="3"/>
  <c r="W51" i="3"/>
  <c r="X67" i="3"/>
  <c r="U79" i="3"/>
  <c r="V92" i="3"/>
  <c r="U104" i="3"/>
  <c r="X108" i="3"/>
  <c r="V120" i="3"/>
  <c r="W123" i="3"/>
  <c r="W135" i="3"/>
  <c r="U22" i="3"/>
  <c r="U8" i="3" s="1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8" i="3" s="1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X8" i="3" l="1"/>
  <c r="DI4" i="2" l="1"/>
  <c r="DI5" i="2"/>
  <c r="DI6" i="2"/>
  <c r="DI7" i="2"/>
  <c r="DI8" i="2"/>
  <c r="DI9" i="2"/>
  <c r="DI10" i="2"/>
  <c r="DI11" i="2"/>
  <c r="DI12" i="2"/>
  <c r="DI13" i="2"/>
  <c r="DI14" i="2"/>
  <c r="DI15" i="2"/>
  <c r="DI16" i="2"/>
  <c r="DI17" i="2"/>
  <c r="DI18" i="2"/>
  <c r="DI19" i="2"/>
  <c r="DI20" i="2"/>
  <c r="DI21" i="2"/>
  <c r="DI22" i="2"/>
  <c r="DI23" i="2"/>
  <c r="DI24" i="2"/>
  <c r="DI25" i="2"/>
  <c r="DI3" i="2"/>
  <c r="GH4" i="2"/>
  <c r="GH5" i="2"/>
  <c r="GH6" i="2"/>
  <c r="GH7" i="2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GH21" i="2"/>
  <c r="GH22" i="2"/>
  <c r="GH23" i="2"/>
  <c r="GH24" i="2"/>
  <c r="GH25" i="2"/>
  <c r="GH3" i="2"/>
  <c r="GG4" i="2"/>
  <c r="GG5" i="2"/>
  <c r="GG6" i="2"/>
  <c r="GG7" i="2"/>
  <c r="GG8" i="2"/>
  <c r="GG9" i="2"/>
  <c r="GG10" i="2"/>
  <c r="GG11" i="2"/>
  <c r="GG12" i="2"/>
  <c r="GG13" i="2"/>
  <c r="GG14" i="2"/>
  <c r="GG15" i="2"/>
  <c r="GG16" i="2"/>
  <c r="GG17" i="2"/>
  <c r="GG18" i="2"/>
  <c r="GG19" i="2"/>
  <c r="GG20" i="2"/>
  <c r="GG21" i="2"/>
  <c r="GG22" i="2"/>
  <c r="GG23" i="2"/>
  <c r="GG24" i="2"/>
  <c r="GG25" i="2"/>
  <c r="GG3" i="2"/>
  <c r="GF4" i="2"/>
  <c r="GF5" i="2"/>
  <c r="GF6" i="2"/>
  <c r="GF7" i="2"/>
  <c r="GF8" i="2"/>
  <c r="GF9" i="2"/>
  <c r="GF10" i="2"/>
  <c r="GF11" i="2"/>
  <c r="GF12" i="2"/>
  <c r="GF13" i="2"/>
  <c r="GF14" i="2"/>
  <c r="GF15" i="2"/>
  <c r="GF16" i="2"/>
  <c r="GF17" i="2"/>
  <c r="GF18" i="2"/>
  <c r="GF19" i="2"/>
  <c r="GF20" i="2"/>
  <c r="GF21" i="2"/>
  <c r="GF22" i="2"/>
  <c r="GF23" i="2"/>
  <c r="GF24" i="2"/>
  <c r="GF25" i="2"/>
  <c r="GF3" i="2"/>
  <c r="GE4" i="2"/>
  <c r="GE5" i="2"/>
  <c r="GE6" i="2"/>
  <c r="GE7" i="2"/>
  <c r="GE8" i="2"/>
  <c r="GE9" i="2"/>
  <c r="GE10" i="2"/>
  <c r="GE11" i="2"/>
  <c r="GE12" i="2"/>
  <c r="GE13" i="2"/>
  <c r="GE14" i="2"/>
  <c r="GE15" i="2"/>
  <c r="GE16" i="2"/>
  <c r="GE17" i="2"/>
  <c r="GE18" i="2"/>
  <c r="GE19" i="2"/>
  <c r="GE20" i="2"/>
  <c r="GE21" i="2"/>
  <c r="GE22" i="2"/>
  <c r="GE23" i="2"/>
  <c r="GE24" i="2"/>
  <c r="GE25" i="2"/>
  <c r="GE3" i="2"/>
  <c r="FY4" i="2"/>
  <c r="FY5" i="2"/>
  <c r="FY6" i="2"/>
  <c r="FY7" i="2"/>
  <c r="FY8" i="2"/>
  <c r="FY9" i="2"/>
  <c r="FY10" i="2"/>
  <c r="FY11" i="2"/>
  <c r="FY12" i="2"/>
  <c r="FY13" i="2"/>
  <c r="FY14" i="2"/>
  <c r="FY15" i="2"/>
  <c r="FY16" i="2"/>
  <c r="FY17" i="2"/>
  <c r="FY18" i="2"/>
  <c r="FY19" i="2"/>
  <c r="FY20" i="2"/>
  <c r="FY21" i="2"/>
  <c r="FY22" i="2"/>
  <c r="FY23" i="2"/>
  <c r="FY24" i="2"/>
  <c r="FY25" i="2"/>
  <c r="FY3" i="2"/>
  <c r="FX4" i="2"/>
  <c r="FX5" i="2"/>
  <c r="FX6" i="2"/>
  <c r="FX7" i="2"/>
  <c r="FX8" i="2"/>
  <c r="FX9" i="2"/>
  <c r="FX10" i="2"/>
  <c r="FX11" i="2"/>
  <c r="FX12" i="2"/>
  <c r="FX13" i="2"/>
  <c r="FX14" i="2"/>
  <c r="FX15" i="2"/>
  <c r="FX16" i="2"/>
  <c r="FX17" i="2"/>
  <c r="FX18" i="2"/>
  <c r="FX19" i="2"/>
  <c r="FX20" i="2"/>
  <c r="FX21" i="2"/>
  <c r="FX22" i="2"/>
  <c r="FX23" i="2"/>
  <c r="FX24" i="2"/>
  <c r="FX25" i="2"/>
  <c r="FX3" i="2"/>
  <c r="GB4" i="2"/>
  <c r="GB5" i="2"/>
  <c r="GB6" i="2"/>
  <c r="GB7" i="2"/>
  <c r="GB8" i="2"/>
  <c r="GB9" i="2"/>
  <c r="GB10" i="2"/>
  <c r="GB11" i="2"/>
  <c r="GB12" i="2"/>
  <c r="GB13" i="2"/>
  <c r="GB14" i="2"/>
  <c r="GB15" i="2"/>
  <c r="GB16" i="2"/>
  <c r="GB17" i="2"/>
  <c r="GB18" i="2"/>
  <c r="GB19" i="2"/>
  <c r="GB20" i="2"/>
  <c r="GB21" i="2"/>
  <c r="GB22" i="2"/>
  <c r="GB23" i="2"/>
  <c r="GB24" i="2"/>
  <c r="GB25" i="2"/>
  <c r="GB3" i="2"/>
  <c r="GA4" i="2"/>
  <c r="GA5" i="2"/>
  <c r="GA6" i="2"/>
  <c r="GA7" i="2"/>
  <c r="GA8" i="2"/>
  <c r="GA9" i="2"/>
  <c r="GA10" i="2"/>
  <c r="GA11" i="2"/>
  <c r="GA12" i="2"/>
  <c r="GA13" i="2"/>
  <c r="GA14" i="2"/>
  <c r="GA15" i="2"/>
  <c r="GA16" i="2"/>
  <c r="GA17" i="2"/>
  <c r="GA18" i="2"/>
  <c r="GA19" i="2"/>
  <c r="GA20" i="2"/>
  <c r="GA21" i="2"/>
  <c r="GA22" i="2"/>
  <c r="GA23" i="2"/>
  <c r="GA24" i="2"/>
  <c r="GA25" i="2"/>
  <c r="GA3" i="2"/>
  <c r="GD4" i="2"/>
  <c r="GD5" i="2"/>
  <c r="GD6" i="2"/>
  <c r="GD7" i="2"/>
  <c r="GD8" i="2"/>
  <c r="GD9" i="2"/>
  <c r="GD10" i="2"/>
  <c r="GD11" i="2"/>
  <c r="GD12" i="2"/>
  <c r="GD13" i="2"/>
  <c r="GD14" i="2"/>
  <c r="GD15" i="2"/>
  <c r="GD16" i="2"/>
  <c r="GD17" i="2"/>
  <c r="GD18" i="2"/>
  <c r="GD19" i="2"/>
  <c r="GD20" i="2"/>
  <c r="GD21" i="2"/>
  <c r="GD22" i="2"/>
  <c r="GD23" i="2"/>
  <c r="GD24" i="2"/>
  <c r="GD25" i="2"/>
  <c r="GD3" i="2"/>
  <c r="GC4" i="2"/>
  <c r="GC5" i="2"/>
  <c r="GC6" i="2"/>
  <c r="GC7" i="2"/>
  <c r="GC8" i="2"/>
  <c r="GC9" i="2"/>
  <c r="GC10" i="2"/>
  <c r="GC11" i="2"/>
  <c r="GC12" i="2"/>
  <c r="GC13" i="2"/>
  <c r="GC14" i="2"/>
  <c r="GC15" i="2"/>
  <c r="GC16" i="2"/>
  <c r="GC17" i="2"/>
  <c r="GC18" i="2"/>
  <c r="GC19" i="2"/>
  <c r="GC20" i="2"/>
  <c r="GC21" i="2"/>
  <c r="GC22" i="2"/>
  <c r="GC23" i="2"/>
  <c r="GC24" i="2"/>
  <c r="GC25" i="2"/>
  <c r="GC3" i="2"/>
  <c r="FZ4" i="2"/>
  <c r="FZ5" i="2"/>
  <c r="FZ6" i="2"/>
  <c r="FZ7" i="2"/>
  <c r="FZ8" i="2"/>
  <c r="FZ9" i="2"/>
  <c r="FZ10" i="2"/>
  <c r="FZ11" i="2"/>
  <c r="FZ12" i="2"/>
  <c r="FZ13" i="2"/>
  <c r="FZ14" i="2"/>
  <c r="FZ15" i="2"/>
  <c r="FZ16" i="2"/>
  <c r="FZ17" i="2"/>
  <c r="FZ18" i="2"/>
  <c r="FZ19" i="2"/>
  <c r="FZ20" i="2"/>
  <c r="FZ21" i="2"/>
  <c r="FZ22" i="2"/>
  <c r="FZ23" i="2"/>
  <c r="FZ24" i="2"/>
  <c r="FZ25" i="2"/>
  <c r="FZ3" i="2"/>
  <c r="FW4" i="2"/>
  <c r="FW5" i="2"/>
  <c r="FW6" i="2"/>
  <c r="FW7" i="2"/>
  <c r="FW8" i="2"/>
  <c r="FW9" i="2"/>
  <c r="FW10" i="2"/>
  <c r="FW11" i="2"/>
  <c r="FW12" i="2"/>
  <c r="FW13" i="2"/>
  <c r="FW14" i="2"/>
  <c r="FW15" i="2"/>
  <c r="FW16" i="2"/>
  <c r="FW17" i="2"/>
  <c r="FW18" i="2"/>
  <c r="FW19" i="2"/>
  <c r="FW20" i="2"/>
  <c r="FW21" i="2"/>
  <c r="FW22" i="2"/>
  <c r="FW23" i="2"/>
  <c r="FW24" i="2"/>
  <c r="FW25" i="2"/>
  <c r="FW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3" i="2"/>
  <c r="FU4" i="2"/>
  <c r="FU5" i="2"/>
  <c r="FU6" i="2"/>
  <c r="FU7" i="2"/>
  <c r="FU8" i="2"/>
  <c r="FU9" i="2"/>
  <c r="FU10" i="2"/>
  <c r="FU11" i="2"/>
  <c r="FU12" i="2"/>
  <c r="FU13" i="2"/>
  <c r="FU14" i="2"/>
  <c r="FU15" i="2"/>
  <c r="FU16" i="2"/>
  <c r="FU17" i="2"/>
  <c r="FU18" i="2"/>
  <c r="FU19" i="2"/>
  <c r="FU20" i="2"/>
  <c r="FU21" i="2"/>
  <c r="FU22" i="2"/>
  <c r="FU23" i="2"/>
  <c r="FU24" i="2"/>
  <c r="FU25" i="2"/>
  <c r="FU3" i="2"/>
  <c r="FT4" i="2"/>
  <c r="FT5" i="2"/>
  <c r="FT6" i="2"/>
  <c r="FT7" i="2"/>
  <c r="FT8" i="2"/>
  <c r="FT9" i="2"/>
  <c r="FT10" i="2"/>
  <c r="FT11" i="2"/>
  <c r="FT12" i="2"/>
  <c r="FT13" i="2"/>
  <c r="FT14" i="2"/>
  <c r="FT15" i="2"/>
  <c r="FT16" i="2"/>
  <c r="FT17" i="2"/>
  <c r="FT18" i="2"/>
  <c r="FT19" i="2"/>
  <c r="FT20" i="2"/>
  <c r="FT21" i="2"/>
  <c r="FT22" i="2"/>
  <c r="FT23" i="2"/>
  <c r="FT24" i="2"/>
  <c r="FT25" i="2"/>
  <c r="FT3" i="2"/>
  <c r="FS4" i="2"/>
  <c r="FS5" i="2"/>
  <c r="FS6" i="2"/>
  <c r="FS7" i="2"/>
  <c r="FS8" i="2"/>
  <c r="FS9" i="2"/>
  <c r="FS10" i="2"/>
  <c r="FS11" i="2"/>
  <c r="FS12" i="2"/>
  <c r="FS13" i="2"/>
  <c r="FS14" i="2"/>
  <c r="FS15" i="2"/>
  <c r="FS16" i="2"/>
  <c r="FS17" i="2"/>
  <c r="FS18" i="2"/>
  <c r="FS19" i="2"/>
  <c r="FS20" i="2"/>
  <c r="FS21" i="2"/>
  <c r="FS22" i="2"/>
  <c r="FS23" i="2"/>
  <c r="FS24" i="2"/>
  <c r="FS25" i="2"/>
  <c r="FS3" i="2"/>
  <c r="FR4" i="2"/>
  <c r="FR5" i="2"/>
  <c r="FR6" i="2"/>
  <c r="FR7" i="2"/>
  <c r="FR8" i="2"/>
  <c r="FR9" i="2"/>
  <c r="FR10" i="2"/>
  <c r="FR11" i="2"/>
  <c r="FR12" i="2"/>
  <c r="FR13" i="2"/>
  <c r="FR14" i="2"/>
  <c r="FR15" i="2"/>
  <c r="FR16" i="2"/>
  <c r="FR17" i="2"/>
  <c r="FR18" i="2"/>
  <c r="FR19" i="2"/>
  <c r="FR20" i="2"/>
  <c r="FR21" i="2"/>
  <c r="FR22" i="2"/>
  <c r="FR23" i="2"/>
  <c r="FR24" i="2"/>
  <c r="FR25" i="2"/>
  <c r="FR3" i="2"/>
  <c r="FQ4" i="2"/>
  <c r="FQ5" i="2"/>
  <c r="FQ6" i="2"/>
  <c r="FQ7" i="2"/>
  <c r="FQ8" i="2"/>
  <c r="FQ9" i="2"/>
  <c r="FQ10" i="2"/>
  <c r="FQ11" i="2"/>
  <c r="FQ12" i="2"/>
  <c r="FQ13" i="2"/>
  <c r="FQ14" i="2"/>
  <c r="FQ15" i="2"/>
  <c r="FQ16" i="2"/>
  <c r="FQ17" i="2"/>
  <c r="FQ18" i="2"/>
  <c r="FQ19" i="2"/>
  <c r="FQ20" i="2"/>
  <c r="FQ21" i="2"/>
  <c r="FQ22" i="2"/>
  <c r="FQ23" i="2"/>
  <c r="FQ24" i="2"/>
  <c r="FQ25" i="2"/>
  <c r="FQ3" i="2"/>
  <c r="FP4" i="2"/>
  <c r="FP5" i="2"/>
  <c r="FP6" i="2"/>
  <c r="FP7" i="2"/>
  <c r="FP8" i="2"/>
  <c r="FP9" i="2"/>
  <c r="FP10" i="2"/>
  <c r="FP11" i="2"/>
  <c r="FP12" i="2"/>
  <c r="FP13" i="2"/>
  <c r="FP14" i="2"/>
  <c r="FP15" i="2"/>
  <c r="FP16" i="2"/>
  <c r="FP17" i="2"/>
  <c r="FP18" i="2"/>
  <c r="FP19" i="2"/>
  <c r="FP20" i="2"/>
  <c r="FP21" i="2"/>
  <c r="FP22" i="2"/>
  <c r="FP23" i="2"/>
  <c r="FP24" i="2"/>
  <c r="FP25" i="2"/>
  <c r="FP3" i="2"/>
  <c r="FO4" i="2"/>
  <c r="FO5" i="2"/>
  <c r="FO6" i="2"/>
  <c r="FO7" i="2"/>
  <c r="FO8" i="2"/>
  <c r="FO9" i="2"/>
  <c r="FO10" i="2"/>
  <c r="FO11" i="2"/>
  <c r="FO12" i="2"/>
  <c r="FO13" i="2"/>
  <c r="FO14" i="2"/>
  <c r="FO15" i="2"/>
  <c r="FO16" i="2"/>
  <c r="FO17" i="2"/>
  <c r="FO18" i="2"/>
  <c r="FO19" i="2"/>
  <c r="FO20" i="2"/>
  <c r="FO21" i="2"/>
  <c r="FO22" i="2"/>
  <c r="FO23" i="2"/>
  <c r="FO24" i="2"/>
  <c r="FO25" i="2"/>
  <c r="FO3" i="2"/>
  <c r="FN4" i="2"/>
  <c r="FN5" i="2"/>
  <c r="FN6" i="2"/>
  <c r="FN7" i="2"/>
  <c r="FN8" i="2"/>
  <c r="FN9" i="2"/>
  <c r="FN10" i="2"/>
  <c r="FN11" i="2"/>
  <c r="FN12" i="2"/>
  <c r="FN13" i="2"/>
  <c r="FN14" i="2"/>
  <c r="FN15" i="2"/>
  <c r="FN16" i="2"/>
  <c r="FN17" i="2"/>
  <c r="FN18" i="2"/>
  <c r="FN19" i="2"/>
  <c r="FN20" i="2"/>
  <c r="FN21" i="2"/>
  <c r="FN22" i="2"/>
  <c r="FN23" i="2"/>
  <c r="FN24" i="2"/>
  <c r="FN25" i="2"/>
  <c r="FN3" i="2"/>
  <c r="FM4" i="2"/>
  <c r="FM5" i="2"/>
  <c r="FM6" i="2"/>
  <c r="FM7" i="2"/>
  <c r="FM8" i="2"/>
  <c r="FM9" i="2"/>
  <c r="FM10" i="2"/>
  <c r="FM11" i="2"/>
  <c r="FM12" i="2"/>
  <c r="FM13" i="2"/>
  <c r="FM14" i="2"/>
  <c r="FM15" i="2"/>
  <c r="FM16" i="2"/>
  <c r="FM17" i="2"/>
  <c r="FM18" i="2"/>
  <c r="FM19" i="2"/>
  <c r="FM20" i="2"/>
  <c r="FM21" i="2"/>
  <c r="FM22" i="2"/>
  <c r="FM23" i="2"/>
  <c r="FM24" i="2"/>
  <c r="FM25" i="2"/>
  <c r="FM3" i="2"/>
  <c r="FL4" i="2"/>
  <c r="FL5" i="2"/>
  <c r="FL6" i="2"/>
  <c r="FL7" i="2"/>
  <c r="FL8" i="2"/>
  <c r="FL9" i="2"/>
  <c r="FL10" i="2"/>
  <c r="FL11" i="2"/>
  <c r="FL12" i="2"/>
  <c r="FL13" i="2"/>
  <c r="FL14" i="2"/>
  <c r="FL15" i="2"/>
  <c r="FL16" i="2"/>
  <c r="FL17" i="2"/>
  <c r="FL18" i="2"/>
  <c r="FL19" i="2"/>
  <c r="FL20" i="2"/>
  <c r="FL21" i="2"/>
  <c r="FL22" i="2"/>
  <c r="FL23" i="2"/>
  <c r="FL24" i="2"/>
  <c r="FL25" i="2"/>
  <c r="FL3" i="2"/>
  <c r="FK4" i="2"/>
  <c r="FK5" i="2"/>
  <c r="FK6" i="2"/>
  <c r="FK7" i="2"/>
  <c r="FK8" i="2"/>
  <c r="FK9" i="2"/>
  <c r="FK10" i="2"/>
  <c r="FK11" i="2"/>
  <c r="FK12" i="2"/>
  <c r="FK13" i="2"/>
  <c r="FK14" i="2"/>
  <c r="FK15" i="2"/>
  <c r="FK16" i="2"/>
  <c r="FK17" i="2"/>
  <c r="FK18" i="2"/>
  <c r="FK19" i="2"/>
  <c r="FK20" i="2"/>
  <c r="FK21" i="2"/>
  <c r="FK22" i="2"/>
  <c r="FK23" i="2"/>
  <c r="FK24" i="2"/>
  <c r="FK25" i="2"/>
  <c r="FK3" i="2"/>
  <c r="FJ4" i="2"/>
  <c r="FJ5" i="2"/>
  <c r="FJ6" i="2"/>
  <c r="FJ7" i="2"/>
  <c r="FJ8" i="2"/>
  <c r="FJ9" i="2"/>
  <c r="FJ10" i="2"/>
  <c r="FJ11" i="2"/>
  <c r="FJ12" i="2"/>
  <c r="FJ13" i="2"/>
  <c r="FJ14" i="2"/>
  <c r="FJ15" i="2"/>
  <c r="FJ16" i="2"/>
  <c r="FJ17" i="2"/>
  <c r="FJ18" i="2"/>
  <c r="FJ19" i="2"/>
  <c r="FJ20" i="2"/>
  <c r="FJ21" i="2"/>
  <c r="FJ22" i="2"/>
  <c r="FJ23" i="2"/>
  <c r="FJ24" i="2"/>
  <c r="FJ25" i="2"/>
  <c r="FJ3" i="2"/>
  <c r="FI4" i="2"/>
  <c r="FI5" i="2"/>
  <c r="FI6" i="2"/>
  <c r="FI7" i="2"/>
  <c r="FI8" i="2"/>
  <c r="FI9" i="2"/>
  <c r="FI10" i="2"/>
  <c r="FI11" i="2"/>
  <c r="FI12" i="2"/>
  <c r="FI13" i="2"/>
  <c r="FI14" i="2"/>
  <c r="FI15" i="2"/>
  <c r="FI16" i="2"/>
  <c r="FI17" i="2"/>
  <c r="FI18" i="2"/>
  <c r="FI19" i="2"/>
  <c r="FI20" i="2"/>
  <c r="FI21" i="2"/>
  <c r="FI22" i="2"/>
  <c r="FI23" i="2"/>
  <c r="FI24" i="2"/>
  <c r="FI25" i="2"/>
  <c r="FI3" i="2"/>
  <c r="FH4" i="2"/>
  <c r="FH5" i="2"/>
  <c r="FH6" i="2"/>
  <c r="FH7" i="2"/>
  <c r="FH8" i="2"/>
  <c r="FH9" i="2"/>
  <c r="FH10" i="2"/>
  <c r="FH11" i="2"/>
  <c r="FH12" i="2"/>
  <c r="FH13" i="2"/>
  <c r="FH14" i="2"/>
  <c r="FH15" i="2"/>
  <c r="FH16" i="2"/>
  <c r="FH17" i="2"/>
  <c r="FH18" i="2"/>
  <c r="FH19" i="2"/>
  <c r="FH20" i="2"/>
  <c r="FH21" i="2"/>
  <c r="FH22" i="2"/>
  <c r="FH23" i="2"/>
  <c r="FH24" i="2"/>
  <c r="FH25" i="2"/>
  <c r="FH3" i="2"/>
  <c r="FG4" i="2"/>
  <c r="FG5" i="2"/>
  <c r="FG6" i="2"/>
  <c r="FG7" i="2"/>
  <c r="FG8" i="2"/>
  <c r="FG9" i="2"/>
  <c r="FG10" i="2"/>
  <c r="FG11" i="2"/>
  <c r="FG12" i="2"/>
  <c r="FG13" i="2"/>
  <c r="FG14" i="2"/>
  <c r="FG15" i="2"/>
  <c r="FG16" i="2"/>
  <c r="FG17" i="2"/>
  <c r="FG18" i="2"/>
  <c r="FG19" i="2"/>
  <c r="FG20" i="2"/>
  <c r="FG21" i="2"/>
  <c r="FG22" i="2"/>
  <c r="FG23" i="2"/>
  <c r="FG24" i="2"/>
  <c r="FG25" i="2"/>
  <c r="FG3" i="2"/>
  <c r="FF4" i="2"/>
  <c r="FF5" i="2"/>
  <c r="FF6" i="2"/>
  <c r="FF7" i="2"/>
  <c r="FF8" i="2"/>
  <c r="FF9" i="2"/>
  <c r="FF10" i="2"/>
  <c r="FF11" i="2"/>
  <c r="FF12" i="2"/>
  <c r="FF13" i="2"/>
  <c r="FF14" i="2"/>
  <c r="FF15" i="2"/>
  <c r="FF16" i="2"/>
  <c r="FF17" i="2"/>
  <c r="FF18" i="2"/>
  <c r="FF19" i="2"/>
  <c r="FF20" i="2"/>
  <c r="FF21" i="2"/>
  <c r="FF22" i="2"/>
  <c r="FF23" i="2"/>
  <c r="FF24" i="2"/>
  <c r="FF25" i="2"/>
  <c r="FF3" i="2"/>
  <c r="DH4" i="2"/>
  <c r="DH5" i="2"/>
  <c r="DH6" i="2"/>
  <c r="DH7" i="2"/>
  <c r="DH8" i="2"/>
  <c r="DH9" i="2"/>
  <c r="DH10" i="2"/>
  <c r="DH11" i="2"/>
  <c r="DH12" i="2"/>
  <c r="DH13" i="2"/>
  <c r="DH14" i="2"/>
  <c r="DH15" i="2"/>
  <c r="DH16" i="2"/>
  <c r="DH17" i="2"/>
  <c r="DH18" i="2"/>
  <c r="DH19" i="2"/>
  <c r="DH20" i="2"/>
  <c r="DH21" i="2"/>
  <c r="DH22" i="2"/>
  <c r="DH23" i="2"/>
  <c r="DH24" i="2"/>
  <c r="DH25" i="2"/>
  <c r="FE4" i="2"/>
  <c r="FE5" i="2"/>
  <c r="FE6" i="2"/>
  <c r="FE7" i="2"/>
  <c r="FE8" i="2"/>
  <c r="FE9" i="2"/>
  <c r="FE10" i="2"/>
  <c r="FE11" i="2"/>
  <c r="FE12" i="2"/>
  <c r="FE13" i="2"/>
  <c r="FE14" i="2"/>
  <c r="FE15" i="2"/>
  <c r="FE16" i="2"/>
  <c r="FE17" i="2"/>
  <c r="FE18" i="2"/>
  <c r="FE19" i="2"/>
  <c r="FE20" i="2"/>
  <c r="FE21" i="2"/>
  <c r="FE22" i="2"/>
  <c r="FE23" i="2"/>
  <c r="FE24" i="2"/>
  <c r="FE25" i="2"/>
  <c r="FE3" i="2"/>
  <c r="FD4" i="2"/>
  <c r="FD5" i="2"/>
  <c r="FD6" i="2"/>
  <c r="FD7" i="2"/>
  <c r="FD8" i="2"/>
  <c r="FD9" i="2"/>
  <c r="FD10" i="2"/>
  <c r="FD11" i="2"/>
  <c r="FD12" i="2"/>
  <c r="FD13" i="2"/>
  <c r="FD14" i="2"/>
  <c r="FD15" i="2"/>
  <c r="FD16" i="2"/>
  <c r="FD17" i="2"/>
  <c r="FD18" i="2"/>
  <c r="FD19" i="2"/>
  <c r="FD20" i="2"/>
  <c r="FD21" i="2"/>
  <c r="FD22" i="2"/>
  <c r="FD23" i="2"/>
  <c r="FD24" i="2"/>
  <c r="FD25" i="2"/>
  <c r="FD3" i="2"/>
  <c r="FC4" i="2"/>
  <c r="FC5" i="2"/>
  <c r="FC6" i="2"/>
  <c r="FC7" i="2"/>
  <c r="FC8" i="2"/>
  <c r="FC9" i="2"/>
  <c r="FC10" i="2"/>
  <c r="FC11" i="2"/>
  <c r="FC12" i="2"/>
  <c r="FC13" i="2"/>
  <c r="FC14" i="2"/>
  <c r="FC15" i="2"/>
  <c r="FC16" i="2"/>
  <c r="FC17" i="2"/>
  <c r="FC18" i="2"/>
  <c r="FC19" i="2"/>
  <c r="FC20" i="2"/>
  <c r="FC21" i="2"/>
  <c r="FC22" i="2"/>
  <c r="FC23" i="2"/>
  <c r="FC24" i="2"/>
  <c r="FC25" i="2"/>
  <c r="FC3" i="2"/>
  <c r="EZ4" i="2"/>
  <c r="EZ5" i="2"/>
  <c r="EZ6" i="2"/>
  <c r="EZ7" i="2"/>
  <c r="EZ8" i="2"/>
  <c r="EZ9" i="2"/>
  <c r="EZ10" i="2"/>
  <c r="EZ11" i="2"/>
  <c r="EZ12" i="2"/>
  <c r="EZ13" i="2"/>
  <c r="EZ14" i="2"/>
  <c r="EZ15" i="2"/>
  <c r="EZ16" i="2"/>
  <c r="EZ17" i="2"/>
  <c r="EZ18" i="2"/>
  <c r="EZ19" i="2"/>
  <c r="EZ20" i="2"/>
  <c r="EZ21" i="2"/>
  <c r="EZ22" i="2"/>
  <c r="EZ23" i="2"/>
  <c r="EZ24" i="2"/>
  <c r="EZ25" i="2"/>
  <c r="EZ3" i="2"/>
  <c r="FB4" i="2"/>
  <c r="FB5" i="2"/>
  <c r="FB6" i="2"/>
  <c r="FB7" i="2"/>
  <c r="FB8" i="2"/>
  <c r="FB9" i="2"/>
  <c r="FB10" i="2"/>
  <c r="FB11" i="2"/>
  <c r="FB12" i="2"/>
  <c r="FB13" i="2"/>
  <c r="FB14" i="2"/>
  <c r="FB15" i="2"/>
  <c r="FB16" i="2"/>
  <c r="FB17" i="2"/>
  <c r="FB18" i="2"/>
  <c r="FB19" i="2"/>
  <c r="FB20" i="2"/>
  <c r="FB21" i="2"/>
  <c r="FB22" i="2"/>
  <c r="FB23" i="2"/>
  <c r="FB24" i="2"/>
  <c r="FB25" i="2"/>
  <c r="FB3" i="2"/>
  <c r="FA4" i="2"/>
  <c r="FA5" i="2"/>
  <c r="FA6" i="2"/>
  <c r="FA7" i="2"/>
  <c r="FA8" i="2"/>
  <c r="FA9" i="2"/>
  <c r="FA10" i="2"/>
  <c r="FA11" i="2"/>
  <c r="FA12" i="2"/>
  <c r="FA13" i="2"/>
  <c r="FA14" i="2"/>
  <c r="FA15" i="2"/>
  <c r="FA16" i="2"/>
  <c r="FA17" i="2"/>
  <c r="FA18" i="2"/>
  <c r="FA19" i="2"/>
  <c r="FA20" i="2"/>
  <c r="FA21" i="2"/>
  <c r="FA22" i="2"/>
  <c r="FA23" i="2"/>
  <c r="FA24" i="2"/>
  <c r="FA25" i="2"/>
  <c r="FA3" i="2"/>
  <c r="EY4" i="2"/>
  <c r="EY5" i="2"/>
  <c r="EY6" i="2"/>
  <c r="EY7" i="2"/>
  <c r="EY8" i="2"/>
  <c r="EY9" i="2"/>
  <c r="EY10" i="2"/>
  <c r="EY11" i="2"/>
  <c r="EY12" i="2"/>
  <c r="EY13" i="2"/>
  <c r="EY14" i="2"/>
  <c r="EY15" i="2"/>
  <c r="EY16" i="2"/>
  <c r="EY17" i="2"/>
  <c r="EY18" i="2"/>
  <c r="EY19" i="2"/>
  <c r="EY20" i="2"/>
  <c r="EY21" i="2"/>
  <c r="EY22" i="2"/>
  <c r="EY23" i="2"/>
  <c r="EY24" i="2"/>
  <c r="EY25" i="2"/>
  <c r="EY3" i="2"/>
  <c r="EX4" i="2"/>
  <c r="EX5" i="2"/>
  <c r="EX6" i="2"/>
  <c r="EX7" i="2"/>
  <c r="EX8" i="2"/>
  <c r="EX9" i="2"/>
  <c r="EX10" i="2"/>
  <c r="EX11" i="2"/>
  <c r="EX12" i="2"/>
  <c r="EX13" i="2"/>
  <c r="EX14" i="2"/>
  <c r="EX15" i="2"/>
  <c r="EX16" i="2"/>
  <c r="EX17" i="2"/>
  <c r="EX18" i="2"/>
  <c r="EX19" i="2"/>
  <c r="EX20" i="2"/>
  <c r="EX21" i="2"/>
  <c r="EX22" i="2"/>
  <c r="EX23" i="2"/>
  <c r="EX24" i="2"/>
  <c r="EX25" i="2"/>
  <c r="EX3" i="2"/>
  <c r="EW4" i="2"/>
  <c r="EW5" i="2"/>
  <c r="EW6" i="2"/>
  <c r="EW7" i="2"/>
  <c r="EW8" i="2"/>
  <c r="EW9" i="2"/>
  <c r="EW10" i="2"/>
  <c r="EW11" i="2"/>
  <c r="EW12" i="2"/>
  <c r="EW13" i="2"/>
  <c r="EW14" i="2"/>
  <c r="EW15" i="2"/>
  <c r="EW16" i="2"/>
  <c r="EW17" i="2"/>
  <c r="EW18" i="2"/>
  <c r="EW19" i="2"/>
  <c r="EW20" i="2"/>
  <c r="EW21" i="2"/>
  <c r="EW22" i="2"/>
  <c r="EW23" i="2"/>
  <c r="EW24" i="2"/>
  <c r="EW25" i="2"/>
  <c r="EW3" i="2"/>
  <c r="EV4" i="2"/>
  <c r="EV5" i="2"/>
  <c r="EV6" i="2"/>
  <c r="EV7" i="2"/>
  <c r="EV8" i="2"/>
  <c r="EV9" i="2"/>
  <c r="EV10" i="2"/>
  <c r="EV11" i="2"/>
  <c r="EV12" i="2"/>
  <c r="EV13" i="2"/>
  <c r="EV14" i="2"/>
  <c r="EV15" i="2"/>
  <c r="EV16" i="2"/>
  <c r="EV17" i="2"/>
  <c r="EV18" i="2"/>
  <c r="EV19" i="2"/>
  <c r="EV20" i="2"/>
  <c r="EV21" i="2"/>
  <c r="EV22" i="2"/>
  <c r="EV23" i="2"/>
  <c r="EV24" i="2"/>
  <c r="EV25" i="2"/>
  <c r="EV3" i="2"/>
  <c r="EU4" i="2"/>
  <c r="EU5" i="2"/>
  <c r="EU6" i="2"/>
  <c r="EU7" i="2"/>
  <c r="EU8" i="2"/>
  <c r="EU9" i="2"/>
  <c r="EU10" i="2"/>
  <c r="EU11" i="2"/>
  <c r="EU12" i="2"/>
  <c r="EU13" i="2"/>
  <c r="EU14" i="2"/>
  <c r="EU15" i="2"/>
  <c r="EU16" i="2"/>
  <c r="EU17" i="2"/>
  <c r="EU18" i="2"/>
  <c r="EU19" i="2"/>
  <c r="EU20" i="2"/>
  <c r="EU21" i="2"/>
  <c r="EU22" i="2"/>
  <c r="EU23" i="2"/>
  <c r="EU24" i="2"/>
  <c r="EU25" i="2"/>
  <c r="EU3" i="2"/>
  <c r="ET4" i="2"/>
  <c r="ET5" i="2"/>
  <c r="ET6" i="2"/>
  <c r="ET7" i="2"/>
  <c r="ET8" i="2"/>
  <c r="ET9" i="2"/>
  <c r="ET10" i="2"/>
  <c r="ET11" i="2"/>
  <c r="ET12" i="2"/>
  <c r="ET13" i="2"/>
  <c r="ET14" i="2"/>
  <c r="ET15" i="2"/>
  <c r="ET16" i="2"/>
  <c r="ET17" i="2"/>
  <c r="ET18" i="2"/>
  <c r="ET19" i="2"/>
  <c r="ET20" i="2"/>
  <c r="ET21" i="2"/>
  <c r="ET22" i="2"/>
  <c r="ET23" i="2"/>
  <c r="ET24" i="2"/>
  <c r="ET25" i="2"/>
  <c r="ET3" i="2"/>
  <c r="ES4" i="2"/>
  <c r="ES5" i="2"/>
  <c r="ES6" i="2"/>
  <c r="ES7" i="2"/>
  <c r="ES8" i="2"/>
  <c r="ES9" i="2"/>
  <c r="ES10" i="2"/>
  <c r="ES11" i="2"/>
  <c r="ES12" i="2"/>
  <c r="ES13" i="2"/>
  <c r="ES14" i="2"/>
  <c r="ES15" i="2"/>
  <c r="ES16" i="2"/>
  <c r="ES17" i="2"/>
  <c r="ES18" i="2"/>
  <c r="ES19" i="2"/>
  <c r="ES20" i="2"/>
  <c r="ES21" i="2"/>
  <c r="ES22" i="2"/>
  <c r="ES23" i="2"/>
  <c r="ES24" i="2"/>
  <c r="ES25" i="2"/>
  <c r="ES3" i="2"/>
  <c r="ER4" i="2"/>
  <c r="ER5" i="2"/>
  <c r="ER6" i="2"/>
  <c r="ER7" i="2"/>
  <c r="ER8" i="2"/>
  <c r="ER9" i="2"/>
  <c r="ER10" i="2"/>
  <c r="ER11" i="2"/>
  <c r="ER12" i="2"/>
  <c r="ER13" i="2"/>
  <c r="ER14" i="2"/>
  <c r="ER15" i="2"/>
  <c r="ER16" i="2"/>
  <c r="ER17" i="2"/>
  <c r="ER18" i="2"/>
  <c r="ER19" i="2"/>
  <c r="ER20" i="2"/>
  <c r="ER21" i="2"/>
  <c r="ER22" i="2"/>
  <c r="ER23" i="2"/>
  <c r="ER24" i="2"/>
  <c r="ER25" i="2"/>
  <c r="ER3" i="2"/>
  <c r="EQ4" i="2"/>
  <c r="EQ5" i="2"/>
  <c r="EQ6" i="2"/>
  <c r="EQ7" i="2"/>
  <c r="EQ8" i="2"/>
  <c r="EQ9" i="2"/>
  <c r="EQ10" i="2"/>
  <c r="EQ11" i="2"/>
  <c r="EQ12" i="2"/>
  <c r="EQ13" i="2"/>
  <c r="EQ14" i="2"/>
  <c r="EQ15" i="2"/>
  <c r="EQ16" i="2"/>
  <c r="EQ17" i="2"/>
  <c r="EQ18" i="2"/>
  <c r="EQ19" i="2"/>
  <c r="EQ20" i="2"/>
  <c r="EQ21" i="2"/>
  <c r="EQ22" i="2"/>
  <c r="EQ23" i="2"/>
  <c r="EQ24" i="2"/>
  <c r="EQ25" i="2"/>
  <c r="EQ3" i="2"/>
  <c r="EP4" i="2"/>
  <c r="EP5" i="2"/>
  <c r="EP6" i="2"/>
  <c r="EP7" i="2"/>
  <c r="EP8" i="2"/>
  <c r="EP9" i="2"/>
  <c r="EP10" i="2"/>
  <c r="EP11" i="2"/>
  <c r="EP12" i="2"/>
  <c r="EP13" i="2"/>
  <c r="EP14" i="2"/>
  <c r="EP15" i="2"/>
  <c r="EP16" i="2"/>
  <c r="EP17" i="2"/>
  <c r="EP18" i="2"/>
  <c r="EP19" i="2"/>
  <c r="EP20" i="2"/>
  <c r="EP21" i="2"/>
  <c r="EP22" i="2"/>
  <c r="EP23" i="2"/>
  <c r="EP24" i="2"/>
  <c r="EP25" i="2"/>
  <c r="EP3" i="2"/>
  <c r="EO4" i="2"/>
  <c r="EO5" i="2"/>
  <c r="EO6" i="2"/>
  <c r="EO7" i="2"/>
  <c r="EO8" i="2"/>
  <c r="EO9" i="2"/>
  <c r="EO10" i="2"/>
  <c r="EO11" i="2"/>
  <c r="EO12" i="2"/>
  <c r="EO13" i="2"/>
  <c r="EO14" i="2"/>
  <c r="EO15" i="2"/>
  <c r="EO16" i="2"/>
  <c r="EO17" i="2"/>
  <c r="EO18" i="2"/>
  <c r="EO19" i="2"/>
  <c r="EO20" i="2"/>
  <c r="EO21" i="2"/>
  <c r="EO22" i="2"/>
  <c r="EO23" i="2"/>
  <c r="EO24" i="2"/>
  <c r="EO25" i="2"/>
  <c r="EO3" i="2"/>
  <c r="EN4" i="2"/>
  <c r="EN5" i="2"/>
  <c r="EN6" i="2"/>
  <c r="EN7" i="2"/>
  <c r="EN8" i="2"/>
  <c r="EN9" i="2"/>
  <c r="EN10" i="2"/>
  <c r="EN11" i="2"/>
  <c r="EN12" i="2"/>
  <c r="EN13" i="2"/>
  <c r="EN14" i="2"/>
  <c r="EN15" i="2"/>
  <c r="EN16" i="2"/>
  <c r="EN17" i="2"/>
  <c r="EN18" i="2"/>
  <c r="EN19" i="2"/>
  <c r="EN20" i="2"/>
  <c r="EN21" i="2"/>
  <c r="EN22" i="2"/>
  <c r="EN23" i="2"/>
  <c r="EN24" i="2"/>
  <c r="EN25" i="2"/>
  <c r="EN3" i="2"/>
  <c r="EM4" i="2"/>
  <c r="EM5" i="2"/>
  <c r="EM6" i="2"/>
  <c r="EM7" i="2"/>
  <c r="EM8" i="2"/>
  <c r="EM9" i="2"/>
  <c r="EM10" i="2"/>
  <c r="EM11" i="2"/>
  <c r="EM12" i="2"/>
  <c r="EM13" i="2"/>
  <c r="EM14" i="2"/>
  <c r="EM15" i="2"/>
  <c r="EM16" i="2"/>
  <c r="EM17" i="2"/>
  <c r="EM18" i="2"/>
  <c r="EM19" i="2"/>
  <c r="EM20" i="2"/>
  <c r="EM21" i="2"/>
  <c r="EM22" i="2"/>
  <c r="EM23" i="2"/>
  <c r="EM24" i="2"/>
  <c r="EM25" i="2"/>
  <c r="EM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3" i="2"/>
  <c r="EK4" i="2"/>
  <c r="EK5" i="2"/>
  <c r="EK6" i="2"/>
  <c r="EK7" i="2"/>
  <c r="EK8" i="2"/>
  <c r="EK9" i="2"/>
  <c r="EK10" i="2"/>
  <c r="EK11" i="2"/>
  <c r="EK12" i="2"/>
  <c r="EK13" i="2"/>
  <c r="EK14" i="2"/>
  <c r="EK15" i="2"/>
  <c r="EK16" i="2"/>
  <c r="EK17" i="2"/>
  <c r="EK18" i="2"/>
  <c r="EK19" i="2"/>
  <c r="EK20" i="2"/>
  <c r="EK21" i="2"/>
  <c r="EK22" i="2"/>
  <c r="EK23" i="2"/>
  <c r="EK24" i="2"/>
  <c r="EK25" i="2"/>
  <c r="EK3" i="2"/>
  <c r="EJ4" i="2"/>
  <c r="EJ5" i="2"/>
  <c r="EJ6" i="2"/>
  <c r="EJ7" i="2"/>
  <c r="EJ8" i="2"/>
  <c r="EJ9" i="2"/>
  <c r="EJ10" i="2"/>
  <c r="EJ11" i="2"/>
  <c r="EJ12" i="2"/>
  <c r="EJ13" i="2"/>
  <c r="EJ14" i="2"/>
  <c r="EJ15" i="2"/>
  <c r="EJ16" i="2"/>
  <c r="EJ17" i="2"/>
  <c r="EJ18" i="2"/>
  <c r="EJ19" i="2"/>
  <c r="EJ20" i="2"/>
  <c r="EJ21" i="2"/>
  <c r="EJ22" i="2"/>
  <c r="EJ23" i="2"/>
  <c r="EJ24" i="2"/>
  <c r="EJ25" i="2"/>
  <c r="EJ3" i="2"/>
  <c r="EI4" i="2"/>
  <c r="EI5" i="2"/>
  <c r="EI6" i="2"/>
  <c r="EI7" i="2"/>
  <c r="EI8" i="2"/>
  <c r="EI9" i="2"/>
  <c r="EI10" i="2"/>
  <c r="EI11" i="2"/>
  <c r="EI12" i="2"/>
  <c r="EI13" i="2"/>
  <c r="EI14" i="2"/>
  <c r="EI15" i="2"/>
  <c r="EI16" i="2"/>
  <c r="EI17" i="2"/>
  <c r="EI18" i="2"/>
  <c r="EI19" i="2"/>
  <c r="EI20" i="2"/>
  <c r="EI21" i="2"/>
  <c r="EI22" i="2"/>
  <c r="EI23" i="2"/>
  <c r="EI24" i="2"/>
  <c r="EI25" i="2"/>
  <c r="EI3" i="2"/>
  <c r="EH4" i="2"/>
  <c r="EH5" i="2"/>
  <c r="EH6" i="2"/>
  <c r="EH7" i="2"/>
  <c r="EH8" i="2"/>
  <c r="EH9" i="2"/>
  <c r="EH10" i="2"/>
  <c r="EH11" i="2"/>
  <c r="EH12" i="2"/>
  <c r="EH13" i="2"/>
  <c r="EH14" i="2"/>
  <c r="EH15" i="2"/>
  <c r="EH16" i="2"/>
  <c r="EH17" i="2"/>
  <c r="EH18" i="2"/>
  <c r="EH19" i="2"/>
  <c r="EH20" i="2"/>
  <c r="EH21" i="2"/>
  <c r="EH22" i="2"/>
  <c r="EH23" i="2"/>
  <c r="EH24" i="2"/>
  <c r="EH25" i="2"/>
  <c r="EH3" i="2"/>
  <c r="EG4" i="2"/>
  <c r="EG5" i="2"/>
  <c r="EG6" i="2"/>
  <c r="EG7" i="2"/>
  <c r="EG8" i="2"/>
  <c r="EG9" i="2"/>
  <c r="EG10" i="2"/>
  <c r="EG11" i="2"/>
  <c r="EG12" i="2"/>
  <c r="EG13" i="2"/>
  <c r="EG14" i="2"/>
  <c r="EG15" i="2"/>
  <c r="EG16" i="2"/>
  <c r="EG17" i="2"/>
  <c r="EG18" i="2"/>
  <c r="EG19" i="2"/>
  <c r="EG20" i="2"/>
  <c r="EG21" i="2"/>
  <c r="EG22" i="2"/>
  <c r="EG23" i="2"/>
  <c r="EG24" i="2"/>
  <c r="EG25" i="2"/>
  <c r="EG3" i="2"/>
  <c r="EF4" i="2"/>
  <c r="EF5" i="2"/>
  <c r="EF6" i="2"/>
  <c r="EF7" i="2"/>
  <c r="EF8" i="2"/>
  <c r="EF9" i="2"/>
  <c r="EF10" i="2"/>
  <c r="EF11" i="2"/>
  <c r="EF12" i="2"/>
  <c r="EF13" i="2"/>
  <c r="EF14" i="2"/>
  <c r="EF15" i="2"/>
  <c r="EF16" i="2"/>
  <c r="EF17" i="2"/>
  <c r="EF18" i="2"/>
  <c r="EF19" i="2"/>
  <c r="EF20" i="2"/>
  <c r="EF21" i="2"/>
  <c r="EF22" i="2"/>
  <c r="EF23" i="2"/>
  <c r="EF24" i="2"/>
  <c r="EF25" i="2"/>
  <c r="EF3" i="2"/>
  <c r="EE4" i="2"/>
  <c r="EE5" i="2"/>
  <c r="EE6" i="2"/>
  <c r="EE7" i="2"/>
  <c r="EE8" i="2"/>
  <c r="EE9" i="2"/>
  <c r="EE10" i="2"/>
  <c r="EE11" i="2"/>
  <c r="EE12" i="2"/>
  <c r="EE13" i="2"/>
  <c r="EE14" i="2"/>
  <c r="EE15" i="2"/>
  <c r="EE16" i="2"/>
  <c r="EE17" i="2"/>
  <c r="EE18" i="2"/>
  <c r="EE19" i="2"/>
  <c r="EE20" i="2"/>
  <c r="EE21" i="2"/>
  <c r="EE22" i="2"/>
  <c r="EE23" i="2"/>
  <c r="EE24" i="2"/>
  <c r="EE25" i="2"/>
  <c r="EE3" i="2"/>
  <c r="ED4" i="2"/>
  <c r="ED5" i="2"/>
  <c r="ED6" i="2"/>
  <c r="ED7" i="2"/>
  <c r="ED8" i="2"/>
  <c r="ED9" i="2"/>
  <c r="ED10" i="2"/>
  <c r="ED11" i="2"/>
  <c r="ED12" i="2"/>
  <c r="ED13" i="2"/>
  <c r="ED14" i="2"/>
  <c r="ED15" i="2"/>
  <c r="ED16" i="2"/>
  <c r="ED17" i="2"/>
  <c r="ED18" i="2"/>
  <c r="ED19" i="2"/>
  <c r="ED20" i="2"/>
  <c r="ED21" i="2"/>
  <c r="ED22" i="2"/>
  <c r="ED23" i="2"/>
  <c r="ED24" i="2"/>
  <c r="ED25" i="2"/>
  <c r="ED3" i="2"/>
  <c r="EC4" i="2"/>
  <c r="EC5" i="2"/>
  <c r="EC6" i="2"/>
  <c r="EC7" i="2"/>
  <c r="EC8" i="2"/>
  <c r="EC9" i="2"/>
  <c r="EC10" i="2"/>
  <c r="EC11" i="2"/>
  <c r="EC12" i="2"/>
  <c r="EC13" i="2"/>
  <c r="EC14" i="2"/>
  <c r="EC15" i="2"/>
  <c r="EC16" i="2"/>
  <c r="EC17" i="2"/>
  <c r="EC18" i="2"/>
  <c r="EC19" i="2"/>
  <c r="EC20" i="2"/>
  <c r="EC21" i="2"/>
  <c r="EC22" i="2"/>
  <c r="EC23" i="2"/>
  <c r="EC24" i="2"/>
  <c r="EC25" i="2"/>
  <c r="EC3" i="2"/>
  <c r="EB4" i="2"/>
  <c r="EB5" i="2"/>
  <c r="EB6" i="2"/>
  <c r="EB7" i="2"/>
  <c r="EB8" i="2"/>
  <c r="EB9" i="2"/>
  <c r="EB10" i="2"/>
  <c r="EB11" i="2"/>
  <c r="EB12" i="2"/>
  <c r="EB13" i="2"/>
  <c r="EB14" i="2"/>
  <c r="EB15" i="2"/>
  <c r="EB16" i="2"/>
  <c r="EB17" i="2"/>
  <c r="EB18" i="2"/>
  <c r="EB19" i="2"/>
  <c r="EB20" i="2"/>
  <c r="EB21" i="2"/>
  <c r="EB22" i="2"/>
  <c r="EB23" i="2"/>
  <c r="EB24" i="2"/>
  <c r="EB25" i="2"/>
  <c r="EB3" i="2"/>
  <c r="EA4" i="2"/>
  <c r="EA5" i="2"/>
  <c r="EA6" i="2"/>
  <c r="EA7" i="2"/>
  <c r="EA8" i="2"/>
  <c r="EA9" i="2"/>
  <c r="EA10" i="2"/>
  <c r="EA11" i="2"/>
  <c r="EA12" i="2"/>
  <c r="EA13" i="2"/>
  <c r="EA14" i="2"/>
  <c r="EA15" i="2"/>
  <c r="EA16" i="2"/>
  <c r="EA17" i="2"/>
  <c r="EA18" i="2"/>
  <c r="EA19" i="2"/>
  <c r="EA20" i="2"/>
  <c r="EA21" i="2"/>
  <c r="EA22" i="2"/>
  <c r="EA23" i="2"/>
  <c r="EA24" i="2"/>
  <c r="EA25" i="2"/>
  <c r="EA3" i="2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3" i="2"/>
  <c r="DY4" i="2"/>
  <c r="DY5" i="2"/>
  <c r="DY6" i="2"/>
  <c r="DY7" i="2"/>
  <c r="DY8" i="2"/>
  <c r="DY9" i="2"/>
  <c r="DY10" i="2"/>
  <c r="DY11" i="2"/>
  <c r="DY12" i="2"/>
  <c r="DY13" i="2"/>
  <c r="DY14" i="2"/>
  <c r="DY15" i="2"/>
  <c r="DY16" i="2"/>
  <c r="DY17" i="2"/>
  <c r="DY18" i="2"/>
  <c r="DY19" i="2"/>
  <c r="DY20" i="2"/>
  <c r="DY21" i="2"/>
  <c r="DY22" i="2"/>
  <c r="DY23" i="2"/>
  <c r="DY24" i="2"/>
  <c r="DY25" i="2"/>
  <c r="DY3" i="2"/>
  <c r="DX4" i="2"/>
  <c r="DX5" i="2"/>
  <c r="DX6" i="2"/>
  <c r="DX7" i="2"/>
  <c r="DX8" i="2"/>
  <c r="DX9" i="2"/>
  <c r="DX10" i="2"/>
  <c r="DX11" i="2"/>
  <c r="DX12" i="2"/>
  <c r="DX13" i="2"/>
  <c r="DX14" i="2"/>
  <c r="DX15" i="2"/>
  <c r="DX16" i="2"/>
  <c r="DX17" i="2"/>
  <c r="DX18" i="2"/>
  <c r="DX19" i="2"/>
  <c r="DX20" i="2"/>
  <c r="DX21" i="2"/>
  <c r="DX22" i="2"/>
  <c r="DX23" i="2"/>
  <c r="DX24" i="2"/>
  <c r="DX25" i="2"/>
  <c r="DX3" i="2"/>
  <c r="DW4" i="2"/>
  <c r="DW5" i="2"/>
  <c r="DW6" i="2"/>
  <c r="DW7" i="2"/>
  <c r="DW8" i="2"/>
  <c r="DW9" i="2"/>
  <c r="DW10" i="2"/>
  <c r="DW11" i="2"/>
  <c r="DW12" i="2"/>
  <c r="DW13" i="2"/>
  <c r="DW14" i="2"/>
  <c r="DW15" i="2"/>
  <c r="DW16" i="2"/>
  <c r="DW17" i="2"/>
  <c r="DW18" i="2"/>
  <c r="DW19" i="2"/>
  <c r="DW20" i="2"/>
  <c r="DW21" i="2"/>
  <c r="DW22" i="2"/>
  <c r="DW23" i="2"/>
  <c r="DW24" i="2"/>
  <c r="DW25" i="2"/>
  <c r="DW3" i="2"/>
  <c r="DV4" i="2"/>
  <c r="DV5" i="2"/>
  <c r="DV6" i="2"/>
  <c r="DV7" i="2"/>
  <c r="DV8" i="2"/>
  <c r="DV9" i="2"/>
  <c r="DV10" i="2"/>
  <c r="DV11" i="2"/>
  <c r="DV12" i="2"/>
  <c r="DV13" i="2"/>
  <c r="DV14" i="2"/>
  <c r="DV15" i="2"/>
  <c r="DV16" i="2"/>
  <c r="DV17" i="2"/>
  <c r="DV18" i="2"/>
  <c r="DV19" i="2"/>
  <c r="DV20" i="2"/>
  <c r="DV21" i="2"/>
  <c r="DV22" i="2"/>
  <c r="DV23" i="2"/>
  <c r="DV24" i="2"/>
  <c r="DV25" i="2"/>
  <c r="DV3" i="2"/>
  <c r="DU4" i="2"/>
  <c r="DU5" i="2"/>
  <c r="DU6" i="2"/>
  <c r="DU7" i="2"/>
  <c r="DU8" i="2"/>
  <c r="DU9" i="2"/>
  <c r="DU10" i="2"/>
  <c r="DU11" i="2"/>
  <c r="DU12" i="2"/>
  <c r="DU13" i="2"/>
  <c r="DU14" i="2"/>
  <c r="DU15" i="2"/>
  <c r="DU16" i="2"/>
  <c r="DU17" i="2"/>
  <c r="DU18" i="2"/>
  <c r="DU19" i="2"/>
  <c r="DU20" i="2"/>
  <c r="DU21" i="2"/>
  <c r="DU22" i="2"/>
  <c r="DU23" i="2"/>
  <c r="DU24" i="2"/>
  <c r="DU25" i="2"/>
  <c r="DU3" i="2"/>
  <c r="DT4" i="2"/>
  <c r="DT5" i="2"/>
  <c r="DT6" i="2"/>
  <c r="DT7" i="2"/>
  <c r="DT8" i="2"/>
  <c r="DT9" i="2"/>
  <c r="DT10" i="2"/>
  <c r="DT11" i="2"/>
  <c r="DT12" i="2"/>
  <c r="DT13" i="2"/>
  <c r="DT14" i="2"/>
  <c r="DT15" i="2"/>
  <c r="DT16" i="2"/>
  <c r="DT17" i="2"/>
  <c r="DT18" i="2"/>
  <c r="DT19" i="2"/>
  <c r="DT20" i="2"/>
  <c r="DT21" i="2"/>
  <c r="DT22" i="2"/>
  <c r="DT23" i="2"/>
  <c r="DT24" i="2"/>
  <c r="DT25" i="2"/>
  <c r="DT3" i="2"/>
  <c r="DS4" i="2"/>
  <c r="DS5" i="2"/>
  <c r="DS6" i="2"/>
  <c r="DS7" i="2"/>
  <c r="DS8" i="2"/>
  <c r="DS9" i="2"/>
  <c r="DS10" i="2"/>
  <c r="DS11" i="2"/>
  <c r="DS12" i="2"/>
  <c r="DS13" i="2"/>
  <c r="DS14" i="2"/>
  <c r="DS15" i="2"/>
  <c r="DS16" i="2"/>
  <c r="DS17" i="2"/>
  <c r="DS18" i="2"/>
  <c r="DS19" i="2"/>
  <c r="DS20" i="2"/>
  <c r="DS21" i="2"/>
  <c r="DS22" i="2"/>
  <c r="DS23" i="2"/>
  <c r="DS24" i="2"/>
  <c r="DS25" i="2"/>
  <c r="DS3" i="2"/>
  <c r="DR4" i="2"/>
  <c r="DR5" i="2"/>
  <c r="DR6" i="2"/>
  <c r="DR7" i="2"/>
  <c r="DR8" i="2"/>
  <c r="DR9" i="2"/>
  <c r="DR10" i="2"/>
  <c r="DR11" i="2"/>
  <c r="DR12" i="2"/>
  <c r="DR13" i="2"/>
  <c r="DR14" i="2"/>
  <c r="DR15" i="2"/>
  <c r="DR16" i="2"/>
  <c r="DR17" i="2"/>
  <c r="DR18" i="2"/>
  <c r="DR19" i="2"/>
  <c r="DR20" i="2"/>
  <c r="DR21" i="2"/>
  <c r="DR22" i="2"/>
  <c r="DR23" i="2"/>
  <c r="DR24" i="2"/>
  <c r="DR25" i="2"/>
  <c r="DR3" i="2"/>
  <c r="DQ4" i="2"/>
  <c r="DQ5" i="2"/>
  <c r="DQ6" i="2"/>
  <c r="DQ7" i="2"/>
  <c r="DQ8" i="2"/>
  <c r="DQ9" i="2"/>
  <c r="DQ10" i="2"/>
  <c r="DQ11" i="2"/>
  <c r="DQ12" i="2"/>
  <c r="DQ13" i="2"/>
  <c r="DQ14" i="2"/>
  <c r="DQ15" i="2"/>
  <c r="DQ16" i="2"/>
  <c r="DQ17" i="2"/>
  <c r="DQ18" i="2"/>
  <c r="DQ19" i="2"/>
  <c r="DQ20" i="2"/>
  <c r="DQ21" i="2"/>
  <c r="DQ22" i="2"/>
  <c r="DQ23" i="2"/>
  <c r="DQ24" i="2"/>
  <c r="DQ25" i="2"/>
  <c r="DQ3" i="2"/>
  <c r="DP4" i="2"/>
  <c r="DP5" i="2"/>
  <c r="DP6" i="2"/>
  <c r="DP7" i="2"/>
  <c r="DP8" i="2"/>
  <c r="DP9" i="2"/>
  <c r="DP10" i="2"/>
  <c r="DP11" i="2"/>
  <c r="DP12" i="2"/>
  <c r="DP13" i="2"/>
  <c r="DP14" i="2"/>
  <c r="DP15" i="2"/>
  <c r="DP16" i="2"/>
  <c r="DP17" i="2"/>
  <c r="DP18" i="2"/>
  <c r="DP19" i="2"/>
  <c r="DP20" i="2"/>
  <c r="DP21" i="2"/>
  <c r="DP22" i="2"/>
  <c r="DP23" i="2"/>
  <c r="DP24" i="2"/>
  <c r="DP25" i="2"/>
  <c r="DP3" i="2"/>
  <c r="DO4" i="2"/>
  <c r="DO5" i="2"/>
  <c r="DO6" i="2"/>
  <c r="DO7" i="2"/>
  <c r="DO8" i="2"/>
  <c r="DO9" i="2"/>
  <c r="DO10" i="2"/>
  <c r="DO11" i="2"/>
  <c r="DO12" i="2"/>
  <c r="DO13" i="2"/>
  <c r="DO14" i="2"/>
  <c r="DO15" i="2"/>
  <c r="DO16" i="2"/>
  <c r="DO17" i="2"/>
  <c r="DO18" i="2"/>
  <c r="DO19" i="2"/>
  <c r="DO20" i="2"/>
  <c r="DO21" i="2"/>
  <c r="DO22" i="2"/>
  <c r="DO23" i="2"/>
  <c r="DO24" i="2"/>
  <c r="DO25" i="2"/>
  <c r="DO3" i="2"/>
  <c r="DN4" i="2"/>
  <c r="DN5" i="2"/>
  <c r="DN6" i="2"/>
  <c r="DN7" i="2"/>
  <c r="DN8" i="2"/>
  <c r="DN9" i="2"/>
  <c r="DN10" i="2"/>
  <c r="DN11" i="2"/>
  <c r="DN12" i="2"/>
  <c r="DN13" i="2"/>
  <c r="DN14" i="2"/>
  <c r="DN15" i="2"/>
  <c r="DN16" i="2"/>
  <c r="DN17" i="2"/>
  <c r="DN18" i="2"/>
  <c r="DN19" i="2"/>
  <c r="DN20" i="2"/>
  <c r="DN21" i="2"/>
  <c r="DN22" i="2"/>
  <c r="DN23" i="2"/>
  <c r="DN24" i="2"/>
  <c r="DN25" i="2"/>
  <c r="DN3" i="2"/>
  <c r="DM4" i="2"/>
  <c r="DM5" i="2"/>
  <c r="DM6" i="2"/>
  <c r="DM7" i="2"/>
  <c r="DM8" i="2"/>
  <c r="DM9" i="2"/>
  <c r="DM10" i="2"/>
  <c r="DM11" i="2"/>
  <c r="DM12" i="2"/>
  <c r="DM13" i="2"/>
  <c r="DM14" i="2"/>
  <c r="DM15" i="2"/>
  <c r="DM16" i="2"/>
  <c r="DM17" i="2"/>
  <c r="DM18" i="2"/>
  <c r="DM19" i="2"/>
  <c r="DM20" i="2"/>
  <c r="DM21" i="2"/>
  <c r="DM22" i="2"/>
  <c r="DM23" i="2"/>
  <c r="DM24" i="2"/>
  <c r="DM25" i="2"/>
  <c r="DM3" i="2"/>
  <c r="DL4" i="2"/>
  <c r="DL5" i="2"/>
  <c r="DL6" i="2"/>
  <c r="DL7" i="2"/>
  <c r="DL8" i="2"/>
  <c r="DL9" i="2"/>
  <c r="DL10" i="2"/>
  <c r="DL11" i="2"/>
  <c r="DL12" i="2"/>
  <c r="DL13" i="2"/>
  <c r="DL14" i="2"/>
  <c r="DL15" i="2"/>
  <c r="DL16" i="2"/>
  <c r="DL17" i="2"/>
  <c r="DL18" i="2"/>
  <c r="DL19" i="2"/>
  <c r="DL20" i="2"/>
  <c r="DL21" i="2"/>
  <c r="DL22" i="2"/>
  <c r="DL23" i="2"/>
  <c r="DL24" i="2"/>
  <c r="DL25" i="2"/>
  <c r="DL3" i="2"/>
  <c r="DK4" i="2"/>
  <c r="DK5" i="2"/>
  <c r="DK6" i="2"/>
  <c r="DK7" i="2"/>
  <c r="DK8" i="2"/>
  <c r="DK9" i="2"/>
  <c r="DK10" i="2"/>
  <c r="DK11" i="2"/>
  <c r="DK12" i="2"/>
  <c r="DK13" i="2"/>
  <c r="DK14" i="2"/>
  <c r="DK15" i="2"/>
  <c r="DK16" i="2"/>
  <c r="DK17" i="2"/>
  <c r="DK18" i="2"/>
  <c r="DK19" i="2"/>
  <c r="DK20" i="2"/>
  <c r="DK21" i="2"/>
  <c r="DK22" i="2"/>
  <c r="DK23" i="2"/>
  <c r="DK24" i="2"/>
  <c r="DK25" i="2"/>
  <c r="DK3" i="2"/>
  <c r="DJ4" i="2"/>
  <c r="DJ5" i="2"/>
  <c r="DJ6" i="2"/>
  <c r="DJ7" i="2"/>
  <c r="DJ8" i="2"/>
  <c r="DJ9" i="2"/>
  <c r="DJ10" i="2"/>
  <c r="DJ11" i="2"/>
  <c r="DJ12" i="2"/>
  <c r="DJ13" i="2"/>
  <c r="DJ14" i="2"/>
  <c r="DJ15" i="2"/>
  <c r="DJ16" i="2"/>
  <c r="DJ17" i="2"/>
  <c r="DJ18" i="2"/>
  <c r="DJ19" i="2"/>
  <c r="DJ20" i="2"/>
  <c r="DJ21" i="2"/>
  <c r="DJ22" i="2"/>
  <c r="DJ23" i="2"/>
  <c r="DJ24" i="2"/>
  <c r="DJ25" i="2"/>
  <c r="DJ3" i="2"/>
  <c r="DH3" i="2"/>
</calcChain>
</file>

<file path=xl/sharedStrings.xml><?xml version="1.0" encoding="utf-8"?>
<sst xmlns="http://schemas.openxmlformats.org/spreadsheetml/2006/main" count="608" uniqueCount="323">
  <si>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</si>
  <si>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</si>
  <si>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</si>
  <si>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</si>
  <si>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</si>
  <si>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</si>
  <si>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</si>
  <si>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</si>
  <si>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</si>
  <si>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</si>
  <si>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</si>
  <si>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</si>
  <si>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</si>
  <si>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</si>
  <si>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</si>
  <si>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</si>
  <si>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</si>
  <si>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</si>
  <si>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</si>
  <si>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</si>
  <si>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</si>
  <si>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</si>
  <si>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</si>
  <si>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</si>
  <si>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</si>
  <si>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</si>
  <si>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</si>
  <si>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</si>
  <si>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</si>
  <si>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</si>
  <si>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</si>
  <si>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</si>
  <si>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</si>
  <si>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</si>
  <si>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</si>
  <si>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</si>
  <si>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</si>
  <si>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</si>
  <si>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</si>
  <si>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</si>
  <si>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</si>
  <si>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</si>
  <si>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</si>
  <si>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</si>
  <si>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</si>
  <si>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</si>
  <si>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</si>
  <si>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</si>
  <si>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</si>
  <si>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</si>
  <si>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</si>
  <si>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</si>
  <si>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</si>
  <si>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</si>
  <si>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</si>
  <si>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</si>
  <si>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</si>
  <si>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</si>
  <si>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</si>
  <si>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</si>
  <si>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</si>
  <si>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</si>
  <si>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</si>
  <si>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</si>
  <si>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</si>
  <si>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</si>
  <si>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</si>
  <si>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</si>
  <si>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</si>
  <si>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</si>
  <si>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</si>
  <si>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</si>
  <si>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</si>
  <si>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</si>
  <si>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</si>
  <si>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</si>
  <si>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</si>
  <si>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</si>
  <si>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</si>
  <si>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</si>
  <si>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</si>
  <si>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</si>
  <si>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</si>
  <si>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</si>
  <si>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</si>
  <si>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</si>
  <si>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</si>
  <si>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</si>
  <si>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</si>
  <si>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</si>
  <si>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</si>
  <si>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</si>
  <si>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</si>
  <si>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</si>
  <si>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</si>
  <si>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</si>
  <si>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</si>
  <si>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</si>
  <si>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</si>
  <si>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</si>
  <si>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</si>
  <si>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</si>
  <si>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</si>
  <si>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</si>
  <si>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</si>
  <si>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</si>
  <si>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</si>
  <si>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</si>
  <si>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</si>
  <si>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</si>
  <si>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</si>
  <si>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</si>
  <si>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</si>
  <si>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</si>
  <si>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</si>
  <si>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</si>
  <si>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</si>
  <si>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</si>
  <si>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</si>
  <si>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</si>
  <si>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</si>
  <si>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</si>
  <si>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</si>
  <si>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</si>
  <si>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</si>
  <si>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</si>
  <si>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</si>
  <si>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</si>
  <si>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</si>
  <si>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</si>
  <si>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</si>
  <si>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</si>
  <si>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</si>
  <si>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</si>
  <si>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</si>
  <si>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</si>
  <si>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</si>
  <si>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PNG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</si>
  <si>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</si>
  <si>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</si>
  <si>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</si>
  <si>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</si>
  <si>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</si>
  <si>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</si>
  <si>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</si>
  <si>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</si>
  <si>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</si>
  <si>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</si>
  <si>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</si>
  <si>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</si>
  <si>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</si>
  <si>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</si>
  <si>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</si>
  <si>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</si>
  <si>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</si>
  <si>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</si>
  <si>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</si>
  <si>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</si>
  <si>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</si>
  <si>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</si>
  <si>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</si>
  <si>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</si>
  <si>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</si>
  <si>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</si>
  <si>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</si>
  <si>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</si>
  <si>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</si>
  <si>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</si>
  <si>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r>
      <rPr>
        <sz val="10"/>
        <rFont val="Arial"/>
        <family val="2"/>
      </rPr>
      <t>2026/06/25 00.00</t>
    </r>
  </si>
  <si>
    <r>
      <rPr>
        <sz val="10"/>
        <rFont val="Arial"/>
        <family val="2"/>
      </rPr>
      <t>---</t>
    </r>
  </si>
  <si>
    <r>
      <rPr>
        <sz val="10"/>
        <rFont val="Arial"/>
        <family val="2"/>
      </rPr>
      <t>2026/06/25 01.00</t>
    </r>
  </si>
  <si>
    <r>
      <rPr>
        <sz val="10"/>
        <rFont val="Arial"/>
        <family val="2"/>
      </rPr>
      <t>2026/06/25 02.00</t>
    </r>
  </si>
  <si>
    <r>
      <rPr>
        <sz val="10"/>
        <rFont val="Arial"/>
        <family val="2"/>
      </rPr>
      <t>2026/06/25 03.00</t>
    </r>
  </si>
  <si>
    <r>
      <rPr>
        <sz val="10"/>
        <rFont val="Arial"/>
        <family val="2"/>
      </rPr>
      <t>2026/06/25 04.00</t>
    </r>
  </si>
  <si>
    <r>
      <rPr>
        <sz val="10"/>
        <rFont val="Arial"/>
        <family val="2"/>
      </rPr>
      <t>2026/06/25 05.00</t>
    </r>
  </si>
  <si>
    <r>
      <rPr>
        <sz val="10"/>
        <rFont val="Arial"/>
        <family val="2"/>
      </rPr>
      <t>2026/06/25 06.00</t>
    </r>
  </si>
  <si>
    <r>
      <rPr>
        <sz val="10"/>
        <rFont val="Arial"/>
        <family val="2"/>
      </rPr>
      <t>2026/06/25 07.00</t>
    </r>
  </si>
  <si>
    <r>
      <rPr>
        <sz val="10"/>
        <rFont val="Arial"/>
        <family val="2"/>
      </rPr>
      <t>2026/06/25 08.00</t>
    </r>
  </si>
  <si>
    <r>
      <rPr>
        <sz val="10"/>
        <rFont val="Arial"/>
        <family val="2"/>
      </rPr>
      <t>2026/06/25 09.00</t>
    </r>
  </si>
  <si>
    <r>
      <rPr>
        <sz val="10"/>
        <rFont val="Arial"/>
        <family val="2"/>
      </rPr>
      <t>2026/06/25 10.00</t>
    </r>
  </si>
  <si>
    <r>
      <rPr>
        <sz val="10"/>
        <rFont val="Arial"/>
        <family val="2"/>
      </rPr>
      <t>2026/06/25 11.00</t>
    </r>
  </si>
  <si>
    <r>
      <rPr>
        <sz val="10"/>
        <rFont val="Arial"/>
        <family val="2"/>
      </rPr>
      <t>2026/06/25 12.00</t>
    </r>
  </si>
  <si>
    <r>
      <rPr>
        <sz val="10"/>
        <rFont val="Arial"/>
        <family val="2"/>
      </rPr>
      <t>2026/06/25 13.00</t>
    </r>
  </si>
  <si>
    <r>
      <rPr>
        <sz val="10"/>
        <rFont val="Arial"/>
        <family val="2"/>
      </rPr>
      <t>2026/06/25 14.00</t>
    </r>
  </si>
  <si>
    <r>
      <rPr>
        <sz val="10"/>
        <rFont val="Arial"/>
        <family val="2"/>
      </rPr>
      <t>2026/06/25 15.00</t>
    </r>
  </si>
  <si>
    <r>
      <rPr>
        <sz val="10"/>
        <rFont val="Arial"/>
        <family val="2"/>
      </rPr>
      <t>2026/06/25 16.00</t>
    </r>
  </si>
  <si>
    <r>
      <rPr>
        <sz val="10"/>
        <rFont val="Arial"/>
        <family val="2"/>
      </rPr>
      <t>2026/06/25 17.00</t>
    </r>
  </si>
  <si>
    <r>
      <rPr>
        <sz val="10"/>
        <rFont val="Arial"/>
        <family val="2"/>
      </rPr>
      <t>2026/06/25 18.00</t>
    </r>
  </si>
  <si>
    <r>
      <rPr>
        <sz val="10"/>
        <rFont val="Arial"/>
        <family val="2"/>
      </rPr>
      <t>2026/06/25 19.00</t>
    </r>
  </si>
  <si>
    <r>
      <rPr>
        <sz val="10"/>
        <rFont val="Arial"/>
        <family val="2"/>
      </rPr>
      <t>2026/06/25 20.00</t>
    </r>
  </si>
  <si>
    <r>
      <rPr>
        <sz val="10"/>
        <rFont val="Arial"/>
        <family val="2"/>
      </rPr>
      <t>2026/06/25 21.00</t>
    </r>
  </si>
  <si>
    <r>
      <rPr>
        <sz val="10"/>
        <rFont val="Arial"/>
        <family val="2"/>
      </rPr>
      <t>2026/06/25 22.00</t>
    </r>
  </si>
  <si>
    <r>
      <rPr>
        <sz val="10"/>
        <rFont val="Arial"/>
        <family val="2"/>
      </rPr>
      <t>2026/06/25 23.00</t>
    </r>
  </si>
  <si>
    <r>
      <rPr>
        <sz val="10"/>
        <rFont val="Arial"/>
        <family val="2"/>
      </rPr>
      <t>2026/06/26 00.00</t>
    </r>
  </si>
  <si>
    <r>
      <rPr>
        <sz val="10"/>
        <rFont val="Arial"/>
        <family val="2"/>
      </rPr>
      <t>2026/06/26 01.00</t>
    </r>
  </si>
  <si>
    <r>
      <rPr>
        <sz val="10"/>
        <rFont val="Arial"/>
        <family val="2"/>
      </rPr>
      <t>2026/06/26 02.00</t>
    </r>
  </si>
  <si>
    <r>
      <rPr>
        <sz val="10"/>
        <rFont val="Arial"/>
        <family val="2"/>
      </rPr>
      <t>2026/06/26 03.00</t>
    </r>
  </si>
  <si>
    <r>
      <rPr>
        <sz val="10"/>
        <rFont val="Arial"/>
        <family val="2"/>
      </rPr>
      <t>2026/06/26 04.00</t>
    </r>
  </si>
  <si>
    <r>
      <rPr>
        <sz val="10"/>
        <rFont val="Arial"/>
        <family val="2"/>
      </rPr>
      <t>2026/06/26 05.00</t>
    </r>
  </si>
  <si>
    <r>
      <rPr>
        <sz val="10"/>
        <rFont val="Arial"/>
        <family val="2"/>
      </rPr>
      <t>2026/06/26 06.00</t>
    </r>
  </si>
  <si>
    <r>
      <rPr>
        <sz val="10"/>
        <rFont val="Arial"/>
        <family val="2"/>
      </rPr>
      <t>2026/06/26 07.00</t>
    </r>
  </si>
  <si>
    <r>
      <rPr>
        <sz val="10"/>
        <rFont val="Arial"/>
        <family val="2"/>
      </rPr>
      <t>2026/06/26 08.00</t>
    </r>
  </si>
  <si>
    <r>
      <rPr>
        <sz val="10"/>
        <rFont val="Arial"/>
        <family val="2"/>
      </rPr>
      <t>2026/06/26 09.00</t>
    </r>
  </si>
  <si>
    <r>
      <rPr>
        <sz val="10"/>
        <rFont val="Arial"/>
        <family val="2"/>
      </rPr>
      <t>2026/06/26 10.00</t>
    </r>
  </si>
  <si>
    <r>
      <rPr>
        <sz val="10"/>
        <rFont val="Arial"/>
        <family val="2"/>
      </rPr>
      <t>2026/06/26 11.00</t>
    </r>
  </si>
  <si>
    <r>
      <rPr>
        <sz val="10"/>
        <rFont val="Arial"/>
        <family val="2"/>
      </rPr>
      <t>2026/06/26 12.00</t>
    </r>
  </si>
  <si>
    <r>
      <rPr>
        <sz val="10"/>
        <rFont val="Arial"/>
        <family val="2"/>
      </rPr>
      <t>2026/06/26 13.00</t>
    </r>
  </si>
  <si>
    <r>
      <rPr>
        <sz val="10"/>
        <rFont val="Arial"/>
        <family val="2"/>
      </rPr>
      <t>2026/06/26 14.00</t>
    </r>
  </si>
  <si>
    <r>
      <rPr>
        <sz val="10"/>
        <rFont val="Arial"/>
        <family val="2"/>
      </rPr>
      <t>2026/06/26 15.00</t>
    </r>
  </si>
  <si>
    <r>
      <rPr>
        <sz val="10"/>
        <rFont val="Arial"/>
        <family val="2"/>
      </rPr>
      <t>2026/06/26 16.00</t>
    </r>
  </si>
  <si>
    <r>
      <rPr>
        <sz val="10"/>
        <rFont val="Arial"/>
        <family val="2"/>
      </rPr>
      <t>2026/06/26 17.00</t>
    </r>
  </si>
  <si>
    <r>
      <rPr>
        <sz val="10"/>
        <rFont val="Arial"/>
        <family val="2"/>
      </rPr>
      <t>2026/06/26 18.00</t>
    </r>
  </si>
  <si>
    <r>
      <rPr>
        <sz val="10"/>
        <rFont val="Arial"/>
        <family val="2"/>
      </rPr>
      <t>2026/06/26 19.00</t>
    </r>
  </si>
  <si>
    <r>
      <rPr>
        <sz val="10"/>
        <rFont val="Arial"/>
        <family val="2"/>
      </rPr>
      <t>2026/06/26 20.00</t>
    </r>
  </si>
  <si>
    <r>
      <rPr>
        <sz val="10"/>
        <rFont val="Arial"/>
        <family val="2"/>
      </rPr>
      <t>2026/06/26 21.00</t>
    </r>
  </si>
  <si>
    <r>
      <rPr>
        <sz val="10"/>
        <rFont val="Arial"/>
        <family val="2"/>
      </rPr>
      <t>2026/06/26 22.00</t>
    </r>
  </si>
  <si>
    <r>
      <rPr>
        <sz val="10"/>
        <rFont val="Arial"/>
        <family val="2"/>
      </rPr>
      <t>2026/06/26 23.00</t>
    </r>
  </si>
  <si>
    <r>
      <rPr>
        <sz val="10"/>
        <rFont val="Arial"/>
        <family val="2"/>
      </rPr>
      <t>2026/06/27 00.00</t>
    </r>
  </si>
  <si>
    <r>
      <rPr>
        <sz val="10"/>
        <rFont val="Arial"/>
        <family val="2"/>
      </rPr>
      <t>2026/06/27 01.00</t>
    </r>
  </si>
  <si>
    <r>
      <rPr>
        <sz val="10"/>
        <rFont val="Arial"/>
        <family val="2"/>
      </rPr>
      <t>2026/06/27 02.00</t>
    </r>
  </si>
  <si>
    <r>
      <rPr>
        <sz val="10"/>
        <rFont val="Arial"/>
        <family val="2"/>
      </rPr>
      <t>2026/06/27 03.00</t>
    </r>
  </si>
  <si>
    <r>
      <rPr>
        <sz val="10"/>
        <rFont val="Arial"/>
        <family val="2"/>
      </rPr>
      <t>2026/06/27 04.00</t>
    </r>
  </si>
  <si>
    <r>
      <rPr>
        <sz val="10"/>
        <rFont val="Arial"/>
        <family val="2"/>
      </rPr>
      <t>2026/06/27 05.00</t>
    </r>
  </si>
  <si>
    <r>
      <rPr>
        <sz val="10"/>
        <rFont val="Arial"/>
        <family val="2"/>
      </rPr>
      <t>2026/06/27 06.00</t>
    </r>
  </si>
  <si>
    <r>
      <rPr>
        <sz val="10"/>
        <rFont val="Arial"/>
        <family val="2"/>
      </rPr>
      <t>2026/06/27 07.00</t>
    </r>
  </si>
  <si>
    <r>
      <rPr>
        <sz val="10"/>
        <rFont val="Arial"/>
        <family val="2"/>
      </rPr>
      <t>2026/06/27 08.00</t>
    </r>
  </si>
  <si>
    <r>
      <rPr>
        <sz val="10"/>
        <rFont val="Arial"/>
        <family val="2"/>
      </rPr>
      <t>2026/06/27 09.00</t>
    </r>
  </si>
  <si>
    <r>
      <rPr>
        <sz val="10"/>
        <rFont val="Arial"/>
        <family val="2"/>
      </rPr>
      <t>2026/06/27 10.00</t>
    </r>
  </si>
  <si>
    <r>
      <rPr>
        <sz val="10"/>
        <rFont val="Arial"/>
        <family val="2"/>
      </rPr>
      <t>2026/06/27 11.00</t>
    </r>
  </si>
  <si>
    <r>
      <rPr>
        <sz val="10"/>
        <rFont val="Arial"/>
        <family val="2"/>
      </rPr>
      <t>2026/06/27 12.00</t>
    </r>
  </si>
  <si>
    <r>
      <rPr>
        <sz val="10"/>
        <rFont val="Arial"/>
        <family val="2"/>
      </rPr>
      <t>2026/06/27 13.00</t>
    </r>
  </si>
  <si>
    <r>
      <rPr>
        <sz val="10"/>
        <rFont val="Arial"/>
        <family val="2"/>
      </rPr>
      <t>2026/06/27 14.00</t>
    </r>
  </si>
  <si>
    <r>
      <rPr>
        <sz val="10"/>
        <rFont val="Arial"/>
        <family val="2"/>
      </rPr>
      <t>2026/06/27 15.00</t>
    </r>
  </si>
  <si>
    <r>
      <rPr>
        <sz val="10"/>
        <rFont val="Arial"/>
        <family val="2"/>
      </rPr>
      <t>2026/06/27 16.00</t>
    </r>
  </si>
  <si>
    <r>
      <rPr>
        <sz val="10"/>
        <rFont val="Arial"/>
        <family val="2"/>
      </rPr>
      <t>2026/06/27 17.00</t>
    </r>
  </si>
  <si>
    <r>
      <rPr>
        <sz val="10"/>
        <rFont val="Arial"/>
        <family val="2"/>
      </rPr>
      <t>2026/06/27 18.00</t>
    </r>
  </si>
  <si>
    <r>
      <rPr>
        <sz val="10"/>
        <rFont val="Arial"/>
        <family val="2"/>
      </rPr>
      <t>2026/06/27 19.00</t>
    </r>
  </si>
  <si>
    <r>
      <rPr>
        <sz val="10"/>
        <rFont val="Arial"/>
        <family val="2"/>
      </rPr>
      <t>2026/06/27 20.00</t>
    </r>
  </si>
  <si>
    <r>
      <rPr>
        <sz val="10"/>
        <rFont val="Arial"/>
        <family val="2"/>
      </rPr>
      <t>2026/06/27 21.00</t>
    </r>
  </si>
  <si>
    <r>
      <rPr>
        <sz val="10"/>
        <rFont val="Arial"/>
        <family val="2"/>
      </rPr>
      <t>2026/06/27 22.00</t>
    </r>
  </si>
  <si>
    <r>
      <rPr>
        <sz val="10"/>
        <rFont val="Arial"/>
        <family val="2"/>
      </rPr>
      <t>2026/06/27 23.00</t>
    </r>
  </si>
  <si>
    <r>
      <rPr>
        <sz val="10"/>
        <rFont val="Arial"/>
        <family val="2"/>
      </rPr>
      <t>2026/06/28 00.00</t>
    </r>
  </si>
  <si>
    <r>
      <rPr>
        <sz val="10"/>
        <rFont val="Arial"/>
        <family val="2"/>
      </rPr>
      <t>2026/06/28 01.00</t>
    </r>
  </si>
  <si>
    <r>
      <rPr>
        <sz val="10"/>
        <rFont val="Arial"/>
        <family val="2"/>
      </rPr>
      <t>2026/06/28 02.00</t>
    </r>
  </si>
  <si>
    <r>
      <rPr>
        <sz val="10"/>
        <rFont val="Arial"/>
        <family val="2"/>
      </rPr>
      <t>2026/06/28 03.00</t>
    </r>
  </si>
  <si>
    <r>
      <rPr>
        <sz val="10"/>
        <rFont val="Arial"/>
        <family val="2"/>
      </rPr>
      <t>2026/06/28 04.00</t>
    </r>
  </si>
  <si>
    <r>
      <rPr>
        <sz val="10"/>
        <rFont val="Arial"/>
        <family val="2"/>
      </rPr>
      <t>2026/06/28 05.00</t>
    </r>
  </si>
  <si>
    <r>
      <rPr>
        <sz val="10"/>
        <rFont val="Arial"/>
        <family val="2"/>
      </rPr>
      <t>2026/06/28 06.00</t>
    </r>
  </si>
  <si>
    <r>
      <rPr>
        <sz val="10"/>
        <rFont val="Arial"/>
        <family val="2"/>
      </rPr>
      <t>2026/06/28 07.00</t>
    </r>
  </si>
  <si>
    <r>
      <rPr>
        <sz val="10"/>
        <rFont val="Arial"/>
        <family val="2"/>
      </rPr>
      <t>2026/06/28 08.00</t>
    </r>
  </si>
  <si>
    <r>
      <rPr>
        <sz val="10"/>
        <rFont val="Arial"/>
        <family val="2"/>
      </rPr>
      <t>2026/06/28 09.00</t>
    </r>
  </si>
  <si>
    <r>
      <rPr>
        <sz val="10"/>
        <rFont val="Arial"/>
        <family val="2"/>
      </rPr>
      <t>2026/06/28 10.00</t>
    </r>
  </si>
  <si>
    <r>
      <rPr>
        <sz val="10"/>
        <rFont val="Arial"/>
        <family val="2"/>
      </rPr>
      <t>2026/06/28 11.00</t>
    </r>
  </si>
  <si>
    <r>
      <rPr>
        <sz val="10"/>
        <rFont val="Arial"/>
        <family val="2"/>
      </rPr>
      <t>2026/06/28 12.00</t>
    </r>
  </si>
  <si>
    <r>
      <rPr>
        <sz val="10"/>
        <rFont val="Arial"/>
        <family val="2"/>
      </rPr>
      <t>2026/06/28 13.00</t>
    </r>
  </si>
  <si>
    <r>
      <rPr>
        <sz val="10"/>
        <rFont val="Arial"/>
        <family val="2"/>
      </rPr>
      <t>2026/06/28 14.00</t>
    </r>
  </si>
  <si>
    <r>
      <rPr>
        <sz val="10"/>
        <rFont val="Arial"/>
        <family val="2"/>
      </rPr>
      <t>2026/06/28 15.00</t>
    </r>
  </si>
  <si>
    <r>
      <rPr>
        <sz val="10"/>
        <rFont val="Arial"/>
        <family val="2"/>
      </rPr>
      <t>2026/06/28 16.00</t>
    </r>
  </si>
  <si>
    <r>
      <rPr>
        <sz val="10"/>
        <rFont val="Arial"/>
        <family val="2"/>
      </rPr>
      <t>2026/06/28 17.00</t>
    </r>
  </si>
  <si>
    <r>
      <rPr>
        <sz val="10"/>
        <rFont val="Arial"/>
        <family val="2"/>
      </rPr>
      <t>2026/06/28 18.00</t>
    </r>
  </si>
  <si>
    <r>
      <rPr>
        <sz val="10"/>
        <rFont val="Arial"/>
        <family val="2"/>
      </rPr>
      <t>2026/06/28 19.00</t>
    </r>
  </si>
  <si>
    <r>
      <rPr>
        <sz val="10"/>
        <rFont val="Arial"/>
        <family val="2"/>
      </rPr>
      <t>2026/06/28 20.00</t>
    </r>
  </si>
  <si>
    <r>
      <rPr>
        <sz val="10"/>
        <rFont val="Arial"/>
        <family val="2"/>
      </rPr>
      <t>2026/06/28 21.00</t>
    </r>
  </si>
  <si>
    <r>
      <rPr>
        <sz val="10"/>
        <rFont val="Arial"/>
        <family val="2"/>
      </rPr>
      <t>2026/06/28 22.00</t>
    </r>
  </si>
  <si>
    <r>
      <rPr>
        <sz val="10"/>
        <rFont val="Arial"/>
        <family val="2"/>
      </rPr>
      <t>2026/06/28 23.00</t>
    </r>
  </si>
  <si>
    <r>
      <rPr>
        <sz val="10"/>
        <rFont val="Arial"/>
        <family val="2"/>
      </rPr>
      <t>2026/06/29 00.00</t>
    </r>
  </si>
  <si>
    <r>
      <rPr>
        <sz val="10"/>
        <rFont val="Arial"/>
        <family val="2"/>
      </rPr>
      <t>2026/06/29 01.00</t>
    </r>
  </si>
  <si>
    <r>
      <rPr>
        <sz val="10"/>
        <rFont val="Arial"/>
        <family val="2"/>
      </rPr>
      <t>2026/06/29 02.00</t>
    </r>
  </si>
  <si>
    <r>
      <rPr>
        <sz val="10"/>
        <rFont val="Arial"/>
        <family val="2"/>
      </rPr>
      <t>2026/06/29 03.00</t>
    </r>
  </si>
  <si>
    <r>
      <rPr>
        <sz val="10"/>
        <rFont val="Arial"/>
        <family val="2"/>
      </rPr>
      <t>2026/06/29 04.00</t>
    </r>
  </si>
  <si>
    <r>
      <rPr>
        <sz val="10"/>
        <rFont val="Arial"/>
        <family val="2"/>
      </rPr>
      <t>2026/06/29 05.00</t>
    </r>
  </si>
  <si>
    <r>
      <rPr>
        <sz val="10"/>
        <rFont val="Arial"/>
        <family val="2"/>
      </rPr>
      <t>2026/06/29 06.00</t>
    </r>
  </si>
  <si>
    <r>
      <rPr>
        <sz val="10"/>
        <rFont val="Arial"/>
        <family val="2"/>
      </rPr>
      <t>2026/06/29 07.00</t>
    </r>
  </si>
  <si>
    <r>
      <rPr>
        <sz val="10"/>
        <rFont val="Arial"/>
        <family val="2"/>
      </rPr>
      <t>2026/06/29 08.00</t>
    </r>
  </si>
  <si>
    <r>
      <rPr>
        <sz val="10"/>
        <rFont val="Arial"/>
        <family val="2"/>
      </rPr>
      <t>2026/06/29 09.00</t>
    </r>
  </si>
  <si>
    <r>
      <rPr>
        <sz val="10"/>
        <rFont val="Arial"/>
        <family val="2"/>
      </rPr>
      <t>2026/06/29 10.00</t>
    </r>
  </si>
  <si>
    <r>
      <rPr>
        <sz val="10"/>
        <rFont val="Arial"/>
        <family val="2"/>
      </rPr>
      <t>2026/06/29 11.00</t>
    </r>
  </si>
  <si>
    <r>
      <rPr>
        <sz val="10"/>
        <rFont val="Arial"/>
        <family val="2"/>
      </rPr>
      <t>2026/06/29 12.00</t>
    </r>
  </si>
  <si>
    <r>
      <rPr>
        <sz val="10"/>
        <rFont val="Arial"/>
        <family val="2"/>
      </rPr>
      <t>2026/06/29 13.00</t>
    </r>
  </si>
  <si>
    <r>
      <rPr>
        <sz val="10"/>
        <rFont val="Arial"/>
        <family val="2"/>
      </rPr>
      <t>2026/06/29 14.00</t>
    </r>
  </si>
  <si>
    <r>
      <rPr>
        <sz val="10"/>
        <rFont val="Arial"/>
        <family val="2"/>
      </rPr>
      <t>2026/06/29 15.00</t>
    </r>
  </si>
  <si>
    <r>
      <rPr>
        <sz val="10"/>
        <rFont val="Arial"/>
        <family val="2"/>
      </rPr>
      <t>2026/06/29 16.00</t>
    </r>
  </si>
  <si>
    <r>
      <rPr>
        <sz val="10"/>
        <rFont val="Arial"/>
        <family val="2"/>
      </rPr>
      <t>2026/06/29 17.00</t>
    </r>
  </si>
  <si>
    <r>
      <rPr>
        <sz val="10"/>
        <rFont val="Arial"/>
        <family val="2"/>
      </rPr>
      <t>2026/06/29 18.00</t>
    </r>
  </si>
  <si>
    <r>
      <rPr>
        <sz val="10"/>
        <rFont val="Arial"/>
        <family val="2"/>
      </rPr>
      <t>2026/06/29 19.00</t>
    </r>
  </si>
  <si>
    <r>
      <rPr>
        <sz val="10"/>
        <rFont val="Arial"/>
        <family val="2"/>
      </rPr>
      <t>2026/06/29 20.00</t>
    </r>
  </si>
  <si>
    <r>
      <rPr>
        <sz val="10"/>
        <rFont val="Arial"/>
        <family val="2"/>
      </rPr>
      <t>2026/06/29 21.00</t>
    </r>
  </si>
  <si>
    <r>
      <rPr>
        <sz val="10"/>
        <rFont val="Arial"/>
        <family val="2"/>
      </rPr>
      <t>2026/06/29 22.00</t>
    </r>
  </si>
  <si>
    <r>
      <rPr>
        <sz val="10"/>
        <rFont val="Arial"/>
        <family val="2"/>
      </rPr>
      <t>2026/06/29 23.00</t>
    </r>
  </si>
  <si>
    <r>
      <rPr>
        <sz val="10"/>
        <rFont val="Arial"/>
        <family val="2"/>
      </rPr>
      <t>2026/06/30 00.00</t>
    </r>
  </si>
  <si>
    <r>
      <rPr>
        <sz val="10"/>
        <rFont val="Arial"/>
        <family val="2"/>
      </rPr>
      <t>2026/06/30 01.00</t>
    </r>
  </si>
  <si>
    <r>
      <rPr>
        <sz val="10"/>
        <rFont val="Arial"/>
        <family val="2"/>
      </rPr>
      <t>2026/06/30 02.00</t>
    </r>
  </si>
  <si>
    <r>
      <rPr>
        <sz val="10"/>
        <rFont val="Arial"/>
        <family val="2"/>
      </rPr>
      <t>2026/06/30 03.00</t>
    </r>
  </si>
  <si>
    <r>
      <rPr>
        <sz val="10"/>
        <rFont val="Arial"/>
        <family val="2"/>
      </rPr>
      <t>2026/06/30 04.00</t>
    </r>
  </si>
  <si>
    <r>
      <rPr>
        <sz val="10"/>
        <rFont val="Arial"/>
        <family val="2"/>
      </rPr>
      <t>2026/06/30 05.00</t>
    </r>
  </si>
  <si>
    <r>
      <rPr>
        <sz val="10"/>
        <rFont val="Arial"/>
        <family val="2"/>
      </rPr>
      <t>2026/06/30 06.00</t>
    </r>
  </si>
  <si>
    <r>
      <rPr>
        <sz val="10"/>
        <rFont val="Arial"/>
        <family val="2"/>
      </rPr>
      <t>2026/06/30 07.00</t>
    </r>
  </si>
  <si>
    <r>
      <rPr>
        <sz val="10"/>
        <rFont val="Arial"/>
        <family val="2"/>
      </rPr>
      <t>2026/06/30 08.00</t>
    </r>
  </si>
  <si>
    <r>
      <rPr>
        <sz val="10"/>
        <rFont val="Arial"/>
        <family val="2"/>
      </rPr>
      <t>2026/06/30 09.00</t>
    </r>
  </si>
  <si>
    <r>
      <rPr>
        <sz val="10"/>
        <rFont val="Arial"/>
        <family val="2"/>
      </rPr>
      <t>2026/06/30 10.00</t>
    </r>
  </si>
  <si>
    <r>
      <rPr>
        <sz val="10"/>
        <rFont val="Arial"/>
        <family val="2"/>
      </rPr>
      <t>2026/06/30 11.00</t>
    </r>
  </si>
  <si>
    <r>
      <rPr>
        <sz val="10"/>
        <rFont val="Arial"/>
        <family val="2"/>
      </rPr>
      <t>2026/06/30 12.00</t>
    </r>
  </si>
  <si>
    <r>
      <rPr>
        <sz val="10"/>
        <rFont val="Arial"/>
        <family val="2"/>
      </rPr>
      <t>2026/06/30 13.00</t>
    </r>
  </si>
  <si>
    <r>
      <rPr>
        <sz val="10"/>
        <rFont val="Arial"/>
        <family val="2"/>
      </rPr>
      <t>2026/06/30 14.00</t>
    </r>
  </si>
  <si>
    <r>
      <rPr>
        <sz val="10"/>
        <rFont val="Arial"/>
        <family val="2"/>
      </rPr>
      <t>2026/06/30 15.00</t>
    </r>
  </si>
  <si>
    <r>
      <rPr>
        <sz val="10"/>
        <rFont val="Arial"/>
        <family val="2"/>
      </rPr>
      <t>2026/06/30 16.00</t>
    </r>
  </si>
  <si>
    <r>
      <rPr>
        <sz val="10"/>
        <rFont val="Arial"/>
        <family val="2"/>
      </rPr>
      <t>2026/06/30 17.00</t>
    </r>
  </si>
  <si>
    <r>
      <rPr>
        <sz val="10"/>
        <rFont val="Arial"/>
        <family val="2"/>
      </rPr>
      <t>2026/06/30 18.00</t>
    </r>
  </si>
  <si>
    <r>
      <rPr>
        <sz val="10"/>
        <rFont val="Arial"/>
        <family val="2"/>
      </rPr>
      <t>2026/06/30 19.00</t>
    </r>
  </si>
  <si>
    <r>
      <rPr>
        <sz val="10"/>
        <rFont val="Arial"/>
        <family val="2"/>
      </rPr>
      <t>2026/06/30 20.00</t>
    </r>
  </si>
  <si>
    <r>
      <rPr>
        <sz val="10"/>
        <rFont val="Arial"/>
        <family val="2"/>
      </rPr>
      <t>2026/06/30 21.00</t>
    </r>
  </si>
  <si>
    <r>
      <rPr>
        <sz val="10"/>
        <rFont val="Arial"/>
        <family val="2"/>
      </rPr>
      <t>2026/06/30 22.00</t>
    </r>
  </si>
  <si>
    <r>
      <rPr>
        <sz val="10"/>
        <rFont val="Arial"/>
        <family val="2"/>
      </rPr>
      <t>2026/06/30 23.00</t>
    </r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</si>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</sst>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7" formatCode="0.0"/>
    <numFmt numFmtId="168" formatCode="0.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charset val="204"/>
    </font>
    <font>
      <sz val="10"/>
      <name val="Arial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57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1" xfId="1" applyFont="1" applyFill="1" applyBorder="1" applyAlignment="1">
      <alignment vertical="top" wrapText="1"/>
    </xf>
    <xf numFmtId="0" fontId="3" fillId="0" borderId="11" xfId="1" applyFill="1" applyBorder="1" applyAlignment="1">
      <alignment horizontal="left" wrapText="1"/>
    </xf>
    <xf numFmtId="0" fontId="4" fillId="0" borderId="12" xfId="1" applyFont="1" applyFill="1" applyBorder="1" applyAlignment="1">
      <alignment horizontal="left" vertical="top" wrapText="1"/>
    </xf>
    <xf numFmtId="0" fontId="4" fillId="0" borderId="12" xfId="1" applyFont="1" applyFill="1" applyBorder="1" applyAlignment="1">
      <alignment horizontal="left" vertical="top" wrapText="1" indent="1"/>
    </xf>
    <xf numFmtId="0" fontId="4" fillId="0" borderId="12" xfId="1" applyFont="1" applyFill="1" applyBorder="1" applyAlignment="1">
      <alignment horizontal="center" vertical="top" wrapText="1"/>
    </xf>
    <xf numFmtId="0" fontId="4" fillId="0" borderId="12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7" fontId="6" fillId="0" borderId="0" xfId="1" applyNumberFormat="1" applyFont="1" applyFill="1" applyBorder="1" applyAlignment="1">
      <alignment horizontal="left" vertical="top" indent="1" shrinkToFit="1"/>
    </xf>
    <xf numFmtId="167" fontId="6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7" fontId="6" fillId="0" borderId="0" xfId="1" applyNumberFormat="1" applyFont="1" applyFill="1" applyBorder="1" applyAlignment="1">
      <alignment horizontal="left" vertical="top" indent="4" shrinkToFit="1"/>
    </xf>
    <xf numFmtId="168" fontId="6" fillId="0" borderId="0" xfId="1" applyNumberFormat="1" applyFont="1" applyFill="1" applyBorder="1" applyAlignment="1">
      <alignment horizontal="left" vertical="top" shrinkToFit="1"/>
    </xf>
    <xf numFmtId="167" fontId="3" fillId="0" borderId="0" xfId="1" applyNumberFormat="1" applyFill="1" applyBorder="1" applyAlignment="1">
      <alignment horizontal="left" vertical="top" wrapText="1"/>
    </xf>
    <xf numFmtId="167" fontId="3" fillId="0" borderId="0" xfId="1" applyNumberFormat="1" applyFill="1" applyBorder="1" applyAlignment="1">
      <alignment horizontal="left" vertical="top"/>
    </xf>
    <xf numFmtId="0" fontId="4" fillId="0" borderId="11" xfId="1" applyFont="1" applyFill="1" applyBorder="1" applyAlignment="1">
      <alignment horizontal="left" vertical="top" wrapText="1"/>
    </xf>
    <xf numFmtId="167" fontId="6" fillId="0" borderId="11" xfId="1" applyNumberFormat="1" applyFont="1" applyFill="1" applyBorder="1" applyAlignment="1">
      <alignment horizontal="left" vertical="top" indent="1" shrinkToFit="1"/>
    </xf>
    <xf numFmtId="167" fontId="6" fillId="0" borderId="11" xfId="1" applyNumberFormat="1" applyFont="1" applyFill="1" applyBorder="1" applyAlignment="1">
      <alignment horizontal="left" vertical="top" shrinkToFit="1"/>
    </xf>
    <xf numFmtId="0" fontId="4" fillId="0" borderId="11" xfId="1" applyFont="1" applyFill="1" applyBorder="1" applyAlignment="1">
      <alignment horizontal="center" vertical="top" wrapText="1"/>
    </xf>
    <xf numFmtId="167" fontId="6" fillId="0" borderId="11" xfId="1" applyNumberFormat="1" applyFont="1" applyFill="1" applyBorder="1" applyAlignment="1">
      <alignment horizontal="left" vertical="top" indent="4" shrinkToFit="1"/>
    </xf>
    <xf numFmtId="168" fontId="6" fillId="0" borderId="11" xfId="1" applyNumberFormat="1" applyFont="1" applyFill="1" applyBorder="1" applyAlignment="1">
      <alignment horizontal="left" vertical="top" shrinkToFit="1"/>
    </xf>
    <xf numFmtId="0" fontId="8" fillId="7" borderId="2" xfId="1" applyFont="1" applyFill="1" applyBorder="1" applyAlignment="1">
      <alignment horizontal="center" vertical="center" wrapText="1"/>
    </xf>
    <xf numFmtId="0" fontId="7" fillId="2" borderId="2" xfId="1" applyFont="1" applyFill="1" applyBorder="1" applyAlignment="1">
      <alignment vertical="center" wrapText="1"/>
    </xf>
    <xf numFmtId="0" fontId="9" fillId="8" borderId="2" xfId="1" applyFont="1" applyFill="1" applyBorder="1" applyAlignment="1">
      <alignment horizontal="left" vertical="center"/>
    </xf>
    <xf numFmtId="167" fontId="10" fillId="0" borderId="2" xfId="1" applyNumberFormat="1" applyFont="1" applyFill="1" applyBorder="1" applyAlignment="1">
      <alignment horizontal="left" vertical="top" wrapText="1"/>
    </xf>
    <xf numFmtId="167" fontId="10" fillId="0" borderId="2" xfId="1" applyNumberFormat="1" applyFont="1" applyFill="1" applyBorder="1" applyAlignment="1">
      <alignment horizontal="left" vertical="top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Table2" displayName="Table2" ref="A2:DG52" totalsRowShown="0" headerRowDxfId="0" dataDxfId="112">
  <autoFilter ref="A2:DG52"/>
  <tableColumns count="111">
    <tableColumn id="1" name="ID" dataDxfId="111"/>
    <tableColumn id="2" name="Start time" dataDxfId="110"/>
    <tableColumn id="3" name="Completion time" dataDxfId="109"/>
    <tableColumn id="4" name="Email" dataDxfId="108"/>
    <tableColumn id="5" name="Name" dataDxfId="107"/>
    <tableColumn id="6" name="Last modified time" dataDxfId="106"/>
    <tableColumn id="7" name="Date" dataDxfId="105"/>
    <tableColumn id="8" name="Name2" dataDxfId="104"/>
    <tableColumn id="9" name="Popeyes Meter " dataDxfId="103"/>
    <tableColumn id="10" name="DG 1010KVA Running Hours" dataDxfId="102"/>
    <tableColumn id="11" name="DG 1010 KVA Meter Reading" dataDxfId="101"/>
    <tableColumn id="12" name="GG 1010 KVA Running Hours" dataDxfId="100"/>
    <tableColumn id="13" name="GG 1010 KVA Meter Reading" dataDxfId="99"/>
    <tableColumn id="14" name="4F1 Main UPS 1/C -1" dataDxfId="98"/>
    <tableColumn id="15" name="5F1 Utility" dataDxfId="97"/>
    <tableColumn id="16" name="5F3 Admin Area" dataDxfId="96"/>
    <tableColumn id="17" name="6F1 Power Panel - 2 (I/C-2 Production Area)" dataDxfId="95"/>
    <tableColumn id="18" name="7F1 Freon System Panel" dataDxfId="94"/>
    <tableColumn id="19" name="7F2 Traywasher Panel - 1A ( + Old Ck)" dataDxfId="93"/>
    <tableColumn id="20" name="8F1 1600KVA Transformer" dataDxfId="92"/>
    <tableColumn id="21" name="13F1 Power Panel - 2  I/C -1 " dataDxfId="91"/>
    <tableColumn id="22" name="13F2 AC Panel I/C -2" dataDxfId="90"/>
    <tableColumn id="23" name="13F3 Water &amp; Lift Old CK" dataDxfId="89"/>
    <tableColumn id="24" name="14F1 Traywasher Panel -1B" dataDxfId="88"/>
    <tableColumn id="25" name="14F2 New CK" dataDxfId="87"/>
    <tableColumn id="26" name="15F1 Main UPS Panel - I/C - 2" dataDxfId="86"/>
    <tableColumn id="27" name="15F2 New ETP Panel" dataDxfId="85"/>
    <tableColumn id="28" name="15F4 Indoor Panel -1" dataDxfId="84"/>
    <tableColumn id="29" name="16F1 Tray washer Panel for Light" dataDxfId="83"/>
    <tableColumn id="30" name="19F1 2500KVA Transformer" dataDxfId="82"/>
    <tableColumn id="31" name="21F1 Refrigeration Ammonia" dataDxfId="81"/>
    <tableColumn id="32" name="2F1 RO Plant" dataDxfId="80"/>
    <tableColumn id="33" name="2F3 Air Compressor" dataDxfId="79"/>
    <tableColumn id="34" name="2F5 Main Gate-1 Piller -1" dataDxfId="78"/>
    <tableColumn id="35" name="3F1 Maintenance Workshop" dataDxfId="77"/>
    <tableColumn id="36" name="3F2 Truck Washing Panel" dataDxfId="76"/>
    <tableColumn id="37" name="3F3 Fire Hydrant Panel" dataDxfId="75"/>
    <tableColumn id="38" name="3F4 Old ETP Panel" dataDxfId="74"/>
    <tableColumn id="39" name="4F1 Incomer -2" dataDxfId="73"/>
    <tableColumn id="40" name="Air Flow" dataDxfId="72"/>
    <tableColumn id="41" name="Pressure" dataDxfId="71"/>
    <tableColumn id="42" name="Air Consumption" dataDxfId="70"/>
    <tableColumn id="43" name="Comp 1 Running Hours" dataDxfId="69"/>
    <tableColumn id="44" name="Comp 1 Running load" dataDxfId="68"/>
    <tableColumn id="45" name="Comp 2 Running Hours" dataDxfId="67"/>
    <tableColumn id="46" name="Comp 2 Running Load" dataDxfId="66"/>
    <tableColumn id="47" name="Comp 3 Running Hours" dataDxfId="65"/>
    <tableColumn id="48" name="Comp 3 Running Load" dataDxfId="64"/>
    <tableColumn id="49" name="1F1 Ammonia Refrigeration Room Panel" dataDxfId="63"/>
    <tableColumn id="50" name="Solar Reading Panel II" dataDxfId="62"/>
    <tableColumn id="51" name="1F1 MCC Indoor-1" dataDxfId="61"/>
    <tableColumn id="52" name="2F WH Chiller, Segregation Area" dataDxfId="60"/>
    <tableColumn id="53" name="3F1 AC Unit WH dock cooling - 2 Nos" dataDxfId="59"/>
    <tableColumn id="54" name="3F2 AC Unit WH dock cooling - 3 Nos" dataDxfId="58"/>
    <tableColumn id="55" name="4F Old BMC cooling Unit" dataDxfId="57"/>
    <tableColumn id="56" name="4F B2B unit " dataDxfId="56"/>
    <tableColumn id="57" name="1F1 MCC Indoor Panel -2 " dataDxfId="55"/>
    <tableColumn id="58" name="2F CLC -1 AC unit - 2" dataDxfId="54"/>
    <tableColumn id="59" name="2F CLC Anti room" dataDxfId="53"/>
    <tableColumn id="60" name="3F Dough cooler - 2 " dataDxfId="52"/>
    <tableColumn id="61" name="3F Dough Cooler- 1" dataDxfId="51"/>
    <tableColumn id="62" name="4F Dough Production cooling Unit" dataDxfId="50"/>
    <tableColumn id="63" name="5F WH Perishable" dataDxfId="49"/>
    <tableColumn id="64" name="2F1 - PDB 6 - Bread, B2B section" dataDxfId="48"/>
    <tableColumn id="65" name="2F2 - PDB 3 - WH Truck &amp; Battery Charging" dataDxfId="47"/>
    <tableColumn id="66" name="2F3 - PDB 9 - WH Dock Leveler Door " dataDxfId="46"/>
    <tableColumn id="67" name="2F4 - Old BMC" dataDxfId="45"/>
    <tableColumn id="68" name="3F1 - PDB 5 - WH HSD" dataDxfId="44"/>
    <tableColumn id="69" name="3F2 - PDB 3 - Dough Production Area" dataDxfId="43"/>
    <tableColumn id="70" name="3F3 - PDB 4 - Dough Area" dataDxfId="42"/>
    <tableColumn id="71" name="4F1 Metering PP2 " dataDxfId="41"/>
    <tableColumn id="72" name="6F1 Metering PP2 " dataDxfId="40"/>
    <tableColumn id="73" name="7F1 Donut Production area" dataDxfId="39"/>
    <tableColumn id="74" name="7F2 Flour Silo" dataDxfId="38"/>
    <tableColumn id="75" name="7F3 CLC Power Panel" dataDxfId="37"/>
    <tableColumn id="76" name="8F1 WH Dock AHU - Ventilation" dataDxfId="36"/>
    <tableColumn id="77" name="8F2 ACPDB - 3 SILO Ventilation" dataDxfId="35"/>
    <tableColumn id="78" name="8F3 ACPDB - 4 WH Dock air curtain" dataDxfId="34"/>
    <tableColumn id="79" name="8F4 WH Light" dataDxfId="33"/>
    <tableColumn id="80" name="8F5 Donut Ban Bary" dataDxfId="32"/>
    <tableColumn id="81" name="9F1 - PDB 10 - WH Dock door &amp; Office" dataDxfId="31"/>
    <tableColumn id="82" name="9F2 - PDB 11 - WH flycatchers" dataDxfId="30"/>
    <tableColumn id="83" name="9F3 - PDB 12 - Other items" dataDxfId="29"/>
    <tableColumn id="84" name="9F4 - PDB 13 - Donut Sink Geyser area" dataDxfId="28"/>
    <tableColumn id="85" name="9F5 - PDB 14 - Bread Lift" dataDxfId="27"/>
    <tableColumn id="86" name="9F6 - PDB 7 - Stagging Area" dataDxfId="26"/>
    <tableColumn id="87" name="PDB - 17 CLC Section " dataDxfId="25"/>
    <tableColumn id="88" name="PDB - 16 Bread Section" dataDxfId="24"/>
    <tableColumn id="89" name="PDB - 11 Truck Charging" dataDxfId="23"/>
    <tableColumn id="90" name="OLD Ck Panel-1" dataDxfId="22"/>
    <tableColumn id="91" name="2F4 Old CK Blast (Blue star)" dataDxfId="21"/>
    <tableColumn id="92" name="3F6 Old CK Blast (Carrier)" dataDxfId="20"/>
    <tableColumn id="93" name="Old CK Panel -2" dataDxfId="19"/>
    <tableColumn id="94" name="Tray Washer light Panel" dataDxfId="18"/>
    <tableColumn id="95" name="2F1 Tray Washer - 1" dataDxfId="17"/>
    <tableColumn id="96" name="2F3 - PDB 1 - Dock 1 to 4 " dataDxfId="16"/>
    <tableColumn id="97" name="2F5 Destacker" dataDxfId="15"/>
    <tableColumn id="98" name="3F1 Metering (TW-1)" dataDxfId="14"/>
    <tableColumn id="99" name="5F1 Metering (TW-2)" dataDxfId="13"/>
    <tableColumn id="100" name="6F1 Pre soaker Tray washer" dataDxfId="12"/>
    <tableColumn id="101" name="6F2 Ground Floor AC" dataDxfId="11"/>
    <tableColumn id="102" name="6F3 ACBD -1 (First floor AC)" dataDxfId="10"/>
    <tableColumn id="103" name="6F4 ACBD - 2 (Second &amp; Third floor AC)" dataDxfId="9"/>
    <tableColumn id="104" name="6F5 Vent tray Storage" dataDxfId="8"/>
    <tableColumn id="105" name="PNG Meter (Outside)" dataDxfId="7"/>
    <tableColumn id="106" name="PNG Meter (Inside)" dataDxfId="6"/>
    <tableColumn id="107" name="MWH Imp" dataDxfId="5"/>
    <tableColumn id="108" name="MWH Total" dataDxfId="4"/>
    <tableColumn id="109" name="MVAH Imp" dataDxfId="3"/>
    <tableColumn id="110" name="Power Factor (PF)" dataDxfId="2"/>
    <tableColumn id="111" name="Timing of Meter reading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H52"/>
  <sheetViews>
    <sheetView workbookViewId="0">
      <selection activeCell="DK11" sqref="DK11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4" width="9.81640625" customWidth="1"/>
    <col min="145" max="145" width="11.1796875" customWidth="1"/>
    <col min="152" max="152" width="10.26953125" customWidth="1"/>
    <col min="160" max="160" width="9.453125" customWidth="1"/>
    <col min="172" max="172" width="11.81640625" customWidth="1"/>
    <col min="174" max="174" width="12.54296875" customWidth="1"/>
    <col min="175" max="175" width="11" customWidth="1"/>
    <col min="176" max="176" width="11.6328125" customWidth="1"/>
    <col min="177" max="177" width="14.08984375" customWidth="1"/>
  </cols>
  <sheetData>
    <row r="1" spans="1:190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139</v>
      </c>
      <c r="O1" s="9" t="s">
        <v>140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141</v>
      </c>
      <c r="X1" s="9" t="s">
        <v>116</v>
      </c>
      <c r="Y1" s="9" t="s">
        <v>117</v>
      </c>
      <c r="Z1" s="9" t="s">
        <v>139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27" t="s">
        <v>39</v>
      </c>
      <c r="AO1" s="27" t="s">
        <v>40</v>
      </c>
      <c r="AP1" s="27" t="s">
        <v>41</v>
      </c>
      <c r="AQ1" s="27" t="s">
        <v>42</v>
      </c>
      <c r="AR1" s="27" t="s">
        <v>43</v>
      </c>
      <c r="AS1" s="27" t="s">
        <v>44</v>
      </c>
      <c r="AT1" s="27" t="s">
        <v>45</v>
      </c>
      <c r="AU1" s="27" t="s">
        <v>46</v>
      </c>
      <c r="AV1" s="27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137</v>
      </c>
      <c r="DB1" s="9" t="s">
        <v>137</v>
      </c>
      <c r="DC1" s="12"/>
      <c r="DD1" s="9" t="s">
        <v>138</v>
      </c>
      <c r="DE1" s="12"/>
      <c r="DF1" s="26" t="s">
        <v>109</v>
      </c>
      <c r="DG1" s="12"/>
      <c r="DI1" s="14" t="s">
        <v>138</v>
      </c>
      <c r="DJ1" s="15" t="s">
        <v>142</v>
      </c>
      <c r="DK1" s="16"/>
      <c r="DL1" s="17" t="s">
        <v>131</v>
      </c>
      <c r="DM1" s="17"/>
      <c r="DN1" s="17"/>
      <c r="DO1" s="17"/>
      <c r="DP1" s="17"/>
      <c r="DQ1" s="22" t="s">
        <v>116</v>
      </c>
      <c r="DR1" s="23"/>
      <c r="DS1" s="23"/>
      <c r="DT1" s="23"/>
      <c r="DU1" s="23"/>
      <c r="DV1" s="23"/>
      <c r="DW1" s="23"/>
      <c r="DX1" s="23"/>
      <c r="DY1" s="23"/>
      <c r="DZ1" s="24"/>
      <c r="EA1" s="14" t="s">
        <v>114</v>
      </c>
      <c r="EB1" s="17" t="s">
        <v>127</v>
      </c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 t="s">
        <v>124</v>
      </c>
      <c r="EP1" s="17"/>
      <c r="EQ1" s="17"/>
      <c r="ER1" s="15" t="s">
        <v>122</v>
      </c>
      <c r="ES1" s="16"/>
      <c r="ET1" s="16"/>
      <c r="EU1" s="16"/>
      <c r="EV1" s="16"/>
      <c r="EW1" s="17" t="s">
        <v>128</v>
      </c>
      <c r="EX1" s="17"/>
      <c r="EY1" s="18" t="s">
        <v>117</v>
      </c>
      <c r="EZ1" s="17" t="s">
        <v>143</v>
      </c>
      <c r="FA1" s="17"/>
      <c r="FB1" s="17"/>
      <c r="FC1" s="17"/>
      <c r="FD1" s="19" t="s">
        <v>139</v>
      </c>
      <c r="FE1" s="20"/>
      <c r="FF1" s="17" t="s">
        <v>130</v>
      </c>
      <c r="FG1" s="17"/>
      <c r="FH1" s="17"/>
      <c r="FI1" s="17"/>
      <c r="FJ1" s="14" t="s">
        <v>141</v>
      </c>
      <c r="FK1" s="17" t="s">
        <v>118</v>
      </c>
      <c r="FL1" s="17"/>
      <c r="FM1" s="14" t="s">
        <v>121</v>
      </c>
      <c r="FN1" s="14" t="s">
        <v>125</v>
      </c>
      <c r="FO1" s="14" t="s">
        <v>140</v>
      </c>
      <c r="FP1" s="14" t="s">
        <v>115</v>
      </c>
      <c r="FQ1" s="17" t="s">
        <v>119</v>
      </c>
      <c r="FR1" s="17"/>
      <c r="FS1" s="14" t="s">
        <v>120</v>
      </c>
      <c r="FT1" s="14" t="s">
        <v>126</v>
      </c>
      <c r="FU1" s="14" t="s">
        <v>123</v>
      </c>
      <c r="FV1" s="14" t="s">
        <v>129</v>
      </c>
      <c r="FW1" s="15" t="s">
        <v>132</v>
      </c>
      <c r="FX1" s="16"/>
      <c r="FY1" s="21"/>
      <c r="FZ1" s="15" t="s">
        <v>133</v>
      </c>
      <c r="GA1" s="16"/>
      <c r="GB1" s="21"/>
      <c r="GC1" s="19" t="s">
        <v>134</v>
      </c>
      <c r="GD1" s="20"/>
      <c r="GE1" s="19" t="s">
        <v>144</v>
      </c>
      <c r="GF1" s="20"/>
      <c r="GG1" s="17" t="s">
        <v>145</v>
      </c>
      <c r="GH1" s="17"/>
    </row>
    <row r="2" spans="1:190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146</v>
      </c>
      <c r="DJ2" s="9" t="s">
        <v>104</v>
      </c>
      <c r="DK2" s="9" t="s">
        <v>105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18</v>
      </c>
      <c r="DR2" s="9" t="s">
        <v>23</v>
      </c>
      <c r="DS2" s="9" t="s">
        <v>28</v>
      </c>
      <c r="DT2" s="9" t="s">
        <v>93</v>
      </c>
      <c r="DU2" s="9" t="s">
        <v>94</v>
      </c>
      <c r="DV2" s="9" t="s">
        <v>96</v>
      </c>
      <c r="DW2" s="9" t="s">
        <v>97</v>
      </c>
      <c r="DX2" s="9" t="s">
        <v>98</v>
      </c>
      <c r="DY2" s="9" t="s">
        <v>99</v>
      </c>
      <c r="DZ2" s="9" t="s">
        <v>103</v>
      </c>
      <c r="EA2" s="9" t="s">
        <v>8</v>
      </c>
      <c r="EB2" s="9" t="s">
        <v>51</v>
      </c>
      <c r="EC2" s="9" t="s">
        <v>52</v>
      </c>
      <c r="ED2" s="9" t="s">
        <v>53</v>
      </c>
      <c r="EE2" s="9" t="s">
        <v>62</v>
      </c>
      <c r="EF2" s="9" t="s">
        <v>65</v>
      </c>
      <c r="EG2" s="9" t="s">
        <v>67</v>
      </c>
      <c r="EH2" s="9" t="s">
        <v>75</v>
      </c>
      <c r="EI2" s="9" t="s">
        <v>77</v>
      </c>
      <c r="EJ2" s="9" t="s">
        <v>78</v>
      </c>
      <c r="EK2" s="9" t="s">
        <v>80</v>
      </c>
      <c r="EL2" s="9" t="s">
        <v>81</v>
      </c>
      <c r="EM2" s="9" t="s">
        <v>82</v>
      </c>
      <c r="EN2" s="9" t="s">
        <v>85</v>
      </c>
      <c r="EO2" s="9" t="s">
        <v>23</v>
      </c>
      <c r="EP2" s="9" t="s">
        <v>64</v>
      </c>
      <c r="EQ2" s="9" t="s">
        <v>88</v>
      </c>
      <c r="ER2" s="9" t="s">
        <v>15</v>
      </c>
      <c r="ES2" s="9" t="s">
        <v>33</v>
      </c>
      <c r="ET2" s="9" t="s">
        <v>100</v>
      </c>
      <c r="EU2" s="9" t="s">
        <v>101</v>
      </c>
      <c r="EV2" s="9" t="s">
        <v>102</v>
      </c>
      <c r="EW2" s="10" t="s">
        <v>54</v>
      </c>
      <c r="EX2" s="10" t="s">
        <v>66</v>
      </c>
      <c r="EY2" s="10" t="s">
        <v>24</v>
      </c>
      <c r="EZ2" s="9" t="s">
        <v>89</v>
      </c>
      <c r="FA2" s="9" t="s">
        <v>90</v>
      </c>
      <c r="FB2" s="9" t="s">
        <v>91</v>
      </c>
      <c r="FC2" s="9" t="s">
        <v>92</v>
      </c>
      <c r="FD2" s="9" t="s">
        <v>13</v>
      </c>
      <c r="FE2" s="9" t="s">
        <v>25</v>
      </c>
      <c r="FF2" s="9" t="s">
        <v>57</v>
      </c>
      <c r="FG2" s="9" t="s">
        <v>58</v>
      </c>
      <c r="FH2" s="9" t="s">
        <v>74</v>
      </c>
      <c r="FI2" s="9" t="s">
        <v>86</v>
      </c>
      <c r="FJ2" s="9" t="s">
        <v>22</v>
      </c>
      <c r="FK2" s="9" t="s">
        <v>26</v>
      </c>
      <c r="FL2" s="9" t="s">
        <v>37</v>
      </c>
      <c r="FM2" s="9" t="s">
        <v>31</v>
      </c>
      <c r="FN2" s="9" t="s">
        <v>36</v>
      </c>
      <c r="FO2" s="9" t="s">
        <v>14</v>
      </c>
      <c r="FP2" s="9" t="s">
        <v>17</v>
      </c>
      <c r="FQ2" s="9" t="s">
        <v>30</v>
      </c>
      <c r="FR2" s="9" t="s">
        <v>48</v>
      </c>
      <c r="FS2" s="9" t="s">
        <v>32</v>
      </c>
      <c r="FT2" s="9" t="s">
        <v>49</v>
      </c>
      <c r="FU2" s="9" t="s">
        <v>34</v>
      </c>
      <c r="FV2" s="9" t="s">
        <v>55</v>
      </c>
      <c r="FW2" s="9" t="s">
        <v>63</v>
      </c>
      <c r="FX2" s="9" t="s">
        <v>84</v>
      </c>
      <c r="FY2" s="9" t="s">
        <v>87</v>
      </c>
      <c r="FZ2" s="9" t="s">
        <v>72</v>
      </c>
      <c r="GA2" s="9" t="s">
        <v>79</v>
      </c>
      <c r="GB2" s="9" t="s">
        <v>83</v>
      </c>
      <c r="GC2" s="9" t="s">
        <v>73</v>
      </c>
      <c r="GD2" s="9" t="s">
        <v>76</v>
      </c>
      <c r="GE2" s="25" t="s">
        <v>9</v>
      </c>
      <c r="GF2" s="9" t="s">
        <v>10</v>
      </c>
      <c r="GG2" s="25" t="s">
        <v>11</v>
      </c>
      <c r="GH2" s="9" t="s">
        <v>12</v>
      </c>
    </row>
    <row r="3" spans="1:190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6">
        <v>7064.2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S4-Table2[[#This Row],[7F2 Traywasher Panel - 1A ( + Old Ck)]]</f>
        <v>3039.3600000003353</v>
      </c>
      <c r="DR3">
        <f>X4-Table2[[#This Row],[14F1 Traywasher Panel -1B]]</f>
        <v>242.9440000000177</v>
      </c>
      <c r="DS3">
        <f>AC4-Table2[[#This Row],[16F1 Tray washer Panel for Light]]</f>
        <v>616.79999999981374</v>
      </c>
      <c r="DT3">
        <f>CP4-Table2[[#This Row],[Tray Washer light Panel]]</f>
        <v>190.66899999999441</v>
      </c>
      <c r="DU3">
        <f>CQ4-Table2[[#This Row],[2F1 Tray Washer - 1]]</f>
        <v>1192.8999999999069</v>
      </c>
      <c r="DV3">
        <f>CS4-Table2[[#This Row],[2F5 Destacker]]</f>
        <v>278.04800000000978</v>
      </c>
      <c r="DW3">
        <f>CT4-Table2[[#This Row],[3F1 Metering (TW-1)]]</f>
        <v>3110.3159999996424</v>
      </c>
      <c r="DX3">
        <f>CU4-Table2[[#This Row],[5F1 Metering (TW-2)]]</f>
        <v>242.85899999999674</v>
      </c>
      <c r="DY3">
        <f>CV4-Table2[[#This Row],[6F1 Pre soaker Tray washer]]</f>
        <v>0</v>
      </c>
      <c r="DZ3">
        <f>CZ4-Table2[[#This Row],[6F5 Vent tray Storage]]</f>
        <v>14.982000000018161</v>
      </c>
      <c r="EA3">
        <f>I4-Table2[[#This Row],[Popeyes Meter ]]</f>
        <v>0</v>
      </c>
      <c r="EB3">
        <f>AZ4-Table2[[#This Row],[2F WH Chiller, Segregation Area]]</f>
        <v>0</v>
      </c>
      <c r="EC3">
        <f>BA4-Table2[[#This Row],[3F1 AC Unit WH dock cooling - 2 Nos]]</f>
        <v>12.779999999998836</v>
      </c>
      <c r="ED3">
        <f>BB4-Table2[[#This Row],[3F2 AC Unit WH dock cooling - 3 Nos]]</f>
        <v>5.0999999999994827E-2</v>
      </c>
      <c r="EE3">
        <f>(BK4-Table2[[#This Row],[5F WH Perishable]])*1000</f>
        <v>291.00000000005366</v>
      </c>
      <c r="EF3">
        <f>BN4-Table2[[#This Row],[2F3 - PDB 9 - WH Dock Leveler Door ]]</f>
        <v>2.568000000000211</v>
      </c>
      <c r="EG3">
        <f>BP4-Table2[[#This Row],[3F1 - PDB 5 - WH HSD]]</f>
        <v>87.679999999993015</v>
      </c>
      <c r="EH3">
        <f>BX4-Table2[[#This Row],[8F1 WH Dock AHU - Ventilation]]</f>
        <v>0</v>
      </c>
      <c r="EI3">
        <f>BZ4-Table2[[#This Row],[8F3 ACPDB - 4 WH Dock air curtain]]</f>
        <v>18.695999999996275</v>
      </c>
      <c r="EJ3">
        <f>CA4-Table2[[#This Row],[8F4 WH Light]]</f>
        <v>0</v>
      </c>
      <c r="EK3">
        <f>CC4-Table2[[#This Row],[9F1 - PDB 10 - WH Dock door &amp; Office]]</f>
        <v>80.831999999994878</v>
      </c>
      <c r="EL3">
        <f>CD4-Table2[[#This Row],[9F2 - PDB 11 - WH flycatchers]]</f>
        <v>146.4320000000298</v>
      </c>
      <c r="EM3">
        <f>CE4-Table2[[#This Row],[9F3 - PDB 12 - Other items]]</f>
        <v>0</v>
      </c>
      <c r="EN3">
        <f>CR4-Table2[[#This Row],[2F3 - PDB 1 - Dock 1 to 4 ]]</f>
        <v>75.792000000001281</v>
      </c>
      <c r="EO3">
        <f>X4-Table2[[#This Row],[14F1 Traywasher Panel -1B]]</f>
        <v>242.9440000000177</v>
      </c>
      <c r="EP3">
        <f>BM4-Table2[[#This Row],[2F2 - PDB 3 - WH Truck &amp; Battery Charging]]</f>
        <v>791.20000000001164</v>
      </c>
      <c r="EQ3">
        <f>(CK4-Table2[[#This Row],[PDB - 11 Truck Charging]])*1000</f>
        <v>45.999999999992269</v>
      </c>
      <c r="ER3">
        <f>P4-Table2[[#This Row],[5F3 Admin Area]]</f>
        <v>320.76800000004005</v>
      </c>
      <c r="ES3">
        <f>AH4-Table2[[#This Row],[2F5 Main Gate-1 Piller -1]]</f>
        <v>181.36800000000221</v>
      </c>
      <c r="ET3">
        <f>CW4-Table2[[#This Row],[6F2 Ground Floor AC]]</f>
        <v>34.995200000004843</v>
      </c>
      <c r="EU3">
        <f>CX4-Table2[[#This Row],[6F3 ACBD -1 (First floor AC)]]</f>
        <v>24.380800000006275</v>
      </c>
      <c r="EV3">
        <f>CY4-Table2[[#This Row],[6F4 ACBD - 2 (Second &amp; Third floor AC)]]</f>
        <v>132.04800000000978</v>
      </c>
      <c r="EW3">
        <f>(BC4-Table2[[#This Row],[4F Old BMC cooling Unit]])</f>
        <v>0</v>
      </c>
      <c r="EX3">
        <f>BO4-Table2[[#This Row],[2F4 - Old BMC]]</f>
        <v>1.6000000003259629E-2</v>
      </c>
      <c r="EY3">
        <f>Y4-Table2[[#This Row],[14F2 New CK]]</f>
        <v>261.88000000012107</v>
      </c>
      <c r="EZ3">
        <f>(CL4-Table2[[#This Row],[OLD Ck Panel-1]])*1000</f>
        <v>90.000000000031832</v>
      </c>
      <c r="FA3">
        <f>CM4-Table2[[#This Row],[2F4 Old CK Blast (Blue star)]]</f>
        <v>0</v>
      </c>
      <c r="FB3">
        <f>CN4-Table2[[#This Row],[3F6 Old CK Blast (Carrier)]]</f>
        <v>0</v>
      </c>
      <c r="FC3">
        <f>(CO4-Table2[[#This Row],[Old CK Panel -2]])*1000</f>
        <v>900.99999999983993</v>
      </c>
      <c r="FD3">
        <f>N4-Table2[[#This Row],[4F1 Main UPS 1/C -1]]</f>
        <v>767.52000000001863</v>
      </c>
      <c r="FE3">
        <f>Z4-Table2[[#This Row],[15F1 Main UPS Panel - I/C - 2]]</f>
        <v>0</v>
      </c>
      <c r="FF3">
        <f>BF4-Table2[[#This Row],[2F CLC -1 AC unit - 2]]</f>
        <v>0</v>
      </c>
      <c r="FG3">
        <f>(BG4-Table2[[#This Row],[2F CLC Anti room]])*1000</f>
        <v>7.9999999999955662</v>
      </c>
      <c r="FH3">
        <f>BW4-Table2[[#This Row],[7F3 CLC Power Panel]]</f>
        <v>145.93599999998696</v>
      </c>
      <c r="FI3">
        <f>(CI4-Table2[[#This Row],[PDB - 17 CLC Section ]])*1000</f>
        <v>107.99999999997567</v>
      </c>
      <c r="FJ3">
        <f>(W4-Table2[[#This Row],[13F3 Water &amp; Lift Old CK]])*1000</f>
        <v>195.19999999988613</v>
      </c>
      <c r="FK3">
        <f>AA4-Table2[[#This Row],[15F2 New ETP Panel]]</f>
        <v>289.08799999998882</v>
      </c>
      <c r="FL3">
        <f>AL4-Table2[[#This Row],[3F4 Old ETP Panel]]</f>
        <v>88.791999999957625</v>
      </c>
      <c r="FM3">
        <f>AF4-Table2[[#This Row],[2F1 RO Plant]]</f>
        <v>586.94399999990128</v>
      </c>
      <c r="FN3">
        <f>AK4-Table2[[#This Row],[3F3 Fire Hydrant Panel]]</f>
        <v>10.240000000005239</v>
      </c>
      <c r="FO3">
        <f>O4-Table2[[#This Row],[5F1 Utility]]</f>
        <v>1733.1200000001118</v>
      </c>
      <c r="FP3">
        <f>R4-Table2[[#This Row],[7F1 Freon System Panel]]</f>
        <v>2448.9599999999627</v>
      </c>
      <c r="FQ3">
        <f>(AE4-Table2[[#This Row],[21F1 Refrigeration Ammonia]])*1000</f>
        <v>6017.600000001039</v>
      </c>
      <c r="FR3">
        <f>(AW4-Table2[[#This Row],[1F1 Ammonia Refrigeration Room Panel]])*1000</f>
        <v>5.7900000000010721</v>
      </c>
      <c r="FS3">
        <f>(AG4-Table2[[#This Row],[2F3 Air Compressor]])*1000</f>
        <v>1013.0000000001473</v>
      </c>
      <c r="FT3">
        <f>(AX4-Table2[[#This Row],[Solar Reading Panel II]])*1000</f>
        <v>3500</v>
      </c>
      <c r="FU3">
        <f>AI4-Table2[[#This Row],[3F1 Maintenance Workshop]]</f>
        <v>5.8544000000001688</v>
      </c>
      <c r="FV3">
        <f>BD4-Table2[[#This Row],[4F B2B unit ]]</f>
        <v>14.400000000023283</v>
      </c>
      <c r="FW3">
        <f>BL4-Table2[[#This Row],[2F1 - PDB 6 - Bread, B2B section]]</f>
        <v>3.7189999999973224</v>
      </c>
      <c r="FX3">
        <f>(CG4-Table2[[#This Row],[9F5 - PDB 14 - Bread Lift]])</f>
        <v>0.2559999999939464</v>
      </c>
      <c r="FY3">
        <f>CJ4-Table2[[#This Row],[PDB - 16 Bread Section]]</f>
        <v>0</v>
      </c>
      <c r="FZ3">
        <f>BU4-Table2[[#This Row],[7F1 Donut Production area]]</f>
        <v>224</v>
      </c>
      <c r="GA3">
        <f>CB4-Table2[[#This Row],[8F5 Donut Ban Bary]]</f>
        <v>55.319999999992433</v>
      </c>
      <c r="GB3">
        <f>CF4-Table2[[#This Row],[9F4 - PDB 13 - Donut Sink Geyser area]]</f>
        <v>13.071999999985565</v>
      </c>
      <c r="GC3">
        <f>BV4-Table2[[#This Row],[7F2 Flour Silo]]</f>
        <v>353.11999999999534</v>
      </c>
      <c r="GD3">
        <f>BY4-Table2[[#This Row],[8F2 ACPDB - 3 SILO Ventilation]]</f>
        <v>48.032000000006519</v>
      </c>
      <c r="GE3">
        <f>J4-Table2[[#This Row],[DG 1010KVA Running Hours]]</f>
        <v>0</v>
      </c>
      <c r="GF3">
        <f>K4-Table2[[#This Row],[DG 1010 KVA Meter Reading]]</f>
        <v>0</v>
      </c>
      <c r="GG3">
        <f>L4-Table2[[#This Row],[GG 1010 KVA Running Hours]]</f>
        <v>0</v>
      </c>
      <c r="GH3">
        <f>M4-Table2[[#This Row],[GG 1010 KVA Meter Reading]]</f>
        <v>0</v>
      </c>
    </row>
    <row r="4" spans="1:190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6">
        <v>7067.7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S5-Table2[[#This Row],[7F2 Traywasher Panel - 1A ( + Old Ck)]]</f>
        <v>3167.359999999404</v>
      </c>
      <c r="DR4">
        <f>X5-Table2[[#This Row],[14F1 Traywasher Panel -1B]]</f>
        <v>378.68799999996554</v>
      </c>
      <c r="DS4">
        <f>AC5-Table2[[#This Row],[16F1 Tray washer Panel for Light]]</f>
        <v>652.47999999998137</v>
      </c>
      <c r="DT4">
        <f>CP5-Table2[[#This Row],[Tray Washer light Panel]]</f>
        <v>156.79099999996834</v>
      </c>
      <c r="DU4">
        <f>CQ5-Table2[[#This Row],[2F1 Tray Washer - 1]]</f>
        <v>1118.7200000002049</v>
      </c>
      <c r="DV4">
        <f>CS5-Table2[[#This Row],[2F5 Destacker]]</f>
        <v>322.27199999999721</v>
      </c>
      <c r="DW4">
        <f>CT5-Table2[[#This Row],[3F1 Metering (TW-1)]]</f>
        <v>3227.5030000000261</v>
      </c>
      <c r="DX4">
        <f>CU5-Table2[[#This Row],[5F1 Metering (TW-2)]]</f>
        <v>374.75400000001537</v>
      </c>
      <c r="DY4">
        <f>CV5-Table2[[#This Row],[6F1 Pre soaker Tray washer]]</f>
        <v>0</v>
      </c>
      <c r="DZ4">
        <f>CZ5-Table2[[#This Row],[6F5 Vent tray Storage]]</f>
        <v>127.8179999999993</v>
      </c>
      <c r="EA4">
        <f>I5-Table2[[#This Row],[Popeyes Meter ]]</f>
        <v>70.470000000000255</v>
      </c>
      <c r="EB4">
        <f>AZ5-Table2[[#This Row],[2F WH Chiller, Segregation Area]]</f>
        <v>0</v>
      </c>
      <c r="EC4">
        <f>BA5-Table2[[#This Row],[3F1 AC Unit WH dock cooling - 2 Nos]]</f>
        <v>25.600000000000364</v>
      </c>
      <c r="ED4">
        <f>BB5-Table2[[#This Row],[3F2 AC Unit WH dock cooling - 3 Nos]]</f>
        <v>5.4999999999999716E-2</v>
      </c>
      <c r="EE4">
        <f>(BK5-Table2[[#This Row],[5F WH Perishable]])*1000</f>
        <v>317.99999999998363</v>
      </c>
      <c r="EF4">
        <f>BN5-Table2[[#This Row],[2F3 - PDB 9 - WH Dock Leveler Door ]]</f>
        <v>1.6927999999998065</v>
      </c>
      <c r="EG4">
        <f>BP5-Table2[[#This Row],[3F1 - PDB 5 - WH HSD]]</f>
        <v>111.55199999996694</v>
      </c>
      <c r="EH4">
        <f>BX5-Table2[[#This Row],[8F1 WH Dock AHU - Ventilation]]</f>
        <v>0</v>
      </c>
      <c r="EI4">
        <f>BZ5-Table2[[#This Row],[8F3 ACPDB - 4 WH Dock air curtain]]</f>
        <v>18.959999999991851</v>
      </c>
      <c r="EJ4">
        <f>CA5-Table2[[#This Row],[8F4 WH Light]]</f>
        <v>0</v>
      </c>
      <c r="EK4">
        <f>CC5-Table2[[#This Row],[9F1 - PDB 10 - WH Dock door &amp; Office]]</f>
        <v>138.50200000000768</v>
      </c>
      <c r="EL4">
        <f>CD5-Table2[[#This Row],[9F2 - PDB 11 - WH flycatchers]]</f>
        <v>233.63199999998324</v>
      </c>
      <c r="EM4">
        <f>CE5-Table2[[#This Row],[9F3 - PDB 12 - Other items]]</f>
        <v>0</v>
      </c>
      <c r="EN4">
        <f>CR5-Table2[[#This Row],[2F3 - PDB 1 - Dock 1 to 4 ]]</f>
        <v>83.103999999992084</v>
      </c>
      <c r="EO4">
        <f>X5-Table2[[#This Row],[14F1 Traywasher Panel -1B]]</f>
        <v>378.68799999996554</v>
      </c>
      <c r="EP4">
        <f>BM5-Table2[[#This Row],[2F2 - PDB 3 - WH Truck &amp; Battery Charging]]</f>
        <v>618.91200000001118</v>
      </c>
      <c r="EQ4">
        <f>(CK5-Table2[[#This Row],[PDB - 11 Truck Charging]])*1000</f>
        <v>56.000000000011596</v>
      </c>
      <c r="ER4">
        <f>P5-Table2[[#This Row],[5F3 Admin Area]]</f>
        <v>419.13600000005681</v>
      </c>
      <c r="ES4">
        <f>AH5-Table2[[#This Row],[2F5 Main Gate-1 Piller -1]]</f>
        <v>153.23999999999069</v>
      </c>
      <c r="ET4">
        <f>CW5-Table2[[#This Row],[6F2 Ground Floor AC]]</f>
        <v>35.583999999995285</v>
      </c>
      <c r="EU4">
        <f>CX5-Table2[[#This Row],[6F3 ACBD -1 (First floor AC)]]</f>
        <v>24.531199999997625</v>
      </c>
      <c r="EV4">
        <f>CY5-Table2[[#This Row],[6F4 ACBD - 2 (Second &amp; Third floor AC)]]</f>
        <v>143.11999999999534</v>
      </c>
      <c r="EW4">
        <f>(BC5-Table2[[#This Row],[4F Old BMC cooling Unit]])</f>
        <v>0.23199999998905696</v>
      </c>
      <c r="EX4">
        <f>BO5-Table2[[#This Row],[2F4 - Old BMC]]</f>
        <v>1.5999999995983671E-2</v>
      </c>
      <c r="EY4">
        <f>Y5-Table2[[#This Row],[14F2 New CK]]</f>
        <v>650.11999999987893</v>
      </c>
      <c r="EZ4">
        <f>(CL5-Table2[[#This Row],[OLD Ck Panel-1]])*1000</f>
        <v>574.00000000006912</v>
      </c>
      <c r="FA4">
        <f>CM5-Table2[[#This Row],[2F4 Old CK Blast (Blue star)]]</f>
        <v>0</v>
      </c>
      <c r="FB4">
        <f>CN5-Table2[[#This Row],[3F6 Old CK Blast (Carrier)]]</f>
        <v>749.09999999999854</v>
      </c>
      <c r="FC4">
        <f>(CO5-Table2[[#This Row],[Old CK Panel -2]])*1000</f>
        <v>1056.00000000004</v>
      </c>
      <c r="FD4">
        <f>N5-Table2[[#This Row],[4F1 Main UPS 1/C -1]]</f>
        <v>886.55999999982305</v>
      </c>
      <c r="FE4">
        <f>Z5-Table2[[#This Row],[15F1 Main UPS Panel - I/C - 2]]</f>
        <v>0</v>
      </c>
      <c r="FF4">
        <f>BF5-Table2[[#This Row],[2F CLC -1 AC unit - 2]]</f>
        <v>0</v>
      </c>
      <c r="FG4">
        <f>(BG5-Table2[[#This Row],[2F CLC Anti room]])*1000</f>
        <v>30.000000000001137</v>
      </c>
      <c r="FH4">
        <f>BW5-Table2[[#This Row],[7F3 CLC Power Panel]]</f>
        <v>250.23999999999069</v>
      </c>
      <c r="FI4">
        <f>(CI5-Table2[[#This Row],[PDB - 17 CLC Section ]])*1000</f>
        <v>176.00000000001614</v>
      </c>
      <c r="FJ4">
        <f>(W5-Table2[[#This Row],[13F3 Water &amp; Lift Old CK]])*1000</f>
        <v>634.40000000014152</v>
      </c>
      <c r="FK4">
        <f>AA5-Table2[[#This Row],[15F2 New ETP Panel]]</f>
        <v>294.33600000001024</v>
      </c>
      <c r="FL4">
        <f>AL5-Table2[[#This Row],[3F4 Old ETP Panel]]</f>
        <v>57.704000000027008</v>
      </c>
      <c r="FM4">
        <f>AF5-Table2[[#This Row],[2F1 RO Plant]]</f>
        <v>604.35200000007171</v>
      </c>
      <c r="FN4">
        <f>AK5-Table2[[#This Row],[3F3 Fire Hydrant Panel]]</f>
        <v>11.152000000001863</v>
      </c>
      <c r="FO4">
        <f>O5-Table2[[#This Row],[5F1 Utility]]</f>
        <v>1745.9199999999255</v>
      </c>
      <c r="FP4">
        <f>R5-Table2[[#This Row],[7F1 Freon System Panel]]</f>
        <v>3952.6399999996647</v>
      </c>
      <c r="FQ4">
        <f>(AE5-Table2[[#This Row],[21F1 Refrigeration Ammonia]])*1000</f>
        <v>7523.9999999994325</v>
      </c>
      <c r="FR4">
        <f>(AW5-Table2[[#This Row],[1F1 Ammonia Refrigeration Room Panel]])*1000</f>
        <v>7.3239999999969996</v>
      </c>
      <c r="FS4">
        <f>(AG5-Table2[[#This Row],[2F3 Air Compressor]])*1000</f>
        <v>1032.9999999999018</v>
      </c>
      <c r="FT4">
        <f>(AX5-Table2[[#This Row],[Solar Reading Panel II]])*1000</f>
        <v>3350.0000000003638</v>
      </c>
      <c r="FU4">
        <f>AI5-Table2[[#This Row],[3F1 Maintenance Workshop]]</f>
        <v>6.438399999999092</v>
      </c>
      <c r="FV4">
        <f>BD5-Table2[[#This Row],[4F B2B unit ]]</f>
        <v>21.535999999963678</v>
      </c>
      <c r="FW4">
        <f>BL5-Table2[[#This Row],[2F1 - PDB 6 - Bread, B2B section]]</f>
        <v>2.5400000000081491</v>
      </c>
      <c r="FX4">
        <f>(CG5-Table2[[#This Row],[9F5 - PDB 14 - Bread Lift]])</f>
        <v>0.28800000000046566</v>
      </c>
      <c r="FY4">
        <f>CJ5-Table2[[#This Row],[PDB - 16 Bread Section]]</f>
        <v>0</v>
      </c>
      <c r="FZ4">
        <f>BU5-Table2[[#This Row],[7F1 Donut Production area]]</f>
        <v>231.48800000001211</v>
      </c>
      <c r="GA4">
        <f>CB5-Table2[[#This Row],[8F5 Donut Ban Bary]]</f>
        <v>77.711999999999534</v>
      </c>
      <c r="GB4">
        <f>CF5-Table2[[#This Row],[9F4 - PDB 13 - Donut Sink Geyser area]]</f>
        <v>16</v>
      </c>
      <c r="GC4">
        <f>BV5-Table2[[#This Row],[7F2 Flour Silo]]</f>
        <v>373.35999999998603</v>
      </c>
      <c r="GD4">
        <f>BY5-Table2[[#This Row],[8F2 ACPDB - 3 SILO Ventilation]]</f>
        <v>49.391999999992549</v>
      </c>
      <c r="GE4">
        <f>J5-Table2[[#This Row],[DG 1010KVA Running Hours]]</f>
        <v>0</v>
      </c>
      <c r="GF4">
        <f>K5-Table2[[#This Row],[DG 1010 KVA Meter Reading]]</f>
        <v>0</v>
      </c>
      <c r="GG4">
        <f>L5-Table2[[#This Row],[GG 1010 KVA Running Hours]]</f>
        <v>0</v>
      </c>
      <c r="GH4">
        <f>M5-Table2[[#This Row],[GG 1010 KVA Meter Reading]]</f>
        <v>0</v>
      </c>
    </row>
    <row r="5" spans="1:190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6">
        <v>7071.05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S6-Table2[[#This Row],[7F2 Traywasher Panel - 1A ( + Old Ck)]]</f>
        <v>3169.9200000008568</v>
      </c>
      <c r="DR5">
        <f>X6-Table2[[#This Row],[14F1 Traywasher Panel -1B]]</f>
        <v>367.42399999999907</v>
      </c>
      <c r="DS5">
        <f>AC6-Table2[[#This Row],[16F1 Tray washer Panel for Light]]</f>
        <v>674.72000000020489</v>
      </c>
      <c r="DT5">
        <f>CP6-Table2[[#This Row],[Tray Washer light Panel]]</f>
        <v>167.19500000000698</v>
      </c>
      <c r="DU5">
        <f>CQ6-Table2[[#This Row],[2F1 Tray Washer - 1]]</f>
        <v>1118.7199999997392</v>
      </c>
      <c r="DV5">
        <f>CS6-Table2[[#This Row],[2F5 Destacker]]</f>
        <v>319.48800000001211</v>
      </c>
      <c r="DW5">
        <f>CT6-Table2[[#This Row],[3F1 Metering (TW-1)]]</f>
        <v>3183.4530000002123</v>
      </c>
      <c r="DX5">
        <f>CU6-Table2[[#This Row],[5F1 Metering (TW-2)]]</f>
        <v>366.27199999999721</v>
      </c>
      <c r="DY5">
        <f>CV6-Table2[[#This Row],[6F1 Pre soaker Tray washer]]</f>
        <v>3.8048000000017055</v>
      </c>
      <c r="DZ5">
        <f>CZ6-Table2[[#This Row],[6F5 Vent tray Storage]]</f>
        <v>110</v>
      </c>
      <c r="EA5">
        <f>I6-Table2[[#This Row],[Popeyes Meter ]]</f>
        <v>37.309999999999491</v>
      </c>
      <c r="EB5">
        <f>AZ6-Table2[[#This Row],[2F WH Chiller, Segregation Area]]</f>
        <v>0</v>
      </c>
      <c r="EC5">
        <f>BA6-Table2[[#This Row],[3F1 AC Unit WH dock cooling - 2 Nos]]</f>
        <v>25.559999999999491</v>
      </c>
      <c r="ED5">
        <f>BB6-Table2[[#This Row],[3F2 AC Unit WH dock cooling - 3 Nos]]</f>
        <v>5.6000000000004491E-2</v>
      </c>
      <c r="EE5">
        <f>(BK6-Table2[[#This Row],[5F WH Perishable]])*1000</f>
        <v>316.00000000003092</v>
      </c>
      <c r="EF5">
        <f>BN6-Table2[[#This Row],[2F3 - PDB 9 - WH Dock Leveler Door ]]</f>
        <v>1.8999999999996362</v>
      </c>
      <c r="EG5">
        <f>BP6-Table2[[#This Row],[3F1 - PDB 5 - WH HSD]]</f>
        <v>150.49600000004284</v>
      </c>
      <c r="EH5">
        <f>BX6-Table2[[#This Row],[8F1 WH Dock AHU - Ventilation]]</f>
        <v>5315.5840000000317</v>
      </c>
      <c r="EI5">
        <f>BZ6-Table2[[#This Row],[8F3 ACPDB - 4 WH Dock air curtain]]</f>
        <v>18.912000000011176</v>
      </c>
      <c r="EJ5">
        <f>CA6-Table2[[#This Row],[8F4 WH Light]]</f>
        <v>1154.0123000000001</v>
      </c>
      <c r="EK5">
        <f>CC6-Table2[[#This Row],[9F1 - PDB 10 - WH Dock door &amp; Office]]</f>
        <v>131.06599999999162</v>
      </c>
      <c r="EL5">
        <f>CD6-Table2[[#This Row],[9F2 - PDB 11 - WH flycatchers]]</f>
        <v>171.67999999999302</v>
      </c>
      <c r="EM5">
        <f>CE6-Table2[[#This Row],[9F3 - PDB 12 - Other items]]</f>
        <v>0</v>
      </c>
      <c r="EN5">
        <f>CR6-Table2[[#This Row],[2F3 - PDB 1 - Dock 1 to 4 ]]</f>
        <v>76.00800000000163</v>
      </c>
      <c r="EO5">
        <f>X6-Table2[[#This Row],[14F1 Traywasher Panel -1B]]</f>
        <v>367.42399999999907</v>
      </c>
      <c r="EP5">
        <f>BM6-Table2[[#This Row],[2F2 - PDB 3 - WH Truck &amp; Battery Charging]]</f>
        <v>816.03200000000652</v>
      </c>
      <c r="EQ5">
        <f>(CK6-Table2[[#This Row],[PDB - 11 Truck Charging]])*1000</f>
        <v>50.999999999987722</v>
      </c>
      <c r="ER5">
        <f>P6-Table2[[#This Row],[5F3 Admin Area]]</f>
        <v>413.0559999999823</v>
      </c>
      <c r="ES5">
        <f>AH6-Table2[[#This Row],[2F5 Main Gate-1 Piller -1]]</f>
        <v>152.3920000000071</v>
      </c>
      <c r="ET5">
        <f>CW6-Table2[[#This Row],[6F2 Ground Floor AC]]</f>
        <v>35.718400000005204</v>
      </c>
      <c r="EU5">
        <f>CX6-Table2[[#This Row],[6F3 ACBD -1 (First floor AC)]]</f>
        <v>24.288000000000466</v>
      </c>
      <c r="EV5">
        <f>CY6-Table2[[#This Row],[6F4 ACBD - 2 (Second &amp; Third floor AC)]]</f>
        <v>152.06500000000233</v>
      </c>
      <c r="EW5">
        <f>(BC6-Table2[[#This Row],[4F Old BMC cooling Unit]])</f>
        <v>1.5599999999976717</v>
      </c>
      <c r="EX5">
        <f>BO6-Table2[[#This Row],[2F4 - Old BMC]]</f>
        <v>0.36800000000221189</v>
      </c>
      <c r="EY5">
        <f>Y6-Table2[[#This Row],[14F2 New CK]]</f>
        <v>612.56000000005588</v>
      </c>
      <c r="EZ5">
        <f>(CL6-Table2[[#This Row],[OLD Ck Panel-1]])*1000</f>
        <v>623.99999999990996</v>
      </c>
      <c r="FA5">
        <f>CM6-Table2[[#This Row],[2F4 Old CK Blast (Blue star)]]</f>
        <v>0</v>
      </c>
      <c r="FB5">
        <f>CN6-Table2[[#This Row],[3F6 Old CK Blast (Carrier)]]</f>
        <v>30</v>
      </c>
      <c r="FC5">
        <f>(CO6-Table2[[#This Row],[Old CK Panel -2]])*1000</f>
        <v>1009.9999999999909</v>
      </c>
      <c r="FD5">
        <f>N6-Table2[[#This Row],[4F1 Main UPS 1/C -1]]</f>
        <v>876.47999999998137</v>
      </c>
      <c r="FE5">
        <f>Z6-Table2[[#This Row],[15F1 Main UPS Panel - I/C - 2]]</f>
        <v>0</v>
      </c>
      <c r="FF5">
        <f>BF6-Table2[[#This Row],[2F CLC -1 AC unit - 2]]</f>
        <v>0</v>
      </c>
      <c r="FG5">
        <f>(BG6-Table2[[#This Row],[2F CLC Anti room]])*1000</f>
        <v>24.000000000000909</v>
      </c>
      <c r="FH5">
        <f>BW6-Table2[[#This Row],[7F3 CLC Power Panel]]</f>
        <v>216.76800000004005</v>
      </c>
      <c r="FI5">
        <f>(CI6-Table2[[#This Row],[PDB - 17 CLC Section ]])*1000</f>
        <v>151.00000000001046</v>
      </c>
      <c r="FJ5">
        <f>(W6-Table2[[#This Row],[13F3 Water &amp; Lift Old CK]])*1000</f>
        <v>445.89999999993779</v>
      </c>
      <c r="FK5">
        <f>AA6-Table2[[#This Row],[15F2 New ETP Panel]]</f>
        <v>287.48800000001211</v>
      </c>
      <c r="FL5">
        <f>AL6-Table2[[#This Row],[3F4 Old ETP Panel]]</f>
        <v>70.368000000016764</v>
      </c>
      <c r="FM5">
        <f>AF6-Table2[[#This Row],[2F1 RO Plant]]</f>
        <v>641.72800000000279</v>
      </c>
      <c r="FN5">
        <f>AK6-Table2[[#This Row],[3F3 Fire Hydrant Panel]]</f>
        <v>11.168000000005122</v>
      </c>
      <c r="FO5">
        <f>O6-Table2[[#This Row],[5F1 Utility]]</f>
        <v>1804.4799999995157</v>
      </c>
      <c r="FP5">
        <f>R6-Table2[[#This Row],[7F1 Freon System Panel]]</f>
        <v>4060.8000000007451</v>
      </c>
      <c r="FQ5">
        <f>(AE6-Table2[[#This Row],[21F1 Refrigeration Ammonia]])*1000</f>
        <v>7995.1999999993859</v>
      </c>
      <c r="FR5">
        <f>(AW6-Table2[[#This Row],[1F1 Ammonia Refrigeration Room Panel]])*1000</f>
        <v>7.8360000000010643</v>
      </c>
      <c r="FS5">
        <f>(AG6-Table2[[#This Row],[2F3 Air Compressor]])*1000</f>
        <v>1041.9999999999163</v>
      </c>
      <c r="FT5">
        <f>(AX6-Table2[[#This Row],[Solar Reading Panel II]])*1000</f>
        <v>1769.9999999995271</v>
      </c>
      <c r="FU5">
        <f>AI6-Table2[[#This Row],[3F1 Maintenance Workshop]]</f>
        <v>6.5727999999999156</v>
      </c>
      <c r="FV5">
        <f>BD6-Table2[[#This Row],[4F B2B unit ]]</f>
        <v>50.048000000009779</v>
      </c>
      <c r="FW5">
        <f>BL6-Table2[[#This Row],[2F1 - PDB 6 - Bread, B2B section]]</f>
        <v>25.517599999991944</v>
      </c>
      <c r="FX5">
        <f>(CG6-Table2[[#This Row],[9F5 - PDB 14 - Bread Lift]])</f>
        <v>4.1599999999743886</v>
      </c>
      <c r="FY5">
        <f>CJ6-Table2[[#This Row],[PDB - 16 Bread Section]]</f>
        <v>0</v>
      </c>
      <c r="FZ5">
        <f>BU6-Table2[[#This Row],[7F1 Donut Production area]]</f>
        <v>217.72800000000279</v>
      </c>
      <c r="GA5">
        <f>CB6-Table2[[#This Row],[8F5 Donut Ban Bary]]</f>
        <v>58.968000000008033</v>
      </c>
      <c r="GB5">
        <f>CF6-Table2[[#This Row],[9F4 - PDB 13 - Donut Sink Geyser area]]</f>
        <v>14.224000000016531</v>
      </c>
      <c r="GC5">
        <f>BV6-Table2[[#This Row],[7F2 Flour Silo]]</f>
        <v>380</v>
      </c>
      <c r="GD5">
        <f>BY6-Table2[[#This Row],[8F2 ACPDB - 3 SILO Ventilation]]</f>
        <v>49.312000000005355</v>
      </c>
      <c r="GE5">
        <f>J6-Table2[[#This Row],[DG 1010KVA Running Hours]]</f>
        <v>0</v>
      </c>
      <c r="GF5">
        <f>K6-Table2[[#This Row],[DG 1010 KVA Meter Reading]]</f>
        <v>0</v>
      </c>
      <c r="GG5">
        <f>L6-Table2[[#This Row],[GG 1010 KVA Running Hours]]</f>
        <v>0</v>
      </c>
      <c r="GH5">
        <f>M6-Table2[[#This Row],[GG 1010 KVA Meter Reading]]</f>
        <v>0</v>
      </c>
    </row>
    <row r="6" spans="1:190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6">
        <v>7072.82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S7-Table2[[#This Row],[7F2 Traywasher Panel - 1A ( + Old Ck)]]</f>
        <v>3495.679999999702</v>
      </c>
      <c r="DR6">
        <f>X7-Table2[[#This Row],[14F1 Traywasher Panel -1B]]</f>
        <v>243.52000000001863</v>
      </c>
      <c r="DS6">
        <f>AC7-Table2[[#This Row],[16F1 Tray washer Panel for Light]]</f>
        <v>674.07999999960884</v>
      </c>
      <c r="DT6">
        <f>CP7-Table2[[#This Row],[Tray Washer light Panel]]</f>
        <v>201.03999999997905</v>
      </c>
      <c r="DU6">
        <f>CQ7-Table2[[#This Row],[2F1 Tray Washer - 1]]</f>
        <v>1272</v>
      </c>
      <c r="DV6">
        <f>CS7-Table2[[#This Row],[2F5 Destacker]]</f>
        <v>387.8399999999674</v>
      </c>
      <c r="DW6">
        <f>CT7-Table2[[#This Row],[3F1 Metering (TW-1)]]</f>
        <v>3590.1549999997951</v>
      </c>
      <c r="DX6">
        <f>CU7-Table2[[#This Row],[5F1 Metering (TW-2)]]</f>
        <v>245.34700000000885</v>
      </c>
      <c r="DY6">
        <f>CV7-Table2[[#This Row],[6F1 Pre soaker Tray washer]]</f>
        <v>2.3655999999973574</v>
      </c>
      <c r="DZ6">
        <f>CZ7-Table2[[#This Row],[6F5 Vent tray Storage]]</f>
        <v>48.495999999984633</v>
      </c>
      <c r="EA6">
        <f>I7-Table2[[#This Row],[Popeyes Meter ]]</f>
        <v>68.960000000000036</v>
      </c>
      <c r="EB6">
        <f>AZ7-Table2[[#This Row],[2F WH Chiller, Segregation Area]]</f>
        <v>0</v>
      </c>
      <c r="EC6">
        <f>BA7-Table2[[#This Row],[3F1 AC Unit WH dock cooling - 2 Nos]]</f>
        <v>19.480000000001382</v>
      </c>
      <c r="ED6">
        <f>BB7-Table2[[#This Row],[3F2 AC Unit WH dock cooling - 3 Nos]]</f>
        <v>4.9999999999997158E-2</v>
      </c>
      <c r="EE6">
        <f>(BK7-Table2[[#This Row],[5F WH Perishable]])*1000</f>
        <v>322.00000000000273</v>
      </c>
      <c r="EF6">
        <f>BN7-Table2[[#This Row],[2F3 - PDB 9 - WH Dock Leveler Door ]]</f>
        <v>2.0376000000005661</v>
      </c>
      <c r="EG6">
        <f>BP7-Table2[[#This Row],[3F1 - PDB 5 - WH HSD]]</f>
        <v>160.73599999997532</v>
      </c>
      <c r="EH6">
        <f>BX7-Table2[[#This Row],[8F1 WH Dock AHU - Ventilation]]</f>
        <v>3640.0639999998966</v>
      </c>
      <c r="EI6">
        <f>BZ7-Table2[[#This Row],[8F3 ACPDB - 4 WH Dock air curtain]]</f>
        <v>20.711999999999534</v>
      </c>
      <c r="EJ6">
        <f>CA7-Table2[[#This Row],[8F4 WH Light]]</f>
        <v>2.8304999999998017</v>
      </c>
      <c r="EK6">
        <f>CC7-Table2[[#This Row],[9F1 - PDB 10 - WH Dock door &amp; Office]]</f>
        <v>106.67200000002049</v>
      </c>
      <c r="EL6">
        <f>CD7-Table2[[#This Row],[9F2 - PDB 11 - WH flycatchers]]</f>
        <v>184.99200000002747</v>
      </c>
      <c r="EM6">
        <f>CE7-Table2[[#This Row],[9F3 - PDB 12 - Other items]]</f>
        <v>0</v>
      </c>
      <c r="EN6">
        <f>CR7-Table2[[#This Row],[2F3 - PDB 1 - Dock 1 to 4 ]]</f>
        <v>70.911999999996624</v>
      </c>
      <c r="EO6">
        <f>X7-Table2[[#This Row],[14F1 Traywasher Panel -1B]]</f>
        <v>243.52000000001863</v>
      </c>
      <c r="EP6">
        <f>BM7-Table2[[#This Row],[2F2 - PDB 3 - WH Truck &amp; Battery Charging]]</f>
        <v>752.3520000000135</v>
      </c>
      <c r="EQ6">
        <f>(CK7-Table2[[#This Row],[PDB - 11 Truck Charging]])*1000</f>
        <v>56.000000000011596</v>
      </c>
      <c r="ER6">
        <f>P7-Table2[[#This Row],[5F3 Admin Area]]</f>
        <v>376.1919999999227</v>
      </c>
      <c r="ES6">
        <f>AH7-Table2[[#This Row],[2F5 Main Gate-1 Piller -1]]</f>
        <v>150</v>
      </c>
      <c r="ET6">
        <f>CW7-Table2[[#This Row],[6F2 Ground Floor AC]]</f>
        <v>24.499199999998382</v>
      </c>
      <c r="EU6">
        <f>CX7-Table2[[#This Row],[6F3 ACBD -1 (First floor AC)]]</f>
        <v>16.387199999997392</v>
      </c>
      <c r="EV6">
        <f>CY7-Table2[[#This Row],[6F4 ACBD - 2 (Second &amp; Third floor AC)]]</f>
        <v>114.47899999999208</v>
      </c>
      <c r="EW6">
        <f>(BC7-Table2[[#This Row],[4F Old BMC cooling Unit]])</f>
        <v>5.4720000000088476</v>
      </c>
      <c r="EX6">
        <f>BO7-Table2[[#This Row],[2F4 - Old BMC]]</f>
        <v>1.3340000000025611</v>
      </c>
      <c r="EY6">
        <f>Y7-Table2[[#This Row],[14F2 New CK]]</f>
        <v>717.5999999998603</v>
      </c>
      <c r="EZ6">
        <f>(CL7-Table2[[#This Row],[OLD Ck Panel-1]])*1000</f>
        <v>417.00000000003001</v>
      </c>
      <c r="FA6">
        <f>CM7-Table2[[#This Row],[2F4 Old CK Blast (Blue star)]]</f>
        <v>0</v>
      </c>
      <c r="FB6">
        <f>CN7-Table2[[#This Row],[3F6 Old CK Blast (Carrier)]]</f>
        <v>0</v>
      </c>
      <c r="FC6">
        <f>(CO7-Table2[[#This Row],[Old CK Panel -2]])*1000</f>
        <v>1112.00000000008</v>
      </c>
      <c r="FD6">
        <f>N7-Table2[[#This Row],[4F1 Main UPS 1/C -1]]</f>
        <v>902.4000000001397</v>
      </c>
      <c r="FE6">
        <f>Z7-Table2[[#This Row],[15F1 Main UPS Panel - I/C - 2]]</f>
        <v>0</v>
      </c>
      <c r="FF6">
        <f>BF7-Table2[[#This Row],[2F CLC -1 AC unit - 2]]</f>
        <v>0</v>
      </c>
      <c r="FG6">
        <f>(BG7-Table2[[#This Row],[2F CLC Anti room]])*1000</f>
        <v>31.000000000005912</v>
      </c>
      <c r="FH6">
        <f>BW7-Table2[[#This Row],[7F3 CLC Power Panel]]</f>
        <v>247.35999999998603</v>
      </c>
      <c r="FI6">
        <f>(CI7-Table2[[#This Row],[PDB - 17 CLC Section ]])*1000</f>
        <v>166.99999999997317</v>
      </c>
      <c r="FJ6">
        <f>(W7-Table2[[#This Row],[13F3 Water &amp; Lift Old CK]])*1000</f>
        <v>305.39999999996326</v>
      </c>
      <c r="FK6">
        <f>AA7-Table2[[#This Row],[15F2 New ETP Panel]]</f>
        <v>279.35999999998603</v>
      </c>
      <c r="FL6">
        <f>AL7-Table2[[#This Row],[3F4 Old ETP Panel]]</f>
        <v>74.048000000009779</v>
      </c>
      <c r="FM6">
        <f>AF7-Table2[[#This Row],[2F1 RO Plant]]</f>
        <v>600.95999999996275</v>
      </c>
      <c r="FN6">
        <f>AK7-Table2[[#This Row],[3F3 Fire Hydrant Panel]]</f>
        <v>18.37599999998929</v>
      </c>
      <c r="FO6">
        <f>O7-Table2[[#This Row],[5F1 Utility]]</f>
        <v>2050.2400000002235</v>
      </c>
      <c r="FP6">
        <f>R7-Table2[[#This Row],[7F1 Freon System Panel]]</f>
        <v>5363.519999999553</v>
      </c>
      <c r="FQ6">
        <f>(AE7-Table2[[#This Row],[21F1 Refrigeration Ammonia]])*1000</f>
        <v>7549.6000000002823</v>
      </c>
      <c r="FR6">
        <f>(AW7-Table2[[#This Row],[1F1 Ammonia Refrigeration Room Panel]])*1000</f>
        <v>7.3420000000012919</v>
      </c>
      <c r="FS6">
        <f>(AG7-Table2[[#This Row],[2F3 Air Compressor]])*1000</f>
        <v>1518.0000000000291</v>
      </c>
      <c r="FT6">
        <f>(AX7-Table2[[#This Row],[Solar Reading Panel II]])*1000</f>
        <v>2119.9999999998909</v>
      </c>
      <c r="FU6">
        <f>AI7-Table2[[#This Row],[3F1 Maintenance Workshop]]</f>
        <v>6.4367999999994936</v>
      </c>
      <c r="FV6">
        <f>BD7-Table2[[#This Row],[4F B2B unit ]]</f>
        <v>55.008000000030734</v>
      </c>
      <c r="FW6">
        <f>BL7-Table2[[#This Row],[2F1 - PDB 6 - Bread, B2B section]]</f>
        <v>28.767999999996391</v>
      </c>
      <c r="FX6">
        <f>(CG7-Table2[[#This Row],[9F5 - PDB 14 - Bread Lift]])</f>
        <v>-324664.71359999996</v>
      </c>
      <c r="FY6">
        <f>CJ7-Table2[[#This Row],[PDB - 16 Bread Section]]</f>
        <v>0</v>
      </c>
      <c r="FZ6">
        <f>BU7-Table2[[#This Row],[7F1 Donut Production area]]</f>
        <v>253.0559999999823</v>
      </c>
      <c r="GA6">
        <f>CB7-Table2[[#This Row],[8F5 Donut Ban Bary]]</f>
        <v>59.711999999999534</v>
      </c>
      <c r="GB6">
        <f>CF7-Table2[[#This Row],[9F4 - PDB 13 - Donut Sink Geyser area]]</f>
        <v>26.335999999981141</v>
      </c>
      <c r="GC6">
        <f>BV7-Table2[[#This Row],[7F2 Flour Silo]]</f>
        <v>371.52000000001863</v>
      </c>
      <c r="GD6">
        <f>BY7-Table2[[#This Row],[8F2 ACPDB - 3 SILO Ventilation]]</f>
        <v>49.823999999993248</v>
      </c>
      <c r="GE6">
        <f>J7-Table2[[#This Row],[DG 1010KVA Running Hours]]</f>
        <v>0.8000000000001819</v>
      </c>
      <c r="GF6">
        <f>K7-Table2[[#This Row],[DG 1010 KVA Meter Reading]]</f>
        <v>413</v>
      </c>
      <c r="GG6">
        <f>L7-Table2[[#This Row],[GG 1010 KVA Running Hours]]</f>
        <v>1</v>
      </c>
      <c r="GH6">
        <f>M7-Table2[[#This Row],[GG 1010 KVA Meter Reading]]</f>
        <v>0.43999999999999773</v>
      </c>
    </row>
    <row r="7" spans="1:190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6">
        <v>7074.94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6">
        <v>36074.294399999999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322</v>
      </c>
      <c r="DH7" s="4">
        <f>Table2[[#This Row],[Date]]</f>
        <v>46205</v>
      </c>
      <c r="DI7">
        <f>(DD8-Table2[[#This Row],[MWH Total]])*4000</f>
        <v>-11383120</v>
      </c>
      <c r="DJ7">
        <f>(DA8-Table2[[#This Row],[PNG Meter (Outside)]])*2.936</f>
        <v>-51613.235839999994</v>
      </c>
      <c r="DK7">
        <f>(DB8-Table2[[#This Row],[PNG Meter (Inside)]])*2.936</f>
        <v>-431689.05241600005</v>
      </c>
      <c r="DL7">
        <f>(BH8-Table2[[#This Row],[3F Dough cooler - 2 ]])*1000</f>
        <v>-353341</v>
      </c>
      <c r="DM7">
        <f>(BI8-Table2[[#This Row],[3F Dough Cooler- 1]])*1000</f>
        <v>-899909</v>
      </c>
      <c r="DN7">
        <f>(BJ8-Table2[[#This Row],[4F Dough Production cooling Unit]])*1000</f>
        <v>-13160</v>
      </c>
      <c r="DO7">
        <f>(BQ8-Table2[[#This Row],[3F2 - PDB 3 - Dough Production Area]])*1000</f>
        <v>-318642</v>
      </c>
      <c r="DP7">
        <f>(BR8-Table2[[#This Row],[3F3 - PDB 4 - Dough Area]])*1000</f>
        <v>-177570</v>
      </c>
      <c r="DQ7">
        <f>S8-Table2[[#This Row],[7F2 Traywasher Panel - 1A ( + Old Ck)]]</f>
        <v>-7259189.1200000001</v>
      </c>
      <c r="DR7">
        <f>X8-Table2[[#This Row],[14F1 Traywasher Panel -1B]]</f>
        <v>-764943.93599999999</v>
      </c>
      <c r="DS7">
        <f>AC8-Table2[[#This Row],[16F1 Tray washer Panel for Light]]</f>
        <v>-2115428.3199999998</v>
      </c>
      <c r="DT7">
        <f>CP8-Table2[[#This Row],[Tray Washer light Panel]]</f>
        <v>-289607.09999999998</v>
      </c>
      <c r="DU7">
        <f>CQ8-Table2[[#This Row],[2F1 Tray Washer - 1]]</f>
        <v>-3647556.8</v>
      </c>
      <c r="DV7">
        <f>CS8-Table2[[#This Row],[2F5 Destacker]]</f>
        <v>-504157.92</v>
      </c>
      <c r="DW7">
        <f>CT8-Table2[[#This Row],[3F1 Metering (TW-1)]]</f>
        <v>-2829247.9309999999</v>
      </c>
      <c r="DX7">
        <f>CU8-Table2[[#This Row],[5F1 Metering (TW-2)]]</f>
        <v>-290224.90600000002</v>
      </c>
      <c r="DY7">
        <f>CV8-Table2[[#This Row],[6F1 Pre soaker Tray washer]]</f>
        <v>-30108.432799999999</v>
      </c>
      <c r="DZ7">
        <f>CZ8-Table2[[#This Row],[6F5 Vent tray Storage]]</f>
        <v>-215700.8</v>
      </c>
      <c r="EA7">
        <f>I8-Table2[[#This Row],[Popeyes Meter ]]</f>
        <v>-5284.482</v>
      </c>
      <c r="EB7">
        <f>AZ8-Table2[[#This Row],[2F WH Chiller, Segregation Area]]</f>
        <v>-20.788</v>
      </c>
      <c r="EC7">
        <f>BA8-Table2[[#This Row],[3F1 AC Unit WH dock cooling - 2 Nos]]</f>
        <v>-9737.7270000000008</v>
      </c>
      <c r="ED7">
        <f>BB8-Table2[[#This Row],[3F2 AC Unit WH dock cooling - 3 Nos]]</f>
        <v>-43.283999999999999</v>
      </c>
      <c r="EE7">
        <f>(BK8-Table2[[#This Row],[5F WH Perishable]])*1000</f>
        <v>-554791</v>
      </c>
      <c r="EF7">
        <f>BN8-Table2[[#This Row],[2F3 - PDB 9 - WH Dock Leveler Door ]]</f>
        <v>-7107.3680000000004</v>
      </c>
      <c r="EG7">
        <f>BP8-Table2[[#This Row],[3F1 - PDB 5 - WH HSD]]</f>
        <v>-310066.81599999999</v>
      </c>
      <c r="EH7">
        <f>BX8-Table2[[#This Row],[8F1 WH Dock AHU - Ventilation]]</f>
        <v>-919000.32</v>
      </c>
      <c r="EI7">
        <f>BZ8-Table2[[#This Row],[8F3 ACPDB - 4 WH Dock air curtain]]</f>
        <v>-114085.664</v>
      </c>
      <c r="EJ7">
        <f>CA8-Table2[[#This Row],[8F4 WH Light]]</f>
        <v>-1156.8427999999999</v>
      </c>
      <c r="EK7">
        <f>CC8-Table2[[#This Row],[9F1 - PDB 10 - WH Dock door &amp; Office]]</f>
        <v>-146839.18400000001</v>
      </c>
      <c r="EL7">
        <f>CD8-Table2[[#This Row],[9F2 - PDB 11 - WH flycatchers]]</f>
        <v>-440795.45600000001</v>
      </c>
      <c r="EM7">
        <f>CE8-Table2[[#This Row],[9F3 - PDB 12 - Other items]]</f>
        <v>-49125.260799999996</v>
      </c>
      <c r="EN7">
        <f>CR8-Table2[[#This Row],[2F3 - PDB 1 - Dock 1 to 4 ]]</f>
        <v>-129000.75199999999</v>
      </c>
      <c r="EO7">
        <f>X8-Table2[[#This Row],[14F1 Traywasher Panel -1B]]</f>
        <v>-764943.93599999999</v>
      </c>
      <c r="EP7">
        <f>BM8-Table2[[#This Row],[2F2 - PDB 3 - WH Truck &amp; Battery Charging]]</f>
        <v>-293511.84000000003</v>
      </c>
      <c r="EQ7">
        <f>(CK8-Table2[[#This Row],[PDB - 11 Truck Charging]])*1000</f>
        <v>-76531</v>
      </c>
      <c r="ER7">
        <f>P8-Table2[[#This Row],[5F3 Admin Area]]</f>
        <v>-632966.07999999996</v>
      </c>
      <c r="ES7">
        <f>AH8-Table2[[#This Row],[2F5 Main Gate-1 Piller -1]]</f>
        <v>-129474.36</v>
      </c>
      <c r="ET7">
        <f>CW8-Table2[[#This Row],[6F2 Ground Floor AC]]</f>
        <v>-61996.896000000001</v>
      </c>
      <c r="EU7">
        <f>CX8-Table2[[#This Row],[6F3 ACBD -1 (First floor AC)]]</f>
        <v>-33116.438399999999</v>
      </c>
      <c r="EV7">
        <f>CY8-Table2[[#This Row],[6F4 ACBD - 2 (Second &amp; Third floor AC)]]</f>
        <v>-163978.432</v>
      </c>
      <c r="EW7">
        <f>(BC8-Table2[[#This Row],[4F Old BMC cooling Unit]])</f>
        <v>-113976.512</v>
      </c>
      <c r="EX7">
        <f>BO8-Table2[[#This Row],[2F4 - Old BMC]]</f>
        <v>-53499.222000000002</v>
      </c>
      <c r="EY7">
        <f>Y8-Table2[[#This Row],[14F2 New CK]]</f>
        <v>-1053184.8799999999</v>
      </c>
      <c r="EZ7">
        <f>(CL8-Table2[[#This Row],[OLD Ck Panel-1]])*1000</f>
        <v>-717116</v>
      </c>
      <c r="FA7">
        <f>CM8-Table2[[#This Row],[2F4 Old CK Blast (Blue star)]]</f>
        <v>-551.4</v>
      </c>
      <c r="FB7">
        <f>CN8-Table2[[#This Row],[3F6 Old CK Blast (Carrier)]]</f>
        <v>-31487.1</v>
      </c>
      <c r="FC7">
        <f>(CO8-Table2[[#This Row],[Old CK Panel -2]])*1000</f>
        <v>-1621874</v>
      </c>
      <c r="FD7">
        <f>N8-Table2[[#This Row],[4F1 Main UPS 1/C -1]]</f>
        <v>-1838934.56</v>
      </c>
      <c r="FE7">
        <f>Z8-Table2[[#This Row],[15F1 Main UPS Panel - I/C - 2]]</f>
        <v>-2777.8894</v>
      </c>
      <c r="FF7">
        <f>BF8-Table2[[#This Row],[2F CLC -1 AC unit - 2]]</f>
        <v>-1712.0419999999999</v>
      </c>
      <c r="FG7">
        <f>(BG8-Table2[[#This Row],[2F CLC Anti room]])*1000</f>
        <v>-74061</v>
      </c>
      <c r="FH7">
        <f>BW8-Table2[[#This Row],[7F3 CLC Power Panel]]</f>
        <v>-561363.90399999998</v>
      </c>
      <c r="FI7">
        <f>(CI8-Table2[[#This Row],[PDB - 17 CLC Section ]])*1000</f>
        <v>-209777</v>
      </c>
      <c r="FJ7">
        <f>(W8-Table2[[#This Row],[13F3 Water &amp; Lift Old CK]])*1000</f>
        <v>-1571142.2</v>
      </c>
      <c r="FK7">
        <f>AA8-Table2[[#This Row],[15F2 New ETP Panel]]</f>
        <v>-659289.728</v>
      </c>
      <c r="FL7">
        <f>AL8-Table2[[#This Row],[3F4 Old ETP Panel]]</f>
        <v>-328201.28000000003</v>
      </c>
      <c r="FM7">
        <f>AF8-Table2[[#This Row],[2F1 RO Plant]]</f>
        <v>-856526.20799999998</v>
      </c>
      <c r="FN7">
        <f>AK8-Table2[[#This Row],[3F3 Fire Hydrant Panel]]</f>
        <v>-104876.90399999999</v>
      </c>
      <c r="FO7">
        <f>O8-Table2[[#This Row],[5F1 Utility]]</f>
        <v>-4541101.12</v>
      </c>
      <c r="FP7">
        <f>R8-Table2[[#This Row],[7F1 Freon System Panel]]</f>
        <v>-5359722.88</v>
      </c>
      <c r="FQ7">
        <f>(AE8-Table2[[#This Row],[21F1 Refrigeration Ammonia]])*1000</f>
        <v>-12578145.6</v>
      </c>
      <c r="FR7">
        <f>(AW8-Table2[[#This Row],[1F1 Ammonia Refrigeration Room Panel]])*1000</f>
        <v>-20703.544000000002</v>
      </c>
      <c r="FS7">
        <f>(AG8-Table2[[#This Row],[2F3 Air Compressor]])*1000</f>
        <v>-1363868</v>
      </c>
      <c r="FT7">
        <f>(AX8-Table2[[#This Row],[Solar Reading Panel II]])*1000</f>
        <v>-7074940</v>
      </c>
      <c r="FU7">
        <f>AI8-Table2[[#This Row],[3F1 Maintenance Workshop]]</f>
        <v>-14458.126399999999</v>
      </c>
      <c r="FV7">
        <f>BD8-Table2[[#This Row],[4F B2B unit ]]</f>
        <v>-274361.28000000003</v>
      </c>
      <c r="FW7">
        <f>BL8-Table2[[#This Row],[2F1 - PDB 6 - Bread, B2B section]]</f>
        <v>-68158.169599999994</v>
      </c>
      <c r="FX7">
        <f>(CG8-Table2[[#This Row],[9F5 - PDB 14 - Bread Lift]])</f>
        <v>-36074.294399999999</v>
      </c>
      <c r="FY7">
        <f>CJ8-Table2[[#This Row],[PDB - 16 Bread Section]]</f>
        <v>-1165.4000000000001</v>
      </c>
      <c r="FZ7">
        <f>BU8-Table2[[#This Row],[7F1 Donut Production area]]</f>
        <v>-622211.58400000003</v>
      </c>
      <c r="GA7">
        <f>CB8-Table2[[#This Row],[8F5 Donut Ban Bary]]</f>
        <v>-106870.67200000001</v>
      </c>
      <c r="GB7">
        <f>CF8-Table2[[#This Row],[9F4 - PDB 13 - Donut Sink Geyser area]]</f>
        <v>-155167.80799999999</v>
      </c>
      <c r="GC7">
        <f>BV8-Table2[[#This Row],[7F2 Flour Silo]]</f>
        <v>-1007664</v>
      </c>
      <c r="GD7">
        <f>BY8-Table2[[#This Row],[8F2 ACPDB - 3 SILO Ventilation]]</f>
        <v>-156141.24799999999</v>
      </c>
      <c r="GE7">
        <f>J8-Table2[[#This Row],[DG 1010KVA Running Hours]]</f>
        <v>-4246</v>
      </c>
      <c r="GF7">
        <f>K8-Table2[[#This Row],[DG 1010 KVA Meter Reading]]</f>
        <v>-1764680</v>
      </c>
      <c r="GG7">
        <f>L8-Table2[[#This Row],[GG 1010 KVA Running Hours]]</f>
        <v>-428</v>
      </c>
      <c r="GH7">
        <f>M8-Table2[[#This Row],[GG 1010 KVA Meter Reading]]</f>
        <v>-178.05</v>
      </c>
    </row>
    <row r="8" spans="1:190" x14ac:dyDescent="0.35">
      <c r="A8" s="1"/>
      <c r="B8" s="2"/>
      <c r="C8" s="2"/>
      <c r="D8" s="1"/>
      <c r="E8" s="1"/>
      <c r="F8" s="1"/>
      <c r="G8" s="3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4">
        <f>Table2[[#This Row],[Date]]</f>
        <v>0</v>
      </c>
      <c r="DI8">
        <f>(DD9-Table2[[#This Row],[MWH Total]])*4000</f>
        <v>0</v>
      </c>
      <c r="DJ8">
        <f>(DA9-Table2[[#This Row],[PNG Meter (Outside)]])*2.936</f>
        <v>0</v>
      </c>
      <c r="DK8">
        <f>(DB9-Table2[[#This Row],[PNG Meter (Inside)]])*2.936</f>
        <v>0</v>
      </c>
      <c r="DL8">
        <f>(BH9-Table2[[#This Row],[3F Dough cooler - 2 ]])*1000</f>
        <v>0</v>
      </c>
      <c r="DM8">
        <f>(BI9-Table2[[#This Row],[3F Dough Cooler- 1]])*1000</f>
        <v>0</v>
      </c>
      <c r="DN8">
        <f>(BJ9-Table2[[#This Row],[4F Dough Production cooling Unit]])*1000</f>
        <v>0</v>
      </c>
      <c r="DO8">
        <f>(BQ9-Table2[[#This Row],[3F2 - PDB 3 - Dough Production Area]])*1000</f>
        <v>0</v>
      </c>
      <c r="DP8">
        <f>(BR9-Table2[[#This Row],[3F3 - PDB 4 - Dough Area]])*1000</f>
        <v>0</v>
      </c>
      <c r="DQ8">
        <f>S9-Table2[[#This Row],[7F2 Traywasher Panel - 1A ( + Old Ck)]]</f>
        <v>0</v>
      </c>
      <c r="DR8">
        <f>X9-Table2[[#This Row],[14F1 Traywasher Panel -1B]]</f>
        <v>0</v>
      </c>
      <c r="DS8">
        <f>AC9-Table2[[#This Row],[16F1 Tray washer Panel for Light]]</f>
        <v>0</v>
      </c>
      <c r="DT8">
        <f>CP9-Table2[[#This Row],[Tray Washer light Panel]]</f>
        <v>0</v>
      </c>
      <c r="DU8">
        <f>CQ9-Table2[[#This Row],[2F1 Tray Washer - 1]]</f>
        <v>0</v>
      </c>
      <c r="DV8">
        <f>CS9-Table2[[#This Row],[2F5 Destacker]]</f>
        <v>0</v>
      </c>
      <c r="DW8">
        <f>CT9-Table2[[#This Row],[3F1 Metering (TW-1)]]</f>
        <v>0</v>
      </c>
      <c r="DX8">
        <f>CU9-Table2[[#This Row],[5F1 Metering (TW-2)]]</f>
        <v>0</v>
      </c>
      <c r="DY8">
        <f>CV9-Table2[[#This Row],[6F1 Pre soaker Tray washer]]</f>
        <v>0</v>
      </c>
      <c r="DZ8">
        <f>CZ9-Table2[[#This Row],[6F5 Vent tray Storage]]</f>
        <v>0</v>
      </c>
      <c r="EA8">
        <f>I9-Table2[[#This Row],[Popeyes Meter ]]</f>
        <v>0</v>
      </c>
      <c r="EB8">
        <f>AZ9-Table2[[#This Row],[2F WH Chiller, Segregation Area]]</f>
        <v>0</v>
      </c>
      <c r="EC8">
        <f>BA9-Table2[[#This Row],[3F1 AC Unit WH dock cooling - 2 Nos]]</f>
        <v>0</v>
      </c>
      <c r="ED8">
        <f>BB9-Table2[[#This Row],[3F2 AC Unit WH dock cooling - 3 Nos]]</f>
        <v>0</v>
      </c>
      <c r="EE8">
        <f>(BK9-Table2[[#This Row],[5F WH Perishable]])*1000</f>
        <v>0</v>
      </c>
      <c r="EF8">
        <f>BN9-Table2[[#This Row],[2F3 - PDB 9 - WH Dock Leveler Door ]]</f>
        <v>0</v>
      </c>
      <c r="EG8">
        <f>BP9-Table2[[#This Row],[3F1 - PDB 5 - WH HSD]]</f>
        <v>0</v>
      </c>
      <c r="EH8">
        <f>BX9-Table2[[#This Row],[8F1 WH Dock AHU - Ventilation]]</f>
        <v>0</v>
      </c>
      <c r="EI8">
        <f>BZ9-Table2[[#This Row],[8F3 ACPDB - 4 WH Dock air curtain]]</f>
        <v>0</v>
      </c>
      <c r="EJ8">
        <f>CA9-Table2[[#This Row],[8F4 WH Light]]</f>
        <v>0</v>
      </c>
      <c r="EK8">
        <f>CC9-Table2[[#This Row],[9F1 - PDB 10 - WH Dock door &amp; Office]]</f>
        <v>0</v>
      </c>
      <c r="EL8">
        <f>CD9-Table2[[#This Row],[9F2 - PDB 11 - WH flycatchers]]</f>
        <v>0</v>
      </c>
      <c r="EM8">
        <f>CE9-Table2[[#This Row],[9F3 - PDB 12 - Other items]]</f>
        <v>0</v>
      </c>
      <c r="EN8">
        <f>CR9-Table2[[#This Row],[2F3 - PDB 1 - Dock 1 to 4 ]]</f>
        <v>0</v>
      </c>
      <c r="EO8">
        <f>X9-Table2[[#This Row],[14F1 Traywasher Panel -1B]]</f>
        <v>0</v>
      </c>
      <c r="EP8">
        <f>BM9-Table2[[#This Row],[2F2 - PDB 3 - WH Truck &amp; Battery Charging]]</f>
        <v>0</v>
      </c>
      <c r="EQ8">
        <f>(CK9-Table2[[#This Row],[PDB - 11 Truck Charging]])*1000</f>
        <v>0</v>
      </c>
      <c r="ER8">
        <f>P9-Table2[[#This Row],[5F3 Admin Area]]</f>
        <v>0</v>
      </c>
      <c r="ES8">
        <f>AH9-Table2[[#This Row],[2F5 Main Gate-1 Piller -1]]</f>
        <v>0</v>
      </c>
      <c r="ET8">
        <f>CW9-Table2[[#This Row],[6F2 Ground Floor AC]]</f>
        <v>0</v>
      </c>
      <c r="EU8">
        <f>CX9-Table2[[#This Row],[6F3 ACBD -1 (First floor AC)]]</f>
        <v>0</v>
      </c>
      <c r="EV8">
        <f>CY9-Table2[[#This Row],[6F4 ACBD - 2 (Second &amp; Third floor AC)]]</f>
        <v>0</v>
      </c>
      <c r="EW8">
        <f>(BC9-Table2[[#This Row],[4F Old BMC cooling Unit]])</f>
        <v>0</v>
      </c>
      <c r="EX8">
        <f>BO9-Table2[[#This Row],[2F4 - Old BMC]]</f>
        <v>0</v>
      </c>
      <c r="EY8">
        <f>Y9-Table2[[#This Row],[14F2 New CK]]</f>
        <v>0</v>
      </c>
      <c r="EZ8">
        <f>(CL9-Table2[[#This Row],[OLD Ck Panel-1]])*1000</f>
        <v>0</v>
      </c>
      <c r="FA8">
        <f>CM9-Table2[[#This Row],[2F4 Old CK Blast (Blue star)]]</f>
        <v>0</v>
      </c>
      <c r="FB8">
        <f>CN9-Table2[[#This Row],[3F6 Old CK Blast (Carrier)]]</f>
        <v>0</v>
      </c>
      <c r="FC8">
        <f>(CO9-Table2[[#This Row],[Old CK Panel -2]])*1000</f>
        <v>0</v>
      </c>
      <c r="FD8">
        <f>N9-Table2[[#This Row],[4F1 Main UPS 1/C -1]]</f>
        <v>0</v>
      </c>
      <c r="FE8">
        <f>Z9-Table2[[#This Row],[15F1 Main UPS Panel - I/C - 2]]</f>
        <v>0</v>
      </c>
      <c r="FF8">
        <f>BF9-Table2[[#This Row],[2F CLC -1 AC unit - 2]]</f>
        <v>0</v>
      </c>
      <c r="FG8">
        <f>(BG9-Table2[[#This Row],[2F CLC Anti room]])*1000</f>
        <v>0</v>
      </c>
      <c r="FH8">
        <f>BW9-Table2[[#This Row],[7F3 CLC Power Panel]]</f>
        <v>0</v>
      </c>
      <c r="FI8">
        <f>(CI9-Table2[[#This Row],[PDB - 17 CLC Section ]])*1000</f>
        <v>0</v>
      </c>
      <c r="FJ8">
        <f>(W9-Table2[[#This Row],[13F3 Water &amp; Lift Old CK]])*1000</f>
        <v>0</v>
      </c>
      <c r="FK8">
        <f>AA9-Table2[[#This Row],[15F2 New ETP Panel]]</f>
        <v>0</v>
      </c>
      <c r="FL8">
        <f>AL9-Table2[[#This Row],[3F4 Old ETP Panel]]</f>
        <v>0</v>
      </c>
      <c r="FM8">
        <f>AF9-Table2[[#This Row],[2F1 RO Plant]]</f>
        <v>0</v>
      </c>
      <c r="FN8">
        <f>AK9-Table2[[#This Row],[3F3 Fire Hydrant Panel]]</f>
        <v>0</v>
      </c>
      <c r="FO8">
        <f>O9-Table2[[#This Row],[5F1 Utility]]</f>
        <v>0</v>
      </c>
      <c r="FP8">
        <f>R9-Table2[[#This Row],[7F1 Freon System Panel]]</f>
        <v>0</v>
      </c>
      <c r="FQ8">
        <f>(AE9-Table2[[#This Row],[21F1 Refrigeration Ammonia]])*1000</f>
        <v>0</v>
      </c>
      <c r="FR8">
        <f>(AW9-Table2[[#This Row],[1F1 Ammonia Refrigeration Room Panel]])*1000</f>
        <v>0</v>
      </c>
      <c r="FS8">
        <f>(AG9-Table2[[#This Row],[2F3 Air Compressor]])*1000</f>
        <v>0</v>
      </c>
      <c r="FT8">
        <f>(AX9-Table2[[#This Row],[Solar Reading Panel II]])*1000</f>
        <v>0</v>
      </c>
      <c r="FU8">
        <f>AI9-Table2[[#This Row],[3F1 Maintenance Workshop]]</f>
        <v>0</v>
      </c>
      <c r="FV8">
        <f>BD9-Table2[[#This Row],[4F B2B unit ]]</f>
        <v>0</v>
      </c>
      <c r="FW8">
        <f>BL9-Table2[[#This Row],[2F1 - PDB 6 - Bread, B2B section]]</f>
        <v>0</v>
      </c>
      <c r="FX8">
        <f>(CG9-Table2[[#This Row],[9F5 - PDB 14 - Bread Lift]])</f>
        <v>0</v>
      </c>
      <c r="FY8">
        <f>CJ9-Table2[[#This Row],[PDB - 16 Bread Section]]</f>
        <v>0</v>
      </c>
      <c r="FZ8">
        <f>BU9-Table2[[#This Row],[7F1 Donut Production area]]</f>
        <v>0</v>
      </c>
      <c r="GA8">
        <f>CB9-Table2[[#This Row],[8F5 Donut Ban Bary]]</f>
        <v>0</v>
      </c>
      <c r="GB8">
        <f>CF9-Table2[[#This Row],[9F4 - PDB 13 - Donut Sink Geyser area]]</f>
        <v>0</v>
      </c>
      <c r="GC8">
        <f>BV9-Table2[[#This Row],[7F2 Flour Silo]]</f>
        <v>0</v>
      </c>
      <c r="GD8">
        <f>BY9-Table2[[#This Row],[8F2 ACPDB - 3 SILO Ventilation]]</f>
        <v>0</v>
      </c>
      <c r="GE8">
        <f>J9-Table2[[#This Row],[DG 1010KVA Running Hours]]</f>
        <v>0</v>
      </c>
      <c r="GF8">
        <f>K9-Table2[[#This Row],[DG 1010 KVA Meter Reading]]</f>
        <v>0</v>
      </c>
      <c r="GG8">
        <f>L9-Table2[[#This Row],[GG 1010 KVA Running Hours]]</f>
        <v>0</v>
      </c>
      <c r="GH8">
        <f>M9-Table2[[#This Row],[GG 1010 KVA Meter Reading]]</f>
        <v>0</v>
      </c>
    </row>
    <row r="9" spans="1:190" x14ac:dyDescent="0.35">
      <c r="A9" s="1"/>
      <c r="B9" s="2"/>
      <c r="C9" s="2"/>
      <c r="D9" s="1"/>
      <c r="E9" s="1"/>
      <c r="F9" s="1"/>
      <c r="G9" s="3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4">
        <f>Table2[[#This Row],[Date]]</f>
        <v>0</v>
      </c>
      <c r="DI9">
        <f>(DD10-Table2[[#This Row],[MWH Total]])*4000</f>
        <v>0</v>
      </c>
      <c r="DJ9">
        <f>(DA10-Table2[[#This Row],[PNG Meter (Outside)]])*2.936</f>
        <v>0</v>
      </c>
      <c r="DK9">
        <f>(DB10-Table2[[#This Row],[PNG Meter (Inside)]])*2.936</f>
        <v>0</v>
      </c>
      <c r="DL9">
        <f>(BH10-Table2[[#This Row],[3F Dough cooler - 2 ]])*1000</f>
        <v>0</v>
      </c>
      <c r="DM9">
        <f>(BI10-Table2[[#This Row],[3F Dough Cooler- 1]])*1000</f>
        <v>0</v>
      </c>
      <c r="DN9">
        <f>(BJ10-Table2[[#This Row],[4F Dough Production cooling Unit]])*1000</f>
        <v>0</v>
      </c>
      <c r="DO9">
        <f>(BQ10-Table2[[#This Row],[3F2 - PDB 3 - Dough Production Area]])*1000</f>
        <v>0</v>
      </c>
      <c r="DP9">
        <f>(BR10-Table2[[#This Row],[3F3 - PDB 4 - Dough Area]])*1000</f>
        <v>0</v>
      </c>
      <c r="DQ9">
        <f>S10-Table2[[#This Row],[7F2 Traywasher Panel - 1A ( + Old Ck)]]</f>
        <v>0</v>
      </c>
      <c r="DR9">
        <f>X10-Table2[[#This Row],[14F1 Traywasher Panel -1B]]</f>
        <v>0</v>
      </c>
      <c r="DS9">
        <f>AC10-Table2[[#This Row],[16F1 Tray washer Panel for Light]]</f>
        <v>0</v>
      </c>
      <c r="DT9">
        <f>CP10-Table2[[#This Row],[Tray Washer light Panel]]</f>
        <v>0</v>
      </c>
      <c r="DU9">
        <f>CQ10-Table2[[#This Row],[2F1 Tray Washer - 1]]</f>
        <v>0</v>
      </c>
      <c r="DV9">
        <f>CS10-Table2[[#This Row],[2F5 Destacker]]</f>
        <v>0</v>
      </c>
      <c r="DW9">
        <f>CT10-Table2[[#This Row],[3F1 Metering (TW-1)]]</f>
        <v>0</v>
      </c>
      <c r="DX9">
        <f>CU10-Table2[[#This Row],[5F1 Metering (TW-2)]]</f>
        <v>0</v>
      </c>
      <c r="DY9">
        <f>CV10-Table2[[#This Row],[6F1 Pre soaker Tray washer]]</f>
        <v>0</v>
      </c>
      <c r="DZ9">
        <f>CZ10-Table2[[#This Row],[6F5 Vent tray Storage]]</f>
        <v>0</v>
      </c>
      <c r="EA9">
        <f>I10-Table2[[#This Row],[Popeyes Meter ]]</f>
        <v>0</v>
      </c>
      <c r="EB9">
        <f>AZ10-Table2[[#This Row],[2F WH Chiller, Segregation Area]]</f>
        <v>0</v>
      </c>
      <c r="EC9">
        <f>BA10-Table2[[#This Row],[3F1 AC Unit WH dock cooling - 2 Nos]]</f>
        <v>0</v>
      </c>
      <c r="ED9">
        <f>BB10-Table2[[#This Row],[3F2 AC Unit WH dock cooling - 3 Nos]]</f>
        <v>0</v>
      </c>
      <c r="EE9">
        <f>(BK10-Table2[[#This Row],[5F WH Perishable]])*1000</f>
        <v>0</v>
      </c>
      <c r="EF9">
        <f>BN10-Table2[[#This Row],[2F3 - PDB 9 - WH Dock Leveler Door ]]</f>
        <v>0</v>
      </c>
      <c r="EG9">
        <f>BP10-Table2[[#This Row],[3F1 - PDB 5 - WH HSD]]</f>
        <v>0</v>
      </c>
      <c r="EH9">
        <f>BX10-Table2[[#This Row],[8F1 WH Dock AHU - Ventilation]]</f>
        <v>0</v>
      </c>
      <c r="EI9">
        <f>BZ10-Table2[[#This Row],[8F3 ACPDB - 4 WH Dock air curtain]]</f>
        <v>0</v>
      </c>
      <c r="EJ9">
        <f>CA10-Table2[[#This Row],[8F4 WH Light]]</f>
        <v>0</v>
      </c>
      <c r="EK9">
        <f>CC10-Table2[[#This Row],[9F1 - PDB 10 - WH Dock door &amp; Office]]</f>
        <v>0</v>
      </c>
      <c r="EL9">
        <f>CD10-Table2[[#This Row],[9F2 - PDB 11 - WH flycatchers]]</f>
        <v>0</v>
      </c>
      <c r="EM9">
        <f>CE10-Table2[[#This Row],[9F3 - PDB 12 - Other items]]</f>
        <v>0</v>
      </c>
      <c r="EN9">
        <f>CR10-Table2[[#This Row],[2F3 - PDB 1 - Dock 1 to 4 ]]</f>
        <v>0</v>
      </c>
      <c r="EO9">
        <f>X10-Table2[[#This Row],[14F1 Traywasher Panel -1B]]</f>
        <v>0</v>
      </c>
      <c r="EP9">
        <f>BM10-Table2[[#This Row],[2F2 - PDB 3 - WH Truck &amp; Battery Charging]]</f>
        <v>0</v>
      </c>
      <c r="EQ9">
        <f>(CK10-Table2[[#This Row],[PDB - 11 Truck Charging]])*1000</f>
        <v>0</v>
      </c>
      <c r="ER9">
        <f>P10-Table2[[#This Row],[5F3 Admin Area]]</f>
        <v>0</v>
      </c>
      <c r="ES9">
        <f>AH10-Table2[[#This Row],[2F5 Main Gate-1 Piller -1]]</f>
        <v>0</v>
      </c>
      <c r="ET9">
        <f>CW10-Table2[[#This Row],[6F2 Ground Floor AC]]</f>
        <v>0</v>
      </c>
      <c r="EU9">
        <f>CX10-Table2[[#This Row],[6F3 ACBD -1 (First floor AC)]]</f>
        <v>0</v>
      </c>
      <c r="EV9">
        <f>CY10-Table2[[#This Row],[6F4 ACBD - 2 (Second &amp; Third floor AC)]]</f>
        <v>0</v>
      </c>
      <c r="EW9">
        <f>(BC10-Table2[[#This Row],[4F Old BMC cooling Unit]])</f>
        <v>0</v>
      </c>
      <c r="EX9">
        <f>BO10-Table2[[#This Row],[2F4 - Old BMC]]</f>
        <v>0</v>
      </c>
      <c r="EY9">
        <f>Y10-Table2[[#This Row],[14F2 New CK]]</f>
        <v>0</v>
      </c>
      <c r="EZ9">
        <f>(CL10-Table2[[#This Row],[OLD Ck Panel-1]])*1000</f>
        <v>0</v>
      </c>
      <c r="FA9">
        <f>CM10-Table2[[#This Row],[2F4 Old CK Blast (Blue star)]]</f>
        <v>0</v>
      </c>
      <c r="FB9">
        <f>CN10-Table2[[#This Row],[3F6 Old CK Blast (Carrier)]]</f>
        <v>0</v>
      </c>
      <c r="FC9">
        <f>(CO10-Table2[[#This Row],[Old CK Panel -2]])*1000</f>
        <v>0</v>
      </c>
      <c r="FD9">
        <f>N10-Table2[[#This Row],[4F1 Main UPS 1/C -1]]</f>
        <v>0</v>
      </c>
      <c r="FE9">
        <f>Z10-Table2[[#This Row],[15F1 Main UPS Panel - I/C - 2]]</f>
        <v>0</v>
      </c>
      <c r="FF9">
        <f>BF10-Table2[[#This Row],[2F CLC -1 AC unit - 2]]</f>
        <v>0</v>
      </c>
      <c r="FG9">
        <f>(BG10-Table2[[#This Row],[2F CLC Anti room]])*1000</f>
        <v>0</v>
      </c>
      <c r="FH9">
        <f>BW10-Table2[[#This Row],[7F3 CLC Power Panel]]</f>
        <v>0</v>
      </c>
      <c r="FI9">
        <f>(CI10-Table2[[#This Row],[PDB - 17 CLC Section ]])*1000</f>
        <v>0</v>
      </c>
      <c r="FJ9">
        <f>(W10-Table2[[#This Row],[13F3 Water &amp; Lift Old CK]])*1000</f>
        <v>0</v>
      </c>
      <c r="FK9">
        <f>AA10-Table2[[#This Row],[15F2 New ETP Panel]]</f>
        <v>0</v>
      </c>
      <c r="FL9">
        <f>AL10-Table2[[#This Row],[3F4 Old ETP Panel]]</f>
        <v>0</v>
      </c>
      <c r="FM9">
        <f>AF10-Table2[[#This Row],[2F1 RO Plant]]</f>
        <v>0</v>
      </c>
      <c r="FN9">
        <f>AK10-Table2[[#This Row],[3F3 Fire Hydrant Panel]]</f>
        <v>0</v>
      </c>
      <c r="FO9">
        <f>O10-Table2[[#This Row],[5F1 Utility]]</f>
        <v>0</v>
      </c>
      <c r="FP9">
        <f>R10-Table2[[#This Row],[7F1 Freon System Panel]]</f>
        <v>0</v>
      </c>
      <c r="FQ9">
        <f>(AE10-Table2[[#This Row],[21F1 Refrigeration Ammonia]])*1000</f>
        <v>0</v>
      </c>
      <c r="FR9">
        <f>(AW10-Table2[[#This Row],[1F1 Ammonia Refrigeration Room Panel]])*1000</f>
        <v>0</v>
      </c>
      <c r="FS9">
        <f>(AG10-Table2[[#This Row],[2F3 Air Compressor]])*1000</f>
        <v>0</v>
      </c>
      <c r="FT9">
        <f>(AX10-Table2[[#This Row],[Solar Reading Panel II]])*1000</f>
        <v>0</v>
      </c>
      <c r="FU9">
        <f>AI10-Table2[[#This Row],[3F1 Maintenance Workshop]]</f>
        <v>0</v>
      </c>
      <c r="FV9">
        <f>BD10-Table2[[#This Row],[4F B2B unit ]]</f>
        <v>0</v>
      </c>
      <c r="FW9">
        <f>BL10-Table2[[#This Row],[2F1 - PDB 6 - Bread, B2B section]]</f>
        <v>0</v>
      </c>
      <c r="FX9">
        <f>(CG10-Table2[[#This Row],[9F5 - PDB 14 - Bread Lift]])</f>
        <v>0</v>
      </c>
      <c r="FY9">
        <f>CJ10-Table2[[#This Row],[PDB - 16 Bread Section]]</f>
        <v>0</v>
      </c>
      <c r="FZ9">
        <f>BU10-Table2[[#This Row],[7F1 Donut Production area]]</f>
        <v>0</v>
      </c>
      <c r="GA9">
        <f>CB10-Table2[[#This Row],[8F5 Donut Ban Bary]]</f>
        <v>0</v>
      </c>
      <c r="GB9">
        <f>CF10-Table2[[#This Row],[9F4 - PDB 13 - Donut Sink Geyser area]]</f>
        <v>0</v>
      </c>
      <c r="GC9">
        <f>BV10-Table2[[#This Row],[7F2 Flour Silo]]</f>
        <v>0</v>
      </c>
      <c r="GD9">
        <f>BY10-Table2[[#This Row],[8F2 ACPDB - 3 SILO Ventilation]]</f>
        <v>0</v>
      </c>
      <c r="GE9">
        <f>J10-Table2[[#This Row],[DG 1010KVA Running Hours]]</f>
        <v>0</v>
      </c>
      <c r="GF9">
        <f>K10-Table2[[#This Row],[DG 1010 KVA Meter Reading]]</f>
        <v>0</v>
      </c>
      <c r="GG9">
        <f>L10-Table2[[#This Row],[GG 1010 KVA Running Hours]]</f>
        <v>0</v>
      </c>
      <c r="GH9">
        <f>M10-Table2[[#This Row],[GG 1010 KVA Meter Reading]]</f>
        <v>0</v>
      </c>
    </row>
    <row r="10" spans="1:190" x14ac:dyDescent="0.35">
      <c r="A10" s="1"/>
      <c r="B10" s="2"/>
      <c r="C10" s="2"/>
      <c r="D10" s="1"/>
      <c r="E10" s="1"/>
      <c r="F10" s="1"/>
      <c r="G10" s="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4">
        <f>Table2[[#This Row],[Date]]</f>
        <v>0</v>
      </c>
      <c r="DI10">
        <f>(DD11-Table2[[#This Row],[MWH Total]])*4000</f>
        <v>0</v>
      </c>
      <c r="DJ10">
        <f>(DA11-Table2[[#This Row],[PNG Meter (Outside)]])*2.936</f>
        <v>0</v>
      </c>
      <c r="DK10">
        <f>(DB11-Table2[[#This Row],[PNG Meter (Inside)]])*2.936</f>
        <v>0</v>
      </c>
      <c r="DL10">
        <f>(BH11-Table2[[#This Row],[3F Dough cooler - 2 ]])*1000</f>
        <v>0</v>
      </c>
      <c r="DM10">
        <f>(BI11-Table2[[#This Row],[3F Dough Cooler- 1]])*1000</f>
        <v>0</v>
      </c>
      <c r="DN10">
        <f>(BJ11-Table2[[#This Row],[4F Dough Production cooling Unit]])*1000</f>
        <v>0</v>
      </c>
      <c r="DO10">
        <f>(BQ11-Table2[[#This Row],[3F2 - PDB 3 - Dough Production Area]])*1000</f>
        <v>0</v>
      </c>
      <c r="DP10">
        <f>(BR11-Table2[[#This Row],[3F3 - PDB 4 - Dough Area]])*1000</f>
        <v>0</v>
      </c>
      <c r="DQ10">
        <f>S11-Table2[[#This Row],[7F2 Traywasher Panel - 1A ( + Old Ck)]]</f>
        <v>0</v>
      </c>
      <c r="DR10">
        <f>X11-Table2[[#This Row],[14F1 Traywasher Panel -1B]]</f>
        <v>0</v>
      </c>
      <c r="DS10">
        <f>AC11-Table2[[#This Row],[16F1 Tray washer Panel for Light]]</f>
        <v>0</v>
      </c>
      <c r="DT10">
        <f>CP11-Table2[[#This Row],[Tray Washer light Panel]]</f>
        <v>0</v>
      </c>
      <c r="DU10">
        <f>CQ11-Table2[[#This Row],[2F1 Tray Washer - 1]]</f>
        <v>0</v>
      </c>
      <c r="DV10">
        <f>CS11-Table2[[#This Row],[2F5 Destacker]]</f>
        <v>0</v>
      </c>
      <c r="DW10">
        <f>CT11-Table2[[#This Row],[3F1 Metering (TW-1)]]</f>
        <v>0</v>
      </c>
      <c r="DX10">
        <f>CU11-Table2[[#This Row],[5F1 Metering (TW-2)]]</f>
        <v>0</v>
      </c>
      <c r="DY10">
        <f>CV11-Table2[[#This Row],[6F1 Pre soaker Tray washer]]</f>
        <v>0</v>
      </c>
      <c r="DZ10">
        <f>CZ11-Table2[[#This Row],[6F5 Vent tray Storage]]</f>
        <v>0</v>
      </c>
      <c r="EA10">
        <f>I11-Table2[[#This Row],[Popeyes Meter ]]</f>
        <v>0</v>
      </c>
      <c r="EB10">
        <f>AZ11-Table2[[#This Row],[2F WH Chiller, Segregation Area]]</f>
        <v>0</v>
      </c>
      <c r="EC10">
        <f>BA11-Table2[[#This Row],[3F1 AC Unit WH dock cooling - 2 Nos]]</f>
        <v>0</v>
      </c>
      <c r="ED10">
        <f>BB11-Table2[[#This Row],[3F2 AC Unit WH dock cooling - 3 Nos]]</f>
        <v>0</v>
      </c>
      <c r="EE10">
        <f>(BK11-Table2[[#This Row],[5F WH Perishable]])*1000</f>
        <v>0</v>
      </c>
      <c r="EF10">
        <f>BN11-Table2[[#This Row],[2F3 - PDB 9 - WH Dock Leveler Door ]]</f>
        <v>0</v>
      </c>
      <c r="EG10">
        <f>BP11-Table2[[#This Row],[3F1 - PDB 5 - WH HSD]]</f>
        <v>0</v>
      </c>
      <c r="EH10">
        <f>BX11-Table2[[#This Row],[8F1 WH Dock AHU - Ventilation]]</f>
        <v>0</v>
      </c>
      <c r="EI10">
        <f>BZ11-Table2[[#This Row],[8F3 ACPDB - 4 WH Dock air curtain]]</f>
        <v>0</v>
      </c>
      <c r="EJ10">
        <f>CA11-Table2[[#This Row],[8F4 WH Light]]</f>
        <v>0</v>
      </c>
      <c r="EK10">
        <f>CC11-Table2[[#This Row],[9F1 - PDB 10 - WH Dock door &amp; Office]]</f>
        <v>0</v>
      </c>
      <c r="EL10">
        <f>CD11-Table2[[#This Row],[9F2 - PDB 11 - WH flycatchers]]</f>
        <v>0</v>
      </c>
      <c r="EM10">
        <f>CE11-Table2[[#This Row],[9F3 - PDB 12 - Other items]]</f>
        <v>0</v>
      </c>
      <c r="EN10">
        <f>CR11-Table2[[#This Row],[2F3 - PDB 1 - Dock 1 to 4 ]]</f>
        <v>0</v>
      </c>
      <c r="EO10">
        <f>X11-Table2[[#This Row],[14F1 Traywasher Panel -1B]]</f>
        <v>0</v>
      </c>
      <c r="EP10">
        <f>BM11-Table2[[#This Row],[2F2 - PDB 3 - WH Truck &amp; Battery Charging]]</f>
        <v>0</v>
      </c>
      <c r="EQ10">
        <f>(CK11-Table2[[#This Row],[PDB - 11 Truck Charging]])*1000</f>
        <v>0</v>
      </c>
      <c r="ER10">
        <f>P11-Table2[[#This Row],[5F3 Admin Area]]</f>
        <v>0</v>
      </c>
      <c r="ES10">
        <f>AH11-Table2[[#This Row],[2F5 Main Gate-1 Piller -1]]</f>
        <v>0</v>
      </c>
      <c r="ET10">
        <f>CW11-Table2[[#This Row],[6F2 Ground Floor AC]]</f>
        <v>0</v>
      </c>
      <c r="EU10">
        <f>CX11-Table2[[#This Row],[6F3 ACBD -1 (First floor AC)]]</f>
        <v>0</v>
      </c>
      <c r="EV10">
        <f>CY11-Table2[[#This Row],[6F4 ACBD - 2 (Second &amp; Third floor AC)]]</f>
        <v>0</v>
      </c>
      <c r="EW10">
        <f>(BC11-Table2[[#This Row],[4F Old BMC cooling Unit]])</f>
        <v>0</v>
      </c>
      <c r="EX10">
        <f>BO11-Table2[[#This Row],[2F4 - Old BMC]]</f>
        <v>0</v>
      </c>
      <c r="EY10">
        <f>Y11-Table2[[#This Row],[14F2 New CK]]</f>
        <v>0</v>
      </c>
      <c r="EZ10">
        <f>(CL11-Table2[[#This Row],[OLD Ck Panel-1]])*1000</f>
        <v>0</v>
      </c>
      <c r="FA10">
        <f>CM11-Table2[[#This Row],[2F4 Old CK Blast (Blue star)]]</f>
        <v>0</v>
      </c>
      <c r="FB10">
        <f>CN11-Table2[[#This Row],[3F6 Old CK Blast (Carrier)]]</f>
        <v>0</v>
      </c>
      <c r="FC10">
        <f>(CO11-Table2[[#This Row],[Old CK Panel -2]])*1000</f>
        <v>0</v>
      </c>
      <c r="FD10">
        <f>N11-Table2[[#This Row],[4F1 Main UPS 1/C -1]]</f>
        <v>0</v>
      </c>
      <c r="FE10">
        <f>Z11-Table2[[#This Row],[15F1 Main UPS Panel - I/C - 2]]</f>
        <v>0</v>
      </c>
      <c r="FF10">
        <f>BF11-Table2[[#This Row],[2F CLC -1 AC unit - 2]]</f>
        <v>0</v>
      </c>
      <c r="FG10">
        <f>(BG11-Table2[[#This Row],[2F CLC Anti room]])*1000</f>
        <v>0</v>
      </c>
      <c r="FH10">
        <f>BW11-Table2[[#This Row],[7F3 CLC Power Panel]]</f>
        <v>0</v>
      </c>
      <c r="FI10">
        <f>(CI11-Table2[[#This Row],[PDB - 17 CLC Section ]])*1000</f>
        <v>0</v>
      </c>
      <c r="FJ10">
        <f>(W11-Table2[[#This Row],[13F3 Water &amp; Lift Old CK]])*1000</f>
        <v>0</v>
      </c>
      <c r="FK10">
        <f>AA11-Table2[[#This Row],[15F2 New ETP Panel]]</f>
        <v>0</v>
      </c>
      <c r="FL10">
        <f>AL11-Table2[[#This Row],[3F4 Old ETP Panel]]</f>
        <v>0</v>
      </c>
      <c r="FM10">
        <f>AF11-Table2[[#This Row],[2F1 RO Plant]]</f>
        <v>0</v>
      </c>
      <c r="FN10">
        <f>AK11-Table2[[#This Row],[3F3 Fire Hydrant Panel]]</f>
        <v>0</v>
      </c>
      <c r="FO10">
        <f>O11-Table2[[#This Row],[5F1 Utility]]</f>
        <v>0</v>
      </c>
      <c r="FP10">
        <f>R11-Table2[[#This Row],[7F1 Freon System Panel]]</f>
        <v>0</v>
      </c>
      <c r="FQ10">
        <f>(AE11-Table2[[#This Row],[21F1 Refrigeration Ammonia]])*1000</f>
        <v>0</v>
      </c>
      <c r="FR10">
        <f>(AW11-Table2[[#This Row],[1F1 Ammonia Refrigeration Room Panel]])*1000</f>
        <v>0</v>
      </c>
      <c r="FS10">
        <f>(AG11-Table2[[#This Row],[2F3 Air Compressor]])*1000</f>
        <v>0</v>
      </c>
      <c r="FT10">
        <f>(AX11-Table2[[#This Row],[Solar Reading Panel II]])*1000</f>
        <v>0</v>
      </c>
      <c r="FU10">
        <f>AI11-Table2[[#This Row],[3F1 Maintenance Workshop]]</f>
        <v>0</v>
      </c>
      <c r="FV10">
        <f>BD11-Table2[[#This Row],[4F B2B unit ]]</f>
        <v>0</v>
      </c>
      <c r="FW10">
        <f>BL11-Table2[[#This Row],[2F1 - PDB 6 - Bread, B2B section]]</f>
        <v>0</v>
      </c>
      <c r="FX10">
        <f>(CG11-Table2[[#This Row],[9F5 - PDB 14 - Bread Lift]])</f>
        <v>0</v>
      </c>
      <c r="FY10">
        <f>CJ11-Table2[[#This Row],[PDB - 16 Bread Section]]</f>
        <v>0</v>
      </c>
      <c r="FZ10">
        <f>BU11-Table2[[#This Row],[7F1 Donut Production area]]</f>
        <v>0</v>
      </c>
      <c r="GA10">
        <f>CB11-Table2[[#This Row],[8F5 Donut Ban Bary]]</f>
        <v>0</v>
      </c>
      <c r="GB10">
        <f>CF11-Table2[[#This Row],[9F4 - PDB 13 - Donut Sink Geyser area]]</f>
        <v>0</v>
      </c>
      <c r="GC10">
        <f>BV11-Table2[[#This Row],[7F2 Flour Silo]]</f>
        <v>0</v>
      </c>
      <c r="GD10">
        <f>BY11-Table2[[#This Row],[8F2 ACPDB - 3 SILO Ventilation]]</f>
        <v>0</v>
      </c>
      <c r="GE10">
        <f>J11-Table2[[#This Row],[DG 1010KVA Running Hours]]</f>
        <v>0</v>
      </c>
      <c r="GF10">
        <f>K11-Table2[[#This Row],[DG 1010 KVA Meter Reading]]</f>
        <v>0</v>
      </c>
      <c r="GG10">
        <f>L11-Table2[[#This Row],[GG 1010 KVA Running Hours]]</f>
        <v>0</v>
      </c>
      <c r="GH10">
        <f>M11-Table2[[#This Row],[GG 1010 KVA Meter Reading]]</f>
        <v>0</v>
      </c>
    </row>
    <row r="11" spans="1:190" x14ac:dyDescent="0.35">
      <c r="A11" s="1"/>
      <c r="B11" s="2"/>
      <c r="C11" s="2"/>
      <c r="D11" s="1"/>
      <c r="E11" s="1"/>
      <c r="F11" s="1"/>
      <c r="G11" s="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4">
        <f>Table2[[#This Row],[Date]]</f>
        <v>0</v>
      </c>
      <c r="DI11">
        <f>(DD12-Table2[[#This Row],[MWH Total]])*4000</f>
        <v>0</v>
      </c>
      <c r="DJ11">
        <f>(DA12-Table2[[#This Row],[PNG Meter (Outside)]])*2.936</f>
        <v>0</v>
      </c>
      <c r="DK11">
        <f>(DB12-Table2[[#This Row],[PNG Meter (Inside)]])*2.936</f>
        <v>0</v>
      </c>
      <c r="DL11">
        <f>(BH12-Table2[[#This Row],[3F Dough cooler - 2 ]])*1000</f>
        <v>0</v>
      </c>
      <c r="DM11">
        <f>(BI12-Table2[[#This Row],[3F Dough Cooler- 1]])*1000</f>
        <v>0</v>
      </c>
      <c r="DN11">
        <f>(BJ12-Table2[[#This Row],[4F Dough Production cooling Unit]])*1000</f>
        <v>0</v>
      </c>
      <c r="DO11">
        <f>(BQ12-Table2[[#This Row],[3F2 - PDB 3 - Dough Production Area]])*1000</f>
        <v>0</v>
      </c>
      <c r="DP11">
        <f>(BR12-Table2[[#This Row],[3F3 - PDB 4 - Dough Area]])*1000</f>
        <v>0</v>
      </c>
      <c r="DQ11">
        <f>S12-Table2[[#This Row],[7F2 Traywasher Panel - 1A ( + Old Ck)]]</f>
        <v>0</v>
      </c>
      <c r="DR11">
        <f>X12-Table2[[#This Row],[14F1 Traywasher Panel -1B]]</f>
        <v>0</v>
      </c>
      <c r="DS11">
        <f>AC12-Table2[[#This Row],[16F1 Tray washer Panel for Light]]</f>
        <v>0</v>
      </c>
      <c r="DT11">
        <f>CP12-Table2[[#This Row],[Tray Washer light Panel]]</f>
        <v>0</v>
      </c>
      <c r="DU11">
        <f>CQ12-Table2[[#This Row],[2F1 Tray Washer - 1]]</f>
        <v>0</v>
      </c>
      <c r="DV11">
        <f>CS12-Table2[[#This Row],[2F5 Destacker]]</f>
        <v>0</v>
      </c>
      <c r="DW11">
        <f>CT12-Table2[[#This Row],[3F1 Metering (TW-1)]]</f>
        <v>0</v>
      </c>
      <c r="DX11">
        <f>CU12-Table2[[#This Row],[5F1 Metering (TW-2)]]</f>
        <v>0</v>
      </c>
      <c r="DY11">
        <f>CV12-Table2[[#This Row],[6F1 Pre soaker Tray washer]]</f>
        <v>0</v>
      </c>
      <c r="DZ11">
        <f>CZ12-Table2[[#This Row],[6F5 Vent tray Storage]]</f>
        <v>0</v>
      </c>
      <c r="EA11">
        <f>I12-Table2[[#This Row],[Popeyes Meter ]]</f>
        <v>0</v>
      </c>
      <c r="EB11">
        <f>AZ12-Table2[[#This Row],[2F WH Chiller, Segregation Area]]</f>
        <v>0</v>
      </c>
      <c r="EC11">
        <f>BA12-Table2[[#This Row],[3F1 AC Unit WH dock cooling - 2 Nos]]</f>
        <v>0</v>
      </c>
      <c r="ED11">
        <f>BB12-Table2[[#This Row],[3F2 AC Unit WH dock cooling - 3 Nos]]</f>
        <v>0</v>
      </c>
      <c r="EE11">
        <f>(BK12-Table2[[#This Row],[5F WH Perishable]])*1000</f>
        <v>0</v>
      </c>
      <c r="EF11">
        <f>BN12-Table2[[#This Row],[2F3 - PDB 9 - WH Dock Leveler Door ]]</f>
        <v>0</v>
      </c>
      <c r="EG11">
        <f>BP12-Table2[[#This Row],[3F1 - PDB 5 - WH HSD]]</f>
        <v>0</v>
      </c>
      <c r="EH11">
        <f>BX12-Table2[[#This Row],[8F1 WH Dock AHU - Ventilation]]</f>
        <v>0</v>
      </c>
      <c r="EI11">
        <f>BZ12-Table2[[#This Row],[8F3 ACPDB - 4 WH Dock air curtain]]</f>
        <v>0</v>
      </c>
      <c r="EJ11">
        <f>CA12-Table2[[#This Row],[8F4 WH Light]]</f>
        <v>0</v>
      </c>
      <c r="EK11">
        <f>CC12-Table2[[#This Row],[9F1 - PDB 10 - WH Dock door &amp; Office]]</f>
        <v>0</v>
      </c>
      <c r="EL11">
        <f>CD12-Table2[[#This Row],[9F2 - PDB 11 - WH flycatchers]]</f>
        <v>0</v>
      </c>
      <c r="EM11">
        <f>CE12-Table2[[#This Row],[9F3 - PDB 12 - Other items]]</f>
        <v>0</v>
      </c>
      <c r="EN11">
        <f>CR12-Table2[[#This Row],[2F3 - PDB 1 - Dock 1 to 4 ]]</f>
        <v>0</v>
      </c>
      <c r="EO11">
        <f>X12-Table2[[#This Row],[14F1 Traywasher Panel -1B]]</f>
        <v>0</v>
      </c>
      <c r="EP11">
        <f>BM12-Table2[[#This Row],[2F2 - PDB 3 - WH Truck &amp; Battery Charging]]</f>
        <v>0</v>
      </c>
      <c r="EQ11">
        <f>(CK12-Table2[[#This Row],[PDB - 11 Truck Charging]])*1000</f>
        <v>0</v>
      </c>
      <c r="ER11">
        <f>P12-Table2[[#This Row],[5F3 Admin Area]]</f>
        <v>0</v>
      </c>
      <c r="ES11">
        <f>AH12-Table2[[#This Row],[2F5 Main Gate-1 Piller -1]]</f>
        <v>0</v>
      </c>
      <c r="ET11">
        <f>CW12-Table2[[#This Row],[6F2 Ground Floor AC]]</f>
        <v>0</v>
      </c>
      <c r="EU11">
        <f>CX12-Table2[[#This Row],[6F3 ACBD -1 (First floor AC)]]</f>
        <v>0</v>
      </c>
      <c r="EV11">
        <f>CY12-Table2[[#This Row],[6F4 ACBD - 2 (Second &amp; Third floor AC)]]</f>
        <v>0</v>
      </c>
      <c r="EW11">
        <f>(BC12-Table2[[#This Row],[4F Old BMC cooling Unit]])</f>
        <v>0</v>
      </c>
      <c r="EX11">
        <f>BO12-Table2[[#This Row],[2F4 - Old BMC]]</f>
        <v>0</v>
      </c>
      <c r="EY11">
        <f>Y12-Table2[[#This Row],[14F2 New CK]]</f>
        <v>0</v>
      </c>
      <c r="EZ11">
        <f>(CL12-Table2[[#This Row],[OLD Ck Panel-1]])*1000</f>
        <v>0</v>
      </c>
      <c r="FA11">
        <f>CM12-Table2[[#This Row],[2F4 Old CK Blast (Blue star)]]</f>
        <v>0</v>
      </c>
      <c r="FB11">
        <f>CN12-Table2[[#This Row],[3F6 Old CK Blast (Carrier)]]</f>
        <v>0</v>
      </c>
      <c r="FC11">
        <f>(CO12-Table2[[#This Row],[Old CK Panel -2]])*1000</f>
        <v>0</v>
      </c>
      <c r="FD11">
        <f>N12-Table2[[#This Row],[4F1 Main UPS 1/C -1]]</f>
        <v>0</v>
      </c>
      <c r="FE11">
        <f>Z12-Table2[[#This Row],[15F1 Main UPS Panel - I/C - 2]]</f>
        <v>0</v>
      </c>
      <c r="FF11">
        <f>BF12-Table2[[#This Row],[2F CLC -1 AC unit - 2]]</f>
        <v>0</v>
      </c>
      <c r="FG11">
        <f>(BG12-Table2[[#This Row],[2F CLC Anti room]])*1000</f>
        <v>0</v>
      </c>
      <c r="FH11">
        <f>BW12-Table2[[#This Row],[7F3 CLC Power Panel]]</f>
        <v>0</v>
      </c>
      <c r="FI11">
        <f>(CI12-Table2[[#This Row],[PDB - 17 CLC Section ]])*1000</f>
        <v>0</v>
      </c>
      <c r="FJ11">
        <f>(W12-Table2[[#This Row],[13F3 Water &amp; Lift Old CK]])*1000</f>
        <v>0</v>
      </c>
      <c r="FK11">
        <f>AA12-Table2[[#This Row],[15F2 New ETP Panel]]</f>
        <v>0</v>
      </c>
      <c r="FL11">
        <f>AL12-Table2[[#This Row],[3F4 Old ETP Panel]]</f>
        <v>0</v>
      </c>
      <c r="FM11">
        <f>AF12-Table2[[#This Row],[2F1 RO Plant]]</f>
        <v>0</v>
      </c>
      <c r="FN11">
        <f>AK12-Table2[[#This Row],[3F3 Fire Hydrant Panel]]</f>
        <v>0</v>
      </c>
      <c r="FO11">
        <f>O12-Table2[[#This Row],[5F1 Utility]]</f>
        <v>0</v>
      </c>
      <c r="FP11">
        <f>R12-Table2[[#This Row],[7F1 Freon System Panel]]</f>
        <v>0</v>
      </c>
      <c r="FQ11">
        <f>(AE12-Table2[[#This Row],[21F1 Refrigeration Ammonia]])*1000</f>
        <v>0</v>
      </c>
      <c r="FR11">
        <f>(AW12-Table2[[#This Row],[1F1 Ammonia Refrigeration Room Panel]])*1000</f>
        <v>0</v>
      </c>
      <c r="FS11">
        <f>(AG12-Table2[[#This Row],[2F3 Air Compressor]])*1000</f>
        <v>0</v>
      </c>
      <c r="FT11">
        <f>(AX12-Table2[[#This Row],[Solar Reading Panel II]])*1000</f>
        <v>0</v>
      </c>
      <c r="FU11">
        <f>AI12-Table2[[#This Row],[3F1 Maintenance Workshop]]</f>
        <v>0</v>
      </c>
      <c r="FV11">
        <f>BD12-Table2[[#This Row],[4F B2B unit ]]</f>
        <v>0</v>
      </c>
      <c r="FW11">
        <f>BL12-Table2[[#This Row],[2F1 - PDB 6 - Bread, B2B section]]</f>
        <v>0</v>
      </c>
      <c r="FX11">
        <f>(CG12-Table2[[#This Row],[9F5 - PDB 14 - Bread Lift]])</f>
        <v>0</v>
      </c>
      <c r="FY11">
        <f>CJ12-Table2[[#This Row],[PDB - 16 Bread Section]]</f>
        <v>0</v>
      </c>
      <c r="FZ11">
        <f>BU12-Table2[[#This Row],[7F1 Donut Production area]]</f>
        <v>0</v>
      </c>
      <c r="GA11">
        <f>CB12-Table2[[#This Row],[8F5 Donut Ban Bary]]</f>
        <v>0</v>
      </c>
      <c r="GB11">
        <f>CF12-Table2[[#This Row],[9F4 - PDB 13 - Donut Sink Geyser area]]</f>
        <v>0</v>
      </c>
      <c r="GC11">
        <f>BV12-Table2[[#This Row],[7F2 Flour Silo]]</f>
        <v>0</v>
      </c>
      <c r="GD11">
        <f>BY12-Table2[[#This Row],[8F2 ACPDB - 3 SILO Ventilation]]</f>
        <v>0</v>
      </c>
      <c r="GE11">
        <f>J12-Table2[[#This Row],[DG 1010KVA Running Hours]]</f>
        <v>0</v>
      </c>
      <c r="GF11">
        <f>K12-Table2[[#This Row],[DG 1010 KVA Meter Reading]]</f>
        <v>0</v>
      </c>
      <c r="GG11">
        <f>L12-Table2[[#This Row],[GG 1010 KVA Running Hours]]</f>
        <v>0</v>
      </c>
      <c r="GH11">
        <f>M12-Table2[[#This Row],[GG 1010 KVA Meter Reading]]</f>
        <v>0</v>
      </c>
    </row>
    <row r="12" spans="1:190" x14ac:dyDescent="0.35">
      <c r="A12" s="1"/>
      <c r="B12" s="2"/>
      <c r="C12" s="2"/>
      <c r="D12" s="1"/>
      <c r="E12" s="1"/>
      <c r="F12" s="1"/>
      <c r="G12" s="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4">
        <f>Table2[[#This Row],[Date]]</f>
        <v>0</v>
      </c>
      <c r="DI12">
        <f>(DD13-Table2[[#This Row],[MWH Total]])*4000</f>
        <v>0</v>
      </c>
      <c r="DJ12">
        <f>(DA13-Table2[[#This Row],[PNG Meter (Outside)]])*2.936</f>
        <v>0</v>
      </c>
      <c r="DK12">
        <f>(DB13-Table2[[#This Row],[PNG Meter (Inside)]])*2.936</f>
        <v>0</v>
      </c>
      <c r="DL12">
        <f>(BH13-Table2[[#This Row],[3F Dough cooler - 2 ]])*1000</f>
        <v>0</v>
      </c>
      <c r="DM12">
        <f>(BI13-Table2[[#This Row],[3F Dough Cooler- 1]])*1000</f>
        <v>0</v>
      </c>
      <c r="DN12">
        <f>(BJ13-Table2[[#This Row],[4F Dough Production cooling Unit]])*1000</f>
        <v>0</v>
      </c>
      <c r="DO12">
        <f>(BQ13-Table2[[#This Row],[3F2 - PDB 3 - Dough Production Area]])*1000</f>
        <v>0</v>
      </c>
      <c r="DP12">
        <f>(BR13-Table2[[#This Row],[3F3 - PDB 4 - Dough Area]])*1000</f>
        <v>0</v>
      </c>
      <c r="DQ12">
        <f>S13-Table2[[#This Row],[7F2 Traywasher Panel - 1A ( + Old Ck)]]</f>
        <v>0</v>
      </c>
      <c r="DR12">
        <f>X13-Table2[[#This Row],[14F1 Traywasher Panel -1B]]</f>
        <v>0</v>
      </c>
      <c r="DS12">
        <f>AC13-Table2[[#This Row],[16F1 Tray washer Panel for Light]]</f>
        <v>0</v>
      </c>
      <c r="DT12">
        <f>CP13-Table2[[#This Row],[Tray Washer light Panel]]</f>
        <v>0</v>
      </c>
      <c r="DU12">
        <f>CQ13-Table2[[#This Row],[2F1 Tray Washer - 1]]</f>
        <v>0</v>
      </c>
      <c r="DV12">
        <f>CS13-Table2[[#This Row],[2F5 Destacker]]</f>
        <v>0</v>
      </c>
      <c r="DW12">
        <f>CT13-Table2[[#This Row],[3F1 Metering (TW-1)]]</f>
        <v>0</v>
      </c>
      <c r="DX12">
        <f>CU13-Table2[[#This Row],[5F1 Metering (TW-2)]]</f>
        <v>0</v>
      </c>
      <c r="DY12">
        <f>CV13-Table2[[#This Row],[6F1 Pre soaker Tray washer]]</f>
        <v>0</v>
      </c>
      <c r="DZ12">
        <f>CZ13-Table2[[#This Row],[6F5 Vent tray Storage]]</f>
        <v>0</v>
      </c>
      <c r="EA12">
        <f>I13-Table2[[#This Row],[Popeyes Meter ]]</f>
        <v>0</v>
      </c>
      <c r="EB12">
        <f>AZ13-Table2[[#This Row],[2F WH Chiller, Segregation Area]]</f>
        <v>0</v>
      </c>
      <c r="EC12">
        <f>BA13-Table2[[#This Row],[3F1 AC Unit WH dock cooling - 2 Nos]]</f>
        <v>0</v>
      </c>
      <c r="ED12">
        <f>BB13-Table2[[#This Row],[3F2 AC Unit WH dock cooling - 3 Nos]]</f>
        <v>0</v>
      </c>
      <c r="EE12">
        <f>(BK13-Table2[[#This Row],[5F WH Perishable]])*1000</f>
        <v>0</v>
      </c>
      <c r="EF12">
        <f>BN13-Table2[[#This Row],[2F3 - PDB 9 - WH Dock Leveler Door ]]</f>
        <v>0</v>
      </c>
      <c r="EG12">
        <f>BP13-Table2[[#This Row],[3F1 - PDB 5 - WH HSD]]</f>
        <v>0</v>
      </c>
      <c r="EH12">
        <f>BX13-Table2[[#This Row],[8F1 WH Dock AHU - Ventilation]]</f>
        <v>0</v>
      </c>
      <c r="EI12">
        <f>BZ13-Table2[[#This Row],[8F3 ACPDB - 4 WH Dock air curtain]]</f>
        <v>0</v>
      </c>
      <c r="EJ12">
        <f>CA13-Table2[[#This Row],[8F4 WH Light]]</f>
        <v>0</v>
      </c>
      <c r="EK12">
        <f>CC13-Table2[[#This Row],[9F1 - PDB 10 - WH Dock door &amp; Office]]</f>
        <v>0</v>
      </c>
      <c r="EL12">
        <f>CD13-Table2[[#This Row],[9F2 - PDB 11 - WH flycatchers]]</f>
        <v>0</v>
      </c>
      <c r="EM12">
        <f>CE13-Table2[[#This Row],[9F3 - PDB 12 - Other items]]</f>
        <v>0</v>
      </c>
      <c r="EN12">
        <f>CR13-Table2[[#This Row],[2F3 - PDB 1 - Dock 1 to 4 ]]</f>
        <v>0</v>
      </c>
      <c r="EO12">
        <f>X13-Table2[[#This Row],[14F1 Traywasher Panel -1B]]</f>
        <v>0</v>
      </c>
      <c r="EP12">
        <f>BM13-Table2[[#This Row],[2F2 - PDB 3 - WH Truck &amp; Battery Charging]]</f>
        <v>0</v>
      </c>
      <c r="EQ12">
        <f>(CK13-Table2[[#This Row],[PDB - 11 Truck Charging]])*1000</f>
        <v>0</v>
      </c>
      <c r="ER12">
        <f>P13-Table2[[#This Row],[5F3 Admin Area]]</f>
        <v>0</v>
      </c>
      <c r="ES12">
        <f>AH13-Table2[[#This Row],[2F5 Main Gate-1 Piller -1]]</f>
        <v>0</v>
      </c>
      <c r="ET12">
        <f>CW13-Table2[[#This Row],[6F2 Ground Floor AC]]</f>
        <v>0</v>
      </c>
      <c r="EU12">
        <f>CX13-Table2[[#This Row],[6F3 ACBD -1 (First floor AC)]]</f>
        <v>0</v>
      </c>
      <c r="EV12">
        <f>CY13-Table2[[#This Row],[6F4 ACBD - 2 (Second &amp; Third floor AC)]]</f>
        <v>0</v>
      </c>
      <c r="EW12">
        <f>(BC13-Table2[[#This Row],[4F Old BMC cooling Unit]])</f>
        <v>0</v>
      </c>
      <c r="EX12">
        <f>BO13-Table2[[#This Row],[2F4 - Old BMC]]</f>
        <v>0</v>
      </c>
      <c r="EY12">
        <f>Y13-Table2[[#This Row],[14F2 New CK]]</f>
        <v>0</v>
      </c>
      <c r="EZ12">
        <f>(CL13-Table2[[#This Row],[OLD Ck Panel-1]])*1000</f>
        <v>0</v>
      </c>
      <c r="FA12">
        <f>CM13-Table2[[#This Row],[2F4 Old CK Blast (Blue star)]]</f>
        <v>0</v>
      </c>
      <c r="FB12">
        <f>CN13-Table2[[#This Row],[3F6 Old CK Blast (Carrier)]]</f>
        <v>0</v>
      </c>
      <c r="FC12">
        <f>(CO13-Table2[[#This Row],[Old CK Panel -2]])*1000</f>
        <v>0</v>
      </c>
      <c r="FD12">
        <f>N13-Table2[[#This Row],[4F1 Main UPS 1/C -1]]</f>
        <v>0</v>
      </c>
      <c r="FE12">
        <f>Z13-Table2[[#This Row],[15F1 Main UPS Panel - I/C - 2]]</f>
        <v>0</v>
      </c>
      <c r="FF12">
        <f>BF13-Table2[[#This Row],[2F CLC -1 AC unit - 2]]</f>
        <v>0</v>
      </c>
      <c r="FG12">
        <f>(BG13-Table2[[#This Row],[2F CLC Anti room]])*1000</f>
        <v>0</v>
      </c>
      <c r="FH12">
        <f>BW13-Table2[[#This Row],[7F3 CLC Power Panel]]</f>
        <v>0</v>
      </c>
      <c r="FI12">
        <f>(CI13-Table2[[#This Row],[PDB - 17 CLC Section ]])*1000</f>
        <v>0</v>
      </c>
      <c r="FJ12">
        <f>(W13-Table2[[#This Row],[13F3 Water &amp; Lift Old CK]])*1000</f>
        <v>0</v>
      </c>
      <c r="FK12">
        <f>AA13-Table2[[#This Row],[15F2 New ETP Panel]]</f>
        <v>0</v>
      </c>
      <c r="FL12">
        <f>AL13-Table2[[#This Row],[3F4 Old ETP Panel]]</f>
        <v>0</v>
      </c>
      <c r="FM12">
        <f>AF13-Table2[[#This Row],[2F1 RO Plant]]</f>
        <v>0</v>
      </c>
      <c r="FN12">
        <f>AK13-Table2[[#This Row],[3F3 Fire Hydrant Panel]]</f>
        <v>0</v>
      </c>
      <c r="FO12">
        <f>O13-Table2[[#This Row],[5F1 Utility]]</f>
        <v>0</v>
      </c>
      <c r="FP12">
        <f>R13-Table2[[#This Row],[7F1 Freon System Panel]]</f>
        <v>0</v>
      </c>
      <c r="FQ12">
        <f>(AE13-Table2[[#This Row],[21F1 Refrigeration Ammonia]])*1000</f>
        <v>0</v>
      </c>
      <c r="FR12">
        <f>(AW13-Table2[[#This Row],[1F1 Ammonia Refrigeration Room Panel]])*1000</f>
        <v>0</v>
      </c>
      <c r="FS12">
        <f>(AG13-Table2[[#This Row],[2F3 Air Compressor]])*1000</f>
        <v>0</v>
      </c>
      <c r="FT12">
        <f>(AX13-Table2[[#This Row],[Solar Reading Panel II]])*1000</f>
        <v>0</v>
      </c>
      <c r="FU12">
        <f>AI13-Table2[[#This Row],[3F1 Maintenance Workshop]]</f>
        <v>0</v>
      </c>
      <c r="FV12">
        <f>BD13-Table2[[#This Row],[4F B2B unit ]]</f>
        <v>0</v>
      </c>
      <c r="FW12">
        <f>BL13-Table2[[#This Row],[2F1 - PDB 6 - Bread, B2B section]]</f>
        <v>0</v>
      </c>
      <c r="FX12">
        <f>(CG13-Table2[[#This Row],[9F5 - PDB 14 - Bread Lift]])</f>
        <v>0</v>
      </c>
      <c r="FY12">
        <f>CJ13-Table2[[#This Row],[PDB - 16 Bread Section]]</f>
        <v>0</v>
      </c>
      <c r="FZ12">
        <f>BU13-Table2[[#This Row],[7F1 Donut Production area]]</f>
        <v>0</v>
      </c>
      <c r="GA12">
        <f>CB13-Table2[[#This Row],[8F5 Donut Ban Bary]]</f>
        <v>0</v>
      </c>
      <c r="GB12">
        <f>CF13-Table2[[#This Row],[9F4 - PDB 13 - Donut Sink Geyser area]]</f>
        <v>0</v>
      </c>
      <c r="GC12">
        <f>BV13-Table2[[#This Row],[7F2 Flour Silo]]</f>
        <v>0</v>
      </c>
      <c r="GD12">
        <f>BY13-Table2[[#This Row],[8F2 ACPDB - 3 SILO Ventilation]]</f>
        <v>0</v>
      </c>
      <c r="GE12">
        <f>J13-Table2[[#This Row],[DG 1010KVA Running Hours]]</f>
        <v>0</v>
      </c>
      <c r="GF12">
        <f>K13-Table2[[#This Row],[DG 1010 KVA Meter Reading]]</f>
        <v>0</v>
      </c>
      <c r="GG12">
        <f>L13-Table2[[#This Row],[GG 1010 KVA Running Hours]]</f>
        <v>0</v>
      </c>
      <c r="GH12">
        <f>M13-Table2[[#This Row],[GG 1010 KVA Meter Reading]]</f>
        <v>0</v>
      </c>
    </row>
    <row r="13" spans="1:190" x14ac:dyDescent="0.35">
      <c r="A13" s="1"/>
      <c r="B13" s="2"/>
      <c r="C13" s="2"/>
      <c r="D13" s="1"/>
      <c r="E13" s="1"/>
      <c r="F13" s="1"/>
      <c r="G13" s="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4">
        <f>Table2[[#This Row],[Date]]</f>
        <v>0</v>
      </c>
      <c r="DI13">
        <f>(DD14-Table2[[#This Row],[MWH Total]])*4000</f>
        <v>0</v>
      </c>
      <c r="DJ13">
        <f>(DA14-Table2[[#This Row],[PNG Meter (Outside)]])*2.936</f>
        <v>0</v>
      </c>
      <c r="DK13">
        <f>(DB14-Table2[[#This Row],[PNG Meter (Inside)]])*2.936</f>
        <v>0</v>
      </c>
      <c r="DL13">
        <f>(BH14-Table2[[#This Row],[3F Dough cooler - 2 ]])*1000</f>
        <v>0</v>
      </c>
      <c r="DM13">
        <f>(BI14-Table2[[#This Row],[3F Dough Cooler- 1]])*1000</f>
        <v>0</v>
      </c>
      <c r="DN13">
        <f>(BJ14-Table2[[#This Row],[4F Dough Production cooling Unit]])*1000</f>
        <v>0</v>
      </c>
      <c r="DO13">
        <f>(BQ14-Table2[[#This Row],[3F2 - PDB 3 - Dough Production Area]])*1000</f>
        <v>0</v>
      </c>
      <c r="DP13">
        <f>(BR14-Table2[[#This Row],[3F3 - PDB 4 - Dough Area]])*1000</f>
        <v>0</v>
      </c>
      <c r="DQ13">
        <f>S14-Table2[[#This Row],[7F2 Traywasher Panel - 1A ( + Old Ck)]]</f>
        <v>0</v>
      </c>
      <c r="DR13">
        <f>X14-Table2[[#This Row],[14F1 Traywasher Panel -1B]]</f>
        <v>0</v>
      </c>
      <c r="DS13">
        <f>AC14-Table2[[#This Row],[16F1 Tray washer Panel for Light]]</f>
        <v>0</v>
      </c>
      <c r="DT13">
        <f>CP14-Table2[[#This Row],[Tray Washer light Panel]]</f>
        <v>0</v>
      </c>
      <c r="DU13">
        <f>CQ14-Table2[[#This Row],[2F1 Tray Washer - 1]]</f>
        <v>0</v>
      </c>
      <c r="DV13">
        <f>CS14-Table2[[#This Row],[2F5 Destacker]]</f>
        <v>0</v>
      </c>
      <c r="DW13">
        <f>CT14-Table2[[#This Row],[3F1 Metering (TW-1)]]</f>
        <v>0</v>
      </c>
      <c r="DX13">
        <f>CU14-Table2[[#This Row],[5F1 Metering (TW-2)]]</f>
        <v>0</v>
      </c>
      <c r="DY13">
        <f>CV14-Table2[[#This Row],[6F1 Pre soaker Tray washer]]</f>
        <v>0</v>
      </c>
      <c r="DZ13">
        <f>CZ14-Table2[[#This Row],[6F5 Vent tray Storage]]</f>
        <v>0</v>
      </c>
      <c r="EA13">
        <f>I14-Table2[[#This Row],[Popeyes Meter ]]</f>
        <v>0</v>
      </c>
      <c r="EB13">
        <f>AZ14-Table2[[#This Row],[2F WH Chiller, Segregation Area]]</f>
        <v>0</v>
      </c>
      <c r="EC13">
        <f>BA14-Table2[[#This Row],[3F1 AC Unit WH dock cooling - 2 Nos]]</f>
        <v>0</v>
      </c>
      <c r="ED13">
        <f>BB14-Table2[[#This Row],[3F2 AC Unit WH dock cooling - 3 Nos]]</f>
        <v>0</v>
      </c>
      <c r="EE13">
        <f>(BK14-Table2[[#This Row],[5F WH Perishable]])*1000</f>
        <v>0</v>
      </c>
      <c r="EF13">
        <f>BN14-Table2[[#This Row],[2F3 - PDB 9 - WH Dock Leveler Door ]]</f>
        <v>0</v>
      </c>
      <c r="EG13">
        <f>BP14-Table2[[#This Row],[3F1 - PDB 5 - WH HSD]]</f>
        <v>0</v>
      </c>
      <c r="EH13">
        <f>BX14-Table2[[#This Row],[8F1 WH Dock AHU - Ventilation]]</f>
        <v>0</v>
      </c>
      <c r="EI13">
        <f>BZ14-Table2[[#This Row],[8F3 ACPDB - 4 WH Dock air curtain]]</f>
        <v>0</v>
      </c>
      <c r="EJ13">
        <f>CA14-Table2[[#This Row],[8F4 WH Light]]</f>
        <v>0</v>
      </c>
      <c r="EK13">
        <f>CC14-Table2[[#This Row],[9F1 - PDB 10 - WH Dock door &amp; Office]]</f>
        <v>0</v>
      </c>
      <c r="EL13">
        <f>CD14-Table2[[#This Row],[9F2 - PDB 11 - WH flycatchers]]</f>
        <v>0</v>
      </c>
      <c r="EM13">
        <f>CE14-Table2[[#This Row],[9F3 - PDB 12 - Other items]]</f>
        <v>0</v>
      </c>
      <c r="EN13">
        <f>CR14-Table2[[#This Row],[2F3 - PDB 1 - Dock 1 to 4 ]]</f>
        <v>0</v>
      </c>
      <c r="EO13">
        <f>X14-Table2[[#This Row],[14F1 Traywasher Panel -1B]]</f>
        <v>0</v>
      </c>
      <c r="EP13">
        <f>BM14-Table2[[#This Row],[2F2 - PDB 3 - WH Truck &amp; Battery Charging]]</f>
        <v>0</v>
      </c>
      <c r="EQ13">
        <f>(CK14-Table2[[#This Row],[PDB - 11 Truck Charging]])*1000</f>
        <v>0</v>
      </c>
      <c r="ER13">
        <f>P14-Table2[[#This Row],[5F3 Admin Area]]</f>
        <v>0</v>
      </c>
      <c r="ES13">
        <f>AH14-Table2[[#This Row],[2F5 Main Gate-1 Piller -1]]</f>
        <v>0</v>
      </c>
      <c r="ET13">
        <f>CW14-Table2[[#This Row],[6F2 Ground Floor AC]]</f>
        <v>0</v>
      </c>
      <c r="EU13">
        <f>CX14-Table2[[#This Row],[6F3 ACBD -1 (First floor AC)]]</f>
        <v>0</v>
      </c>
      <c r="EV13">
        <f>CY14-Table2[[#This Row],[6F4 ACBD - 2 (Second &amp; Third floor AC)]]</f>
        <v>0</v>
      </c>
      <c r="EW13">
        <f>(BC14-Table2[[#This Row],[4F Old BMC cooling Unit]])</f>
        <v>0</v>
      </c>
      <c r="EX13">
        <f>BO14-Table2[[#This Row],[2F4 - Old BMC]]</f>
        <v>0</v>
      </c>
      <c r="EY13">
        <f>Y14-Table2[[#This Row],[14F2 New CK]]</f>
        <v>0</v>
      </c>
      <c r="EZ13">
        <f>(CL14-Table2[[#This Row],[OLD Ck Panel-1]])*1000</f>
        <v>0</v>
      </c>
      <c r="FA13">
        <f>CM14-Table2[[#This Row],[2F4 Old CK Blast (Blue star)]]</f>
        <v>0</v>
      </c>
      <c r="FB13">
        <f>CN14-Table2[[#This Row],[3F6 Old CK Blast (Carrier)]]</f>
        <v>0</v>
      </c>
      <c r="FC13">
        <f>(CO14-Table2[[#This Row],[Old CK Panel -2]])*1000</f>
        <v>0</v>
      </c>
      <c r="FD13">
        <f>N14-Table2[[#This Row],[4F1 Main UPS 1/C -1]]</f>
        <v>0</v>
      </c>
      <c r="FE13">
        <f>Z14-Table2[[#This Row],[15F1 Main UPS Panel - I/C - 2]]</f>
        <v>0</v>
      </c>
      <c r="FF13">
        <f>BF14-Table2[[#This Row],[2F CLC -1 AC unit - 2]]</f>
        <v>0</v>
      </c>
      <c r="FG13">
        <f>(BG14-Table2[[#This Row],[2F CLC Anti room]])*1000</f>
        <v>0</v>
      </c>
      <c r="FH13">
        <f>BW14-Table2[[#This Row],[7F3 CLC Power Panel]]</f>
        <v>0</v>
      </c>
      <c r="FI13">
        <f>(CI14-Table2[[#This Row],[PDB - 17 CLC Section ]])*1000</f>
        <v>0</v>
      </c>
      <c r="FJ13">
        <f>(W14-Table2[[#This Row],[13F3 Water &amp; Lift Old CK]])*1000</f>
        <v>0</v>
      </c>
      <c r="FK13">
        <f>AA14-Table2[[#This Row],[15F2 New ETP Panel]]</f>
        <v>0</v>
      </c>
      <c r="FL13">
        <f>AL14-Table2[[#This Row],[3F4 Old ETP Panel]]</f>
        <v>0</v>
      </c>
      <c r="FM13">
        <f>AF14-Table2[[#This Row],[2F1 RO Plant]]</f>
        <v>0</v>
      </c>
      <c r="FN13">
        <f>AK14-Table2[[#This Row],[3F3 Fire Hydrant Panel]]</f>
        <v>0</v>
      </c>
      <c r="FO13">
        <f>O14-Table2[[#This Row],[5F1 Utility]]</f>
        <v>0</v>
      </c>
      <c r="FP13">
        <f>R14-Table2[[#This Row],[7F1 Freon System Panel]]</f>
        <v>0</v>
      </c>
      <c r="FQ13">
        <f>(AE14-Table2[[#This Row],[21F1 Refrigeration Ammonia]])*1000</f>
        <v>0</v>
      </c>
      <c r="FR13">
        <f>(AW14-Table2[[#This Row],[1F1 Ammonia Refrigeration Room Panel]])*1000</f>
        <v>0</v>
      </c>
      <c r="FS13">
        <f>(AG14-Table2[[#This Row],[2F3 Air Compressor]])*1000</f>
        <v>0</v>
      </c>
      <c r="FT13">
        <f>(AX14-Table2[[#This Row],[Solar Reading Panel II]])*1000</f>
        <v>0</v>
      </c>
      <c r="FU13">
        <f>AI14-Table2[[#This Row],[3F1 Maintenance Workshop]]</f>
        <v>0</v>
      </c>
      <c r="FV13">
        <f>BD14-Table2[[#This Row],[4F B2B unit ]]</f>
        <v>0</v>
      </c>
      <c r="FW13">
        <f>BL14-Table2[[#This Row],[2F1 - PDB 6 - Bread, B2B section]]</f>
        <v>0</v>
      </c>
      <c r="FX13">
        <f>(CG14-Table2[[#This Row],[9F5 - PDB 14 - Bread Lift]])</f>
        <v>0</v>
      </c>
      <c r="FY13">
        <f>CJ14-Table2[[#This Row],[PDB - 16 Bread Section]]</f>
        <v>0</v>
      </c>
      <c r="FZ13">
        <f>BU14-Table2[[#This Row],[7F1 Donut Production area]]</f>
        <v>0</v>
      </c>
      <c r="GA13">
        <f>CB14-Table2[[#This Row],[8F5 Donut Ban Bary]]</f>
        <v>0</v>
      </c>
      <c r="GB13">
        <f>CF14-Table2[[#This Row],[9F4 - PDB 13 - Donut Sink Geyser area]]</f>
        <v>0</v>
      </c>
      <c r="GC13">
        <f>BV14-Table2[[#This Row],[7F2 Flour Silo]]</f>
        <v>0</v>
      </c>
      <c r="GD13">
        <f>BY14-Table2[[#This Row],[8F2 ACPDB - 3 SILO Ventilation]]</f>
        <v>0</v>
      </c>
      <c r="GE13">
        <f>J14-Table2[[#This Row],[DG 1010KVA Running Hours]]</f>
        <v>0</v>
      </c>
      <c r="GF13">
        <f>K14-Table2[[#This Row],[DG 1010 KVA Meter Reading]]</f>
        <v>0</v>
      </c>
      <c r="GG13">
        <f>L14-Table2[[#This Row],[GG 1010 KVA Running Hours]]</f>
        <v>0</v>
      </c>
      <c r="GH13">
        <f>M14-Table2[[#This Row],[GG 1010 KVA Meter Reading]]</f>
        <v>0</v>
      </c>
    </row>
    <row r="14" spans="1:190" x14ac:dyDescent="0.35">
      <c r="A14" s="1"/>
      <c r="B14" s="2"/>
      <c r="C14" s="2"/>
      <c r="D14" s="1"/>
      <c r="E14" s="1"/>
      <c r="F14" s="1"/>
      <c r="G14" s="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4">
        <f>Table2[[#This Row],[Date]]</f>
        <v>0</v>
      </c>
      <c r="DI14">
        <f>(DD15-Table2[[#This Row],[MWH Total]])*4000</f>
        <v>0</v>
      </c>
      <c r="DJ14">
        <f>(DA15-Table2[[#This Row],[PNG Meter (Outside)]])*2.936</f>
        <v>0</v>
      </c>
      <c r="DK14">
        <f>(DB15-Table2[[#This Row],[PNG Meter (Inside)]])*2.936</f>
        <v>0</v>
      </c>
      <c r="DL14">
        <f>(BH15-Table2[[#This Row],[3F Dough cooler - 2 ]])*1000</f>
        <v>0</v>
      </c>
      <c r="DM14">
        <f>(BI15-Table2[[#This Row],[3F Dough Cooler- 1]])*1000</f>
        <v>0</v>
      </c>
      <c r="DN14">
        <f>(BJ15-Table2[[#This Row],[4F Dough Production cooling Unit]])*1000</f>
        <v>0</v>
      </c>
      <c r="DO14">
        <f>(BQ15-Table2[[#This Row],[3F2 - PDB 3 - Dough Production Area]])*1000</f>
        <v>0</v>
      </c>
      <c r="DP14">
        <f>(BR15-Table2[[#This Row],[3F3 - PDB 4 - Dough Area]])*1000</f>
        <v>0</v>
      </c>
      <c r="DQ14">
        <f>S15-Table2[[#This Row],[7F2 Traywasher Panel - 1A ( + Old Ck)]]</f>
        <v>0</v>
      </c>
      <c r="DR14">
        <f>X15-Table2[[#This Row],[14F1 Traywasher Panel -1B]]</f>
        <v>0</v>
      </c>
      <c r="DS14">
        <f>AC15-Table2[[#This Row],[16F1 Tray washer Panel for Light]]</f>
        <v>0</v>
      </c>
      <c r="DT14">
        <f>CP15-Table2[[#This Row],[Tray Washer light Panel]]</f>
        <v>0</v>
      </c>
      <c r="DU14">
        <f>CQ15-Table2[[#This Row],[2F1 Tray Washer - 1]]</f>
        <v>0</v>
      </c>
      <c r="DV14">
        <f>CS15-Table2[[#This Row],[2F5 Destacker]]</f>
        <v>0</v>
      </c>
      <c r="DW14">
        <f>CT15-Table2[[#This Row],[3F1 Metering (TW-1)]]</f>
        <v>0</v>
      </c>
      <c r="DX14">
        <f>CU15-Table2[[#This Row],[5F1 Metering (TW-2)]]</f>
        <v>0</v>
      </c>
      <c r="DY14">
        <f>CV15-Table2[[#This Row],[6F1 Pre soaker Tray washer]]</f>
        <v>0</v>
      </c>
      <c r="DZ14">
        <f>CZ15-Table2[[#This Row],[6F5 Vent tray Storage]]</f>
        <v>0</v>
      </c>
      <c r="EA14">
        <f>I15-Table2[[#This Row],[Popeyes Meter ]]</f>
        <v>0</v>
      </c>
      <c r="EB14">
        <f>AZ15-Table2[[#This Row],[2F WH Chiller, Segregation Area]]</f>
        <v>0</v>
      </c>
      <c r="EC14">
        <f>BA15-Table2[[#This Row],[3F1 AC Unit WH dock cooling - 2 Nos]]</f>
        <v>0</v>
      </c>
      <c r="ED14">
        <f>BB15-Table2[[#This Row],[3F2 AC Unit WH dock cooling - 3 Nos]]</f>
        <v>0</v>
      </c>
      <c r="EE14">
        <f>(BK15-Table2[[#This Row],[5F WH Perishable]])*1000</f>
        <v>0</v>
      </c>
      <c r="EF14">
        <f>BN15-Table2[[#This Row],[2F3 - PDB 9 - WH Dock Leveler Door ]]</f>
        <v>0</v>
      </c>
      <c r="EG14">
        <f>BP15-Table2[[#This Row],[3F1 - PDB 5 - WH HSD]]</f>
        <v>0</v>
      </c>
      <c r="EH14">
        <f>BX15-Table2[[#This Row],[8F1 WH Dock AHU - Ventilation]]</f>
        <v>0</v>
      </c>
      <c r="EI14">
        <f>BZ15-Table2[[#This Row],[8F3 ACPDB - 4 WH Dock air curtain]]</f>
        <v>0</v>
      </c>
      <c r="EJ14">
        <f>CA15-Table2[[#This Row],[8F4 WH Light]]</f>
        <v>0</v>
      </c>
      <c r="EK14">
        <f>CC15-Table2[[#This Row],[9F1 - PDB 10 - WH Dock door &amp; Office]]</f>
        <v>0</v>
      </c>
      <c r="EL14">
        <f>CD15-Table2[[#This Row],[9F2 - PDB 11 - WH flycatchers]]</f>
        <v>0</v>
      </c>
      <c r="EM14">
        <f>CE15-Table2[[#This Row],[9F3 - PDB 12 - Other items]]</f>
        <v>0</v>
      </c>
      <c r="EN14">
        <f>CR15-Table2[[#This Row],[2F3 - PDB 1 - Dock 1 to 4 ]]</f>
        <v>0</v>
      </c>
      <c r="EO14">
        <f>X15-Table2[[#This Row],[14F1 Traywasher Panel -1B]]</f>
        <v>0</v>
      </c>
      <c r="EP14">
        <f>BM15-Table2[[#This Row],[2F2 - PDB 3 - WH Truck &amp; Battery Charging]]</f>
        <v>0</v>
      </c>
      <c r="EQ14">
        <f>(CK15-Table2[[#This Row],[PDB - 11 Truck Charging]])*1000</f>
        <v>0</v>
      </c>
      <c r="ER14">
        <f>P15-Table2[[#This Row],[5F3 Admin Area]]</f>
        <v>0</v>
      </c>
      <c r="ES14">
        <f>AH15-Table2[[#This Row],[2F5 Main Gate-1 Piller -1]]</f>
        <v>0</v>
      </c>
      <c r="ET14">
        <f>CW15-Table2[[#This Row],[6F2 Ground Floor AC]]</f>
        <v>0</v>
      </c>
      <c r="EU14">
        <f>CX15-Table2[[#This Row],[6F3 ACBD -1 (First floor AC)]]</f>
        <v>0</v>
      </c>
      <c r="EV14">
        <f>CY15-Table2[[#This Row],[6F4 ACBD - 2 (Second &amp; Third floor AC)]]</f>
        <v>0</v>
      </c>
      <c r="EW14">
        <f>(BC15-Table2[[#This Row],[4F Old BMC cooling Unit]])</f>
        <v>0</v>
      </c>
      <c r="EX14">
        <f>BO15-Table2[[#This Row],[2F4 - Old BMC]]</f>
        <v>0</v>
      </c>
      <c r="EY14">
        <f>Y15-Table2[[#This Row],[14F2 New CK]]</f>
        <v>0</v>
      </c>
      <c r="EZ14">
        <f>(CL15-Table2[[#This Row],[OLD Ck Panel-1]])*1000</f>
        <v>0</v>
      </c>
      <c r="FA14">
        <f>CM15-Table2[[#This Row],[2F4 Old CK Blast (Blue star)]]</f>
        <v>0</v>
      </c>
      <c r="FB14">
        <f>CN15-Table2[[#This Row],[3F6 Old CK Blast (Carrier)]]</f>
        <v>0</v>
      </c>
      <c r="FC14">
        <f>(CO15-Table2[[#This Row],[Old CK Panel -2]])*1000</f>
        <v>0</v>
      </c>
      <c r="FD14">
        <f>N15-Table2[[#This Row],[4F1 Main UPS 1/C -1]]</f>
        <v>0</v>
      </c>
      <c r="FE14">
        <f>Z15-Table2[[#This Row],[15F1 Main UPS Panel - I/C - 2]]</f>
        <v>0</v>
      </c>
      <c r="FF14">
        <f>BF15-Table2[[#This Row],[2F CLC -1 AC unit - 2]]</f>
        <v>0</v>
      </c>
      <c r="FG14">
        <f>(BG15-Table2[[#This Row],[2F CLC Anti room]])*1000</f>
        <v>0</v>
      </c>
      <c r="FH14">
        <f>BW15-Table2[[#This Row],[7F3 CLC Power Panel]]</f>
        <v>0</v>
      </c>
      <c r="FI14">
        <f>(CI15-Table2[[#This Row],[PDB - 17 CLC Section ]])*1000</f>
        <v>0</v>
      </c>
      <c r="FJ14">
        <f>(W15-Table2[[#This Row],[13F3 Water &amp; Lift Old CK]])*1000</f>
        <v>0</v>
      </c>
      <c r="FK14">
        <f>AA15-Table2[[#This Row],[15F2 New ETP Panel]]</f>
        <v>0</v>
      </c>
      <c r="FL14">
        <f>AL15-Table2[[#This Row],[3F4 Old ETP Panel]]</f>
        <v>0</v>
      </c>
      <c r="FM14">
        <f>AF15-Table2[[#This Row],[2F1 RO Plant]]</f>
        <v>0</v>
      </c>
      <c r="FN14">
        <f>AK15-Table2[[#This Row],[3F3 Fire Hydrant Panel]]</f>
        <v>0</v>
      </c>
      <c r="FO14">
        <f>O15-Table2[[#This Row],[5F1 Utility]]</f>
        <v>0</v>
      </c>
      <c r="FP14">
        <f>R15-Table2[[#This Row],[7F1 Freon System Panel]]</f>
        <v>0</v>
      </c>
      <c r="FQ14">
        <f>(AE15-Table2[[#This Row],[21F1 Refrigeration Ammonia]])*1000</f>
        <v>0</v>
      </c>
      <c r="FR14">
        <f>(AW15-Table2[[#This Row],[1F1 Ammonia Refrigeration Room Panel]])*1000</f>
        <v>0</v>
      </c>
      <c r="FS14">
        <f>(AG15-Table2[[#This Row],[2F3 Air Compressor]])*1000</f>
        <v>0</v>
      </c>
      <c r="FT14">
        <f>(AX15-Table2[[#This Row],[Solar Reading Panel II]])*1000</f>
        <v>0</v>
      </c>
      <c r="FU14">
        <f>AI15-Table2[[#This Row],[3F1 Maintenance Workshop]]</f>
        <v>0</v>
      </c>
      <c r="FV14">
        <f>BD15-Table2[[#This Row],[4F B2B unit ]]</f>
        <v>0</v>
      </c>
      <c r="FW14">
        <f>BL15-Table2[[#This Row],[2F1 - PDB 6 - Bread, B2B section]]</f>
        <v>0</v>
      </c>
      <c r="FX14">
        <f>(CG15-Table2[[#This Row],[9F5 - PDB 14 - Bread Lift]])</f>
        <v>0</v>
      </c>
      <c r="FY14">
        <f>CJ15-Table2[[#This Row],[PDB - 16 Bread Section]]</f>
        <v>0</v>
      </c>
      <c r="FZ14">
        <f>BU15-Table2[[#This Row],[7F1 Donut Production area]]</f>
        <v>0</v>
      </c>
      <c r="GA14">
        <f>CB15-Table2[[#This Row],[8F5 Donut Ban Bary]]</f>
        <v>0</v>
      </c>
      <c r="GB14">
        <f>CF15-Table2[[#This Row],[9F4 - PDB 13 - Donut Sink Geyser area]]</f>
        <v>0</v>
      </c>
      <c r="GC14">
        <f>BV15-Table2[[#This Row],[7F2 Flour Silo]]</f>
        <v>0</v>
      </c>
      <c r="GD14">
        <f>BY15-Table2[[#This Row],[8F2 ACPDB - 3 SILO Ventilation]]</f>
        <v>0</v>
      </c>
      <c r="GE14">
        <f>J15-Table2[[#This Row],[DG 1010KVA Running Hours]]</f>
        <v>0</v>
      </c>
      <c r="GF14">
        <f>K15-Table2[[#This Row],[DG 1010 KVA Meter Reading]]</f>
        <v>0</v>
      </c>
      <c r="GG14">
        <f>L15-Table2[[#This Row],[GG 1010 KVA Running Hours]]</f>
        <v>0</v>
      </c>
      <c r="GH14">
        <f>M15-Table2[[#This Row],[GG 1010 KVA Meter Reading]]</f>
        <v>0</v>
      </c>
    </row>
    <row r="15" spans="1:190" x14ac:dyDescent="0.35">
      <c r="A15" s="1"/>
      <c r="B15" s="2"/>
      <c r="C15" s="2"/>
      <c r="D15" s="1"/>
      <c r="E15" s="1"/>
      <c r="F15" s="1"/>
      <c r="G15" s="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4">
        <f>Table2[[#This Row],[Date]]</f>
        <v>0</v>
      </c>
      <c r="DI15">
        <f>(DD16-Table2[[#This Row],[MWH Total]])*4000</f>
        <v>0</v>
      </c>
      <c r="DJ15">
        <f>(DA16-Table2[[#This Row],[PNG Meter (Outside)]])*2.936</f>
        <v>0</v>
      </c>
      <c r="DK15">
        <f>(DB16-Table2[[#This Row],[PNG Meter (Inside)]])*2.936</f>
        <v>0</v>
      </c>
      <c r="DL15">
        <f>(BH16-Table2[[#This Row],[3F Dough cooler - 2 ]])*1000</f>
        <v>0</v>
      </c>
      <c r="DM15">
        <f>(BI16-Table2[[#This Row],[3F Dough Cooler- 1]])*1000</f>
        <v>0</v>
      </c>
      <c r="DN15">
        <f>(BJ16-Table2[[#This Row],[4F Dough Production cooling Unit]])*1000</f>
        <v>0</v>
      </c>
      <c r="DO15">
        <f>(BQ16-Table2[[#This Row],[3F2 - PDB 3 - Dough Production Area]])*1000</f>
        <v>0</v>
      </c>
      <c r="DP15">
        <f>(BR16-Table2[[#This Row],[3F3 - PDB 4 - Dough Area]])*1000</f>
        <v>0</v>
      </c>
      <c r="DQ15">
        <f>S16-Table2[[#This Row],[7F2 Traywasher Panel - 1A ( + Old Ck)]]</f>
        <v>0</v>
      </c>
      <c r="DR15">
        <f>X16-Table2[[#This Row],[14F1 Traywasher Panel -1B]]</f>
        <v>0</v>
      </c>
      <c r="DS15">
        <f>AC16-Table2[[#This Row],[16F1 Tray washer Panel for Light]]</f>
        <v>0</v>
      </c>
      <c r="DT15">
        <f>CP16-Table2[[#This Row],[Tray Washer light Panel]]</f>
        <v>0</v>
      </c>
      <c r="DU15">
        <f>CQ16-Table2[[#This Row],[2F1 Tray Washer - 1]]</f>
        <v>0</v>
      </c>
      <c r="DV15">
        <f>CS16-Table2[[#This Row],[2F5 Destacker]]</f>
        <v>0</v>
      </c>
      <c r="DW15">
        <f>CT16-Table2[[#This Row],[3F1 Metering (TW-1)]]</f>
        <v>0</v>
      </c>
      <c r="DX15">
        <f>CU16-Table2[[#This Row],[5F1 Metering (TW-2)]]</f>
        <v>0</v>
      </c>
      <c r="DY15">
        <f>CV16-Table2[[#This Row],[6F1 Pre soaker Tray washer]]</f>
        <v>0</v>
      </c>
      <c r="DZ15">
        <f>CZ16-Table2[[#This Row],[6F5 Vent tray Storage]]</f>
        <v>0</v>
      </c>
      <c r="EA15">
        <f>I16-Table2[[#This Row],[Popeyes Meter ]]</f>
        <v>0</v>
      </c>
      <c r="EB15">
        <f>AZ16-Table2[[#This Row],[2F WH Chiller, Segregation Area]]</f>
        <v>0</v>
      </c>
      <c r="EC15">
        <f>BA16-Table2[[#This Row],[3F1 AC Unit WH dock cooling - 2 Nos]]</f>
        <v>0</v>
      </c>
      <c r="ED15">
        <f>BB16-Table2[[#This Row],[3F2 AC Unit WH dock cooling - 3 Nos]]</f>
        <v>0</v>
      </c>
      <c r="EE15">
        <f>(BK16-Table2[[#This Row],[5F WH Perishable]])*1000</f>
        <v>0</v>
      </c>
      <c r="EF15">
        <f>BN16-Table2[[#This Row],[2F3 - PDB 9 - WH Dock Leveler Door ]]</f>
        <v>0</v>
      </c>
      <c r="EG15">
        <f>BP16-Table2[[#This Row],[3F1 - PDB 5 - WH HSD]]</f>
        <v>0</v>
      </c>
      <c r="EH15">
        <f>BX16-Table2[[#This Row],[8F1 WH Dock AHU - Ventilation]]</f>
        <v>0</v>
      </c>
      <c r="EI15">
        <f>BZ16-Table2[[#This Row],[8F3 ACPDB - 4 WH Dock air curtain]]</f>
        <v>0</v>
      </c>
      <c r="EJ15">
        <f>CA16-Table2[[#This Row],[8F4 WH Light]]</f>
        <v>0</v>
      </c>
      <c r="EK15">
        <f>CC16-Table2[[#This Row],[9F1 - PDB 10 - WH Dock door &amp; Office]]</f>
        <v>0</v>
      </c>
      <c r="EL15">
        <f>CD16-Table2[[#This Row],[9F2 - PDB 11 - WH flycatchers]]</f>
        <v>0</v>
      </c>
      <c r="EM15">
        <f>CE16-Table2[[#This Row],[9F3 - PDB 12 - Other items]]</f>
        <v>0</v>
      </c>
      <c r="EN15">
        <f>CR16-Table2[[#This Row],[2F3 - PDB 1 - Dock 1 to 4 ]]</f>
        <v>0</v>
      </c>
      <c r="EO15">
        <f>X16-Table2[[#This Row],[14F1 Traywasher Panel -1B]]</f>
        <v>0</v>
      </c>
      <c r="EP15">
        <f>BM16-Table2[[#This Row],[2F2 - PDB 3 - WH Truck &amp; Battery Charging]]</f>
        <v>0</v>
      </c>
      <c r="EQ15">
        <f>(CK16-Table2[[#This Row],[PDB - 11 Truck Charging]])*1000</f>
        <v>0</v>
      </c>
      <c r="ER15">
        <f>P16-Table2[[#This Row],[5F3 Admin Area]]</f>
        <v>0</v>
      </c>
      <c r="ES15">
        <f>AH16-Table2[[#This Row],[2F5 Main Gate-1 Piller -1]]</f>
        <v>0</v>
      </c>
      <c r="ET15">
        <f>CW16-Table2[[#This Row],[6F2 Ground Floor AC]]</f>
        <v>0</v>
      </c>
      <c r="EU15">
        <f>CX16-Table2[[#This Row],[6F3 ACBD -1 (First floor AC)]]</f>
        <v>0</v>
      </c>
      <c r="EV15">
        <f>CY16-Table2[[#This Row],[6F4 ACBD - 2 (Second &amp; Third floor AC)]]</f>
        <v>0</v>
      </c>
      <c r="EW15">
        <f>(BC16-Table2[[#This Row],[4F Old BMC cooling Unit]])</f>
        <v>0</v>
      </c>
      <c r="EX15">
        <f>BO16-Table2[[#This Row],[2F4 - Old BMC]]</f>
        <v>0</v>
      </c>
      <c r="EY15">
        <f>Y16-Table2[[#This Row],[14F2 New CK]]</f>
        <v>0</v>
      </c>
      <c r="EZ15">
        <f>(CL16-Table2[[#This Row],[OLD Ck Panel-1]])*1000</f>
        <v>0</v>
      </c>
      <c r="FA15">
        <f>CM16-Table2[[#This Row],[2F4 Old CK Blast (Blue star)]]</f>
        <v>0</v>
      </c>
      <c r="FB15">
        <f>CN16-Table2[[#This Row],[3F6 Old CK Blast (Carrier)]]</f>
        <v>0</v>
      </c>
      <c r="FC15">
        <f>(CO16-Table2[[#This Row],[Old CK Panel -2]])*1000</f>
        <v>0</v>
      </c>
      <c r="FD15">
        <f>N16-Table2[[#This Row],[4F1 Main UPS 1/C -1]]</f>
        <v>0</v>
      </c>
      <c r="FE15">
        <f>Z16-Table2[[#This Row],[15F1 Main UPS Panel - I/C - 2]]</f>
        <v>0</v>
      </c>
      <c r="FF15">
        <f>BF16-Table2[[#This Row],[2F CLC -1 AC unit - 2]]</f>
        <v>0</v>
      </c>
      <c r="FG15">
        <f>(BG16-Table2[[#This Row],[2F CLC Anti room]])*1000</f>
        <v>0</v>
      </c>
      <c r="FH15">
        <f>BW16-Table2[[#This Row],[7F3 CLC Power Panel]]</f>
        <v>0</v>
      </c>
      <c r="FI15">
        <f>(CI16-Table2[[#This Row],[PDB - 17 CLC Section ]])*1000</f>
        <v>0</v>
      </c>
      <c r="FJ15">
        <f>(W16-Table2[[#This Row],[13F3 Water &amp; Lift Old CK]])*1000</f>
        <v>0</v>
      </c>
      <c r="FK15">
        <f>AA16-Table2[[#This Row],[15F2 New ETP Panel]]</f>
        <v>0</v>
      </c>
      <c r="FL15">
        <f>AL16-Table2[[#This Row],[3F4 Old ETP Panel]]</f>
        <v>0</v>
      </c>
      <c r="FM15">
        <f>AF16-Table2[[#This Row],[2F1 RO Plant]]</f>
        <v>0</v>
      </c>
      <c r="FN15">
        <f>AK16-Table2[[#This Row],[3F3 Fire Hydrant Panel]]</f>
        <v>0</v>
      </c>
      <c r="FO15">
        <f>O16-Table2[[#This Row],[5F1 Utility]]</f>
        <v>0</v>
      </c>
      <c r="FP15">
        <f>R16-Table2[[#This Row],[7F1 Freon System Panel]]</f>
        <v>0</v>
      </c>
      <c r="FQ15">
        <f>(AE16-Table2[[#This Row],[21F1 Refrigeration Ammonia]])*1000</f>
        <v>0</v>
      </c>
      <c r="FR15">
        <f>(AW16-Table2[[#This Row],[1F1 Ammonia Refrigeration Room Panel]])*1000</f>
        <v>0</v>
      </c>
      <c r="FS15">
        <f>(AG16-Table2[[#This Row],[2F3 Air Compressor]])*1000</f>
        <v>0</v>
      </c>
      <c r="FT15">
        <f>(AX16-Table2[[#This Row],[Solar Reading Panel II]])*1000</f>
        <v>0</v>
      </c>
      <c r="FU15">
        <f>AI16-Table2[[#This Row],[3F1 Maintenance Workshop]]</f>
        <v>0</v>
      </c>
      <c r="FV15">
        <f>BD16-Table2[[#This Row],[4F B2B unit ]]</f>
        <v>0</v>
      </c>
      <c r="FW15">
        <f>BL16-Table2[[#This Row],[2F1 - PDB 6 - Bread, B2B section]]</f>
        <v>0</v>
      </c>
      <c r="FX15">
        <f>(CG16-Table2[[#This Row],[9F5 - PDB 14 - Bread Lift]])</f>
        <v>0</v>
      </c>
      <c r="FY15">
        <f>CJ16-Table2[[#This Row],[PDB - 16 Bread Section]]</f>
        <v>0</v>
      </c>
      <c r="FZ15">
        <f>BU16-Table2[[#This Row],[7F1 Donut Production area]]</f>
        <v>0</v>
      </c>
      <c r="GA15">
        <f>CB16-Table2[[#This Row],[8F5 Donut Ban Bary]]</f>
        <v>0</v>
      </c>
      <c r="GB15">
        <f>CF16-Table2[[#This Row],[9F4 - PDB 13 - Donut Sink Geyser area]]</f>
        <v>0</v>
      </c>
      <c r="GC15">
        <f>BV16-Table2[[#This Row],[7F2 Flour Silo]]</f>
        <v>0</v>
      </c>
      <c r="GD15">
        <f>BY16-Table2[[#This Row],[8F2 ACPDB - 3 SILO Ventilation]]</f>
        <v>0</v>
      </c>
      <c r="GE15">
        <f>J16-Table2[[#This Row],[DG 1010KVA Running Hours]]</f>
        <v>0</v>
      </c>
      <c r="GF15">
        <f>K16-Table2[[#This Row],[DG 1010 KVA Meter Reading]]</f>
        <v>0</v>
      </c>
      <c r="GG15">
        <f>L16-Table2[[#This Row],[GG 1010 KVA Running Hours]]</f>
        <v>0</v>
      </c>
      <c r="GH15">
        <f>M16-Table2[[#This Row],[GG 1010 KVA Meter Reading]]</f>
        <v>0</v>
      </c>
    </row>
    <row r="16" spans="1:190" x14ac:dyDescent="0.35">
      <c r="A16" s="1"/>
      <c r="B16" s="2"/>
      <c r="C16" s="2"/>
      <c r="D16" s="1"/>
      <c r="E16" s="1"/>
      <c r="F16" s="1"/>
      <c r="G16" s="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4">
        <f>Table2[[#This Row],[Date]]</f>
        <v>0</v>
      </c>
      <c r="DI16">
        <f>(DD17-Table2[[#This Row],[MWH Total]])*4000</f>
        <v>0</v>
      </c>
      <c r="DJ16">
        <f>(DA17-Table2[[#This Row],[PNG Meter (Outside)]])*2.936</f>
        <v>0</v>
      </c>
      <c r="DK16">
        <f>(DB17-Table2[[#This Row],[PNG Meter (Inside)]])*2.936</f>
        <v>0</v>
      </c>
      <c r="DL16">
        <f>(BH17-Table2[[#This Row],[3F Dough cooler - 2 ]])*1000</f>
        <v>0</v>
      </c>
      <c r="DM16">
        <f>(BI17-Table2[[#This Row],[3F Dough Cooler- 1]])*1000</f>
        <v>0</v>
      </c>
      <c r="DN16">
        <f>(BJ17-Table2[[#This Row],[4F Dough Production cooling Unit]])*1000</f>
        <v>0</v>
      </c>
      <c r="DO16">
        <f>(BQ17-Table2[[#This Row],[3F2 - PDB 3 - Dough Production Area]])*1000</f>
        <v>0</v>
      </c>
      <c r="DP16">
        <f>(BR17-Table2[[#This Row],[3F3 - PDB 4 - Dough Area]])*1000</f>
        <v>0</v>
      </c>
      <c r="DQ16">
        <f>S17-Table2[[#This Row],[7F2 Traywasher Panel - 1A ( + Old Ck)]]</f>
        <v>0</v>
      </c>
      <c r="DR16">
        <f>X17-Table2[[#This Row],[14F1 Traywasher Panel -1B]]</f>
        <v>0</v>
      </c>
      <c r="DS16">
        <f>AC17-Table2[[#This Row],[16F1 Tray washer Panel for Light]]</f>
        <v>0</v>
      </c>
      <c r="DT16">
        <f>CP17-Table2[[#This Row],[Tray Washer light Panel]]</f>
        <v>0</v>
      </c>
      <c r="DU16">
        <f>CQ17-Table2[[#This Row],[2F1 Tray Washer - 1]]</f>
        <v>0</v>
      </c>
      <c r="DV16">
        <f>CS17-Table2[[#This Row],[2F5 Destacker]]</f>
        <v>0</v>
      </c>
      <c r="DW16">
        <f>CT17-Table2[[#This Row],[3F1 Metering (TW-1)]]</f>
        <v>0</v>
      </c>
      <c r="DX16">
        <f>CU17-Table2[[#This Row],[5F1 Metering (TW-2)]]</f>
        <v>0</v>
      </c>
      <c r="DY16">
        <f>CV17-Table2[[#This Row],[6F1 Pre soaker Tray washer]]</f>
        <v>0</v>
      </c>
      <c r="DZ16">
        <f>CZ17-Table2[[#This Row],[6F5 Vent tray Storage]]</f>
        <v>0</v>
      </c>
      <c r="EA16">
        <f>I17-Table2[[#This Row],[Popeyes Meter ]]</f>
        <v>0</v>
      </c>
      <c r="EB16">
        <f>AZ17-Table2[[#This Row],[2F WH Chiller, Segregation Area]]</f>
        <v>0</v>
      </c>
      <c r="EC16">
        <f>BA17-Table2[[#This Row],[3F1 AC Unit WH dock cooling - 2 Nos]]</f>
        <v>0</v>
      </c>
      <c r="ED16">
        <f>BB17-Table2[[#This Row],[3F2 AC Unit WH dock cooling - 3 Nos]]</f>
        <v>0</v>
      </c>
      <c r="EE16">
        <f>(BK17-Table2[[#This Row],[5F WH Perishable]])*1000</f>
        <v>0</v>
      </c>
      <c r="EF16">
        <f>BN17-Table2[[#This Row],[2F3 - PDB 9 - WH Dock Leveler Door ]]</f>
        <v>0</v>
      </c>
      <c r="EG16">
        <f>BP17-Table2[[#This Row],[3F1 - PDB 5 - WH HSD]]</f>
        <v>0</v>
      </c>
      <c r="EH16">
        <f>BX17-Table2[[#This Row],[8F1 WH Dock AHU - Ventilation]]</f>
        <v>0</v>
      </c>
      <c r="EI16">
        <f>BZ17-Table2[[#This Row],[8F3 ACPDB - 4 WH Dock air curtain]]</f>
        <v>0</v>
      </c>
      <c r="EJ16">
        <f>CA17-Table2[[#This Row],[8F4 WH Light]]</f>
        <v>0</v>
      </c>
      <c r="EK16">
        <f>CC17-Table2[[#This Row],[9F1 - PDB 10 - WH Dock door &amp; Office]]</f>
        <v>0</v>
      </c>
      <c r="EL16">
        <f>CD17-Table2[[#This Row],[9F2 - PDB 11 - WH flycatchers]]</f>
        <v>0</v>
      </c>
      <c r="EM16">
        <f>CE17-Table2[[#This Row],[9F3 - PDB 12 - Other items]]</f>
        <v>0</v>
      </c>
      <c r="EN16">
        <f>CR17-Table2[[#This Row],[2F3 - PDB 1 - Dock 1 to 4 ]]</f>
        <v>0</v>
      </c>
      <c r="EO16">
        <f>X17-Table2[[#This Row],[14F1 Traywasher Panel -1B]]</f>
        <v>0</v>
      </c>
      <c r="EP16">
        <f>BM17-Table2[[#This Row],[2F2 - PDB 3 - WH Truck &amp; Battery Charging]]</f>
        <v>0</v>
      </c>
      <c r="EQ16">
        <f>(CK17-Table2[[#This Row],[PDB - 11 Truck Charging]])*1000</f>
        <v>0</v>
      </c>
      <c r="ER16">
        <f>P17-Table2[[#This Row],[5F3 Admin Area]]</f>
        <v>0</v>
      </c>
      <c r="ES16">
        <f>AH17-Table2[[#This Row],[2F5 Main Gate-1 Piller -1]]</f>
        <v>0</v>
      </c>
      <c r="ET16">
        <f>CW17-Table2[[#This Row],[6F2 Ground Floor AC]]</f>
        <v>0</v>
      </c>
      <c r="EU16">
        <f>CX17-Table2[[#This Row],[6F3 ACBD -1 (First floor AC)]]</f>
        <v>0</v>
      </c>
      <c r="EV16">
        <f>CY17-Table2[[#This Row],[6F4 ACBD - 2 (Second &amp; Third floor AC)]]</f>
        <v>0</v>
      </c>
      <c r="EW16">
        <f>(BC17-Table2[[#This Row],[4F Old BMC cooling Unit]])</f>
        <v>0</v>
      </c>
      <c r="EX16">
        <f>BO17-Table2[[#This Row],[2F4 - Old BMC]]</f>
        <v>0</v>
      </c>
      <c r="EY16">
        <f>Y17-Table2[[#This Row],[14F2 New CK]]</f>
        <v>0</v>
      </c>
      <c r="EZ16">
        <f>(CL17-Table2[[#This Row],[OLD Ck Panel-1]])*1000</f>
        <v>0</v>
      </c>
      <c r="FA16">
        <f>CM17-Table2[[#This Row],[2F4 Old CK Blast (Blue star)]]</f>
        <v>0</v>
      </c>
      <c r="FB16">
        <f>CN17-Table2[[#This Row],[3F6 Old CK Blast (Carrier)]]</f>
        <v>0</v>
      </c>
      <c r="FC16">
        <f>(CO17-Table2[[#This Row],[Old CK Panel -2]])*1000</f>
        <v>0</v>
      </c>
      <c r="FD16">
        <f>N17-Table2[[#This Row],[4F1 Main UPS 1/C -1]]</f>
        <v>0</v>
      </c>
      <c r="FE16">
        <f>Z17-Table2[[#This Row],[15F1 Main UPS Panel - I/C - 2]]</f>
        <v>0</v>
      </c>
      <c r="FF16">
        <f>BF17-Table2[[#This Row],[2F CLC -1 AC unit - 2]]</f>
        <v>0</v>
      </c>
      <c r="FG16">
        <f>(BG17-Table2[[#This Row],[2F CLC Anti room]])*1000</f>
        <v>0</v>
      </c>
      <c r="FH16">
        <f>BW17-Table2[[#This Row],[7F3 CLC Power Panel]]</f>
        <v>0</v>
      </c>
      <c r="FI16">
        <f>(CI17-Table2[[#This Row],[PDB - 17 CLC Section ]])*1000</f>
        <v>0</v>
      </c>
      <c r="FJ16">
        <f>(W17-Table2[[#This Row],[13F3 Water &amp; Lift Old CK]])*1000</f>
        <v>0</v>
      </c>
      <c r="FK16">
        <f>AA17-Table2[[#This Row],[15F2 New ETP Panel]]</f>
        <v>0</v>
      </c>
      <c r="FL16">
        <f>AL17-Table2[[#This Row],[3F4 Old ETP Panel]]</f>
        <v>0</v>
      </c>
      <c r="FM16">
        <f>AF17-Table2[[#This Row],[2F1 RO Plant]]</f>
        <v>0</v>
      </c>
      <c r="FN16">
        <f>AK17-Table2[[#This Row],[3F3 Fire Hydrant Panel]]</f>
        <v>0</v>
      </c>
      <c r="FO16">
        <f>O17-Table2[[#This Row],[5F1 Utility]]</f>
        <v>0</v>
      </c>
      <c r="FP16">
        <f>R17-Table2[[#This Row],[7F1 Freon System Panel]]</f>
        <v>0</v>
      </c>
      <c r="FQ16">
        <f>(AE17-Table2[[#This Row],[21F1 Refrigeration Ammonia]])*1000</f>
        <v>0</v>
      </c>
      <c r="FR16">
        <f>(AW17-Table2[[#This Row],[1F1 Ammonia Refrigeration Room Panel]])*1000</f>
        <v>0</v>
      </c>
      <c r="FS16">
        <f>(AG17-Table2[[#This Row],[2F3 Air Compressor]])*1000</f>
        <v>0</v>
      </c>
      <c r="FT16">
        <f>(AX17-Table2[[#This Row],[Solar Reading Panel II]])*1000</f>
        <v>0</v>
      </c>
      <c r="FU16">
        <f>AI17-Table2[[#This Row],[3F1 Maintenance Workshop]]</f>
        <v>0</v>
      </c>
      <c r="FV16">
        <f>BD17-Table2[[#This Row],[4F B2B unit ]]</f>
        <v>0</v>
      </c>
      <c r="FW16">
        <f>BL17-Table2[[#This Row],[2F1 - PDB 6 - Bread, B2B section]]</f>
        <v>0</v>
      </c>
      <c r="FX16">
        <f>(CG17-Table2[[#This Row],[9F5 - PDB 14 - Bread Lift]])</f>
        <v>0</v>
      </c>
      <c r="FY16">
        <f>CJ17-Table2[[#This Row],[PDB - 16 Bread Section]]</f>
        <v>0</v>
      </c>
      <c r="FZ16">
        <f>BU17-Table2[[#This Row],[7F1 Donut Production area]]</f>
        <v>0</v>
      </c>
      <c r="GA16">
        <f>CB17-Table2[[#This Row],[8F5 Donut Ban Bary]]</f>
        <v>0</v>
      </c>
      <c r="GB16">
        <f>CF17-Table2[[#This Row],[9F4 - PDB 13 - Donut Sink Geyser area]]</f>
        <v>0</v>
      </c>
      <c r="GC16">
        <f>BV17-Table2[[#This Row],[7F2 Flour Silo]]</f>
        <v>0</v>
      </c>
      <c r="GD16">
        <f>BY17-Table2[[#This Row],[8F2 ACPDB - 3 SILO Ventilation]]</f>
        <v>0</v>
      </c>
      <c r="GE16">
        <f>J17-Table2[[#This Row],[DG 1010KVA Running Hours]]</f>
        <v>0</v>
      </c>
      <c r="GF16">
        <f>K17-Table2[[#This Row],[DG 1010 KVA Meter Reading]]</f>
        <v>0</v>
      </c>
      <c r="GG16">
        <f>L17-Table2[[#This Row],[GG 1010 KVA Running Hours]]</f>
        <v>0</v>
      </c>
      <c r="GH16">
        <f>M17-Table2[[#This Row],[GG 1010 KVA Meter Reading]]</f>
        <v>0</v>
      </c>
    </row>
    <row r="17" spans="1:190" x14ac:dyDescent="0.35">
      <c r="A17" s="1"/>
      <c r="B17" s="2"/>
      <c r="C17" s="2"/>
      <c r="D17" s="1"/>
      <c r="E17" s="1"/>
      <c r="F17" s="1"/>
      <c r="G17" s="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4">
        <f>Table2[[#This Row],[Date]]</f>
        <v>0</v>
      </c>
      <c r="DI17">
        <f>(DD18-Table2[[#This Row],[MWH Total]])*4000</f>
        <v>0</v>
      </c>
      <c r="DJ17">
        <f>(DA18-Table2[[#This Row],[PNG Meter (Outside)]])*2.936</f>
        <v>0</v>
      </c>
      <c r="DK17">
        <f>(DB18-Table2[[#This Row],[PNG Meter (Inside)]])*2.936</f>
        <v>0</v>
      </c>
      <c r="DL17">
        <f>(BH18-Table2[[#This Row],[3F Dough cooler - 2 ]])*1000</f>
        <v>0</v>
      </c>
      <c r="DM17">
        <f>(BI18-Table2[[#This Row],[3F Dough Cooler- 1]])*1000</f>
        <v>0</v>
      </c>
      <c r="DN17">
        <f>(BJ18-Table2[[#This Row],[4F Dough Production cooling Unit]])*1000</f>
        <v>0</v>
      </c>
      <c r="DO17">
        <f>(BQ18-Table2[[#This Row],[3F2 - PDB 3 - Dough Production Area]])*1000</f>
        <v>0</v>
      </c>
      <c r="DP17">
        <f>(BR18-Table2[[#This Row],[3F3 - PDB 4 - Dough Area]])*1000</f>
        <v>0</v>
      </c>
      <c r="DQ17">
        <f>S18-Table2[[#This Row],[7F2 Traywasher Panel - 1A ( + Old Ck)]]</f>
        <v>0</v>
      </c>
      <c r="DR17">
        <f>X18-Table2[[#This Row],[14F1 Traywasher Panel -1B]]</f>
        <v>0</v>
      </c>
      <c r="DS17">
        <f>AC18-Table2[[#This Row],[16F1 Tray washer Panel for Light]]</f>
        <v>0</v>
      </c>
      <c r="DT17">
        <f>CP18-Table2[[#This Row],[Tray Washer light Panel]]</f>
        <v>0</v>
      </c>
      <c r="DU17">
        <f>CQ18-Table2[[#This Row],[2F1 Tray Washer - 1]]</f>
        <v>0</v>
      </c>
      <c r="DV17">
        <f>CS18-Table2[[#This Row],[2F5 Destacker]]</f>
        <v>0</v>
      </c>
      <c r="DW17">
        <f>CT18-Table2[[#This Row],[3F1 Metering (TW-1)]]</f>
        <v>0</v>
      </c>
      <c r="DX17">
        <f>CU18-Table2[[#This Row],[5F1 Metering (TW-2)]]</f>
        <v>0</v>
      </c>
      <c r="DY17">
        <f>CV18-Table2[[#This Row],[6F1 Pre soaker Tray washer]]</f>
        <v>0</v>
      </c>
      <c r="DZ17">
        <f>CZ18-Table2[[#This Row],[6F5 Vent tray Storage]]</f>
        <v>0</v>
      </c>
      <c r="EA17">
        <f>I18-Table2[[#This Row],[Popeyes Meter ]]</f>
        <v>0</v>
      </c>
      <c r="EB17">
        <f>AZ18-Table2[[#This Row],[2F WH Chiller, Segregation Area]]</f>
        <v>0</v>
      </c>
      <c r="EC17">
        <f>BA18-Table2[[#This Row],[3F1 AC Unit WH dock cooling - 2 Nos]]</f>
        <v>0</v>
      </c>
      <c r="ED17">
        <f>BB18-Table2[[#This Row],[3F2 AC Unit WH dock cooling - 3 Nos]]</f>
        <v>0</v>
      </c>
      <c r="EE17">
        <f>(BK18-Table2[[#This Row],[5F WH Perishable]])*1000</f>
        <v>0</v>
      </c>
      <c r="EF17">
        <f>BN18-Table2[[#This Row],[2F3 - PDB 9 - WH Dock Leveler Door ]]</f>
        <v>0</v>
      </c>
      <c r="EG17">
        <f>BP18-Table2[[#This Row],[3F1 - PDB 5 - WH HSD]]</f>
        <v>0</v>
      </c>
      <c r="EH17">
        <f>BX18-Table2[[#This Row],[8F1 WH Dock AHU - Ventilation]]</f>
        <v>0</v>
      </c>
      <c r="EI17">
        <f>BZ18-Table2[[#This Row],[8F3 ACPDB - 4 WH Dock air curtain]]</f>
        <v>0</v>
      </c>
      <c r="EJ17">
        <f>CA18-Table2[[#This Row],[8F4 WH Light]]</f>
        <v>0</v>
      </c>
      <c r="EK17">
        <f>CC18-Table2[[#This Row],[9F1 - PDB 10 - WH Dock door &amp; Office]]</f>
        <v>0</v>
      </c>
      <c r="EL17">
        <f>CD18-Table2[[#This Row],[9F2 - PDB 11 - WH flycatchers]]</f>
        <v>0</v>
      </c>
      <c r="EM17">
        <f>CE18-Table2[[#This Row],[9F3 - PDB 12 - Other items]]</f>
        <v>0</v>
      </c>
      <c r="EN17">
        <f>CR18-Table2[[#This Row],[2F3 - PDB 1 - Dock 1 to 4 ]]</f>
        <v>0</v>
      </c>
      <c r="EO17">
        <f>X18-Table2[[#This Row],[14F1 Traywasher Panel -1B]]</f>
        <v>0</v>
      </c>
      <c r="EP17">
        <f>BM18-Table2[[#This Row],[2F2 - PDB 3 - WH Truck &amp; Battery Charging]]</f>
        <v>0</v>
      </c>
      <c r="EQ17">
        <f>(CK18-Table2[[#This Row],[PDB - 11 Truck Charging]])*1000</f>
        <v>0</v>
      </c>
      <c r="ER17">
        <f>P18-Table2[[#This Row],[5F3 Admin Area]]</f>
        <v>0</v>
      </c>
      <c r="ES17">
        <f>AH18-Table2[[#This Row],[2F5 Main Gate-1 Piller -1]]</f>
        <v>0</v>
      </c>
      <c r="ET17">
        <f>CW18-Table2[[#This Row],[6F2 Ground Floor AC]]</f>
        <v>0</v>
      </c>
      <c r="EU17">
        <f>CX18-Table2[[#This Row],[6F3 ACBD -1 (First floor AC)]]</f>
        <v>0</v>
      </c>
      <c r="EV17">
        <f>CY18-Table2[[#This Row],[6F4 ACBD - 2 (Second &amp; Third floor AC)]]</f>
        <v>0</v>
      </c>
      <c r="EW17">
        <f>(BC18-Table2[[#This Row],[4F Old BMC cooling Unit]])</f>
        <v>0</v>
      </c>
      <c r="EX17">
        <f>BO18-Table2[[#This Row],[2F4 - Old BMC]]</f>
        <v>0</v>
      </c>
      <c r="EY17">
        <f>Y18-Table2[[#This Row],[14F2 New CK]]</f>
        <v>0</v>
      </c>
      <c r="EZ17">
        <f>(CL18-Table2[[#This Row],[OLD Ck Panel-1]])*1000</f>
        <v>0</v>
      </c>
      <c r="FA17">
        <f>CM18-Table2[[#This Row],[2F4 Old CK Blast (Blue star)]]</f>
        <v>0</v>
      </c>
      <c r="FB17">
        <f>CN18-Table2[[#This Row],[3F6 Old CK Blast (Carrier)]]</f>
        <v>0</v>
      </c>
      <c r="FC17">
        <f>(CO18-Table2[[#This Row],[Old CK Panel -2]])*1000</f>
        <v>0</v>
      </c>
      <c r="FD17">
        <f>N18-Table2[[#This Row],[4F1 Main UPS 1/C -1]]</f>
        <v>0</v>
      </c>
      <c r="FE17">
        <f>Z18-Table2[[#This Row],[15F1 Main UPS Panel - I/C - 2]]</f>
        <v>0</v>
      </c>
      <c r="FF17">
        <f>BF18-Table2[[#This Row],[2F CLC -1 AC unit - 2]]</f>
        <v>0</v>
      </c>
      <c r="FG17">
        <f>(BG18-Table2[[#This Row],[2F CLC Anti room]])*1000</f>
        <v>0</v>
      </c>
      <c r="FH17">
        <f>BW18-Table2[[#This Row],[7F3 CLC Power Panel]]</f>
        <v>0</v>
      </c>
      <c r="FI17">
        <f>(CI18-Table2[[#This Row],[PDB - 17 CLC Section ]])*1000</f>
        <v>0</v>
      </c>
      <c r="FJ17">
        <f>(W18-Table2[[#This Row],[13F3 Water &amp; Lift Old CK]])*1000</f>
        <v>0</v>
      </c>
      <c r="FK17">
        <f>AA18-Table2[[#This Row],[15F2 New ETP Panel]]</f>
        <v>0</v>
      </c>
      <c r="FL17">
        <f>AL18-Table2[[#This Row],[3F4 Old ETP Panel]]</f>
        <v>0</v>
      </c>
      <c r="FM17">
        <f>AF18-Table2[[#This Row],[2F1 RO Plant]]</f>
        <v>0</v>
      </c>
      <c r="FN17">
        <f>AK18-Table2[[#This Row],[3F3 Fire Hydrant Panel]]</f>
        <v>0</v>
      </c>
      <c r="FO17">
        <f>O18-Table2[[#This Row],[5F1 Utility]]</f>
        <v>0</v>
      </c>
      <c r="FP17">
        <f>R18-Table2[[#This Row],[7F1 Freon System Panel]]</f>
        <v>0</v>
      </c>
      <c r="FQ17">
        <f>(AE18-Table2[[#This Row],[21F1 Refrigeration Ammonia]])*1000</f>
        <v>0</v>
      </c>
      <c r="FR17">
        <f>(AW18-Table2[[#This Row],[1F1 Ammonia Refrigeration Room Panel]])*1000</f>
        <v>0</v>
      </c>
      <c r="FS17">
        <f>(AG18-Table2[[#This Row],[2F3 Air Compressor]])*1000</f>
        <v>0</v>
      </c>
      <c r="FT17">
        <f>(AX18-Table2[[#This Row],[Solar Reading Panel II]])*1000</f>
        <v>0</v>
      </c>
      <c r="FU17">
        <f>AI18-Table2[[#This Row],[3F1 Maintenance Workshop]]</f>
        <v>0</v>
      </c>
      <c r="FV17">
        <f>BD18-Table2[[#This Row],[4F B2B unit ]]</f>
        <v>0</v>
      </c>
      <c r="FW17">
        <f>BL18-Table2[[#This Row],[2F1 - PDB 6 - Bread, B2B section]]</f>
        <v>0</v>
      </c>
      <c r="FX17">
        <f>(CG18-Table2[[#This Row],[9F5 - PDB 14 - Bread Lift]])</f>
        <v>0</v>
      </c>
      <c r="FY17">
        <f>CJ18-Table2[[#This Row],[PDB - 16 Bread Section]]</f>
        <v>0</v>
      </c>
      <c r="FZ17">
        <f>BU18-Table2[[#This Row],[7F1 Donut Production area]]</f>
        <v>0</v>
      </c>
      <c r="GA17">
        <f>CB18-Table2[[#This Row],[8F5 Donut Ban Bary]]</f>
        <v>0</v>
      </c>
      <c r="GB17">
        <f>CF18-Table2[[#This Row],[9F4 - PDB 13 - Donut Sink Geyser area]]</f>
        <v>0</v>
      </c>
      <c r="GC17">
        <f>BV18-Table2[[#This Row],[7F2 Flour Silo]]</f>
        <v>0</v>
      </c>
      <c r="GD17">
        <f>BY18-Table2[[#This Row],[8F2 ACPDB - 3 SILO Ventilation]]</f>
        <v>0</v>
      </c>
      <c r="GE17">
        <f>J18-Table2[[#This Row],[DG 1010KVA Running Hours]]</f>
        <v>0</v>
      </c>
      <c r="GF17">
        <f>K18-Table2[[#This Row],[DG 1010 KVA Meter Reading]]</f>
        <v>0</v>
      </c>
      <c r="GG17">
        <f>L18-Table2[[#This Row],[GG 1010 KVA Running Hours]]</f>
        <v>0</v>
      </c>
      <c r="GH17">
        <f>M18-Table2[[#This Row],[GG 1010 KVA Meter Reading]]</f>
        <v>0</v>
      </c>
    </row>
    <row r="18" spans="1:190" x14ac:dyDescent="0.35">
      <c r="A18" s="1"/>
      <c r="B18" s="2"/>
      <c r="C18" s="2"/>
      <c r="D18" s="1"/>
      <c r="E18" s="1"/>
      <c r="F18" s="1"/>
      <c r="G18" s="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4">
        <f>Table2[[#This Row],[Date]]</f>
        <v>0</v>
      </c>
      <c r="DI18">
        <f>(DD19-Table2[[#This Row],[MWH Total]])*4000</f>
        <v>0</v>
      </c>
      <c r="DJ18">
        <f>(DA19-Table2[[#This Row],[PNG Meter (Outside)]])*2.936</f>
        <v>0</v>
      </c>
      <c r="DK18">
        <f>(DB19-Table2[[#This Row],[PNG Meter (Inside)]])*2.936</f>
        <v>0</v>
      </c>
      <c r="DL18">
        <f>(BH19-Table2[[#This Row],[3F Dough cooler - 2 ]])*1000</f>
        <v>0</v>
      </c>
      <c r="DM18">
        <f>(BI19-Table2[[#This Row],[3F Dough Cooler- 1]])*1000</f>
        <v>0</v>
      </c>
      <c r="DN18">
        <f>(BJ19-Table2[[#This Row],[4F Dough Production cooling Unit]])*1000</f>
        <v>0</v>
      </c>
      <c r="DO18">
        <f>(BQ19-Table2[[#This Row],[3F2 - PDB 3 - Dough Production Area]])*1000</f>
        <v>0</v>
      </c>
      <c r="DP18">
        <f>(BR19-Table2[[#This Row],[3F3 - PDB 4 - Dough Area]])*1000</f>
        <v>0</v>
      </c>
      <c r="DQ18">
        <f>S19-Table2[[#This Row],[7F2 Traywasher Panel - 1A ( + Old Ck)]]</f>
        <v>0</v>
      </c>
      <c r="DR18">
        <f>X19-Table2[[#This Row],[14F1 Traywasher Panel -1B]]</f>
        <v>0</v>
      </c>
      <c r="DS18">
        <f>AC19-Table2[[#This Row],[16F1 Tray washer Panel for Light]]</f>
        <v>0</v>
      </c>
      <c r="DT18">
        <f>CP19-Table2[[#This Row],[Tray Washer light Panel]]</f>
        <v>0</v>
      </c>
      <c r="DU18">
        <f>CQ19-Table2[[#This Row],[2F1 Tray Washer - 1]]</f>
        <v>0</v>
      </c>
      <c r="DV18">
        <f>CS19-Table2[[#This Row],[2F5 Destacker]]</f>
        <v>0</v>
      </c>
      <c r="DW18">
        <f>CT19-Table2[[#This Row],[3F1 Metering (TW-1)]]</f>
        <v>0</v>
      </c>
      <c r="DX18">
        <f>CU19-Table2[[#This Row],[5F1 Metering (TW-2)]]</f>
        <v>0</v>
      </c>
      <c r="DY18">
        <f>CV19-Table2[[#This Row],[6F1 Pre soaker Tray washer]]</f>
        <v>0</v>
      </c>
      <c r="DZ18">
        <f>CZ19-Table2[[#This Row],[6F5 Vent tray Storage]]</f>
        <v>0</v>
      </c>
      <c r="EA18">
        <f>I19-Table2[[#This Row],[Popeyes Meter ]]</f>
        <v>0</v>
      </c>
      <c r="EB18">
        <f>AZ19-Table2[[#This Row],[2F WH Chiller, Segregation Area]]</f>
        <v>0</v>
      </c>
      <c r="EC18">
        <f>BA19-Table2[[#This Row],[3F1 AC Unit WH dock cooling - 2 Nos]]</f>
        <v>0</v>
      </c>
      <c r="ED18">
        <f>BB19-Table2[[#This Row],[3F2 AC Unit WH dock cooling - 3 Nos]]</f>
        <v>0</v>
      </c>
      <c r="EE18">
        <f>(BK19-Table2[[#This Row],[5F WH Perishable]])*1000</f>
        <v>0</v>
      </c>
      <c r="EF18">
        <f>BN19-Table2[[#This Row],[2F3 - PDB 9 - WH Dock Leveler Door ]]</f>
        <v>0</v>
      </c>
      <c r="EG18">
        <f>BP19-Table2[[#This Row],[3F1 - PDB 5 - WH HSD]]</f>
        <v>0</v>
      </c>
      <c r="EH18">
        <f>BX19-Table2[[#This Row],[8F1 WH Dock AHU - Ventilation]]</f>
        <v>0</v>
      </c>
      <c r="EI18">
        <f>BZ19-Table2[[#This Row],[8F3 ACPDB - 4 WH Dock air curtain]]</f>
        <v>0</v>
      </c>
      <c r="EJ18">
        <f>CA19-Table2[[#This Row],[8F4 WH Light]]</f>
        <v>0</v>
      </c>
      <c r="EK18">
        <f>CC19-Table2[[#This Row],[9F1 - PDB 10 - WH Dock door &amp; Office]]</f>
        <v>0</v>
      </c>
      <c r="EL18">
        <f>CD19-Table2[[#This Row],[9F2 - PDB 11 - WH flycatchers]]</f>
        <v>0</v>
      </c>
      <c r="EM18">
        <f>CE19-Table2[[#This Row],[9F3 - PDB 12 - Other items]]</f>
        <v>0</v>
      </c>
      <c r="EN18">
        <f>CR19-Table2[[#This Row],[2F3 - PDB 1 - Dock 1 to 4 ]]</f>
        <v>0</v>
      </c>
      <c r="EO18">
        <f>X19-Table2[[#This Row],[14F1 Traywasher Panel -1B]]</f>
        <v>0</v>
      </c>
      <c r="EP18">
        <f>BM19-Table2[[#This Row],[2F2 - PDB 3 - WH Truck &amp; Battery Charging]]</f>
        <v>0</v>
      </c>
      <c r="EQ18">
        <f>(CK19-Table2[[#This Row],[PDB - 11 Truck Charging]])*1000</f>
        <v>0</v>
      </c>
      <c r="ER18">
        <f>P19-Table2[[#This Row],[5F3 Admin Area]]</f>
        <v>0</v>
      </c>
      <c r="ES18">
        <f>AH19-Table2[[#This Row],[2F5 Main Gate-1 Piller -1]]</f>
        <v>0</v>
      </c>
      <c r="ET18">
        <f>CW19-Table2[[#This Row],[6F2 Ground Floor AC]]</f>
        <v>0</v>
      </c>
      <c r="EU18">
        <f>CX19-Table2[[#This Row],[6F3 ACBD -1 (First floor AC)]]</f>
        <v>0</v>
      </c>
      <c r="EV18">
        <f>CY19-Table2[[#This Row],[6F4 ACBD - 2 (Second &amp; Third floor AC)]]</f>
        <v>0</v>
      </c>
      <c r="EW18">
        <f>(BC19-Table2[[#This Row],[4F Old BMC cooling Unit]])</f>
        <v>0</v>
      </c>
      <c r="EX18">
        <f>BO19-Table2[[#This Row],[2F4 - Old BMC]]</f>
        <v>0</v>
      </c>
      <c r="EY18">
        <f>Y19-Table2[[#This Row],[14F2 New CK]]</f>
        <v>0</v>
      </c>
      <c r="EZ18">
        <f>(CL19-Table2[[#This Row],[OLD Ck Panel-1]])*1000</f>
        <v>0</v>
      </c>
      <c r="FA18">
        <f>CM19-Table2[[#This Row],[2F4 Old CK Blast (Blue star)]]</f>
        <v>0</v>
      </c>
      <c r="FB18">
        <f>CN19-Table2[[#This Row],[3F6 Old CK Blast (Carrier)]]</f>
        <v>0</v>
      </c>
      <c r="FC18">
        <f>(CO19-Table2[[#This Row],[Old CK Panel -2]])*1000</f>
        <v>0</v>
      </c>
      <c r="FD18">
        <f>N19-Table2[[#This Row],[4F1 Main UPS 1/C -1]]</f>
        <v>0</v>
      </c>
      <c r="FE18">
        <f>Z19-Table2[[#This Row],[15F1 Main UPS Panel - I/C - 2]]</f>
        <v>0</v>
      </c>
      <c r="FF18">
        <f>BF19-Table2[[#This Row],[2F CLC -1 AC unit - 2]]</f>
        <v>0</v>
      </c>
      <c r="FG18">
        <f>(BG19-Table2[[#This Row],[2F CLC Anti room]])*1000</f>
        <v>0</v>
      </c>
      <c r="FH18">
        <f>BW19-Table2[[#This Row],[7F3 CLC Power Panel]]</f>
        <v>0</v>
      </c>
      <c r="FI18">
        <f>(CI19-Table2[[#This Row],[PDB - 17 CLC Section ]])*1000</f>
        <v>0</v>
      </c>
      <c r="FJ18">
        <f>(W19-Table2[[#This Row],[13F3 Water &amp; Lift Old CK]])*1000</f>
        <v>0</v>
      </c>
      <c r="FK18">
        <f>AA19-Table2[[#This Row],[15F2 New ETP Panel]]</f>
        <v>0</v>
      </c>
      <c r="FL18">
        <f>AL19-Table2[[#This Row],[3F4 Old ETP Panel]]</f>
        <v>0</v>
      </c>
      <c r="FM18">
        <f>AF19-Table2[[#This Row],[2F1 RO Plant]]</f>
        <v>0</v>
      </c>
      <c r="FN18">
        <f>AK19-Table2[[#This Row],[3F3 Fire Hydrant Panel]]</f>
        <v>0</v>
      </c>
      <c r="FO18">
        <f>O19-Table2[[#This Row],[5F1 Utility]]</f>
        <v>0</v>
      </c>
      <c r="FP18">
        <f>R19-Table2[[#This Row],[7F1 Freon System Panel]]</f>
        <v>0</v>
      </c>
      <c r="FQ18">
        <f>(AE19-Table2[[#This Row],[21F1 Refrigeration Ammonia]])*1000</f>
        <v>0</v>
      </c>
      <c r="FR18">
        <f>(AW19-Table2[[#This Row],[1F1 Ammonia Refrigeration Room Panel]])*1000</f>
        <v>0</v>
      </c>
      <c r="FS18">
        <f>(AG19-Table2[[#This Row],[2F3 Air Compressor]])*1000</f>
        <v>0</v>
      </c>
      <c r="FT18">
        <f>(AX19-Table2[[#This Row],[Solar Reading Panel II]])*1000</f>
        <v>0</v>
      </c>
      <c r="FU18">
        <f>AI19-Table2[[#This Row],[3F1 Maintenance Workshop]]</f>
        <v>0</v>
      </c>
      <c r="FV18">
        <f>BD19-Table2[[#This Row],[4F B2B unit ]]</f>
        <v>0</v>
      </c>
      <c r="FW18">
        <f>BL19-Table2[[#This Row],[2F1 - PDB 6 - Bread, B2B section]]</f>
        <v>0</v>
      </c>
      <c r="FX18">
        <f>(CG19-Table2[[#This Row],[9F5 - PDB 14 - Bread Lift]])</f>
        <v>0</v>
      </c>
      <c r="FY18">
        <f>CJ19-Table2[[#This Row],[PDB - 16 Bread Section]]</f>
        <v>0</v>
      </c>
      <c r="FZ18">
        <f>BU19-Table2[[#This Row],[7F1 Donut Production area]]</f>
        <v>0</v>
      </c>
      <c r="GA18">
        <f>CB19-Table2[[#This Row],[8F5 Donut Ban Bary]]</f>
        <v>0</v>
      </c>
      <c r="GB18">
        <f>CF19-Table2[[#This Row],[9F4 - PDB 13 - Donut Sink Geyser area]]</f>
        <v>0</v>
      </c>
      <c r="GC18">
        <f>BV19-Table2[[#This Row],[7F2 Flour Silo]]</f>
        <v>0</v>
      </c>
      <c r="GD18">
        <f>BY19-Table2[[#This Row],[8F2 ACPDB - 3 SILO Ventilation]]</f>
        <v>0</v>
      </c>
      <c r="GE18">
        <f>J19-Table2[[#This Row],[DG 1010KVA Running Hours]]</f>
        <v>0</v>
      </c>
      <c r="GF18">
        <f>K19-Table2[[#This Row],[DG 1010 KVA Meter Reading]]</f>
        <v>0</v>
      </c>
      <c r="GG18">
        <f>L19-Table2[[#This Row],[GG 1010 KVA Running Hours]]</f>
        <v>0</v>
      </c>
      <c r="GH18">
        <f>M19-Table2[[#This Row],[GG 1010 KVA Meter Reading]]</f>
        <v>0</v>
      </c>
    </row>
    <row r="19" spans="1:190" x14ac:dyDescent="0.35">
      <c r="A19" s="1"/>
      <c r="B19" s="2"/>
      <c r="C19" s="2"/>
      <c r="D19" s="1"/>
      <c r="E19" s="1"/>
      <c r="F19" s="1"/>
      <c r="G19" s="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4">
        <f>Table2[[#This Row],[Date]]</f>
        <v>0</v>
      </c>
      <c r="DI19">
        <f>(DD20-Table2[[#This Row],[MWH Total]])*4000</f>
        <v>0</v>
      </c>
      <c r="DJ19">
        <f>(DA20-Table2[[#This Row],[PNG Meter (Outside)]])*2.936</f>
        <v>0</v>
      </c>
      <c r="DK19">
        <f>(DB20-Table2[[#This Row],[PNG Meter (Inside)]])*2.936</f>
        <v>0</v>
      </c>
      <c r="DL19">
        <f>(BH20-Table2[[#This Row],[3F Dough cooler - 2 ]])*1000</f>
        <v>0</v>
      </c>
      <c r="DM19">
        <f>(BI20-Table2[[#This Row],[3F Dough Cooler- 1]])*1000</f>
        <v>0</v>
      </c>
      <c r="DN19">
        <f>(BJ20-Table2[[#This Row],[4F Dough Production cooling Unit]])*1000</f>
        <v>0</v>
      </c>
      <c r="DO19">
        <f>(BQ20-Table2[[#This Row],[3F2 - PDB 3 - Dough Production Area]])*1000</f>
        <v>0</v>
      </c>
      <c r="DP19">
        <f>(BR20-Table2[[#This Row],[3F3 - PDB 4 - Dough Area]])*1000</f>
        <v>0</v>
      </c>
      <c r="DQ19">
        <f>S20-Table2[[#This Row],[7F2 Traywasher Panel - 1A ( + Old Ck)]]</f>
        <v>0</v>
      </c>
      <c r="DR19">
        <f>X20-Table2[[#This Row],[14F1 Traywasher Panel -1B]]</f>
        <v>0</v>
      </c>
      <c r="DS19">
        <f>AC20-Table2[[#This Row],[16F1 Tray washer Panel for Light]]</f>
        <v>0</v>
      </c>
      <c r="DT19">
        <f>CP20-Table2[[#This Row],[Tray Washer light Panel]]</f>
        <v>0</v>
      </c>
      <c r="DU19">
        <f>CQ20-Table2[[#This Row],[2F1 Tray Washer - 1]]</f>
        <v>0</v>
      </c>
      <c r="DV19">
        <f>CS20-Table2[[#This Row],[2F5 Destacker]]</f>
        <v>0</v>
      </c>
      <c r="DW19">
        <f>CT20-Table2[[#This Row],[3F1 Metering (TW-1)]]</f>
        <v>0</v>
      </c>
      <c r="DX19">
        <f>CU20-Table2[[#This Row],[5F1 Metering (TW-2)]]</f>
        <v>0</v>
      </c>
      <c r="DY19">
        <f>CV20-Table2[[#This Row],[6F1 Pre soaker Tray washer]]</f>
        <v>0</v>
      </c>
      <c r="DZ19">
        <f>CZ20-Table2[[#This Row],[6F5 Vent tray Storage]]</f>
        <v>0</v>
      </c>
      <c r="EA19">
        <f>I20-Table2[[#This Row],[Popeyes Meter ]]</f>
        <v>0</v>
      </c>
      <c r="EB19">
        <f>AZ20-Table2[[#This Row],[2F WH Chiller, Segregation Area]]</f>
        <v>0</v>
      </c>
      <c r="EC19">
        <f>BA20-Table2[[#This Row],[3F1 AC Unit WH dock cooling - 2 Nos]]</f>
        <v>0</v>
      </c>
      <c r="ED19">
        <f>BB20-Table2[[#This Row],[3F2 AC Unit WH dock cooling - 3 Nos]]</f>
        <v>0</v>
      </c>
      <c r="EE19">
        <f>(BK20-Table2[[#This Row],[5F WH Perishable]])*1000</f>
        <v>0</v>
      </c>
      <c r="EF19">
        <f>BN20-Table2[[#This Row],[2F3 - PDB 9 - WH Dock Leveler Door ]]</f>
        <v>0</v>
      </c>
      <c r="EG19">
        <f>BP20-Table2[[#This Row],[3F1 - PDB 5 - WH HSD]]</f>
        <v>0</v>
      </c>
      <c r="EH19">
        <f>BX20-Table2[[#This Row],[8F1 WH Dock AHU - Ventilation]]</f>
        <v>0</v>
      </c>
      <c r="EI19">
        <f>BZ20-Table2[[#This Row],[8F3 ACPDB - 4 WH Dock air curtain]]</f>
        <v>0</v>
      </c>
      <c r="EJ19">
        <f>CA20-Table2[[#This Row],[8F4 WH Light]]</f>
        <v>0</v>
      </c>
      <c r="EK19">
        <f>CC20-Table2[[#This Row],[9F1 - PDB 10 - WH Dock door &amp; Office]]</f>
        <v>0</v>
      </c>
      <c r="EL19">
        <f>CD20-Table2[[#This Row],[9F2 - PDB 11 - WH flycatchers]]</f>
        <v>0</v>
      </c>
      <c r="EM19">
        <f>CE20-Table2[[#This Row],[9F3 - PDB 12 - Other items]]</f>
        <v>0</v>
      </c>
      <c r="EN19">
        <f>CR20-Table2[[#This Row],[2F3 - PDB 1 - Dock 1 to 4 ]]</f>
        <v>0</v>
      </c>
      <c r="EO19">
        <f>X20-Table2[[#This Row],[14F1 Traywasher Panel -1B]]</f>
        <v>0</v>
      </c>
      <c r="EP19">
        <f>BM20-Table2[[#This Row],[2F2 - PDB 3 - WH Truck &amp; Battery Charging]]</f>
        <v>0</v>
      </c>
      <c r="EQ19">
        <f>(CK20-Table2[[#This Row],[PDB - 11 Truck Charging]])*1000</f>
        <v>0</v>
      </c>
      <c r="ER19">
        <f>P20-Table2[[#This Row],[5F3 Admin Area]]</f>
        <v>0</v>
      </c>
      <c r="ES19">
        <f>AH20-Table2[[#This Row],[2F5 Main Gate-1 Piller -1]]</f>
        <v>0</v>
      </c>
      <c r="ET19">
        <f>CW20-Table2[[#This Row],[6F2 Ground Floor AC]]</f>
        <v>0</v>
      </c>
      <c r="EU19">
        <f>CX20-Table2[[#This Row],[6F3 ACBD -1 (First floor AC)]]</f>
        <v>0</v>
      </c>
      <c r="EV19">
        <f>CY20-Table2[[#This Row],[6F4 ACBD - 2 (Second &amp; Third floor AC)]]</f>
        <v>0</v>
      </c>
      <c r="EW19">
        <f>(BC20-Table2[[#This Row],[4F Old BMC cooling Unit]])</f>
        <v>0</v>
      </c>
      <c r="EX19">
        <f>BO20-Table2[[#This Row],[2F4 - Old BMC]]</f>
        <v>0</v>
      </c>
      <c r="EY19">
        <f>Y20-Table2[[#This Row],[14F2 New CK]]</f>
        <v>0</v>
      </c>
      <c r="EZ19">
        <f>(CL20-Table2[[#This Row],[OLD Ck Panel-1]])*1000</f>
        <v>0</v>
      </c>
      <c r="FA19">
        <f>CM20-Table2[[#This Row],[2F4 Old CK Blast (Blue star)]]</f>
        <v>0</v>
      </c>
      <c r="FB19">
        <f>CN20-Table2[[#This Row],[3F6 Old CK Blast (Carrier)]]</f>
        <v>0</v>
      </c>
      <c r="FC19">
        <f>(CO20-Table2[[#This Row],[Old CK Panel -2]])*1000</f>
        <v>0</v>
      </c>
      <c r="FD19">
        <f>N20-Table2[[#This Row],[4F1 Main UPS 1/C -1]]</f>
        <v>0</v>
      </c>
      <c r="FE19">
        <f>Z20-Table2[[#This Row],[15F1 Main UPS Panel - I/C - 2]]</f>
        <v>0</v>
      </c>
      <c r="FF19">
        <f>BF20-Table2[[#This Row],[2F CLC -1 AC unit - 2]]</f>
        <v>0</v>
      </c>
      <c r="FG19">
        <f>(BG20-Table2[[#This Row],[2F CLC Anti room]])*1000</f>
        <v>0</v>
      </c>
      <c r="FH19">
        <f>BW20-Table2[[#This Row],[7F3 CLC Power Panel]]</f>
        <v>0</v>
      </c>
      <c r="FI19">
        <f>(CI20-Table2[[#This Row],[PDB - 17 CLC Section ]])*1000</f>
        <v>0</v>
      </c>
      <c r="FJ19">
        <f>(W20-Table2[[#This Row],[13F3 Water &amp; Lift Old CK]])*1000</f>
        <v>0</v>
      </c>
      <c r="FK19">
        <f>AA20-Table2[[#This Row],[15F2 New ETP Panel]]</f>
        <v>0</v>
      </c>
      <c r="FL19">
        <f>AL20-Table2[[#This Row],[3F4 Old ETP Panel]]</f>
        <v>0</v>
      </c>
      <c r="FM19">
        <f>AF20-Table2[[#This Row],[2F1 RO Plant]]</f>
        <v>0</v>
      </c>
      <c r="FN19">
        <f>AK20-Table2[[#This Row],[3F3 Fire Hydrant Panel]]</f>
        <v>0</v>
      </c>
      <c r="FO19">
        <f>O20-Table2[[#This Row],[5F1 Utility]]</f>
        <v>0</v>
      </c>
      <c r="FP19">
        <f>R20-Table2[[#This Row],[7F1 Freon System Panel]]</f>
        <v>0</v>
      </c>
      <c r="FQ19">
        <f>(AE20-Table2[[#This Row],[21F1 Refrigeration Ammonia]])*1000</f>
        <v>0</v>
      </c>
      <c r="FR19">
        <f>(AW20-Table2[[#This Row],[1F1 Ammonia Refrigeration Room Panel]])*1000</f>
        <v>0</v>
      </c>
      <c r="FS19">
        <f>(AG20-Table2[[#This Row],[2F3 Air Compressor]])*1000</f>
        <v>0</v>
      </c>
      <c r="FT19">
        <f>(AX20-Table2[[#This Row],[Solar Reading Panel II]])*1000</f>
        <v>0</v>
      </c>
      <c r="FU19">
        <f>AI20-Table2[[#This Row],[3F1 Maintenance Workshop]]</f>
        <v>0</v>
      </c>
      <c r="FV19">
        <f>BD20-Table2[[#This Row],[4F B2B unit ]]</f>
        <v>0</v>
      </c>
      <c r="FW19">
        <f>BL20-Table2[[#This Row],[2F1 - PDB 6 - Bread, B2B section]]</f>
        <v>0</v>
      </c>
      <c r="FX19">
        <f>(CG20-Table2[[#This Row],[9F5 - PDB 14 - Bread Lift]])</f>
        <v>0</v>
      </c>
      <c r="FY19">
        <f>CJ20-Table2[[#This Row],[PDB - 16 Bread Section]]</f>
        <v>0</v>
      </c>
      <c r="FZ19">
        <f>BU20-Table2[[#This Row],[7F1 Donut Production area]]</f>
        <v>0</v>
      </c>
      <c r="GA19">
        <f>CB20-Table2[[#This Row],[8F5 Donut Ban Bary]]</f>
        <v>0</v>
      </c>
      <c r="GB19">
        <f>CF20-Table2[[#This Row],[9F4 - PDB 13 - Donut Sink Geyser area]]</f>
        <v>0</v>
      </c>
      <c r="GC19">
        <f>BV20-Table2[[#This Row],[7F2 Flour Silo]]</f>
        <v>0</v>
      </c>
      <c r="GD19">
        <f>BY20-Table2[[#This Row],[8F2 ACPDB - 3 SILO Ventilation]]</f>
        <v>0</v>
      </c>
      <c r="GE19">
        <f>J20-Table2[[#This Row],[DG 1010KVA Running Hours]]</f>
        <v>0</v>
      </c>
      <c r="GF19">
        <f>K20-Table2[[#This Row],[DG 1010 KVA Meter Reading]]</f>
        <v>0</v>
      </c>
      <c r="GG19">
        <f>L20-Table2[[#This Row],[GG 1010 KVA Running Hours]]</f>
        <v>0</v>
      </c>
      <c r="GH19">
        <f>M20-Table2[[#This Row],[GG 1010 KVA Meter Reading]]</f>
        <v>0</v>
      </c>
    </row>
    <row r="20" spans="1:190" x14ac:dyDescent="0.35">
      <c r="A20" s="1"/>
      <c r="B20" s="2"/>
      <c r="C20" s="2"/>
      <c r="D20" s="1"/>
      <c r="E20" s="1"/>
      <c r="F20" s="1"/>
      <c r="G20" s="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4">
        <f>Table2[[#This Row],[Date]]</f>
        <v>0</v>
      </c>
      <c r="DI20">
        <f>(DD21-Table2[[#This Row],[MWH Total]])*4000</f>
        <v>0</v>
      </c>
      <c r="DJ20">
        <f>(DA21-Table2[[#This Row],[PNG Meter (Outside)]])*2.936</f>
        <v>0</v>
      </c>
      <c r="DK20">
        <f>(DB21-Table2[[#This Row],[PNG Meter (Inside)]])*2.936</f>
        <v>0</v>
      </c>
      <c r="DL20">
        <f>(BH21-Table2[[#This Row],[3F Dough cooler - 2 ]])*1000</f>
        <v>0</v>
      </c>
      <c r="DM20">
        <f>(BI21-Table2[[#This Row],[3F Dough Cooler- 1]])*1000</f>
        <v>0</v>
      </c>
      <c r="DN20">
        <f>(BJ21-Table2[[#This Row],[4F Dough Production cooling Unit]])*1000</f>
        <v>0</v>
      </c>
      <c r="DO20">
        <f>(BQ21-Table2[[#This Row],[3F2 - PDB 3 - Dough Production Area]])*1000</f>
        <v>0</v>
      </c>
      <c r="DP20">
        <f>(BR21-Table2[[#This Row],[3F3 - PDB 4 - Dough Area]])*1000</f>
        <v>0</v>
      </c>
      <c r="DQ20">
        <f>S21-Table2[[#This Row],[7F2 Traywasher Panel - 1A ( + Old Ck)]]</f>
        <v>0</v>
      </c>
      <c r="DR20">
        <f>X21-Table2[[#This Row],[14F1 Traywasher Panel -1B]]</f>
        <v>0</v>
      </c>
      <c r="DS20">
        <f>AC21-Table2[[#This Row],[16F1 Tray washer Panel for Light]]</f>
        <v>0</v>
      </c>
      <c r="DT20">
        <f>CP21-Table2[[#This Row],[Tray Washer light Panel]]</f>
        <v>0</v>
      </c>
      <c r="DU20">
        <f>CQ21-Table2[[#This Row],[2F1 Tray Washer - 1]]</f>
        <v>0</v>
      </c>
      <c r="DV20">
        <f>CS21-Table2[[#This Row],[2F5 Destacker]]</f>
        <v>0</v>
      </c>
      <c r="DW20">
        <f>CT21-Table2[[#This Row],[3F1 Metering (TW-1)]]</f>
        <v>0</v>
      </c>
      <c r="DX20">
        <f>CU21-Table2[[#This Row],[5F1 Metering (TW-2)]]</f>
        <v>0</v>
      </c>
      <c r="DY20">
        <f>CV21-Table2[[#This Row],[6F1 Pre soaker Tray washer]]</f>
        <v>0</v>
      </c>
      <c r="DZ20">
        <f>CZ21-Table2[[#This Row],[6F5 Vent tray Storage]]</f>
        <v>0</v>
      </c>
      <c r="EA20">
        <f>I21-Table2[[#This Row],[Popeyes Meter ]]</f>
        <v>0</v>
      </c>
      <c r="EB20">
        <f>AZ21-Table2[[#This Row],[2F WH Chiller, Segregation Area]]</f>
        <v>0</v>
      </c>
      <c r="EC20">
        <f>BA21-Table2[[#This Row],[3F1 AC Unit WH dock cooling - 2 Nos]]</f>
        <v>0</v>
      </c>
      <c r="ED20">
        <f>BB21-Table2[[#This Row],[3F2 AC Unit WH dock cooling - 3 Nos]]</f>
        <v>0</v>
      </c>
      <c r="EE20">
        <f>(BK21-Table2[[#This Row],[5F WH Perishable]])*1000</f>
        <v>0</v>
      </c>
      <c r="EF20">
        <f>BN21-Table2[[#This Row],[2F3 - PDB 9 - WH Dock Leveler Door ]]</f>
        <v>0</v>
      </c>
      <c r="EG20">
        <f>BP21-Table2[[#This Row],[3F1 - PDB 5 - WH HSD]]</f>
        <v>0</v>
      </c>
      <c r="EH20">
        <f>BX21-Table2[[#This Row],[8F1 WH Dock AHU - Ventilation]]</f>
        <v>0</v>
      </c>
      <c r="EI20">
        <f>BZ21-Table2[[#This Row],[8F3 ACPDB - 4 WH Dock air curtain]]</f>
        <v>0</v>
      </c>
      <c r="EJ20">
        <f>CA21-Table2[[#This Row],[8F4 WH Light]]</f>
        <v>0</v>
      </c>
      <c r="EK20">
        <f>CC21-Table2[[#This Row],[9F1 - PDB 10 - WH Dock door &amp; Office]]</f>
        <v>0</v>
      </c>
      <c r="EL20">
        <f>CD21-Table2[[#This Row],[9F2 - PDB 11 - WH flycatchers]]</f>
        <v>0</v>
      </c>
      <c r="EM20">
        <f>CE21-Table2[[#This Row],[9F3 - PDB 12 - Other items]]</f>
        <v>0</v>
      </c>
      <c r="EN20">
        <f>CR21-Table2[[#This Row],[2F3 - PDB 1 - Dock 1 to 4 ]]</f>
        <v>0</v>
      </c>
      <c r="EO20">
        <f>X21-Table2[[#This Row],[14F1 Traywasher Panel -1B]]</f>
        <v>0</v>
      </c>
      <c r="EP20">
        <f>BM21-Table2[[#This Row],[2F2 - PDB 3 - WH Truck &amp; Battery Charging]]</f>
        <v>0</v>
      </c>
      <c r="EQ20">
        <f>(CK21-Table2[[#This Row],[PDB - 11 Truck Charging]])*1000</f>
        <v>0</v>
      </c>
      <c r="ER20">
        <f>P21-Table2[[#This Row],[5F3 Admin Area]]</f>
        <v>0</v>
      </c>
      <c r="ES20">
        <f>AH21-Table2[[#This Row],[2F5 Main Gate-1 Piller -1]]</f>
        <v>0</v>
      </c>
      <c r="ET20">
        <f>CW21-Table2[[#This Row],[6F2 Ground Floor AC]]</f>
        <v>0</v>
      </c>
      <c r="EU20">
        <f>CX21-Table2[[#This Row],[6F3 ACBD -1 (First floor AC)]]</f>
        <v>0</v>
      </c>
      <c r="EV20">
        <f>CY21-Table2[[#This Row],[6F4 ACBD - 2 (Second &amp; Third floor AC)]]</f>
        <v>0</v>
      </c>
      <c r="EW20">
        <f>(BC21-Table2[[#This Row],[4F Old BMC cooling Unit]])</f>
        <v>0</v>
      </c>
      <c r="EX20">
        <f>BO21-Table2[[#This Row],[2F4 - Old BMC]]</f>
        <v>0</v>
      </c>
      <c r="EY20">
        <f>Y21-Table2[[#This Row],[14F2 New CK]]</f>
        <v>0</v>
      </c>
      <c r="EZ20">
        <f>(CL21-Table2[[#This Row],[OLD Ck Panel-1]])*1000</f>
        <v>0</v>
      </c>
      <c r="FA20">
        <f>CM21-Table2[[#This Row],[2F4 Old CK Blast (Blue star)]]</f>
        <v>0</v>
      </c>
      <c r="FB20">
        <f>CN21-Table2[[#This Row],[3F6 Old CK Blast (Carrier)]]</f>
        <v>0</v>
      </c>
      <c r="FC20">
        <f>(CO21-Table2[[#This Row],[Old CK Panel -2]])*1000</f>
        <v>0</v>
      </c>
      <c r="FD20">
        <f>N21-Table2[[#This Row],[4F1 Main UPS 1/C -1]]</f>
        <v>0</v>
      </c>
      <c r="FE20">
        <f>Z21-Table2[[#This Row],[15F1 Main UPS Panel - I/C - 2]]</f>
        <v>0</v>
      </c>
      <c r="FF20">
        <f>BF21-Table2[[#This Row],[2F CLC -1 AC unit - 2]]</f>
        <v>0</v>
      </c>
      <c r="FG20">
        <f>(BG21-Table2[[#This Row],[2F CLC Anti room]])*1000</f>
        <v>0</v>
      </c>
      <c r="FH20">
        <f>BW21-Table2[[#This Row],[7F3 CLC Power Panel]]</f>
        <v>0</v>
      </c>
      <c r="FI20">
        <f>(CI21-Table2[[#This Row],[PDB - 17 CLC Section ]])*1000</f>
        <v>0</v>
      </c>
      <c r="FJ20">
        <f>(W21-Table2[[#This Row],[13F3 Water &amp; Lift Old CK]])*1000</f>
        <v>0</v>
      </c>
      <c r="FK20">
        <f>AA21-Table2[[#This Row],[15F2 New ETP Panel]]</f>
        <v>0</v>
      </c>
      <c r="FL20">
        <f>AL21-Table2[[#This Row],[3F4 Old ETP Panel]]</f>
        <v>0</v>
      </c>
      <c r="FM20">
        <f>AF21-Table2[[#This Row],[2F1 RO Plant]]</f>
        <v>0</v>
      </c>
      <c r="FN20">
        <f>AK21-Table2[[#This Row],[3F3 Fire Hydrant Panel]]</f>
        <v>0</v>
      </c>
      <c r="FO20">
        <f>O21-Table2[[#This Row],[5F1 Utility]]</f>
        <v>0</v>
      </c>
      <c r="FP20">
        <f>R21-Table2[[#This Row],[7F1 Freon System Panel]]</f>
        <v>0</v>
      </c>
      <c r="FQ20">
        <f>(AE21-Table2[[#This Row],[21F1 Refrigeration Ammonia]])*1000</f>
        <v>0</v>
      </c>
      <c r="FR20">
        <f>(AW21-Table2[[#This Row],[1F1 Ammonia Refrigeration Room Panel]])*1000</f>
        <v>0</v>
      </c>
      <c r="FS20">
        <f>(AG21-Table2[[#This Row],[2F3 Air Compressor]])*1000</f>
        <v>0</v>
      </c>
      <c r="FT20">
        <f>(AX21-Table2[[#This Row],[Solar Reading Panel II]])*1000</f>
        <v>0</v>
      </c>
      <c r="FU20">
        <f>AI21-Table2[[#This Row],[3F1 Maintenance Workshop]]</f>
        <v>0</v>
      </c>
      <c r="FV20">
        <f>BD21-Table2[[#This Row],[4F B2B unit ]]</f>
        <v>0</v>
      </c>
      <c r="FW20">
        <f>BL21-Table2[[#This Row],[2F1 - PDB 6 - Bread, B2B section]]</f>
        <v>0</v>
      </c>
      <c r="FX20">
        <f>(CG21-Table2[[#This Row],[9F5 - PDB 14 - Bread Lift]])</f>
        <v>0</v>
      </c>
      <c r="FY20">
        <f>CJ21-Table2[[#This Row],[PDB - 16 Bread Section]]</f>
        <v>0</v>
      </c>
      <c r="FZ20">
        <f>BU21-Table2[[#This Row],[7F1 Donut Production area]]</f>
        <v>0</v>
      </c>
      <c r="GA20">
        <f>CB21-Table2[[#This Row],[8F5 Donut Ban Bary]]</f>
        <v>0</v>
      </c>
      <c r="GB20">
        <f>CF21-Table2[[#This Row],[9F4 - PDB 13 - Donut Sink Geyser area]]</f>
        <v>0</v>
      </c>
      <c r="GC20">
        <f>BV21-Table2[[#This Row],[7F2 Flour Silo]]</f>
        <v>0</v>
      </c>
      <c r="GD20">
        <f>BY21-Table2[[#This Row],[8F2 ACPDB - 3 SILO Ventilation]]</f>
        <v>0</v>
      </c>
      <c r="GE20">
        <f>J21-Table2[[#This Row],[DG 1010KVA Running Hours]]</f>
        <v>0</v>
      </c>
      <c r="GF20">
        <f>K21-Table2[[#This Row],[DG 1010 KVA Meter Reading]]</f>
        <v>0</v>
      </c>
      <c r="GG20">
        <f>L21-Table2[[#This Row],[GG 1010 KVA Running Hours]]</f>
        <v>0</v>
      </c>
      <c r="GH20">
        <f>M21-Table2[[#This Row],[GG 1010 KVA Meter Reading]]</f>
        <v>0</v>
      </c>
    </row>
    <row r="21" spans="1:190" x14ac:dyDescent="0.35">
      <c r="A21" s="1"/>
      <c r="B21" s="2"/>
      <c r="C21" s="2"/>
      <c r="D21" s="1"/>
      <c r="E21" s="1"/>
      <c r="F21" s="1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S22-Table2[[#This Row],[7F2 Traywasher Panel - 1A ( + Old Ck)]]</f>
        <v>0</v>
      </c>
      <c r="DR21">
        <f>X22-Table2[[#This Row],[14F1 Traywasher Panel -1B]]</f>
        <v>0</v>
      </c>
      <c r="DS21">
        <f>AC22-Table2[[#This Row],[16F1 Tray washer Panel for Light]]</f>
        <v>0</v>
      </c>
      <c r="DT21">
        <f>CP22-Table2[[#This Row],[Tray Washer light Panel]]</f>
        <v>0</v>
      </c>
      <c r="DU21">
        <f>CQ22-Table2[[#This Row],[2F1 Tray Washer - 1]]</f>
        <v>0</v>
      </c>
      <c r="DV21">
        <f>CS22-Table2[[#This Row],[2F5 Destacker]]</f>
        <v>0</v>
      </c>
      <c r="DW21">
        <f>CT22-Table2[[#This Row],[3F1 Metering (TW-1)]]</f>
        <v>0</v>
      </c>
      <c r="DX21">
        <f>CU22-Table2[[#This Row],[5F1 Metering (TW-2)]]</f>
        <v>0</v>
      </c>
      <c r="DY21">
        <f>CV22-Table2[[#This Row],[6F1 Pre soaker Tray washer]]</f>
        <v>0</v>
      </c>
      <c r="DZ21">
        <f>CZ22-Table2[[#This Row],[6F5 Vent tray Storage]]</f>
        <v>0</v>
      </c>
      <c r="EA21">
        <f>I22-Table2[[#This Row],[Popeyes Meter ]]</f>
        <v>0</v>
      </c>
      <c r="EB21">
        <f>AZ22-Table2[[#This Row],[2F WH Chiller, Segregation Area]]</f>
        <v>0</v>
      </c>
      <c r="EC21">
        <f>BA22-Table2[[#This Row],[3F1 AC Unit WH dock cooling - 2 Nos]]</f>
        <v>0</v>
      </c>
      <c r="ED21">
        <f>BB22-Table2[[#This Row],[3F2 AC Unit WH dock cooling - 3 Nos]]</f>
        <v>0</v>
      </c>
      <c r="EE21">
        <f>(BK22-Table2[[#This Row],[5F WH Perishable]])*1000</f>
        <v>0</v>
      </c>
      <c r="EF21">
        <f>BN22-Table2[[#This Row],[2F3 - PDB 9 - WH Dock Leveler Door ]]</f>
        <v>0</v>
      </c>
      <c r="EG21">
        <f>BP22-Table2[[#This Row],[3F1 - PDB 5 - WH HSD]]</f>
        <v>0</v>
      </c>
      <c r="EH21">
        <f>BX22-Table2[[#This Row],[8F1 WH Dock AHU - Ventilation]]</f>
        <v>0</v>
      </c>
      <c r="EI21">
        <f>BZ22-Table2[[#This Row],[8F3 ACPDB - 4 WH Dock air curtain]]</f>
        <v>0</v>
      </c>
      <c r="EJ21">
        <f>CA22-Table2[[#This Row],[8F4 WH Light]]</f>
        <v>0</v>
      </c>
      <c r="EK21">
        <f>CC22-Table2[[#This Row],[9F1 - PDB 10 - WH Dock door &amp; Office]]</f>
        <v>0</v>
      </c>
      <c r="EL21">
        <f>CD22-Table2[[#This Row],[9F2 - PDB 11 - WH flycatchers]]</f>
        <v>0</v>
      </c>
      <c r="EM21">
        <f>CE22-Table2[[#This Row],[9F3 - PDB 12 - Other items]]</f>
        <v>0</v>
      </c>
      <c r="EN21">
        <f>CR22-Table2[[#This Row],[2F3 - PDB 1 - Dock 1 to 4 ]]</f>
        <v>0</v>
      </c>
      <c r="EO21">
        <f>X22-Table2[[#This Row],[14F1 Traywasher Panel -1B]]</f>
        <v>0</v>
      </c>
      <c r="EP21">
        <f>BM22-Table2[[#This Row],[2F2 - PDB 3 - WH Truck &amp; Battery Charging]]</f>
        <v>0</v>
      </c>
      <c r="EQ21">
        <f>(CK22-Table2[[#This Row],[PDB - 11 Truck Charging]])*1000</f>
        <v>0</v>
      </c>
      <c r="ER21">
        <f>P22-Table2[[#This Row],[5F3 Admin Area]]</f>
        <v>0</v>
      </c>
      <c r="ES21">
        <f>AH22-Table2[[#This Row],[2F5 Main Gate-1 Piller -1]]</f>
        <v>0</v>
      </c>
      <c r="ET21">
        <f>CW22-Table2[[#This Row],[6F2 Ground Floor AC]]</f>
        <v>0</v>
      </c>
      <c r="EU21">
        <f>CX22-Table2[[#This Row],[6F3 ACBD -1 (First floor AC)]]</f>
        <v>0</v>
      </c>
      <c r="EV21">
        <f>CY22-Table2[[#This Row],[6F4 ACBD - 2 (Second &amp; Third floor AC)]]</f>
        <v>0</v>
      </c>
      <c r="EW21">
        <f>(BC22-Table2[[#This Row],[4F Old BMC cooling Unit]])</f>
        <v>0</v>
      </c>
      <c r="EX21">
        <f>BO22-Table2[[#This Row],[2F4 - Old BMC]]</f>
        <v>0</v>
      </c>
      <c r="EY21">
        <f>Y22-Table2[[#This Row],[14F2 New CK]]</f>
        <v>0</v>
      </c>
      <c r="EZ21">
        <f>(CL22-Table2[[#This Row],[OLD Ck Panel-1]])*1000</f>
        <v>0</v>
      </c>
      <c r="FA21">
        <f>CM22-Table2[[#This Row],[2F4 Old CK Blast (Blue star)]]</f>
        <v>0</v>
      </c>
      <c r="FB21">
        <f>CN22-Table2[[#This Row],[3F6 Old CK Blast (Carrier)]]</f>
        <v>0</v>
      </c>
      <c r="FC21">
        <f>(CO22-Table2[[#This Row],[Old CK Panel -2]])*1000</f>
        <v>0</v>
      </c>
      <c r="FD21">
        <f>N22-Table2[[#This Row],[4F1 Main UPS 1/C -1]]</f>
        <v>0</v>
      </c>
      <c r="FE21">
        <f>Z22-Table2[[#This Row],[15F1 Main UPS Panel - I/C - 2]]</f>
        <v>0</v>
      </c>
      <c r="FF21">
        <f>BF22-Table2[[#This Row],[2F CLC -1 AC unit - 2]]</f>
        <v>0</v>
      </c>
      <c r="FG21">
        <f>(BG22-Table2[[#This Row],[2F CLC Anti room]])*1000</f>
        <v>0</v>
      </c>
      <c r="FH21">
        <f>BW22-Table2[[#This Row],[7F3 CLC Power Panel]]</f>
        <v>0</v>
      </c>
      <c r="FI21">
        <f>(CI22-Table2[[#This Row],[PDB - 17 CLC Section ]])*1000</f>
        <v>0</v>
      </c>
      <c r="FJ21">
        <f>(W22-Table2[[#This Row],[13F3 Water &amp; Lift Old CK]])*1000</f>
        <v>0</v>
      </c>
      <c r="FK21">
        <f>AA22-Table2[[#This Row],[15F2 New ETP Panel]]</f>
        <v>0</v>
      </c>
      <c r="FL21">
        <f>AL22-Table2[[#This Row],[3F4 Old ETP Panel]]</f>
        <v>0</v>
      </c>
      <c r="FM21">
        <f>AF22-Table2[[#This Row],[2F1 RO Plant]]</f>
        <v>0</v>
      </c>
      <c r="FN21">
        <f>AK22-Table2[[#This Row],[3F3 Fire Hydrant Panel]]</f>
        <v>0</v>
      </c>
      <c r="FO21">
        <f>O22-Table2[[#This Row],[5F1 Utility]]</f>
        <v>0</v>
      </c>
      <c r="FP21">
        <f>R22-Table2[[#This Row],[7F1 Freon System Panel]]</f>
        <v>0</v>
      </c>
      <c r="FQ21">
        <f>(AE22-Table2[[#This Row],[21F1 Refrigeration Ammonia]])*1000</f>
        <v>0</v>
      </c>
      <c r="FR21">
        <f>(AW22-Table2[[#This Row],[1F1 Ammonia Refrigeration Room Panel]])*1000</f>
        <v>0</v>
      </c>
      <c r="FS21">
        <f>(AG22-Table2[[#This Row],[2F3 Air Compressor]])*1000</f>
        <v>0</v>
      </c>
      <c r="FT21">
        <f>(AX22-Table2[[#This Row],[Solar Reading Panel II]])*1000</f>
        <v>0</v>
      </c>
      <c r="FU21">
        <f>AI22-Table2[[#This Row],[3F1 Maintenance Workshop]]</f>
        <v>0</v>
      </c>
      <c r="FV21">
        <f>BD22-Table2[[#This Row],[4F B2B unit ]]</f>
        <v>0</v>
      </c>
      <c r="FW21">
        <f>BL22-Table2[[#This Row],[2F1 - PDB 6 - Bread, B2B section]]</f>
        <v>0</v>
      </c>
      <c r="FX21">
        <f>(CG22-Table2[[#This Row],[9F5 - PDB 14 - Bread Lift]])</f>
        <v>0</v>
      </c>
      <c r="FY21">
        <f>CJ22-Table2[[#This Row],[PDB - 16 Bread Section]]</f>
        <v>0</v>
      </c>
      <c r="FZ21">
        <f>BU22-Table2[[#This Row],[7F1 Donut Production area]]</f>
        <v>0</v>
      </c>
      <c r="GA21">
        <f>CB22-Table2[[#This Row],[8F5 Donut Ban Bary]]</f>
        <v>0</v>
      </c>
      <c r="GB21">
        <f>CF22-Table2[[#This Row],[9F4 - PDB 13 - Donut Sink Geyser area]]</f>
        <v>0</v>
      </c>
      <c r="GC21">
        <f>BV22-Table2[[#This Row],[7F2 Flour Silo]]</f>
        <v>0</v>
      </c>
      <c r="GD21">
        <f>BY22-Table2[[#This Row],[8F2 ACPDB - 3 SILO Ventilation]]</f>
        <v>0</v>
      </c>
      <c r="GE21">
        <f>J22-Table2[[#This Row],[DG 1010KVA Running Hours]]</f>
        <v>0</v>
      </c>
      <c r="GF21">
        <f>K22-Table2[[#This Row],[DG 1010 KVA Meter Reading]]</f>
        <v>0</v>
      </c>
      <c r="GG21">
        <f>L22-Table2[[#This Row],[GG 1010 KVA Running Hours]]</f>
        <v>0</v>
      </c>
      <c r="GH21">
        <f>M22-Table2[[#This Row],[GG 1010 KVA Meter Reading]]</f>
        <v>0</v>
      </c>
    </row>
    <row r="22" spans="1:190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S23-Table2[[#This Row],[7F2 Traywasher Panel - 1A ( + Old Ck)]]</f>
        <v>0</v>
      </c>
      <c r="DR22">
        <f>X23-Table2[[#This Row],[14F1 Traywasher Panel -1B]]</f>
        <v>0</v>
      </c>
      <c r="DS22">
        <f>AC23-Table2[[#This Row],[16F1 Tray washer Panel for Light]]</f>
        <v>0</v>
      </c>
      <c r="DT22">
        <f>CP23-Table2[[#This Row],[Tray Washer light Panel]]</f>
        <v>0</v>
      </c>
      <c r="DU22">
        <f>CQ23-Table2[[#This Row],[2F1 Tray Washer - 1]]</f>
        <v>0</v>
      </c>
      <c r="DV22">
        <f>CS23-Table2[[#This Row],[2F5 Destacker]]</f>
        <v>0</v>
      </c>
      <c r="DW22">
        <f>CT23-Table2[[#This Row],[3F1 Metering (TW-1)]]</f>
        <v>0</v>
      </c>
      <c r="DX22">
        <f>CU23-Table2[[#This Row],[5F1 Metering (TW-2)]]</f>
        <v>0</v>
      </c>
      <c r="DY22">
        <f>CV23-Table2[[#This Row],[6F1 Pre soaker Tray washer]]</f>
        <v>0</v>
      </c>
      <c r="DZ22">
        <f>CZ23-Table2[[#This Row],[6F5 Vent tray Storage]]</f>
        <v>0</v>
      </c>
      <c r="EA22">
        <f>I23-Table2[[#This Row],[Popeyes Meter ]]</f>
        <v>0</v>
      </c>
      <c r="EB22">
        <f>AZ23-Table2[[#This Row],[2F WH Chiller, Segregation Area]]</f>
        <v>0</v>
      </c>
      <c r="EC22">
        <f>BA23-Table2[[#This Row],[3F1 AC Unit WH dock cooling - 2 Nos]]</f>
        <v>0</v>
      </c>
      <c r="ED22">
        <f>BB23-Table2[[#This Row],[3F2 AC Unit WH dock cooling - 3 Nos]]</f>
        <v>0</v>
      </c>
      <c r="EE22">
        <f>(BK23-Table2[[#This Row],[5F WH Perishable]])*1000</f>
        <v>0</v>
      </c>
      <c r="EF22">
        <f>BN23-Table2[[#This Row],[2F3 - PDB 9 - WH Dock Leveler Door ]]</f>
        <v>0</v>
      </c>
      <c r="EG22">
        <f>BP23-Table2[[#This Row],[3F1 - PDB 5 - WH HSD]]</f>
        <v>0</v>
      </c>
      <c r="EH22">
        <f>BX23-Table2[[#This Row],[8F1 WH Dock AHU - Ventilation]]</f>
        <v>0</v>
      </c>
      <c r="EI22">
        <f>BZ23-Table2[[#This Row],[8F3 ACPDB - 4 WH Dock air curtain]]</f>
        <v>0</v>
      </c>
      <c r="EJ22">
        <f>CA23-Table2[[#This Row],[8F4 WH Light]]</f>
        <v>0</v>
      </c>
      <c r="EK22">
        <f>CC23-Table2[[#This Row],[9F1 - PDB 10 - WH Dock door &amp; Office]]</f>
        <v>0</v>
      </c>
      <c r="EL22">
        <f>CD23-Table2[[#This Row],[9F2 - PDB 11 - WH flycatchers]]</f>
        <v>0</v>
      </c>
      <c r="EM22">
        <f>CE23-Table2[[#This Row],[9F3 - PDB 12 - Other items]]</f>
        <v>0</v>
      </c>
      <c r="EN22">
        <f>CR23-Table2[[#This Row],[2F3 - PDB 1 - Dock 1 to 4 ]]</f>
        <v>0</v>
      </c>
      <c r="EO22">
        <f>X23-Table2[[#This Row],[14F1 Traywasher Panel -1B]]</f>
        <v>0</v>
      </c>
      <c r="EP22">
        <f>BM23-Table2[[#This Row],[2F2 - PDB 3 - WH Truck &amp; Battery Charging]]</f>
        <v>0</v>
      </c>
      <c r="EQ22">
        <f>(CK23-Table2[[#This Row],[PDB - 11 Truck Charging]])*1000</f>
        <v>0</v>
      </c>
      <c r="ER22">
        <f>P23-Table2[[#This Row],[5F3 Admin Area]]</f>
        <v>0</v>
      </c>
      <c r="ES22">
        <f>AH23-Table2[[#This Row],[2F5 Main Gate-1 Piller -1]]</f>
        <v>0</v>
      </c>
      <c r="ET22">
        <f>CW23-Table2[[#This Row],[6F2 Ground Floor AC]]</f>
        <v>0</v>
      </c>
      <c r="EU22">
        <f>CX23-Table2[[#This Row],[6F3 ACBD -1 (First floor AC)]]</f>
        <v>0</v>
      </c>
      <c r="EV22">
        <f>CY23-Table2[[#This Row],[6F4 ACBD - 2 (Second &amp; Third floor AC)]]</f>
        <v>0</v>
      </c>
      <c r="EW22">
        <f>(BC23-Table2[[#This Row],[4F Old BMC cooling Unit]])</f>
        <v>0</v>
      </c>
      <c r="EX22">
        <f>BO23-Table2[[#This Row],[2F4 - Old BMC]]</f>
        <v>0</v>
      </c>
      <c r="EY22">
        <f>Y23-Table2[[#This Row],[14F2 New CK]]</f>
        <v>0</v>
      </c>
      <c r="EZ22">
        <f>(CL23-Table2[[#This Row],[OLD Ck Panel-1]])*1000</f>
        <v>0</v>
      </c>
      <c r="FA22">
        <f>CM23-Table2[[#This Row],[2F4 Old CK Blast (Blue star)]]</f>
        <v>0</v>
      </c>
      <c r="FB22">
        <f>CN23-Table2[[#This Row],[3F6 Old CK Blast (Carrier)]]</f>
        <v>0</v>
      </c>
      <c r="FC22">
        <f>(CO23-Table2[[#This Row],[Old CK Panel -2]])*1000</f>
        <v>0</v>
      </c>
      <c r="FD22">
        <f>N23-Table2[[#This Row],[4F1 Main UPS 1/C -1]]</f>
        <v>0</v>
      </c>
      <c r="FE22">
        <f>Z23-Table2[[#This Row],[15F1 Main UPS Panel - I/C - 2]]</f>
        <v>0</v>
      </c>
      <c r="FF22">
        <f>BF23-Table2[[#This Row],[2F CLC -1 AC unit - 2]]</f>
        <v>0</v>
      </c>
      <c r="FG22">
        <f>(BG23-Table2[[#This Row],[2F CLC Anti room]])*1000</f>
        <v>0</v>
      </c>
      <c r="FH22">
        <f>BW23-Table2[[#This Row],[7F3 CLC Power Panel]]</f>
        <v>0</v>
      </c>
      <c r="FI22">
        <f>(CI23-Table2[[#This Row],[PDB - 17 CLC Section ]])*1000</f>
        <v>0</v>
      </c>
      <c r="FJ22">
        <f>(W23-Table2[[#This Row],[13F3 Water &amp; Lift Old CK]])*1000</f>
        <v>0</v>
      </c>
      <c r="FK22">
        <f>AA23-Table2[[#This Row],[15F2 New ETP Panel]]</f>
        <v>0</v>
      </c>
      <c r="FL22">
        <f>AL23-Table2[[#This Row],[3F4 Old ETP Panel]]</f>
        <v>0</v>
      </c>
      <c r="FM22">
        <f>AF23-Table2[[#This Row],[2F1 RO Plant]]</f>
        <v>0</v>
      </c>
      <c r="FN22">
        <f>AK23-Table2[[#This Row],[3F3 Fire Hydrant Panel]]</f>
        <v>0</v>
      </c>
      <c r="FO22">
        <f>O23-Table2[[#This Row],[5F1 Utility]]</f>
        <v>0</v>
      </c>
      <c r="FP22">
        <f>R23-Table2[[#This Row],[7F1 Freon System Panel]]</f>
        <v>0</v>
      </c>
      <c r="FQ22">
        <f>(AE23-Table2[[#This Row],[21F1 Refrigeration Ammonia]])*1000</f>
        <v>0</v>
      </c>
      <c r="FR22">
        <f>(AW23-Table2[[#This Row],[1F1 Ammonia Refrigeration Room Panel]])*1000</f>
        <v>0</v>
      </c>
      <c r="FS22">
        <f>(AG23-Table2[[#This Row],[2F3 Air Compressor]])*1000</f>
        <v>0</v>
      </c>
      <c r="FT22">
        <f>(AX23-Table2[[#This Row],[Solar Reading Panel II]])*1000</f>
        <v>0</v>
      </c>
      <c r="FU22">
        <f>AI23-Table2[[#This Row],[3F1 Maintenance Workshop]]</f>
        <v>0</v>
      </c>
      <c r="FV22">
        <f>BD23-Table2[[#This Row],[4F B2B unit ]]</f>
        <v>0</v>
      </c>
      <c r="FW22">
        <f>BL23-Table2[[#This Row],[2F1 - PDB 6 - Bread, B2B section]]</f>
        <v>0</v>
      </c>
      <c r="FX22">
        <f>(CG23-Table2[[#This Row],[9F5 - PDB 14 - Bread Lift]])</f>
        <v>0</v>
      </c>
      <c r="FY22">
        <f>CJ23-Table2[[#This Row],[PDB - 16 Bread Section]]</f>
        <v>0</v>
      </c>
      <c r="FZ22">
        <f>BU23-Table2[[#This Row],[7F1 Donut Production area]]</f>
        <v>0</v>
      </c>
      <c r="GA22">
        <f>CB23-Table2[[#This Row],[8F5 Donut Ban Bary]]</f>
        <v>0</v>
      </c>
      <c r="GB22">
        <f>CF23-Table2[[#This Row],[9F4 - PDB 13 - Donut Sink Geyser area]]</f>
        <v>0</v>
      </c>
      <c r="GC22">
        <f>BV23-Table2[[#This Row],[7F2 Flour Silo]]</f>
        <v>0</v>
      </c>
      <c r="GD22">
        <f>BY23-Table2[[#This Row],[8F2 ACPDB - 3 SILO Ventilation]]</f>
        <v>0</v>
      </c>
      <c r="GE22">
        <f>J23-Table2[[#This Row],[DG 1010KVA Running Hours]]</f>
        <v>0</v>
      </c>
      <c r="GF22">
        <f>K23-Table2[[#This Row],[DG 1010 KVA Meter Reading]]</f>
        <v>0</v>
      </c>
      <c r="GG22">
        <f>L23-Table2[[#This Row],[GG 1010 KVA Running Hours]]</f>
        <v>0</v>
      </c>
      <c r="GH22">
        <f>M23-Table2[[#This Row],[GG 1010 KVA Meter Reading]]</f>
        <v>0</v>
      </c>
    </row>
    <row r="23" spans="1:190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S24-Table2[[#This Row],[7F2 Traywasher Panel - 1A ( + Old Ck)]]</f>
        <v>0</v>
      </c>
      <c r="DR23">
        <f>X24-Table2[[#This Row],[14F1 Traywasher Panel -1B]]</f>
        <v>0</v>
      </c>
      <c r="DS23">
        <f>AC24-Table2[[#This Row],[16F1 Tray washer Panel for Light]]</f>
        <v>0</v>
      </c>
      <c r="DT23">
        <f>CP24-Table2[[#This Row],[Tray Washer light Panel]]</f>
        <v>0</v>
      </c>
      <c r="DU23">
        <f>CQ24-Table2[[#This Row],[2F1 Tray Washer - 1]]</f>
        <v>0</v>
      </c>
      <c r="DV23">
        <f>CS24-Table2[[#This Row],[2F5 Destacker]]</f>
        <v>0</v>
      </c>
      <c r="DW23">
        <f>CT24-Table2[[#This Row],[3F1 Metering (TW-1)]]</f>
        <v>0</v>
      </c>
      <c r="DX23">
        <f>CU24-Table2[[#This Row],[5F1 Metering (TW-2)]]</f>
        <v>0</v>
      </c>
      <c r="DY23">
        <f>CV24-Table2[[#This Row],[6F1 Pre soaker Tray washer]]</f>
        <v>0</v>
      </c>
      <c r="DZ23">
        <f>CZ24-Table2[[#This Row],[6F5 Vent tray Storage]]</f>
        <v>0</v>
      </c>
      <c r="EA23">
        <f>I24-Table2[[#This Row],[Popeyes Meter ]]</f>
        <v>0</v>
      </c>
      <c r="EB23">
        <f>AZ24-Table2[[#This Row],[2F WH Chiller, Segregation Area]]</f>
        <v>0</v>
      </c>
      <c r="EC23">
        <f>BA24-Table2[[#This Row],[3F1 AC Unit WH dock cooling - 2 Nos]]</f>
        <v>0</v>
      </c>
      <c r="ED23">
        <f>BB24-Table2[[#This Row],[3F2 AC Unit WH dock cooling - 3 Nos]]</f>
        <v>0</v>
      </c>
      <c r="EE23">
        <f>(BK24-Table2[[#This Row],[5F WH Perishable]])*1000</f>
        <v>0</v>
      </c>
      <c r="EF23">
        <f>BN24-Table2[[#This Row],[2F3 - PDB 9 - WH Dock Leveler Door ]]</f>
        <v>0</v>
      </c>
      <c r="EG23">
        <f>BP24-Table2[[#This Row],[3F1 - PDB 5 - WH HSD]]</f>
        <v>0</v>
      </c>
      <c r="EH23">
        <f>BX24-Table2[[#This Row],[8F1 WH Dock AHU - Ventilation]]</f>
        <v>0</v>
      </c>
      <c r="EI23">
        <f>BZ24-Table2[[#This Row],[8F3 ACPDB - 4 WH Dock air curtain]]</f>
        <v>0</v>
      </c>
      <c r="EJ23">
        <f>CA24-Table2[[#This Row],[8F4 WH Light]]</f>
        <v>0</v>
      </c>
      <c r="EK23">
        <f>CC24-Table2[[#This Row],[9F1 - PDB 10 - WH Dock door &amp; Office]]</f>
        <v>0</v>
      </c>
      <c r="EL23">
        <f>CD24-Table2[[#This Row],[9F2 - PDB 11 - WH flycatchers]]</f>
        <v>0</v>
      </c>
      <c r="EM23">
        <f>CE24-Table2[[#This Row],[9F3 - PDB 12 - Other items]]</f>
        <v>0</v>
      </c>
      <c r="EN23">
        <f>CR24-Table2[[#This Row],[2F3 - PDB 1 - Dock 1 to 4 ]]</f>
        <v>0</v>
      </c>
      <c r="EO23">
        <f>X24-Table2[[#This Row],[14F1 Traywasher Panel -1B]]</f>
        <v>0</v>
      </c>
      <c r="EP23">
        <f>BM24-Table2[[#This Row],[2F2 - PDB 3 - WH Truck &amp; Battery Charging]]</f>
        <v>0</v>
      </c>
      <c r="EQ23">
        <f>(CK24-Table2[[#This Row],[PDB - 11 Truck Charging]])*1000</f>
        <v>0</v>
      </c>
      <c r="ER23">
        <f>P24-Table2[[#This Row],[5F3 Admin Area]]</f>
        <v>0</v>
      </c>
      <c r="ES23">
        <f>AH24-Table2[[#This Row],[2F5 Main Gate-1 Piller -1]]</f>
        <v>0</v>
      </c>
      <c r="ET23">
        <f>CW24-Table2[[#This Row],[6F2 Ground Floor AC]]</f>
        <v>0</v>
      </c>
      <c r="EU23">
        <f>CX24-Table2[[#This Row],[6F3 ACBD -1 (First floor AC)]]</f>
        <v>0</v>
      </c>
      <c r="EV23">
        <f>CY24-Table2[[#This Row],[6F4 ACBD - 2 (Second &amp; Third floor AC)]]</f>
        <v>0</v>
      </c>
      <c r="EW23">
        <f>(BC24-Table2[[#This Row],[4F Old BMC cooling Unit]])</f>
        <v>0</v>
      </c>
      <c r="EX23">
        <f>BO24-Table2[[#This Row],[2F4 - Old BMC]]</f>
        <v>0</v>
      </c>
      <c r="EY23">
        <f>Y24-Table2[[#This Row],[14F2 New CK]]</f>
        <v>0</v>
      </c>
      <c r="EZ23">
        <f>(CL24-Table2[[#This Row],[OLD Ck Panel-1]])*1000</f>
        <v>0</v>
      </c>
      <c r="FA23">
        <f>CM24-Table2[[#This Row],[2F4 Old CK Blast (Blue star)]]</f>
        <v>0</v>
      </c>
      <c r="FB23">
        <f>CN24-Table2[[#This Row],[3F6 Old CK Blast (Carrier)]]</f>
        <v>0</v>
      </c>
      <c r="FC23">
        <f>(CO24-Table2[[#This Row],[Old CK Panel -2]])*1000</f>
        <v>0</v>
      </c>
      <c r="FD23">
        <f>N24-Table2[[#This Row],[4F1 Main UPS 1/C -1]]</f>
        <v>0</v>
      </c>
      <c r="FE23">
        <f>Z24-Table2[[#This Row],[15F1 Main UPS Panel - I/C - 2]]</f>
        <v>0</v>
      </c>
      <c r="FF23">
        <f>BF24-Table2[[#This Row],[2F CLC -1 AC unit - 2]]</f>
        <v>0</v>
      </c>
      <c r="FG23">
        <f>(BG24-Table2[[#This Row],[2F CLC Anti room]])*1000</f>
        <v>0</v>
      </c>
      <c r="FH23">
        <f>BW24-Table2[[#This Row],[7F3 CLC Power Panel]]</f>
        <v>0</v>
      </c>
      <c r="FI23">
        <f>(CI24-Table2[[#This Row],[PDB - 17 CLC Section ]])*1000</f>
        <v>0</v>
      </c>
      <c r="FJ23">
        <f>(W24-Table2[[#This Row],[13F3 Water &amp; Lift Old CK]])*1000</f>
        <v>0</v>
      </c>
      <c r="FK23">
        <f>AA24-Table2[[#This Row],[15F2 New ETP Panel]]</f>
        <v>0</v>
      </c>
      <c r="FL23">
        <f>AL24-Table2[[#This Row],[3F4 Old ETP Panel]]</f>
        <v>0</v>
      </c>
      <c r="FM23">
        <f>AF24-Table2[[#This Row],[2F1 RO Plant]]</f>
        <v>0</v>
      </c>
      <c r="FN23">
        <f>AK24-Table2[[#This Row],[3F3 Fire Hydrant Panel]]</f>
        <v>0</v>
      </c>
      <c r="FO23">
        <f>O24-Table2[[#This Row],[5F1 Utility]]</f>
        <v>0</v>
      </c>
      <c r="FP23">
        <f>R24-Table2[[#This Row],[7F1 Freon System Panel]]</f>
        <v>0</v>
      </c>
      <c r="FQ23">
        <f>(AE24-Table2[[#This Row],[21F1 Refrigeration Ammonia]])*1000</f>
        <v>0</v>
      </c>
      <c r="FR23">
        <f>(AW24-Table2[[#This Row],[1F1 Ammonia Refrigeration Room Panel]])*1000</f>
        <v>0</v>
      </c>
      <c r="FS23">
        <f>(AG24-Table2[[#This Row],[2F3 Air Compressor]])*1000</f>
        <v>0</v>
      </c>
      <c r="FT23">
        <f>(AX24-Table2[[#This Row],[Solar Reading Panel II]])*1000</f>
        <v>0</v>
      </c>
      <c r="FU23">
        <f>AI24-Table2[[#This Row],[3F1 Maintenance Workshop]]</f>
        <v>0</v>
      </c>
      <c r="FV23">
        <f>BD24-Table2[[#This Row],[4F B2B unit ]]</f>
        <v>0</v>
      </c>
      <c r="FW23">
        <f>BL24-Table2[[#This Row],[2F1 - PDB 6 - Bread, B2B section]]</f>
        <v>0</v>
      </c>
      <c r="FX23">
        <f>(CG24-Table2[[#This Row],[9F5 - PDB 14 - Bread Lift]])</f>
        <v>0</v>
      </c>
      <c r="FY23">
        <f>CJ24-Table2[[#This Row],[PDB - 16 Bread Section]]</f>
        <v>0</v>
      </c>
      <c r="FZ23">
        <f>BU24-Table2[[#This Row],[7F1 Donut Production area]]</f>
        <v>0</v>
      </c>
      <c r="GA23">
        <f>CB24-Table2[[#This Row],[8F5 Donut Ban Bary]]</f>
        <v>0</v>
      </c>
      <c r="GB23">
        <f>CF24-Table2[[#This Row],[9F4 - PDB 13 - Donut Sink Geyser area]]</f>
        <v>0</v>
      </c>
      <c r="GC23">
        <f>BV24-Table2[[#This Row],[7F2 Flour Silo]]</f>
        <v>0</v>
      </c>
      <c r="GD23">
        <f>BY24-Table2[[#This Row],[8F2 ACPDB - 3 SILO Ventilation]]</f>
        <v>0</v>
      </c>
      <c r="GE23">
        <f>J24-Table2[[#This Row],[DG 1010KVA Running Hours]]</f>
        <v>0</v>
      </c>
      <c r="GF23">
        <f>K24-Table2[[#This Row],[DG 1010 KVA Meter Reading]]</f>
        <v>0</v>
      </c>
      <c r="GG23">
        <f>L24-Table2[[#This Row],[GG 1010 KVA Running Hours]]</f>
        <v>0</v>
      </c>
      <c r="GH23">
        <f>M24-Table2[[#This Row],[GG 1010 KVA Meter Reading]]</f>
        <v>0</v>
      </c>
    </row>
    <row r="24" spans="1:190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S25-Table2[[#This Row],[7F2 Traywasher Panel - 1A ( + Old Ck)]]</f>
        <v>0</v>
      </c>
      <c r="DR24">
        <f>X25-Table2[[#This Row],[14F1 Traywasher Panel -1B]]</f>
        <v>0</v>
      </c>
      <c r="DS24">
        <f>AC25-Table2[[#This Row],[16F1 Tray washer Panel for Light]]</f>
        <v>0</v>
      </c>
      <c r="DT24">
        <f>CP25-Table2[[#This Row],[Tray Washer light Panel]]</f>
        <v>0</v>
      </c>
      <c r="DU24">
        <f>CQ25-Table2[[#This Row],[2F1 Tray Washer - 1]]</f>
        <v>0</v>
      </c>
      <c r="DV24">
        <f>CS25-Table2[[#This Row],[2F5 Destacker]]</f>
        <v>0</v>
      </c>
      <c r="DW24">
        <f>CT25-Table2[[#This Row],[3F1 Metering (TW-1)]]</f>
        <v>0</v>
      </c>
      <c r="DX24">
        <f>CU25-Table2[[#This Row],[5F1 Metering (TW-2)]]</f>
        <v>0</v>
      </c>
      <c r="DY24">
        <f>CV25-Table2[[#This Row],[6F1 Pre soaker Tray washer]]</f>
        <v>0</v>
      </c>
      <c r="DZ24">
        <f>CZ25-Table2[[#This Row],[6F5 Vent tray Storage]]</f>
        <v>0</v>
      </c>
      <c r="EA24">
        <f>I25-Table2[[#This Row],[Popeyes Meter ]]</f>
        <v>0</v>
      </c>
      <c r="EB24">
        <f>AZ25-Table2[[#This Row],[2F WH Chiller, Segregation Area]]</f>
        <v>0</v>
      </c>
      <c r="EC24">
        <f>BA25-Table2[[#This Row],[3F1 AC Unit WH dock cooling - 2 Nos]]</f>
        <v>0</v>
      </c>
      <c r="ED24">
        <f>BB25-Table2[[#This Row],[3F2 AC Unit WH dock cooling - 3 Nos]]</f>
        <v>0</v>
      </c>
      <c r="EE24">
        <f>(BK25-Table2[[#This Row],[5F WH Perishable]])*1000</f>
        <v>0</v>
      </c>
      <c r="EF24">
        <f>BN25-Table2[[#This Row],[2F3 - PDB 9 - WH Dock Leveler Door ]]</f>
        <v>0</v>
      </c>
      <c r="EG24">
        <f>BP25-Table2[[#This Row],[3F1 - PDB 5 - WH HSD]]</f>
        <v>0</v>
      </c>
      <c r="EH24">
        <f>BX25-Table2[[#This Row],[8F1 WH Dock AHU - Ventilation]]</f>
        <v>0</v>
      </c>
      <c r="EI24">
        <f>BZ25-Table2[[#This Row],[8F3 ACPDB - 4 WH Dock air curtain]]</f>
        <v>0</v>
      </c>
      <c r="EJ24">
        <f>CA25-Table2[[#This Row],[8F4 WH Light]]</f>
        <v>0</v>
      </c>
      <c r="EK24">
        <f>CC25-Table2[[#This Row],[9F1 - PDB 10 - WH Dock door &amp; Office]]</f>
        <v>0</v>
      </c>
      <c r="EL24">
        <f>CD25-Table2[[#This Row],[9F2 - PDB 11 - WH flycatchers]]</f>
        <v>0</v>
      </c>
      <c r="EM24">
        <f>CE25-Table2[[#This Row],[9F3 - PDB 12 - Other items]]</f>
        <v>0</v>
      </c>
      <c r="EN24">
        <f>CR25-Table2[[#This Row],[2F3 - PDB 1 - Dock 1 to 4 ]]</f>
        <v>0</v>
      </c>
      <c r="EO24">
        <f>X25-Table2[[#This Row],[14F1 Traywasher Panel -1B]]</f>
        <v>0</v>
      </c>
      <c r="EP24">
        <f>BM25-Table2[[#This Row],[2F2 - PDB 3 - WH Truck &amp; Battery Charging]]</f>
        <v>0</v>
      </c>
      <c r="EQ24">
        <f>(CK25-Table2[[#This Row],[PDB - 11 Truck Charging]])*1000</f>
        <v>0</v>
      </c>
      <c r="ER24">
        <f>P25-Table2[[#This Row],[5F3 Admin Area]]</f>
        <v>0</v>
      </c>
      <c r="ES24">
        <f>AH25-Table2[[#This Row],[2F5 Main Gate-1 Piller -1]]</f>
        <v>0</v>
      </c>
      <c r="ET24">
        <f>CW25-Table2[[#This Row],[6F2 Ground Floor AC]]</f>
        <v>0</v>
      </c>
      <c r="EU24">
        <f>CX25-Table2[[#This Row],[6F3 ACBD -1 (First floor AC)]]</f>
        <v>0</v>
      </c>
      <c r="EV24">
        <f>CY25-Table2[[#This Row],[6F4 ACBD - 2 (Second &amp; Third floor AC)]]</f>
        <v>0</v>
      </c>
      <c r="EW24">
        <f>(BC25-Table2[[#This Row],[4F Old BMC cooling Unit]])</f>
        <v>0</v>
      </c>
      <c r="EX24">
        <f>BO25-Table2[[#This Row],[2F4 - Old BMC]]</f>
        <v>0</v>
      </c>
      <c r="EY24">
        <f>Y25-Table2[[#This Row],[14F2 New CK]]</f>
        <v>0</v>
      </c>
      <c r="EZ24">
        <f>(CL25-Table2[[#This Row],[OLD Ck Panel-1]])*1000</f>
        <v>0</v>
      </c>
      <c r="FA24">
        <f>CM25-Table2[[#This Row],[2F4 Old CK Blast (Blue star)]]</f>
        <v>0</v>
      </c>
      <c r="FB24">
        <f>CN25-Table2[[#This Row],[3F6 Old CK Blast (Carrier)]]</f>
        <v>0</v>
      </c>
      <c r="FC24">
        <f>(CO25-Table2[[#This Row],[Old CK Panel -2]])*1000</f>
        <v>0</v>
      </c>
      <c r="FD24">
        <f>N25-Table2[[#This Row],[4F1 Main UPS 1/C -1]]</f>
        <v>0</v>
      </c>
      <c r="FE24">
        <f>Z25-Table2[[#This Row],[15F1 Main UPS Panel - I/C - 2]]</f>
        <v>0</v>
      </c>
      <c r="FF24">
        <f>BF25-Table2[[#This Row],[2F CLC -1 AC unit - 2]]</f>
        <v>0</v>
      </c>
      <c r="FG24">
        <f>(BG25-Table2[[#This Row],[2F CLC Anti room]])*1000</f>
        <v>0</v>
      </c>
      <c r="FH24">
        <f>BW25-Table2[[#This Row],[7F3 CLC Power Panel]]</f>
        <v>0</v>
      </c>
      <c r="FI24">
        <f>(CI25-Table2[[#This Row],[PDB - 17 CLC Section ]])*1000</f>
        <v>0</v>
      </c>
      <c r="FJ24">
        <f>(W25-Table2[[#This Row],[13F3 Water &amp; Lift Old CK]])*1000</f>
        <v>0</v>
      </c>
      <c r="FK24">
        <f>AA25-Table2[[#This Row],[15F2 New ETP Panel]]</f>
        <v>0</v>
      </c>
      <c r="FL24">
        <f>AL25-Table2[[#This Row],[3F4 Old ETP Panel]]</f>
        <v>0</v>
      </c>
      <c r="FM24">
        <f>AF25-Table2[[#This Row],[2F1 RO Plant]]</f>
        <v>0</v>
      </c>
      <c r="FN24">
        <f>AK25-Table2[[#This Row],[3F3 Fire Hydrant Panel]]</f>
        <v>0</v>
      </c>
      <c r="FO24">
        <f>O25-Table2[[#This Row],[5F1 Utility]]</f>
        <v>0</v>
      </c>
      <c r="FP24">
        <f>R25-Table2[[#This Row],[7F1 Freon System Panel]]</f>
        <v>0</v>
      </c>
      <c r="FQ24">
        <f>(AE25-Table2[[#This Row],[21F1 Refrigeration Ammonia]])*1000</f>
        <v>0</v>
      </c>
      <c r="FR24">
        <f>(AW25-Table2[[#This Row],[1F1 Ammonia Refrigeration Room Panel]])*1000</f>
        <v>0</v>
      </c>
      <c r="FS24">
        <f>(AG25-Table2[[#This Row],[2F3 Air Compressor]])*1000</f>
        <v>0</v>
      </c>
      <c r="FT24">
        <f>(AX25-Table2[[#This Row],[Solar Reading Panel II]])*1000</f>
        <v>0</v>
      </c>
      <c r="FU24">
        <f>AI25-Table2[[#This Row],[3F1 Maintenance Workshop]]</f>
        <v>0</v>
      </c>
      <c r="FV24">
        <f>BD25-Table2[[#This Row],[4F B2B unit ]]</f>
        <v>0</v>
      </c>
      <c r="FW24">
        <f>BL25-Table2[[#This Row],[2F1 - PDB 6 - Bread, B2B section]]</f>
        <v>0</v>
      </c>
      <c r="FX24">
        <f>(CG25-Table2[[#This Row],[9F5 - PDB 14 - Bread Lift]])</f>
        <v>0</v>
      </c>
      <c r="FY24">
        <f>CJ25-Table2[[#This Row],[PDB - 16 Bread Section]]</f>
        <v>0</v>
      </c>
      <c r="FZ24">
        <f>BU25-Table2[[#This Row],[7F1 Donut Production area]]</f>
        <v>0</v>
      </c>
      <c r="GA24">
        <f>CB25-Table2[[#This Row],[8F5 Donut Ban Bary]]</f>
        <v>0</v>
      </c>
      <c r="GB24">
        <f>CF25-Table2[[#This Row],[9F4 - PDB 13 - Donut Sink Geyser area]]</f>
        <v>0</v>
      </c>
      <c r="GC24">
        <f>BV25-Table2[[#This Row],[7F2 Flour Silo]]</f>
        <v>0</v>
      </c>
      <c r="GD24">
        <f>BY25-Table2[[#This Row],[8F2 ACPDB - 3 SILO Ventilation]]</f>
        <v>0</v>
      </c>
      <c r="GE24">
        <f>J25-Table2[[#This Row],[DG 1010KVA Running Hours]]</f>
        <v>0</v>
      </c>
      <c r="GF24">
        <f>K25-Table2[[#This Row],[DG 1010 KVA Meter Reading]]</f>
        <v>0</v>
      </c>
      <c r="GG24">
        <f>L25-Table2[[#This Row],[GG 1010 KVA Running Hours]]</f>
        <v>0</v>
      </c>
      <c r="GH24">
        <f>M25-Table2[[#This Row],[GG 1010 KVA Meter Reading]]</f>
        <v>0</v>
      </c>
    </row>
    <row r="25" spans="1:190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>
        <f>Table2[[#This Row],[Date]]</f>
        <v>0</v>
      </c>
      <c r="DI25">
        <f>(DD26-Table2[[#This Row],[MWH Total]])*4000</f>
        <v>0</v>
      </c>
      <c r="DJ25">
        <f>(DA26-Table2[[#This Row],[PNG Meter (Outside)]])*2.936</f>
        <v>0</v>
      </c>
      <c r="DK25">
        <f>(DB26-Table2[[#This Row],[PNG Meter (Inside)]])*2.936</f>
        <v>0</v>
      </c>
      <c r="DL25">
        <f>(BH26-Table2[[#This Row],[3F Dough cooler - 2 ]])*1000</f>
        <v>0</v>
      </c>
      <c r="DM25">
        <f>(BI26-Table2[[#This Row],[3F Dough Cooler- 1]])*1000</f>
        <v>0</v>
      </c>
      <c r="DN25">
        <f>(BJ26-Table2[[#This Row],[4F Dough Production cooling Unit]])*1000</f>
        <v>0</v>
      </c>
      <c r="DO25">
        <f>(BQ26-Table2[[#This Row],[3F2 - PDB 3 - Dough Production Area]])*1000</f>
        <v>0</v>
      </c>
      <c r="DP25">
        <f>(BR26-Table2[[#This Row],[3F3 - PDB 4 - Dough Area]])*1000</f>
        <v>0</v>
      </c>
      <c r="DQ25">
        <f>S26-Table2[[#This Row],[7F2 Traywasher Panel - 1A ( + Old Ck)]]</f>
        <v>0</v>
      </c>
      <c r="DR25">
        <f>X26-Table2[[#This Row],[14F1 Traywasher Panel -1B]]</f>
        <v>0</v>
      </c>
      <c r="DS25">
        <f>AC26-Table2[[#This Row],[16F1 Tray washer Panel for Light]]</f>
        <v>0</v>
      </c>
      <c r="DT25">
        <f>CP26-Table2[[#This Row],[Tray Washer light Panel]]</f>
        <v>0</v>
      </c>
      <c r="DU25">
        <f>CQ26-Table2[[#This Row],[2F1 Tray Washer - 1]]</f>
        <v>0</v>
      </c>
      <c r="DV25">
        <f>CS26-Table2[[#This Row],[2F5 Destacker]]</f>
        <v>0</v>
      </c>
      <c r="DW25">
        <f>CT26-Table2[[#This Row],[3F1 Metering (TW-1)]]</f>
        <v>0</v>
      </c>
      <c r="DX25">
        <f>CU26-Table2[[#This Row],[5F1 Metering (TW-2)]]</f>
        <v>0</v>
      </c>
      <c r="DY25">
        <f>CV26-Table2[[#This Row],[6F1 Pre soaker Tray washer]]</f>
        <v>0</v>
      </c>
      <c r="DZ25">
        <f>CZ26-Table2[[#This Row],[6F5 Vent tray Storage]]</f>
        <v>0</v>
      </c>
      <c r="EA25">
        <f>I26-Table2[[#This Row],[Popeyes Meter ]]</f>
        <v>0</v>
      </c>
      <c r="EB25">
        <f>AZ26-Table2[[#This Row],[2F WH Chiller, Segregation Area]]</f>
        <v>0</v>
      </c>
      <c r="EC25">
        <f>BA26-Table2[[#This Row],[3F1 AC Unit WH dock cooling - 2 Nos]]</f>
        <v>0</v>
      </c>
      <c r="ED25">
        <f>BB26-Table2[[#This Row],[3F2 AC Unit WH dock cooling - 3 Nos]]</f>
        <v>0</v>
      </c>
      <c r="EE25">
        <f>(BK26-Table2[[#This Row],[5F WH Perishable]])*1000</f>
        <v>0</v>
      </c>
      <c r="EF25">
        <f>BN26-Table2[[#This Row],[2F3 - PDB 9 - WH Dock Leveler Door ]]</f>
        <v>0</v>
      </c>
      <c r="EG25">
        <f>BP26-Table2[[#This Row],[3F1 - PDB 5 - WH HSD]]</f>
        <v>0</v>
      </c>
      <c r="EH25">
        <f>BX26-Table2[[#This Row],[8F1 WH Dock AHU - Ventilation]]</f>
        <v>0</v>
      </c>
      <c r="EI25">
        <f>BZ26-Table2[[#This Row],[8F3 ACPDB - 4 WH Dock air curtain]]</f>
        <v>0</v>
      </c>
      <c r="EJ25">
        <f>CA26-Table2[[#This Row],[8F4 WH Light]]</f>
        <v>0</v>
      </c>
      <c r="EK25">
        <f>CC26-Table2[[#This Row],[9F1 - PDB 10 - WH Dock door &amp; Office]]</f>
        <v>0</v>
      </c>
      <c r="EL25">
        <f>CD26-Table2[[#This Row],[9F2 - PDB 11 - WH flycatchers]]</f>
        <v>0</v>
      </c>
      <c r="EM25">
        <f>CE26-Table2[[#This Row],[9F3 - PDB 12 - Other items]]</f>
        <v>0</v>
      </c>
      <c r="EN25">
        <f>CR26-Table2[[#This Row],[2F3 - PDB 1 - Dock 1 to 4 ]]</f>
        <v>0</v>
      </c>
      <c r="EO25">
        <f>X26-Table2[[#This Row],[14F1 Traywasher Panel -1B]]</f>
        <v>0</v>
      </c>
      <c r="EP25">
        <f>BM26-Table2[[#This Row],[2F2 - PDB 3 - WH Truck &amp; Battery Charging]]</f>
        <v>0</v>
      </c>
      <c r="EQ25">
        <f>(CK26-Table2[[#This Row],[PDB - 11 Truck Charging]])*1000</f>
        <v>0</v>
      </c>
      <c r="ER25">
        <f>P26-Table2[[#This Row],[5F3 Admin Area]]</f>
        <v>0</v>
      </c>
      <c r="ES25">
        <f>AH26-Table2[[#This Row],[2F5 Main Gate-1 Piller -1]]</f>
        <v>0</v>
      </c>
      <c r="ET25">
        <f>CW26-Table2[[#This Row],[6F2 Ground Floor AC]]</f>
        <v>0</v>
      </c>
      <c r="EU25">
        <f>CX26-Table2[[#This Row],[6F3 ACBD -1 (First floor AC)]]</f>
        <v>0</v>
      </c>
      <c r="EV25">
        <f>CY26-Table2[[#This Row],[6F4 ACBD - 2 (Second &amp; Third floor AC)]]</f>
        <v>0</v>
      </c>
      <c r="EW25">
        <f>(BC26-Table2[[#This Row],[4F Old BMC cooling Unit]])</f>
        <v>0</v>
      </c>
      <c r="EX25">
        <f>BO26-Table2[[#This Row],[2F4 - Old BMC]]</f>
        <v>0</v>
      </c>
      <c r="EY25">
        <f>Y26-Table2[[#This Row],[14F2 New CK]]</f>
        <v>0</v>
      </c>
      <c r="EZ25">
        <f>(CL26-Table2[[#This Row],[OLD Ck Panel-1]])*1000</f>
        <v>0</v>
      </c>
      <c r="FA25">
        <f>CM26-Table2[[#This Row],[2F4 Old CK Blast (Blue star)]]</f>
        <v>0</v>
      </c>
      <c r="FB25">
        <f>CN26-Table2[[#This Row],[3F6 Old CK Blast (Carrier)]]</f>
        <v>0</v>
      </c>
      <c r="FC25">
        <f>(CO26-Table2[[#This Row],[Old CK Panel -2]])*1000</f>
        <v>0</v>
      </c>
      <c r="FD25">
        <f>N26-Table2[[#This Row],[4F1 Main UPS 1/C -1]]</f>
        <v>0</v>
      </c>
      <c r="FE25">
        <f>Z26-Table2[[#This Row],[15F1 Main UPS Panel - I/C - 2]]</f>
        <v>0</v>
      </c>
      <c r="FF25">
        <f>BF26-Table2[[#This Row],[2F CLC -1 AC unit - 2]]</f>
        <v>0</v>
      </c>
      <c r="FG25">
        <f>(BG26-Table2[[#This Row],[2F CLC Anti room]])*1000</f>
        <v>0</v>
      </c>
      <c r="FH25">
        <f>BW26-Table2[[#This Row],[7F3 CLC Power Panel]]</f>
        <v>0</v>
      </c>
      <c r="FI25">
        <f>(CI26-Table2[[#This Row],[PDB - 17 CLC Section ]])*1000</f>
        <v>0</v>
      </c>
      <c r="FJ25">
        <f>(W26-Table2[[#This Row],[13F3 Water &amp; Lift Old CK]])*1000</f>
        <v>0</v>
      </c>
      <c r="FK25">
        <f>AA26-Table2[[#This Row],[15F2 New ETP Panel]]</f>
        <v>0</v>
      </c>
      <c r="FL25">
        <f>AL26-Table2[[#This Row],[3F4 Old ETP Panel]]</f>
        <v>0</v>
      </c>
      <c r="FM25">
        <f>AF26-Table2[[#This Row],[2F1 RO Plant]]</f>
        <v>0</v>
      </c>
      <c r="FN25">
        <f>AK26-Table2[[#This Row],[3F3 Fire Hydrant Panel]]</f>
        <v>0</v>
      </c>
      <c r="FO25">
        <f>O26-Table2[[#This Row],[5F1 Utility]]</f>
        <v>0</v>
      </c>
      <c r="FP25">
        <f>R26-Table2[[#This Row],[7F1 Freon System Panel]]</f>
        <v>0</v>
      </c>
      <c r="FQ25">
        <f>(AE26-Table2[[#This Row],[21F1 Refrigeration Ammonia]])*1000</f>
        <v>0</v>
      </c>
      <c r="FR25">
        <f>(AW26-Table2[[#This Row],[1F1 Ammonia Refrigeration Room Panel]])*1000</f>
        <v>0</v>
      </c>
      <c r="FS25">
        <f>(AG26-Table2[[#This Row],[2F3 Air Compressor]])*1000</f>
        <v>0</v>
      </c>
      <c r="FT25">
        <f>(AX26-Table2[[#This Row],[Solar Reading Panel II]])*1000</f>
        <v>0</v>
      </c>
      <c r="FU25">
        <f>AI26-Table2[[#This Row],[3F1 Maintenance Workshop]]</f>
        <v>0</v>
      </c>
      <c r="FV25">
        <f>BD26-Table2[[#This Row],[4F B2B unit ]]</f>
        <v>0</v>
      </c>
      <c r="FW25">
        <f>BL26-Table2[[#This Row],[2F1 - PDB 6 - Bread, B2B section]]</f>
        <v>0</v>
      </c>
      <c r="FX25">
        <f>(CG26-Table2[[#This Row],[9F5 - PDB 14 - Bread Lift]])</f>
        <v>0</v>
      </c>
      <c r="FY25">
        <f>CJ26-Table2[[#This Row],[PDB - 16 Bread Section]]</f>
        <v>0</v>
      </c>
      <c r="FZ25">
        <f>BU26-Table2[[#This Row],[7F1 Donut Production area]]</f>
        <v>0</v>
      </c>
      <c r="GA25">
        <f>CB26-Table2[[#This Row],[8F5 Donut Ban Bary]]</f>
        <v>0</v>
      </c>
      <c r="GB25">
        <f>CF26-Table2[[#This Row],[9F4 - PDB 13 - Donut Sink Geyser area]]</f>
        <v>0</v>
      </c>
      <c r="GC25">
        <f>BV26-Table2[[#This Row],[7F2 Flour Silo]]</f>
        <v>0</v>
      </c>
      <c r="GD25">
        <f>BY26-Table2[[#This Row],[8F2 ACPDB - 3 SILO Ventilation]]</f>
        <v>0</v>
      </c>
      <c r="GE25">
        <f>J26-Table2[[#This Row],[DG 1010KVA Running Hours]]</f>
        <v>0</v>
      </c>
      <c r="GF25">
        <f>K26-Table2[[#This Row],[DG 1010 KVA Meter Reading]]</f>
        <v>0</v>
      </c>
      <c r="GG25">
        <f>L26-Table2[[#This Row],[GG 1010 KVA Running Hours]]</f>
        <v>0</v>
      </c>
      <c r="GH25">
        <f>M26-Table2[[#This Row],[GG 1010 KVA Meter Reading]]</f>
        <v>0</v>
      </c>
    </row>
    <row r="26" spans="1:190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90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90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90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90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90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90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3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4"/>
    </row>
    <row r="52" spans="1:112" x14ac:dyDescent="0.35">
      <c r="A52" s="1"/>
      <c r="B52" s="2"/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</row>
  </sheetData>
  <mergeCells count="17">
    <mergeCell ref="GE1:GF1"/>
    <mergeCell ref="GG1:GH1"/>
    <mergeCell ref="DQ1:DZ1"/>
    <mergeCell ref="FD1:FE1"/>
    <mergeCell ref="FF1:FI1"/>
    <mergeCell ref="FK1:FL1"/>
    <mergeCell ref="FQ1:FR1"/>
    <mergeCell ref="GC1:GD1"/>
    <mergeCell ref="FZ1:GB1"/>
    <mergeCell ref="FW1:FY1"/>
    <mergeCell ref="EB1:EN1"/>
    <mergeCell ref="EO1:EQ1"/>
    <mergeCell ref="ER1:EV1"/>
    <mergeCell ref="EW1:EX1"/>
    <mergeCell ref="EZ1:FC1"/>
    <mergeCell ref="DL1:DP1"/>
    <mergeCell ref="DJ1:DK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abSelected="1" topLeftCell="K4" workbookViewId="0">
      <selection activeCell="L9" sqref="L9"/>
    </sheetView>
  </sheetViews>
  <sheetFormatPr defaultRowHeight="13" x14ac:dyDescent="0.35"/>
  <cols>
    <col min="1" max="1" width="18.54296875" style="30" customWidth="1"/>
    <col min="2" max="2" width="11.26953125" style="30" customWidth="1"/>
    <col min="3" max="10" width="10.6328125" style="30" customWidth="1"/>
    <col min="11" max="11" width="8.7265625" style="30"/>
    <col min="12" max="19" width="15.453125" style="31" customWidth="1"/>
    <col min="20" max="20" width="11.26953125" style="31" customWidth="1"/>
    <col min="21" max="16384" width="8.7265625" style="30"/>
  </cols>
  <sheetData>
    <row r="1" spans="1:24" ht="14.25" customHeight="1" x14ac:dyDescent="0.3">
      <c r="A1" s="28" t="s">
        <v>147</v>
      </c>
      <c r="B1" s="28"/>
      <c r="C1" s="28"/>
      <c r="D1" s="29"/>
      <c r="E1" s="29"/>
      <c r="F1" s="29"/>
      <c r="G1" s="29"/>
      <c r="H1" s="29"/>
      <c r="I1" s="28" t="s">
        <v>148</v>
      </c>
      <c r="J1" s="28"/>
    </row>
    <row r="2" spans="1:24" ht="14.25" customHeight="1" x14ac:dyDescent="0.3">
      <c r="A2" s="28" t="s">
        <v>149</v>
      </c>
      <c r="B2" s="28"/>
      <c r="C2" s="28"/>
      <c r="D2" s="29"/>
      <c r="E2" s="29"/>
      <c r="F2" s="29"/>
      <c r="G2" s="29"/>
      <c r="H2" s="29"/>
      <c r="I2" s="29"/>
      <c r="J2" s="29"/>
    </row>
    <row r="3" spans="1:24" ht="14.25" customHeight="1" x14ac:dyDescent="0.3">
      <c r="A3" s="28" t="s">
        <v>150</v>
      </c>
      <c r="B3" s="28"/>
      <c r="C3" s="29"/>
      <c r="D3" s="29"/>
      <c r="E3" s="29"/>
      <c r="F3" s="29"/>
      <c r="G3" s="29"/>
      <c r="H3" s="29"/>
      <c r="I3" s="29"/>
      <c r="J3" s="29"/>
    </row>
    <row r="4" spans="1:24" ht="14.25" customHeight="1" x14ac:dyDescent="0.3">
      <c r="A4" s="28" t="s">
        <v>151</v>
      </c>
      <c r="B4" s="28"/>
      <c r="C4" s="28"/>
      <c r="D4" s="29"/>
      <c r="E4" s="29"/>
      <c r="F4" s="29"/>
      <c r="G4" s="29"/>
      <c r="H4" s="29"/>
      <c r="I4" s="29"/>
      <c r="J4" s="29"/>
    </row>
    <row r="5" spans="1:24" ht="14.25" customHeight="1" x14ac:dyDescent="0.3">
      <c r="A5" s="28" t="s">
        <v>152</v>
      </c>
      <c r="B5" s="28"/>
      <c r="C5" s="29"/>
      <c r="D5" s="29"/>
      <c r="E5" s="29"/>
      <c r="F5" s="29"/>
      <c r="G5" s="29"/>
      <c r="H5" s="29"/>
      <c r="I5" s="29"/>
      <c r="J5" s="29"/>
    </row>
    <row r="6" spans="1:24" ht="14.25" customHeight="1" x14ac:dyDescent="0.3">
      <c r="A6" s="28" t="s">
        <v>153</v>
      </c>
      <c r="B6" s="28"/>
      <c r="C6" s="28"/>
      <c r="D6" s="29"/>
      <c r="E6" s="29"/>
      <c r="F6" s="29"/>
      <c r="G6" s="29"/>
      <c r="H6" s="29"/>
      <c r="I6" s="29"/>
      <c r="J6" s="29"/>
    </row>
    <row r="7" spans="1:24" ht="14.25" customHeight="1" x14ac:dyDescent="0.3">
      <c r="A7" s="28" t="s">
        <v>154</v>
      </c>
      <c r="B7" s="28"/>
      <c r="C7" s="29"/>
      <c r="D7" s="29"/>
      <c r="E7" s="29"/>
      <c r="F7" s="29"/>
      <c r="G7" s="29"/>
      <c r="H7" s="29"/>
      <c r="I7" s="29"/>
      <c r="J7" s="29"/>
    </row>
    <row r="8" spans="1:24" ht="29" customHeight="1" x14ac:dyDescent="0.3">
      <c r="A8" s="32" t="s">
        <v>155</v>
      </c>
      <c r="B8" s="32"/>
      <c r="C8" s="33"/>
      <c r="D8" s="33"/>
      <c r="E8" s="33"/>
      <c r="F8" s="33"/>
      <c r="G8" s="33"/>
      <c r="H8" s="33"/>
      <c r="I8" s="33"/>
      <c r="J8" s="33"/>
      <c r="L8" s="52">
        <f>SUBTOTAL(9,L10:L11152)</f>
        <v>475.60000000003492</v>
      </c>
      <c r="M8" s="52">
        <f t="shared" ref="M8:X8" si="0">SUBTOTAL(9,M10:M11152)</f>
        <v>383.60000000000582</v>
      </c>
      <c r="N8" s="52">
        <f t="shared" si="0"/>
        <v>1346.5999999999985</v>
      </c>
      <c r="O8" s="52">
        <f t="shared" si="0"/>
        <v>2047.7999999999884</v>
      </c>
      <c r="P8" s="52">
        <f t="shared" si="0"/>
        <v>1423</v>
      </c>
      <c r="Q8" s="52">
        <f t="shared" si="0"/>
        <v>1054.3999999999651</v>
      </c>
      <c r="R8" s="52">
        <f t="shared" si="0"/>
        <v>704.70000000001164</v>
      </c>
      <c r="S8" s="52">
        <f t="shared" si="0"/>
        <v>5482.8000000000466</v>
      </c>
      <c r="T8" s="52">
        <f t="shared" si="0"/>
        <v>8431</v>
      </c>
      <c r="U8" s="52">
        <f t="shared" si="0"/>
        <v>1530</v>
      </c>
      <c r="V8" s="52">
        <f t="shared" si="0"/>
        <v>1088.3000000000175</v>
      </c>
      <c r="W8" s="52">
        <f t="shared" si="0"/>
        <v>6829.4000000000451</v>
      </c>
      <c r="X8" s="52">
        <f t="shared" si="0"/>
        <v>11901.799999999988</v>
      </c>
    </row>
    <row r="9" spans="1:24" ht="52" x14ac:dyDescent="0.35">
      <c r="A9" s="34" t="s">
        <v>156</v>
      </c>
      <c r="B9" s="35" t="s">
        <v>157</v>
      </c>
      <c r="C9" s="34" t="s">
        <v>158</v>
      </c>
      <c r="D9" s="34" t="s">
        <v>159</v>
      </c>
      <c r="E9" s="34" t="s">
        <v>160</v>
      </c>
      <c r="F9" s="34" t="s">
        <v>161</v>
      </c>
      <c r="G9" s="34" t="s">
        <v>162</v>
      </c>
      <c r="H9" s="36" t="s">
        <v>163</v>
      </c>
      <c r="I9" s="37" t="s">
        <v>164</v>
      </c>
      <c r="J9" s="34" t="s">
        <v>165</v>
      </c>
      <c r="L9" s="53" t="s">
        <v>313</v>
      </c>
      <c r="M9" s="53" t="s">
        <v>314</v>
      </c>
      <c r="N9" s="53" t="s">
        <v>315</v>
      </c>
      <c r="O9" s="53" t="s">
        <v>316</v>
      </c>
      <c r="P9" s="53" t="s">
        <v>317</v>
      </c>
      <c r="Q9" s="53" t="s">
        <v>318</v>
      </c>
      <c r="R9" s="53" t="s">
        <v>319</v>
      </c>
      <c r="S9" s="53" t="s">
        <v>320</v>
      </c>
      <c r="T9" s="53" t="s">
        <v>321</v>
      </c>
      <c r="U9" s="54" t="s">
        <v>166</v>
      </c>
      <c r="V9" s="54" t="s">
        <v>128</v>
      </c>
      <c r="W9" s="54" t="s">
        <v>130</v>
      </c>
      <c r="X9" s="54" t="s">
        <v>167</v>
      </c>
    </row>
    <row r="10" spans="1:24" ht="20" customHeight="1" x14ac:dyDescent="0.35">
      <c r="A10" s="38" t="s">
        <v>168</v>
      </c>
      <c r="B10" s="39">
        <v>404033.6</v>
      </c>
      <c r="C10" s="38" t="s">
        <v>169</v>
      </c>
      <c r="D10" s="40">
        <v>42299.4</v>
      </c>
      <c r="E10" s="40">
        <v>363122.7</v>
      </c>
      <c r="F10" s="40">
        <v>243935.3</v>
      </c>
      <c r="G10" s="40">
        <v>517399.2</v>
      </c>
      <c r="H10" s="41" t="s">
        <v>169</v>
      </c>
      <c r="I10" s="42">
        <v>700364.4</v>
      </c>
      <c r="J10" s="43">
        <v>1416644</v>
      </c>
      <c r="L10" s="55">
        <f>IFERROR(B11-B10,0)</f>
        <v>17.300000000046566</v>
      </c>
      <c r="M10" s="55">
        <f t="shared" ref="M10:T25" si="1">IFERROR(C11-C10,0)</f>
        <v>0</v>
      </c>
      <c r="N10" s="55">
        <f t="shared" si="1"/>
        <v>19.099999999998545</v>
      </c>
      <c r="O10" s="55">
        <f t="shared" si="1"/>
        <v>11</v>
      </c>
      <c r="P10" s="55">
        <f t="shared" si="1"/>
        <v>5.4000000000232831</v>
      </c>
      <c r="Q10" s="55">
        <f t="shared" si="1"/>
        <v>45.700000000011642</v>
      </c>
      <c r="R10" s="55">
        <f t="shared" si="1"/>
        <v>0</v>
      </c>
      <c r="S10" s="55">
        <f t="shared" si="1"/>
        <v>26.799999999930151</v>
      </c>
      <c r="T10" s="55">
        <f t="shared" si="1"/>
        <v>47</v>
      </c>
      <c r="U10" s="56">
        <f>L10+Q10</f>
        <v>63.000000000058208</v>
      </c>
      <c r="V10" s="56">
        <f>M10+R10</f>
        <v>0</v>
      </c>
      <c r="W10" s="56">
        <f>N10+S10</f>
        <v>45.899999999928696</v>
      </c>
      <c r="X10" s="56">
        <f>O10+P10+T10</f>
        <v>63.400000000023283</v>
      </c>
    </row>
    <row r="11" spans="1:24" ht="20" customHeight="1" x14ac:dyDescent="0.35">
      <c r="A11" s="38" t="s">
        <v>170</v>
      </c>
      <c r="B11" s="39">
        <v>404050.9</v>
      </c>
      <c r="C11" s="38" t="s">
        <v>169</v>
      </c>
      <c r="D11" s="40">
        <v>42318.5</v>
      </c>
      <c r="E11" s="40">
        <v>363133.7</v>
      </c>
      <c r="F11" s="40">
        <v>243940.7</v>
      </c>
      <c r="G11" s="40">
        <v>517444.9</v>
      </c>
      <c r="H11" s="41" t="s">
        <v>169</v>
      </c>
      <c r="I11" s="42">
        <v>700391.2</v>
      </c>
      <c r="J11" s="43">
        <v>1416691</v>
      </c>
      <c r="L11" s="55">
        <f t="shared" ref="L11:T44" si="2">IFERROR(B12-B11,0)</f>
        <v>17.299999999988358</v>
      </c>
      <c r="M11" s="55">
        <f t="shared" si="1"/>
        <v>0</v>
      </c>
      <c r="N11" s="55">
        <f t="shared" si="1"/>
        <v>21.19999999999709</v>
      </c>
      <c r="O11" s="55">
        <f t="shared" si="1"/>
        <v>10.899999999965075</v>
      </c>
      <c r="P11" s="55">
        <f t="shared" si="1"/>
        <v>5.2999999999883585</v>
      </c>
      <c r="Q11" s="55">
        <f t="shared" si="1"/>
        <v>45.099999999976717</v>
      </c>
      <c r="R11" s="55">
        <f t="shared" si="1"/>
        <v>0</v>
      </c>
      <c r="S11" s="55">
        <f t="shared" si="1"/>
        <v>55.700000000069849</v>
      </c>
      <c r="T11" s="55">
        <f t="shared" si="1"/>
        <v>46</v>
      </c>
      <c r="U11" s="56">
        <f t="shared" ref="U11:W44" si="3">L11+Q11</f>
        <v>62.399999999965075</v>
      </c>
      <c r="V11" s="56">
        <f t="shared" si="3"/>
        <v>0</v>
      </c>
      <c r="W11" s="56">
        <f t="shared" si="3"/>
        <v>76.900000000066939</v>
      </c>
      <c r="X11" s="56">
        <f>O11+P11+T11</f>
        <v>62.199999999953434</v>
      </c>
    </row>
    <row r="12" spans="1:24" ht="20" customHeight="1" x14ac:dyDescent="0.35">
      <c r="A12" s="38" t="s">
        <v>171</v>
      </c>
      <c r="B12" s="39">
        <v>404068.2</v>
      </c>
      <c r="C12" s="38" t="s">
        <v>169</v>
      </c>
      <c r="D12" s="40">
        <v>42339.7</v>
      </c>
      <c r="E12" s="40">
        <v>363144.6</v>
      </c>
      <c r="F12" s="40">
        <v>243946</v>
      </c>
      <c r="G12" s="40">
        <v>517490</v>
      </c>
      <c r="H12" s="41" t="s">
        <v>169</v>
      </c>
      <c r="I12" s="42">
        <v>700446.9</v>
      </c>
      <c r="J12" s="43">
        <v>1416737</v>
      </c>
      <c r="L12" s="55">
        <f t="shared" si="2"/>
        <v>17.299999999988358</v>
      </c>
      <c r="M12" s="55">
        <f t="shared" si="1"/>
        <v>0</v>
      </c>
      <c r="N12" s="55">
        <f t="shared" si="1"/>
        <v>11.100000000005821</v>
      </c>
      <c r="O12" s="55">
        <f t="shared" si="1"/>
        <v>11</v>
      </c>
      <c r="P12" s="55">
        <f t="shared" si="1"/>
        <v>7.5</v>
      </c>
      <c r="Q12" s="55">
        <f t="shared" si="1"/>
        <v>45.900000000023283</v>
      </c>
      <c r="R12" s="55">
        <f t="shared" si="1"/>
        <v>0</v>
      </c>
      <c r="S12" s="55">
        <f t="shared" si="1"/>
        <v>30</v>
      </c>
      <c r="T12" s="55">
        <f t="shared" si="1"/>
        <v>44</v>
      </c>
      <c r="U12" s="56">
        <f t="shared" si="3"/>
        <v>63.200000000011642</v>
      </c>
      <c r="V12" s="56">
        <f t="shared" si="3"/>
        <v>0</v>
      </c>
      <c r="W12" s="56">
        <f t="shared" si="3"/>
        <v>41.100000000005821</v>
      </c>
      <c r="X12" s="56">
        <f>O12+P12+T12</f>
        <v>62.5</v>
      </c>
    </row>
    <row r="13" spans="1:24" ht="20" customHeight="1" x14ac:dyDescent="0.35">
      <c r="A13" s="38" t="s">
        <v>172</v>
      </c>
      <c r="B13" s="39">
        <v>404085.5</v>
      </c>
      <c r="C13" s="38" t="s">
        <v>169</v>
      </c>
      <c r="D13" s="40">
        <v>42350.8</v>
      </c>
      <c r="E13" s="40">
        <v>363155.6</v>
      </c>
      <c r="F13" s="40">
        <v>243953.5</v>
      </c>
      <c r="G13" s="40">
        <v>517535.9</v>
      </c>
      <c r="H13" s="41" t="s">
        <v>169</v>
      </c>
      <c r="I13" s="42">
        <v>700476.9</v>
      </c>
      <c r="J13" s="43">
        <v>1416781</v>
      </c>
      <c r="L13" s="55">
        <f t="shared" si="2"/>
        <v>17.200000000011642</v>
      </c>
      <c r="M13" s="55">
        <f t="shared" si="1"/>
        <v>0</v>
      </c>
      <c r="N13" s="55">
        <f t="shared" si="1"/>
        <v>11</v>
      </c>
      <c r="O13" s="55">
        <f t="shared" si="1"/>
        <v>15.100000000034925</v>
      </c>
      <c r="P13" s="55">
        <f t="shared" si="1"/>
        <v>13.899999999994179</v>
      </c>
      <c r="Q13" s="55">
        <f t="shared" si="1"/>
        <v>45.799999999988358</v>
      </c>
      <c r="R13" s="55">
        <f t="shared" si="1"/>
        <v>0</v>
      </c>
      <c r="S13" s="55">
        <f t="shared" si="1"/>
        <v>32.900000000023283</v>
      </c>
      <c r="T13" s="55">
        <f t="shared" si="1"/>
        <v>46</v>
      </c>
      <c r="U13" s="56">
        <f t="shared" si="3"/>
        <v>63</v>
      </c>
      <c r="V13" s="56">
        <f t="shared" si="3"/>
        <v>0</v>
      </c>
      <c r="W13" s="56">
        <f t="shared" si="3"/>
        <v>43.900000000023283</v>
      </c>
      <c r="X13" s="56">
        <f>O13+P13+T13</f>
        <v>75.000000000029104</v>
      </c>
    </row>
    <row r="14" spans="1:24" ht="20" customHeight="1" x14ac:dyDescent="0.35">
      <c r="A14" s="38" t="s">
        <v>173</v>
      </c>
      <c r="B14" s="39">
        <v>404102.7</v>
      </c>
      <c r="C14" s="38" t="s">
        <v>169</v>
      </c>
      <c r="D14" s="40">
        <v>42361.8</v>
      </c>
      <c r="E14" s="40">
        <v>363170.7</v>
      </c>
      <c r="F14" s="40">
        <v>243967.4</v>
      </c>
      <c r="G14" s="40">
        <v>517581.7</v>
      </c>
      <c r="H14" s="41" t="s">
        <v>169</v>
      </c>
      <c r="I14" s="42">
        <v>700509.8</v>
      </c>
      <c r="J14" s="43">
        <v>1416827</v>
      </c>
      <c r="L14" s="55">
        <f t="shared" si="2"/>
        <v>17.299999999988358</v>
      </c>
      <c r="M14" s="55">
        <f t="shared" si="1"/>
        <v>0</v>
      </c>
      <c r="N14" s="55">
        <f t="shared" si="1"/>
        <v>10.799999999995634</v>
      </c>
      <c r="O14" s="55">
        <f t="shared" si="1"/>
        <v>16.700000000011642</v>
      </c>
      <c r="P14" s="55">
        <f t="shared" si="1"/>
        <v>13.899999999994179</v>
      </c>
      <c r="Q14" s="55">
        <f t="shared" si="1"/>
        <v>46.599999999976717</v>
      </c>
      <c r="R14" s="55">
        <f t="shared" si="1"/>
        <v>0</v>
      </c>
      <c r="S14" s="55">
        <f t="shared" si="1"/>
        <v>23.099999999976717</v>
      </c>
      <c r="T14" s="55">
        <f t="shared" si="1"/>
        <v>47</v>
      </c>
      <c r="U14" s="56">
        <f t="shared" si="3"/>
        <v>63.899999999965075</v>
      </c>
      <c r="V14" s="56">
        <f t="shared" si="3"/>
        <v>0</v>
      </c>
      <c r="W14" s="56">
        <f t="shared" si="3"/>
        <v>33.899999999972351</v>
      </c>
      <c r="X14" s="56">
        <f>O14+P14+T14</f>
        <v>77.600000000005821</v>
      </c>
    </row>
    <row r="15" spans="1:24" ht="20" customHeight="1" x14ac:dyDescent="0.35">
      <c r="A15" s="38" t="s">
        <v>174</v>
      </c>
      <c r="B15" s="39">
        <v>404120</v>
      </c>
      <c r="C15" s="38" t="s">
        <v>169</v>
      </c>
      <c r="D15" s="40">
        <v>42372.6</v>
      </c>
      <c r="E15" s="40">
        <v>363187.4</v>
      </c>
      <c r="F15" s="40">
        <v>243981.3</v>
      </c>
      <c r="G15" s="40">
        <v>517628.3</v>
      </c>
      <c r="H15" s="41" t="s">
        <v>169</v>
      </c>
      <c r="I15" s="42">
        <v>700532.9</v>
      </c>
      <c r="J15" s="43">
        <v>1416874</v>
      </c>
      <c r="L15" s="55">
        <f t="shared" si="2"/>
        <v>17.299999999988358</v>
      </c>
      <c r="M15" s="55">
        <f t="shared" si="1"/>
        <v>0</v>
      </c>
      <c r="N15" s="55">
        <f t="shared" si="1"/>
        <v>10.900000000001455</v>
      </c>
      <c r="O15" s="55">
        <f t="shared" si="1"/>
        <v>11</v>
      </c>
      <c r="P15" s="55">
        <f t="shared" si="1"/>
        <v>12.200000000011642</v>
      </c>
      <c r="Q15" s="55">
        <f t="shared" si="1"/>
        <v>46.900000000023283</v>
      </c>
      <c r="R15" s="55">
        <f t="shared" si="1"/>
        <v>0</v>
      </c>
      <c r="S15" s="55">
        <f t="shared" si="1"/>
        <v>24.099999999976717</v>
      </c>
      <c r="T15" s="55">
        <f t="shared" si="1"/>
        <v>47</v>
      </c>
      <c r="U15" s="56">
        <f t="shared" si="3"/>
        <v>64.200000000011642</v>
      </c>
      <c r="V15" s="56">
        <f t="shared" si="3"/>
        <v>0</v>
      </c>
      <c r="W15" s="56">
        <f t="shared" si="3"/>
        <v>34.999999999978172</v>
      </c>
      <c r="X15" s="56">
        <f>O15+P15+T15</f>
        <v>70.200000000011642</v>
      </c>
    </row>
    <row r="16" spans="1:24" ht="20" customHeight="1" x14ac:dyDescent="0.35">
      <c r="A16" s="38" t="s">
        <v>175</v>
      </c>
      <c r="B16" s="39">
        <v>404137.3</v>
      </c>
      <c r="C16" s="38" t="s">
        <v>169</v>
      </c>
      <c r="D16" s="40">
        <v>42383.5</v>
      </c>
      <c r="E16" s="40">
        <v>363198.4</v>
      </c>
      <c r="F16" s="40">
        <v>243993.5</v>
      </c>
      <c r="G16" s="40">
        <v>517675.2</v>
      </c>
      <c r="H16" s="41" t="s">
        <v>169</v>
      </c>
      <c r="I16" s="42">
        <v>700557</v>
      </c>
      <c r="J16" s="43">
        <v>1416921</v>
      </c>
      <c r="L16" s="55">
        <f t="shared" si="2"/>
        <v>17.400000000023283</v>
      </c>
      <c r="M16" s="55">
        <f t="shared" si="1"/>
        <v>0</v>
      </c>
      <c r="N16" s="55">
        <f t="shared" si="1"/>
        <v>19.19999999999709</v>
      </c>
      <c r="O16" s="55">
        <f t="shared" si="1"/>
        <v>11.099999999976717</v>
      </c>
      <c r="P16" s="55">
        <f t="shared" si="1"/>
        <v>5.3999999999941792</v>
      </c>
      <c r="Q16" s="55">
        <f t="shared" si="1"/>
        <v>46.299999999988358</v>
      </c>
      <c r="R16" s="55">
        <f t="shared" si="1"/>
        <v>0</v>
      </c>
      <c r="S16" s="55">
        <f t="shared" si="1"/>
        <v>22.900000000023283</v>
      </c>
      <c r="T16" s="55">
        <f t="shared" si="1"/>
        <v>47</v>
      </c>
      <c r="U16" s="56">
        <f t="shared" si="3"/>
        <v>63.700000000011642</v>
      </c>
      <c r="V16" s="56">
        <f t="shared" si="3"/>
        <v>0</v>
      </c>
      <c r="W16" s="56">
        <f t="shared" si="3"/>
        <v>42.100000000020373</v>
      </c>
      <c r="X16" s="56">
        <f>O16+P16+T16</f>
        <v>63.499999999970896</v>
      </c>
    </row>
    <row r="17" spans="1:24" ht="20" customHeight="1" x14ac:dyDescent="0.35">
      <c r="A17" s="38" t="s">
        <v>176</v>
      </c>
      <c r="B17" s="39">
        <v>404154.7</v>
      </c>
      <c r="C17" s="38" t="s">
        <v>169</v>
      </c>
      <c r="D17" s="40">
        <v>42402.7</v>
      </c>
      <c r="E17" s="40">
        <v>363209.5</v>
      </c>
      <c r="F17" s="40">
        <v>243998.9</v>
      </c>
      <c r="G17" s="40">
        <v>517721.5</v>
      </c>
      <c r="H17" s="41" t="s">
        <v>169</v>
      </c>
      <c r="I17" s="42">
        <v>700579.9</v>
      </c>
      <c r="J17" s="43">
        <v>1416968</v>
      </c>
      <c r="L17" s="55">
        <f t="shared" si="2"/>
        <v>17.299999999988358</v>
      </c>
      <c r="M17" s="55">
        <f t="shared" si="1"/>
        <v>0</v>
      </c>
      <c r="N17" s="55">
        <f t="shared" si="1"/>
        <v>18.80000000000291</v>
      </c>
      <c r="O17" s="55">
        <f t="shared" si="1"/>
        <v>10.900000000023283</v>
      </c>
      <c r="P17" s="55">
        <f t="shared" si="1"/>
        <v>5.3000000000174623</v>
      </c>
      <c r="Q17" s="55">
        <f t="shared" si="1"/>
        <v>45.5</v>
      </c>
      <c r="R17" s="55">
        <f t="shared" si="1"/>
        <v>0</v>
      </c>
      <c r="S17" s="55">
        <f t="shared" si="1"/>
        <v>50.900000000023283</v>
      </c>
      <c r="T17" s="55">
        <f t="shared" si="1"/>
        <v>46</v>
      </c>
      <c r="U17" s="56">
        <f t="shared" si="3"/>
        <v>62.799999999988358</v>
      </c>
      <c r="V17" s="56">
        <f t="shared" si="3"/>
        <v>0</v>
      </c>
      <c r="W17" s="56">
        <f t="shared" si="3"/>
        <v>69.700000000026193</v>
      </c>
      <c r="X17" s="56">
        <f>O17+P17+T17</f>
        <v>62.200000000040745</v>
      </c>
    </row>
    <row r="18" spans="1:24" ht="20" customHeight="1" x14ac:dyDescent="0.35">
      <c r="A18" s="38" t="s">
        <v>177</v>
      </c>
      <c r="B18" s="39">
        <v>404172</v>
      </c>
      <c r="C18" s="38" t="s">
        <v>169</v>
      </c>
      <c r="D18" s="40">
        <v>42421.5</v>
      </c>
      <c r="E18" s="40">
        <v>363220.4</v>
      </c>
      <c r="F18" s="40">
        <v>244004.2</v>
      </c>
      <c r="G18" s="40">
        <v>517767</v>
      </c>
      <c r="H18" s="41" t="s">
        <v>169</v>
      </c>
      <c r="I18" s="42">
        <v>700630.8</v>
      </c>
      <c r="J18" s="43">
        <v>1417014</v>
      </c>
      <c r="L18" s="55">
        <f t="shared" si="2"/>
        <v>17.299999999988358</v>
      </c>
      <c r="M18" s="55">
        <f t="shared" si="1"/>
        <v>0</v>
      </c>
      <c r="N18" s="55">
        <f t="shared" si="1"/>
        <v>11.19999999999709</v>
      </c>
      <c r="O18" s="55">
        <f t="shared" si="1"/>
        <v>11</v>
      </c>
      <c r="P18" s="55">
        <f t="shared" si="1"/>
        <v>5.2999999999883585</v>
      </c>
      <c r="Q18" s="55">
        <f t="shared" si="1"/>
        <v>45.099999999976717</v>
      </c>
      <c r="R18" s="55">
        <f t="shared" si="1"/>
        <v>0</v>
      </c>
      <c r="S18" s="55">
        <f t="shared" si="1"/>
        <v>44.899999999906868</v>
      </c>
      <c r="T18" s="55">
        <f t="shared" si="1"/>
        <v>46</v>
      </c>
      <c r="U18" s="56">
        <f t="shared" si="3"/>
        <v>62.399999999965075</v>
      </c>
      <c r="V18" s="56">
        <f t="shared" si="3"/>
        <v>0</v>
      </c>
      <c r="W18" s="56">
        <f t="shared" si="3"/>
        <v>56.099999999903957</v>
      </c>
      <c r="X18" s="56">
        <f>O18+P18+T18</f>
        <v>62.299999999988358</v>
      </c>
    </row>
    <row r="19" spans="1:24" ht="20" customHeight="1" x14ac:dyDescent="0.35">
      <c r="A19" s="38" t="s">
        <v>178</v>
      </c>
      <c r="B19" s="39">
        <v>404189.3</v>
      </c>
      <c r="C19" s="38" t="s">
        <v>169</v>
      </c>
      <c r="D19" s="40">
        <v>42432.7</v>
      </c>
      <c r="E19" s="40">
        <v>363231.4</v>
      </c>
      <c r="F19" s="40">
        <v>244009.5</v>
      </c>
      <c r="G19" s="40">
        <v>517812.1</v>
      </c>
      <c r="H19" s="41" t="s">
        <v>169</v>
      </c>
      <c r="I19" s="42">
        <v>700675.7</v>
      </c>
      <c r="J19" s="43">
        <v>1417060</v>
      </c>
      <c r="L19" s="55">
        <f t="shared" si="2"/>
        <v>46.5</v>
      </c>
      <c r="M19" s="55">
        <f t="shared" si="1"/>
        <v>0</v>
      </c>
      <c r="N19" s="55">
        <f t="shared" si="1"/>
        <v>12</v>
      </c>
      <c r="O19" s="55">
        <f t="shared" si="1"/>
        <v>24.199999999953434</v>
      </c>
      <c r="P19" s="55">
        <f t="shared" si="1"/>
        <v>7.2999999999883585</v>
      </c>
      <c r="Q19" s="55">
        <f t="shared" si="1"/>
        <v>30.700000000011642</v>
      </c>
      <c r="R19" s="55">
        <f t="shared" si="1"/>
        <v>0</v>
      </c>
      <c r="S19" s="55">
        <f t="shared" si="1"/>
        <v>79.200000000069849</v>
      </c>
      <c r="T19" s="55">
        <f t="shared" si="1"/>
        <v>51</v>
      </c>
      <c r="U19" s="56">
        <f t="shared" si="3"/>
        <v>77.200000000011642</v>
      </c>
      <c r="V19" s="56">
        <f t="shared" si="3"/>
        <v>0</v>
      </c>
      <c r="W19" s="56">
        <f t="shared" si="3"/>
        <v>91.200000000069849</v>
      </c>
      <c r="X19" s="56">
        <f>O19+P19+T19</f>
        <v>82.499999999941792</v>
      </c>
    </row>
    <row r="20" spans="1:24" ht="20" customHeight="1" x14ac:dyDescent="0.35">
      <c r="A20" s="38" t="s">
        <v>179</v>
      </c>
      <c r="B20" s="39">
        <v>404235.8</v>
      </c>
      <c r="C20" s="38" t="s">
        <v>169</v>
      </c>
      <c r="D20" s="40">
        <v>42444.7</v>
      </c>
      <c r="E20" s="40">
        <v>363255.6</v>
      </c>
      <c r="F20" s="40">
        <v>244016.8</v>
      </c>
      <c r="G20" s="40">
        <v>517842.8</v>
      </c>
      <c r="H20" s="41" t="s">
        <v>169</v>
      </c>
      <c r="I20" s="42">
        <v>700754.9</v>
      </c>
      <c r="J20" s="43">
        <v>1417111</v>
      </c>
      <c r="L20" s="55">
        <f t="shared" si="2"/>
        <v>17.100000000034925</v>
      </c>
      <c r="M20" s="55">
        <f t="shared" si="1"/>
        <v>0</v>
      </c>
      <c r="N20" s="55">
        <f t="shared" si="1"/>
        <v>11.900000000001455</v>
      </c>
      <c r="O20" s="55">
        <f t="shared" si="1"/>
        <v>25.900000000023283</v>
      </c>
      <c r="P20" s="55">
        <f t="shared" si="1"/>
        <v>13.5</v>
      </c>
      <c r="Q20" s="55">
        <f t="shared" si="1"/>
        <v>44.299999999988358</v>
      </c>
      <c r="R20" s="55">
        <f t="shared" si="1"/>
        <v>0</v>
      </c>
      <c r="S20" s="55">
        <f t="shared" si="1"/>
        <v>79.400000000023283</v>
      </c>
      <c r="T20" s="55">
        <f t="shared" si="1"/>
        <v>62</v>
      </c>
      <c r="U20" s="56">
        <f t="shared" si="3"/>
        <v>61.400000000023283</v>
      </c>
      <c r="V20" s="56">
        <f t="shared" si="3"/>
        <v>0</v>
      </c>
      <c r="W20" s="56">
        <f t="shared" si="3"/>
        <v>91.300000000024738</v>
      </c>
      <c r="X20" s="56">
        <f>O20+P20+T20</f>
        <v>101.40000000002328</v>
      </c>
    </row>
    <row r="21" spans="1:24" ht="20" customHeight="1" x14ac:dyDescent="0.35">
      <c r="A21" s="38" t="s">
        <v>180</v>
      </c>
      <c r="B21" s="39">
        <v>404252.9</v>
      </c>
      <c r="C21" s="38" t="s">
        <v>169</v>
      </c>
      <c r="D21" s="40">
        <v>42456.6</v>
      </c>
      <c r="E21" s="40">
        <v>363281.5</v>
      </c>
      <c r="F21" s="40">
        <v>244030.3</v>
      </c>
      <c r="G21" s="40">
        <v>517887.1</v>
      </c>
      <c r="H21" s="41" t="s">
        <v>169</v>
      </c>
      <c r="I21" s="42">
        <v>700834.3</v>
      </c>
      <c r="J21" s="43">
        <v>1417173</v>
      </c>
      <c r="L21" s="55">
        <f t="shared" si="2"/>
        <v>17.299999999988358</v>
      </c>
      <c r="M21" s="55">
        <f t="shared" si="1"/>
        <v>0</v>
      </c>
      <c r="N21" s="55">
        <f t="shared" si="1"/>
        <v>11.80000000000291</v>
      </c>
      <c r="O21" s="55">
        <f t="shared" si="1"/>
        <v>10.900000000023283</v>
      </c>
      <c r="P21" s="55">
        <f t="shared" si="1"/>
        <v>11.800000000017462</v>
      </c>
      <c r="Q21" s="55">
        <f t="shared" si="1"/>
        <v>44.200000000011642</v>
      </c>
      <c r="R21" s="55">
        <f t="shared" si="1"/>
        <v>0</v>
      </c>
      <c r="S21" s="55">
        <f t="shared" si="1"/>
        <v>80</v>
      </c>
      <c r="T21" s="55">
        <f t="shared" si="1"/>
        <v>56</v>
      </c>
      <c r="U21" s="56">
        <f t="shared" si="3"/>
        <v>61.5</v>
      </c>
      <c r="V21" s="56">
        <f t="shared" si="3"/>
        <v>0</v>
      </c>
      <c r="W21" s="56">
        <f t="shared" si="3"/>
        <v>91.80000000000291</v>
      </c>
      <c r="X21" s="56">
        <f>O21+P21+T21</f>
        <v>78.700000000040745</v>
      </c>
    </row>
    <row r="22" spans="1:24" ht="20" customHeight="1" x14ac:dyDescent="0.35">
      <c r="A22" s="38" t="s">
        <v>181</v>
      </c>
      <c r="B22" s="39">
        <v>404270.2</v>
      </c>
      <c r="C22" s="38" t="s">
        <v>169</v>
      </c>
      <c r="D22" s="40">
        <v>42468.4</v>
      </c>
      <c r="E22" s="40">
        <v>363292.4</v>
      </c>
      <c r="F22" s="40">
        <v>244042.1</v>
      </c>
      <c r="G22" s="40">
        <v>517931.3</v>
      </c>
      <c r="H22" s="41" t="s">
        <v>169</v>
      </c>
      <c r="I22" s="42">
        <v>700914.3</v>
      </c>
      <c r="J22" s="43">
        <v>1417229</v>
      </c>
      <c r="L22" s="55">
        <f t="shared" si="2"/>
        <v>9.2999999999883585</v>
      </c>
      <c r="M22" s="55">
        <f t="shared" si="1"/>
        <v>0</v>
      </c>
      <c r="N22" s="55">
        <f t="shared" si="1"/>
        <v>11.900000000001455</v>
      </c>
      <c r="O22" s="55">
        <f t="shared" si="1"/>
        <v>10.899999999965075</v>
      </c>
      <c r="P22" s="55">
        <f t="shared" si="1"/>
        <v>5.1999999999825377</v>
      </c>
      <c r="Q22" s="55">
        <f t="shared" si="1"/>
        <v>12.5</v>
      </c>
      <c r="R22" s="55">
        <f t="shared" si="1"/>
        <v>0</v>
      </c>
      <c r="S22" s="55">
        <f t="shared" si="1"/>
        <v>80.199999999953434</v>
      </c>
      <c r="T22" s="55">
        <f t="shared" si="1"/>
        <v>2</v>
      </c>
      <c r="U22" s="56">
        <f t="shared" si="3"/>
        <v>21.799999999988358</v>
      </c>
      <c r="V22" s="56">
        <f t="shared" si="3"/>
        <v>0</v>
      </c>
      <c r="W22" s="56">
        <f t="shared" si="3"/>
        <v>92.099999999954889</v>
      </c>
      <c r="X22" s="56">
        <f>O22+P22+T22</f>
        <v>18.099999999947613</v>
      </c>
    </row>
    <row r="23" spans="1:24" ht="20" customHeight="1" x14ac:dyDescent="0.35">
      <c r="A23" s="38" t="s">
        <v>182</v>
      </c>
      <c r="B23" s="39">
        <v>404279.5</v>
      </c>
      <c r="C23" s="38" t="s">
        <v>169</v>
      </c>
      <c r="D23" s="40">
        <v>42480.3</v>
      </c>
      <c r="E23" s="40">
        <v>363303.3</v>
      </c>
      <c r="F23" s="40">
        <v>244047.3</v>
      </c>
      <c r="G23" s="40">
        <v>517943.8</v>
      </c>
      <c r="H23" s="41" t="s">
        <v>169</v>
      </c>
      <c r="I23" s="42">
        <v>700994.5</v>
      </c>
      <c r="J23" s="43">
        <v>1417231</v>
      </c>
      <c r="L23" s="55">
        <f t="shared" si="2"/>
        <v>7.7999999999883585</v>
      </c>
      <c r="M23" s="55">
        <f t="shared" si="1"/>
        <v>0</v>
      </c>
      <c r="N23" s="55">
        <f t="shared" si="1"/>
        <v>11.899999999994179</v>
      </c>
      <c r="O23" s="55">
        <f t="shared" si="1"/>
        <v>11</v>
      </c>
      <c r="P23" s="55">
        <f t="shared" si="1"/>
        <v>5.3000000000174623</v>
      </c>
      <c r="Q23" s="55">
        <f t="shared" si="1"/>
        <v>2</v>
      </c>
      <c r="R23" s="55">
        <f t="shared" si="1"/>
        <v>0</v>
      </c>
      <c r="S23" s="55">
        <f t="shared" si="1"/>
        <v>80</v>
      </c>
      <c r="T23" s="55">
        <f t="shared" si="1"/>
        <v>56</v>
      </c>
      <c r="U23" s="56">
        <f t="shared" si="3"/>
        <v>9.7999999999883585</v>
      </c>
      <c r="V23" s="56">
        <f t="shared" si="3"/>
        <v>0</v>
      </c>
      <c r="W23" s="56">
        <f t="shared" si="3"/>
        <v>91.899999999994179</v>
      </c>
      <c r="X23" s="56">
        <f>O23+P23+T23</f>
        <v>72.300000000017462</v>
      </c>
    </row>
    <row r="24" spans="1:24" ht="20" customHeight="1" x14ac:dyDescent="0.35">
      <c r="A24" s="38" t="s">
        <v>183</v>
      </c>
      <c r="B24" s="39">
        <v>404287.3</v>
      </c>
      <c r="C24" s="38" t="s">
        <v>169</v>
      </c>
      <c r="D24" s="40">
        <v>42492.2</v>
      </c>
      <c r="E24" s="40">
        <v>363314.3</v>
      </c>
      <c r="F24" s="40">
        <v>244052.6</v>
      </c>
      <c r="G24" s="40">
        <v>517945.8</v>
      </c>
      <c r="H24" s="41" t="s">
        <v>169</v>
      </c>
      <c r="I24" s="42">
        <v>701074.5</v>
      </c>
      <c r="J24" s="43">
        <v>1417287</v>
      </c>
      <c r="L24" s="55">
        <f t="shared" si="2"/>
        <v>7.7999999999883585</v>
      </c>
      <c r="M24" s="55">
        <f t="shared" si="1"/>
        <v>0</v>
      </c>
      <c r="N24" s="55">
        <f t="shared" si="1"/>
        <v>11.900000000001455</v>
      </c>
      <c r="O24" s="55">
        <f t="shared" si="1"/>
        <v>14.799999999988358</v>
      </c>
      <c r="P24" s="55">
        <f t="shared" si="1"/>
        <v>7.5</v>
      </c>
      <c r="Q24" s="55">
        <f t="shared" si="1"/>
        <v>1.7999999999883585</v>
      </c>
      <c r="R24" s="55">
        <f t="shared" si="1"/>
        <v>0</v>
      </c>
      <c r="S24" s="55">
        <f t="shared" si="1"/>
        <v>80.099999999976717</v>
      </c>
      <c r="T24" s="55">
        <f t="shared" si="1"/>
        <v>65</v>
      </c>
      <c r="U24" s="56">
        <f t="shared" si="3"/>
        <v>9.5999999999767169</v>
      </c>
      <c r="V24" s="56">
        <f t="shared" si="3"/>
        <v>0</v>
      </c>
      <c r="W24" s="56">
        <f t="shared" si="3"/>
        <v>91.999999999978172</v>
      </c>
      <c r="X24" s="56">
        <f>O24+P24+T24</f>
        <v>87.299999999988358</v>
      </c>
    </row>
    <row r="25" spans="1:24" ht="20" customHeight="1" x14ac:dyDescent="0.35">
      <c r="A25" s="38" t="s">
        <v>184</v>
      </c>
      <c r="B25" s="39">
        <v>404295.1</v>
      </c>
      <c r="C25" s="38" t="s">
        <v>169</v>
      </c>
      <c r="D25" s="40">
        <v>42504.1</v>
      </c>
      <c r="E25" s="40">
        <v>363329.1</v>
      </c>
      <c r="F25" s="40">
        <v>244060.1</v>
      </c>
      <c r="G25" s="40">
        <v>517947.6</v>
      </c>
      <c r="H25" s="41" t="s">
        <v>169</v>
      </c>
      <c r="I25" s="42">
        <v>701154.6</v>
      </c>
      <c r="J25" s="43">
        <v>1417352</v>
      </c>
      <c r="L25" s="55">
        <f t="shared" si="2"/>
        <v>7.8000000000465661</v>
      </c>
      <c r="M25" s="55">
        <f t="shared" si="1"/>
        <v>0</v>
      </c>
      <c r="N25" s="55">
        <f t="shared" si="1"/>
        <v>11.80000000000291</v>
      </c>
      <c r="O25" s="55">
        <f t="shared" si="1"/>
        <v>20.100000000034925</v>
      </c>
      <c r="P25" s="55">
        <f t="shared" si="1"/>
        <v>13.899999999994179</v>
      </c>
      <c r="Q25" s="55">
        <f t="shared" si="1"/>
        <v>1.7000000000116415</v>
      </c>
      <c r="R25" s="55">
        <f t="shared" si="1"/>
        <v>0</v>
      </c>
      <c r="S25" s="55">
        <f t="shared" si="1"/>
        <v>79.400000000023283</v>
      </c>
      <c r="T25" s="55">
        <f t="shared" si="1"/>
        <v>65</v>
      </c>
      <c r="U25" s="56">
        <f t="shared" si="3"/>
        <v>9.5000000000582077</v>
      </c>
      <c r="V25" s="56">
        <f t="shared" si="3"/>
        <v>0</v>
      </c>
      <c r="W25" s="56">
        <f t="shared" si="3"/>
        <v>91.200000000026193</v>
      </c>
      <c r="X25" s="56">
        <f>O25+P25+T25</f>
        <v>99.000000000029104</v>
      </c>
    </row>
    <row r="26" spans="1:24" ht="20" customHeight="1" x14ac:dyDescent="0.35">
      <c r="A26" s="38" t="s">
        <v>185</v>
      </c>
      <c r="B26" s="39">
        <v>404302.9</v>
      </c>
      <c r="C26" s="38" t="s">
        <v>169</v>
      </c>
      <c r="D26" s="40">
        <v>42515.9</v>
      </c>
      <c r="E26" s="40">
        <v>363349.2</v>
      </c>
      <c r="F26" s="40">
        <v>244074</v>
      </c>
      <c r="G26" s="40">
        <v>517949.3</v>
      </c>
      <c r="H26" s="41" t="s">
        <v>169</v>
      </c>
      <c r="I26" s="42">
        <v>701234</v>
      </c>
      <c r="J26" s="43">
        <v>1417417</v>
      </c>
      <c r="L26" s="55">
        <f t="shared" si="2"/>
        <v>7.7999999999883585</v>
      </c>
      <c r="M26" s="55">
        <f t="shared" si="2"/>
        <v>0</v>
      </c>
      <c r="N26" s="55">
        <f t="shared" si="2"/>
        <v>11.900000000001455</v>
      </c>
      <c r="O26" s="55">
        <f t="shared" si="2"/>
        <v>16.5</v>
      </c>
      <c r="P26" s="55">
        <f t="shared" si="2"/>
        <v>13.799999999988358</v>
      </c>
      <c r="Q26" s="55">
        <f t="shared" si="2"/>
        <v>0</v>
      </c>
      <c r="R26" s="55">
        <f t="shared" si="2"/>
        <v>0</v>
      </c>
      <c r="S26" s="55">
        <f t="shared" si="2"/>
        <v>79.699999999953434</v>
      </c>
      <c r="T26" s="55">
        <f t="shared" si="2"/>
        <v>65</v>
      </c>
      <c r="U26" s="56">
        <f t="shared" si="3"/>
        <v>7.7999999999883585</v>
      </c>
      <c r="V26" s="56">
        <f t="shared" si="3"/>
        <v>0</v>
      </c>
      <c r="W26" s="56">
        <f t="shared" si="3"/>
        <v>91.599999999954889</v>
      </c>
      <c r="X26" s="56">
        <f>O26+P26+T26</f>
        <v>95.299999999988358</v>
      </c>
    </row>
    <row r="27" spans="1:24" ht="42.75" customHeight="1" x14ac:dyDescent="0.35">
      <c r="A27" s="46" t="s">
        <v>186</v>
      </c>
      <c r="B27" s="47">
        <v>404310.7</v>
      </c>
      <c r="C27" s="46" t="s">
        <v>169</v>
      </c>
      <c r="D27" s="48">
        <v>42527.8</v>
      </c>
      <c r="E27" s="48">
        <v>363365.7</v>
      </c>
      <c r="F27" s="48">
        <v>244087.8</v>
      </c>
      <c r="G27" s="48">
        <v>517949.3</v>
      </c>
      <c r="H27" s="49" t="s">
        <v>169</v>
      </c>
      <c r="I27" s="50">
        <v>701313.7</v>
      </c>
      <c r="J27" s="51">
        <v>1417482</v>
      </c>
      <c r="L27" s="55">
        <f t="shared" si="2"/>
        <v>7.7999999999883585</v>
      </c>
      <c r="M27" s="55">
        <f t="shared" si="2"/>
        <v>0</v>
      </c>
      <c r="N27" s="55">
        <f t="shared" si="2"/>
        <v>11.799999999995634</v>
      </c>
      <c r="O27" s="55">
        <f t="shared" si="2"/>
        <v>11</v>
      </c>
      <c r="P27" s="55">
        <f t="shared" si="2"/>
        <v>12.100000000005821</v>
      </c>
      <c r="Q27" s="55">
        <f t="shared" si="2"/>
        <v>0</v>
      </c>
      <c r="R27" s="55">
        <f t="shared" si="2"/>
        <v>0</v>
      </c>
      <c r="S27" s="55">
        <f t="shared" si="2"/>
        <v>80</v>
      </c>
      <c r="T27" s="55">
        <f t="shared" si="2"/>
        <v>66</v>
      </c>
      <c r="U27" s="56">
        <f t="shared" si="3"/>
        <v>7.7999999999883585</v>
      </c>
      <c r="V27" s="56">
        <f t="shared" si="3"/>
        <v>0</v>
      </c>
      <c r="W27" s="56">
        <f t="shared" si="3"/>
        <v>91.799999999995634</v>
      </c>
      <c r="X27" s="56">
        <f>O27+P27+T27</f>
        <v>89.100000000005821</v>
      </c>
    </row>
    <row r="28" spans="1:24" ht="20" customHeight="1" x14ac:dyDescent="0.35">
      <c r="A28" s="38" t="s">
        <v>187</v>
      </c>
      <c r="B28" s="39">
        <v>404318.5</v>
      </c>
      <c r="C28" s="38" t="s">
        <v>169</v>
      </c>
      <c r="D28" s="40">
        <v>42539.6</v>
      </c>
      <c r="E28" s="40">
        <v>363376.7</v>
      </c>
      <c r="F28" s="40">
        <v>244099.9</v>
      </c>
      <c r="G28" s="40">
        <v>517949.3</v>
      </c>
      <c r="H28" s="41" t="s">
        <v>169</v>
      </c>
      <c r="I28" s="42">
        <v>701393.7</v>
      </c>
      <c r="J28" s="43">
        <v>1417548</v>
      </c>
      <c r="L28" s="55">
        <f t="shared" si="2"/>
        <v>7.7999999999883585</v>
      </c>
      <c r="M28" s="55">
        <f t="shared" si="2"/>
        <v>0</v>
      </c>
      <c r="N28" s="55">
        <f t="shared" si="2"/>
        <v>20.099999999998545</v>
      </c>
      <c r="O28" s="55">
        <f t="shared" si="2"/>
        <v>11</v>
      </c>
      <c r="P28" s="55">
        <f t="shared" si="2"/>
        <v>5.3000000000174623</v>
      </c>
      <c r="Q28" s="55">
        <f t="shared" si="2"/>
        <v>1.5</v>
      </c>
      <c r="R28" s="55">
        <f t="shared" si="2"/>
        <v>0</v>
      </c>
      <c r="S28" s="55">
        <f t="shared" si="2"/>
        <v>67.5</v>
      </c>
      <c r="T28" s="55">
        <f t="shared" si="2"/>
        <v>65</v>
      </c>
      <c r="U28" s="56">
        <f t="shared" si="3"/>
        <v>9.2999999999883585</v>
      </c>
      <c r="V28" s="56">
        <f t="shared" si="3"/>
        <v>0</v>
      </c>
      <c r="W28" s="56">
        <f t="shared" si="3"/>
        <v>87.599999999998545</v>
      </c>
      <c r="X28" s="56">
        <f>O28+P28+T28</f>
        <v>81.300000000017462</v>
      </c>
    </row>
    <row r="29" spans="1:24" ht="20" customHeight="1" x14ac:dyDescent="0.35">
      <c r="A29" s="38" t="s">
        <v>188</v>
      </c>
      <c r="B29" s="39">
        <v>404326.3</v>
      </c>
      <c r="C29" s="38" t="s">
        <v>169</v>
      </c>
      <c r="D29" s="40">
        <v>42559.7</v>
      </c>
      <c r="E29" s="40">
        <v>363387.7</v>
      </c>
      <c r="F29" s="40">
        <v>244105.2</v>
      </c>
      <c r="G29" s="40">
        <v>517950.8</v>
      </c>
      <c r="H29" s="41" t="s">
        <v>169</v>
      </c>
      <c r="I29" s="42">
        <v>701461.2</v>
      </c>
      <c r="J29" s="43">
        <v>1417613</v>
      </c>
      <c r="L29" s="55">
        <f t="shared" si="2"/>
        <v>1.4000000000232831</v>
      </c>
      <c r="M29" s="55">
        <f t="shared" si="2"/>
        <v>0</v>
      </c>
      <c r="N29" s="55">
        <f t="shared" si="2"/>
        <v>20.900000000001455</v>
      </c>
      <c r="O29" s="55">
        <f t="shared" si="2"/>
        <v>10.899999999965075</v>
      </c>
      <c r="P29" s="55">
        <f t="shared" si="2"/>
        <v>5.3999999999941792</v>
      </c>
      <c r="Q29" s="55">
        <f t="shared" si="2"/>
        <v>0</v>
      </c>
      <c r="R29" s="55">
        <f t="shared" si="2"/>
        <v>0</v>
      </c>
      <c r="S29" s="55">
        <f t="shared" si="2"/>
        <v>57.5</v>
      </c>
      <c r="T29" s="55">
        <f t="shared" si="2"/>
        <v>66</v>
      </c>
      <c r="U29" s="56">
        <f t="shared" si="3"/>
        <v>1.4000000000232831</v>
      </c>
      <c r="V29" s="56">
        <f t="shared" si="3"/>
        <v>0</v>
      </c>
      <c r="W29" s="56">
        <f t="shared" si="3"/>
        <v>78.400000000001455</v>
      </c>
      <c r="X29" s="56">
        <f>O29+P29+T29</f>
        <v>82.299999999959255</v>
      </c>
    </row>
    <row r="30" spans="1:24" ht="20" customHeight="1" x14ac:dyDescent="0.35">
      <c r="A30" s="38" t="s">
        <v>189</v>
      </c>
      <c r="B30" s="39">
        <v>404327.7</v>
      </c>
      <c r="C30" s="38" t="s">
        <v>169</v>
      </c>
      <c r="D30" s="40">
        <v>42580.6</v>
      </c>
      <c r="E30" s="40">
        <v>363398.6</v>
      </c>
      <c r="F30" s="40">
        <v>244110.6</v>
      </c>
      <c r="G30" s="40">
        <v>517950.8</v>
      </c>
      <c r="H30" s="41" t="s">
        <v>169</v>
      </c>
      <c r="I30" s="42">
        <v>701518.7</v>
      </c>
      <c r="J30" s="43">
        <v>1417679</v>
      </c>
      <c r="L30" s="55">
        <f t="shared" si="2"/>
        <v>0</v>
      </c>
      <c r="M30" s="55">
        <f t="shared" si="2"/>
        <v>0</v>
      </c>
      <c r="N30" s="55">
        <f t="shared" si="2"/>
        <v>11.700000000004366</v>
      </c>
      <c r="O30" s="55">
        <f t="shared" si="2"/>
        <v>14.700000000011642</v>
      </c>
      <c r="P30" s="55">
        <f t="shared" si="2"/>
        <v>7.3999999999941792</v>
      </c>
      <c r="Q30" s="55">
        <f t="shared" si="2"/>
        <v>2.2999999999883585</v>
      </c>
      <c r="R30" s="55">
        <f t="shared" si="2"/>
        <v>0</v>
      </c>
      <c r="S30" s="55">
        <f t="shared" si="2"/>
        <v>80.300000000046566</v>
      </c>
      <c r="T30" s="55">
        <f t="shared" si="2"/>
        <v>64</v>
      </c>
      <c r="U30" s="56">
        <f t="shared" si="3"/>
        <v>2.2999999999883585</v>
      </c>
      <c r="V30" s="56">
        <f t="shared" si="3"/>
        <v>0</v>
      </c>
      <c r="W30" s="56">
        <f t="shared" si="3"/>
        <v>92.000000000050932</v>
      </c>
      <c r="X30" s="56">
        <f>O30+P30+T30</f>
        <v>86.100000000005821</v>
      </c>
    </row>
    <row r="31" spans="1:24" ht="20" customHeight="1" x14ac:dyDescent="0.35">
      <c r="A31" s="38" t="s">
        <v>190</v>
      </c>
      <c r="B31" s="39">
        <v>404327.7</v>
      </c>
      <c r="C31" s="38" t="s">
        <v>169</v>
      </c>
      <c r="D31" s="40">
        <v>42592.3</v>
      </c>
      <c r="E31" s="40">
        <v>363413.3</v>
      </c>
      <c r="F31" s="40">
        <v>244118</v>
      </c>
      <c r="G31" s="40">
        <v>517953.1</v>
      </c>
      <c r="H31" s="41" t="s">
        <v>169</v>
      </c>
      <c r="I31" s="42">
        <v>701599</v>
      </c>
      <c r="J31" s="43">
        <v>1417743</v>
      </c>
      <c r="L31" s="55">
        <f t="shared" si="2"/>
        <v>0</v>
      </c>
      <c r="M31" s="55">
        <f t="shared" si="2"/>
        <v>0</v>
      </c>
      <c r="N31" s="55">
        <f t="shared" si="2"/>
        <v>11.799999999995634</v>
      </c>
      <c r="O31" s="55">
        <f t="shared" si="2"/>
        <v>20.100000000034925</v>
      </c>
      <c r="P31" s="55">
        <f t="shared" si="2"/>
        <v>13.700000000011642</v>
      </c>
      <c r="Q31" s="55">
        <f t="shared" si="2"/>
        <v>0</v>
      </c>
      <c r="R31" s="55">
        <f t="shared" si="2"/>
        <v>0</v>
      </c>
      <c r="S31" s="55">
        <f t="shared" si="2"/>
        <v>79.699999999953434</v>
      </c>
      <c r="T31" s="55">
        <f t="shared" si="2"/>
        <v>64</v>
      </c>
      <c r="U31" s="56">
        <f t="shared" si="3"/>
        <v>0</v>
      </c>
      <c r="V31" s="56">
        <f t="shared" si="3"/>
        <v>0</v>
      </c>
      <c r="W31" s="56">
        <f t="shared" si="3"/>
        <v>91.499999999949068</v>
      </c>
      <c r="X31" s="56">
        <f>O31+P31+T31</f>
        <v>97.800000000046566</v>
      </c>
    </row>
    <row r="32" spans="1:24" ht="20" customHeight="1" x14ac:dyDescent="0.35">
      <c r="A32" s="38" t="s">
        <v>191</v>
      </c>
      <c r="B32" s="39">
        <v>404327.7</v>
      </c>
      <c r="C32" s="38" t="s">
        <v>169</v>
      </c>
      <c r="D32" s="40">
        <v>42604.1</v>
      </c>
      <c r="E32" s="40">
        <v>363433.4</v>
      </c>
      <c r="F32" s="40">
        <v>244131.7</v>
      </c>
      <c r="G32" s="40">
        <v>517953.1</v>
      </c>
      <c r="H32" s="41" t="s">
        <v>169</v>
      </c>
      <c r="I32" s="42">
        <v>701678.7</v>
      </c>
      <c r="J32" s="43">
        <v>1417807</v>
      </c>
      <c r="L32" s="55">
        <f t="shared" si="2"/>
        <v>0</v>
      </c>
      <c r="M32" s="55">
        <f t="shared" si="2"/>
        <v>0</v>
      </c>
      <c r="N32" s="55">
        <f t="shared" si="2"/>
        <v>11.80000000000291</v>
      </c>
      <c r="O32" s="55">
        <f t="shared" si="2"/>
        <v>20.5</v>
      </c>
      <c r="P32" s="55">
        <f t="shared" si="2"/>
        <v>13.699999999982538</v>
      </c>
      <c r="Q32" s="55">
        <f t="shared" si="2"/>
        <v>2.2000000000116415</v>
      </c>
      <c r="R32" s="55">
        <f t="shared" si="2"/>
        <v>0</v>
      </c>
      <c r="S32" s="55">
        <f t="shared" si="2"/>
        <v>79.200000000069849</v>
      </c>
      <c r="T32" s="55">
        <f t="shared" si="2"/>
        <v>63</v>
      </c>
      <c r="U32" s="56">
        <f t="shared" si="3"/>
        <v>2.2000000000116415</v>
      </c>
      <c r="V32" s="56">
        <f t="shared" si="3"/>
        <v>0</v>
      </c>
      <c r="W32" s="56">
        <f t="shared" si="3"/>
        <v>91.00000000007276</v>
      </c>
      <c r="X32" s="56">
        <f>O32+P32+T32</f>
        <v>97.199999999982538</v>
      </c>
    </row>
    <row r="33" spans="1:24" ht="20" customHeight="1" x14ac:dyDescent="0.35">
      <c r="A33" s="38" t="s">
        <v>192</v>
      </c>
      <c r="B33" s="39">
        <v>404327.7</v>
      </c>
      <c r="C33" s="38" t="s">
        <v>169</v>
      </c>
      <c r="D33" s="40">
        <v>42615.9</v>
      </c>
      <c r="E33" s="40">
        <v>363453.9</v>
      </c>
      <c r="F33" s="40">
        <v>244145.4</v>
      </c>
      <c r="G33" s="40">
        <v>517955.3</v>
      </c>
      <c r="H33" s="41" t="s">
        <v>169</v>
      </c>
      <c r="I33" s="42">
        <v>701757.9</v>
      </c>
      <c r="J33" s="43">
        <v>1417870</v>
      </c>
      <c r="L33" s="55">
        <f t="shared" si="2"/>
        <v>0</v>
      </c>
      <c r="M33" s="55">
        <f t="shared" si="2"/>
        <v>0</v>
      </c>
      <c r="N33" s="55">
        <f t="shared" si="2"/>
        <v>12</v>
      </c>
      <c r="O33" s="55">
        <f t="shared" si="2"/>
        <v>16.5</v>
      </c>
      <c r="P33" s="55">
        <f t="shared" si="2"/>
        <v>12.100000000005821</v>
      </c>
      <c r="Q33" s="55">
        <f t="shared" si="2"/>
        <v>0</v>
      </c>
      <c r="R33" s="55">
        <f t="shared" si="2"/>
        <v>0</v>
      </c>
      <c r="S33" s="55">
        <f t="shared" si="2"/>
        <v>78.699999999953434</v>
      </c>
      <c r="T33" s="55">
        <f t="shared" si="2"/>
        <v>58</v>
      </c>
      <c r="U33" s="56">
        <f t="shared" si="3"/>
        <v>0</v>
      </c>
      <c r="V33" s="56">
        <f t="shared" si="3"/>
        <v>0</v>
      </c>
      <c r="W33" s="56">
        <f t="shared" si="3"/>
        <v>90.699999999953434</v>
      </c>
      <c r="X33" s="56">
        <f>O33+P33+T33</f>
        <v>86.600000000005821</v>
      </c>
    </row>
    <row r="34" spans="1:24" ht="20" customHeight="1" x14ac:dyDescent="0.35">
      <c r="A34" s="38" t="s">
        <v>193</v>
      </c>
      <c r="B34" s="39">
        <v>404327.7</v>
      </c>
      <c r="C34" s="38" t="s">
        <v>169</v>
      </c>
      <c r="D34" s="40">
        <v>42627.9</v>
      </c>
      <c r="E34" s="40">
        <v>363470.4</v>
      </c>
      <c r="F34" s="40">
        <v>244157.5</v>
      </c>
      <c r="G34" s="40">
        <v>517955.3</v>
      </c>
      <c r="H34" s="41" t="s">
        <v>169</v>
      </c>
      <c r="I34" s="42">
        <v>701836.6</v>
      </c>
      <c r="J34" s="43">
        <v>1417928</v>
      </c>
      <c r="L34" s="55">
        <f t="shared" si="2"/>
        <v>0</v>
      </c>
      <c r="M34" s="55">
        <f t="shared" si="2"/>
        <v>0</v>
      </c>
      <c r="N34" s="55">
        <f t="shared" si="2"/>
        <v>19.599999999998545</v>
      </c>
      <c r="O34" s="55">
        <f t="shared" si="2"/>
        <v>11</v>
      </c>
      <c r="P34" s="55">
        <f t="shared" si="2"/>
        <v>5.3999999999941792</v>
      </c>
      <c r="Q34" s="55">
        <f t="shared" si="2"/>
        <v>1.6000000000349246</v>
      </c>
      <c r="R34" s="55">
        <f t="shared" si="2"/>
        <v>0</v>
      </c>
      <c r="S34" s="55">
        <f t="shared" si="2"/>
        <v>34.400000000023283</v>
      </c>
      <c r="T34" s="55">
        <f t="shared" si="2"/>
        <v>56</v>
      </c>
      <c r="U34" s="56">
        <f t="shared" si="3"/>
        <v>1.6000000000349246</v>
      </c>
      <c r="V34" s="56">
        <f t="shared" si="3"/>
        <v>0</v>
      </c>
      <c r="W34" s="56">
        <f t="shared" si="3"/>
        <v>54.000000000021828</v>
      </c>
      <c r="X34" s="56">
        <f>O34+P34+T34</f>
        <v>72.399999999994179</v>
      </c>
    </row>
    <row r="35" spans="1:24" ht="20" customHeight="1" x14ac:dyDescent="0.35">
      <c r="A35" s="38" t="s">
        <v>194</v>
      </c>
      <c r="B35" s="39">
        <v>404327.7</v>
      </c>
      <c r="C35" s="38" t="s">
        <v>169</v>
      </c>
      <c r="D35" s="40">
        <v>42647.5</v>
      </c>
      <c r="E35" s="40">
        <v>363481.4</v>
      </c>
      <c r="F35" s="40">
        <v>244162.9</v>
      </c>
      <c r="G35" s="40">
        <v>517956.9</v>
      </c>
      <c r="H35" s="41" t="s">
        <v>169</v>
      </c>
      <c r="I35" s="42">
        <v>701871</v>
      </c>
      <c r="J35" s="43">
        <v>1417984</v>
      </c>
      <c r="L35" s="55">
        <f t="shared" si="2"/>
        <v>0</v>
      </c>
      <c r="M35" s="55">
        <f t="shared" si="2"/>
        <v>0</v>
      </c>
      <c r="N35" s="55">
        <f t="shared" si="2"/>
        <v>18.69999999999709</v>
      </c>
      <c r="O35" s="55">
        <f t="shared" si="2"/>
        <v>11</v>
      </c>
      <c r="P35" s="55">
        <f t="shared" si="2"/>
        <v>5.3999999999941792</v>
      </c>
      <c r="Q35" s="55">
        <f t="shared" si="2"/>
        <v>0</v>
      </c>
      <c r="R35" s="55">
        <f t="shared" si="2"/>
        <v>0</v>
      </c>
      <c r="S35" s="55">
        <f t="shared" si="2"/>
        <v>0</v>
      </c>
      <c r="T35" s="55">
        <f t="shared" si="2"/>
        <v>57</v>
      </c>
      <c r="U35" s="56">
        <f t="shared" si="3"/>
        <v>0</v>
      </c>
      <c r="V35" s="56">
        <f t="shared" si="3"/>
        <v>0</v>
      </c>
      <c r="W35" s="56">
        <f t="shared" si="3"/>
        <v>18.69999999999709</v>
      </c>
      <c r="X35" s="56">
        <f>O35+P35+T35</f>
        <v>73.399999999994179</v>
      </c>
    </row>
    <row r="36" spans="1:24" ht="20" customHeight="1" x14ac:dyDescent="0.35">
      <c r="A36" s="38" t="s">
        <v>195</v>
      </c>
      <c r="B36" s="39">
        <v>404327.7</v>
      </c>
      <c r="C36" s="38" t="s">
        <v>169</v>
      </c>
      <c r="D36" s="40">
        <v>42666.2</v>
      </c>
      <c r="E36" s="40">
        <v>363492.4</v>
      </c>
      <c r="F36" s="40">
        <v>244168.3</v>
      </c>
      <c r="G36" s="40">
        <v>517956.9</v>
      </c>
      <c r="H36" s="41" t="s">
        <v>169</v>
      </c>
      <c r="I36" s="42">
        <v>701871</v>
      </c>
      <c r="J36" s="43">
        <v>1418041</v>
      </c>
      <c r="L36" s="55">
        <f t="shared" si="2"/>
        <v>0</v>
      </c>
      <c r="M36" s="55">
        <f t="shared" si="2"/>
        <v>0</v>
      </c>
      <c r="N36" s="55">
        <f t="shared" si="2"/>
        <v>11.600000000005821</v>
      </c>
      <c r="O36" s="55">
        <f t="shared" si="2"/>
        <v>11.099999999976717</v>
      </c>
      <c r="P36" s="55">
        <f t="shared" si="2"/>
        <v>7.5</v>
      </c>
      <c r="Q36" s="55">
        <f t="shared" si="2"/>
        <v>0</v>
      </c>
      <c r="R36" s="55">
        <f t="shared" si="2"/>
        <v>0</v>
      </c>
      <c r="S36" s="55">
        <f t="shared" si="2"/>
        <v>62.800000000046566</v>
      </c>
      <c r="T36" s="55">
        <f t="shared" si="2"/>
        <v>41</v>
      </c>
      <c r="U36" s="56">
        <f t="shared" si="3"/>
        <v>0</v>
      </c>
      <c r="V36" s="56">
        <f t="shared" si="3"/>
        <v>0</v>
      </c>
      <c r="W36" s="56">
        <f t="shared" si="3"/>
        <v>74.400000000052387</v>
      </c>
      <c r="X36" s="56">
        <f>O36+P36+T36</f>
        <v>59.599999999976717</v>
      </c>
    </row>
    <row r="37" spans="1:24" ht="20" customHeight="1" x14ac:dyDescent="0.35">
      <c r="A37" s="38" t="s">
        <v>196</v>
      </c>
      <c r="B37" s="39">
        <v>404327.7</v>
      </c>
      <c r="C37" s="38" t="s">
        <v>169</v>
      </c>
      <c r="D37" s="40">
        <v>42677.8</v>
      </c>
      <c r="E37" s="40">
        <v>363503.5</v>
      </c>
      <c r="F37" s="40">
        <v>244175.8</v>
      </c>
      <c r="G37" s="40">
        <v>517956.9</v>
      </c>
      <c r="H37" s="41" t="s">
        <v>169</v>
      </c>
      <c r="I37" s="42">
        <v>701933.8</v>
      </c>
      <c r="J37" s="43">
        <v>1418082</v>
      </c>
      <c r="L37" s="55">
        <f t="shared" si="2"/>
        <v>0</v>
      </c>
      <c r="M37" s="55">
        <f t="shared" si="2"/>
        <v>0</v>
      </c>
      <c r="N37" s="55">
        <f t="shared" si="2"/>
        <v>11.19999999999709</v>
      </c>
      <c r="O37" s="55">
        <f t="shared" si="2"/>
        <v>15.299999999988358</v>
      </c>
      <c r="P37" s="55">
        <f t="shared" si="2"/>
        <v>14.100000000005821</v>
      </c>
      <c r="Q37" s="55">
        <f t="shared" si="2"/>
        <v>0</v>
      </c>
      <c r="R37" s="55">
        <f t="shared" si="2"/>
        <v>0</v>
      </c>
      <c r="S37" s="55">
        <f t="shared" si="2"/>
        <v>35.799999999930151</v>
      </c>
      <c r="T37" s="55">
        <f t="shared" si="2"/>
        <v>39</v>
      </c>
      <c r="U37" s="56">
        <f t="shared" si="3"/>
        <v>0</v>
      </c>
      <c r="V37" s="56">
        <f t="shared" si="3"/>
        <v>0</v>
      </c>
      <c r="W37" s="56">
        <f t="shared" si="3"/>
        <v>46.99999999992724</v>
      </c>
      <c r="X37" s="56">
        <f>O37+P37+T37</f>
        <v>68.399999999994179</v>
      </c>
    </row>
    <row r="38" spans="1:24" ht="20" customHeight="1" x14ac:dyDescent="0.35">
      <c r="A38" s="38" t="s">
        <v>197</v>
      </c>
      <c r="B38" s="39">
        <v>404327.7</v>
      </c>
      <c r="C38" s="38" t="s">
        <v>169</v>
      </c>
      <c r="D38" s="40">
        <v>42689</v>
      </c>
      <c r="E38" s="40">
        <v>363518.8</v>
      </c>
      <c r="F38" s="40">
        <v>244189.9</v>
      </c>
      <c r="G38" s="40">
        <v>517956.9</v>
      </c>
      <c r="H38" s="41" t="s">
        <v>169</v>
      </c>
      <c r="I38" s="42">
        <v>701969.6</v>
      </c>
      <c r="J38" s="43">
        <v>1418121</v>
      </c>
      <c r="L38" s="55">
        <f t="shared" si="2"/>
        <v>0</v>
      </c>
      <c r="M38" s="55">
        <f t="shared" si="2"/>
        <v>0</v>
      </c>
      <c r="N38" s="55">
        <f t="shared" si="2"/>
        <v>11</v>
      </c>
      <c r="O38" s="55">
        <f t="shared" si="2"/>
        <v>16.5</v>
      </c>
      <c r="P38" s="55">
        <f t="shared" si="2"/>
        <v>13.800000000017462</v>
      </c>
      <c r="Q38" s="55">
        <f t="shared" si="2"/>
        <v>1.5999999999767169</v>
      </c>
      <c r="R38" s="55">
        <f t="shared" si="2"/>
        <v>0</v>
      </c>
      <c r="S38" s="55">
        <f t="shared" si="2"/>
        <v>33.099999999976717</v>
      </c>
      <c r="T38" s="55">
        <f t="shared" si="2"/>
        <v>56</v>
      </c>
      <c r="U38" s="56">
        <f t="shared" si="3"/>
        <v>1.5999999999767169</v>
      </c>
      <c r="V38" s="56">
        <f t="shared" si="3"/>
        <v>0</v>
      </c>
      <c r="W38" s="56">
        <f t="shared" si="3"/>
        <v>44.099999999976717</v>
      </c>
      <c r="X38" s="56">
        <f>O38+P38+T38</f>
        <v>86.300000000017462</v>
      </c>
    </row>
    <row r="39" spans="1:24" ht="20" customHeight="1" x14ac:dyDescent="0.35">
      <c r="A39" s="38" t="s">
        <v>198</v>
      </c>
      <c r="B39" s="39">
        <v>404327.7</v>
      </c>
      <c r="C39" s="38" t="s">
        <v>169</v>
      </c>
      <c r="D39" s="40">
        <v>42700</v>
      </c>
      <c r="E39" s="40">
        <v>363535.3</v>
      </c>
      <c r="F39" s="40">
        <v>244203.7</v>
      </c>
      <c r="G39" s="40">
        <v>517958.5</v>
      </c>
      <c r="H39" s="41" t="s">
        <v>169</v>
      </c>
      <c r="I39" s="42">
        <v>702002.7</v>
      </c>
      <c r="J39" s="43">
        <v>1418177</v>
      </c>
      <c r="L39" s="55">
        <f t="shared" si="2"/>
        <v>0</v>
      </c>
      <c r="M39" s="55">
        <f t="shared" si="2"/>
        <v>0</v>
      </c>
      <c r="N39" s="55">
        <f t="shared" si="2"/>
        <v>10.30000000000291</v>
      </c>
      <c r="O39" s="55">
        <f t="shared" si="2"/>
        <v>11</v>
      </c>
      <c r="P39" s="55">
        <f t="shared" si="2"/>
        <v>12.099999999976717</v>
      </c>
      <c r="Q39" s="55">
        <f t="shared" si="2"/>
        <v>0</v>
      </c>
      <c r="R39" s="55">
        <f t="shared" si="2"/>
        <v>0</v>
      </c>
      <c r="S39" s="55">
        <f t="shared" si="2"/>
        <v>4.1000000000931323</v>
      </c>
      <c r="T39" s="55">
        <f t="shared" si="2"/>
        <v>66</v>
      </c>
      <c r="U39" s="56">
        <f t="shared" si="3"/>
        <v>0</v>
      </c>
      <c r="V39" s="56">
        <f t="shared" si="3"/>
        <v>0</v>
      </c>
      <c r="W39" s="56">
        <f t="shared" si="3"/>
        <v>14.400000000096043</v>
      </c>
      <c r="X39" s="56">
        <f>O39+P39+T39</f>
        <v>89.099999999976717</v>
      </c>
    </row>
    <row r="40" spans="1:24" ht="20" customHeight="1" x14ac:dyDescent="0.35">
      <c r="A40" s="38" t="s">
        <v>199</v>
      </c>
      <c r="B40" s="39">
        <v>404327.7</v>
      </c>
      <c r="C40" s="38" t="s">
        <v>169</v>
      </c>
      <c r="D40" s="40">
        <v>42710.3</v>
      </c>
      <c r="E40" s="40">
        <v>363546.3</v>
      </c>
      <c r="F40" s="40">
        <v>244215.8</v>
      </c>
      <c r="G40" s="40">
        <v>517958.5</v>
      </c>
      <c r="H40" s="41" t="s">
        <v>169</v>
      </c>
      <c r="I40" s="42">
        <v>702006.8</v>
      </c>
      <c r="J40" s="43">
        <v>1418243</v>
      </c>
      <c r="L40" s="55">
        <f t="shared" si="2"/>
        <v>0</v>
      </c>
      <c r="M40" s="55">
        <f t="shared" si="2"/>
        <v>0</v>
      </c>
      <c r="N40" s="55">
        <f t="shared" si="2"/>
        <v>19.899999999994179</v>
      </c>
      <c r="O40" s="55">
        <f t="shared" si="2"/>
        <v>11.100000000034925</v>
      </c>
      <c r="P40" s="55">
        <f t="shared" si="2"/>
        <v>5.4000000000232831</v>
      </c>
      <c r="Q40" s="55">
        <f t="shared" si="2"/>
        <v>0</v>
      </c>
      <c r="R40" s="55">
        <f t="shared" si="2"/>
        <v>0</v>
      </c>
      <c r="S40" s="55">
        <f t="shared" si="2"/>
        <v>45.299999999930151</v>
      </c>
      <c r="T40" s="55">
        <f t="shared" si="2"/>
        <v>66</v>
      </c>
      <c r="U40" s="56">
        <f t="shared" si="3"/>
        <v>0</v>
      </c>
      <c r="V40" s="56">
        <f t="shared" si="3"/>
        <v>0</v>
      </c>
      <c r="W40" s="56">
        <f t="shared" si="3"/>
        <v>65.19999999992433</v>
      </c>
      <c r="X40" s="56">
        <f>O40+P40+T40</f>
        <v>82.500000000058208</v>
      </c>
    </row>
    <row r="41" spans="1:24" ht="20" customHeight="1" x14ac:dyDescent="0.35">
      <c r="A41" s="38" t="s">
        <v>200</v>
      </c>
      <c r="B41" s="39">
        <v>404327.7</v>
      </c>
      <c r="C41" s="38" t="s">
        <v>169</v>
      </c>
      <c r="D41" s="40">
        <v>42730.2</v>
      </c>
      <c r="E41" s="40">
        <v>363557.4</v>
      </c>
      <c r="F41" s="40">
        <v>244221.2</v>
      </c>
      <c r="G41" s="40">
        <v>517958.5</v>
      </c>
      <c r="H41" s="41" t="s">
        <v>169</v>
      </c>
      <c r="I41" s="42">
        <v>702052.1</v>
      </c>
      <c r="J41" s="43">
        <v>1418309</v>
      </c>
      <c r="L41" s="55">
        <f t="shared" si="2"/>
        <v>0</v>
      </c>
      <c r="M41" s="55">
        <f t="shared" si="2"/>
        <v>0</v>
      </c>
      <c r="N41" s="55">
        <f t="shared" si="2"/>
        <v>18.900000000001455</v>
      </c>
      <c r="O41" s="55">
        <f t="shared" si="2"/>
        <v>11</v>
      </c>
      <c r="P41" s="55">
        <f t="shared" si="2"/>
        <v>5.3999999999941792</v>
      </c>
      <c r="Q41" s="55">
        <f t="shared" si="2"/>
        <v>0</v>
      </c>
      <c r="R41" s="55">
        <f t="shared" si="2"/>
        <v>0</v>
      </c>
      <c r="S41" s="55">
        <f t="shared" si="2"/>
        <v>60.900000000023283</v>
      </c>
      <c r="T41" s="55">
        <f t="shared" si="2"/>
        <v>65</v>
      </c>
      <c r="U41" s="56">
        <f t="shared" si="3"/>
        <v>0</v>
      </c>
      <c r="V41" s="56">
        <f t="shared" si="3"/>
        <v>0</v>
      </c>
      <c r="W41" s="56">
        <f t="shared" si="3"/>
        <v>79.800000000024738</v>
      </c>
      <c r="X41" s="56">
        <f>O41+P41+T41</f>
        <v>81.399999999994179</v>
      </c>
    </row>
    <row r="42" spans="1:24" ht="20" customHeight="1" x14ac:dyDescent="0.35">
      <c r="A42" s="38" t="s">
        <v>201</v>
      </c>
      <c r="B42" s="39">
        <v>404327.7</v>
      </c>
      <c r="C42" s="38" t="s">
        <v>169</v>
      </c>
      <c r="D42" s="40">
        <v>42749.1</v>
      </c>
      <c r="E42" s="40">
        <v>363568.4</v>
      </c>
      <c r="F42" s="40">
        <v>244226.6</v>
      </c>
      <c r="G42" s="40">
        <v>517958.5</v>
      </c>
      <c r="H42" s="41" t="s">
        <v>169</v>
      </c>
      <c r="I42" s="42">
        <v>702113</v>
      </c>
      <c r="J42" s="43">
        <v>1418374</v>
      </c>
      <c r="L42" s="55">
        <f t="shared" si="2"/>
        <v>0</v>
      </c>
      <c r="M42" s="55">
        <f t="shared" si="2"/>
        <v>0</v>
      </c>
      <c r="N42" s="55">
        <f t="shared" si="2"/>
        <v>11.099999999998545</v>
      </c>
      <c r="O42" s="55">
        <f t="shared" si="2"/>
        <v>11.099999999976717</v>
      </c>
      <c r="P42" s="55">
        <f t="shared" si="2"/>
        <v>5.3999999999941792</v>
      </c>
      <c r="Q42" s="55">
        <f t="shared" si="2"/>
        <v>0</v>
      </c>
      <c r="R42" s="55">
        <f t="shared" si="2"/>
        <v>0</v>
      </c>
      <c r="S42" s="55">
        <f t="shared" si="2"/>
        <v>35.800000000046566</v>
      </c>
      <c r="T42" s="55">
        <f t="shared" si="2"/>
        <v>65</v>
      </c>
      <c r="U42" s="56">
        <f t="shared" si="3"/>
        <v>0</v>
      </c>
      <c r="V42" s="56">
        <f t="shared" si="3"/>
        <v>0</v>
      </c>
      <c r="W42" s="56">
        <f t="shared" si="3"/>
        <v>46.900000000045111</v>
      </c>
      <c r="X42" s="56">
        <f>O42+P42+T42</f>
        <v>81.499999999970896</v>
      </c>
    </row>
    <row r="43" spans="1:24" ht="20" customHeight="1" x14ac:dyDescent="0.35">
      <c r="A43" s="38" t="s">
        <v>202</v>
      </c>
      <c r="B43" s="39">
        <v>404327.7</v>
      </c>
      <c r="C43" s="38" t="s">
        <v>169</v>
      </c>
      <c r="D43" s="40">
        <v>42760.2</v>
      </c>
      <c r="E43" s="40">
        <v>363579.5</v>
      </c>
      <c r="F43" s="40">
        <v>244232</v>
      </c>
      <c r="G43" s="40">
        <v>517958.5</v>
      </c>
      <c r="H43" s="41" t="s">
        <v>169</v>
      </c>
      <c r="I43" s="42">
        <v>702148.8</v>
      </c>
      <c r="J43" s="43">
        <v>1418439</v>
      </c>
      <c r="L43" s="55">
        <f t="shared" si="2"/>
        <v>0</v>
      </c>
      <c r="M43" s="55">
        <f t="shared" si="2"/>
        <v>0</v>
      </c>
      <c r="N43" s="55">
        <f t="shared" si="2"/>
        <v>11.900000000001455</v>
      </c>
      <c r="O43" s="55">
        <f t="shared" si="2"/>
        <v>15.099999999976717</v>
      </c>
      <c r="P43" s="55">
        <f t="shared" si="2"/>
        <v>7.5</v>
      </c>
      <c r="Q43" s="55">
        <f t="shared" si="2"/>
        <v>0</v>
      </c>
      <c r="R43" s="55">
        <f t="shared" si="2"/>
        <v>0</v>
      </c>
      <c r="S43" s="55">
        <f t="shared" si="2"/>
        <v>80.299999999930151</v>
      </c>
      <c r="T43" s="55">
        <f t="shared" si="2"/>
        <v>63</v>
      </c>
      <c r="U43" s="56">
        <f t="shared" si="3"/>
        <v>0</v>
      </c>
      <c r="V43" s="56">
        <f t="shared" si="3"/>
        <v>0</v>
      </c>
      <c r="W43" s="56">
        <f t="shared" si="3"/>
        <v>92.199999999931606</v>
      </c>
      <c r="X43" s="56">
        <f>O43+P43+T43</f>
        <v>85.599999999976717</v>
      </c>
    </row>
    <row r="44" spans="1:24" ht="20" customHeight="1" x14ac:dyDescent="0.35">
      <c r="A44" s="38" t="s">
        <v>203</v>
      </c>
      <c r="B44" s="39">
        <v>404327.7</v>
      </c>
      <c r="C44" s="38" t="s">
        <v>169</v>
      </c>
      <c r="D44" s="40">
        <v>42772.1</v>
      </c>
      <c r="E44" s="40">
        <v>363594.6</v>
      </c>
      <c r="F44" s="40">
        <v>244239.5</v>
      </c>
      <c r="G44" s="40">
        <v>517958.5</v>
      </c>
      <c r="H44" s="41" t="s">
        <v>169</v>
      </c>
      <c r="I44" s="42">
        <v>702229.1</v>
      </c>
      <c r="J44" s="43">
        <v>1418502</v>
      </c>
      <c r="L44" s="55">
        <f t="shared" si="2"/>
        <v>0</v>
      </c>
      <c r="M44" s="55">
        <f t="shared" si="2"/>
        <v>0</v>
      </c>
      <c r="N44" s="55">
        <f t="shared" si="2"/>
        <v>11.900000000001455</v>
      </c>
      <c r="O44" s="55">
        <f t="shared" si="2"/>
        <v>16.300000000046566</v>
      </c>
      <c r="P44" s="55">
        <f t="shared" si="2"/>
        <v>13.600000000005821</v>
      </c>
      <c r="Q44" s="55">
        <f t="shared" si="2"/>
        <v>0</v>
      </c>
      <c r="R44" s="55">
        <f t="shared" si="2"/>
        <v>0</v>
      </c>
      <c r="S44" s="55">
        <f t="shared" si="2"/>
        <v>80.5</v>
      </c>
      <c r="T44" s="55">
        <f t="shared" si="2"/>
        <v>62</v>
      </c>
      <c r="U44" s="56">
        <f t="shared" si="3"/>
        <v>0</v>
      </c>
      <c r="V44" s="56">
        <f t="shared" si="3"/>
        <v>0</v>
      </c>
      <c r="W44" s="56">
        <f t="shared" si="3"/>
        <v>92.400000000001455</v>
      </c>
      <c r="X44" s="56">
        <f>O44+P44+T44</f>
        <v>91.900000000052387</v>
      </c>
    </row>
    <row r="45" spans="1:24" ht="42.75" customHeight="1" x14ac:dyDescent="0.35">
      <c r="A45" s="46" t="s">
        <v>204</v>
      </c>
      <c r="B45" s="47">
        <v>404327.7</v>
      </c>
      <c r="C45" s="46" t="s">
        <v>169</v>
      </c>
      <c r="D45" s="48">
        <v>42784</v>
      </c>
      <c r="E45" s="48">
        <v>363610.9</v>
      </c>
      <c r="F45" s="48">
        <v>244253.1</v>
      </c>
      <c r="G45" s="48">
        <v>517958.5</v>
      </c>
      <c r="H45" s="49" t="s">
        <v>169</v>
      </c>
      <c r="I45" s="50">
        <v>702309.6</v>
      </c>
      <c r="J45" s="51">
        <v>1418564</v>
      </c>
      <c r="L45" s="55">
        <f t="shared" ref="L45:T108" si="4">IFERROR(B46-B45,0)</f>
        <v>0</v>
      </c>
      <c r="M45" s="55">
        <f t="shared" si="4"/>
        <v>0</v>
      </c>
      <c r="N45" s="55">
        <f t="shared" si="4"/>
        <v>11.80000000000291</v>
      </c>
      <c r="O45" s="55">
        <f t="shared" si="4"/>
        <v>11</v>
      </c>
      <c r="P45" s="55">
        <f t="shared" si="4"/>
        <v>11.799999999988358</v>
      </c>
      <c r="Q45" s="55">
        <f t="shared" si="4"/>
        <v>0</v>
      </c>
      <c r="R45" s="55">
        <f t="shared" si="4"/>
        <v>0</v>
      </c>
      <c r="S45" s="55">
        <f t="shared" si="4"/>
        <v>81.200000000069849</v>
      </c>
      <c r="T45" s="55">
        <f t="shared" si="4"/>
        <v>64</v>
      </c>
      <c r="U45" s="56">
        <f t="shared" ref="U45:W108" si="5">L45+Q45</f>
        <v>0</v>
      </c>
      <c r="V45" s="56">
        <f t="shared" si="5"/>
        <v>0</v>
      </c>
      <c r="W45" s="56">
        <f t="shared" si="5"/>
        <v>93.00000000007276</v>
      </c>
      <c r="X45" s="56">
        <f>O45+P45+T45</f>
        <v>86.799999999988358</v>
      </c>
    </row>
    <row r="46" spans="1:24" ht="20" customHeight="1" x14ac:dyDescent="0.35">
      <c r="A46" s="38" t="s">
        <v>205</v>
      </c>
      <c r="B46" s="39">
        <v>404327.7</v>
      </c>
      <c r="C46" s="38" t="s">
        <v>169</v>
      </c>
      <c r="D46" s="40">
        <v>42795.8</v>
      </c>
      <c r="E46" s="40">
        <v>363621.9</v>
      </c>
      <c r="F46" s="40">
        <v>244264.9</v>
      </c>
      <c r="G46" s="40">
        <v>517958.5</v>
      </c>
      <c r="H46" s="38" t="s">
        <v>169</v>
      </c>
      <c r="I46" s="40">
        <v>702390.8</v>
      </c>
      <c r="J46" s="43">
        <v>1418628</v>
      </c>
      <c r="L46" s="55">
        <f t="shared" si="4"/>
        <v>0</v>
      </c>
      <c r="M46" s="55">
        <f t="shared" si="4"/>
        <v>0</v>
      </c>
      <c r="N46" s="55">
        <f t="shared" si="4"/>
        <v>11.899999999994179</v>
      </c>
      <c r="O46" s="55">
        <f t="shared" si="4"/>
        <v>11.099999999976717</v>
      </c>
      <c r="P46" s="55">
        <f t="shared" si="4"/>
        <v>5.3999999999941792</v>
      </c>
      <c r="Q46" s="55">
        <f t="shared" si="4"/>
        <v>0</v>
      </c>
      <c r="R46" s="55">
        <f t="shared" si="4"/>
        <v>0</v>
      </c>
      <c r="S46" s="55">
        <f t="shared" si="4"/>
        <v>80.899999999906868</v>
      </c>
      <c r="T46" s="55">
        <f t="shared" si="4"/>
        <v>65</v>
      </c>
      <c r="U46" s="56">
        <f t="shared" si="5"/>
        <v>0</v>
      </c>
      <c r="V46" s="56">
        <f t="shared" si="5"/>
        <v>0</v>
      </c>
      <c r="W46" s="56">
        <f t="shared" si="5"/>
        <v>92.799999999901047</v>
      </c>
      <c r="X46" s="56">
        <f>O46+P46+T46</f>
        <v>81.499999999970896</v>
      </c>
    </row>
    <row r="47" spans="1:24" ht="20" customHeight="1" x14ac:dyDescent="0.35">
      <c r="A47" s="38" t="s">
        <v>206</v>
      </c>
      <c r="B47" s="39">
        <v>404327.7</v>
      </c>
      <c r="C47" s="38" t="s">
        <v>169</v>
      </c>
      <c r="D47" s="40">
        <v>42807.7</v>
      </c>
      <c r="E47" s="40">
        <v>363633</v>
      </c>
      <c r="F47" s="40">
        <v>244270.3</v>
      </c>
      <c r="G47" s="40">
        <v>517958.5</v>
      </c>
      <c r="H47" s="38" t="s">
        <v>169</v>
      </c>
      <c r="I47" s="40">
        <v>702471.7</v>
      </c>
      <c r="J47" s="43">
        <v>1418693</v>
      </c>
      <c r="L47" s="55">
        <f t="shared" si="4"/>
        <v>0</v>
      </c>
      <c r="M47" s="55">
        <f t="shared" si="4"/>
        <v>0</v>
      </c>
      <c r="N47" s="55">
        <f t="shared" si="4"/>
        <v>11.80000000000291</v>
      </c>
      <c r="O47" s="55">
        <f t="shared" si="4"/>
        <v>11.099999999976717</v>
      </c>
      <c r="P47" s="55">
        <f t="shared" si="4"/>
        <v>5.3000000000174623</v>
      </c>
      <c r="Q47" s="55">
        <f t="shared" si="4"/>
        <v>0</v>
      </c>
      <c r="R47" s="55">
        <f t="shared" si="4"/>
        <v>0</v>
      </c>
      <c r="S47" s="55">
        <f t="shared" si="4"/>
        <v>81.100000000093132</v>
      </c>
      <c r="T47" s="55">
        <f t="shared" si="4"/>
        <v>65</v>
      </c>
      <c r="U47" s="56">
        <f t="shared" si="5"/>
        <v>0</v>
      </c>
      <c r="V47" s="56">
        <f t="shared" si="5"/>
        <v>0</v>
      </c>
      <c r="W47" s="56">
        <f t="shared" si="5"/>
        <v>92.900000000096043</v>
      </c>
      <c r="X47" s="56">
        <f>O47+P47+T47</f>
        <v>81.399999999994179</v>
      </c>
    </row>
    <row r="48" spans="1:24" ht="20" customHeight="1" x14ac:dyDescent="0.35">
      <c r="A48" s="38" t="s">
        <v>207</v>
      </c>
      <c r="B48" s="39">
        <v>404327.7</v>
      </c>
      <c r="C48" s="38" t="s">
        <v>169</v>
      </c>
      <c r="D48" s="40">
        <v>42819.5</v>
      </c>
      <c r="E48" s="40">
        <v>363644.1</v>
      </c>
      <c r="F48" s="40">
        <v>244275.6</v>
      </c>
      <c r="G48" s="40">
        <v>517958.5</v>
      </c>
      <c r="H48" s="38" t="s">
        <v>169</v>
      </c>
      <c r="I48" s="40">
        <v>702552.8</v>
      </c>
      <c r="J48" s="43">
        <v>1418758</v>
      </c>
      <c r="L48" s="55">
        <f t="shared" si="4"/>
        <v>0</v>
      </c>
      <c r="M48" s="55">
        <f t="shared" si="4"/>
        <v>0</v>
      </c>
      <c r="N48" s="55">
        <f t="shared" si="4"/>
        <v>11.69999999999709</v>
      </c>
      <c r="O48" s="55">
        <f t="shared" si="4"/>
        <v>14.800000000046566</v>
      </c>
      <c r="P48" s="55">
        <f t="shared" si="4"/>
        <v>7.6000000000058208</v>
      </c>
      <c r="Q48" s="55">
        <f t="shared" si="4"/>
        <v>0</v>
      </c>
      <c r="R48" s="55">
        <f t="shared" si="4"/>
        <v>0</v>
      </c>
      <c r="S48" s="55">
        <f t="shared" si="4"/>
        <v>81.299999999930151</v>
      </c>
      <c r="T48" s="55">
        <f t="shared" si="4"/>
        <v>63</v>
      </c>
      <c r="U48" s="56">
        <f t="shared" si="5"/>
        <v>0</v>
      </c>
      <c r="V48" s="56">
        <f t="shared" si="5"/>
        <v>0</v>
      </c>
      <c r="W48" s="56">
        <f t="shared" si="5"/>
        <v>92.99999999992724</v>
      </c>
      <c r="X48" s="56">
        <f>O48+P48+T48</f>
        <v>85.400000000052387</v>
      </c>
    </row>
    <row r="49" spans="1:24" ht="20" customHeight="1" x14ac:dyDescent="0.35">
      <c r="A49" s="38" t="s">
        <v>208</v>
      </c>
      <c r="B49" s="39">
        <v>404327.7</v>
      </c>
      <c r="C49" s="38" t="s">
        <v>169</v>
      </c>
      <c r="D49" s="40">
        <v>42831.199999999997</v>
      </c>
      <c r="E49" s="40">
        <v>363658.9</v>
      </c>
      <c r="F49" s="40">
        <v>244283.2</v>
      </c>
      <c r="G49" s="40">
        <v>517958.5</v>
      </c>
      <c r="H49" s="38" t="s">
        <v>169</v>
      </c>
      <c r="I49" s="40">
        <v>702634.1</v>
      </c>
      <c r="J49" s="43">
        <v>1418821</v>
      </c>
      <c r="L49" s="55">
        <f t="shared" si="4"/>
        <v>0</v>
      </c>
      <c r="M49" s="55">
        <f t="shared" si="4"/>
        <v>0</v>
      </c>
      <c r="N49" s="55">
        <f t="shared" si="4"/>
        <v>11.80000000000291</v>
      </c>
      <c r="O49" s="55">
        <f t="shared" si="4"/>
        <v>20.5</v>
      </c>
      <c r="P49" s="55">
        <f t="shared" si="4"/>
        <v>14.099999999976717</v>
      </c>
      <c r="Q49" s="55">
        <f t="shared" si="4"/>
        <v>0</v>
      </c>
      <c r="R49" s="55">
        <f t="shared" si="4"/>
        <v>0</v>
      </c>
      <c r="S49" s="55">
        <f t="shared" si="4"/>
        <v>81.599999999976717</v>
      </c>
      <c r="T49" s="55">
        <f t="shared" si="4"/>
        <v>66</v>
      </c>
      <c r="U49" s="56">
        <f t="shared" si="5"/>
        <v>0</v>
      </c>
      <c r="V49" s="56">
        <f t="shared" si="5"/>
        <v>0</v>
      </c>
      <c r="W49" s="56">
        <f t="shared" si="5"/>
        <v>93.399999999979627</v>
      </c>
      <c r="X49" s="56">
        <f>O49+P49+T49</f>
        <v>100.59999999997672</v>
      </c>
    </row>
    <row r="50" spans="1:24" ht="20" customHeight="1" x14ac:dyDescent="0.35">
      <c r="A50" s="38" t="s">
        <v>209</v>
      </c>
      <c r="B50" s="39">
        <v>404327.7</v>
      </c>
      <c r="C50" s="38" t="s">
        <v>169</v>
      </c>
      <c r="D50" s="40">
        <v>42843</v>
      </c>
      <c r="E50" s="40">
        <v>363679.4</v>
      </c>
      <c r="F50" s="40">
        <v>244297.3</v>
      </c>
      <c r="G50" s="40">
        <v>517958.5</v>
      </c>
      <c r="H50" s="38" t="s">
        <v>169</v>
      </c>
      <c r="I50" s="40">
        <v>702715.7</v>
      </c>
      <c r="J50" s="43">
        <v>1418887</v>
      </c>
      <c r="L50" s="55">
        <f t="shared" si="4"/>
        <v>0</v>
      </c>
      <c r="M50" s="55">
        <f t="shared" si="4"/>
        <v>0</v>
      </c>
      <c r="N50" s="55">
        <f t="shared" si="4"/>
        <v>10.900000000001455</v>
      </c>
      <c r="O50" s="55">
        <f t="shared" si="4"/>
        <v>15.699999999953434</v>
      </c>
      <c r="P50" s="55">
        <f t="shared" si="4"/>
        <v>12</v>
      </c>
      <c r="Q50" s="55">
        <f t="shared" si="4"/>
        <v>0</v>
      </c>
      <c r="R50" s="55">
        <f t="shared" si="4"/>
        <v>0</v>
      </c>
      <c r="S50" s="55">
        <f t="shared" si="4"/>
        <v>81.400000000023283</v>
      </c>
      <c r="T50" s="55">
        <f t="shared" si="4"/>
        <v>64</v>
      </c>
      <c r="U50" s="56">
        <f t="shared" si="5"/>
        <v>0</v>
      </c>
      <c r="V50" s="56">
        <f t="shared" si="5"/>
        <v>0</v>
      </c>
      <c r="W50" s="56">
        <f t="shared" si="5"/>
        <v>92.300000000024738</v>
      </c>
      <c r="X50" s="56">
        <f>O50+P50+T50</f>
        <v>91.699999999953434</v>
      </c>
    </row>
    <row r="51" spans="1:24" ht="20" customHeight="1" x14ac:dyDescent="0.35">
      <c r="A51" s="38" t="s">
        <v>210</v>
      </c>
      <c r="B51" s="39">
        <v>404327.7</v>
      </c>
      <c r="C51" s="38" t="s">
        <v>169</v>
      </c>
      <c r="D51" s="40">
        <v>42853.9</v>
      </c>
      <c r="E51" s="40">
        <v>363695.1</v>
      </c>
      <c r="F51" s="40">
        <v>244309.3</v>
      </c>
      <c r="G51" s="40">
        <v>517958.5</v>
      </c>
      <c r="H51" s="38" t="s">
        <v>169</v>
      </c>
      <c r="I51" s="40">
        <v>702797.1</v>
      </c>
      <c r="J51" s="43">
        <v>1418951</v>
      </c>
      <c r="L51" s="55">
        <f t="shared" si="4"/>
        <v>0</v>
      </c>
      <c r="M51" s="55">
        <f t="shared" si="4"/>
        <v>0</v>
      </c>
      <c r="N51" s="55">
        <f t="shared" si="4"/>
        <v>11.799999999995634</v>
      </c>
      <c r="O51" s="55">
        <f t="shared" si="4"/>
        <v>11</v>
      </c>
      <c r="P51" s="55">
        <f t="shared" si="4"/>
        <v>13</v>
      </c>
      <c r="Q51" s="55">
        <f t="shared" si="4"/>
        <v>0</v>
      </c>
      <c r="R51" s="55">
        <f t="shared" si="4"/>
        <v>0</v>
      </c>
      <c r="S51" s="55">
        <f t="shared" si="4"/>
        <v>74.200000000069849</v>
      </c>
      <c r="T51" s="55">
        <f t="shared" si="4"/>
        <v>59</v>
      </c>
      <c r="U51" s="56">
        <f t="shared" si="5"/>
        <v>0</v>
      </c>
      <c r="V51" s="56">
        <f t="shared" si="5"/>
        <v>0</v>
      </c>
      <c r="W51" s="56">
        <f t="shared" si="5"/>
        <v>86.000000000065484</v>
      </c>
      <c r="X51" s="56">
        <f>O51+P51+T51</f>
        <v>83</v>
      </c>
    </row>
    <row r="52" spans="1:24" ht="20" customHeight="1" x14ac:dyDescent="0.35">
      <c r="A52" s="38" t="s">
        <v>211</v>
      </c>
      <c r="B52" s="39">
        <v>404327.7</v>
      </c>
      <c r="C52" s="38" t="s">
        <v>169</v>
      </c>
      <c r="D52" s="40">
        <v>42865.7</v>
      </c>
      <c r="E52" s="40">
        <v>363706.1</v>
      </c>
      <c r="F52" s="40">
        <v>244322.3</v>
      </c>
      <c r="G52" s="40">
        <v>517958.5</v>
      </c>
      <c r="H52" s="38" t="s">
        <v>169</v>
      </c>
      <c r="I52" s="40">
        <v>702871.3</v>
      </c>
      <c r="J52" s="43">
        <v>1419010</v>
      </c>
      <c r="L52" s="55">
        <f t="shared" si="4"/>
        <v>0</v>
      </c>
      <c r="M52" s="55">
        <f t="shared" si="4"/>
        <v>0</v>
      </c>
      <c r="N52" s="55">
        <f t="shared" si="4"/>
        <v>16.200000000004366</v>
      </c>
      <c r="O52" s="55">
        <f t="shared" si="4"/>
        <v>11.200000000011642</v>
      </c>
      <c r="P52" s="55">
        <f t="shared" si="4"/>
        <v>5.4000000000232831</v>
      </c>
      <c r="Q52" s="55">
        <f t="shared" si="4"/>
        <v>0</v>
      </c>
      <c r="R52" s="55">
        <f t="shared" si="4"/>
        <v>0</v>
      </c>
      <c r="S52" s="55">
        <f t="shared" si="4"/>
        <v>74.099999999976717</v>
      </c>
      <c r="T52" s="55">
        <f t="shared" si="4"/>
        <v>67</v>
      </c>
      <c r="U52" s="56">
        <f t="shared" si="5"/>
        <v>0</v>
      </c>
      <c r="V52" s="56">
        <f t="shared" si="5"/>
        <v>0</v>
      </c>
      <c r="W52" s="56">
        <f t="shared" si="5"/>
        <v>90.299999999981083</v>
      </c>
      <c r="X52" s="56">
        <f>O52+P52+T52</f>
        <v>83.600000000034925</v>
      </c>
    </row>
    <row r="53" spans="1:24" ht="20" customHeight="1" x14ac:dyDescent="0.35">
      <c r="A53" s="38" t="s">
        <v>212</v>
      </c>
      <c r="B53" s="39">
        <v>404327.7</v>
      </c>
      <c r="C53" s="38" t="s">
        <v>169</v>
      </c>
      <c r="D53" s="40">
        <v>42881.9</v>
      </c>
      <c r="E53" s="40">
        <v>363717.3</v>
      </c>
      <c r="F53" s="40">
        <v>244327.7</v>
      </c>
      <c r="G53" s="40">
        <v>517958.5</v>
      </c>
      <c r="H53" s="38" t="s">
        <v>169</v>
      </c>
      <c r="I53" s="40">
        <v>702945.4</v>
      </c>
      <c r="J53" s="43">
        <v>1419077</v>
      </c>
      <c r="L53" s="55">
        <f t="shared" si="4"/>
        <v>0</v>
      </c>
      <c r="M53" s="55">
        <f t="shared" si="4"/>
        <v>0</v>
      </c>
      <c r="N53" s="55">
        <f t="shared" si="4"/>
        <v>22.400000000001455</v>
      </c>
      <c r="O53" s="55">
        <f t="shared" si="4"/>
        <v>11.100000000034925</v>
      </c>
      <c r="P53" s="55">
        <f t="shared" si="4"/>
        <v>5.3999999999941792</v>
      </c>
      <c r="Q53" s="55">
        <f t="shared" si="4"/>
        <v>0</v>
      </c>
      <c r="R53" s="55">
        <f t="shared" si="4"/>
        <v>0</v>
      </c>
      <c r="S53" s="55">
        <f t="shared" si="4"/>
        <v>0</v>
      </c>
      <c r="T53" s="55">
        <f t="shared" si="4"/>
        <v>66</v>
      </c>
      <c r="U53" s="56">
        <f t="shared" si="5"/>
        <v>0</v>
      </c>
      <c r="V53" s="56">
        <f t="shared" si="5"/>
        <v>0</v>
      </c>
      <c r="W53" s="56">
        <f t="shared" si="5"/>
        <v>22.400000000001455</v>
      </c>
      <c r="X53" s="56">
        <f>O53+P53+T53</f>
        <v>82.500000000029104</v>
      </c>
    </row>
    <row r="54" spans="1:24" ht="20" customHeight="1" x14ac:dyDescent="0.35">
      <c r="A54" s="38" t="s">
        <v>213</v>
      </c>
      <c r="B54" s="39">
        <v>404327.7</v>
      </c>
      <c r="C54" s="38" t="s">
        <v>169</v>
      </c>
      <c r="D54" s="40">
        <v>42904.3</v>
      </c>
      <c r="E54" s="40">
        <v>363728.4</v>
      </c>
      <c r="F54" s="40">
        <v>244333.1</v>
      </c>
      <c r="G54" s="40">
        <v>517958.5</v>
      </c>
      <c r="H54" s="38" t="s">
        <v>169</v>
      </c>
      <c r="I54" s="40">
        <v>702945.4</v>
      </c>
      <c r="J54" s="43">
        <v>1419143</v>
      </c>
      <c r="L54" s="55">
        <f t="shared" si="4"/>
        <v>0</v>
      </c>
      <c r="M54" s="55">
        <f t="shared" si="4"/>
        <v>0</v>
      </c>
      <c r="N54" s="55">
        <f t="shared" si="4"/>
        <v>9.7999999999956344</v>
      </c>
      <c r="O54" s="55">
        <f t="shared" si="4"/>
        <v>13.699999999953434</v>
      </c>
      <c r="P54" s="55">
        <f t="shared" si="4"/>
        <v>6.3999999999941792</v>
      </c>
      <c r="Q54" s="55">
        <f t="shared" si="4"/>
        <v>0</v>
      </c>
      <c r="R54" s="55">
        <f t="shared" si="4"/>
        <v>0</v>
      </c>
      <c r="S54" s="55">
        <f t="shared" si="4"/>
        <v>3</v>
      </c>
      <c r="T54" s="55">
        <f t="shared" si="4"/>
        <v>66</v>
      </c>
      <c r="U54" s="56">
        <f t="shared" si="5"/>
        <v>0</v>
      </c>
      <c r="V54" s="56">
        <f t="shared" si="5"/>
        <v>0</v>
      </c>
      <c r="W54" s="56">
        <f t="shared" si="5"/>
        <v>12.799999999995634</v>
      </c>
      <c r="X54" s="56">
        <f>O54+P54+T54</f>
        <v>86.099999999947613</v>
      </c>
    </row>
    <row r="55" spans="1:24" ht="20" customHeight="1" x14ac:dyDescent="0.35">
      <c r="A55" s="38" t="s">
        <v>214</v>
      </c>
      <c r="B55" s="39">
        <v>404327.7</v>
      </c>
      <c r="C55" s="38" t="s">
        <v>169</v>
      </c>
      <c r="D55" s="40">
        <v>42914.1</v>
      </c>
      <c r="E55" s="40">
        <v>363742.1</v>
      </c>
      <c r="F55" s="40">
        <v>244339.5</v>
      </c>
      <c r="G55" s="40">
        <v>517958.5</v>
      </c>
      <c r="H55" s="38" t="s">
        <v>169</v>
      </c>
      <c r="I55" s="40">
        <v>702948.4</v>
      </c>
      <c r="J55" s="43">
        <v>1419209</v>
      </c>
      <c r="L55" s="55">
        <f t="shared" si="4"/>
        <v>0</v>
      </c>
      <c r="M55" s="55">
        <f t="shared" si="4"/>
        <v>0</v>
      </c>
      <c r="N55" s="55">
        <f t="shared" si="4"/>
        <v>10.5</v>
      </c>
      <c r="O55" s="55">
        <f t="shared" si="4"/>
        <v>23.700000000011642</v>
      </c>
      <c r="P55" s="55">
        <f t="shared" si="4"/>
        <v>17.700000000011642</v>
      </c>
      <c r="Q55" s="55">
        <f t="shared" si="4"/>
        <v>0</v>
      </c>
      <c r="R55" s="55">
        <f t="shared" si="4"/>
        <v>0</v>
      </c>
      <c r="S55" s="55">
        <f t="shared" si="4"/>
        <v>49.099999999976717</v>
      </c>
      <c r="T55" s="55">
        <f t="shared" si="4"/>
        <v>59</v>
      </c>
      <c r="U55" s="56">
        <f t="shared" si="5"/>
        <v>0</v>
      </c>
      <c r="V55" s="56">
        <f t="shared" si="5"/>
        <v>0</v>
      </c>
      <c r="W55" s="56">
        <f t="shared" si="5"/>
        <v>59.599999999976717</v>
      </c>
      <c r="X55" s="56">
        <f>O55+P55+T55</f>
        <v>100.40000000002328</v>
      </c>
    </row>
    <row r="56" spans="1:24" ht="20" customHeight="1" x14ac:dyDescent="0.35">
      <c r="A56" s="38" t="s">
        <v>215</v>
      </c>
      <c r="B56" s="39">
        <v>404327.7</v>
      </c>
      <c r="C56" s="38" t="s">
        <v>169</v>
      </c>
      <c r="D56" s="40">
        <v>42924.6</v>
      </c>
      <c r="E56" s="40">
        <v>363765.8</v>
      </c>
      <c r="F56" s="40">
        <v>244357.2</v>
      </c>
      <c r="G56" s="40">
        <v>517958.5</v>
      </c>
      <c r="H56" s="38" t="s">
        <v>169</v>
      </c>
      <c r="I56" s="40">
        <v>702997.5</v>
      </c>
      <c r="J56" s="43">
        <v>1419268</v>
      </c>
      <c r="L56" s="55">
        <f t="shared" si="4"/>
        <v>0</v>
      </c>
      <c r="M56" s="55">
        <f t="shared" si="4"/>
        <v>0</v>
      </c>
      <c r="N56" s="55">
        <f t="shared" si="4"/>
        <v>11.200000000004366</v>
      </c>
      <c r="O56" s="55">
        <f t="shared" si="4"/>
        <v>36.400000000023283</v>
      </c>
      <c r="P56" s="55">
        <f t="shared" si="4"/>
        <v>27.799999999988358</v>
      </c>
      <c r="Q56" s="55">
        <f t="shared" si="4"/>
        <v>0</v>
      </c>
      <c r="R56" s="55">
        <f t="shared" si="4"/>
        <v>0</v>
      </c>
      <c r="S56" s="55">
        <f t="shared" si="4"/>
        <v>60.599999999976717</v>
      </c>
      <c r="T56" s="55">
        <f t="shared" si="4"/>
        <v>26</v>
      </c>
      <c r="U56" s="56">
        <f t="shared" si="5"/>
        <v>0</v>
      </c>
      <c r="V56" s="56">
        <f t="shared" si="5"/>
        <v>0</v>
      </c>
      <c r="W56" s="56">
        <f t="shared" si="5"/>
        <v>71.799999999981083</v>
      </c>
      <c r="X56" s="56">
        <f>O56+P56+T56</f>
        <v>90.200000000011642</v>
      </c>
    </row>
    <row r="57" spans="1:24" ht="20" customHeight="1" x14ac:dyDescent="0.35">
      <c r="A57" s="38" t="s">
        <v>216</v>
      </c>
      <c r="B57" s="39">
        <v>404327.7</v>
      </c>
      <c r="C57" s="40">
        <v>218822.6</v>
      </c>
      <c r="D57" s="40">
        <v>42935.8</v>
      </c>
      <c r="E57" s="40">
        <v>363802.2</v>
      </c>
      <c r="F57" s="40">
        <v>244385</v>
      </c>
      <c r="G57" s="40">
        <v>517958.5</v>
      </c>
      <c r="H57" s="40">
        <v>306345.09999999998</v>
      </c>
      <c r="I57" s="40">
        <v>703058.1</v>
      </c>
      <c r="J57" s="43">
        <v>1419294</v>
      </c>
      <c r="L57" s="55">
        <f t="shared" si="4"/>
        <v>0</v>
      </c>
      <c r="M57" s="55">
        <f t="shared" si="4"/>
        <v>9.6000000000058208</v>
      </c>
      <c r="N57" s="55">
        <f t="shared" si="4"/>
        <v>10.19999999999709</v>
      </c>
      <c r="O57" s="55">
        <f t="shared" si="4"/>
        <v>17.5</v>
      </c>
      <c r="P57" s="55">
        <f t="shared" si="4"/>
        <v>13.100000000005821</v>
      </c>
      <c r="Q57" s="55">
        <f t="shared" si="4"/>
        <v>0</v>
      </c>
      <c r="R57" s="55">
        <f t="shared" si="4"/>
        <v>34.700000000011642</v>
      </c>
      <c r="S57" s="55">
        <f t="shared" si="4"/>
        <v>16.700000000069849</v>
      </c>
      <c r="T57" s="55">
        <f t="shared" si="4"/>
        <v>66</v>
      </c>
      <c r="U57" s="56">
        <f t="shared" si="5"/>
        <v>0</v>
      </c>
      <c r="V57" s="56">
        <f t="shared" si="5"/>
        <v>44.300000000017462</v>
      </c>
      <c r="W57" s="56">
        <f t="shared" si="5"/>
        <v>26.900000000066939</v>
      </c>
      <c r="X57" s="56">
        <f>O57+P57+T57</f>
        <v>96.600000000005821</v>
      </c>
    </row>
    <row r="58" spans="1:24" ht="20" customHeight="1" x14ac:dyDescent="0.35">
      <c r="A58" s="38" t="s">
        <v>217</v>
      </c>
      <c r="B58" s="39">
        <v>404327.7</v>
      </c>
      <c r="C58" s="40">
        <v>218832.2</v>
      </c>
      <c r="D58" s="40">
        <v>42946</v>
      </c>
      <c r="E58" s="40">
        <v>363819.7</v>
      </c>
      <c r="F58" s="40">
        <v>244398.1</v>
      </c>
      <c r="G58" s="40">
        <v>517958.5</v>
      </c>
      <c r="H58" s="40">
        <v>306379.8</v>
      </c>
      <c r="I58" s="40">
        <v>703074.8</v>
      </c>
      <c r="J58" s="43">
        <v>1419360</v>
      </c>
      <c r="L58" s="55">
        <f t="shared" si="4"/>
        <v>0</v>
      </c>
      <c r="M58" s="55">
        <f t="shared" si="4"/>
        <v>5.3999999999941792</v>
      </c>
      <c r="N58" s="55">
        <f t="shared" si="4"/>
        <v>13</v>
      </c>
      <c r="O58" s="55">
        <f t="shared" si="4"/>
        <v>10.899999999965075</v>
      </c>
      <c r="P58" s="55">
        <f t="shared" si="4"/>
        <v>5.3999999999941792</v>
      </c>
      <c r="Q58" s="55">
        <f t="shared" si="4"/>
        <v>0</v>
      </c>
      <c r="R58" s="55">
        <f t="shared" si="4"/>
        <v>0.5</v>
      </c>
      <c r="S58" s="55">
        <f t="shared" si="4"/>
        <v>0</v>
      </c>
      <c r="T58" s="55">
        <f t="shared" si="4"/>
        <v>65</v>
      </c>
      <c r="U58" s="56">
        <f t="shared" si="5"/>
        <v>0</v>
      </c>
      <c r="V58" s="56">
        <f t="shared" si="5"/>
        <v>5.8999999999941792</v>
      </c>
      <c r="W58" s="56">
        <f t="shared" si="5"/>
        <v>13</v>
      </c>
      <c r="X58" s="56">
        <f>O58+P58+T58</f>
        <v>81.299999999959255</v>
      </c>
    </row>
    <row r="59" spans="1:24" ht="20" customHeight="1" x14ac:dyDescent="0.35">
      <c r="A59" s="38" t="s">
        <v>218</v>
      </c>
      <c r="B59" s="39">
        <v>404327.7</v>
      </c>
      <c r="C59" s="40">
        <v>218837.6</v>
      </c>
      <c r="D59" s="40">
        <v>42959</v>
      </c>
      <c r="E59" s="40">
        <v>363830.6</v>
      </c>
      <c r="F59" s="40">
        <v>244403.5</v>
      </c>
      <c r="G59" s="40">
        <v>517958.5</v>
      </c>
      <c r="H59" s="40">
        <v>306380.3</v>
      </c>
      <c r="I59" s="40">
        <v>703074.8</v>
      </c>
      <c r="J59" s="43">
        <v>1419425</v>
      </c>
      <c r="L59" s="55">
        <f t="shared" si="4"/>
        <v>0</v>
      </c>
      <c r="M59" s="55">
        <f t="shared" si="4"/>
        <v>11.699999999982538</v>
      </c>
      <c r="N59" s="55">
        <f t="shared" si="4"/>
        <v>7.5</v>
      </c>
      <c r="O59" s="55">
        <f t="shared" si="4"/>
        <v>38.100000000034925</v>
      </c>
      <c r="P59" s="55">
        <f t="shared" si="4"/>
        <v>29.700000000011642</v>
      </c>
      <c r="Q59" s="55">
        <f t="shared" si="4"/>
        <v>0</v>
      </c>
      <c r="R59" s="55">
        <f t="shared" si="4"/>
        <v>29.400000000023283</v>
      </c>
      <c r="S59" s="55">
        <f t="shared" si="4"/>
        <v>20.399999999906868</v>
      </c>
      <c r="T59" s="55">
        <f t="shared" si="4"/>
        <v>28</v>
      </c>
      <c r="U59" s="56">
        <f t="shared" si="5"/>
        <v>0</v>
      </c>
      <c r="V59" s="56">
        <f t="shared" si="5"/>
        <v>41.100000000005821</v>
      </c>
      <c r="W59" s="56">
        <f t="shared" si="5"/>
        <v>27.899999999906868</v>
      </c>
      <c r="X59" s="56">
        <f>O59+P59+T59</f>
        <v>95.800000000046566</v>
      </c>
    </row>
    <row r="60" spans="1:24" ht="20" customHeight="1" x14ac:dyDescent="0.35">
      <c r="A60" s="38" t="s">
        <v>219</v>
      </c>
      <c r="B60" s="39">
        <v>404327.7</v>
      </c>
      <c r="C60" s="40">
        <v>218849.3</v>
      </c>
      <c r="D60" s="40">
        <v>42966.5</v>
      </c>
      <c r="E60" s="40">
        <v>363868.7</v>
      </c>
      <c r="F60" s="40">
        <v>244433.2</v>
      </c>
      <c r="G60" s="40">
        <v>517958.5</v>
      </c>
      <c r="H60" s="40">
        <v>306409.7</v>
      </c>
      <c r="I60" s="40">
        <v>703095.2</v>
      </c>
      <c r="J60" s="43">
        <v>1419453</v>
      </c>
      <c r="L60" s="55">
        <f t="shared" si="4"/>
        <v>0</v>
      </c>
      <c r="M60" s="55">
        <f t="shared" si="4"/>
        <v>14.800000000017462</v>
      </c>
      <c r="N60" s="55">
        <f t="shared" si="4"/>
        <v>3.0999999999985448</v>
      </c>
      <c r="O60" s="55">
        <f t="shared" si="4"/>
        <v>10.899999999965075</v>
      </c>
      <c r="P60" s="55">
        <f t="shared" si="4"/>
        <v>6.3999999999941792</v>
      </c>
      <c r="Q60" s="55">
        <f t="shared" si="4"/>
        <v>0</v>
      </c>
      <c r="R60" s="55">
        <f t="shared" si="4"/>
        <v>42.899999999965075</v>
      </c>
      <c r="S60" s="55">
        <f t="shared" si="4"/>
        <v>0</v>
      </c>
      <c r="T60" s="55">
        <f t="shared" si="4"/>
        <v>66</v>
      </c>
      <c r="U60" s="56">
        <f t="shared" si="5"/>
        <v>0</v>
      </c>
      <c r="V60" s="56">
        <f t="shared" si="5"/>
        <v>57.699999999982538</v>
      </c>
      <c r="W60" s="56">
        <f t="shared" si="5"/>
        <v>3.0999999999985448</v>
      </c>
      <c r="X60" s="56">
        <f>O60+P60+T60</f>
        <v>83.299999999959255</v>
      </c>
    </row>
    <row r="61" spans="1:24" ht="20" customHeight="1" x14ac:dyDescent="0.35">
      <c r="A61" s="38" t="s">
        <v>220</v>
      </c>
      <c r="B61" s="39">
        <v>404327.7</v>
      </c>
      <c r="C61" s="40">
        <v>218864.1</v>
      </c>
      <c r="D61" s="40">
        <v>42969.599999999999</v>
      </c>
      <c r="E61" s="40">
        <v>363879.6</v>
      </c>
      <c r="F61" s="40">
        <v>244439.6</v>
      </c>
      <c r="G61" s="40">
        <v>517958.5</v>
      </c>
      <c r="H61" s="40">
        <v>306452.59999999998</v>
      </c>
      <c r="I61" s="40">
        <v>703095.2</v>
      </c>
      <c r="J61" s="43">
        <v>1419519</v>
      </c>
      <c r="L61" s="55">
        <f t="shared" si="4"/>
        <v>0</v>
      </c>
      <c r="M61" s="55">
        <f t="shared" si="4"/>
        <v>18.199999999982538</v>
      </c>
      <c r="N61" s="55">
        <f t="shared" si="4"/>
        <v>1.4000000000014552</v>
      </c>
      <c r="O61" s="55">
        <f t="shared" si="4"/>
        <v>13.800000000046566</v>
      </c>
      <c r="P61" s="55">
        <f t="shared" si="4"/>
        <v>14</v>
      </c>
      <c r="Q61" s="55">
        <f t="shared" si="4"/>
        <v>0</v>
      </c>
      <c r="R61" s="55">
        <f t="shared" si="4"/>
        <v>37.900000000023283</v>
      </c>
      <c r="S61" s="55">
        <f t="shared" si="4"/>
        <v>0</v>
      </c>
      <c r="T61" s="55">
        <f t="shared" si="4"/>
        <v>65</v>
      </c>
      <c r="U61" s="56">
        <f t="shared" si="5"/>
        <v>0</v>
      </c>
      <c r="V61" s="56">
        <f t="shared" si="5"/>
        <v>56.100000000005821</v>
      </c>
      <c r="W61" s="56">
        <f t="shared" si="5"/>
        <v>1.4000000000014552</v>
      </c>
      <c r="X61" s="56">
        <f>O61+P61+T61</f>
        <v>92.800000000046566</v>
      </c>
    </row>
    <row r="62" spans="1:24" ht="20" customHeight="1" x14ac:dyDescent="0.35">
      <c r="A62" s="38" t="s">
        <v>221</v>
      </c>
      <c r="B62" s="39">
        <v>404327.7</v>
      </c>
      <c r="C62" s="40">
        <v>218882.3</v>
      </c>
      <c r="D62" s="40">
        <v>42971</v>
      </c>
      <c r="E62" s="40">
        <v>363893.4</v>
      </c>
      <c r="F62" s="40">
        <v>244453.6</v>
      </c>
      <c r="G62" s="40">
        <v>517958.5</v>
      </c>
      <c r="H62" s="40">
        <v>306490.5</v>
      </c>
      <c r="I62" s="40">
        <v>703095.2</v>
      </c>
      <c r="J62" s="43">
        <v>1419584</v>
      </c>
      <c r="L62" s="55">
        <f t="shared" si="4"/>
        <v>0</v>
      </c>
      <c r="M62" s="55">
        <f t="shared" si="4"/>
        <v>15.300000000017462</v>
      </c>
      <c r="N62" s="55">
        <f t="shared" si="4"/>
        <v>0</v>
      </c>
      <c r="O62" s="55">
        <f t="shared" si="4"/>
        <v>17.799999999988358</v>
      </c>
      <c r="P62" s="55">
        <f t="shared" si="4"/>
        <v>13.899999999994179</v>
      </c>
      <c r="Q62" s="55">
        <f t="shared" si="4"/>
        <v>0</v>
      </c>
      <c r="R62" s="55">
        <f t="shared" si="4"/>
        <v>21.799999999988358</v>
      </c>
      <c r="S62" s="55">
        <f t="shared" si="4"/>
        <v>0</v>
      </c>
      <c r="T62" s="55">
        <f t="shared" si="4"/>
        <v>64</v>
      </c>
      <c r="U62" s="56">
        <f t="shared" si="5"/>
        <v>0</v>
      </c>
      <c r="V62" s="56">
        <f t="shared" si="5"/>
        <v>37.100000000005821</v>
      </c>
      <c r="W62" s="56">
        <f t="shared" si="5"/>
        <v>0</v>
      </c>
      <c r="X62" s="56">
        <f>O62+P62+T62</f>
        <v>95.699999999982538</v>
      </c>
    </row>
    <row r="63" spans="1:24" ht="16.75" customHeight="1" x14ac:dyDescent="0.35">
      <c r="A63" s="38" t="s">
        <v>222</v>
      </c>
      <c r="B63" s="39">
        <v>404327.7</v>
      </c>
      <c r="C63" s="40">
        <v>218897.6</v>
      </c>
      <c r="D63" s="40">
        <v>42971</v>
      </c>
      <c r="E63" s="40">
        <v>363911.2</v>
      </c>
      <c r="F63" s="40">
        <v>244467.5</v>
      </c>
      <c r="G63" s="40">
        <v>517958.5</v>
      </c>
      <c r="H63" s="40">
        <v>306512.3</v>
      </c>
      <c r="I63" s="40">
        <v>703095.2</v>
      </c>
      <c r="J63" s="43">
        <v>1419648</v>
      </c>
      <c r="L63" s="55">
        <f t="shared" si="4"/>
        <v>0</v>
      </c>
      <c r="M63" s="55">
        <f t="shared" si="4"/>
        <v>16.699999999982538</v>
      </c>
      <c r="N63" s="55">
        <f t="shared" si="4"/>
        <v>9.9999999998544808E-2</v>
      </c>
      <c r="O63" s="55">
        <f t="shared" si="4"/>
        <v>10.799999999988358</v>
      </c>
      <c r="P63" s="55">
        <f t="shared" si="4"/>
        <v>13.200000000011642</v>
      </c>
      <c r="Q63" s="55">
        <f t="shared" si="4"/>
        <v>0</v>
      </c>
      <c r="R63" s="55">
        <f t="shared" si="4"/>
        <v>32.200000000011642</v>
      </c>
      <c r="S63" s="55">
        <f t="shared" si="4"/>
        <v>0</v>
      </c>
      <c r="T63" s="55">
        <f t="shared" si="4"/>
        <v>65</v>
      </c>
      <c r="U63" s="56">
        <f t="shared" si="5"/>
        <v>0</v>
      </c>
      <c r="V63" s="56">
        <f t="shared" si="5"/>
        <v>48.899999999994179</v>
      </c>
      <c r="W63" s="56">
        <f t="shared" si="5"/>
        <v>9.9999999998544808E-2</v>
      </c>
      <c r="X63" s="56">
        <f>O63+P63+T63</f>
        <v>89</v>
      </c>
    </row>
    <row r="64" spans="1:24" ht="20" customHeight="1" x14ac:dyDescent="0.35">
      <c r="A64" s="38" t="s">
        <v>223</v>
      </c>
      <c r="B64" s="39">
        <v>404327.7</v>
      </c>
      <c r="C64" s="40">
        <v>218914.3</v>
      </c>
      <c r="D64" s="40">
        <v>42971.1</v>
      </c>
      <c r="E64" s="40">
        <v>363922</v>
      </c>
      <c r="F64" s="40">
        <v>244480.7</v>
      </c>
      <c r="G64" s="40">
        <v>517958.5</v>
      </c>
      <c r="H64" s="40">
        <v>306544.5</v>
      </c>
      <c r="I64" s="40">
        <v>703095.2</v>
      </c>
      <c r="J64" s="43">
        <v>1419713</v>
      </c>
      <c r="L64" s="55">
        <f t="shared" si="4"/>
        <v>0</v>
      </c>
      <c r="M64" s="55">
        <f t="shared" si="4"/>
        <v>17.800000000017462</v>
      </c>
      <c r="N64" s="55">
        <f t="shared" si="4"/>
        <v>2.4000000000014552</v>
      </c>
      <c r="O64" s="55">
        <f t="shared" si="4"/>
        <v>11</v>
      </c>
      <c r="P64" s="55">
        <f t="shared" si="4"/>
        <v>5.3999999999941792</v>
      </c>
      <c r="Q64" s="55">
        <f t="shared" si="4"/>
        <v>0</v>
      </c>
      <c r="R64" s="55">
        <f t="shared" si="4"/>
        <v>29.299999999988358</v>
      </c>
      <c r="S64" s="55">
        <f t="shared" si="4"/>
        <v>11.300000000046566</v>
      </c>
      <c r="T64" s="55">
        <f t="shared" si="4"/>
        <v>66</v>
      </c>
      <c r="U64" s="56">
        <f t="shared" si="5"/>
        <v>0</v>
      </c>
      <c r="V64" s="56">
        <f t="shared" si="5"/>
        <v>47.100000000005821</v>
      </c>
      <c r="W64" s="56">
        <f t="shared" si="5"/>
        <v>13.700000000048021</v>
      </c>
      <c r="X64" s="56">
        <f>O64+P64+T64</f>
        <v>82.399999999994179</v>
      </c>
    </row>
    <row r="65" spans="1:24" ht="20" customHeight="1" x14ac:dyDescent="0.35">
      <c r="A65" s="38" t="s">
        <v>224</v>
      </c>
      <c r="B65" s="39">
        <v>404327.7</v>
      </c>
      <c r="C65" s="40">
        <v>218932.1</v>
      </c>
      <c r="D65" s="40">
        <v>42973.5</v>
      </c>
      <c r="E65" s="40">
        <v>363933</v>
      </c>
      <c r="F65" s="40">
        <v>244486.1</v>
      </c>
      <c r="G65" s="40">
        <v>517958.5</v>
      </c>
      <c r="H65" s="40">
        <v>306573.8</v>
      </c>
      <c r="I65" s="40">
        <v>703106.5</v>
      </c>
      <c r="J65" s="43">
        <v>1419779</v>
      </c>
      <c r="L65" s="55">
        <f t="shared" si="4"/>
        <v>0</v>
      </c>
      <c r="M65" s="55">
        <f t="shared" si="4"/>
        <v>17.899999999994179</v>
      </c>
      <c r="N65" s="55">
        <f t="shared" si="4"/>
        <v>0</v>
      </c>
      <c r="O65" s="55">
        <f t="shared" si="4"/>
        <v>11</v>
      </c>
      <c r="P65" s="55">
        <f t="shared" si="4"/>
        <v>5.3999999999941792</v>
      </c>
      <c r="Q65" s="55">
        <f t="shared" si="4"/>
        <v>0</v>
      </c>
      <c r="R65" s="55">
        <f t="shared" si="4"/>
        <v>27.600000000034925</v>
      </c>
      <c r="S65" s="55">
        <f t="shared" si="4"/>
        <v>0</v>
      </c>
      <c r="T65" s="55">
        <f t="shared" si="4"/>
        <v>64</v>
      </c>
      <c r="U65" s="56">
        <f t="shared" si="5"/>
        <v>0</v>
      </c>
      <c r="V65" s="56">
        <f t="shared" si="5"/>
        <v>45.500000000029104</v>
      </c>
      <c r="W65" s="56">
        <f t="shared" si="5"/>
        <v>0</v>
      </c>
      <c r="X65" s="56">
        <f>O65+P65+T65</f>
        <v>80.399999999994179</v>
      </c>
    </row>
    <row r="66" spans="1:24" ht="20" customHeight="1" x14ac:dyDescent="0.35">
      <c r="A66" s="38" t="s">
        <v>225</v>
      </c>
      <c r="B66" s="39">
        <v>404327.7</v>
      </c>
      <c r="C66" s="40">
        <v>218950</v>
      </c>
      <c r="D66" s="40">
        <v>42973.5</v>
      </c>
      <c r="E66" s="40">
        <v>363944</v>
      </c>
      <c r="F66" s="40">
        <v>244491.5</v>
      </c>
      <c r="G66" s="40">
        <v>517958.5</v>
      </c>
      <c r="H66" s="40">
        <v>306601.40000000002</v>
      </c>
      <c r="I66" s="40">
        <v>703106.5</v>
      </c>
      <c r="J66" s="43">
        <v>1419843</v>
      </c>
      <c r="L66" s="55">
        <f t="shared" si="4"/>
        <v>0</v>
      </c>
      <c r="M66" s="55">
        <f t="shared" si="4"/>
        <v>17.799999999988358</v>
      </c>
      <c r="N66" s="55">
        <f t="shared" si="4"/>
        <v>9.9999999998544808E-2</v>
      </c>
      <c r="O66" s="55">
        <f t="shared" si="4"/>
        <v>11</v>
      </c>
      <c r="P66" s="55">
        <f t="shared" si="4"/>
        <v>5.3999999999941792</v>
      </c>
      <c r="Q66" s="55">
        <f t="shared" si="4"/>
        <v>0</v>
      </c>
      <c r="R66" s="55">
        <f t="shared" si="4"/>
        <v>24.399999999965075</v>
      </c>
      <c r="S66" s="55">
        <f t="shared" si="4"/>
        <v>0</v>
      </c>
      <c r="T66" s="55">
        <f t="shared" si="4"/>
        <v>64</v>
      </c>
      <c r="U66" s="56">
        <f t="shared" si="5"/>
        <v>0</v>
      </c>
      <c r="V66" s="56">
        <f t="shared" si="5"/>
        <v>42.199999999953434</v>
      </c>
      <c r="W66" s="56">
        <f t="shared" si="5"/>
        <v>9.9999999998544808E-2</v>
      </c>
      <c r="X66" s="56">
        <f>O66+P66+T66</f>
        <v>80.399999999994179</v>
      </c>
    </row>
    <row r="67" spans="1:24" ht="20" customHeight="1" x14ac:dyDescent="0.35">
      <c r="A67" s="38" t="s">
        <v>226</v>
      </c>
      <c r="B67" s="39">
        <v>404327.7</v>
      </c>
      <c r="C67" s="40">
        <v>218967.8</v>
      </c>
      <c r="D67" s="40">
        <v>42973.599999999999</v>
      </c>
      <c r="E67" s="40">
        <v>363955</v>
      </c>
      <c r="F67" s="40">
        <v>244496.9</v>
      </c>
      <c r="G67" s="40">
        <v>517958.5</v>
      </c>
      <c r="H67" s="40">
        <v>306625.8</v>
      </c>
      <c r="I67" s="40">
        <v>703106.5</v>
      </c>
      <c r="J67" s="43">
        <v>1419907</v>
      </c>
      <c r="L67" s="55">
        <f t="shared" si="4"/>
        <v>0</v>
      </c>
      <c r="M67" s="55">
        <f t="shared" si="4"/>
        <v>16.800000000017462</v>
      </c>
      <c r="N67" s="55">
        <f t="shared" si="4"/>
        <v>9.9999999998544808E-2</v>
      </c>
      <c r="O67" s="55">
        <f t="shared" si="4"/>
        <v>13.900000000023283</v>
      </c>
      <c r="P67" s="55">
        <f t="shared" si="4"/>
        <v>6.5</v>
      </c>
      <c r="Q67" s="55">
        <f t="shared" si="4"/>
        <v>0</v>
      </c>
      <c r="R67" s="55">
        <f t="shared" si="4"/>
        <v>14.100000000034925</v>
      </c>
      <c r="S67" s="55">
        <f t="shared" si="4"/>
        <v>0</v>
      </c>
      <c r="T67" s="55">
        <f t="shared" si="4"/>
        <v>64</v>
      </c>
      <c r="U67" s="56">
        <f t="shared" si="5"/>
        <v>0</v>
      </c>
      <c r="V67" s="56">
        <f t="shared" si="5"/>
        <v>30.900000000052387</v>
      </c>
      <c r="W67" s="56">
        <f t="shared" si="5"/>
        <v>9.9999999998544808E-2</v>
      </c>
      <c r="X67" s="56">
        <f>O67+P67+T67</f>
        <v>84.400000000023283</v>
      </c>
    </row>
    <row r="68" spans="1:24" ht="20" customHeight="1" x14ac:dyDescent="0.35">
      <c r="A68" s="38" t="s">
        <v>227</v>
      </c>
      <c r="B68" s="39">
        <v>404327.7</v>
      </c>
      <c r="C68" s="40">
        <v>218984.6</v>
      </c>
      <c r="D68" s="40">
        <v>42973.7</v>
      </c>
      <c r="E68" s="40">
        <v>363968.9</v>
      </c>
      <c r="F68" s="40">
        <v>244503.4</v>
      </c>
      <c r="G68" s="40">
        <v>517958.5</v>
      </c>
      <c r="H68" s="40">
        <v>306639.90000000002</v>
      </c>
      <c r="I68" s="40">
        <v>703106.5</v>
      </c>
      <c r="J68" s="43">
        <v>1419971</v>
      </c>
      <c r="L68" s="55">
        <f t="shared" si="4"/>
        <v>0</v>
      </c>
      <c r="M68" s="55">
        <f t="shared" si="4"/>
        <v>18</v>
      </c>
      <c r="N68" s="55">
        <f t="shared" si="4"/>
        <v>0</v>
      </c>
      <c r="O68" s="55">
        <f t="shared" si="4"/>
        <v>17.5</v>
      </c>
      <c r="P68" s="55">
        <f t="shared" si="4"/>
        <v>13.5</v>
      </c>
      <c r="Q68" s="55">
        <f t="shared" si="4"/>
        <v>0</v>
      </c>
      <c r="R68" s="55">
        <f t="shared" si="4"/>
        <v>40</v>
      </c>
      <c r="S68" s="55">
        <f t="shared" si="4"/>
        <v>0</v>
      </c>
      <c r="T68" s="55">
        <f t="shared" si="4"/>
        <v>63</v>
      </c>
      <c r="U68" s="56">
        <f t="shared" si="5"/>
        <v>0</v>
      </c>
      <c r="V68" s="56">
        <f t="shared" si="5"/>
        <v>58</v>
      </c>
      <c r="W68" s="56">
        <f t="shared" si="5"/>
        <v>0</v>
      </c>
      <c r="X68" s="56">
        <f>O68+P68+T68</f>
        <v>94</v>
      </c>
    </row>
    <row r="69" spans="1:24" ht="20" customHeight="1" x14ac:dyDescent="0.35">
      <c r="A69" s="38" t="s">
        <v>228</v>
      </c>
      <c r="B69" s="39">
        <v>404327.7</v>
      </c>
      <c r="C69" s="40">
        <v>219002.6</v>
      </c>
      <c r="D69" s="38" t="s">
        <v>169</v>
      </c>
      <c r="E69" s="40">
        <v>363986.4</v>
      </c>
      <c r="F69" s="40">
        <v>244516.9</v>
      </c>
      <c r="G69" s="40">
        <v>517958.5</v>
      </c>
      <c r="H69" s="40">
        <v>306679.90000000002</v>
      </c>
      <c r="I69" s="38" t="s">
        <v>169</v>
      </c>
      <c r="J69" s="43">
        <v>1420034</v>
      </c>
      <c r="L69" s="55">
        <f t="shared" si="4"/>
        <v>7.0999999999767169</v>
      </c>
      <c r="M69" s="55">
        <f t="shared" si="4"/>
        <v>17.600000000005821</v>
      </c>
      <c r="N69" s="55">
        <f t="shared" si="4"/>
        <v>0</v>
      </c>
      <c r="O69" s="55">
        <f t="shared" si="4"/>
        <v>11</v>
      </c>
      <c r="P69" s="55">
        <f t="shared" si="4"/>
        <v>13.100000000005821</v>
      </c>
      <c r="Q69" s="55">
        <f t="shared" si="4"/>
        <v>21.900000000023283</v>
      </c>
      <c r="R69" s="55">
        <f t="shared" si="4"/>
        <v>27.599999999976717</v>
      </c>
      <c r="S69" s="55">
        <f t="shared" si="4"/>
        <v>0</v>
      </c>
      <c r="T69" s="55">
        <f t="shared" si="4"/>
        <v>64</v>
      </c>
      <c r="U69" s="56">
        <f t="shared" si="5"/>
        <v>29</v>
      </c>
      <c r="V69" s="56">
        <f t="shared" si="5"/>
        <v>45.199999999982538</v>
      </c>
      <c r="W69" s="56">
        <f t="shared" si="5"/>
        <v>0</v>
      </c>
      <c r="X69" s="56">
        <f>O69+P69+T69</f>
        <v>88.100000000005821</v>
      </c>
    </row>
    <row r="70" spans="1:24" ht="20" customHeight="1" x14ac:dyDescent="0.35">
      <c r="A70" s="38" t="s">
        <v>229</v>
      </c>
      <c r="B70" s="39">
        <v>404334.8</v>
      </c>
      <c r="C70" s="40">
        <v>219020.2</v>
      </c>
      <c r="D70" s="38" t="s">
        <v>169</v>
      </c>
      <c r="E70" s="40">
        <v>363997.4</v>
      </c>
      <c r="F70" s="40">
        <v>244530</v>
      </c>
      <c r="G70" s="40">
        <v>517980.4</v>
      </c>
      <c r="H70" s="40">
        <v>306707.5</v>
      </c>
      <c r="I70" s="38" t="s">
        <v>169</v>
      </c>
      <c r="J70" s="43">
        <v>1420098</v>
      </c>
      <c r="L70" s="55">
        <f t="shared" si="4"/>
        <v>17.200000000011642</v>
      </c>
      <c r="M70" s="55">
        <f t="shared" si="4"/>
        <v>17.199999999982538</v>
      </c>
      <c r="N70" s="55">
        <f t="shared" si="4"/>
        <v>0</v>
      </c>
      <c r="O70" s="55">
        <f t="shared" si="4"/>
        <v>10.899999999965075</v>
      </c>
      <c r="P70" s="55">
        <f t="shared" si="4"/>
        <v>5.3999999999941792</v>
      </c>
      <c r="Q70" s="55">
        <f t="shared" si="4"/>
        <v>54.199999999953434</v>
      </c>
      <c r="R70" s="55">
        <f t="shared" si="4"/>
        <v>23.700000000011642</v>
      </c>
      <c r="S70" s="55">
        <f t="shared" si="4"/>
        <v>0</v>
      </c>
      <c r="T70" s="55">
        <f t="shared" si="4"/>
        <v>64</v>
      </c>
      <c r="U70" s="56">
        <f t="shared" si="5"/>
        <v>71.399999999965075</v>
      </c>
      <c r="V70" s="56">
        <f t="shared" si="5"/>
        <v>40.899999999994179</v>
      </c>
      <c r="W70" s="56">
        <f t="shared" si="5"/>
        <v>0</v>
      </c>
      <c r="X70" s="56">
        <f>O70+P70+T70</f>
        <v>80.299999999959255</v>
      </c>
    </row>
    <row r="71" spans="1:24" ht="20" customHeight="1" x14ac:dyDescent="0.35">
      <c r="A71" s="38" t="s">
        <v>230</v>
      </c>
      <c r="B71" s="39">
        <v>404352</v>
      </c>
      <c r="C71" s="40">
        <v>219037.4</v>
      </c>
      <c r="D71" s="38" t="s">
        <v>169</v>
      </c>
      <c r="E71" s="40">
        <v>364008.3</v>
      </c>
      <c r="F71" s="40">
        <v>244535.4</v>
      </c>
      <c r="G71" s="40">
        <v>518034.6</v>
      </c>
      <c r="H71" s="40">
        <v>306731.2</v>
      </c>
      <c r="I71" s="38" t="s">
        <v>169</v>
      </c>
      <c r="J71" s="43">
        <v>1420162</v>
      </c>
      <c r="L71" s="55">
        <f t="shared" si="4"/>
        <v>17.299999999988358</v>
      </c>
      <c r="M71" s="55">
        <f t="shared" si="4"/>
        <v>17.200000000011642</v>
      </c>
      <c r="N71" s="55">
        <f t="shared" si="4"/>
        <v>0</v>
      </c>
      <c r="O71" s="55">
        <f t="shared" si="4"/>
        <v>11</v>
      </c>
      <c r="P71" s="55">
        <f t="shared" si="4"/>
        <v>5.3999999999941792</v>
      </c>
      <c r="Q71" s="55">
        <f t="shared" si="4"/>
        <v>54</v>
      </c>
      <c r="R71" s="55">
        <f t="shared" si="4"/>
        <v>26.799999999988358</v>
      </c>
      <c r="S71" s="55">
        <f t="shared" si="4"/>
        <v>0</v>
      </c>
      <c r="T71" s="55">
        <f t="shared" si="4"/>
        <v>65</v>
      </c>
      <c r="U71" s="56">
        <f t="shared" si="5"/>
        <v>71.299999999988358</v>
      </c>
      <c r="V71" s="56">
        <f t="shared" si="5"/>
        <v>44</v>
      </c>
      <c r="W71" s="56">
        <f t="shared" si="5"/>
        <v>0</v>
      </c>
      <c r="X71" s="56">
        <f>O71+P71+T71</f>
        <v>81.399999999994179</v>
      </c>
    </row>
    <row r="72" spans="1:24" ht="20" customHeight="1" x14ac:dyDescent="0.35">
      <c r="A72" s="38" t="s">
        <v>231</v>
      </c>
      <c r="B72" s="39">
        <v>404369.3</v>
      </c>
      <c r="C72" s="40">
        <v>219054.6</v>
      </c>
      <c r="D72" s="38" t="s">
        <v>169</v>
      </c>
      <c r="E72" s="40">
        <v>364019.3</v>
      </c>
      <c r="F72" s="40">
        <v>244540.79999999999</v>
      </c>
      <c r="G72" s="40">
        <v>518088.6</v>
      </c>
      <c r="H72" s="40">
        <v>306758</v>
      </c>
      <c r="I72" s="38" t="s">
        <v>169</v>
      </c>
      <c r="J72" s="43">
        <v>1420227</v>
      </c>
      <c r="L72" s="55">
        <f t="shared" si="4"/>
        <v>17.299999999988358</v>
      </c>
      <c r="M72" s="55">
        <f t="shared" si="4"/>
        <v>16.899999999994179</v>
      </c>
      <c r="N72" s="55">
        <f t="shared" si="4"/>
        <v>0</v>
      </c>
      <c r="O72" s="55">
        <f t="shared" si="4"/>
        <v>13.700000000011642</v>
      </c>
      <c r="P72" s="55">
        <f t="shared" si="4"/>
        <v>6.4000000000232831</v>
      </c>
      <c r="Q72" s="55">
        <f t="shared" si="4"/>
        <v>51.700000000011642</v>
      </c>
      <c r="R72" s="55">
        <f t="shared" si="4"/>
        <v>16.200000000011642</v>
      </c>
      <c r="S72" s="55">
        <f t="shared" si="4"/>
        <v>0</v>
      </c>
      <c r="T72" s="55">
        <f t="shared" si="4"/>
        <v>64</v>
      </c>
      <c r="U72" s="56">
        <f t="shared" si="5"/>
        <v>69</v>
      </c>
      <c r="V72" s="56">
        <f t="shared" si="5"/>
        <v>33.100000000005821</v>
      </c>
      <c r="W72" s="56">
        <f t="shared" si="5"/>
        <v>0</v>
      </c>
      <c r="X72" s="56">
        <f>O72+P72+T72</f>
        <v>84.100000000034925</v>
      </c>
    </row>
    <row r="73" spans="1:24" ht="20" customHeight="1" x14ac:dyDescent="0.35">
      <c r="A73" s="38" t="s">
        <v>232</v>
      </c>
      <c r="B73" s="39">
        <v>404386.6</v>
      </c>
      <c r="C73" s="40">
        <v>219071.5</v>
      </c>
      <c r="D73" s="38" t="s">
        <v>169</v>
      </c>
      <c r="E73" s="40">
        <v>364033</v>
      </c>
      <c r="F73" s="40">
        <v>244547.20000000001</v>
      </c>
      <c r="G73" s="40">
        <v>518140.3</v>
      </c>
      <c r="H73" s="40">
        <v>306774.2</v>
      </c>
      <c r="I73" s="38" t="s">
        <v>169</v>
      </c>
      <c r="J73" s="43">
        <v>1420291</v>
      </c>
      <c r="L73" s="55">
        <f t="shared" si="4"/>
        <v>17.400000000023283</v>
      </c>
      <c r="M73" s="55">
        <f t="shared" si="4"/>
        <v>17.899999999994179</v>
      </c>
      <c r="N73" s="55">
        <f t="shared" si="4"/>
        <v>0</v>
      </c>
      <c r="O73" s="55">
        <f t="shared" ref="O73:T136" si="6">IFERROR(E74-E73,0)</f>
        <v>20.099999999976717</v>
      </c>
      <c r="P73" s="55">
        <f t="shared" si="6"/>
        <v>14</v>
      </c>
      <c r="Q73" s="55">
        <f t="shared" si="6"/>
        <v>51.100000000034925</v>
      </c>
      <c r="R73" s="55">
        <f t="shared" si="6"/>
        <v>36.599999999976717</v>
      </c>
      <c r="S73" s="55">
        <f t="shared" si="6"/>
        <v>0</v>
      </c>
      <c r="T73" s="55">
        <f t="shared" si="6"/>
        <v>64</v>
      </c>
      <c r="U73" s="56">
        <f t="shared" si="5"/>
        <v>68.500000000058208</v>
      </c>
      <c r="V73" s="56">
        <f t="shared" si="5"/>
        <v>54.499999999970896</v>
      </c>
      <c r="W73" s="56">
        <f t="shared" si="5"/>
        <v>0</v>
      </c>
      <c r="X73" s="56">
        <f>O73+P73+T73</f>
        <v>98.099999999976717</v>
      </c>
    </row>
    <row r="74" spans="1:24" ht="20" customHeight="1" x14ac:dyDescent="0.35">
      <c r="A74" s="38" t="s">
        <v>233</v>
      </c>
      <c r="B74" s="39">
        <v>404404</v>
      </c>
      <c r="C74" s="40">
        <v>219089.4</v>
      </c>
      <c r="D74" s="38" t="s">
        <v>169</v>
      </c>
      <c r="E74" s="40">
        <v>364053.1</v>
      </c>
      <c r="F74" s="40">
        <v>244561.2</v>
      </c>
      <c r="G74" s="40">
        <v>518191.4</v>
      </c>
      <c r="H74" s="40">
        <v>306810.8</v>
      </c>
      <c r="I74" s="38" t="s">
        <v>169</v>
      </c>
      <c r="J74" s="43">
        <v>1420355</v>
      </c>
      <c r="L74" s="55">
        <f t="shared" ref="L74:Q137" si="7">IFERROR(B75-B74,0)</f>
        <v>16</v>
      </c>
      <c r="M74" s="55">
        <f t="shared" si="7"/>
        <v>17.5</v>
      </c>
      <c r="N74" s="55">
        <f t="shared" si="7"/>
        <v>0</v>
      </c>
      <c r="O74" s="55">
        <f t="shared" si="6"/>
        <v>17.900000000023283</v>
      </c>
      <c r="P74" s="55">
        <f t="shared" si="6"/>
        <v>13.699999999982538</v>
      </c>
      <c r="Q74" s="55">
        <f t="shared" si="6"/>
        <v>49.599999999976717</v>
      </c>
      <c r="R74" s="55">
        <f t="shared" si="6"/>
        <v>32.400000000023283</v>
      </c>
      <c r="S74" s="55">
        <f t="shared" si="6"/>
        <v>0</v>
      </c>
      <c r="T74" s="55">
        <f t="shared" si="6"/>
        <v>64</v>
      </c>
      <c r="U74" s="56">
        <f t="shared" si="5"/>
        <v>65.599999999976717</v>
      </c>
      <c r="V74" s="56">
        <f t="shared" si="5"/>
        <v>49.900000000023283</v>
      </c>
      <c r="W74" s="56">
        <f t="shared" si="5"/>
        <v>0</v>
      </c>
      <c r="X74" s="56">
        <f>O74+P74+T74</f>
        <v>95.600000000005821</v>
      </c>
    </row>
    <row r="75" spans="1:24" ht="20" customHeight="1" x14ac:dyDescent="0.35">
      <c r="A75" s="38" t="s">
        <v>234</v>
      </c>
      <c r="B75" s="39">
        <v>404420</v>
      </c>
      <c r="C75" s="40">
        <v>219106.9</v>
      </c>
      <c r="D75" s="40">
        <v>42983.199999999997</v>
      </c>
      <c r="E75" s="40">
        <v>364071</v>
      </c>
      <c r="F75" s="40">
        <v>244574.9</v>
      </c>
      <c r="G75" s="40">
        <v>518241</v>
      </c>
      <c r="H75" s="40">
        <v>306843.2</v>
      </c>
      <c r="I75" s="40">
        <v>703120.7</v>
      </c>
      <c r="J75" s="43">
        <v>1420419</v>
      </c>
      <c r="L75" s="55">
        <f t="shared" si="7"/>
        <v>17.400000000023283</v>
      </c>
      <c r="M75" s="55">
        <f t="shared" si="7"/>
        <v>17.899999999994179</v>
      </c>
      <c r="N75" s="55">
        <f t="shared" si="7"/>
        <v>0</v>
      </c>
      <c r="O75" s="55">
        <f t="shared" si="6"/>
        <v>11.099999999976717</v>
      </c>
      <c r="P75" s="55">
        <f t="shared" si="6"/>
        <v>13.100000000005821</v>
      </c>
      <c r="Q75" s="55">
        <f t="shared" si="6"/>
        <v>50.400000000023283</v>
      </c>
      <c r="R75" s="55">
        <f t="shared" si="6"/>
        <v>36.899999999965075</v>
      </c>
      <c r="S75" s="55">
        <f t="shared" si="6"/>
        <v>0</v>
      </c>
      <c r="T75" s="55">
        <f t="shared" si="6"/>
        <v>65</v>
      </c>
      <c r="U75" s="56">
        <f t="shared" si="5"/>
        <v>67.800000000046566</v>
      </c>
      <c r="V75" s="56">
        <f t="shared" si="5"/>
        <v>54.799999999959255</v>
      </c>
      <c r="W75" s="56">
        <f t="shared" si="5"/>
        <v>0</v>
      </c>
      <c r="X75" s="56">
        <f>O75+P75+T75</f>
        <v>89.199999999982538</v>
      </c>
    </row>
    <row r="76" spans="1:24" ht="20" customHeight="1" x14ac:dyDescent="0.35">
      <c r="A76" s="38" t="s">
        <v>235</v>
      </c>
      <c r="B76" s="39">
        <v>404437.4</v>
      </c>
      <c r="C76" s="40">
        <v>219124.8</v>
      </c>
      <c r="D76" s="38" t="s">
        <v>169</v>
      </c>
      <c r="E76" s="40">
        <v>364082.1</v>
      </c>
      <c r="F76" s="40">
        <v>244588</v>
      </c>
      <c r="G76" s="40">
        <v>518291.4</v>
      </c>
      <c r="H76" s="40">
        <v>306880.09999999998</v>
      </c>
      <c r="I76" s="38" t="s">
        <v>169</v>
      </c>
      <c r="J76" s="43">
        <v>1420484</v>
      </c>
      <c r="L76" s="55">
        <f t="shared" si="7"/>
        <v>17.199999999953434</v>
      </c>
      <c r="M76" s="55">
        <f t="shared" si="7"/>
        <v>17.300000000017462</v>
      </c>
      <c r="N76" s="55">
        <f t="shared" si="7"/>
        <v>0</v>
      </c>
      <c r="O76" s="55">
        <f t="shared" si="6"/>
        <v>11.100000000034925</v>
      </c>
      <c r="P76" s="55">
        <f t="shared" si="6"/>
        <v>5.3999999999941792</v>
      </c>
      <c r="Q76" s="55">
        <f t="shared" si="6"/>
        <v>52</v>
      </c>
      <c r="R76" s="55">
        <f t="shared" si="6"/>
        <v>31.5</v>
      </c>
      <c r="S76" s="55">
        <f t="shared" si="6"/>
        <v>0</v>
      </c>
      <c r="T76" s="55">
        <f t="shared" si="6"/>
        <v>66</v>
      </c>
      <c r="U76" s="56">
        <f t="shared" si="5"/>
        <v>69.199999999953434</v>
      </c>
      <c r="V76" s="56">
        <f t="shared" si="5"/>
        <v>48.800000000017462</v>
      </c>
      <c r="W76" s="56">
        <f t="shared" si="5"/>
        <v>0</v>
      </c>
      <c r="X76" s="56">
        <f>O76+P76+T76</f>
        <v>82.500000000029104</v>
      </c>
    </row>
    <row r="77" spans="1:24" ht="20" customHeight="1" x14ac:dyDescent="0.35">
      <c r="A77" s="38" t="s">
        <v>236</v>
      </c>
      <c r="B77" s="39">
        <v>404454.6</v>
      </c>
      <c r="C77" s="40">
        <v>219142.1</v>
      </c>
      <c r="D77" s="38" t="s">
        <v>169</v>
      </c>
      <c r="E77" s="40">
        <v>364093.2</v>
      </c>
      <c r="F77" s="40">
        <v>244593.4</v>
      </c>
      <c r="G77" s="40">
        <v>518343.4</v>
      </c>
      <c r="H77" s="40">
        <v>306911.59999999998</v>
      </c>
      <c r="I77" s="38" t="s">
        <v>169</v>
      </c>
      <c r="J77" s="43">
        <v>1420550</v>
      </c>
      <c r="L77" s="55">
        <f t="shared" si="7"/>
        <v>17.300000000046566</v>
      </c>
      <c r="M77" s="55">
        <f t="shared" si="7"/>
        <v>17.799999999988358</v>
      </c>
      <c r="N77" s="55">
        <f t="shared" si="7"/>
        <v>0</v>
      </c>
      <c r="O77" s="55">
        <f t="shared" si="6"/>
        <v>30.5</v>
      </c>
      <c r="P77" s="55">
        <f t="shared" si="6"/>
        <v>23</v>
      </c>
      <c r="Q77" s="55">
        <f t="shared" si="6"/>
        <v>50.299999999988358</v>
      </c>
      <c r="R77" s="55">
        <f t="shared" si="6"/>
        <v>31.600000000034925</v>
      </c>
      <c r="S77" s="55">
        <f t="shared" si="6"/>
        <v>0</v>
      </c>
      <c r="T77" s="55">
        <f t="shared" si="6"/>
        <v>42</v>
      </c>
      <c r="U77" s="56">
        <f t="shared" si="5"/>
        <v>67.600000000034925</v>
      </c>
      <c r="V77" s="56">
        <f t="shared" si="5"/>
        <v>49.400000000023283</v>
      </c>
      <c r="W77" s="56">
        <f t="shared" si="5"/>
        <v>0</v>
      </c>
      <c r="X77" s="56">
        <f>O77+P77+T77</f>
        <v>95.5</v>
      </c>
    </row>
    <row r="78" spans="1:24" ht="20" customHeight="1" x14ac:dyDescent="0.35">
      <c r="A78" s="38" t="s">
        <v>237</v>
      </c>
      <c r="B78" s="39">
        <v>404471.9</v>
      </c>
      <c r="C78" s="40">
        <v>219159.9</v>
      </c>
      <c r="D78" s="40">
        <v>42993.2</v>
      </c>
      <c r="E78" s="40">
        <v>364123.7</v>
      </c>
      <c r="F78" s="40">
        <v>244616.4</v>
      </c>
      <c r="G78" s="40">
        <v>518393.7</v>
      </c>
      <c r="H78" s="40">
        <v>306943.2</v>
      </c>
      <c r="I78" s="40">
        <v>703137.2</v>
      </c>
      <c r="J78" s="43">
        <v>1420592</v>
      </c>
      <c r="L78" s="55">
        <f t="shared" si="7"/>
        <v>17.299999999988358</v>
      </c>
      <c r="M78" s="55">
        <f t="shared" si="7"/>
        <v>21.5</v>
      </c>
      <c r="N78" s="55">
        <f t="shared" si="7"/>
        <v>11.200000000004366</v>
      </c>
      <c r="O78" s="55">
        <f t="shared" si="6"/>
        <v>22.5</v>
      </c>
      <c r="P78" s="55">
        <f t="shared" si="6"/>
        <v>14.600000000005821</v>
      </c>
      <c r="Q78" s="55">
        <f t="shared" si="6"/>
        <v>48</v>
      </c>
      <c r="R78" s="55">
        <f t="shared" si="6"/>
        <v>27</v>
      </c>
      <c r="S78" s="55">
        <f t="shared" si="6"/>
        <v>55.800000000046566</v>
      </c>
      <c r="T78" s="55">
        <f t="shared" si="6"/>
        <v>44</v>
      </c>
      <c r="U78" s="56">
        <f t="shared" si="5"/>
        <v>65.299999999988358</v>
      </c>
      <c r="V78" s="56">
        <f t="shared" si="5"/>
        <v>48.5</v>
      </c>
      <c r="W78" s="56">
        <f t="shared" si="5"/>
        <v>67.000000000050932</v>
      </c>
      <c r="X78" s="56">
        <f>O78+P78+T78</f>
        <v>81.100000000005821</v>
      </c>
    </row>
    <row r="79" spans="1:24" ht="20" customHeight="1" x14ac:dyDescent="0.35">
      <c r="A79" s="38" t="s">
        <v>238</v>
      </c>
      <c r="B79" s="39">
        <v>404489.2</v>
      </c>
      <c r="C79" s="40">
        <v>219181.4</v>
      </c>
      <c r="D79" s="40">
        <v>43004.4</v>
      </c>
      <c r="E79" s="40">
        <v>364146.2</v>
      </c>
      <c r="F79" s="40">
        <v>244631</v>
      </c>
      <c r="G79" s="40">
        <v>518441.7</v>
      </c>
      <c r="H79" s="40">
        <v>306970.2</v>
      </c>
      <c r="I79" s="40">
        <v>703193</v>
      </c>
      <c r="J79" s="43">
        <v>1420636</v>
      </c>
      <c r="L79" s="55">
        <f t="shared" si="7"/>
        <v>20</v>
      </c>
      <c r="M79" s="55">
        <f t="shared" si="7"/>
        <v>21.800000000017462</v>
      </c>
      <c r="N79" s="55">
        <f t="shared" si="7"/>
        <v>12.400000000001455</v>
      </c>
      <c r="O79" s="55">
        <f t="shared" si="6"/>
        <v>20</v>
      </c>
      <c r="P79" s="55">
        <f t="shared" si="6"/>
        <v>14</v>
      </c>
      <c r="Q79" s="55">
        <f t="shared" si="6"/>
        <v>2.3999999999650754</v>
      </c>
      <c r="R79" s="55">
        <f t="shared" si="6"/>
        <v>27.200000000011642</v>
      </c>
      <c r="S79" s="55">
        <f t="shared" si="6"/>
        <v>58.099999999976717</v>
      </c>
      <c r="T79" s="55">
        <f t="shared" si="6"/>
        <v>65</v>
      </c>
      <c r="U79" s="56">
        <f t="shared" si="5"/>
        <v>22.399999999965075</v>
      </c>
      <c r="V79" s="56">
        <f t="shared" si="5"/>
        <v>49.000000000029104</v>
      </c>
      <c r="W79" s="56">
        <f t="shared" si="5"/>
        <v>70.499999999978172</v>
      </c>
      <c r="X79" s="56">
        <f>O79+P79+T79</f>
        <v>99</v>
      </c>
    </row>
    <row r="80" spans="1:24" ht="20" customHeight="1" x14ac:dyDescent="0.35">
      <c r="A80" s="38" t="s">
        <v>239</v>
      </c>
      <c r="B80" s="39">
        <v>404509.2</v>
      </c>
      <c r="C80" s="40">
        <v>219203.20000000001</v>
      </c>
      <c r="D80" s="40">
        <v>43016.800000000003</v>
      </c>
      <c r="E80" s="40">
        <v>364166.2</v>
      </c>
      <c r="F80" s="40">
        <v>244645</v>
      </c>
      <c r="G80" s="40">
        <v>518444.1</v>
      </c>
      <c r="H80" s="40">
        <v>306997.40000000002</v>
      </c>
      <c r="I80" s="40">
        <v>703251.1</v>
      </c>
      <c r="J80" s="43">
        <v>1420701</v>
      </c>
      <c r="L80" s="55">
        <f t="shared" si="7"/>
        <v>0</v>
      </c>
      <c r="M80" s="55">
        <f t="shared" si="7"/>
        <v>3</v>
      </c>
      <c r="N80" s="55">
        <f t="shared" si="7"/>
        <v>12.69999999999709</v>
      </c>
      <c r="O80" s="55">
        <f t="shared" si="6"/>
        <v>20.399999999965075</v>
      </c>
      <c r="P80" s="55">
        <f t="shared" si="6"/>
        <v>13.600000000005821</v>
      </c>
      <c r="Q80" s="55">
        <f t="shared" si="6"/>
        <v>0</v>
      </c>
      <c r="R80" s="55">
        <f t="shared" si="6"/>
        <v>0.5</v>
      </c>
      <c r="S80" s="55">
        <f t="shared" si="6"/>
        <v>80.5</v>
      </c>
      <c r="T80" s="55">
        <f t="shared" si="6"/>
        <v>64</v>
      </c>
      <c r="U80" s="56">
        <f t="shared" si="5"/>
        <v>0</v>
      </c>
      <c r="V80" s="56">
        <f t="shared" si="5"/>
        <v>3.5</v>
      </c>
      <c r="W80" s="56">
        <f t="shared" si="5"/>
        <v>93.19999999999709</v>
      </c>
      <c r="X80" s="56">
        <f>O80+P80+T80</f>
        <v>97.999999999970896</v>
      </c>
    </row>
    <row r="81" spans="1:24" ht="16.75" customHeight="1" x14ac:dyDescent="0.35">
      <c r="A81" s="38" t="s">
        <v>240</v>
      </c>
      <c r="B81" s="39">
        <v>404509.2</v>
      </c>
      <c r="C81" s="40">
        <v>219206.2</v>
      </c>
      <c r="D81" s="40">
        <v>43029.5</v>
      </c>
      <c r="E81" s="40">
        <v>364186.6</v>
      </c>
      <c r="F81" s="40">
        <v>244658.6</v>
      </c>
      <c r="G81" s="40">
        <v>518444.1</v>
      </c>
      <c r="H81" s="40">
        <v>306997.90000000002</v>
      </c>
      <c r="I81" s="40">
        <v>703331.6</v>
      </c>
      <c r="J81" s="43">
        <v>1420765</v>
      </c>
      <c r="L81" s="55">
        <f t="shared" si="7"/>
        <v>0</v>
      </c>
      <c r="M81" s="55">
        <f t="shared" si="7"/>
        <v>0</v>
      </c>
      <c r="N81" s="55">
        <f t="shared" si="7"/>
        <v>12.599999999998545</v>
      </c>
      <c r="O81" s="55">
        <f t="shared" si="6"/>
        <v>17.600000000034925</v>
      </c>
      <c r="P81" s="55">
        <f t="shared" si="6"/>
        <v>13</v>
      </c>
      <c r="Q81" s="55">
        <f t="shared" si="6"/>
        <v>0</v>
      </c>
      <c r="R81" s="55">
        <f t="shared" si="6"/>
        <v>0.59999999997671694</v>
      </c>
      <c r="S81" s="55">
        <f t="shared" si="6"/>
        <v>64.200000000069849</v>
      </c>
      <c r="T81" s="55">
        <f t="shared" si="6"/>
        <v>62</v>
      </c>
      <c r="U81" s="56">
        <f t="shared" si="5"/>
        <v>0</v>
      </c>
      <c r="V81" s="56">
        <f t="shared" si="5"/>
        <v>0.59999999997671694</v>
      </c>
      <c r="W81" s="56">
        <f t="shared" si="5"/>
        <v>76.800000000068394</v>
      </c>
      <c r="X81" s="56">
        <f>O81+P81+T81</f>
        <v>92.600000000034925</v>
      </c>
    </row>
    <row r="82" spans="1:24" ht="20" customHeight="1" x14ac:dyDescent="0.35">
      <c r="A82" s="38" t="s">
        <v>241</v>
      </c>
      <c r="B82" s="39">
        <v>404509.2</v>
      </c>
      <c r="C82" s="40">
        <v>219206.2</v>
      </c>
      <c r="D82" s="40">
        <v>43042.1</v>
      </c>
      <c r="E82" s="40">
        <v>364204.2</v>
      </c>
      <c r="F82" s="40">
        <v>244671.6</v>
      </c>
      <c r="G82" s="40">
        <v>518444.1</v>
      </c>
      <c r="H82" s="40">
        <v>306998.5</v>
      </c>
      <c r="I82" s="40">
        <v>703395.8</v>
      </c>
      <c r="J82" s="43">
        <v>1420827</v>
      </c>
      <c r="L82" s="55">
        <f t="shared" si="7"/>
        <v>0</v>
      </c>
      <c r="M82" s="55">
        <f t="shared" si="7"/>
        <v>0</v>
      </c>
      <c r="N82" s="55">
        <f t="shared" si="7"/>
        <v>11.400000000001455</v>
      </c>
      <c r="O82" s="55">
        <f t="shared" si="6"/>
        <v>11</v>
      </c>
      <c r="P82" s="55">
        <f t="shared" si="6"/>
        <v>5.3999999999941792</v>
      </c>
      <c r="Q82" s="55">
        <f t="shared" si="6"/>
        <v>0</v>
      </c>
      <c r="R82" s="55">
        <f t="shared" si="6"/>
        <v>0.59999999997671694</v>
      </c>
      <c r="S82" s="55">
        <f t="shared" si="6"/>
        <v>14.299999999930151</v>
      </c>
      <c r="T82" s="55">
        <f t="shared" si="6"/>
        <v>57</v>
      </c>
      <c r="U82" s="56">
        <f t="shared" si="5"/>
        <v>0</v>
      </c>
      <c r="V82" s="56">
        <f t="shared" si="5"/>
        <v>0.59999999997671694</v>
      </c>
      <c r="W82" s="56">
        <f t="shared" si="5"/>
        <v>25.699999999931606</v>
      </c>
      <c r="X82" s="56">
        <f>O82+P82+T82</f>
        <v>73.399999999994179</v>
      </c>
    </row>
    <row r="83" spans="1:24" ht="20" customHeight="1" x14ac:dyDescent="0.35">
      <c r="A83" s="38" t="s">
        <v>242</v>
      </c>
      <c r="B83" s="39">
        <v>404509.2</v>
      </c>
      <c r="C83" s="40">
        <v>219206.2</v>
      </c>
      <c r="D83" s="40">
        <v>43053.5</v>
      </c>
      <c r="E83" s="40">
        <v>364215.2</v>
      </c>
      <c r="F83" s="40">
        <v>244677</v>
      </c>
      <c r="G83" s="40">
        <v>518444.1</v>
      </c>
      <c r="H83" s="40">
        <v>306999.09999999998</v>
      </c>
      <c r="I83" s="40">
        <v>703410.1</v>
      </c>
      <c r="J83" s="43">
        <v>1420884</v>
      </c>
      <c r="L83" s="55">
        <f t="shared" si="7"/>
        <v>0</v>
      </c>
      <c r="M83" s="55">
        <f t="shared" si="7"/>
        <v>0</v>
      </c>
      <c r="N83" s="55">
        <f t="shared" si="7"/>
        <v>11.599999999998545</v>
      </c>
      <c r="O83" s="55">
        <f t="shared" si="6"/>
        <v>11</v>
      </c>
      <c r="P83" s="55">
        <f t="shared" si="6"/>
        <v>5.3999999999941792</v>
      </c>
      <c r="Q83" s="55">
        <f t="shared" si="6"/>
        <v>0</v>
      </c>
      <c r="R83" s="55">
        <f t="shared" si="6"/>
        <v>0.70000000001164153</v>
      </c>
      <c r="S83" s="55">
        <f t="shared" si="6"/>
        <v>23.400000000023283</v>
      </c>
      <c r="T83" s="55">
        <f t="shared" si="6"/>
        <v>57</v>
      </c>
      <c r="U83" s="56">
        <f t="shared" si="5"/>
        <v>0</v>
      </c>
      <c r="V83" s="56">
        <f t="shared" si="5"/>
        <v>0.70000000001164153</v>
      </c>
      <c r="W83" s="56">
        <f t="shared" si="5"/>
        <v>35.000000000021828</v>
      </c>
      <c r="X83" s="56">
        <f>O83+P83+T83</f>
        <v>73.399999999994179</v>
      </c>
    </row>
    <row r="84" spans="1:24" ht="20" customHeight="1" x14ac:dyDescent="0.35">
      <c r="A84" s="38" t="s">
        <v>243</v>
      </c>
      <c r="B84" s="39">
        <v>404509.2</v>
      </c>
      <c r="C84" s="40">
        <v>219206.2</v>
      </c>
      <c r="D84" s="40">
        <v>43065.1</v>
      </c>
      <c r="E84" s="40">
        <v>364226.2</v>
      </c>
      <c r="F84" s="40">
        <v>244682.4</v>
      </c>
      <c r="G84" s="40">
        <v>518444.1</v>
      </c>
      <c r="H84" s="40">
        <v>306999.8</v>
      </c>
      <c r="I84" s="40">
        <v>703433.5</v>
      </c>
      <c r="J84" s="43">
        <v>1420941</v>
      </c>
      <c r="L84" s="55">
        <f t="shared" si="7"/>
        <v>0</v>
      </c>
      <c r="M84" s="55">
        <f t="shared" si="7"/>
        <v>0</v>
      </c>
      <c r="N84" s="55">
        <f t="shared" si="7"/>
        <v>12.400000000001455</v>
      </c>
      <c r="O84" s="55">
        <f t="shared" si="6"/>
        <v>11.099999999976717</v>
      </c>
      <c r="P84" s="55">
        <f t="shared" si="6"/>
        <v>6.3999999999941792</v>
      </c>
      <c r="Q84" s="55">
        <f t="shared" si="6"/>
        <v>0</v>
      </c>
      <c r="R84" s="55">
        <f t="shared" si="6"/>
        <v>0.70000000001164153</v>
      </c>
      <c r="S84" s="55">
        <f t="shared" si="6"/>
        <v>51.300000000046566</v>
      </c>
      <c r="T84" s="55">
        <f t="shared" si="6"/>
        <v>37</v>
      </c>
      <c r="U84" s="56">
        <f t="shared" si="5"/>
        <v>0</v>
      </c>
      <c r="V84" s="56">
        <f t="shared" si="5"/>
        <v>0.70000000001164153</v>
      </c>
      <c r="W84" s="56">
        <f t="shared" si="5"/>
        <v>63.700000000048021</v>
      </c>
      <c r="X84" s="56">
        <f>O84+P84+T84</f>
        <v>54.499999999970896</v>
      </c>
    </row>
    <row r="85" spans="1:24" ht="20" customHeight="1" x14ac:dyDescent="0.35">
      <c r="A85" s="38" t="s">
        <v>244</v>
      </c>
      <c r="B85" s="39">
        <v>404509.2</v>
      </c>
      <c r="C85" s="40">
        <v>219206.2</v>
      </c>
      <c r="D85" s="40">
        <v>43077.5</v>
      </c>
      <c r="E85" s="40">
        <v>364237.3</v>
      </c>
      <c r="F85" s="40">
        <v>244688.8</v>
      </c>
      <c r="G85" s="40">
        <v>518444.1</v>
      </c>
      <c r="H85" s="40">
        <v>307000.5</v>
      </c>
      <c r="I85" s="40">
        <v>703484.8</v>
      </c>
      <c r="J85" s="43">
        <v>1420978</v>
      </c>
      <c r="L85" s="55">
        <f t="shared" si="7"/>
        <v>0</v>
      </c>
      <c r="M85" s="55">
        <f t="shared" si="7"/>
        <v>0</v>
      </c>
      <c r="N85" s="55">
        <f t="shared" si="7"/>
        <v>12.099999999998545</v>
      </c>
      <c r="O85" s="55">
        <f t="shared" si="6"/>
        <v>14</v>
      </c>
      <c r="P85" s="55">
        <f t="shared" si="6"/>
        <v>14</v>
      </c>
      <c r="Q85" s="55">
        <f t="shared" si="6"/>
        <v>2.1000000000349246</v>
      </c>
      <c r="R85" s="55">
        <f t="shared" si="6"/>
        <v>0.70000000001164153</v>
      </c>
      <c r="S85" s="55">
        <f t="shared" si="6"/>
        <v>33.299999999930151</v>
      </c>
      <c r="T85" s="55">
        <f t="shared" si="6"/>
        <v>36</v>
      </c>
      <c r="U85" s="56">
        <f t="shared" si="5"/>
        <v>2.1000000000349246</v>
      </c>
      <c r="V85" s="56">
        <f t="shared" si="5"/>
        <v>0.70000000001164153</v>
      </c>
      <c r="W85" s="56">
        <f t="shared" si="5"/>
        <v>45.399999999928696</v>
      </c>
      <c r="X85" s="56">
        <f>O85+P85+T85</f>
        <v>64</v>
      </c>
    </row>
    <row r="86" spans="1:24" ht="20" customHeight="1" x14ac:dyDescent="0.35">
      <c r="A86" s="38" t="s">
        <v>245</v>
      </c>
      <c r="B86" s="39">
        <v>404509.2</v>
      </c>
      <c r="C86" s="40">
        <v>219206.2</v>
      </c>
      <c r="D86" s="40">
        <v>43089.599999999999</v>
      </c>
      <c r="E86" s="40">
        <v>364251.3</v>
      </c>
      <c r="F86" s="40">
        <v>244702.8</v>
      </c>
      <c r="G86" s="40">
        <v>518446.2</v>
      </c>
      <c r="H86" s="40">
        <v>307001.2</v>
      </c>
      <c r="I86" s="40">
        <v>703518.1</v>
      </c>
      <c r="J86" s="43">
        <v>1421014</v>
      </c>
      <c r="L86" s="55">
        <f t="shared" si="7"/>
        <v>0</v>
      </c>
      <c r="M86" s="55">
        <f t="shared" si="7"/>
        <v>0</v>
      </c>
      <c r="N86" s="55">
        <f t="shared" si="7"/>
        <v>11.80000000000291</v>
      </c>
      <c r="O86" s="55">
        <f t="shared" si="6"/>
        <v>12.200000000011642</v>
      </c>
      <c r="P86" s="55">
        <f t="shared" si="6"/>
        <v>13.800000000017462</v>
      </c>
      <c r="Q86" s="55">
        <f t="shared" si="6"/>
        <v>0</v>
      </c>
      <c r="R86" s="55">
        <f t="shared" si="6"/>
        <v>0.70000000001164153</v>
      </c>
      <c r="S86" s="55">
        <f t="shared" si="6"/>
        <v>27.900000000023283</v>
      </c>
      <c r="T86" s="55">
        <f t="shared" si="6"/>
        <v>56</v>
      </c>
      <c r="U86" s="56">
        <f t="shared" si="5"/>
        <v>0</v>
      </c>
      <c r="V86" s="56">
        <f t="shared" si="5"/>
        <v>0.70000000001164153</v>
      </c>
      <c r="W86" s="56">
        <f t="shared" si="5"/>
        <v>39.700000000026193</v>
      </c>
      <c r="X86" s="56">
        <f>O86+P86+T86</f>
        <v>82.000000000029104</v>
      </c>
    </row>
    <row r="87" spans="1:24" ht="20" customHeight="1" x14ac:dyDescent="0.35">
      <c r="A87" s="38" t="s">
        <v>246</v>
      </c>
      <c r="B87" s="39">
        <v>404509.2</v>
      </c>
      <c r="C87" s="40">
        <v>219206.2</v>
      </c>
      <c r="D87" s="40">
        <v>43101.4</v>
      </c>
      <c r="E87" s="40">
        <v>364263.5</v>
      </c>
      <c r="F87" s="40">
        <v>244716.6</v>
      </c>
      <c r="G87" s="40">
        <v>518446.2</v>
      </c>
      <c r="H87" s="40">
        <v>307001.90000000002</v>
      </c>
      <c r="I87" s="40">
        <v>703546</v>
      </c>
      <c r="J87" s="43">
        <v>1421070</v>
      </c>
      <c r="L87" s="55">
        <f t="shared" si="7"/>
        <v>0</v>
      </c>
      <c r="M87" s="55">
        <f t="shared" si="7"/>
        <v>0</v>
      </c>
      <c r="N87" s="55">
        <f t="shared" si="7"/>
        <v>12</v>
      </c>
      <c r="O87" s="55">
        <f t="shared" si="6"/>
        <v>11</v>
      </c>
      <c r="P87" s="55">
        <f t="shared" si="6"/>
        <v>13.100000000005821</v>
      </c>
      <c r="Q87" s="55">
        <f t="shared" si="6"/>
        <v>0</v>
      </c>
      <c r="R87" s="55">
        <f t="shared" si="6"/>
        <v>0.79999999998835847</v>
      </c>
      <c r="S87" s="55">
        <f t="shared" si="6"/>
        <v>37.400000000023283</v>
      </c>
      <c r="T87" s="55">
        <f t="shared" si="6"/>
        <v>66</v>
      </c>
      <c r="U87" s="56">
        <f t="shared" si="5"/>
        <v>0</v>
      </c>
      <c r="V87" s="56">
        <f t="shared" si="5"/>
        <v>0.79999999998835847</v>
      </c>
      <c r="W87" s="56">
        <f t="shared" si="5"/>
        <v>49.400000000023283</v>
      </c>
      <c r="X87" s="56">
        <f>O87+P87+T87</f>
        <v>90.100000000005821</v>
      </c>
    </row>
    <row r="88" spans="1:24" ht="20" customHeight="1" x14ac:dyDescent="0.35">
      <c r="A88" s="38" t="s">
        <v>247</v>
      </c>
      <c r="B88" s="39">
        <v>404509.2</v>
      </c>
      <c r="C88" s="40">
        <v>219206.2</v>
      </c>
      <c r="D88" s="40">
        <v>43113.4</v>
      </c>
      <c r="E88" s="40">
        <v>364274.5</v>
      </c>
      <c r="F88" s="40">
        <v>244729.7</v>
      </c>
      <c r="G88" s="40">
        <v>518446.2</v>
      </c>
      <c r="H88" s="40">
        <v>307002.7</v>
      </c>
      <c r="I88" s="40">
        <v>703583.4</v>
      </c>
      <c r="J88" s="43">
        <v>1421136</v>
      </c>
      <c r="L88" s="55">
        <f t="shared" si="7"/>
        <v>0</v>
      </c>
      <c r="M88" s="55">
        <f t="shared" si="7"/>
        <v>0</v>
      </c>
      <c r="N88" s="55">
        <f t="shared" si="7"/>
        <v>11.69999999999709</v>
      </c>
      <c r="O88" s="55">
        <f t="shared" si="6"/>
        <v>11.099999999976717</v>
      </c>
      <c r="P88" s="55">
        <f t="shared" si="6"/>
        <v>5.3999999999941792</v>
      </c>
      <c r="Q88" s="55">
        <f t="shared" si="6"/>
        <v>0</v>
      </c>
      <c r="R88" s="55">
        <f t="shared" si="6"/>
        <v>0.70000000001164153</v>
      </c>
      <c r="S88" s="55">
        <f t="shared" si="6"/>
        <v>21.299999999930151</v>
      </c>
      <c r="T88" s="55">
        <f t="shared" si="6"/>
        <v>65</v>
      </c>
      <c r="U88" s="56">
        <f t="shared" si="5"/>
        <v>0</v>
      </c>
      <c r="V88" s="56">
        <f t="shared" si="5"/>
        <v>0.70000000001164153</v>
      </c>
      <c r="W88" s="56">
        <f t="shared" si="5"/>
        <v>32.99999999992724</v>
      </c>
      <c r="X88" s="56">
        <f>O88+P88+T88</f>
        <v>81.499999999970896</v>
      </c>
    </row>
    <row r="89" spans="1:24" ht="20" customHeight="1" x14ac:dyDescent="0.35">
      <c r="A89" s="38" t="s">
        <v>248</v>
      </c>
      <c r="B89" s="39">
        <v>404509.2</v>
      </c>
      <c r="C89" s="40">
        <v>219206.2</v>
      </c>
      <c r="D89" s="40">
        <v>43125.1</v>
      </c>
      <c r="E89" s="40">
        <v>364285.6</v>
      </c>
      <c r="F89" s="40">
        <v>244735.1</v>
      </c>
      <c r="G89" s="40">
        <v>518446.2</v>
      </c>
      <c r="H89" s="40">
        <v>307003.40000000002</v>
      </c>
      <c r="I89" s="40">
        <v>703604.7</v>
      </c>
      <c r="J89" s="43">
        <v>1421201</v>
      </c>
      <c r="L89" s="55">
        <f t="shared" si="7"/>
        <v>0</v>
      </c>
      <c r="M89" s="55">
        <f t="shared" si="7"/>
        <v>0</v>
      </c>
      <c r="N89" s="55">
        <f t="shared" si="7"/>
        <v>11.80000000000291</v>
      </c>
      <c r="O89" s="55">
        <f t="shared" si="6"/>
        <v>11.200000000011642</v>
      </c>
      <c r="P89" s="55">
        <f t="shared" si="6"/>
        <v>5.5</v>
      </c>
      <c r="Q89" s="55">
        <f t="shared" si="6"/>
        <v>0</v>
      </c>
      <c r="R89" s="55">
        <f t="shared" si="6"/>
        <v>0.69999999995343387</v>
      </c>
      <c r="S89" s="55">
        <f t="shared" si="6"/>
        <v>20.900000000023283</v>
      </c>
      <c r="T89" s="55">
        <f t="shared" si="6"/>
        <v>65</v>
      </c>
      <c r="U89" s="56">
        <f t="shared" si="5"/>
        <v>0</v>
      </c>
      <c r="V89" s="56">
        <f t="shared" si="5"/>
        <v>0.69999999995343387</v>
      </c>
      <c r="W89" s="56">
        <f t="shared" si="5"/>
        <v>32.700000000026193</v>
      </c>
      <c r="X89" s="56">
        <f>O89+P89+T89</f>
        <v>81.700000000011642</v>
      </c>
    </row>
    <row r="90" spans="1:24" ht="20" customHeight="1" x14ac:dyDescent="0.35">
      <c r="A90" s="38" t="s">
        <v>249</v>
      </c>
      <c r="B90" s="39">
        <v>404509.2</v>
      </c>
      <c r="C90" s="40">
        <v>219206.2</v>
      </c>
      <c r="D90" s="40">
        <v>43136.9</v>
      </c>
      <c r="E90" s="40">
        <v>364296.8</v>
      </c>
      <c r="F90" s="40">
        <v>244740.6</v>
      </c>
      <c r="G90" s="40">
        <v>518446.2</v>
      </c>
      <c r="H90" s="40">
        <v>307004.09999999998</v>
      </c>
      <c r="I90" s="40">
        <v>703625.6</v>
      </c>
      <c r="J90" s="43">
        <v>1421266</v>
      </c>
      <c r="L90" s="55">
        <f t="shared" si="7"/>
        <v>0</v>
      </c>
      <c r="M90" s="55">
        <f t="shared" si="7"/>
        <v>0</v>
      </c>
      <c r="N90" s="55">
        <f t="shared" si="7"/>
        <v>11.69999999999709</v>
      </c>
      <c r="O90" s="55">
        <f t="shared" si="6"/>
        <v>11.200000000011642</v>
      </c>
      <c r="P90" s="55">
        <f t="shared" si="6"/>
        <v>5.3999999999941792</v>
      </c>
      <c r="Q90" s="55">
        <f t="shared" si="6"/>
        <v>0</v>
      </c>
      <c r="R90" s="55">
        <f t="shared" si="6"/>
        <v>0.70000000001164153</v>
      </c>
      <c r="S90" s="55">
        <f t="shared" si="6"/>
        <v>24.099999999976717</v>
      </c>
      <c r="T90" s="55">
        <f t="shared" si="6"/>
        <v>65</v>
      </c>
      <c r="U90" s="56">
        <f t="shared" si="5"/>
        <v>0</v>
      </c>
      <c r="V90" s="56">
        <f t="shared" si="5"/>
        <v>0.70000000001164153</v>
      </c>
      <c r="W90" s="56">
        <f t="shared" si="5"/>
        <v>35.799999999973807</v>
      </c>
      <c r="X90" s="56">
        <f>O90+P90+T90</f>
        <v>81.600000000005821</v>
      </c>
    </row>
    <row r="91" spans="1:24" ht="20" customHeight="1" x14ac:dyDescent="0.35">
      <c r="A91" s="38" t="s">
        <v>250</v>
      </c>
      <c r="B91" s="39">
        <v>404509.2</v>
      </c>
      <c r="C91" s="40">
        <v>219206.2</v>
      </c>
      <c r="D91" s="40">
        <v>43148.6</v>
      </c>
      <c r="E91" s="40">
        <v>364308</v>
      </c>
      <c r="F91" s="40">
        <v>244746</v>
      </c>
      <c r="G91" s="40">
        <v>518446.2</v>
      </c>
      <c r="H91" s="40">
        <v>307004.79999999999</v>
      </c>
      <c r="I91" s="40">
        <v>703649.7</v>
      </c>
      <c r="J91" s="43">
        <v>1421331</v>
      </c>
      <c r="L91" s="55">
        <f t="shared" si="7"/>
        <v>0</v>
      </c>
      <c r="M91" s="55">
        <f t="shared" si="7"/>
        <v>0</v>
      </c>
      <c r="N91" s="55">
        <f t="shared" si="7"/>
        <v>12</v>
      </c>
      <c r="O91" s="55">
        <f t="shared" si="6"/>
        <v>10.900000000023283</v>
      </c>
      <c r="P91" s="55">
        <f t="shared" si="6"/>
        <v>6.5</v>
      </c>
      <c r="Q91" s="55">
        <f t="shared" si="6"/>
        <v>0</v>
      </c>
      <c r="R91" s="55">
        <f t="shared" si="6"/>
        <v>0.70000000001164153</v>
      </c>
      <c r="S91" s="55">
        <f t="shared" si="6"/>
        <v>31.800000000046566</v>
      </c>
      <c r="T91" s="55">
        <f t="shared" si="6"/>
        <v>65</v>
      </c>
      <c r="U91" s="56">
        <f t="shared" si="5"/>
        <v>0</v>
      </c>
      <c r="V91" s="56">
        <f t="shared" si="5"/>
        <v>0.70000000001164153</v>
      </c>
      <c r="W91" s="56">
        <f t="shared" si="5"/>
        <v>43.800000000046566</v>
      </c>
      <c r="X91" s="56">
        <f>O91+P91+T91</f>
        <v>82.400000000023283</v>
      </c>
    </row>
    <row r="92" spans="1:24" ht="20" customHeight="1" x14ac:dyDescent="0.35">
      <c r="A92" s="38" t="s">
        <v>251</v>
      </c>
      <c r="B92" s="39">
        <v>404509.2</v>
      </c>
      <c r="C92" s="40">
        <v>219206.2</v>
      </c>
      <c r="D92" s="40">
        <v>43160.6</v>
      </c>
      <c r="E92" s="40">
        <v>364318.9</v>
      </c>
      <c r="F92" s="40">
        <v>244752.5</v>
      </c>
      <c r="G92" s="40">
        <v>518446.2</v>
      </c>
      <c r="H92" s="40">
        <v>307005.5</v>
      </c>
      <c r="I92" s="40">
        <v>703681.5</v>
      </c>
      <c r="J92" s="43">
        <v>1421396</v>
      </c>
      <c r="L92" s="55">
        <f t="shared" si="7"/>
        <v>0</v>
      </c>
      <c r="M92" s="55">
        <f t="shared" si="7"/>
        <v>0</v>
      </c>
      <c r="N92" s="55">
        <f t="shared" si="7"/>
        <v>8.7000000000043656</v>
      </c>
      <c r="O92" s="55">
        <f t="shared" si="6"/>
        <v>10.5</v>
      </c>
      <c r="P92" s="55">
        <f t="shared" si="6"/>
        <v>13.600000000005821</v>
      </c>
      <c r="Q92" s="55">
        <f t="shared" si="6"/>
        <v>0</v>
      </c>
      <c r="R92" s="55">
        <f t="shared" si="6"/>
        <v>0.79999999998835847</v>
      </c>
      <c r="S92" s="55">
        <f t="shared" si="6"/>
        <v>5.8000000000465661</v>
      </c>
      <c r="T92" s="55">
        <f t="shared" si="6"/>
        <v>62</v>
      </c>
      <c r="U92" s="56">
        <f t="shared" si="5"/>
        <v>0</v>
      </c>
      <c r="V92" s="56">
        <f t="shared" si="5"/>
        <v>0.79999999998835847</v>
      </c>
      <c r="W92" s="56">
        <f t="shared" si="5"/>
        <v>14.500000000050932</v>
      </c>
      <c r="X92" s="56">
        <f>O92+P92+T92</f>
        <v>86.100000000005821</v>
      </c>
    </row>
    <row r="93" spans="1:24" ht="20" customHeight="1" x14ac:dyDescent="0.35">
      <c r="A93" s="38" t="s">
        <v>252</v>
      </c>
      <c r="B93" s="39">
        <v>404509.2</v>
      </c>
      <c r="C93" s="40">
        <v>219206.2</v>
      </c>
      <c r="D93" s="40">
        <v>43169.3</v>
      </c>
      <c r="E93" s="40">
        <v>364329.4</v>
      </c>
      <c r="F93" s="40">
        <v>244766.1</v>
      </c>
      <c r="G93" s="40">
        <v>518446.2</v>
      </c>
      <c r="H93" s="40">
        <v>307006.3</v>
      </c>
      <c r="I93" s="40">
        <v>703687.3</v>
      </c>
      <c r="J93" s="43">
        <v>1421458</v>
      </c>
      <c r="L93" s="55">
        <f t="shared" si="7"/>
        <v>0</v>
      </c>
      <c r="M93" s="55">
        <f t="shared" si="7"/>
        <v>0</v>
      </c>
      <c r="N93" s="55">
        <f t="shared" si="7"/>
        <v>3.8999999999941792</v>
      </c>
      <c r="O93" s="55">
        <f t="shared" si="6"/>
        <v>11.299999999988358</v>
      </c>
      <c r="P93" s="55">
        <f t="shared" si="6"/>
        <v>13.199999999982538</v>
      </c>
      <c r="Q93" s="55">
        <f t="shared" si="6"/>
        <v>0</v>
      </c>
      <c r="R93" s="55">
        <f t="shared" si="6"/>
        <v>0.70000000001164153</v>
      </c>
      <c r="S93" s="55">
        <f t="shared" si="6"/>
        <v>1.8999999999068677</v>
      </c>
      <c r="T93" s="55">
        <f t="shared" si="6"/>
        <v>63</v>
      </c>
      <c r="U93" s="56">
        <f t="shared" si="5"/>
        <v>0</v>
      </c>
      <c r="V93" s="56">
        <f t="shared" si="5"/>
        <v>0.70000000001164153</v>
      </c>
      <c r="W93" s="56">
        <f t="shared" si="5"/>
        <v>5.799999999901047</v>
      </c>
      <c r="X93" s="56">
        <f>O93+P93+T93</f>
        <v>87.499999999970896</v>
      </c>
    </row>
    <row r="94" spans="1:24" ht="20" customHeight="1" x14ac:dyDescent="0.35">
      <c r="A94" s="38" t="s">
        <v>253</v>
      </c>
      <c r="B94" s="39">
        <v>404509.2</v>
      </c>
      <c r="C94" s="40">
        <v>219206.2</v>
      </c>
      <c r="D94" s="40">
        <v>43173.2</v>
      </c>
      <c r="E94" s="40">
        <v>364340.7</v>
      </c>
      <c r="F94" s="40">
        <v>244779.3</v>
      </c>
      <c r="G94" s="40">
        <v>518446.2</v>
      </c>
      <c r="H94" s="40">
        <v>307007</v>
      </c>
      <c r="I94" s="40">
        <v>703689.2</v>
      </c>
      <c r="J94" s="43">
        <v>1421521</v>
      </c>
      <c r="L94" s="55">
        <f t="shared" si="7"/>
        <v>0</v>
      </c>
      <c r="M94" s="55">
        <f t="shared" si="7"/>
        <v>0</v>
      </c>
      <c r="N94" s="55">
        <f t="shared" si="7"/>
        <v>3.9000000000014552</v>
      </c>
      <c r="O94" s="55">
        <f t="shared" si="6"/>
        <v>11.399999999965075</v>
      </c>
      <c r="P94" s="55">
        <f t="shared" si="6"/>
        <v>5.4000000000232831</v>
      </c>
      <c r="Q94" s="55">
        <f t="shared" si="6"/>
        <v>0</v>
      </c>
      <c r="R94" s="55">
        <f t="shared" si="6"/>
        <v>0.70000000001164153</v>
      </c>
      <c r="S94" s="55">
        <f t="shared" si="6"/>
        <v>0</v>
      </c>
      <c r="T94" s="55">
        <f t="shared" si="6"/>
        <v>64</v>
      </c>
      <c r="U94" s="56">
        <f t="shared" si="5"/>
        <v>0</v>
      </c>
      <c r="V94" s="56">
        <f t="shared" si="5"/>
        <v>0.70000000001164153</v>
      </c>
      <c r="W94" s="56">
        <f t="shared" si="5"/>
        <v>3.9000000000014552</v>
      </c>
      <c r="X94" s="56">
        <f>O94+P94+T94</f>
        <v>80.799999999988358</v>
      </c>
    </row>
    <row r="95" spans="1:24" ht="20" customHeight="1" x14ac:dyDescent="0.35">
      <c r="A95" s="38" t="s">
        <v>254</v>
      </c>
      <c r="B95" s="39">
        <v>404509.2</v>
      </c>
      <c r="C95" s="40">
        <v>219206.2</v>
      </c>
      <c r="D95" s="40">
        <v>43177.1</v>
      </c>
      <c r="E95" s="40">
        <v>364352.1</v>
      </c>
      <c r="F95" s="40">
        <v>244784.7</v>
      </c>
      <c r="G95" s="40">
        <v>518446.2</v>
      </c>
      <c r="H95" s="40">
        <v>307007.7</v>
      </c>
      <c r="I95" s="40">
        <v>703689.2</v>
      </c>
      <c r="J95" s="43">
        <v>1421585</v>
      </c>
      <c r="L95" s="55">
        <f t="shared" si="7"/>
        <v>0</v>
      </c>
      <c r="M95" s="55">
        <f t="shared" si="7"/>
        <v>0</v>
      </c>
      <c r="N95" s="55">
        <f t="shared" si="7"/>
        <v>3.9000000000014552</v>
      </c>
      <c r="O95" s="55">
        <f t="shared" si="6"/>
        <v>11.5</v>
      </c>
      <c r="P95" s="55">
        <f t="shared" si="6"/>
        <v>5.3999999999941792</v>
      </c>
      <c r="Q95" s="55">
        <f t="shared" si="6"/>
        <v>0</v>
      </c>
      <c r="R95" s="55">
        <f t="shared" si="6"/>
        <v>0.70000000001164153</v>
      </c>
      <c r="S95" s="55">
        <f t="shared" si="6"/>
        <v>0</v>
      </c>
      <c r="T95" s="55">
        <f t="shared" si="6"/>
        <v>62</v>
      </c>
      <c r="U95" s="56">
        <f t="shared" si="5"/>
        <v>0</v>
      </c>
      <c r="V95" s="56">
        <f t="shared" si="5"/>
        <v>0.70000000001164153</v>
      </c>
      <c r="W95" s="56">
        <f t="shared" si="5"/>
        <v>3.9000000000014552</v>
      </c>
      <c r="X95" s="56">
        <f>O95+P95+T95</f>
        <v>78.899999999994179</v>
      </c>
    </row>
    <row r="96" spans="1:24" ht="20" customHeight="1" x14ac:dyDescent="0.35">
      <c r="A96" s="38" t="s">
        <v>255</v>
      </c>
      <c r="B96" s="39">
        <v>404509.2</v>
      </c>
      <c r="C96" s="40">
        <v>219206.2</v>
      </c>
      <c r="D96" s="40">
        <v>43181</v>
      </c>
      <c r="E96" s="40">
        <v>364363.6</v>
      </c>
      <c r="F96" s="40">
        <v>244790.1</v>
      </c>
      <c r="G96" s="40">
        <v>518446.2</v>
      </c>
      <c r="H96" s="40">
        <v>307008.40000000002</v>
      </c>
      <c r="I96" s="40">
        <v>703689.2</v>
      </c>
      <c r="J96" s="43">
        <v>1421647</v>
      </c>
      <c r="L96" s="55">
        <f t="shared" si="7"/>
        <v>0</v>
      </c>
      <c r="M96" s="55">
        <f t="shared" si="7"/>
        <v>0</v>
      </c>
      <c r="N96" s="55">
        <f t="shared" si="7"/>
        <v>3.9000000000014552</v>
      </c>
      <c r="O96" s="55">
        <f t="shared" si="6"/>
        <v>11.100000000034925</v>
      </c>
      <c r="P96" s="55">
        <f t="shared" si="6"/>
        <v>6.6999999999825377</v>
      </c>
      <c r="Q96" s="55">
        <f t="shared" si="6"/>
        <v>1.5999999999767169</v>
      </c>
      <c r="R96" s="55">
        <f t="shared" si="6"/>
        <v>0.69999999995343387</v>
      </c>
      <c r="S96" s="55">
        <f t="shared" si="6"/>
        <v>1.5</v>
      </c>
      <c r="T96" s="55">
        <f t="shared" si="6"/>
        <v>63</v>
      </c>
      <c r="U96" s="56">
        <f t="shared" si="5"/>
        <v>1.5999999999767169</v>
      </c>
      <c r="V96" s="56">
        <f t="shared" si="5"/>
        <v>0.69999999995343387</v>
      </c>
      <c r="W96" s="56">
        <f t="shared" si="5"/>
        <v>5.4000000000014552</v>
      </c>
      <c r="X96" s="56">
        <f>O96+P96+T96</f>
        <v>80.800000000017462</v>
      </c>
    </row>
    <row r="97" spans="1:24" ht="20" customHeight="1" x14ac:dyDescent="0.35">
      <c r="A97" s="38" t="s">
        <v>256</v>
      </c>
      <c r="B97" s="39">
        <v>404509.2</v>
      </c>
      <c r="C97" s="40">
        <v>219206.2</v>
      </c>
      <c r="D97" s="40">
        <v>43184.9</v>
      </c>
      <c r="E97" s="40">
        <v>364374.7</v>
      </c>
      <c r="F97" s="40">
        <v>244796.79999999999</v>
      </c>
      <c r="G97" s="40">
        <v>518447.8</v>
      </c>
      <c r="H97" s="40">
        <v>307009.09999999998</v>
      </c>
      <c r="I97" s="40">
        <v>703690.7</v>
      </c>
      <c r="J97" s="43">
        <v>1421710</v>
      </c>
      <c r="L97" s="55">
        <f t="shared" si="7"/>
        <v>0</v>
      </c>
      <c r="M97" s="55">
        <f t="shared" si="7"/>
        <v>0</v>
      </c>
      <c r="N97" s="55">
        <f t="shared" si="7"/>
        <v>1.5</v>
      </c>
      <c r="O97" s="55">
        <f t="shared" si="6"/>
        <v>10.200000000011642</v>
      </c>
      <c r="P97" s="55">
        <f t="shared" si="6"/>
        <v>14.200000000011642</v>
      </c>
      <c r="Q97" s="55">
        <f t="shared" si="6"/>
        <v>0</v>
      </c>
      <c r="R97" s="55">
        <f t="shared" si="6"/>
        <v>0.70000000001164153</v>
      </c>
      <c r="S97" s="55">
        <f t="shared" si="6"/>
        <v>0</v>
      </c>
      <c r="T97" s="55">
        <f t="shared" si="6"/>
        <v>64</v>
      </c>
      <c r="U97" s="56">
        <f t="shared" si="5"/>
        <v>0</v>
      </c>
      <c r="V97" s="56">
        <f t="shared" si="5"/>
        <v>0.70000000001164153</v>
      </c>
      <c r="W97" s="56">
        <f t="shared" si="5"/>
        <v>1.5</v>
      </c>
      <c r="X97" s="56">
        <f>O97+P97+T97</f>
        <v>88.400000000023283</v>
      </c>
    </row>
    <row r="98" spans="1:24" ht="20" customHeight="1" x14ac:dyDescent="0.35">
      <c r="A98" s="38" t="s">
        <v>257</v>
      </c>
      <c r="B98" s="39">
        <v>404509.2</v>
      </c>
      <c r="C98" s="40">
        <v>219206.2</v>
      </c>
      <c r="D98" s="40">
        <v>43186.400000000001</v>
      </c>
      <c r="E98" s="40">
        <v>364384.9</v>
      </c>
      <c r="F98" s="40">
        <v>244811</v>
      </c>
      <c r="G98" s="40">
        <v>518447.8</v>
      </c>
      <c r="H98" s="40">
        <v>307009.8</v>
      </c>
      <c r="I98" s="40">
        <v>703690.7</v>
      </c>
      <c r="J98" s="43">
        <v>1421774</v>
      </c>
      <c r="L98" s="55">
        <f t="shared" si="7"/>
        <v>0</v>
      </c>
      <c r="M98" s="55">
        <f t="shared" si="7"/>
        <v>0</v>
      </c>
      <c r="N98" s="55">
        <f t="shared" si="7"/>
        <v>9.9999999998544808E-2</v>
      </c>
      <c r="O98" s="55">
        <f t="shared" si="6"/>
        <v>10.599999999976717</v>
      </c>
      <c r="P98" s="55">
        <f t="shared" si="6"/>
        <v>13.899999999994179</v>
      </c>
      <c r="Q98" s="55">
        <f t="shared" si="6"/>
        <v>0</v>
      </c>
      <c r="R98" s="55">
        <f t="shared" si="6"/>
        <v>0.79999999998835847</v>
      </c>
      <c r="S98" s="55">
        <f t="shared" si="6"/>
        <v>0</v>
      </c>
      <c r="T98" s="55">
        <f t="shared" si="6"/>
        <v>55</v>
      </c>
      <c r="U98" s="56">
        <f t="shared" si="5"/>
        <v>0</v>
      </c>
      <c r="V98" s="56">
        <f t="shared" si="5"/>
        <v>0.79999999998835847</v>
      </c>
      <c r="W98" s="56">
        <f t="shared" si="5"/>
        <v>9.9999999998544808E-2</v>
      </c>
      <c r="X98" s="56">
        <f>O98+P98+T98</f>
        <v>79.499999999970896</v>
      </c>
    </row>
    <row r="99" spans="1:24" ht="16.75" customHeight="1" x14ac:dyDescent="0.35">
      <c r="A99" s="38" t="s">
        <v>258</v>
      </c>
      <c r="B99" s="39">
        <v>404509.2</v>
      </c>
      <c r="C99" s="40">
        <v>219206.2</v>
      </c>
      <c r="D99" s="40">
        <v>43186.5</v>
      </c>
      <c r="E99" s="40">
        <v>364395.5</v>
      </c>
      <c r="F99" s="40">
        <v>244824.9</v>
      </c>
      <c r="G99" s="40">
        <v>518447.8</v>
      </c>
      <c r="H99" s="40">
        <v>307010.59999999998</v>
      </c>
      <c r="I99" s="40">
        <v>703690.7</v>
      </c>
      <c r="J99" s="43">
        <v>1421829</v>
      </c>
      <c r="L99" s="55">
        <f t="shared" si="7"/>
        <v>0</v>
      </c>
      <c r="M99" s="55">
        <f t="shared" si="7"/>
        <v>0</v>
      </c>
      <c r="N99" s="55">
        <f t="shared" si="7"/>
        <v>9.9999999998544808E-2</v>
      </c>
      <c r="O99" s="55">
        <f t="shared" si="6"/>
        <v>11.400000000023283</v>
      </c>
      <c r="P99" s="55">
        <f t="shared" si="6"/>
        <v>13.200000000011642</v>
      </c>
      <c r="Q99" s="55">
        <f t="shared" si="6"/>
        <v>0</v>
      </c>
      <c r="R99" s="55">
        <f t="shared" si="6"/>
        <v>0.70000000001164153</v>
      </c>
      <c r="S99" s="55">
        <f t="shared" si="6"/>
        <v>0</v>
      </c>
      <c r="T99" s="55">
        <f t="shared" si="6"/>
        <v>62</v>
      </c>
      <c r="U99" s="56">
        <f t="shared" si="5"/>
        <v>0</v>
      </c>
      <c r="V99" s="56">
        <f t="shared" si="5"/>
        <v>0.70000000001164153</v>
      </c>
      <c r="W99" s="56">
        <f t="shared" si="5"/>
        <v>9.9999999998544808E-2</v>
      </c>
      <c r="X99" s="56">
        <f>O99+P99+T99</f>
        <v>86.600000000034925</v>
      </c>
    </row>
    <row r="100" spans="1:24" ht="20" customHeight="1" x14ac:dyDescent="0.35">
      <c r="A100" s="38" t="s">
        <v>259</v>
      </c>
      <c r="B100" s="39">
        <v>404509.2</v>
      </c>
      <c r="C100" s="40">
        <v>219206.2</v>
      </c>
      <c r="D100" s="40">
        <v>43186.6</v>
      </c>
      <c r="E100" s="40">
        <v>364406.9</v>
      </c>
      <c r="F100" s="40">
        <v>244838.1</v>
      </c>
      <c r="G100" s="40">
        <v>518447.8</v>
      </c>
      <c r="H100" s="40">
        <v>307011.3</v>
      </c>
      <c r="I100" s="40">
        <v>703690.7</v>
      </c>
      <c r="J100" s="43">
        <v>1421891</v>
      </c>
      <c r="L100" s="55">
        <f t="shared" si="7"/>
        <v>0</v>
      </c>
      <c r="M100" s="55">
        <f t="shared" si="7"/>
        <v>0</v>
      </c>
      <c r="N100" s="55">
        <f t="shared" si="7"/>
        <v>0</v>
      </c>
      <c r="O100" s="55">
        <f t="shared" si="6"/>
        <v>11.5</v>
      </c>
      <c r="P100" s="55">
        <f t="shared" si="6"/>
        <v>5.5</v>
      </c>
      <c r="Q100" s="55">
        <f t="shared" si="6"/>
        <v>0</v>
      </c>
      <c r="R100" s="55">
        <f t="shared" si="6"/>
        <v>0.70000000001164153</v>
      </c>
      <c r="S100" s="55">
        <f t="shared" si="6"/>
        <v>0</v>
      </c>
      <c r="T100" s="55">
        <f t="shared" si="6"/>
        <v>64</v>
      </c>
      <c r="U100" s="56">
        <f t="shared" si="5"/>
        <v>0</v>
      </c>
      <c r="V100" s="56">
        <f t="shared" si="5"/>
        <v>0.70000000001164153</v>
      </c>
      <c r="W100" s="56">
        <f t="shared" si="5"/>
        <v>0</v>
      </c>
      <c r="X100" s="56">
        <f>O100+P100+T100</f>
        <v>81</v>
      </c>
    </row>
    <row r="101" spans="1:24" ht="20" customHeight="1" x14ac:dyDescent="0.35">
      <c r="A101" s="38" t="s">
        <v>260</v>
      </c>
      <c r="B101" s="39">
        <v>404509.2</v>
      </c>
      <c r="C101" s="40">
        <v>219206.2</v>
      </c>
      <c r="D101" s="40">
        <v>43186.6</v>
      </c>
      <c r="E101" s="40">
        <v>364418.4</v>
      </c>
      <c r="F101" s="40">
        <v>244843.6</v>
      </c>
      <c r="G101" s="40">
        <v>518447.8</v>
      </c>
      <c r="H101" s="40">
        <v>307012</v>
      </c>
      <c r="I101" s="40">
        <v>703690.7</v>
      </c>
      <c r="J101" s="43">
        <v>1421955</v>
      </c>
      <c r="L101" s="55">
        <f t="shared" si="7"/>
        <v>0</v>
      </c>
      <c r="M101" s="55">
        <f t="shared" si="7"/>
        <v>0</v>
      </c>
      <c r="N101" s="55">
        <f t="shared" si="7"/>
        <v>9.9999999998544808E-2</v>
      </c>
      <c r="O101" s="55">
        <f t="shared" si="6"/>
        <v>11.399999999965075</v>
      </c>
      <c r="P101" s="55">
        <f t="shared" si="6"/>
        <v>5.3999999999941792</v>
      </c>
      <c r="Q101" s="55">
        <f t="shared" si="6"/>
        <v>0</v>
      </c>
      <c r="R101" s="55">
        <f t="shared" si="6"/>
        <v>0.70000000001164153</v>
      </c>
      <c r="S101" s="55">
        <f t="shared" si="6"/>
        <v>0</v>
      </c>
      <c r="T101" s="55">
        <f t="shared" si="6"/>
        <v>62</v>
      </c>
      <c r="U101" s="56">
        <f t="shared" si="5"/>
        <v>0</v>
      </c>
      <c r="V101" s="56">
        <f t="shared" si="5"/>
        <v>0.70000000001164153</v>
      </c>
      <c r="W101" s="56">
        <f t="shared" si="5"/>
        <v>9.9999999998544808E-2</v>
      </c>
      <c r="X101" s="56">
        <f>O101+P101+T101</f>
        <v>78.799999999959255</v>
      </c>
    </row>
    <row r="102" spans="1:24" ht="20" customHeight="1" x14ac:dyDescent="0.35">
      <c r="A102" s="38" t="s">
        <v>261</v>
      </c>
      <c r="B102" s="39">
        <v>404509.2</v>
      </c>
      <c r="C102" s="40">
        <v>219206.2</v>
      </c>
      <c r="D102" s="40">
        <v>43186.7</v>
      </c>
      <c r="E102" s="40">
        <v>364429.8</v>
      </c>
      <c r="F102" s="40">
        <v>244849</v>
      </c>
      <c r="G102" s="40">
        <v>518447.8</v>
      </c>
      <c r="H102" s="40">
        <v>307012.7</v>
      </c>
      <c r="I102" s="40">
        <v>703690.7</v>
      </c>
      <c r="J102" s="43">
        <v>1422017</v>
      </c>
      <c r="L102" s="55">
        <f t="shared" si="7"/>
        <v>0</v>
      </c>
      <c r="M102" s="55">
        <f t="shared" si="7"/>
        <v>0</v>
      </c>
      <c r="N102" s="55">
        <f t="shared" si="7"/>
        <v>0.10000000000582077</v>
      </c>
      <c r="O102" s="55">
        <f t="shared" si="6"/>
        <v>11.200000000011642</v>
      </c>
      <c r="P102" s="55">
        <f t="shared" si="6"/>
        <v>6.6000000000058208</v>
      </c>
      <c r="Q102" s="55">
        <f t="shared" si="6"/>
        <v>0</v>
      </c>
      <c r="R102" s="55">
        <f t="shared" si="6"/>
        <v>0.70000000001164153</v>
      </c>
      <c r="S102" s="55">
        <f t="shared" si="6"/>
        <v>1.6000000000931323</v>
      </c>
      <c r="T102" s="55">
        <f t="shared" si="6"/>
        <v>62</v>
      </c>
      <c r="U102" s="56">
        <f t="shared" si="5"/>
        <v>0</v>
      </c>
      <c r="V102" s="56">
        <f t="shared" si="5"/>
        <v>0.70000000001164153</v>
      </c>
      <c r="W102" s="56">
        <f t="shared" si="5"/>
        <v>1.700000000098953</v>
      </c>
      <c r="X102" s="56">
        <f>O102+P102+T102</f>
        <v>79.800000000017462</v>
      </c>
    </row>
    <row r="103" spans="1:24" ht="20" customHeight="1" x14ac:dyDescent="0.35">
      <c r="A103" s="38" t="s">
        <v>262</v>
      </c>
      <c r="B103" s="39">
        <v>404509.2</v>
      </c>
      <c r="C103" s="40">
        <v>219206.2</v>
      </c>
      <c r="D103" s="40">
        <v>43186.8</v>
      </c>
      <c r="E103" s="40">
        <v>364441</v>
      </c>
      <c r="F103" s="40">
        <v>244855.6</v>
      </c>
      <c r="G103" s="40">
        <v>518447.8</v>
      </c>
      <c r="H103" s="40">
        <v>307013.40000000002</v>
      </c>
      <c r="I103" s="40">
        <v>703692.3</v>
      </c>
      <c r="J103" s="43">
        <v>1422079</v>
      </c>
      <c r="L103" s="55">
        <f t="shared" si="7"/>
        <v>0</v>
      </c>
      <c r="M103" s="55">
        <f t="shared" si="7"/>
        <v>0</v>
      </c>
      <c r="N103" s="55">
        <f t="shared" si="7"/>
        <v>9.9999999998544808E-2</v>
      </c>
      <c r="O103" s="55">
        <f t="shared" si="6"/>
        <v>10.099999999976717</v>
      </c>
      <c r="P103" s="55">
        <f t="shared" si="6"/>
        <v>14</v>
      </c>
      <c r="Q103" s="55">
        <f t="shared" si="6"/>
        <v>0</v>
      </c>
      <c r="R103" s="55">
        <f t="shared" si="6"/>
        <v>0.79999999998835847</v>
      </c>
      <c r="S103" s="55">
        <f t="shared" si="6"/>
        <v>0</v>
      </c>
      <c r="T103" s="55">
        <f t="shared" si="6"/>
        <v>62</v>
      </c>
      <c r="U103" s="56">
        <f t="shared" si="5"/>
        <v>0</v>
      </c>
      <c r="V103" s="56">
        <f t="shared" si="5"/>
        <v>0.79999999998835847</v>
      </c>
      <c r="W103" s="56">
        <f t="shared" si="5"/>
        <v>9.9999999998544808E-2</v>
      </c>
      <c r="X103" s="56">
        <f>O103+P103+T103</f>
        <v>86.099999999976717</v>
      </c>
    </row>
    <row r="104" spans="1:24" ht="20" customHeight="1" x14ac:dyDescent="0.35">
      <c r="A104" s="38" t="s">
        <v>263</v>
      </c>
      <c r="B104" s="39">
        <v>404509.2</v>
      </c>
      <c r="C104" s="40">
        <v>219206.2</v>
      </c>
      <c r="D104" s="40">
        <v>43186.9</v>
      </c>
      <c r="E104" s="40">
        <v>364451.1</v>
      </c>
      <c r="F104" s="40">
        <v>244869.6</v>
      </c>
      <c r="G104" s="40">
        <v>518447.8</v>
      </c>
      <c r="H104" s="40">
        <v>307014.2</v>
      </c>
      <c r="I104" s="40">
        <v>703692.3</v>
      </c>
      <c r="J104" s="43">
        <v>1422141</v>
      </c>
      <c r="L104" s="55">
        <f t="shared" si="7"/>
        <v>0</v>
      </c>
      <c r="M104" s="55">
        <f t="shared" si="7"/>
        <v>0</v>
      </c>
      <c r="N104" s="55">
        <f t="shared" si="7"/>
        <v>9.9999999998544808E-2</v>
      </c>
      <c r="O104" s="55">
        <f t="shared" si="6"/>
        <v>10.200000000011642</v>
      </c>
      <c r="P104" s="55">
        <f t="shared" si="6"/>
        <v>13.799999999988358</v>
      </c>
      <c r="Q104" s="55">
        <f t="shared" si="6"/>
        <v>1.6000000000349246</v>
      </c>
      <c r="R104" s="55">
        <f t="shared" si="6"/>
        <v>0.70000000001164153</v>
      </c>
      <c r="S104" s="55">
        <f t="shared" si="6"/>
        <v>0</v>
      </c>
      <c r="T104" s="55">
        <f t="shared" si="6"/>
        <v>61</v>
      </c>
      <c r="U104" s="56">
        <f t="shared" si="5"/>
        <v>1.6000000000349246</v>
      </c>
      <c r="V104" s="56">
        <f t="shared" si="5"/>
        <v>0.70000000001164153</v>
      </c>
      <c r="W104" s="56">
        <f t="shared" si="5"/>
        <v>9.9999999998544808E-2</v>
      </c>
      <c r="X104" s="56">
        <f>O104+P104+T104</f>
        <v>85</v>
      </c>
    </row>
    <row r="105" spans="1:24" ht="20" customHeight="1" x14ac:dyDescent="0.35">
      <c r="A105" s="38" t="s">
        <v>264</v>
      </c>
      <c r="B105" s="39">
        <v>404509.2</v>
      </c>
      <c r="C105" s="40">
        <v>219206.2</v>
      </c>
      <c r="D105" s="40">
        <v>43187</v>
      </c>
      <c r="E105" s="40">
        <v>364461.3</v>
      </c>
      <c r="F105" s="40">
        <v>244883.4</v>
      </c>
      <c r="G105" s="40">
        <v>518449.4</v>
      </c>
      <c r="H105" s="40">
        <v>307014.90000000002</v>
      </c>
      <c r="I105" s="40">
        <v>703692.3</v>
      </c>
      <c r="J105" s="43">
        <v>1422202</v>
      </c>
      <c r="L105" s="55">
        <f t="shared" si="7"/>
        <v>0</v>
      </c>
      <c r="M105" s="55">
        <f t="shared" si="7"/>
        <v>0</v>
      </c>
      <c r="N105" s="55">
        <f t="shared" si="7"/>
        <v>0</v>
      </c>
      <c r="O105" s="55">
        <f t="shared" si="6"/>
        <v>10.5</v>
      </c>
      <c r="P105" s="55">
        <f t="shared" si="6"/>
        <v>13</v>
      </c>
      <c r="Q105" s="55">
        <f t="shared" si="6"/>
        <v>0</v>
      </c>
      <c r="R105" s="55">
        <f t="shared" si="6"/>
        <v>0.69999999995343387</v>
      </c>
      <c r="S105" s="55">
        <f t="shared" si="6"/>
        <v>0</v>
      </c>
      <c r="T105" s="55">
        <f t="shared" si="6"/>
        <v>50</v>
      </c>
      <c r="U105" s="56">
        <f t="shared" si="5"/>
        <v>0</v>
      </c>
      <c r="V105" s="56">
        <f t="shared" si="5"/>
        <v>0.69999999995343387</v>
      </c>
      <c r="W105" s="56">
        <f t="shared" si="5"/>
        <v>0</v>
      </c>
      <c r="X105" s="56">
        <f>O105+P105+T105</f>
        <v>73.5</v>
      </c>
    </row>
    <row r="106" spans="1:24" ht="20" customHeight="1" x14ac:dyDescent="0.35">
      <c r="A106" s="38" t="s">
        <v>265</v>
      </c>
      <c r="B106" s="39">
        <v>404509.2</v>
      </c>
      <c r="C106" s="40">
        <v>219206.2</v>
      </c>
      <c r="D106" s="40">
        <v>43187</v>
      </c>
      <c r="E106" s="40">
        <v>364471.8</v>
      </c>
      <c r="F106" s="40">
        <v>244896.4</v>
      </c>
      <c r="G106" s="40">
        <v>518449.4</v>
      </c>
      <c r="H106" s="40">
        <v>307015.59999999998</v>
      </c>
      <c r="I106" s="40">
        <v>703692.3</v>
      </c>
      <c r="J106" s="43">
        <v>1422252</v>
      </c>
      <c r="L106" s="55">
        <f t="shared" si="7"/>
        <v>0</v>
      </c>
      <c r="M106" s="55">
        <f t="shared" si="7"/>
        <v>0</v>
      </c>
      <c r="N106" s="55">
        <f t="shared" si="7"/>
        <v>9.9999999998544808E-2</v>
      </c>
      <c r="O106" s="55">
        <f t="shared" si="6"/>
        <v>11.5</v>
      </c>
      <c r="P106" s="55">
        <f t="shared" si="6"/>
        <v>5.5</v>
      </c>
      <c r="Q106" s="55">
        <f t="shared" si="6"/>
        <v>0</v>
      </c>
      <c r="R106" s="55">
        <f t="shared" si="6"/>
        <v>0.70000000001164153</v>
      </c>
      <c r="S106" s="55">
        <f t="shared" si="6"/>
        <v>0</v>
      </c>
      <c r="T106" s="55">
        <f t="shared" si="6"/>
        <v>45</v>
      </c>
      <c r="U106" s="56">
        <f t="shared" si="5"/>
        <v>0</v>
      </c>
      <c r="V106" s="56">
        <f t="shared" si="5"/>
        <v>0.70000000001164153</v>
      </c>
      <c r="W106" s="56">
        <f t="shared" si="5"/>
        <v>9.9999999998544808E-2</v>
      </c>
      <c r="X106" s="56">
        <f>O106+P106+T106</f>
        <v>62</v>
      </c>
    </row>
    <row r="107" spans="1:24" ht="20" customHeight="1" x14ac:dyDescent="0.35">
      <c r="A107" s="38" t="s">
        <v>266</v>
      </c>
      <c r="B107" s="39">
        <v>404509.2</v>
      </c>
      <c r="C107" s="40">
        <v>219206.2</v>
      </c>
      <c r="D107" s="40">
        <v>43187.1</v>
      </c>
      <c r="E107" s="40">
        <v>364483.3</v>
      </c>
      <c r="F107" s="40">
        <v>244901.9</v>
      </c>
      <c r="G107" s="40">
        <v>518449.4</v>
      </c>
      <c r="H107" s="40">
        <v>307016.3</v>
      </c>
      <c r="I107" s="40">
        <v>703692.3</v>
      </c>
      <c r="J107" s="43">
        <v>1422297</v>
      </c>
      <c r="L107" s="55">
        <f t="shared" si="7"/>
        <v>0</v>
      </c>
      <c r="M107" s="55">
        <f t="shared" si="7"/>
        <v>0</v>
      </c>
      <c r="N107" s="55">
        <f t="shared" si="7"/>
        <v>9.9999999998544808E-2</v>
      </c>
      <c r="O107" s="55">
        <f t="shared" si="6"/>
        <v>11.600000000034925</v>
      </c>
      <c r="P107" s="55">
        <f t="shared" si="6"/>
        <v>5.3999999999941792</v>
      </c>
      <c r="Q107" s="55">
        <f t="shared" si="6"/>
        <v>0</v>
      </c>
      <c r="R107" s="55">
        <f t="shared" si="6"/>
        <v>0.79999999998835847</v>
      </c>
      <c r="S107" s="55">
        <f t="shared" si="6"/>
        <v>0</v>
      </c>
      <c r="T107" s="55">
        <f t="shared" si="6"/>
        <v>46</v>
      </c>
      <c r="U107" s="56">
        <f t="shared" si="5"/>
        <v>0</v>
      </c>
      <c r="V107" s="56">
        <f t="shared" si="5"/>
        <v>0.79999999998835847</v>
      </c>
      <c r="W107" s="56">
        <f t="shared" si="5"/>
        <v>9.9999999998544808E-2</v>
      </c>
      <c r="X107" s="56">
        <f>O107+P107+T107</f>
        <v>63.000000000029104</v>
      </c>
    </row>
    <row r="108" spans="1:24" ht="20" customHeight="1" x14ac:dyDescent="0.35">
      <c r="A108" s="38" t="s">
        <v>267</v>
      </c>
      <c r="B108" s="39">
        <v>404509.2</v>
      </c>
      <c r="C108" s="40">
        <v>219206.2</v>
      </c>
      <c r="D108" s="40">
        <v>43187.199999999997</v>
      </c>
      <c r="E108" s="40">
        <v>364494.9</v>
      </c>
      <c r="F108" s="40">
        <v>244907.3</v>
      </c>
      <c r="G108" s="40">
        <v>518449.4</v>
      </c>
      <c r="H108" s="40">
        <v>307017.09999999998</v>
      </c>
      <c r="I108" s="40">
        <v>703692.3</v>
      </c>
      <c r="J108" s="43">
        <v>1422343</v>
      </c>
      <c r="L108" s="55">
        <f t="shared" si="7"/>
        <v>0</v>
      </c>
      <c r="M108" s="55">
        <f t="shared" si="7"/>
        <v>0</v>
      </c>
      <c r="N108" s="55">
        <f t="shared" si="7"/>
        <v>0.10000000000582077</v>
      </c>
      <c r="O108" s="55">
        <f t="shared" si="6"/>
        <v>11.599999999976717</v>
      </c>
      <c r="P108" s="55">
        <f t="shared" si="6"/>
        <v>6.7000000000116415</v>
      </c>
      <c r="Q108" s="55">
        <f t="shared" si="6"/>
        <v>0</v>
      </c>
      <c r="R108" s="55">
        <f t="shared" si="6"/>
        <v>0.70000000001164153</v>
      </c>
      <c r="S108" s="55">
        <f t="shared" si="6"/>
        <v>1.5</v>
      </c>
      <c r="T108" s="55">
        <f t="shared" si="6"/>
        <v>33</v>
      </c>
      <c r="U108" s="56">
        <f t="shared" si="5"/>
        <v>0</v>
      </c>
      <c r="V108" s="56">
        <f t="shared" si="5"/>
        <v>0.70000000001164153</v>
      </c>
      <c r="W108" s="56">
        <f t="shared" si="5"/>
        <v>1.6000000000058208</v>
      </c>
      <c r="X108" s="56">
        <f>O108+P108+T108</f>
        <v>51.299999999988358</v>
      </c>
    </row>
    <row r="109" spans="1:24" ht="20" customHeight="1" x14ac:dyDescent="0.35">
      <c r="A109" s="38" t="s">
        <v>268</v>
      </c>
      <c r="B109" s="39">
        <v>404509.2</v>
      </c>
      <c r="C109" s="40">
        <v>219206.2</v>
      </c>
      <c r="D109" s="40">
        <v>43187.3</v>
      </c>
      <c r="E109" s="40">
        <v>364506.5</v>
      </c>
      <c r="F109" s="40">
        <v>244914</v>
      </c>
      <c r="G109" s="40">
        <v>518449.4</v>
      </c>
      <c r="H109" s="40">
        <v>307017.8</v>
      </c>
      <c r="I109" s="40">
        <v>703693.8</v>
      </c>
      <c r="J109" s="43">
        <v>1422376</v>
      </c>
      <c r="L109" s="55">
        <f t="shared" si="7"/>
        <v>0</v>
      </c>
      <c r="M109" s="55">
        <f t="shared" si="7"/>
        <v>0</v>
      </c>
      <c r="N109" s="55">
        <f t="shared" si="7"/>
        <v>0</v>
      </c>
      <c r="O109" s="55">
        <f t="shared" si="6"/>
        <v>11.299999999988358</v>
      </c>
      <c r="P109" s="55">
        <f t="shared" si="6"/>
        <v>14.100000000005821</v>
      </c>
      <c r="Q109" s="55">
        <f t="shared" si="6"/>
        <v>0</v>
      </c>
      <c r="R109" s="55">
        <f t="shared" si="6"/>
        <v>0.70000000001164153</v>
      </c>
      <c r="S109" s="55">
        <f t="shared" si="6"/>
        <v>0</v>
      </c>
      <c r="T109" s="55">
        <f t="shared" si="6"/>
        <v>31</v>
      </c>
      <c r="U109" s="56">
        <f t="shared" ref="U109:W152" si="8">L109+Q109</f>
        <v>0</v>
      </c>
      <c r="V109" s="56">
        <f t="shared" si="8"/>
        <v>0.70000000001164153</v>
      </c>
      <c r="W109" s="56">
        <f t="shared" si="8"/>
        <v>0</v>
      </c>
      <c r="X109" s="56">
        <f>O109+P109+T109</f>
        <v>56.399999999994179</v>
      </c>
    </row>
    <row r="110" spans="1:24" ht="20" customHeight="1" x14ac:dyDescent="0.35">
      <c r="A110" s="38" t="s">
        <v>269</v>
      </c>
      <c r="B110" s="39">
        <v>404509.2</v>
      </c>
      <c r="C110" s="40">
        <v>219206.2</v>
      </c>
      <c r="D110" s="40">
        <v>43187.3</v>
      </c>
      <c r="E110" s="40">
        <v>364517.8</v>
      </c>
      <c r="F110" s="40">
        <v>244928.1</v>
      </c>
      <c r="G110" s="40">
        <v>518449.4</v>
      </c>
      <c r="H110" s="40">
        <v>307018.5</v>
      </c>
      <c r="I110" s="40">
        <v>703693.8</v>
      </c>
      <c r="J110" s="43">
        <v>1422407</v>
      </c>
      <c r="L110" s="55">
        <f t="shared" si="7"/>
        <v>0</v>
      </c>
      <c r="M110" s="55">
        <f t="shared" si="7"/>
        <v>0</v>
      </c>
      <c r="N110" s="55">
        <f t="shared" si="7"/>
        <v>9.9999999998544808E-2</v>
      </c>
      <c r="O110" s="55">
        <f t="shared" si="6"/>
        <v>10.700000000011642</v>
      </c>
      <c r="P110" s="55">
        <f t="shared" si="6"/>
        <v>14</v>
      </c>
      <c r="Q110" s="55">
        <f t="shared" si="6"/>
        <v>0</v>
      </c>
      <c r="R110" s="55">
        <f t="shared" si="6"/>
        <v>0.79999999998835847</v>
      </c>
      <c r="S110" s="55">
        <f t="shared" si="6"/>
        <v>0</v>
      </c>
      <c r="T110" s="55">
        <f t="shared" si="6"/>
        <v>65</v>
      </c>
      <c r="U110" s="56">
        <f t="shared" si="8"/>
        <v>0</v>
      </c>
      <c r="V110" s="56">
        <f t="shared" si="8"/>
        <v>0.79999999998835847</v>
      </c>
      <c r="W110" s="56">
        <f t="shared" si="8"/>
        <v>9.9999999998544808E-2</v>
      </c>
      <c r="X110" s="56">
        <f>O110+P110+T110</f>
        <v>89.700000000011642</v>
      </c>
    </row>
    <row r="111" spans="1:24" ht="20" customHeight="1" x14ac:dyDescent="0.35">
      <c r="A111" s="38" t="s">
        <v>270</v>
      </c>
      <c r="B111" s="39">
        <v>404509.2</v>
      </c>
      <c r="C111" s="40">
        <v>219206.2</v>
      </c>
      <c r="D111" s="40">
        <v>43187.4</v>
      </c>
      <c r="E111" s="40">
        <v>364528.5</v>
      </c>
      <c r="F111" s="40">
        <v>244942.1</v>
      </c>
      <c r="G111" s="40">
        <v>518449.4</v>
      </c>
      <c r="H111" s="40">
        <v>307019.3</v>
      </c>
      <c r="I111" s="40">
        <v>703693.8</v>
      </c>
      <c r="J111" s="43">
        <v>1422472</v>
      </c>
      <c r="L111" s="55">
        <f t="shared" si="7"/>
        <v>0</v>
      </c>
      <c r="M111" s="55">
        <f t="shared" si="7"/>
        <v>0</v>
      </c>
      <c r="N111" s="55">
        <f t="shared" si="7"/>
        <v>9.9999999998544808E-2</v>
      </c>
      <c r="O111" s="55">
        <f t="shared" si="6"/>
        <v>11.700000000011642</v>
      </c>
      <c r="P111" s="55">
        <f t="shared" si="6"/>
        <v>13.299999999988358</v>
      </c>
      <c r="Q111" s="55">
        <f t="shared" si="6"/>
        <v>1.5999999999767169</v>
      </c>
      <c r="R111" s="55">
        <f t="shared" si="6"/>
        <v>0.70000000001164153</v>
      </c>
      <c r="S111" s="55">
        <f t="shared" si="6"/>
        <v>0</v>
      </c>
      <c r="T111" s="55">
        <f t="shared" si="6"/>
        <v>63</v>
      </c>
      <c r="U111" s="56">
        <f t="shared" si="8"/>
        <v>1.5999999999767169</v>
      </c>
      <c r="V111" s="56">
        <f t="shared" si="8"/>
        <v>0.70000000001164153</v>
      </c>
      <c r="W111" s="56">
        <f t="shared" si="8"/>
        <v>9.9999999998544808E-2</v>
      </c>
      <c r="X111" s="56">
        <f>O111+P111+T111</f>
        <v>88</v>
      </c>
    </row>
    <row r="112" spans="1:24" ht="20" customHeight="1" x14ac:dyDescent="0.35">
      <c r="A112" s="38" t="s">
        <v>271</v>
      </c>
      <c r="B112" s="39">
        <v>404509.2</v>
      </c>
      <c r="C112" s="40">
        <v>219206.2</v>
      </c>
      <c r="D112" s="40">
        <v>43187.5</v>
      </c>
      <c r="E112" s="40">
        <v>364540.2</v>
      </c>
      <c r="F112" s="40">
        <v>244955.4</v>
      </c>
      <c r="G112" s="40">
        <v>518451</v>
      </c>
      <c r="H112" s="40">
        <v>307020</v>
      </c>
      <c r="I112" s="40">
        <v>703693.8</v>
      </c>
      <c r="J112" s="43">
        <v>1422535</v>
      </c>
      <c r="L112" s="55">
        <f t="shared" si="7"/>
        <v>0</v>
      </c>
      <c r="M112" s="55">
        <f t="shared" si="7"/>
        <v>0</v>
      </c>
      <c r="N112" s="55">
        <f t="shared" si="7"/>
        <v>0</v>
      </c>
      <c r="O112" s="55">
        <f t="shared" si="6"/>
        <v>11.5</v>
      </c>
      <c r="P112" s="55">
        <f t="shared" si="6"/>
        <v>5.5</v>
      </c>
      <c r="Q112" s="55">
        <f t="shared" si="6"/>
        <v>0</v>
      </c>
      <c r="R112" s="55">
        <f t="shared" si="6"/>
        <v>0.70000000001164153</v>
      </c>
      <c r="S112" s="55">
        <f t="shared" si="6"/>
        <v>0</v>
      </c>
      <c r="T112" s="55">
        <f t="shared" si="6"/>
        <v>62</v>
      </c>
      <c r="U112" s="56">
        <f t="shared" si="8"/>
        <v>0</v>
      </c>
      <c r="V112" s="56">
        <f t="shared" si="8"/>
        <v>0.70000000001164153</v>
      </c>
      <c r="W112" s="56">
        <f t="shared" si="8"/>
        <v>0</v>
      </c>
      <c r="X112" s="56">
        <f>O112+P112+T112</f>
        <v>79</v>
      </c>
    </row>
    <row r="113" spans="1:24" ht="20" customHeight="1" x14ac:dyDescent="0.35">
      <c r="A113" s="38" t="s">
        <v>272</v>
      </c>
      <c r="B113" s="39">
        <v>404509.2</v>
      </c>
      <c r="C113" s="40">
        <v>219206.2</v>
      </c>
      <c r="D113" s="40">
        <v>43187.5</v>
      </c>
      <c r="E113" s="40">
        <v>364551.7</v>
      </c>
      <c r="F113" s="40">
        <v>244960.9</v>
      </c>
      <c r="G113" s="40">
        <v>518451</v>
      </c>
      <c r="H113" s="40">
        <v>307020.7</v>
      </c>
      <c r="I113" s="40">
        <v>703693.8</v>
      </c>
      <c r="J113" s="43">
        <v>1422597</v>
      </c>
      <c r="L113" s="55">
        <f t="shared" si="7"/>
        <v>0</v>
      </c>
      <c r="M113" s="55">
        <f t="shared" si="7"/>
        <v>0</v>
      </c>
      <c r="N113" s="55">
        <f t="shared" si="7"/>
        <v>1.4000000000014552</v>
      </c>
      <c r="O113" s="55">
        <f t="shared" si="6"/>
        <v>11.700000000011642</v>
      </c>
      <c r="P113" s="55">
        <f t="shared" si="6"/>
        <v>5.5</v>
      </c>
      <c r="Q113" s="55">
        <f t="shared" si="6"/>
        <v>0</v>
      </c>
      <c r="R113" s="55">
        <f t="shared" si="6"/>
        <v>0.79999999998835847</v>
      </c>
      <c r="S113" s="55">
        <f t="shared" si="6"/>
        <v>1.5</v>
      </c>
      <c r="T113" s="55">
        <f t="shared" si="6"/>
        <v>49</v>
      </c>
      <c r="U113" s="56">
        <f t="shared" si="8"/>
        <v>0</v>
      </c>
      <c r="V113" s="56">
        <f t="shared" si="8"/>
        <v>0.79999999998835847</v>
      </c>
      <c r="W113" s="56">
        <f t="shared" si="8"/>
        <v>2.9000000000014552</v>
      </c>
      <c r="X113" s="56">
        <f>O113+P113+T113</f>
        <v>66.200000000011642</v>
      </c>
    </row>
    <row r="114" spans="1:24" ht="20" customHeight="1" x14ac:dyDescent="0.35">
      <c r="A114" s="38" t="s">
        <v>273</v>
      </c>
      <c r="B114" s="39">
        <v>404509.2</v>
      </c>
      <c r="C114" s="40">
        <v>219206.2</v>
      </c>
      <c r="D114" s="40">
        <v>43188.9</v>
      </c>
      <c r="E114" s="40">
        <v>364563.4</v>
      </c>
      <c r="F114" s="40">
        <v>244966.39999999999</v>
      </c>
      <c r="G114" s="40">
        <v>518451</v>
      </c>
      <c r="H114" s="40">
        <v>307021.5</v>
      </c>
      <c r="I114" s="40">
        <v>703695.3</v>
      </c>
      <c r="J114" s="43">
        <v>1422646</v>
      </c>
      <c r="L114" s="55">
        <f t="shared" si="7"/>
        <v>0</v>
      </c>
      <c r="M114" s="55">
        <f t="shared" si="7"/>
        <v>0</v>
      </c>
      <c r="N114" s="55">
        <f t="shared" si="7"/>
        <v>7.2999999999956344</v>
      </c>
      <c r="O114" s="55">
        <f t="shared" si="6"/>
        <v>11.599999999976717</v>
      </c>
      <c r="P114" s="55">
        <f t="shared" si="6"/>
        <v>5.3999999999941792</v>
      </c>
      <c r="Q114" s="55">
        <f t="shared" si="6"/>
        <v>0</v>
      </c>
      <c r="R114" s="55">
        <f t="shared" si="6"/>
        <v>0.70000000001164153</v>
      </c>
      <c r="S114" s="55">
        <f t="shared" si="6"/>
        <v>8.6999999999534339</v>
      </c>
      <c r="T114" s="55">
        <f t="shared" si="6"/>
        <v>52</v>
      </c>
      <c r="U114" s="56">
        <f t="shared" si="8"/>
        <v>0</v>
      </c>
      <c r="V114" s="56">
        <f t="shared" si="8"/>
        <v>0.70000000001164153</v>
      </c>
      <c r="W114" s="56">
        <f t="shared" si="8"/>
        <v>15.999999999949068</v>
      </c>
      <c r="X114" s="56">
        <f>O114+P114+T114</f>
        <v>68.999999999970896</v>
      </c>
    </row>
    <row r="115" spans="1:24" ht="20" customHeight="1" x14ac:dyDescent="0.35">
      <c r="A115" s="38" t="s">
        <v>274</v>
      </c>
      <c r="B115" s="39">
        <v>404509.2</v>
      </c>
      <c r="C115" s="40">
        <v>219206.2</v>
      </c>
      <c r="D115" s="40">
        <v>43196.2</v>
      </c>
      <c r="E115" s="40">
        <v>364575</v>
      </c>
      <c r="F115" s="40">
        <v>244971.8</v>
      </c>
      <c r="G115" s="40">
        <v>518451</v>
      </c>
      <c r="H115" s="40">
        <v>307022.2</v>
      </c>
      <c r="I115" s="40">
        <v>703704</v>
      </c>
      <c r="J115" s="43">
        <v>1422698</v>
      </c>
      <c r="L115" s="55">
        <f t="shared" si="7"/>
        <v>0</v>
      </c>
      <c r="M115" s="55">
        <f t="shared" si="7"/>
        <v>0</v>
      </c>
      <c r="N115" s="55">
        <f t="shared" si="7"/>
        <v>12.600000000005821</v>
      </c>
      <c r="O115" s="55">
        <f t="shared" si="6"/>
        <v>11.200000000011642</v>
      </c>
      <c r="P115" s="55">
        <f t="shared" si="6"/>
        <v>6.6000000000058208</v>
      </c>
      <c r="Q115" s="55">
        <f t="shared" si="6"/>
        <v>0</v>
      </c>
      <c r="R115" s="55">
        <f t="shared" ref="R115:T158" si="9">IFERROR(H116-H115,0)</f>
        <v>0.70000000001164153</v>
      </c>
      <c r="S115" s="55">
        <f t="shared" si="9"/>
        <v>80.699999999953434</v>
      </c>
      <c r="T115" s="55">
        <f t="shared" si="9"/>
        <v>51</v>
      </c>
      <c r="U115" s="56">
        <f t="shared" si="8"/>
        <v>0</v>
      </c>
      <c r="V115" s="56">
        <f t="shared" si="8"/>
        <v>0.70000000001164153</v>
      </c>
      <c r="W115" s="56">
        <f t="shared" si="8"/>
        <v>93.299999999959255</v>
      </c>
      <c r="X115" s="56">
        <f>O115+P115+T115</f>
        <v>68.800000000017462</v>
      </c>
    </row>
    <row r="116" spans="1:24" ht="20" customHeight="1" x14ac:dyDescent="0.35">
      <c r="A116" s="38" t="s">
        <v>275</v>
      </c>
      <c r="B116" s="39">
        <v>404509.2</v>
      </c>
      <c r="C116" s="40">
        <v>219206.2</v>
      </c>
      <c r="D116" s="40">
        <v>43208.800000000003</v>
      </c>
      <c r="E116" s="40">
        <v>364586.2</v>
      </c>
      <c r="F116" s="40">
        <v>244978.4</v>
      </c>
      <c r="G116" s="40">
        <v>518451</v>
      </c>
      <c r="H116" s="40">
        <v>307022.90000000002</v>
      </c>
      <c r="I116" s="40">
        <v>703784.7</v>
      </c>
      <c r="J116" s="43">
        <v>1422749</v>
      </c>
      <c r="L116" s="55">
        <f t="shared" si="7"/>
        <v>0</v>
      </c>
      <c r="M116" s="55">
        <f t="shared" si="7"/>
        <v>0</v>
      </c>
      <c r="N116" s="55">
        <f t="shared" si="7"/>
        <v>12.799999999995634</v>
      </c>
      <c r="O116" s="55">
        <f t="shared" si="7"/>
        <v>10.599999999976717</v>
      </c>
      <c r="P116" s="55">
        <f t="shared" si="7"/>
        <v>13.600000000005821</v>
      </c>
      <c r="Q116" s="55">
        <f t="shared" si="7"/>
        <v>0</v>
      </c>
      <c r="R116" s="55">
        <f t="shared" si="9"/>
        <v>0.69999999995343387</v>
      </c>
      <c r="S116" s="55">
        <f t="shared" si="9"/>
        <v>79.300000000046566</v>
      </c>
      <c r="T116" s="55">
        <f t="shared" si="9"/>
        <v>56</v>
      </c>
      <c r="U116" s="56">
        <f t="shared" si="8"/>
        <v>0</v>
      </c>
      <c r="V116" s="56">
        <f t="shared" si="8"/>
        <v>0.69999999995343387</v>
      </c>
      <c r="W116" s="56">
        <f t="shared" si="8"/>
        <v>92.100000000042201</v>
      </c>
      <c r="X116" s="56">
        <f>O116+P116+T116</f>
        <v>80.199999999982538</v>
      </c>
    </row>
    <row r="117" spans="1:24" ht="16.75" customHeight="1" x14ac:dyDescent="0.35">
      <c r="A117" s="38" t="s">
        <v>276</v>
      </c>
      <c r="B117" s="39">
        <v>404509.2</v>
      </c>
      <c r="C117" s="40">
        <v>219206.2</v>
      </c>
      <c r="D117" s="40">
        <v>43221.599999999999</v>
      </c>
      <c r="E117" s="40">
        <v>364596.8</v>
      </c>
      <c r="F117" s="40">
        <v>244992</v>
      </c>
      <c r="G117" s="40">
        <v>518451</v>
      </c>
      <c r="H117" s="40">
        <v>307023.59999999998</v>
      </c>
      <c r="I117" s="40">
        <v>703864</v>
      </c>
      <c r="J117" s="43">
        <v>1422805</v>
      </c>
      <c r="L117" s="55">
        <f t="shared" si="7"/>
        <v>0</v>
      </c>
      <c r="M117" s="55">
        <f t="shared" si="7"/>
        <v>0</v>
      </c>
      <c r="N117" s="55">
        <f t="shared" si="7"/>
        <v>12.80000000000291</v>
      </c>
      <c r="O117" s="55">
        <f t="shared" si="7"/>
        <v>11.600000000034925</v>
      </c>
      <c r="P117" s="55">
        <f t="shared" si="7"/>
        <v>12.899999999994179</v>
      </c>
      <c r="Q117" s="55">
        <f t="shared" si="7"/>
        <v>0</v>
      </c>
      <c r="R117" s="55">
        <f t="shared" si="9"/>
        <v>0.70000000001164153</v>
      </c>
      <c r="S117" s="55">
        <f t="shared" si="9"/>
        <v>79.199999999953434</v>
      </c>
      <c r="T117" s="55">
        <f t="shared" si="9"/>
        <v>61</v>
      </c>
      <c r="U117" s="56">
        <f t="shared" si="8"/>
        <v>0</v>
      </c>
      <c r="V117" s="56">
        <f t="shared" si="8"/>
        <v>0.70000000001164153</v>
      </c>
      <c r="W117" s="56">
        <f t="shared" si="8"/>
        <v>91.999999999956344</v>
      </c>
      <c r="X117" s="56">
        <f>O117+P117+T117</f>
        <v>85.500000000029104</v>
      </c>
    </row>
    <row r="118" spans="1:24" ht="20" customHeight="1" x14ac:dyDescent="0.35">
      <c r="A118" s="38" t="s">
        <v>277</v>
      </c>
      <c r="B118" s="39">
        <v>404509.2</v>
      </c>
      <c r="C118" s="40">
        <v>219206.2</v>
      </c>
      <c r="D118" s="40">
        <v>43234.400000000001</v>
      </c>
      <c r="E118" s="40">
        <v>364608.4</v>
      </c>
      <c r="F118" s="40">
        <v>245004.9</v>
      </c>
      <c r="G118" s="40">
        <v>518451</v>
      </c>
      <c r="H118" s="40">
        <v>307024.3</v>
      </c>
      <c r="I118" s="40">
        <v>703943.2</v>
      </c>
      <c r="J118" s="43">
        <v>1422866</v>
      </c>
      <c r="L118" s="55">
        <f t="shared" si="7"/>
        <v>0</v>
      </c>
      <c r="M118" s="55">
        <f t="shared" si="7"/>
        <v>0</v>
      </c>
      <c r="N118" s="55">
        <f t="shared" si="7"/>
        <v>12.799999999995634</v>
      </c>
      <c r="O118" s="55">
        <f t="shared" si="7"/>
        <v>11.5</v>
      </c>
      <c r="P118" s="55">
        <f t="shared" si="7"/>
        <v>5.5</v>
      </c>
      <c r="Q118" s="55">
        <f t="shared" si="7"/>
        <v>0</v>
      </c>
      <c r="R118" s="55">
        <f t="shared" si="9"/>
        <v>0.70000000001164153</v>
      </c>
      <c r="S118" s="55">
        <f t="shared" si="9"/>
        <v>79.800000000046566</v>
      </c>
      <c r="T118" s="55">
        <f t="shared" si="9"/>
        <v>62</v>
      </c>
      <c r="U118" s="56">
        <f t="shared" si="8"/>
        <v>0</v>
      </c>
      <c r="V118" s="56">
        <f t="shared" si="8"/>
        <v>0.70000000001164153</v>
      </c>
      <c r="W118" s="56">
        <f t="shared" si="8"/>
        <v>92.600000000042201</v>
      </c>
      <c r="X118" s="56">
        <f>O118+P118+T118</f>
        <v>79</v>
      </c>
    </row>
    <row r="119" spans="1:24" ht="20" customHeight="1" x14ac:dyDescent="0.35">
      <c r="A119" s="38" t="s">
        <v>278</v>
      </c>
      <c r="B119" s="39">
        <v>404509.2</v>
      </c>
      <c r="C119" s="40">
        <v>219206.2</v>
      </c>
      <c r="D119" s="40">
        <v>43247.199999999997</v>
      </c>
      <c r="E119" s="40">
        <v>364619.9</v>
      </c>
      <c r="F119" s="40">
        <v>245010.4</v>
      </c>
      <c r="G119" s="40">
        <v>518451</v>
      </c>
      <c r="H119" s="40">
        <v>307025</v>
      </c>
      <c r="I119" s="40">
        <v>704023</v>
      </c>
      <c r="J119" s="43">
        <v>1422928</v>
      </c>
      <c r="L119" s="55">
        <f t="shared" si="7"/>
        <v>0</v>
      </c>
      <c r="M119" s="55">
        <f t="shared" si="7"/>
        <v>0</v>
      </c>
      <c r="N119" s="55">
        <f t="shared" si="7"/>
        <v>12.900000000001455</v>
      </c>
      <c r="O119" s="55">
        <f t="shared" si="7"/>
        <v>36.599999999976717</v>
      </c>
      <c r="P119" s="55">
        <f t="shared" si="7"/>
        <v>5.5</v>
      </c>
      <c r="Q119" s="55">
        <f t="shared" si="7"/>
        <v>0</v>
      </c>
      <c r="R119" s="55">
        <f t="shared" si="9"/>
        <v>0.79999999998835847</v>
      </c>
      <c r="S119" s="55">
        <f t="shared" si="9"/>
        <v>80</v>
      </c>
      <c r="T119" s="55">
        <f t="shared" si="9"/>
        <v>62</v>
      </c>
      <c r="U119" s="56">
        <f t="shared" si="8"/>
        <v>0</v>
      </c>
      <c r="V119" s="56">
        <f t="shared" si="8"/>
        <v>0.79999999998835847</v>
      </c>
      <c r="W119" s="56">
        <f t="shared" si="8"/>
        <v>92.900000000001455</v>
      </c>
      <c r="X119" s="56">
        <f>O119+P119+T119</f>
        <v>104.09999999997672</v>
      </c>
    </row>
    <row r="120" spans="1:24" ht="20" customHeight="1" x14ac:dyDescent="0.35">
      <c r="A120" s="38" t="s">
        <v>279</v>
      </c>
      <c r="B120" s="39">
        <v>404509.2</v>
      </c>
      <c r="C120" s="40">
        <v>219206.2</v>
      </c>
      <c r="D120" s="40">
        <v>43260.1</v>
      </c>
      <c r="E120" s="40">
        <v>364656.5</v>
      </c>
      <c r="F120" s="40">
        <v>245015.9</v>
      </c>
      <c r="G120" s="40">
        <v>518451</v>
      </c>
      <c r="H120" s="40">
        <v>307025.8</v>
      </c>
      <c r="I120" s="40">
        <v>704103</v>
      </c>
      <c r="J120" s="43">
        <v>1422990</v>
      </c>
      <c r="L120" s="55">
        <f t="shared" si="7"/>
        <v>0</v>
      </c>
      <c r="M120" s="55">
        <f t="shared" si="7"/>
        <v>0</v>
      </c>
      <c r="N120" s="55">
        <f t="shared" si="7"/>
        <v>12.700000000004366</v>
      </c>
      <c r="O120" s="55">
        <f t="shared" si="7"/>
        <v>17.099999999976717</v>
      </c>
      <c r="P120" s="55">
        <f t="shared" si="7"/>
        <v>6.7000000000116415</v>
      </c>
      <c r="Q120" s="55">
        <f t="shared" si="7"/>
        <v>0</v>
      </c>
      <c r="R120" s="55">
        <f t="shared" si="9"/>
        <v>0.70000000001164153</v>
      </c>
      <c r="S120" s="55">
        <f t="shared" si="9"/>
        <v>80.300000000046566</v>
      </c>
      <c r="T120" s="55">
        <f t="shared" si="9"/>
        <v>63</v>
      </c>
      <c r="U120" s="56">
        <f t="shared" si="8"/>
        <v>0</v>
      </c>
      <c r="V120" s="56">
        <f t="shared" si="8"/>
        <v>0.70000000001164153</v>
      </c>
      <c r="W120" s="56">
        <f t="shared" si="8"/>
        <v>93.000000000050932</v>
      </c>
      <c r="X120" s="56">
        <f>O120+P120+T120</f>
        <v>86.799999999988358</v>
      </c>
    </row>
    <row r="121" spans="1:24" ht="20" customHeight="1" x14ac:dyDescent="0.35">
      <c r="A121" s="38" t="s">
        <v>280</v>
      </c>
      <c r="B121" s="39">
        <v>404509.2</v>
      </c>
      <c r="C121" s="40">
        <v>219206.2</v>
      </c>
      <c r="D121" s="40">
        <v>43272.800000000003</v>
      </c>
      <c r="E121" s="40">
        <v>364673.6</v>
      </c>
      <c r="F121" s="40">
        <v>245022.6</v>
      </c>
      <c r="G121" s="40">
        <v>518451</v>
      </c>
      <c r="H121" s="40">
        <v>307026.5</v>
      </c>
      <c r="I121" s="40">
        <v>704183.3</v>
      </c>
      <c r="J121" s="43">
        <v>1423053</v>
      </c>
      <c r="L121" s="55">
        <f t="shared" si="7"/>
        <v>0</v>
      </c>
      <c r="M121" s="55">
        <f t="shared" si="7"/>
        <v>0</v>
      </c>
      <c r="N121" s="55">
        <f t="shared" si="7"/>
        <v>12.799999999995634</v>
      </c>
      <c r="O121" s="55">
        <f t="shared" si="7"/>
        <v>24.600000000034925</v>
      </c>
      <c r="P121" s="55">
        <f t="shared" si="7"/>
        <v>14</v>
      </c>
      <c r="Q121" s="55">
        <f t="shared" si="7"/>
        <v>0</v>
      </c>
      <c r="R121" s="55">
        <f t="shared" si="9"/>
        <v>0.70000000001164153</v>
      </c>
      <c r="S121" s="55">
        <f t="shared" si="9"/>
        <v>80.199999999953434</v>
      </c>
      <c r="T121" s="55">
        <f t="shared" si="9"/>
        <v>64</v>
      </c>
      <c r="U121" s="56">
        <f t="shared" si="8"/>
        <v>0</v>
      </c>
      <c r="V121" s="56">
        <f t="shared" si="8"/>
        <v>0.70000000001164153</v>
      </c>
      <c r="W121" s="56">
        <f t="shared" si="8"/>
        <v>92.999999999949068</v>
      </c>
      <c r="X121" s="56">
        <f>O121+P121+T121</f>
        <v>102.60000000003492</v>
      </c>
    </row>
    <row r="122" spans="1:24" ht="20" customHeight="1" x14ac:dyDescent="0.35">
      <c r="A122" s="38" t="s">
        <v>281</v>
      </c>
      <c r="B122" s="39">
        <v>404509.2</v>
      </c>
      <c r="C122" s="40">
        <v>219206.2</v>
      </c>
      <c r="D122" s="40">
        <v>43285.599999999999</v>
      </c>
      <c r="E122" s="40">
        <v>364698.2</v>
      </c>
      <c r="F122" s="40">
        <v>245036.6</v>
      </c>
      <c r="G122" s="40">
        <v>518451</v>
      </c>
      <c r="H122" s="40">
        <v>307027.20000000001</v>
      </c>
      <c r="I122" s="40">
        <v>704263.5</v>
      </c>
      <c r="J122" s="43">
        <v>1423117</v>
      </c>
      <c r="L122" s="55">
        <f t="shared" si="7"/>
        <v>0</v>
      </c>
      <c r="M122" s="55">
        <f t="shared" si="7"/>
        <v>0</v>
      </c>
      <c r="N122" s="55">
        <f t="shared" si="7"/>
        <v>12.80000000000291</v>
      </c>
      <c r="O122" s="55">
        <f t="shared" si="7"/>
        <v>27.099999999976717</v>
      </c>
      <c r="P122" s="55">
        <f t="shared" si="7"/>
        <v>13.799999999988358</v>
      </c>
      <c r="Q122" s="55">
        <f t="shared" si="7"/>
        <v>0</v>
      </c>
      <c r="R122" s="55">
        <f t="shared" si="9"/>
        <v>0.70000000001164153</v>
      </c>
      <c r="S122" s="55">
        <f t="shared" si="9"/>
        <v>79.199999999953434</v>
      </c>
      <c r="T122" s="55">
        <f t="shared" si="9"/>
        <v>64</v>
      </c>
      <c r="U122" s="56">
        <f t="shared" si="8"/>
        <v>0</v>
      </c>
      <c r="V122" s="56">
        <f t="shared" si="8"/>
        <v>0.70000000001164153</v>
      </c>
      <c r="W122" s="56">
        <f t="shared" si="8"/>
        <v>91.999999999956344</v>
      </c>
      <c r="X122" s="56">
        <f>O122+P122+T122</f>
        <v>104.89999999996508</v>
      </c>
    </row>
    <row r="123" spans="1:24" ht="20" customHeight="1" x14ac:dyDescent="0.35">
      <c r="A123" s="38" t="s">
        <v>282</v>
      </c>
      <c r="B123" s="39">
        <v>404509.2</v>
      </c>
      <c r="C123" s="40">
        <v>219206.2</v>
      </c>
      <c r="D123" s="40">
        <v>43298.400000000001</v>
      </c>
      <c r="E123" s="40">
        <v>364725.3</v>
      </c>
      <c r="F123" s="40">
        <v>245050.4</v>
      </c>
      <c r="G123" s="40">
        <v>518451</v>
      </c>
      <c r="H123" s="40">
        <v>307027.90000000002</v>
      </c>
      <c r="I123" s="40">
        <v>704342.7</v>
      </c>
      <c r="J123" s="43">
        <v>1423181</v>
      </c>
      <c r="L123" s="55">
        <f t="shared" si="7"/>
        <v>0</v>
      </c>
      <c r="M123" s="55">
        <f t="shared" si="7"/>
        <v>0</v>
      </c>
      <c r="N123" s="55">
        <f t="shared" si="7"/>
        <v>12.19999999999709</v>
      </c>
      <c r="O123" s="55">
        <f t="shared" si="7"/>
        <v>10.700000000011642</v>
      </c>
      <c r="P123" s="55">
        <f t="shared" si="7"/>
        <v>13</v>
      </c>
      <c r="Q123" s="55">
        <f t="shared" si="7"/>
        <v>0</v>
      </c>
      <c r="R123" s="55">
        <f t="shared" si="9"/>
        <v>0.69999999995343387</v>
      </c>
      <c r="S123" s="55">
        <f t="shared" si="9"/>
        <v>54.700000000069849</v>
      </c>
      <c r="T123" s="55">
        <f t="shared" si="9"/>
        <v>65</v>
      </c>
      <c r="U123" s="56">
        <f t="shared" si="8"/>
        <v>0</v>
      </c>
      <c r="V123" s="56">
        <f t="shared" si="8"/>
        <v>0.69999999995343387</v>
      </c>
      <c r="W123" s="56">
        <f t="shared" si="8"/>
        <v>66.900000000066939</v>
      </c>
      <c r="X123" s="56">
        <f>O123+P123+T123</f>
        <v>88.700000000011642</v>
      </c>
    </row>
    <row r="124" spans="1:24" ht="20" customHeight="1" x14ac:dyDescent="0.35">
      <c r="A124" s="38" t="s">
        <v>283</v>
      </c>
      <c r="B124" s="39">
        <v>404509.2</v>
      </c>
      <c r="C124" s="40">
        <v>219206.2</v>
      </c>
      <c r="D124" s="40">
        <v>43310.6</v>
      </c>
      <c r="E124" s="40">
        <v>364736</v>
      </c>
      <c r="F124" s="40">
        <v>245063.4</v>
      </c>
      <c r="G124" s="40">
        <v>518451</v>
      </c>
      <c r="H124" s="40">
        <v>307028.59999999998</v>
      </c>
      <c r="I124" s="40">
        <v>704397.4</v>
      </c>
      <c r="J124" s="43">
        <v>1423246</v>
      </c>
      <c r="L124" s="55">
        <f t="shared" si="7"/>
        <v>0</v>
      </c>
      <c r="M124" s="55">
        <f t="shared" si="7"/>
        <v>0</v>
      </c>
      <c r="N124" s="55">
        <f t="shared" si="7"/>
        <v>12.80000000000291</v>
      </c>
      <c r="O124" s="55">
        <f t="shared" si="7"/>
        <v>10.799999999988358</v>
      </c>
      <c r="P124" s="55">
        <f t="shared" si="7"/>
        <v>5.3999999999941792</v>
      </c>
      <c r="Q124" s="55">
        <f t="shared" si="7"/>
        <v>0</v>
      </c>
      <c r="R124" s="55">
        <f t="shared" si="9"/>
        <v>0.70000000001164153</v>
      </c>
      <c r="S124" s="55">
        <f t="shared" si="9"/>
        <v>77.199999999953434</v>
      </c>
      <c r="T124" s="55">
        <f t="shared" si="9"/>
        <v>65</v>
      </c>
      <c r="U124" s="56">
        <f t="shared" si="8"/>
        <v>0</v>
      </c>
      <c r="V124" s="56">
        <f t="shared" si="8"/>
        <v>0.70000000001164153</v>
      </c>
      <c r="W124" s="56">
        <f t="shared" si="8"/>
        <v>89.999999999956344</v>
      </c>
      <c r="X124" s="56">
        <f>O124+P124+T124</f>
        <v>81.199999999982538</v>
      </c>
    </row>
    <row r="125" spans="1:24" ht="20" customHeight="1" x14ac:dyDescent="0.35">
      <c r="A125" s="38" t="s">
        <v>284</v>
      </c>
      <c r="B125" s="39">
        <v>404509.2</v>
      </c>
      <c r="C125" s="40">
        <v>219206.2</v>
      </c>
      <c r="D125" s="40">
        <v>43323.4</v>
      </c>
      <c r="E125" s="40">
        <v>364746.8</v>
      </c>
      <c r="F125" s="40">
        <v>245068.79999999999</v>
      </c>
      <c r="G125" s="40">
        <v>518451</v>
      </c>
      <c r="H125" s="40">
        <v>307029.3</v>
      </c>
      <c r="I125" s="40">
        <v>704474.6</v>
      </c>
      <c r="J125" s="43">
        <v>1423311</v>
      </c>
      <c r="L125" s="55">
        <f t="shared" si="7"/>
        <v>0</v>
      </c>
      <c r="M125" s="55">
        <f t="shared" si="7"/>
        <v>0</v>
      </c>
      <c r="N125" s="55">
        <f t="shared" si="7"/>
        <v>12.299999999995634</v>
      </c>
      <c r="O125" s="55">
        <f t="shared" si="7"/>
        <v>10.900000000023283</v>
      </c>
      <c r="P125" s="55">
        <f t="shared" si="7"/>
        <v>5.5</v>
      </c>
      <c r="Q125" s="55">
        <f t="shared" si="7"/>
        <v>0</v>
      </c>
      <c r="R125" s="55">
        <f t="shared" si="9"/>
        <v>0.70000000001164153</v>
      </c>
      <c r="S125" s="55">
        <f t="shared" si="9"/>
        <v>50.900000000023283</v>
      </c>
      <c r="T125" s="55">
        <f t="shared" si="9"/>
        <v>64</v>
      </c>
      <c r="U125" s="56">
        <f t="shared" si="8"/>
        <v>0</v>
      </c>
      <c r="V125" s="56">
        <f t="shared" si="8"/>
        <v>0.70000000001164153</v>
      </c>
      <c r="W125" s="56">
        <f t="shared" si="8"/>
        <v>63.200000000018917</v>
      </c>
      <c r="X125" s="56">
        <f>O125+P125+T125</f>
        <v>80.400000000023283</v>
      </c>
    </row>
    <row r="126" spans="1:24" ht="20" customHeight="1" x14ac:dyDescent="0.35">
      <c r="A126" s="38" t="s">
        <v>285</v>
      </c>
      <c r="B126" s="39">
        <v>404509.2</v>
      </c>
      <c r="C126" s="40">
        <v>219206.2</v>
      </c>
      <c r="D126" s="40">
        <v>43335.7</v>
      </c>
      <c r="E126" s="40">
        <v>364757.7</v>
      </c>
      <c r="F126" s="40">
        <v>245074.3</v>
      </c>
      <c r="G126" s="40">
        <v>518451</v>
      </c>
      <c r="H126" s="40">
        <v>307030</v>
      </c>
      <c r="I126" s="40">
        <v>704525.5</v>
      </c>
      <c r="J126" s="43">
        <v>1423375</v>
      </c>
      <c r="L126" s="55">
        <f t="shared" si="7"/>
        <v>0</v>
      </c>
      <c r="M126" s="55">
        <f t="shared" si="7"/>
        <v>0</v>
      </c>
      <c r="N126" s="55">
        <f t="shared" si="7"/>
        <v>12.30000000000291</v>
      </c>
      <c r="O126" s="55">
        <f t="shared" si="7"/>
        <v>13.799999999988358</v>
      </c>
      <c r="P126" s="55">
        <f t="shared" si="7"/>
        <v>6.6000000000058208</v>
      </c>
      <c r="Q126" s="55">
        <f t="shared" si="7"/>
        <v>0</v>
      </c>
      <c r="R126" s="55">
        <f t="shared" si="9"/>
        <v>0.79999999998835847</v>
      </c>
      <c r="S126" s="55">
        <f t="shared" si="9"/>
        <v>51.800000000046566</v>
      </c>
      <c r="T126" s="55">
        <f t="shared" si="9"/>
        <v>64</v>
      </c>
      <c r="U126" s="56">
        <f t="shared" si="8"/>
        <v>0</v>
      </c>
      <c r="V126" s="56">
        <f t="shared" si="8"/>
        <v>0.79999999998835847</v>
      </c>
      <c r="W126" s="56">
        <f t="shared" si="8"/>
        <v>64.100000000049477</v>
      </c>
      <c r="X126" s="56">
        <f>O126+P126+T126</f>
        <v>84.399999999994179</v>
      </c>
    </row>
    <row r="127" spans="1:24" ht="20" customHeight="1" x14ac:dyDescent="0.35">
      <c r="A127" s="38" t="s">
        <v>286</v>
      </c>
      <c r="B127" s="39">
        <v>404509.2</v>
      </c>
      <c r="C127" s="40">
        <v>219206.2</v>
      </c>
      <c r="D127" s="40">
        <v>43348</v>
      </c>
      <c r="E127" s="40">
        <v>364771.5</v>
      </c>
      <c r="F127" s="40">
        <v>245080.9</v>
      </c>
      <c r="G127" s="40">
        <v>518451</v>
      </c>
      <c r="H127" s="40">
        <v>307030.8</v>
      </c>
      <c r="I127" s="40">
        <v>704577.3</v>
      </c>
      <c r="J127" s="43">
        <v>1423439</v>
      </c>
      <c r="L127" s="55">
        <f t="shared" si="7"/>
        <v>0</v>
      </c>
      <c r="M127" s="55">
        <f t="shared" si="7"/>
        <v>0</v>
      </c>
      <c r="N127" s="55">
        <f t="shared" si="7"/>
        <v>12.5</v>
      </c>
      <c r="O127" s="55">
        <f t="shared" si="7"/>
        <v>19.900000000023283</v>
      </c>
      <c r="P127" s="55">
        <f t="shared" si="7"/>
        <v>13.700000000011642</v>
      </c>
      <c r="Q127" s="55">
        <f t="shared" si="7"/>
        <v>0</v>
      </c>
      <c r="R127" s="55">
        <f t="shared" si="9"/>
        <v>0.70000000001164153</v>
      </c>
      <c r="S127" s="55">
        <f t="shared" si="9"/>
        <v>59.899999999906868</v>
      </c>
      <c r="T127" s="55">
        <f t="shared" si="9"/>
        <v>62</v>
      </c>
      <c r="U127" s="56">
        <f t="shared" si="8"/>
        <v>0</v>
      </c>
      <c r="V127" s="56">
        <f t="shared" si="8"/>
        <v>0.70000000001164153</v>
      </c>
      <c r="W127" s="56">
        <f t="shared" si="8"/>
        <v>72.399999999906868</v>
      </c>
      <c r="X127" s="56">
        <f>O127+P127+T127</f>
        <v>95.600000000034925</v>
      </c>
    </row>
    <row r="128" spans="1:24" ht="20" customHeight="1" x14ac:dyDescent="0.35">
      <c r="A128" s="38" t="s">
        <v>287</v>
      </c>
      <c r="B128" s="39">
        <v>404509.2</v>
      </c>
      <c r="C128" s="40">
        <v>219206.2</v>
      </c>
      <c r="D128" s="40">
        <v>43360.5</v>
      </c>
      <c r="E128" s="40">
        <v>364791.4</v>
      </c>
      <c r="F128" s="40">
        <v>245094.6</v>
      </c>
      <c r="G128" s="40">
        <v>518451</v>
      </c>
      <c r="H128" s="40">
        <v>307031.5</v>
      </c>
      <c r="I128" s="40">
        <v>704637.2</v>
      </c>
      <c r="J128" s="43">
        <v>1423501</v>
      </c>
      <c r="L128" s="55">
        <f t="shared" si="7"/>
        <v>0</v>
      </c>
      <c r="M128" s="55">
        <f t="shared" si="7"/>
        <v>0</v>
      </c>
      <c r="N128" s="55">
        <f t="shared" si="7"/>
        <v>12.400000000001455</v>
      </c>
      <c r="O128" s="55">
        <f t="shared" si="7"/>
        <v>20.399999999965075</v>
      </c>
      <c r="P128" s="55">
        <f t="shared" si="7"/>
        <v>13.600000000005821</v>
      </c>
      <c r="Q128" s="55">
        <f t="shared" si="7"/>
        <v>0</v>
      </c>
      <c r="R128" s="55">
        <f t="shared" si="9"/>
        <v>0.70000000001164153</v>
      </c>
      <c r="S128" s="55">
        <f t="shared" si="9"/>
        <v>54.800000000046566</v>
      </c>
      <c r="T128" s="55">
        <f t="shared" si="9"/>
        <v>63</v>
      </c>
      <c r="U128" s="56">
        <f t="shared" si="8"/>
        <v>0</v>
      </c>
      <c r="V128" s="56">
        <f t="shared" si="8"/>
        <v>0.70000000001164153</v>
      </c>
      <c r="W128" s="56">
        <f t="shared" si="8"/>
        <v>67.200000000048021</v>
      </c>
      <c r="X128" s="56">
        <f>O128+P128+T128</f>
        <v>96.999999999970896</v>
      </c>
    </row>
    <row r="129" spans="1:24" ht="20" customHeight="1" x14ac:dyDescent="0.35">
      <c r="A129" s="38" t="s">
        <v>288</v>
      </c>
      <c r="B129" s="39">
        <v>404509.2</v>
      </c>
      <c r="C129" s="40">
        <v>219206.2</v>
      </c>
      <c r="D129" s="40">
        <v>43372.9</v>
      </c>
      <c r="E129" s="40">
        <v>364811.8</v>
      </c>
      <c r="F129" s="40">
        <v>245108.2</v>
      </c>
      <c r="G129" s="40">
        <v>518451</v>
      </c>
      <c r="H129" s="40">
        <v>307032.2</v>
      </c>
      <c r="I129" s="40">
        <v>704692</v>
      </c>
      <c r="J129" s="43">
        <v>1423564</v>
      </c>
      <c r="L129" s="55">
        <f t="shared" si="7"/>
        <v>0</v>
      </c>
      <c r="M129" s="55">
        <f t="shared" si="7"/>
        <v>0</v>
      </c>
      <c r="N129" s="55">
        <f t="shared" si="7"/>
        <v>11.900000000001455</v>
      </c>
      <c r="O129" s="55">
        <f t="shared" si="7"/>
        <v>17.400000000023283</v>
      </c>
      <c r="P129" s="55">
        <f t="shared" si="7"/>
        <v>12.899999999994179</v>
      </c>
      <c r="Q129" s="55">
        <f t="shared" si="7"/>
        <v>0</v>
      </c>
      <c r="R129" s="55">
        <f t="shared" si="9"/>
        <v>0.70000000001164153</v>
      </c>
      <c r="S129" s="55">
        <f t="shared" si="9"/>
        <v>34.300000000046566</v>
      </c>
      <c r="T129" s="55">
        <f t="shared" si="9"/>
        <v>63</v>
      </c>
      <c r="U129" s="56">
        <f t="shared" si="8"/>
        <v>0</v>
      </c>
      <c r="V129" s="56">
        <f t="shared" si="8"/>
        <v>0.70000000001164153</v>
      </c>
      <c r="W129" s="56">
        <f t="shared" si="8"/>
        <v>46.200000000048021</v>
      </c>
      <c r="X129" s="56">
        <f>O129+P129+T129</f>
        <v>93.300000000017462</v>
      </c>
    </row>
    <row r="130" spans="1:24" ht="20" customHeight="1" x14ac:dyDescent="0.35">
      <c r="A130" s="38" t="s">
        <v>289</v>
      </c>
      <c r="B130" s="39">
        <v>404509.2</v>
      </c>
      <c r="C130" s="40">
        <v>219206.2</v>
      </c>
      <c r="D130" s="40">
        <v>43384.800000000003</v>
      </c>
      <c r="E130" s="40">
        <v>364829.2</v>
      </c>
      <c r="F130" s="40">
        <v>245121.1</v>
      </c>
      <c r="G130" s="40">
        <v>518451</v>
      </c>
      <c r="H130" s="40">
        <v>307032.90000000002</v>
      </c>
      <c r="I130" s="40">
        <v>704726.3</v>
      </c>
      <c r="J130" s="43">
        <v>1423627</v>
      </c>
      <c r="L130" s="55">
        <f t="shared" si="7"/>
        <v>0</v>
      </c>
      <c r="M130" s="55">
        <f t="shared" si="7"/>
        <v>0</v>
      </c>
      <c r="N130" s="55">
        <f t="shared" si="7"/>
        <v>11.799999999995634</v>
      </c>
      <c r="O130" s="55">
        <f t="shared" si="7"/>
        <v>10.899999999965075</v>
      </c>
      <c r="P130" s="55">
        <f t="shared" si="7"/>
        <v>5.5</v>
      </c>
      <c r="Q130" s="55">
        <f t="shared" si="7"/>
        <v>0</v>
      </c>
      <c r="R130" s="55">
        <f t="shared" si="9"/>
        <v>0.79999999998835847</v>
      </c>
      <c r="S130" s="55">
        <f t="shared" si="9"/>
        <v>28.099999999976717</v>
      </c>
      <c r="T130" s="55">
        <f t="shared" si="9"/>
        <v>65</v>
      </c>
      <c r="U130" s="56">
        <f t="shared" si="8"/>
        <v>0</v>
      </c>
      <c r="V130" s="56">
        <f t="shared" si="8"/>
        <v>0.79999999998835847</v>
      </c>
      <c r="W130" s="56">
        <f t="shared" si="8"/>
        <v>39.899999999972351</v>
      </c>
      <c r="X130" s="56">
        <f>O130+P130+T130</f>
        <v>81.399999999965075</v>
      </c>
    </row>
    <row r="131" spans="1:24" ht="20" customHeight="1" x14ac:dyDescent="0.35">
      <c r="A131" s="38" t="s">
        <v>290</v>
      </c>
      <c r="B131" s="39">
        <v>404509.2</v>
      </c>
      <c r="C131" s="40">
        <v>219206.2</v>
      </c>
      <c r="D131" s="40">
        <v>43396.6</v>
      </c>
      <c r="E131" s="40">
        <v>364840.1</v>
      </c>
      <c r="F131" s="40">
        <v>245126.6</v>
      </c>
      <c r="G131" s="40">
        <v>518451</v>
      </c>
      <c r="H131" s="40">
        <v>307033.7</v>
      </c>
      <c r="I131" s="40">
        <v>704754.4</v>
      </c>
      <c r="J131" s="43">
        <v>1423692</v>
      </c>
      <c r="L131" s="55">
        <f t="shared" si="7"/>
        <v>0</v>
      </c>
      <c r="M131" s="55">
        <f t="shared" si="7"/>
        <v>0</v>
      </c>
      <c r="N131" s="55">
        <f t="shared" si="7"/>
        <v>11.599999999998545</v>
      </c>
      <c r="O131" s="55">
        <f t="shared" si="7"/>
        <v>10.900000000023283</v>
      </c>
      <c r="P131" s="55">
        <f t="shared" si="7"/>
        <v>5.3999999999941792</v>
      </c>
      <c r="Q131" s="55">
        <f t="shared" si="7"/>
        <v>2.5999999999767169</v>
      </c>
      <c r="R131" s="55">
        <f t="shared" si="9"/>
        <v>0.70000000001164153</v>
      </c>
      <c r="S131" s="55">
        <f t="shared" si="9"/>
        <v>17.699999999953434</v>
      </c>
      <c r="T131" s="55">
        <f t="shared" si="9"/>
        <v>65</v>
      </c>
      <c r="U131" s="56">
        <f t="shared" si="8"/>
        <v>2.5999999999767169</v>
      </c>
      <c r="V131" s="56">
        <f t="shared" si="8"/>
        <v>0.70000000001164153</v>
      </c>
      <c r="W131" s="56">
        <f t="shared" si="8"/>
        <v>29.299999999951979</v>
      </c>
      <c r="X131" s="56">
        <f>O131+P131+T131</f>
        <v>81.300000000017462</v>
      </c>
    </row>
    <row r="132" spans="1:24" ht="20" customHeight="1" x14ac:dyDescent="0.35">
      <c r="A132" s="38" t="s">
        <v>291</v>
      </c>
      <c r="B132" s="39">
        <v>404509.2</v>
      </c>
      <c r="C132" s="40">
        <v>219206.2</v>
      </c>
      <c r="D132" s="40">
        <v>43408.2</v>
      </c>
      <c r="E132" s="40">
        <v>364851</v>
      </c>
      <c r="F132" s="40">
        <v>245132</v>
      </c>
      <c r="G132" s="40">
        <v>518453.6</v>
      </c>
      <c r="H132" s="40">
        <v>307034.40000000002</v>
      </c>
      <c r="I132" s="40">
        <v>704772.1</v>
      </c>
      <c r="J132" s="43">
        <v>1423757</v>
      </c>
      <c r="L132" s="55">
        <f t="shared" si="7"/>
        <v>0</v>
      </c>
      <c r="M132" s="55">
        <f t="shared" si="7"/>
        <v>0</v>
      </c>
      <c r="N132" s="55">
        <f t="shared" si="7"/>
        <v>11.400000000001455</v>
      </c>
      <c r="O132" s="55">
        <f t="shared" si="7"/>
        <v>10.900000000023283</v>
      </c>
      <c r="P132" s="55">
        <f t="shared" si="7"/>
        <v>6.7000000000116415</v>
      </c>
      <c r="Q132" s="55">
        <f t="shared" si="7"/>
        <v>0</v>
      </c>
      <c r="R132" s="55">
        <f t="shared" si="9"/>
        <v>0.79999999998835847</v>
      </c>
      <c r="S132" s="55">
        <f t="shared" si="9"/>
        <v>15.800000000046566</v>
      </c>
      <c r="T132" s="55">
        <f t="shared" si="9"/>
        <v>65</v>
      </c>
      <c r="U132" s="56">
        <f t="shared" si="8"/>
        <v>0</v>
      </c>
      <c r="V132" s="56">
        <f t="shared" si="8"/>
        <v>0.79999999998835847</v>
      </c>
      <c r="W132" s="56">
        <f t="shared" si="8"/>
        <v>27.200000000048021</v>
      </c>
      <c r="X132" s="56">
        <f>O132+P132+T132</f>
        <v>82.600000000034925</v>
      </c>
    </row>
    <row r="133" spans="1:24" ht="20" customHeight="1" x14ac:dyDescent="0.35">
      <c r="A133" s="38" t="s">
        <v>292</v>
      </c>
      <c r="B133" s="39">
        <v>404509.2</v>
      </c>
      <c r="C133" s="40">
        <v>219206.2</v>
      </c>
      <c r="D133" s="40">
        <v>43419.6</v>
      </c>
      <c r="E133" s="40">
        <v>364861.9</v>
      </c>
      <c r="F133" s="40">
        <v>245138.7</v>
      </c>
      <c r="G133" s="40">
        <v>518453.6</v>
      </c>
      <c r="H133" s="40">
        <v>307035.2</v>
      </c>
      <c r="I133" s="40">
        <v>704787.9</v>
      </c>
      <c r="J133" s="43">
        <v>1423822</v>
      </c>
      <c r="L133" s="55">
        <f t="shared" si="7"/>
        <v>0</v>
      </c>
      <c r="M133" s="55">
        <f t="shared" si="7"/>
        <v>0</v>
      </c>
      <c r="N133" s="55">
        <f t="shared" si="7"/>
        <v>11.80000000000291</v>
      </c>
      <c r="O133" s="55">
        <f t="shared" si="7"/>
        <v>14.099999999976717</v>
      </c>
      <c r="P133" s="55">
        <f t="shared" si="7"/>
        <v>14.099999999976717</v>
      </c>
      <c r="Q133" s="55">
        <f t="shared" si="7"/>
        <v>0</v>
      </c>
      <c r="R133" s="55">
        <f t="shared" si="9"/>
        <v>0.70000000001164153</v>
      </c>
      <c r="S133" s="55">
        <f t="shared" si="9"/>
        <v>28.699999999953434</v>
      </c>
      <c r="T133" s="55">
        <f t="shared" si="9"/>
        <v>65</v>
      </c>
      <c r="U133" s="56">
        <f t="shared" si="8"/>
        <v>0</v>
      </c>
      <c r="V133" s="56">
        <f t="shared" si="8"/>
        <v>0.70000000001164153</v>
      </c>
      <c r="W133" s="56">
        <f t="shared" si="8"/>
        <v>40.499999999956344</v>
      </c>
      <c r="X133" s="56">
        <f>O133+P133+T133</f>
        <v>93.199999999953434</v>
      </c>
    </row>
    <row r="134" spans="1:24" ht="20" customHeight="1" x14ac:dyDescent="0.35">
      <c r="A134" s="38" t="s">
        <v>293</v>
      </c>
      <c r="B134" s="39">
        <v>404509.2</v>
      </c>
      <c r="C134" s="40">
        <v>219206.2</v>
      </c>
      <c r="D134" s="40">
        <v>43431.4</v>
      </c>
      <c r="E134" s="40">
        <v>364876</v>
      </c>
      <c r="F134" s="40">
        <v>245152.8</v>
      </c>
      <c r="G134" s="40">
        <v>518453.6</v>
      </c>
      <c r="H134" s="40">
        <v>307035.90000000002</v>
      </c>
      <c r="I134" s="40">
        <v>704816.6</v>
      </c>
      <c r="J134" s="43">
        <v>1423887</v>
      </c>
      <c r="L134" s="55">
        <f t="shared" si="7"/>
        <v>0</v>
      </c>
      <c r="M134" s="55">
        <f t="shared" si="7"/>
        <v>0</v>
      </c>
      <c r="N134" s="55">
        <f t="shared" si="7"/>
        <v>11.799999999995634</v>
      </c>
      <c r="O134" s="55">
        <f t="shared" si="7"/>
        <v>17.599999999976717</v>
      </c>
      <c r="P134" s="55">
        <f t="shared" si="7"/>
        <v>13.800000000017462</v>
      </c>
      <c r="Q134" s="55">
        <f t="shared" si="7"/>
        <v>0</v>
      </c>
      <c r="R134" s="55">
        <f t="shared" si="9"/>
        <v>0.69999999995343387</v>
      </c>
      <c r="S134" s="55">
        <f t="shared" si="9"/>
        <v>25.5</v>
      </c>
      <c r="T134" s="55">
        <f t="shared" si="9"/>
        <v>64</v>
      </c>
      <c r="U134" s="56">
        <f t="shared" si="8"/>
        <v>0</v>
      </c>
      <c r="V134" s="56">
        <f t="shared" si="8"/>
        <v>0.69999999995343387</v>
      </c>
      <c r="W134" s="56">
        <f t="shared" si="8"/>
        <v>37.299999999995634</v>
      </c>
      <c r="X134" s="56">
        <f>O134+P134+T134</f>
        <v>95.399999999994179</v>
      </c>
    </row>
    <row r="135" spans="1:24" ht="16.75" customHeight="1" x14ac:dyDescent="0.35">
      <c r="A135" s="38" t="s">
        <v>294</v>
      </c>
      <c r="B135" s="39">
        <v>404509.2</v>
      </c>
      <c r="C135" s="40">
        <v>219206.2</v>
      </c>
      <c r="D135" s="40">
        <v>43443.199999999997</v>
      </c>
      <c r="E135" s="40">
        <v>364893.6</v>
      </c>
      <c r="F135" s="40">
        <v>245166.6</v>
      </c>
      <c r="G135" s="40">
        <v>518453.6</v>
      </c>
      <c r="H135" s="40">
        <v>307036.59999999998</v>
      </c>
      <c r="I135" s="40">
        <v>704842.1</v>
      </c>
      <c r="J135" s="43">
        <v>1423951</v>
      </c>
      <c r="L135" s="55">
        <f t="shared" si="7"/>
        <v>0</v>
      </c>
      <c r="M135" s="55">
        <f t="shared" si="7"/>
        <v>0</v>
      </c>
      <c r="N135" s="55">
        <f t="shared" si="7"/>
        <v>11.5</v>
      </c>
      <c r="O135" s="55">
        <f t="shared" si="7"/>
        <v>11</v>
      </c>
      <c r="P135" s="55">
        <f t="shared" si="7"/>
        <v>13.100000000005821</v>
      </c>
      <c r="Q135" s="55">
        <f t="shared" si="7"/>
        <v>0</v>
      </c>
      <c r="R135" s="55">
        <f t="shared" si="9"/>
        <v>0.80000000004656613</v>
      </c>
      <c r="S135" s="55">
        <f t="shared" si="9"/>
        <v>20.700000000069849</v>
      </c>
      <c r="T135" s="55">
        <f t="shared" si="9"/>
        <v>66</v>
      </c>
      <c r="U135" s="56">
        <f t="shared" si="8"/>
        <v>0</v>
      </c>
      <c r="V135" s="56">
        <f t="shared" si="8"/>
        <v>0.80000000004656613</v>
      </c>
      <c r="W135" s="56">
        <f t="shared" si="8"/>
        <v>32.200000000069849</v>
      </c>
      <c r="X135" s="56">
        <f>O135+P135+T135</f>
        <v>90.100000000005821</v>
      </c>
    </row>
    <row r="136" spans="1:24" ht="20" customHeight="1" x14ac:dyDescent="0.35">
      <c r="A136" s="38" t="s">
        <v>295</v>
      </c>
      <c r="B136" s="39">
        <v>404509.2</v>
      </c>
      <c r="C136" s="40">
        <v>219206.2</v>
      </c>
      <c r="D136" s="40">
        <v>43454.7</v>
      </c>
      <c r="E136" s="40">
        <v>364904.6</v>
      </c>
      <c r="F136" s="40">
        <v>245179.7</v>
      </c>
      <c r="G136" s="40">
        <v>518453.6</v>
      </c>
      <c r="H136" s="40">
        <v>307037.40000000002</v>
      </c>
      <c r="I136" s="40">
        <v>704862.8</v>
      </c>
      <c r="J136" s="43">
        <v>1424017</v>
      </c>
      <c r="L136" s="55">
        <f t="shared" si="7"/>
        <v>0</v>
      </c>
      <c r="M136" s="55">
        <f t="shared" si="7"/>
        <v>0</v>
      </c>
      <c r="N136" s="55">
        <f t="shared" si="7"/>
        <v>11.900000000001455</v>
      </c>
      <c r="O136" s="55">
        <f t="shared" si="7"/>
        <v>11</v>
      </c>
      <c r="P136" s="55">
        <f t="shared" si="7"/>
        <v>5.5</v>
      </c>
      <c r="Q136" s="55">
        <f t="shared" si="7"/>
        <v>0</v>
      </c>
      <c r="R136" s="55">
        <f t="shared" si="9"/>
        <v>0.69999999995343387</v>
      </c>
      <c r="S136" s="55">
        <f t="shared" si="9"/>
        <v>28.099999999976717</v>
      </c>
      <c r="T136" s="55">
        <f t="shared" si="9"/>
        <v>66</v>
      </c>
      <c r="U136" s="56">
        <f t="shared" si="8"/>
        <v>0</v>
      </c>
      <c r="V136" s="56">
        <f t="shared" si="8"/>
        <v>0.69999999995343387</v>
      </c>
      <c r="W136" s="56">
        <f t="shared" si="8"/>
        <v>39.999999999978172</v>
      </c>
      <c r="X136" s="56">
        <f>O136+P136+T136</f>
        <v>82.5</v>
      </c>
    </row>
    <row r="137" spans="1:24" ht="20" customHeight="1" x14ac:dyDescent="0.35">
      <c r="A137" s="38" t="s">
        <v>296</v>
      </c>
      <c r="B137" s="39">
        <v>404509.2</v>
      </c>
      <c r="C137" s="40">
        <v>219206.2</v>
      </c>
      <c r="D137" s="40">
        <v>43466.6</v>
      </c>
      <c r="E137" s="40">
        <v>364915.6</v>
      </c>
      <c r="F137" s="40">
        <v>245185.2</v>
      </c>
      <c r="G137" s="40">
        <v>518453.6</v>
      </c>
      <c r="H137" s="40">
        <v>307038.09999999998</v>
      </c>
      <c r="I137" s="40">
        <v>704890.9</v>
      </c>
      <c r="J137" s="43">
        <v>1424083</v>
      </c>
      <c r="L137" s="55">
        <f t="shared" si="7"/>
        <v>0</v>
      </c>
      <c r="M137" s="55">
        <f t="shared" si="7"/>
        <v>0</v>
      </c>
      <c r="N137" s="55">
        <f t="shared" si="7"/>
        <v>11.700000000004366</v>
      </c>
      <c r="O137" s="55">
        <f t="shared" ref="O137:Q180" si="10">IFERROR(E138-E137,0)</f>
        <v>11</v>
      </c>
      <c r="P137" s="55">
        <f t="shared" si="10"/>
        <v>5.3999999999941792</v>
      </c>
      <c r="Q137" s="55">
        <f t="shared" si="10"/>
        <v>0</v>
      </c>
      <c r="R137" s="55">
        <f t="shared" si="9"/>
        <v>0.80000000004656613</v>
      </c>
      <c r="S137" s="55">
        <f t="shared" si="9"/>
        <v>23.699999999953434</v>
      </c>
      <c r="T137" s="55">
        <f t="shared" si="9"/>
        <v>65</v>
      </c>
      <c r="U137" s="56">
        <f t="shared" si="8"/>
        <v>0</v>
      </c>
      <c r="V137" s="56">
        <f t="shared" si="8"/>
        <v>0.80000000004656613</v>
      </c>
      <c r="W137" s="56">
        <f t="shared" si="8"/>
        <v>35.399999999957799</v>
      </c>
      <c r="X137" s="56">
        <f>O137+P137+T137</f>
        <v>81.399999999994179</v>
      </c>
    </row>
    <row r="138" spans="1:24" ht="20" customHeight="1" x14ac:dyDescent="0.35">
      <c r="A138" s="38" t="s">
        <v>297</v>
      </c>
      <c r="B138" s="39">
        <v>404509.2</v>
      </c>
      <c r="C138" s="40">
        <v>219206.2</v>
      </c>
      <c r="D138" s="40">
        <v>43478.3</v>
      </c>
      <c r="E138" s="40">
        <v>364926.6</v>
      </c>
      <c r="F138" s="40">
        <v>245190.6</v>
      </c>
      <c r="G138" s="40">
        <v>518453.6</v>
      </c>
      <c r="H138" s="40">
        <v>307038.90000000002</v>
      </c>
      <c r="I138" s="40">
        <v>704914.6</v>
      </c>
      <c r="J138" s="43">
        <v>1424148</v>
      </c>
      <c r="L138" s="55">
        <f t="shared" ref="L138:N181" si="11">IFERROR(B139-B138,0)</f>
        <v>0</v>
      </c>
      <c r="M138" s="55">
        <f t="shared" si="11"/>
        <v>0</v>
      </c>
      <c r="N138" s="55">
        <f t="shared" si="11"/>
        <v>11.69999999999709</v>
      </c>
      <c r="O138" s="55">
        <f t="shared" si="10"/>
        <v>11</v>
      </c>
      <c r="P138" s="55">
        <f t="shared" si="10"/>
        <v>5.5</v>
      </c>
      <c r="Q138" s="55">
        <f t="shared" si="10"/>
        <v>0</v>
      </c>
      <c r="R138" s="55">
        <f t="shared" si="9"/>
        <v>0.69999999995343387</v>
      </c>
      <c r="S138" s="55">
        <f t="shared" si="9"/>
        <v>32.200000000069849</v>
      </c>
      <c r="T138" s="55">
        <f t="shared" si="9"/>
        <v>65</v>
      </c>
      <c r="U138" s="56">
        <f t="shared" si="8"/>
        <v>0</v>
      </c>
      <c r="V138" s="56">
        <f t="shared" si="8"/>
        <v>0.69999999995343387</v>
      </c>
      <c r="W138" s="56">
        <f t="shared" si="8"/>
        <v>43.900000000066939</v>
      </c>
      <c r="X138" s="56">
        <f>O138+P138+T138</f>
        <v>81.5</v>
      </c>
    </row>
    <row r="139" spans="1:24" ht="20" customHeight="1" x14ac:dyDescent="0.35">
      <c r="A139" s="38" t="s">
        <v>298</v>
      </c>
      <c r="B139" s="39">
        <v>404509.2</v>
      </c>
      <c r="C139" s="40">
        <v>219206.2</v>
      </c>
      <c r="D139" s="40">
        <v>43490</v>
      </c>
      <c r="E139" s="40">
        <v>364937.6</v>
      </c>
      <c r="F139" s="40">
        <v>245196.1</v>
      </c>
      <c r="G139" s="40">
        <v>518453.6</v>
      </c>
      <c r="H139" s="40">
        <v>307039.59999999998</v>
      </c>
      <c r="I139" s="40">
        <v>704946.8</v>
      </c>
      <c r="J139" s="43">
        <v>1424213</v>
      </c>
      <c r="L139" s="55">
        <f t="shared" si="11"/>
        <v>0</v>
      </c>
      <c r="M139" s="55">
        <f t="shared" si="11"/>
        <v>0</v>
      </c>
      <c r="N139" s="55">
        <f t="shared" si="11"/>
        <v>12.5</v>
      </c>
      <c r="O139" s="55">
        <f t="shared" si="10"/>
        <v>14.200000000011642</v>
      </c>
      <c r="P139" s="55">
        <f t="shared" si="10"/>
        <v>6.6999999999825377</v>
      </c>
      <c r="Q139" s="55">
        <f t="shared" si="10"/>
        <v>0</v>
      </c>
      <c r="R139" s="55">
        <f t="shared" si="9"/>
        <v>0.70000000001164153</v>
      </c>
      <c r="S139" s="55">
        <f t="shared" si="9"/>
        <v>63.899999999906868</v>
      </c>
      <c r="T139" s="55">
        <f t="shared" si="9"/>
        <v>63</v>
      </c>
      <c r="U139" s="56">
        <f t="shared" si="8"/>
        <v>0</v>
      </c>
      <c r="V139" s="56">
        <f t="shared" si="8"/>
        <v>0.70000000001164153</v>
      </c>
      <c r="W139" s="56">
        <f t="shared" si="8"/>
        <v>76.399999999906868</v>
      </c>
      <c r="X139" s="56">
        <f>O139+P139+T139</f>
        <v>83.899999999994179</v>
      </c>
    </row>
    <row r="140" spans="1:24" ht="20" customHeight="1" x14ac:dyDescent="0.35">
      <c r="A140" s="38" t="s">
        <v>299</v>
      </c>
      <c r="B140" s="39">
        <v>404509.2</v>
      </c>
      <c r="C140" s="40">
        <v>219206.2</v>
      </c>
      <c r="D140" s="40">
        <v>43502.5</v>
      </c>
      <c r="E140" s="40">
        <v>364951.8</v>
      </c>
      <c r="F140" s="40">
        <v>245202.8</v>
      </c>
      <c r="G140" s="40">
        <v>518453.6</v>
      </c>
      <c r="H140" s="40">
        <v>307040.3</v>
      </c>
      <c r="I140" s="40">
        <v>705010.7</v>
      </c>
      <c r="J140" s="43">
        <v>1424276</v>
      </c>
      <c r="L140" s="55">
        <f t="shared" si="11"/>
        <v>0</v>
      </c>
      <c r="M140" s="55">
        <f t="shared" si="11"/>
        <v>0</v>
      </c>
      <c r="N140" s="55">
        <f t="shared" si="11"/>
        <v>12.80000000000291</v>
      </c>
      <c r="O140" s="55">
        <f t="shared" si="10"/>
        <v>17.400000000023283</v>
      </c>
      <c r="P140" s="55">
        <f t="shared" si="10"/>
        <v>13.5</v>
      </c>
      <c r="Q140" s="55">
        <f t="shared" si="10"/>
        <v>0</v>
      </c>
      <c r="R140" s="55">
        <f t="shared" si="9"/>
        <v>0.79999999998835847</v>
      </c>
      <c r="S140" s="55">
        <f t="shared" si="9"/>
        <v>72.900000000023283</v>
      </c>
      <c r="T140" s="55">
        <f t="shared" si="9"/>
        <v>62</v>
      </c>
      <c r="U140" s="56">
        <f t="shared" si="8"/>
        <v>0</v>
      </c>
      <c r="V140" s="56">
        <f t="shared" si="8"/>
        <v>0.79999999998835847</v>
      </c>
      <c r="W140" s="56">
        <f t="shared" si="8"/>
        <v>85.700000000026193</v>
      </c>
      <c r="X140" s="56">
        <f>O140+P140+T140</f>
        <v>92.900000000023283</v>
      </c>
    </row>
    <row r="141" spans="1:24" ht="20" customHeight="1" x14ac:dyDescent="0.35">
      <c r="A141" s="38" t="s">
        <v>300</v>
      </c>
      <c r="B141" s="39">
        <v>404509.2</v>
      </c>
      <c r="C141" s="40">
        <v>219206.2</v>
      </c>
      <c r="D141" s="40">
        <v>43515.3</v>
      </c>
      <c r="E141" s="40">
        <v>364969.2</v>
      </c>
      <c r="F141" s="40">
        <v>245216.3</v>
      </c>
      <c r="G141" s="40">
        <v>518453.6</v>
      </c>
      <c r="H141" s="40">
        <v>307041.09999999998</v>
      </c>
      <c r="I141" s="40">
        <v>705083.6</v>
      </c>
      <c r="J141" s="43">
        <v>1424338</v>
      </c>
      <c r="L141" s="55">
        <f t="shared" si="11"/>
        <v>0</v>
      </c>
      <c r="M141" s="55">
        <f t="shared" si="11"/>
        <v>0</v>
      </c>
      <c r="N141" s="55">
        <f t="shared" si="11"/>
        <v>12.5</v>
      </c>
      <c r="O141" s="55">
        <f t="shared" si="10"/>
        <v>11</v>
      </c>
      <c r="P141" s="55">
        <f t="shared" si="10"/>
        <v>12.800000000017462</v>
      </c>
      <c r="Q141" s="55">
        <f t="shared" si="10"/>
        <v>0</v>
      </c>
      <c r="R141" s="55">
        <f t="shared" si="9"/>
        <v>0.70000000001164153</v>
      </c>
      <c r="S141" s="55">
        <f t="shared" si="9"/>
        <v>69.700000000069849</v>
      </c>
      <c r="T141" s="55">
        <f t="shared" si="9"/>
        <v>64</v>
      </c>
      <c r="U141" s="56">
        <f t="shared" si="8"/>
        <v>0</v>
      </c>
      <c r="V141" s="56">
        <f t="shared" si="8"/>
        <v>0.70000000001164153</v>
      </c>
      <c r="W141" s="56">
        <f t="shared" si="8"/>
        <v>82.200000000069849</v>
      </c>
      <c r="X141" s="56">
        <f>O141+P141+T141</f>
        <v>87.800000000017462</v>
      </c>
    </row>
    <row r="142" spans="1:24" ht="20" customHeight="1" x14ac:dyDescent="0.35">
      <c r="A142" s="38" t="s">
        <v>301</v>
      </c>
      <c r="B142" s="39">
        <v>404509.2</v>
      </c>
      <c r="C142" s="40">
        <v>219206.2</v>
      </c>
      <c r="D142" s="40">
        <v>43527.8</v>
      </c>
      <c r="E142" s="40">
        <v>364980.2</v>
      </c>
      <c r="F142" s="40">
        <v>245229.1</v>
      </c>
      <c r="G142" s="40">
        <v>518453.6</v>
      </c>
      <c r="H142" s="40">
        <v>307041.8</v>
      </c>
      <c r="I142" s="40">
        <v>705153.3</v>
      </c>
      <c r="J142" s="43">
        <v>1424402</v>
      </c>
      <c r="L142" s="55">
        <f t="shared" si="11"/>
        <v>0</v>
      </c>
      <c r="M142" s="55">
        <f t="shared" si="11"/>
        <v>0</v>
      </c>
      <c r="N142" s="55">
        <f t="shared" si="11"/>
        <v>12.799999999995634</v>
      </c>
      <c r="O142" s="55">
        <f t="shared" si="10"/>
        <v>11.099999999976717</v>
      </c>
      <c r="P142" s="55">
        <f t="shared" si="10"/>
        <v>5.3999999999941792</v>
      </c>
      <c r="Q142" s="55">
        <f t="shared" si="10"/>
        <v>0</v>
      </c>
      <c r="R142" s="55">
        <f t="shared" si="9"/>
        <v>0.70000000001164153</v>
      </c>
      <c r="S142" s="55">
        <f t="shared" si="9"/>
        <v>78.399999999906868</v>
      </c>
      <c r="T142" s="55">
        <f t="shared" si="9"/>
        <v>65</v>
      </c>
      <c r="U142" s="56">
        <f t="shared" si="8"/>
        <v>0</v>
      </c>
      <c r="V142" s="56">
        <f t="shared" si="8"/>
        <v>0.70000000001164153</v>
      </c>
      <c r="W142" s="56">
        <f t="shared" si="8"/>
        <v>91.199999999902502</v>
      </c>
      <c r="X142" s="56">
        <f>O142+P142+T142</f>
        <v>81.499999999970896</v>
      </c>
    </row>
    <row r="143" spans="1:24" ht="20" customHeight="1" x14ac:dyDescent="0.35">
      <c r="A143" s="38" t="s">
        <v>302</v>
      </c>
      <c r="B143" s="39">
        <v>404509.2</v>
      </c>
      <c r="C143" s="40">
        <v>219206.2</v>
      </c>
      <c r="D143" s="40">
        <v>43540.6</v>
      </c>
      <c r="E143" s="40">
        <v>364991.3</v>
      </c>
      <c r="F143" s="40">
        <v>245234.5</v>
      </c>
      <c r="G143" s="40">
        <v>518453.6</v>
      </c>
      <c r="H143" s="40">
        <v>307042.5</v>
      </c>
      <c r="I143" s="40">
        <v>705231.7</v>
      </c>
      <c r="J143" s="43">
        <v>1424467</v>
      </c>
      <c r="L143" s="55">
        <f t="shared" si="11"/>
        <v>0</v>
      </c>
      <c r="M143" s="55">
        <f t="shared" si="11"/>
        <v>0</v>
      </c>
      <c r="N143" s="55">
        <f t="shared" si="11"/>
        <v>12.700000000004366</v>
      </c>
      <c r="O143" s="55">
        <f t="shared" si="10"/>
        <v>11.100000000034925</v>
      </c>
      <c r="P143" s="55">
        <f t="shared" si="10"/>
        <v>5.3999999999941792</v>
      </c>
      <c r="Q143" s="55">
        <f t="shared" si="10"/>
        <v>0</v>
      </c>
      <c r="R143" s="55">
        <f t="shared" si="9"/>
        <v>0.70000000001164153</v>
      </c>
      <c r="S143" s="55">
        <f t="shared" si="9"/>
        <v>76.200000000069849</v>
      </c>
      <c r="T143" s="55">
        <f t="shared" si="9"/>
        <v>65</v>
      </c>
      <c r="U143" s="56">
        <f t="shared" si="8"/>
        <v>0</v>
      </c>
      <c r="V143" s="56">
        <f t="shared" si="8"/>
        <v>0.70000000001164153</v>
      </c>
      <c r="W143" s="56">
        <f t="shared" si="8"/>
        <v>88.900000000074215</v>
      </c>
      <c r="X143" s="56">
        <f>O143+P143+T143</f>
        <v>81.500000000029104</v>
      </c>
    </row>
    <row r="144" spans="1:24" ht="20" customHeight="1" x14ac:dyDescent="0.35">
      <c r="A144" s="38" t="s">
        <v>303</v>
      </c>
      <c r="B144" s="39">
        <v>404509.2</v>
      </c>
      <c r="C144" s="40">
        <v>219206.2</v>
      </c>
      <c r="D144" s="40">
        <v>43553.3</v>
      </c>
      <c r="E144" s="40">
        <v>365002.4</v>
      </c>
      <c r="F144" s="40">
        <v>245239.9</v>
      </c>
      <c r="G144" s="40">
        <v>518453.6</v>
      </c>
      <c r="H144" s="40">
        <v>307043.20000000001</v>
      </c>
      <c r="I144" s="40">
        <v>705307.9</v>
      </c>
      <c r="J144" s="43">
        <v>1424532</v>
      </c>
      <c r="L144" s="55">
        <f t="shared" si="11"/>
        <v>0</v>
      </c>
      <c r="M144" s="55">
        <f t="shared" si="11"/>
        <v>0</v>
      </c>
      <c r="N144" s="55">
        <f t="shared" si="11"/>
        <v>12.69999999999709</v>
      </c>
      <c r="O144" s="55">
        <f t="shared" si="10"/>
        <v>14</v>
      </c>
      <c r="P144" s="55">
        <f t="shared" si="10"/>
        <v>6.7000000000116415</v>
      </c>
      <c r="Q144" s="55">
        <f t="shared" si="10"/>
        <v>0</v>
      </c>
      <c r="R144" s="55">
        <f t="shared" si="9"/>
        <v>0.79999999998835847</v>
      </c>
      <c r="S144" s="55">
        <f t="shared" si="9"/>
        <v>80.199999999953434</v>
      </c>
      <c r="T144" s="55">
        <f t="shared" si="9"/>
        <v>64</v>
      </c>
      <c r="U144" s="56">
        <f t="shared" si="8"/>
        <v>0</v>
      </c>
      <c r="V144" s="56">
        <f t="shared" si="8"/>
        <v>0.79999999998835847</v>
      </c>
      <c r="W144" s="56">
        <f t="shared" si="8"/>
        <v>92.899999999950523</v>
      </c>
      <c r="X144" s="56">
        <f>O144+P144+T144</f>
        <v>84.700000000011642</v>
      </c>
    </row>
    <row r="145" spans="1:24" ht="20" customHeight="1" x14ac:dyDescent="0.35">
      <c r="A145" s="38" t="s">
        <v>304</v>
      </c>
      <c r="B145" s="39">
        <v>404509.2</v>
      </c>
      <c r="C145" s="40">
        <v>219206.2</v>
      </c>
      <c r="D145" s="40">
        <v>43566</v>
      </c>
      <c r="E145" s="40">
        <v>365016.4</v>
      </c>
      <c r="F145" s="40">
        <v>245246.6</v>
      </c>
      <c r="G145" s="40">
        <v>518453.6</v>
      </c>
      <c r="H145" s="40">
        <v>307044</v>
      </c>
      <c r="I145" s="40">
        <v>705388.1</v>
      </c>
      <c r="J145" s="43">
        <v>1424596</v>
      </c>
      <c r="L145" s="55">
        <f t="shared" si="11"/>
        <v>0</v>
      </c>
      <c r="M145" s="55">
        <f t="shared" si="11"/>
        <v>0</v>
      </c>
      <c r="N145" s="55">
        <f t="shared" si="11"/>
        <v>12.69999999999709</v>
      </c>
      <c r="O145" s="55">
        <f t="shared" si="10"/>
        <v>20.299999999988358</v>
      </c>
      <c r="P145" s="55">
        <f t="shared" si="10"/>
        <v>13.899999999994179</v>
      </c>
      <c r="Q145" s="55">
        <f t="shared" si="10"/>
        <v>0</v>
      </c>
      <c r="R145" s="55">
        <f t="shared" si="9"/>
        <v>0.70000000001164153</v>
      </c>
      <c r="S145" s="55">
        <f t="shared" si="9"/>
        <v>80.5</v>
      </c>
      <c r="T145" s="55">
        <f t="shared" si="9"/>
        <v>65</v>
      </c>
      <c r="U145" s="56">
        <f t="shared" si="8"/>
        <v>0</v>
      </c>
      <c r="V145" s="56">
        <f t="shared" si="8"/>
        <v>0.70000000001164153</v>
      </c>
      <c r="W145" s="56">
        <f t="shared" si="8"/>
        <v>93.19999999999709</v>
      </c>
      <c r="X145" s="56">
        <f>O145+P145+T145</f>
        <v>99.199999999982538</v>
      </c>
    </row>
    <row r="146" spans="1:24" ht="20" customHeight="1" x14ac:dyDescent="0.35">
      <c r="A146" s="38" t="s">
        <v>305</v>
      </c>
      <c r="B146" s="39">
        <v>404509.2</v>
      </c>
      <c r="C146" s="40">
        <v>219206.2</v>
      </c>
      <c r="D146" s="40">
        <v>43578.7</v>
      </c>
      <c r="E146" s="40">
        <v>365036.7</v>
      </c>
      <c r="F146" s="40">
        <v>245260.5</v>
      </c>
      <c r="G146" s="40">
        <v>518453.6</v>
      </c>
      <c r="H146" s="40">
        <v>307044.7</v>
      </c>
      <c r="I146" s="40">
        <v>705468.6</v>
      </c>
      <c r="J146" s="43">
        <v>1424661</v>
      </c>
      <c r="L146" s="55">
        <f t="shared" si="11"/>
        <v>0</v>
      </c>
      <c r="M146" s="55">
        <f t="shared" si="11"/>
        <v>0</v>
      </c>
      <c r="N146" s="55">
        <f t="shared" si="11"/>
        <v>12.700000000004366</v>
      </c>
      <c r="O146" s="55">
        <f t="shared" si="10"/>
        <v>17.5</v>
      </c>
      <c r="P146" s="55">
        <f t="shared" si="10"/>
        <v>13.700000000011642</v>
      </c>
      <c r="Q146" s="55">
        <f t="shared" si="10"/>
        <v>0</v>
      </c>
      <c r="R146" s="55">
        <f t="shared" si="9"/>
        <v>0.70000000001164153</v>
      </c>
      <c r="S146" s="55">
        <f t="shared" si="9"/>
        <v>82</v>
      </c>
      <c r="T146" s="55">
        <f t="shared" si="9"/>
        <v>65</v>
      </c>
      <c r="U146" s="56">
        <f t="shared" si="8"/>
        <v>0</v>
      </c>
      <c r="V146" s="56">
        <f t="shared" si="8"/>
        <v>0.70000000001164153</v>
      </c>
      <c r="W146" s="56">
        <f t="shared" si="8"/>
        <v>94.700000000004366</v>
      </c>
      <c r="X146" s="56">
        <f>O146+P146+T146</f>
        <v>96.200000000011642</v>
      </c>
    </row>
    <row r="147" spans="1:24" ht="20" customHeight="1" x14ac:dyDescent="0.35">
      <c r="A147" s="38" t="s">
        <v>306</v>
      </c>
      <c r="B147" s="39">
        <v>404509.2</v>
      </c>
      <c r="C147" s="40">
        <v>219206.2</v>
      </c>
      <c r="D147" s="40">
        <v>43591.4</v>
      </c>
      <c r="E147" s="40">
        <v>365054.2</v>
      </c>
      <c r="F147" s="40">
        <v>245274.2</v>
      </c>
      <c r="G147" s="40">
        <v>518453.6</v>
      </c>
      <c r="H147" s="40">
        <v>307045.40000000002</v>
      </c>
      <c r="I147" s="40">
        <v>705550.6</v>
      </c>
      <c r="J147" s="43">
        <v>1424726</v>
      </c>
      <c r="L147" s="55">
        <f t="shared" si="11"/>
        <v>0</v>
      </c>
      <c r="M147" s="55">
        <f t="shared" si="11"/>
        <v>0</v>
      </c>
      <c r="N147" s="55">
        <f t="shared" si="11"/>
        <v>12.799999999995634</v>
      </c>
      <c r="O147" s="55">
        <f t="shared" si="10"/>
        <v>11.200000000011642</v>
      </c>
      <c r="P147" s="55">
        <f t="shared" si="10"/>
        <v>13</v>
      </c>
      <c r="Q147" s="55">
        <f t="shared" si="10"/>
        <v>0</v>
      </c>
      <c r="R147" s="55">
        <f t="shared" si="9"/>
        <v>0.69999999995343387</v>
      </c>
      <c r="S147" s="55">
        <f t="shared" si="9"/>
        <v>81.700000000069849</v>
      </c>
      <c r="T147" s="55">
        <f t="shared" si="9"/>
        <v>66</v>
      </c>
      <c r="U147" s="56">
        <f t="shared" si="8"/>
        <v>0</v>
      </c>
      <c r="V147" s="56">
        <f t="shared" si="8"/>
        <v>0.69999999995343387</v>
      </c>
      <c r="W147" s="56">
        <f t="shared" si="8"/>
        <v>94.500000000065484</v>
      </c>
      <c r="X147" s="56">
        <f>O147+P147+T147</f>
        <v>90.200000000011642</v>
      </c>
    </row>
    <row r="148" spans="1:24" ht="20" customHeight="1" x14ac:dyDescent="0.35">
      <c r="A148" s="38" t="s">
        <v>307</v>
      </c>
      <c r="B148" s="39">
        <v>404509.2</v>
      </c>
      <c r="C148" s="40">
        <v>219206.2</v>
      </c>
      <c r="D148" s="40">
        <v>43604.2</v>
      </c>
      <c r="E148" s="40">
        <v>365065.4</v>
      </c>
      <c r="F148" s="40">
        <v>245287.2</v>
      </c>
      <c r="G148" s="40">
        <v>518453.6</v>
      </c>
      <c r="H148" s="40">
        <v>307046.09999999998</v>
      </c>
      <c r="I148" s="40">
        <v>705632.3</v>
      </c>
      <c r="J148" s="43">
        <v>1424792</v>
      </c>
      <c r="L148" s="55">
        <f t="shared" si="11"/>
        <v>0</v>
      </c>
      <c r="M148" s="55">
        <f t="shared" si="11"/>
        <v>0</v>
      </c>
      <c r="N148" s="55">
        <f t="shared" si="11"/>
        <v>12.80000000000291</v>
      </c>
      <c r="O148" s="55">
        <f t="shared" si="10"/>
        <v>11.199999999953434</v>
      </c>
      <c r="P148" s="55">
        <f t="shared" si="10"/>
        <v>5.3999999999941792</v>
      </c>
      <c r="Q148" s="55">
        <f t="shared" si="10"/>
        <v>0</v>
      </c>
      <c r="R148" s="55">
        <f t="shared" si="9"/>
        <v>0.80000000004656613</v>
      </c>
      <c r="S148" s="55">
        <f t="shared" si="9"/>
        <v>80.699999999953434</v>
      </c>
      <c r="T148" s="55">
        <f t="shared" si="9"/>
        <v>66</v>
      </c>
      <c r="U148" s="56">
        <f t="shared" si="8"/>
        <v>0</v>
      </c>
      <c r="V148" s="56">
        <f t="shared" si="8"/>
        <v>0.80000000004656613</v>
      </c>
      <c r="W148" s="56">
        <f t="shared" si="8"/>
        <v>93.499999999956344</v>
      </c>
      <c r="X148" s="56">
        <f>O148+P148+T148</f>
        <v>82.599999999947613</v>
      </c>
    </row>
    <row r="149" spans="1:24" ht="20" customHeight="1" x14ac:dyDescent="0.35">
      <c r="A149" s="38" t="s">
        <v>308</v>
      </c>
      <c r="B149" s="39">
        <v>404509.2</v>
      </c>
      <c r="C149" s="40">
        <v>219206.2</v>
      </c>
      <c r="D149" s="40">
        <v>43617</v>
      </c>
      <c r="E149" s="40">
        <v>365076.6</v>
      </c>
      <c r="F149" s="40">
        <v>245292.6</v>
      </c>
      <c r="G149" s="40">
        <v>518453.6</v>
      </c>
      <c r="H149" s="40">
        <v>307046.90000000002</v>
      </c>
      <c r="I149" s="40">
        <v>705713</v>
      </c>
      <c r="J149" s="43">
        <v>1424858</v>
      </c>
      <c r="L149" s="55">
        <f t="shared" si="11"/>
        <v>0</v>
      </c>
      <c r="M149" s="55">
        <f t="shared" si="11"/>
        <v>0</v>
      </c>
      <c r="N149" s="55">
        <f t="shared" si="11"/>
        <v>12.80000000000291</v>
      </c>
      <c r="O149" s="55">
        <f t="shared" si="10"/>
        <v>39.400000000023283</v>
      </c>
      <c r="P149" s="55">
        <f t="shared" si="10"/>
        <v>31.299999999988358</v>
      </c>
      <c r="Q149" s="55">
        <f t="shared" si="10"/>
        <v>0</v>
      </c>
      <c r="R149" s="55">
        <f t="shared" si="9"/>
        <v>0.69999999995343387</v>
      </c>
      <c r="S149" s="55">
        <f t="shared" si="9"/>
        <v>72.800000000046566</v>
      </c>
      <c r="T149" s="55">
        <f t="shared" si="9"/>
        <v>21</v>
      </c>
      <c r="U149" s="56">
        <f t="shared" si="8"/>
        <v>0</v>
      </c>
      <c r="V149" s="56">
        <f t="shared" si="8"/>
        <v>0.69999999995343387</v>
      </c>
      <c r="W149" s="56">
        <f t="shared" si="8"/>
        <v>85.600000000049477</v>
      </c>
      <c r="X149" s="56">
        <f>O149+P149+T149</f>
        <v>91.700000000011642</v>
      </c>
    </row>
    <row r="150" spans="1:24" ht="20" customHeight="1" x14ac:dyDescent="0.35">
      <c r="A150" s="38" t="s">
        <v>309</v>
      </c>
      <c r="B150" s="39">
        <v>404509.2</v>
      </c>
      <c r="C150" s="40">
        <v>219206.2</v>
      </c>
      <c r="D150" s="40">
        <v>43629.8</v>
      </c>
      <c r="E150" s="40">
        <v>365116</v>
      </c>
      <c r="F150" s="40">
        <v>245323.9</v>
      </c>
      <c r="G150" s="40">
        <v>518453.6</v>
      </c>
      <c r="H150" s="40">
        <v>307047.59999999998</v>
      </c>
      <c r="I150" s="40">
        <v>705785.8</v>
      </c>
      <c r="J150" s="43">
        <v>1424879</v>
      </c>
      <c r="L150" s="55">
        <f t="shared" si="11"/>
        <v>0</v>
      </c>
      <c r="M150" s="55">
        <f t="shared" si="11"/>
        <v>0</v>
      </c>
      <c r="N150" s="55">
        <f t="shared" si="11"/>
        <v>12</v>
      </c>
      <c r="O150" s="55">
        <f t="shared" si="10"/>
        <v>13.900000000023283</v>
      </c>
      <c r="P150" s="55">
        <f t="shared" si="10"/>
        <v>6.7000000000116415</v>
      </c>
      <c r="Q150" s="55">
        <f t="shared" si="10"/>
        <v>0</v>
      </c>
      <c r="R150" s="55">
        <f t="shared" si="9"/>
        <v>0.80000000004656613</v>
      </c>
      <c r="S150" s="55">
        <f t="shared" si="9"/>
        <v>35.199999999953434</v>
      </c>
      <c r="T150" s="55">
        <f t="shared" si="9"/>
        <v>67</v>
      </c>
      <c r="U150" s="56">
        <f t="shared" si="8"/>
        <v>0</v>
      </c>
      <c r="V150" s="56">
        <f t="shared" si="8"/>
        <v>0.80000000004656613</v>
      </c>
      <c r="W150" s="56">
        <f t="shared" si="8"/>
        <v>47.199999999953434</v>
      </c>
      <c r="X150" s="56">
        <f>O150+P150+T150</f>
        <v>87.600000000034925</v>
      </c>
    </row>
    <row r="151" spans="1:24" ht="20" customHeight="1" x14ac:dyDescent="0.35">
      <c r="A151" s="38" t="s">
        <v>310</v>
      </c>
      <c r="B151" s="39">
        <v>404509.2</v>
      </c>
      <c r="C151" s="40">
        <v>219206.2</v>
      </c>
      <c r="D151" s="40">
        <v>43641.8</v>
      </c>
      <c r="E151" s="40">
        <v>365129.9</v>
      </c>
      <c r="F151" s="40">
        <v>245330.6</v>
      </c>
      <c r="G151" s="40">
        <v>518453.6</v>
      </c>
      <c r="H151" s="40">
        <v>307048.40000000002</v>
      </c>
      <c r="I151" s="40">
        <v>705821</v>
      </c>
      <c r="J151" s="43">
        <v>1424946</v>
      </c>
      <c r="L151" s="55">
        <f t="shared" si="11"/>
        <v>0</v>
      </c>
      <c r="M151" s="55">
        <f t="shared" si="11"/>
        <v>0</v>
      </c>
      <c r="N151" s="55">
        <f t="shared" si="11"/>
        <v>11.899999999994179</v>
      </c>
      <c r="O151" s="55">
        <f t="shared" si="10"/>
        <v>20.099999999976717</v>
      </c>
      <c r="P151" s="55">
        <f t="shared" si="10"/>
        <v>14</v>
      </c>
      <c r="Q151" s="55">
        <f t="shared" si="10"/>
        <v>0</v>
      </c>
      <c r="R151" s="55">
        <f t="shared" si="9"/>
        <v>0.69999999995343387</v>
      </c>
      <c r="S151" s="55">
        <f t="shared" si="9"/>
        <v>29.400000000023283</v>
      </c>
      <c r="T151" s="55">
        <f t="shared" si="9"/>
        <v>65</v>
      </c>
      <c r="U151" s="56">
        <f t="shared" si="8"/>
        <v>0</v>
      </c>
      <c r="V151" s="56">
        <f t="shared" si="8"/>
        <v>0.69999999995343387</v>
      </c>
      <c r="W151" s="56">
        <f t="shared" si="8"/>
        <v>41.300000000017462</v>
      </c>
      <c r="X151" s="56">
        <f>O151+P151+T151</f>
        <v>99.099999999976717</v>
      </c>
    </row>
    <row r="152" spans="1:24" ht="20" customHeight="1" x14ac:dyDescent="0.35">
      <c r="A152" s="38" t="s">
        <v>311</v>
      </c>
      <c r="B152" s="39">
        <v>404509.2</v>
      </c>
      <c r="C152" s="40">
        <v>219206.2</v>
      </c>
      <c r="D152" s="40">
        <v>43653.7</v>
      </c>
      <c r="E152" s="40">
        <v>365150</v>
      </c>
      <c r="F152" s="40">
        <v>245344.6</v>
      </c>
      <c r="G152" s="40">
        <v>518453.6</v>
      </c>
      <c r="H152" s="40">
        <v>307049.09999999998</v>
      </c>
      <c r="I152" s="40">
        <v>705850.4</v>
      </c>
      <c r="J152" s="43">
        <v>1425011</v>
      </c>
      <c r="L152" s="55">
        <f t="shared" si="11"/>
        <v>0</v>
      </c>
      <c r="M152" s="55">
        <f t="shared" si="11"/>
        <v>0</v>
      </c>
      <c r="N152" s="55">
        <f t="shared" si="11"/>
        <v>11.80000000000291</v>
      </c>
      <c r="O152" s="55">
        <f t="shared" si="10"/>
        <v>20.5</v>
      </c>
      <c r="P152" s="55">
        <f t="shared" si="10"/>
        <v>13.699999999982538</v>
      </c>
      <c r="Q152" s="55">
        <f t="shared" si="10"/>
        <v>0</v>
      </c>
      <c r="R152" s="55">
        <f t="shared" si="9"/>
        <v>0.70000000001164153</v>
      </c>
      <c r="S152" s="55">
        <f t="shared" si="9"/>
        <v>27.5</v>
      </c>
      <c r="T152" s="55">
        <f t="shared" si="9"/>
        <v>64</v>
      </c>
      <c r="U152" s="56">
        <f t="shared" si="8"/>
        <v>0</v>
      </c>
      <c r="V152" s="56">
        <f t="shared" si="8"/>
        <v>0.70000000001164153</v>
      </c>
      <c r="W152" s="56">
        <f t="shared" si="8"/>
        <v>39.30000000000291</v>
      </c>
      <c r="X152" s="56">
        <f>O152+P152+T152</f>
        <v>98.199999999982538</v>
      </c>
    </row>
    <row r="153" spans="1:24" ht="16.75" customHeight="1" x14ac:dyDescent="0.35">
      <c r="A153" s="38" t="s">
        <v>312</v>
      </c>
      <c r="B153" s="39">
        <v>404509.2</v>
      </c>
      <c r="C153" s="40">
        <v>219206.2</v>
      </c>
      <c r="D153" s="40">
        <v>43665.5</v>
      </c>
      <c r="E153" s="40">
        <v>365170.5</v>
      </c>
      <c r="F153" s="40">
        <v>245358.3</v>
      </c>
      <c r="G153" s="40">
        <v>518453.6</v>
      </c>
      <c r="H153" s="40">
        <v>307049.8</v>
      </c>
      <c r="I153" s="40">
        <v>705877.9</v>
      </c>
      <c r="J153" s="43">
        <v>1425075</v>
      </c>
      <c r="L153" s="44"/>
      <c r="M153" s="44"/>
      <c r="N153" s="44"/>
      <c r="O153" s="44"/>
      <c r="P153" s="44"/>
      <c r="Q153" s="44"/>
      <c r="R153" s="44"/>
      <c r="S153" s="44"/>
      <c r="T153" s="44"/>
      <c r="U153" s="45">
        <f t="shared" ref="U153:W153" si="12">L153+Q153</f>
        <v>0</v>
      </c>
      <c r="V153" s="45">
        <f t="shared" si="12"/>
        <v>0</v>
      </c>
      <c r="W153" s="45">
        <f t="shared" si="12"/>
        <v>0</v>
      </c>
      <c r="X153" s="45">
        <f>O153+P153+T153</f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Freon Meter 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2026-07-02T07:29:58Z</dcterms:modified>
</cp:coreProperties>
</file>