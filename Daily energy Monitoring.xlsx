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Au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8" i="2" l="1"/>
  <c r="FJ17" i="2"/>
  <c r="FJ19" i="2"/>
  <c r="FJ20" i="2"/>
  <c r="FJ21" i="2"/>
  <c r="AD17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D25" i="2"/>
  <c r="DD26" i="2" s="1"/>
  <c r="DD27" i="2" s="1"/>
  <c r="DD28" i="2" s="1"/>
  <c r="DD29" i="2" s="1"/>
  <c r="I27" i="2"/>
  <c r="DH27" i="2"/>
  <c r="DH28" i="2"/>
  <c r="DH29" i="2"/>
  <c r="DH30" i="2"/>
  <c r="DH31" i="2"/>
  <c r="DH32" i="2"/>
  <c r="DH33" i="2"/>
  <c r="DH34" i="2"/>
  <c r="DD18" i="2" l="1"/>
  <c r="DD19" i="2" s="1"/>
  <c r="DD20" i="2" s="1"/>
  <c r="DD21" i="2" s="1"/>
  <c r="DD22" i="2" s="1"/>
  <c r="DD23" i="2" s="1"/>
  <c r="DD24" i="2" s="1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26" i="2"/>
  <c r="DH25" i="2"/>
  <c r="DH24" i="2"/>
  <c r="I20" i="2"/>
  <c r="I21" i="2" s="1"/>
  <c r="I22" i="2" s="1"/>
  <c r="I23" i="2" s="1"/>
  <c r="I24" i="2" s="1"/>
  <c r="I25" i="2" s="1"/>
  <c r="DH23" i="2" l="1"/>
  <c r="CV20" i="2" l="1"/>
  <c r="CV21" i="2" s="1"/>
  <c r="DJ21" i="2"/>
  <c r="DK21" i="2"/>
  <c r="DL21" i="2"/>
  <c r="DM21" i="2"/>
  <c r="DN21" i="2"/>
  <c r="DO21" i="2"/>
  <c r="DP21" i="2"/>
  <c r="DQ21" i="2"/>
  <c r="DR21" i="2"/>
  <c r="DS21" i="2"/>
  <c r="DT21" i="2"/>
  <c r="DV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J22" i="2"/>
  <c r="DK22" i="2"/>
  <c r="DL22" i="2"/>
  <c r="DM22" i="2"/>
  <c r="DN22" i="2"/>
  <c r="DO22" i="2"/>
  <c r="DP22" i="2"/>
  <c r="DQ22" i="2"/>
  <c r="DR22" i="2"/>
  <c r="DS22" i="2"/>
  <c r="DT22" i="2"/>
  <c r="DV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J20" i="2"/>
  <c r="DK20" i="2"/>
  <c r="DL20" i="2"/>
  <c r="DM20" i="2"/>
  <c r="DN20" i="2"/>
  <c r="DO20" i="2"/>
  <c r="DP20" i="2"/>
  <c r="DQ20" i="2"/>
  <c r="DR20" i="2"/>
  <c r="DS20" i="2"/>
  <c r="DT20" i="2"/>
  <c r="DV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CV22" i="2" l="1"/>
  <c r="DU20" i="2"/>
  <c r="DW21" i="2"/>
  <c r="DW20" i="2"/>
  <c r="DW22" i="2"/>
  <c r="DI18" i="2"/>
  <c r="DH22" i="2"/>
  <c r="DH21" i="2"/>
  <c r="DH20" i="2"/>
  <c r="DH19" i="2"/>
  <c r="DH18" i="2"/>
  <c r="GA17" i="2"/>
  <c r="FZ17" i="2"/>
  <c r="FY17" i="2"/>
  <c r="FX17" i="2"/>
  <c r="FW17" i="2"/>
  <c r="FV17" i="2"/>
  <c r="FU17" i="2"/>
  <c r="FT17" i="2"/>
  <c r="FS17" i="2"/>
  <c r="FR17" i="2"/>
  <c r="FQ17" i="2"/>
  <c r="FP17" i="2"/>
  <c r="FO17" i="2"/>
  <c r="FN17" i="2"/>
  <c r="FM17" i="2"/>
  <c r="FL17" i="2"/>
  <c r="FI17" i="2"/>
  <c r="FH17" i="2"/>
  <c r="FG17" i="2"/>
  <c r="FF17" i="2"/>
  <c r="FE17" i="2"/>
  <c r="FD17" i="2"/>
  <c r="FC17" i="2"/>
  <c r="FB17" i="2"/>
  <c r="FA17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GA16" i="2"/>
  <c r="FZ16" i="2"/>
  <c r="FY16" i="2"/>
  <c r="FX16" i="2"/>
  <c r="FW16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GA15" i="2"/>
  <c r="FZ15" i="2"/>
  <c r="FY15" i="2"/>
  <c r="FX15" i="2"/>
  <c r="FW15" i="2"/>
  <c r="FV15" i="2"/>
  <c r="FU15" i="2"/>
  <c r="FT15" i="2"/>
  <c r="FS15" i="2"/>
  <c r="FR15" i="2"/>
  <c r="FQ15" i="2"/>
  <c r="FP15" i="2"/>
  <c r="FO15" i="2"/>
  <c r="FN15" i="2"/>
  <c r="FM15" i="2"/>
  <c r="FL15" i="2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GA14" i="2"/>
  <c r="FZ14" i="2"/>
  <c r="FY14" i="2"/>
  <c r="FX14" i="2"/>
  <c r="FW14" i="2"/>
  <c r="FV14" i="2"/>
  <c r="FU14" i="2"/>
  <c r="FT14" i="2"/>
  <c r="FS14" i="2"/>
  <c r="FR14" i="2"/>
  <c r="FQ14" i="2"/>
  <c r="FP14" i="2"/>
  <c r="FO14" i="2"/>
  <c r="FN14" i="2"/>
  <c r="FM14" i="2"/>
  <c r="FL14" i="2"/>
  <c r="FK14" i="2"/>
  <c r="FJ14" i="2"/>
  <c r="FI14" i="2"/>
  <c r="FH14" i="2"/>
  <c r="FG14" i="2"/>
  <c r="FF14" i="2"/>
  <c r="FE14" i="2"/>
  <c r="FD14" i="2"/>
  <c r="FC14" i="2"/>
  <c r="FB14" i="2"/>
  <c r="FA14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GA13" i="2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GA12" i="2"/>
  <c r="FZ12" i="2"/>
  <c r="FY12" i="2"/>
  <c r="FX12" i="2"/>
  <c r="FW12" i="2"/>
  <c r="FV12" i="2"/>
  <c r="FU12" i="2"/>
  <c r="FT12" i="2"/>
  <c r="FS12" i="2"/>
  <c r="FR12" i="2"/>
  <c r="FQ12" i="2"/>
  <c r="FP12" i="2"/>
  <c r="FO12" i="2"/>
  <c r="FN12" i="2"/>
  <c r="FM12" i="2"/>
  <c r="FL12" i="2"/>
  <c r="FK12" i="2"/>
  <c r="FJ12" i="2"/>
  <c r="FI12" i="2"/>
  <c r="FH12" i="2"/>
  <c r="FG12" i="2"/>
  <c r="FF12" i="2"/>
  <c r="FE12" i="2"/>
  <c r="FD12" i="2"/>
  <c r="FC12" i="2"/>
  <c r="FB12" i="2"/>
  <c r="FA12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GA11" i="2"/>
  <c r="FZ11" i="2"/>
  <c r="FY11" i="2"/>
  <c r="FX11" i="2"/>
  <c r="FW11" i="2"/>
  <c r="FV11" i="2"/>
  <c r="FU11" i="2"/>
  <c r="FT11" i="2"/>
  <c r="FS11" i="2"/>
  <c r="FR11" i="2"/>
  <c r="FQ11" i="2"/>
  <c r="FP11" i="2"/>
  <c r="FO11" i="2"/>
  <c r="FN11" i="2"/>
  <c r="FM11" i="2"/>
  <c r="FL11" i="2"/>
  <c r="FK11" i="2"/>
  <c r="FJ11" i="2"/>
  <c r="FI11" i="2"/>
  <c r="FH11" i="2"/>
  <c r="FG11" i="2"/>
  <c r="FF11" i="2"/>
  <c r="FE11" i="2"/>
  <c r="FD11" i="2"/>
  <c r="FC11" i="2"/>
  <c r="FB11" i="2"/>
  <c r="FA11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U21" i="2" l="1"/>
  <c r="CV23" i="2"/>
  <c r="DI21" i="2"/>
  <c r="DI19" i="2"/>
  <c r="DI20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J37" i="2" l="1"/>
  <c r="DJ38" i="2" s="1"/>
  <c r="DU22" i="2"/>
  <c r="DI22" i="2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W64" i="3" s="1"/>
  <c r="R64" i="3"/>
  <c r="Q64" i="3"/>
  <c r="P64" i="3"/>
  <c r="O64" i="3"/>
  <c r="N64" i="3"/>
  <c r="M64" i="3"/>
  <c r="L64" i="3"/>
  <c r="U64" i="3" s="1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W61" i="3" s="1"/>
  <c r="M61" i="3"/>
  <c r="L61" i="3"/>
  <c r="U60" i="3"/>
  <c r="T60" i="3"/>
  <c r="S60" i="3"/>
  <c r="R60" i="3"/>
  <c r="V60" i="3" s="1"/>
  <c r="Q60" i="3"/>
  <c r="P60" i="3"/>
  <c r="O60" i="3"/>
  <c r="N60" i="3"/>
  <c r="M60" i="3"/>
  <c r="L60" i="3"/>
  <c r="T59" i="3"/>
  <c r="S59" i="3"/>
  <c r="R59" i="3"/>
  <c r="V59" i="3" s="1"/>
  <c r="Q59" i="3"/>
  <c r="U59" i="3" s="1"/>
  <c r="P59" i="3"/>
  <c r="O59" i="3"/>
  <c r="N59" i="3"/>
  <c r="M59" i="3"/>
  <c r="L59" i="3"/>
  <c r="T58" i="3"/>
  <c r="S58" i="3"/>
  <c r="R58" i="3"/>
  <c r="Q58" i="3"/>
  <c r="P58" i="3"/>
  <c r="O58" i="3"/>
  <c r="X58" i="3" s="1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X56" i="3" s="1"/>
  <c r="N56" i="3"/>
  <c r="M56" i="3"/>
  <c r="L56" i="3"/>
  <c r="T55" i="3"/>
  <c r="S55" i="3"/>
  <c r="R55" i="3"/>
  <c r="Q55" i="3"/>
  <c r="P55" i="3"/>
  <c r="O55" i="3"/>
  <c r="X55" i="3" s="1"/>
  <c r="N55" i="3"/>
  <c r="W55" i="3" s="1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W53" i="3" s="1"/>
  <c r="M53" i="3"/>
  <c r="L53" i="3"/>
  <c r="T52" i="3"/>
  <c r="S52" i="3"/>
  <c r="R52" i="3"/>
  <c r="Q52" i="3"/>
  <c r="P52" i="3"/>
  <c r="O52" i="3"/>
  <c r="N52" i="3"/>
  <c r="W52" i="3" s="1"/>
  <c r="M52" i="3"/>
  <c r="V52" i="3" s="1"/>
  <c r="L52" i="3"/>
  <c r="U51" i="3"/>
  <c r="T51" i="3"/>
  <c r="X51" i="3" s="1"/>
  <c r="S51" i="3"/>
  <c r="R51" i="3"/>
  <c r="Q51" i="3"/>
  <c r="P51" i="3"/>
  <c r="O51" i="3"/>
  <c r="N51" i="3"/>
  <c r="M51" i="3"/>
  <c r="V51" i="3" s="1"/>
  <c r="L51" i="3"/>
  <c r="T50" i="3"/>
  <c r="S50" i="3"/>
  <c r="R50" i="3"/>
  <c r="V50" i="3" s="1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V49" i="3" s="1"/>
  <c r="L49" i="3"/>
  <c r="U49" i="3" s="1"/>
  <c r="T48" i="3"/>
  <c r="S48" i="3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X46" i="3" s="1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U36" i="3" s="1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X24" i="3" s="1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U21" i="3" s="1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W37" i="3" l="1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<sst xmlns="http://schemas.openxmlformats.org/spreadsheetml/2006/main" count="553" uniqueCount="264">
  <si>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</si>
  <si>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</si>
  <si>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</si>
  <si>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</si>
  <si>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</si>
  <si>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</si>
  <si>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</si>
  <si>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</si>
  <si>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</si>
  <si>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</si>
  <si>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</si>
  <si>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</si>
  <si>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</si>
  <si>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</si>
  <si>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</si>
  <si>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</si>
  <si>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</si>
  <si>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</si>
  <si>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</si>
  <si>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</si>
  <si>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</si>
  <si>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</si>
  <si>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</si>
  <si>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</si>
  <si>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</si>
  <si>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</si>
  <si>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</si>
  <si>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</si>
  <si>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</si>
  <si>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</si>
  <si>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</si>
  <si>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</si>
  <si>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</si>
  <si>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</si>
  <si>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</si>
  <si>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</si>
  <si>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</si>
  <si>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</si>
  <si>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</si>
  <si>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</si>
  <si>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</si>
  <si>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</si>
  <si>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</si>
  <si>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</si>
  <si>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</si>
  <si>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</si>
  <si>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</si>
  <si>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</si>
  <si>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</si>
  <si>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</si>
  <si>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</si>
  <si>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</si>
  <si>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</si>
  <si>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</si>
  <si>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</si>
  <si>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</si>
  <si>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</si>
  <si>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</si>
  <si>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</si>
  <si>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</si>
  <si>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</si>
  <si>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</si>
  <si>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</si>
  <si>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</si>
  <si>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</si>
  <si>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</si>
  <si>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</si>
  <si>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</si>
  <si>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</si>
  <si>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</si>
  <si>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</si>
  <si>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</si>
  <si>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</si>
  <si>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</si>
  <si>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</si>
  <si>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</si>
  <si>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</si>
  <si>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</si>
  <si>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</si>
  <si>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</si>
  <si>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</si>
  <si>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</si>
  <si>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</si>
  <si>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</si>
  <si>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</si>
  <si>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</si>
  <si>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</si>
  <si>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</si>
  <si>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</si>
  <si>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</si>
  <si>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</si>
  <si>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</si>
  <si>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</si>
  <si>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</si>
  <si>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</si>
  <si>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</si>
  <si>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</si>
  <si>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</si>
  <si>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</si>
  <si>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</si>
  <si>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</si>
  <si>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</si>
  <si>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</si>
  <si>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</si>
  <si>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</si>
  <si>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</si>
  <si>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</si>
  <si>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</si>
  <si>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</si>
  <si>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</si>
  <si>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</si>
  <si>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</si>
  <si>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</si>
  <si>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</si>
  <si>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</si>
  <si>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</si>
  <si>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</si>
  <si>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</si>
  <si>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</si>
  <si>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</si>
  <si>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</si>
  <si>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</si>
  <si>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</si>
  <si>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</si>
  <si>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</si>
  <si>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</si>
  <si>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</si>
  <si>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</si>
  <si>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</si>
  <si>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</si>
  <si>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</si>
  <si>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</si>
  <si>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</si>
  <si>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</si>
  <si>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</si>
  <si>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</si>
  <si>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</si>
  <si>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</si>
  <si>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</si>
  <si>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</si>
  <si>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</si>
  <si>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</si>
  <si>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</si>
  <si>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</si>
  <si>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</si>
  <si>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</si>
  <si>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</si>
  <si>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</si>
  <si>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</si>
  <si>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</si>
  <si>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</si>
  <si>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</si>
  <si>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</si>
  <si>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</si>
  <si>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</si>
  <si>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</si>
  <si>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</si>
  <si>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</si>
  <si>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</si>
  <si>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</si>
  <si>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</si>
  <si>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</si>
  <si>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</si>
  <si>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</si>
  <si>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</si>
  <si>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</si>
  <si>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</si>
  <si>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</si>
  <si>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</si>
  <si>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</si>
  <si>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</si>
  <si>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</si>
  <si>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</si>
  <si>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</si>
  <si>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</si>
  <si>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</si>
  <si>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</si>
  <si>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</si>
  <si>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</si>
  <si>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</si>
  <si>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</si>
  <si>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</si>
  <si>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</si>
  <si>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</si>
  <si>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</si>
  <si>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</si>
  <si>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</si>
  <si>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</si>
  <si>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</si>
  <si>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</si>
  <si>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</si>
  <si>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</si>
  <si>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</si>
  <si>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</si>
  <si>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</si>
  <si>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</si>
  <si>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</si>
  <si>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</si>
  <si>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</si>
  <si>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</si>
  <si>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</si>
  <si>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</si>
  <si>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</si>
  <si>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</si>
  <si>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</si>
  <si>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</si>
  <si>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</si>
  <si>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</si>
  <si>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</si>
  <si>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</si>
  <si>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</si>
  <si>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</si>
  <si>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10:35</t>
  </si>
  <si>
    <t>10:34</t>
  </si>
  <si>
    <t>10:11</t>
  </si>
  <si>
    <t>10:44</t>
  </si>
  <si>
    <t>10:45</t>
  </si>
  <si>
    <t>4:55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</si>
  <si>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</si>
  <si>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</si>
  <si>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</si>
  <si>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</si>
  <si>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</si>
  <si>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</si>
  <si>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</si>
  <si>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</si>
  <si>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</si>
  <si>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</si>
  <si>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</si>
  <si>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</si>
  <si>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</si>
  <si>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</si>
  <si>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</si>
  <si>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</si>
  <si>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</si>
  <si>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</si>
  <si>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</si>
  <si>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</si>
  <si>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</si>
  <si>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</si>
  <si>
    <t>Prateek Chamoli</t>
  </si>
  <si>
    <t>11:32</t>
  </si>
  <si>
    <t>10:50</t>
  </si>
  <si>
    <t>5:03</t>
  </si>
  <si>
    <t>2026/08/14 00.00</t>
  </si>
  <si>
    <t>2026/08/15 00.00</t>
  </si>
  <si>
    <t xml:space="preserve">2026/08/16 00.00 </t>
  </si>
  <si>
    <t>2026/08/17 00.00</t>
  </si>
  <si>
    <t>2026/08/18 00.00</t>
  </si>
  <si>
    <t>2026/08/19 00.00</t>
  </si>
  <si>
    <t>2026/08/20 00.00</t>
  </si>
  <si>
    <t>2026/08/21 00.00</t>
  </si>
  <si>
    <t>2026/08/22 00.00</t>
  </si>
  <si>
    <t>2026/08/23 00.00</t>
  </si>
  <si>
    <t>2026/08/24 00.00</t>
  </si>
  <si>
    <t>10:28</t>
  </si>
  <si>
    <t>10:23</t>
  </si>
  <si>
    <t>2026/08/25 00.00</t>
  </si>
  <si>
    <t>2026/08/26 00.00</t>
  </si>
  <si>
    <t>2026/08/27 00.00</t>
  </si>
  <si>
    <t>10:48</t>
  </si>
  <si>
    <t>11:24</t>
  </si>
  <si>
    <t>2026/08/28 00.00</t>
  </si>
  <si>
    <t xml:space="preserve">2026/08/29 00.00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</si>
</sst>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5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29" totalsRowShown="0" headerRowDxfId="112" dataDxfId="111">
  <autoFilter ref="A2:DG29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38"/>
  <sheetViews>
    <sheetView tabSelected="1" workbookViewId="0">
      <pane xSplit="1" ySplit="2" topLeftCell="CW12" activePane="bottomRight" state="frozen"/>
      <selection pane="topRight" activeCell="B1" sqref="B1"/>
      <selection pane="bottomLeft" activeCell="A3" sqref="A3"/>
      <selection pane="bottomRight" activeCell="DY26" sqref="DY2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0" customFormat="1" ht="58" customHeight="1" x14ac:dyDescent="0.35">
      <c r="I1" s="8" t="s">
        <v>112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136</v>
      </c>
      <c r="O1" s="8" t="s">
        <v>137</v>
      </c>
      <c r="P1" s="8" t="s">
        <v>120</v>
      </c>
      <c r="Q1" s="11"/>
      <c r="R1" s="8" t="s">
        <v>113</v>
      </c>
      <c r="S1" s="8" t="s">
        <v>114</v>
      </c>
      <c r="T1" s="11"/>
      <c r="U1" s="11"/>
      <c r="V1" s="11"/>
      <c r="W1" s="8" t="s">
        <v>138</v>
      </c>
      <c r="X1" s="8" t="s">
        <v>114</v>
      </c>
      <c r="Y1" s="8" t="s">
        <v>115</v>
      </c>
      <c r="Z1" s="8" t="s">
        <v>136</v>
      </c>
      <c r="AA1" s="12" t="s">
        <v>116</v>
      </c>
      <c r="AB1" s="11"/>
      <c r="AC1" s="8" t="s">
        <v>114</v>
      </c>
      <c r="AD1" s="11"/>
      <c r="AE1" s="8" t="s">
        <v>117</v>
      </c>
      <c r="AF1" s="8" t="s">
        <v>119</v>
      </c>
      <c r="AG1" s="8" t="s">
        <v>118</v>
      </c>
      <c r="AH1" s="8" t="s">
        <v>120</v>
      </c>
      <c r="AI1" s="8" t="s">
        <v>121</v>
      </c>
      <c r="AJ1" s="8" t="s">
        <v>122</v>
      </c>
      <c r="AK1" s="8" t="s">
        <v>123</v>
      </c>
      <c r="AL1" s="8" t="s">
        <v>116</v>
      </c>
      <c r="AM1" s="11"/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8" t="s">
        <v>117</v>
      </c>
      <c r="AX1" s="8" t="s">
        <v>124</v>
      </c>
      <c r="AY1" s="11"/>
      <c r="AZ1" s="8" t="s">
        <v>125</v>
      </c>
      <c r="BA1" s="8" t="s">
        <v>125</v>
      </c>
      <c r="BB1" s="8" t="s">
        <v>125</v>
      </c>
      <c r="BC1" s="8" t="s">
        <v>126</v>
      </c>
      <c r="BD1" s="8" t="s">
        <v>127</v>
      </c>
      <c r="BE1" s="11"/>
      <c r="BF1" s="8" t="s">
        <v>128</v>
      </c>
      <c r="BG1" s="8" t="s">
        <v>128</v>
      </c>
      <c r="BH1" s="8" t="s">
        <v>129</v>
      </c>
      <c r="BI1" s="8" t="s">
        <v>129</v>
      </c>
      <c r="BJ1" s="8" t="s">
        <v>129</v>
      </c>
      <c r="BK1" s="8" t="s">
        <v>125</v>
      </c>
      <c r="BL1" s="8" t="s">
        <v>130</v>
      </c>
      <c r="BM1" s="8" t="s">
        <v>122</v>
      </c>
      <c r="BN1" s="8" t="s">
        <v>125</v>
      </c>
      <c r="BO1" s="8" t="s">
        <v>126</v>
      </c>
      <c r="BP1" s="8" t="s">
        <v>125</v>
      </c>
      <c r="BQ1" s="8" t="s">
        <v>129</v>
      </c>
      <c r="BR1" s="8" t="s">
        <v>129</v>
      </c>
      <c r="BS1" s="11"/>
      <c r="BT1" s="11"/>
      <c r="BU1" s="8" t="s">
        <v>131</v>
      </c>
      <c r="BV1" s="8" t="s">
        <v>132</v>
      </c>
      <c r="BW1" s="8" t="s">
        <v>128</v>
      </c>
      <c r="BX1" s="8" t="s">
        <v>125</v>
      </c>
      <c r="BY1" s="8" t="s">
        <v>132</v>
      </c>
      <c r="BZ1" s="8" t="s">
        <v>125</v>
      </c>
      <c r="CA1" s="8" t="s">
        <v>125</v>
      </c>
      <c r="CB1" s="8" t="s">
        <v>131</v>
      </c>
      <c r="CC1" s="8" t="s">
        <v>125</v>
      </c>
      <c r="CD1" s="8" t="s">
        <v>125</v>
      </c>
      <c r="CE1" s="8" t="s">
        <v>125</v>
      </c>
      <c r="CF1" s="8" t="s">
        <v>131</v>
      </c>
      <c r="CG1" s="8" t="s">
        <v>130</v>
      </c>
      <c r="CH1" s="8" t="s">
        <v>125</v>
      </c>
      <c r="CI1" s="8" t="s">
        <v>128</v>
      </c>
      <c r="CJ1" s="8" t="s">
        <v>130</v>
      </c>
      <c r="CK1" s="8" t="s">
        <v>122</v>
      </c>
      <c r="CL1" s="8" t="s">
        <v>133</v>
      </c>
      <c r="CM1" s="8" t="s">
        <v>134</v>
      </c>
      <c r="CN1" s="8" t="s">
        <v>134</v>
      </c>
      <c r="CO1" s="8" t="s">
        <v>134</v>
      </c>
      <c r="CP1" s="8" t="s">
        <v>114</v>
      </c>
      <c r="CQ1" s="8" t="s">
        <v>114</v>
      </c>
      <c r="CR1" s="8" t="s">
        <v>125</v>
      </c>
      <c r="CS1" s="8" t="s">
        <v>114</v>
      </c>
      <c r="CT1" s="8" t="s">
        <v>114</v>
      </c>
      <c r="CU1" s="8" t="s">
        <v>114</v>
      </c>
      <c r="CV1" s="8" t="s">
        <v>114</v>
      </c>
      <c r="CW1" s="8" t="s">
        <v>120</v>
      </c>
      <c r="CX1" s="8" t="s">
        <v>120</v>
      </c>
      <c r="CY1" s="8" t="s">
        <v>120</v>
      </c>
      <c r="CZ1" s="8" t="s">
        <v>114</v>
      </c>
      <c r="DA1" s="8" t="s">
        <v>209</v>
      </c>
      <c r="DB1" s="8" t="s">
        <v>210</v>
      </c>
      <c r="DC1" s="11"/>
      <c r="DD1" s="8" t="s">
        <v>135</v>
      </c>
      <c r="DE1" s="11"/>
      <c r="DF1" s="16" t="s">
        <v>109</v>
      </c>
      <c r="DG1" s="11"/>
      <c r="DI1" s="14" t="s">
        <v>135</v>
      </c>
      <c r="DJ1" s="58" t="s">
        <v>139</v>
      </c>
      <c r="DK1" s="59"/>
      <c r="DL1" s="57" t="s">
        <v>129</v>
      </c>
      <c r="DM1" s="57"/>
      <c r="DN1" s="57"/>
      <c r="DO1" s="57"/>
      <c r="DP1" s="57"/>
      <c r="DQ1" s="14" t="s">
        <v>174</v>
      </c>
      <c r="DR1" s="60" t="s">
        <v>114</v>
      </c>
      <c r="DS1" s="60"/>
      <c r="DT1" s="60"/>
      <c r="DU1" s="60"/>
      <c r="DV1" s="61"/>
      <c r="DW1" s="13" t="s">
        <v>112</v>
      </c>
      <c r="DX1" s="57" t="s">
        <v>125</v>
      </c>
      <c r="DY1" s="57"/>
      <c r="DZ1" s="57"/>
      <c r="EA1" s="57"/>
      <c r="EB1" s="57"/>
      <c r="EC1" s="57"/>
      <c r="ED1" s="57"/>
      <c r="EE1" s="57"/>
      <c r="EF1" s="57"/>
      <c r="EG1" s="57"/>
      <c r="EH1" s="57"/>
      <c r="EI1" s="57"/>
      <c r="EJ1" s="57"/>
      <c r="EK1" s="57" t="s">
        <v>122</v>
      </c>
      <c r="EL1" s="57"/>
      <c r="EM1" s="58" t="s">
        <v>120</v>
      </c>
      <c r="EN1" s="59"/>
      <c r="EO1" s="59"/>
      <c r="EP1" s="59"/>
      <c r="EQ1" s="59"/>
      <c r="ER1" s="57" t="s">
        <v>126</v>
      </c>
      <c r="ES1" s="57"/>
      <c r="ET1" s="14" t="s">
        <v>115</v>
      </c>
      <c r="EU1" s="57" t="s">
        <v>140</v>
      </c>
      <c r="EV1" s="57"/>
      <c r="EW1" s="57"/>
      <c r="EX1" s="57"/>
      <c r="EY1" s="62" t="s">
        <v>136</v>
      </c>
      <c r="EZ1" s="63"/>
      <c r="FA1" s="57" t="s">
        <v>128</v>
      </c>
      <c r="FB1" s="57"/>
      <c r="FC1" s="57"/>
      <c r="FD1" s="57"/>
      <c r="FE1" s="13" t="s">
        <v>138</v>
      </c>
      <c r="FF1" s="57" t="s">
        <v>116</v>
      </c>
      <c r="FG1" s="57"/>
      <c r="FH1" s="13" t="s">
        <v>119</v>
      </c>
      <c r="FI1" s="13" t="s">
        <v>123</v>
      </c>
      <c r="FJ1" s="13" t="s">
        <v>113</v>
      </c>
      <c r="FK1" s="14" t="s">
        <v>117</v>
      </c>
      <c r="FL1" s="13" t="s">
        <v>118</v>
      </c>
      <c r="FM1" s="13" t="s">
        <v>124</v>
      </c>
      <c r="FN1" s="13" t="s">
        <v>121</v>
      </c>
      <c r="FO1" s="13" t="s">
        <v>127</v>
      </c>
      <c r="FP1" s="58" t="s">
        <v>130</v>
      </c>
      <c r="FQ1" s="59"/>
      <c r="FR1" s="64"/>
      <c r="FS1" s="58" t="s">
        <v>131</v>
      </c>
      <c r="FT1" s="59"/>
      <c r="FU1" s="64"/>
      <c r="FV1" s="62" t="s">
        <v>132</v>
      </c>
      <c r="FW1" s="63"/>
      <c r="FX1" s="62" t="s">
        <v>141</v>
      </c>
      <c r="FY1" s="63"/>
      <c r="FZ1" s="57" t="s">
        <v>142</v>
      </c>
      <c r="GA1" s="57"/>
    </row>
    <row r="2" spans="1:183" s="7" customFormat="1" ht="87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  <c r="AG2" s="6" t="s">
        <v>32</v>
      </c>
      <c r="AH2" s="6" t="s">
        <v>33</v>
      </c>
      <c r="AI2" s="6" t="s">
        <v>34</v>
      </c>
      <c r="AJ2" s="6" t="s">
        <v>35</v>
      </c>
      <c r="AK2" s="6" t="s">
        <v>36</v>
      </c>
      <c r="AL2" s="6" t="s">
        <v>37</v>
      </c>
      <c r="AM2" s="6" t="s">
        <v>38</v>
      </c>
      <c r="AN2" s="6" t="s">
        <v>39</v>
      </c>
      <c r="AO2" s="6" t="s">
        <v>40</v>
      </c>
      <c r="AP2" s="6" t="s">
        <v>41</v>
      </c>
      <c r="AQ2" s="6" t="s">
        <v>42</v>
      </c>
      <c r="AR2" s="6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6" t="s">
        <v>51</v>
      </c>
      <c r="BA2" s="6" t="s">
        <v>52</v>
      </c>
      <c r="BB2" s="6" t="s">
        <v>53</v>
      </c>
      <c r="BC2" s="6" t="s">
        <v>54</v>
      </c>
      <c r="BD2" s="6" t="s">
        <v>55</v>
      </c>
      <c r="BE2" s="6" t="s">
        <v>56</v>
      </c>
      <c r="BF2" s="6" t="s">
        <v>57</v>
      </c>
      <c r="BG2" s="6" t="s">
        <v>58</v>
      </c>
      <c r="BH2" s="6" t="s">
        <v>59</v>
      </c>
      <c r="BI2" s="6" t="s">
        <v>60</v>
      </c>
      <c r="BJ2" s="6" t="s">
        <v>61</v>
      </c>
      <c r="BK2" s="6" t="s">
        <v>62</v>
      </c>
      <c r="BL2" s="6" t="s">
        <v>63</v>
      </c>
      <c r="BM2" s="6" t="s">
        <v>64</v>
      </c>
      <c r="BN2" s="6" t="s">
        <v>65</v>
      </c>
      <c r="BO2" s="6" t="s">
        <v>66</v>
      </c>
      <c r="BP2" s="6" t="s">
        <v>67</v>
      </c>
      <c r="BQ2" s="6" t="s">
        <v>68</v>
      </c>
      <c r="BR2" s="6" t="s">
        <v>69</v>
      </c>
      <c r="BS2" s="6" t="s">
        <v>70</v>
      </c>
      <c r="BT2" s="6" t="s">
        <v>71</v>
      </c>
      <c r="BU2" s="6" t="s">
        <v>72</v>
      </c>
      <c r="BV2" s="6" t="s">
        <v>73</v>
      </c>
      <c r="BW2" s="6" t="s">
        <v>74</v>
      </c>
      <c r="BX2" s="6" t="s">
        <v>75</v>
      </c>
      <c r="BY2" s="6" t="s">
        <v>76</v>
      </c>
      <c r="BZ2" s="6" t="s">
        <v>77</v>
      </c>
      <c r="CA2" s="6" t="s">
        <v>78</v>
      </c>
      <c r="CB2" s="6" t="s">
        <v>79</v>
      </c>
      <c r="CC2" s="6" t="s">
        <v>80</v>
      </c>
      <c r="CD2" s="6" t="s">
        <v>81</v>
      </c>
      <c r="CE2" s="6" t="s">
        <v>82</v>
      </c>
      <c r="CF2" s="6" t="s">
        <v>83</v>
      </c>
      <c r="CG2" s="6" t="s">
        <v>84</v>
      </c>
      <c r="CH2" s="6" t="s">
        <v>85</v>
      </c>
      <c r="CI2" s="6" t="s">
        <v>86</v>
      </c>
      <c r="CJ2" s="6" t="s">
        <v>87</v>
      </c>
      <c r="CK2" s="6" t="s">
        <v>88</v>
      </c>
      <c r="CL2" s="6" t="s">
        <v>89</v>
      </c>
      <c r="CM2" s="6" t="s">
        <v>90</v>
      </c>
      <c r="CN2" s="6" t="s">
        <v>91</v>
      </c>
      <c r="CO2" s="6" t="s">
        <v>92</v>
      </c>
      <c r="CP2" s="6" t="s">
        <v>93</v>
      </c>
      <c r="CQ2" s="6" t="s">
        <v>94</v>
      </c>
      <c r="CR2" s="6" t="s">
        <v>95</v>
      </c>
      <c r="CS2" s="6" t="s">
        <v>96</v>
      </c>
      <c r="CT2" s="6" t="s">
        <v>97</v>
      </c>
      <c r="CU2" s="6" t="s">
        <v>98</v>
      </c>
      <c r="CV2" s="6" t="s">
        <v>99</v>
      </c>
      <c r="CW2" s="6" t="s">
        <v>100</v>
      </c>
      <c r="CX2" s="6" t="s">
        <v>101</v>
      </c>
      <c r="CY2" s="6" t="s">
        <v>102</v>
      </c>
      <c r="CZ2" s="6" t="s">
        <v>103</v>
      </c>
      <c r="DA2" s="6" t="s">
        <v>104</v>
      </c>
      <c r="DB2" s="6" t="s">
        <v>105</v>
      </c>
      <c r="DC2" s="6" t="s">
        <v>106</v>
      </c>
      <c r="DD2" s="6" t="s">
        <v>107</v>
      </c>
      <c r="DE2" s="6" t="s">
        <v>108</v>
      </c>
      <c r="DF2" s="6" t="s">
        <v>109</v>
      </c>
      <c r="DG2" s="6" t="s">
        <v>110</v>
      </c>
      <c r="DH2" s="7" t="s">
        <v>6</v>
      </c>
      <c r="DI2" s="8" t="s">
        <v>143</v>
      </c>
      <c r="DJ2" s="8" t="s">
        <v>209</v>
      </c>
      <c r="DK2" s="8" t="s">
        <v>210</v>
      </c>
      <c r="DL2" s="8" t="s">
        <v>59</v>
      </c>
      <c r="DM2" s="8" t="s">
        <v>60</v>
      </c>
      <c r="DN2" s="8" t="s">
        <v>61</v>
      </c>
      <c r="DO2" s="8" t="s">
        <v>68</v>
      </c>
      <c r="DP2" s="8" t="s">
        <v>69</v>
      </c>
      <c r="DQ2" s="8" t="s">
        <v>28</v>
      </c>
      <c r="DR2" s="8" t="s">
        <v>94</v>
      </c>
      <c r="DS2" s="8" t="s">
        <v>96</v>
      </c>
      <c r="DT2" s="8" t="s">
        <v>98</v>
      </c>
      <c r="DU2" s="8" t="s">
        <v>99</v>
      </c>
      <c r="DV2" s="8" t="s">
        <v>103</v>
      </c>
      <c r="DW2" s="8" t="s">
        <v>8</v>
      </c>
      <c r="DX2" s="8" t="s">
        <v>51</v>
      </c>
      <c r="DY2" s="8" t="s">
        <v>52</v>
      </c>
      <c r="DZ2" s="8" t="s">
        <v>53</v>
      </c>
      <c r="EA2" s="8" t="s">
        <v>62</v>
      </c>
      <c r="EB2" s="8" t="s">
        <v>65</v>
      </c>
      <c r="EC2" s="8" t="s">
        <v>67</v>
      </c>
      <c r="ED2" s="8" t="s">
        <v>75</v>
      </c>
      <c r="EE2" s="8" t="s">
        <v>77</v>
      </c>
      <c r="EF2" s="8" t="s">
        <v>78</v>
      </c>
      <c r="EG2" s="8" t="s">
        <v>80</v>
      </c>
      <c r="EH2" s="8" t="s">
        <v>81</v>
      </c>
      <c r="EI2" s="8" t="s">
        <v>82</v>
      </c>
      <c r="EJ2" s="8" t="s">
        <v>85</v>
      </c>
      <c r="EK2" s="8" t="s">
        <v>64</v>
      </c>
      <c r="EL2" s="8" t="s">
        <v>88</v>
      </c>
      <c r="EM2" s="8" t="s">
        <v>15</v>
      </c>
      <c r="EN2" s="8" t="s">
        <v>33</v>
      </c>
      <c r="EO2" s="8" t="s">
        <v>100</v>
      </c>
      <c r="EP2" s="8" t="s">
        <v>101</v>
      </c>
      <c r="EQ2" s="8" t="s">
        <v>102</v>
      </c>
      <c r="ER2" s="9" t="s">
        <v>54</v>
      </c>
      <c r="ES2" s="9" t="s">
        <v>66</v>
      </c>
      <c r="ET2" s="9" t="s">
        <v>24</v>
      </c>
      <c r="EU2" s="8" t="s">
        <v>89</v>
      </c>
      <c r="EV2" s="8" t="s">
        <v>90</v>
      </c>
      <c r="EW2" s="8" t="s">
        <v>91</v>
      </c>
      <c r="EX2" s="8" t="s">
        <v>92</v>
      </c>
      <c r="EY2" s="8" t="s">
        <v>13</v>
      </c>
      <c r="EZ2" s="8" t="s">
        <v>25</v>
      </c>
      <c r="FA2" s="8" t="s">
        <v>57</v>
      </c>
      <c r="FB2" s="8" t="s">
        <v>58</v>
      </c>
      <c r="FC2" s="8" t="s">
        <v>74</v>
      </c>
      <c r="FD2" s="8" t="s">
        <v>86</v>
      </c>
      <c r="FE2" s="8" t="s">
        <v>22</v>
      </c>
      <c r="FF2" s="8" t="s">
        <v>26</v>
      </c>
      <c r="FG2" s="8" t="s">
        <v>37</v>
      </c>
      <c r="FH2" s="8" t="s">
        <v>31</v>
      </c>
      <c r="FI2" s="8" t="s">
        <v>36</v>
      </c>
      <c r="FJ2" s="8" t="s">
        <v>17</v>
      </c>
      <c r="FK2" s="8" t="s">
        <v>30</v>
      </c>
      <c r="FL2" s="8" t="s">
        <v>32</v>
      </c>
      <c r="FM2" s="8" t="s">
        <v>49</v>
      </c>
      <c r="FN2" s="8" t="s">
        <v>34</v>
      </c>
      <c r="FO2" s="8" t="s">
        <v>55</v>
      </c>
      <c r="FP2" s="8" t="s">
        <v>63</v>
      </c>
      <c r="FQ2" s="8" t="s">
        <v>84</v>
      </c>
      <c r="FR2" s="8" t="s">
        <v>87</v>
      </c>
      <c r="FS2" s="8" t="s">
        <v>72</v>
      </c>
      <c r="FT2" s="8" t="s">
        <v>79</v>
      </c>
      <c r="FU2" s="8" t="s">
        <v>83</v>
      </c>
      <c r="FV2" s="8" t="s">
        <v>73</v>
      </c>
      <c r="FW2" s="8" t="s">
        <v>76</v>
      </c>
      <c r="FX2" s="15" t="s">
        <v>9</v>
      </c>
      <c r="FY2" s="8" t="s">
        <v>10</v>
      </c>
      <c r="FZ2" s="15" t="s">
        <v>11</v>
      </c>
      <c r="GA2" s="8" t="s">
        <v>12</v>
      </c>
    </row>
    <row r="3" spans="1:183" x14ac:dyDescent="0.35">
      <c r="A3" s="1">
        <v>46</v>
      </c>
      <c r="B3" s="2">
        <v>46234.398842592593</v>
      </c>
      <c r="C3" s="2">
        <v>46234.446157407408</v>
      </c>
      <c r="D3" s="1" t="s">
        <v>111</v>
      </c>
      <c r="E3" s="1"/>
      <c r="F3" s="1"/>
      <c r="G3" s="3">
        <v>46234</v>
      </c>
      <c r="H3" s="1" t="s">
        <v>182</v>
      </c>
      <c r="I3" s="5">
        <v>6524.5320000000002</v>
      </c>
      <c r="J3" s="5">
        <v>4272.3999999999996</v>
      </c>
      <c r="K3" s="5">
        <v>1776237</v>
      </c>
      <c r="L3" s="5">
        <v>452</v>
      </c>
      <c r="M3" s="5">
        <v>190.44</v>
      </c>
      <c r="N3" s="5">
        <v>1865132</v>
      </c>
      <c r="O3" s="5">
        <v>4591483.5199999996</v>
      </c>
      <c r="P3" s="5">
        <v>644355.52</v>
      </c>
      <c r="Q3" s="5">
        <v>8080058.8799999999</v>
      </c>
      <c r="R3" s="5">
        <v>5516922.8799999999</v>
      </c>
      <c r="S3" s="5">
        <v>7351346.5599999996</v>
      </c>
      <c r="T3" s="5">
        <v>43149691.343000002</v>
      </c>
      <c r="U3" s="5">
        <v>2099075.04</v>
      </c>
      <c r="V3" s="5">
        <v>5109930.5599999996</v>
      </c>
      <c r="W3" s="5">
        <v>1590.4039</v>
      </c>
      <c r="X3" s="5">
        <v>773006.4</v>
      </c>
      <c r="Y3" s="5">
        <v>1087873.52</v>
      </c>
      <c r="Z3" s="5">
        <v>2777.8894</v>
      </c>
      <c r="AA3" s="5">
        <v>667411.71200000006</v>
      </c>
      <c r="AB3" s="5">
        <v>421231.29599999997</v>
      </c>
      <c r="AC3" s="5">
        <v>2136407.04</v>
      </c>
      <c r="AD3" s="5">
        <v>2618164.23</v>
      </c>
      <c r="AE3" s="5">
        <v>12780.8544</v>
      </c>
      <c r="AF3" s="5">
        <v>873296.70400000003</v>
      </c>
      <c r="AG3" s="5">
        <v>1394.2650000000001</v>
      </c>
      <c r="AH3" s="5">
        <v>133019.52799999999</v>
      </c>
      <c r="AI3" s="5">
        <v>14608.193600000001</v>
      </c>
      <c r="AJ3" s="5">
        <v>145355.68</v>
      </c>
      <c r="AK3" s="5">
        <v>105204.92</v>
      </c>
      <c r="AL3" s="5">
        <v>330330.91200000001</v>
      </c>
      <c r="AM3" s="5">
        <v>989.33900000000006</v>
      </c>
      <c r="AN3" s="5">
        <v>281.7</v>
      </c>
      <c r="AO3" s="5">
        <v>7</v>
      </c>
      <c r="AP3" s="5">
        <v>419545</v>
      </c>
      <c r="AQ3" s="5">
        <v>42313</v>
      </c>
      <c r="AR3" s="5">
        <v>41768</v>
      </c>
      <c r="AS3" s="5">
        <v>32308</v>
      </c>
      <c r="AT3" s="5">
        <v>22057</v>
      </c>
      <c r="AU3" s="5">
        <v>15551</v>
      </c>
      <c r="AV3" s="5">
        <v>6378</v>
      </c>
      <c r="AW3" s="5">
        <v>20.900064</v>
      </c>
      <c r="AX3" s="5">
        <v>7230.94</v>
      </c>
      <c r="AY3" s="5">
        <v>678.54223999999999</v>
      </c>
      <c r="AZ3" s="5">
        <v>20.788</v>
      </c>
      <c r="BA3" s="5">
        <v>10329</v>
      </c>
      <c r="BB3" s="5">
        <v>44.639000000000003</v>
      </c>
      <c r="BC3" s="5">
        <v>113989.152</v>
      </c>
      <c r="BD3" s="5">
        <v>275769.53600000002</v>
      </c>
      <c r="BE3" s="5">
        <v>3721.8083999999999</v>
      </c>
      <c r="BF3" s="5">
        <v>1712.0419999999999</v>
      </c>
      <c r="BG3" s="5">
        <v>74.930000000000007</v>
      </c>
      <c r="BH3" s="5">
        <v>363.666</v>
      </c>
      <c r="BI3" s="5">
        <v>913.86300000000006</v>
      </c>
      <c r="BJ3" s="5">
        <v>14.499000000000001</v>
      </c>
      <c r="BK3" s="5">
        <v>563.36500000000001</v>
      </c>
      <c r="BL3" s="5">
        <v>72392.566800000001</v>
      </c>
      <c r="BM3" s="5">
        <v>307923.00799999997</v>
      </c>
      <c r="BN3" s="5">
        <v>7190.1008000000002</v>
      </c>
      <c r="BO3" s="5">
        <v>53552.422400000003</v>
      </c>
      <c r="BP3" s="5">
        <v>314029.92</v>
      </c>
      <c r="BQ3" s="5">
        <v>324.69499999999999</v>
      </c>
      <c r="BR3" s="5">
        <v>180.864</v>
      </c>
      <c r="BS3" s="5">
        <v>1008442.662</v>
      </c>
      <c r="BT3" s="5">
        <v>1400617.8060000001</v>
      </c>
      <c r="BU3" s="5">
        <v>628731.00800000003</v>
      </c>
      <c r="BV3" s="5">
        <v>1021191.36</v>
      </c>
      <c r="BW3" s="5">
        <v>567920.576</v>
      </c>
      <c r="BX3" s="5">
        <v>991495.48800000001</v>
      </c>
      <c r="BY3" s="5">
        <v>157618.54399999999</v>
      </c>
      <c r="BZ3" s="5">
        <v>114332.76</v>
      </c>
      <c r="CA3" s="5">
        <v>1237.8313000000001</v>
      </c>
      <c r="CB3" s="5">
        <v>108601.008</v>
      </c>
      <c r="CC3" s="5">
        <v>150496.67199999999</v>
      </c>
      <c r="CD3" s="5">
        <v>446163.84</v>
      </c>
      <c r="CE3" s="5">
        <v>49125.260799999996</v>
      </c>
      <c r="CF3" s="5">
        <v>155846.19200000001</v>
      </c>
      <c r="CG3" s="5">
        <v>360805.52639999997</v>
      </c>
      <c r="CH3" s="5">
        <v>2385.8710000000001</v>
      </c>
      <c r="CI3" s="5">
        <v>214.09</v>
      </c>
      <c r="CJ3" s="5">
        <v>1191.4000000000001</v>
      </c>
      <c r="CK3" s="5">
        <v>78.003</v>
      </c>
      <c r="CL3" s="5">
        <v>733.59900000000005</v>
      </c>
      <c r="CM3" s="5">
        <v>551.4</v>
      </c>
      <c r="CN3" s="5">
        <v>45149.1</v>
      </c>
      <c r="CO3" s="5">
        <v>1649.779</v>
      </c>
      <c r="CP3" s="5">
        <v>294055.45199999999</v>
      </c>
      <c r="CQ3" s="5">
        <v>3681762.24</v>
      </c>
      <c r="CR3" s="5">
        <v>131108.75200000001</v>
      </c>
      <c r="CS3" s="5">
        <v>513948.73599999998</v>
      </c>
      <c r="CT3" s="5">
        <v>2923536.6660000002</v>
      </c>
      <c r="CU3" s="5">
        <v>298260.48499999999</v>
      </c>
      <c r="CV3" s="5">
        <v>30133.4624</v>
      </c>
      <c r="CW3" s="5">
        <v>62830.374400000001</v>
      </c>
      <c r="CX3" s="5">
        <v>33462.284800000001</v>
      </c>
      <c r="CY3" s="5">
        <v>167706.09599999999</v>
      </c>
      <c r="CZ3" s="5">
        <v>217828.416</v>
      </c>
      <c r="DA3" s="5">
        <v>19009.79</v>
      </c>
      <c r="DB3" s="5">
        <v>150062.14000000001</v>
      </c>
      <c r="DC3" s="5">
        <v>3017.31</v>
      </c>
      <c r="DD3" s="5">
        <v>3017.22</v>
      </c>
      <c r="DE3" s="5">
        <v>3043.33</v>
      </c>
      <c r="DF3" s="5">
        <v>0.998</v>
      </c>
      <c r="DG3" s="1" t="s">
        <v>212</v>
      </c>
      <c r="DH3" s="4">
        <f>Table2[[#This Row],[Date]]</f>
        <v>46234</v>
      </c>
      <c r="DI3">
        <f>(DD4-Table2[[#This Row],[MWH Total]])*4000</f>
        <v>25760.000000000218</v>
      </c>
      <c r="DJ3">
        <f>(DA4-Table2[[#This Row],[PNG Meter (Outside)]])*2.936</f>
        <v>49.647759999999572</v>
      </c>
      <c r="DK3">
        <f>(DB4-Table2[[#This Row],[PNG Meter (Inside)]])*2.936</f>
        <v>282.07032799992618</v>
      </c>
      <c r="DL3">
        <f>(BH4-Table2[[#This Row],[3F Dough cooler - 2 ]])*1000</f>
        <v>451.00000000002183</v>
      </c>
      <c r="DM3">
        <f>(BI4-Table2[[#This Row],[3F Dough Cooler- 1]])*1000</f>
        <v>486.99999999996635</v>
      </c>
      <c r="DN3">
        <f>(BJ4-Table2[[#This Row],[4F Dough Production cooling Unit]])*1000</f>
        <v>57.999999999999829</v>
      </c>
      <c r="DO3">
        <f>(BQ4-Table2[[#This Row],[3F2 - PDB 3 - Dough Production Area]])*1000</f>
        <v>281.99999999998226</v>
      </c>
      <c r="DP3">
        <f>(BR4-Table2[[#This Row],[3F3 - PDB 4 - Dough Area]])*1000</f>
        <v>145.99999999998658</v>
      </c>
      <c r="DQ3">
        <f>AC4-Table2[[#This Row],[16F1 Tray washer Panel for Light]]</f>
        <v>778.87999999988824</v>
      </c>
      <c r="DR3">
        <f>CQ4-Table2[[#This Row],[2F1 Tray Washer - 1]]</f>
        <v>1383.0399999995716</v>
      </c>
      <c r="DS3">
        <f>CS4-Table2[[#This Row],[2F5 Destacker]]</f>
        <v>378.9440000000177</v>
      </c>
      <c r="DT3">
        <f>CU4-Table2[[#This Row],[5F1 Metering (TW-2)]]</f>
        <v>267.53899999998976</v>
      </c>
      <c r="DU3">
        <f>CV4-Table2[[#This Row],[6F1 Pre soaker Tray washer]]</f>
        <v>4.1280000000006112</v>
      </c>
      <c r="DV3">
        <f>CZ4-Table2[[#This Row],[6F5 Vent tray Storage]]</f>
        <v>69.328000000008615</v>
      </c>
      <c r="DW3">
        <f>I4-Table2[[#This Row],[Popeyes Meter ]]</f>
        <v>54.970000000000255</v>
      </c>
      <c r="DX3">
        <f>AZ4-Table2[[#This Row],[2F WH Chiller, Segregation Area]]</f>
        <v>0</v>
      </c>
      <c r="DY3">
        <f>BA4-Table2[[#This Row],[3F1 AC Unit WH dock cooling - 2 Nos]]</f>
        <v>20</v>
      </c>
      <c r="DZ3">
        <f>BB4-Table2[[#This Row],[3F2 AC Unit WH dock cooling - 3 Nos]]</f>
        <v>4.7999999999994714E-2</v>
      </c>
      <c r="EA3">
        <f>(BK4-Table2[[#This Row],[5F WH Perishable]])*1000</f>
        <v>289.99999999996362</v>
      </c>
      <c r="EB3">
        <f>BN4-Table2[[#This Row],[2F3 - PDB 9 - WH Dock Leveler Door ]]</f>
        <v>1.0904000000000451</v>
      </c>
      <c r="EC3">
        <f>BP4-Table2[[#This Row],[3F1 - PDB 5 - WH HSD]]</f>
        <v>98.720000000030268</v>
      </c>
      <c r="ED3">
        <f>BX4-Table2[[#This Row],[8F1 WH Dock AHU - Ventilation]]</f>
        <v>2349.1840000000084</v>
      </c>
      <c r="EE3">
        <f>BZ4-Table2[[#This Row],[8F3 ACPDB - 4 WH Dock air curtain]]</f>
        <v>1.2880000000004657</v>
      </c>
      <c r="EF3">
        <f>CA4-Table2[[#This Row],[8F4 WH Light]]</f>
        <v>2.8156999999998789</v>
      </c>
      <c r="EG3">
        <f>CC4-Table2[[#This Row],[9F1 - PDB 10 - WH Dock door &amp; Office]]</f>
        <v>132.54399999999441</v>
      </c>
      <c r="EH3">
        <f>CD4-Table2[[#This Row],[9F2 - PDB 11 - WH flycatchers]]</f>
        <v>273.69599999999627</v>
      </c>
      <c r="EI3">
        <f>CE4-Table2[[#This Row],[9F3 - PDB 12 - Other items]]</f>
        <v>0</v>
      </c>
      <c r="EJ3">
        <f>CR4-Table2[[#This Row],[2F3 - PDB 1 - Dock 1 to 4 ]]</f>
        <v>80.775999999983469</v>
      </c>
      <c r="EK3">
        <f>BM4-Table2[[#This Row],[2F2 - PDB 3 - WH Truck &amp; Battery Charging]]</f>
        <v>649.18400000000838</v>
      </c>
      <c r="EL3">
        <f>(CK4-Table2[[#This Row],[PDB - 11 Truck Charging]])*1000</f>
        <v>75.000000000002842</v>
      </c>
      <c r="EM3">
        <f>P4-Table2[[#This Row],[5F3 Admin Area]]</f>
        <v>403.1359999999404</v>
      </c>
      <c r="EN3">
        <f>AH4-Table2[[#This Row],[2F5 Main Gate-1 Piller -1]]</f>
        <v>123.73600000000442</v>
      </c>
      <c r="EO3">
        <f>CW4-Table2[[#This Row],[6F2 Ground Floor AC]]</f>
        <v>27.763200000001234</v>
      </c>
      <c r="EP3">
        <f>CX4-Table2[[#This Row],[6F3 ACBD -1 (First floor AC)]]</f>
        <v>3.8079999999972642</v>
      </c>
      <c r="EQ3">
        <f>CY4-Table2[[#This Row],[6F4 ACBD - 2 (Second &amp; Third floor AC)]]</f>
        <v>122.7840000000142</v>
      </c>
      <c r="ER3">
        <f>(BC4-Table2[[#This Row],[4F Old BMC cooling Unit]])</f>
        <v>0</v>
      </c>
      <c r="ES3">
        <f>BO4-Table2[[#This Row],[2F4 - Old BMC]]</f>
        <v>5.3887999999933527</v>
      </c>
      <c r="ET3">
        <f>Y4-Table2[[#This Row],[14F2 New CK]]</f>
        <v>1320.6399999998976</v>
      </c>
      <c r="EU3">
        <f>(CL4-Table2[[#This Row],[OLD Ck Panel-1]])*1000</f>
        <v>208.99999999994634</v>
      </c>
      <c r="EV3">
        <f>CM4-Table2[[#This Row],[2F4 Old CK Blast (Blue star)]]</f>
        <v>0</v>
      </c>
      <c r="EW3">
        <f>CN4-Table2[[#This Row],[3F6 Old CK Blast (Carrier)]]</f>
        <v>21.5</v>
      </c>
      <c r="EX3">
        <f>(CO4-Table2[[#This Row],[Old CK Panel -2]])*1000</f>
        <v>739.00000000003274</v>
      </c>
      <c r="EY3">
        <f>N4-Table2[[#This Row],[4F1 Main UPS 1/C -1]]</f>
        <v>947.04000000003725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307.6480000000447</v>
      </c>
      <c r="FD3">
        <f>(CI4-Table2[[#This Row],[PDB - 17 CLC Section ]])*1000</f>
        <v>185.00000000000227</v>
      </c>
      <c r="FE3">
        <f>(W4-Table2[[#This Row],[13F3 Water &amp; Lift Old CK]])*1000</f>
        <v>450.69999999986976</v>
      </c>
      <c r="FF3">
        <f>AA4-Table2[[#This Row],[15F2 New ETP Panel]]</f>
        <v>258.87999999988824</v>
      </c>
      <c r="FG3">
        <f>AL4-Table2[[#This Row],[3F4 Old ETP Panel]]</f>
        <v>74.368000000016764</v>
      </c>
      <c r="FH3">
        <f>AF4-Table2[[#This Row],[2F1 RO Plant]]</f>
        <v>533.0559999999823</v>
      </c>
      <c r="FI3">
        <f>AK4-Table2[[#This Row],[3F3 Fire Hydrant Panel]]</f>
        <v>11.207999999998719</v>
      </c>
      <c r="FJ3">
        <f>R4-Table2[[#This Row],[7F1 Freon System Panel]]</f>
        <v>6675.839999999851</v>
      </c>
      <c r="FK3">
        <f>(AE4-Table2[[#This Row],[21F1 Refrigeration Ammonia]])*1000</f>
        <v>7132.7999999994063</v>
      </c>
      <c r="FL3">
        <f>(AG4-Table2[[#This Row],[2F3 Air Compressor]])*1000</f>
        <v>1271.9999999999345</v>
      </c>
      <c r="FM3">
        <f>(AX4-Table2[[#This Row],[Solar Reading Panel II]])*1000</f>
        <v>3242.0000000001892</v>
      </c>
      <c r="FN3">
        <f>AI4-Table2[[#This Row],[3F1 Maintenance Workshop]]</f>
        <v>4.7471999999997934</v>
      </c>
      <c r="FO3">
        <f>BD4-Table2[[#This Row],[4F B2B unit ]]</f>
        <v>51.647999999986496</v>
      </c>
      <c r="FP3">
        <f>BL4-Table2[[#This Row],[2F1 - PDB 6 - Bread, B2B section]]</f>
        <v>203.40119999999297</v>
      </c>
      <c r="FQ3">
        <f>(CG4-Table2[[#This Row],[9F5 - PDB 14 - Bread Lift]])</f>
        <v>0.3552000000490807</v>
      </c>
      <c r="FR3">
        <f>CJ4-Table2[[#This Row],[PDB - 16 Bread Section]]</f>
        <v>0</v>
      </c>
      <c r="FS3">
        <f>BU4-Table2[[#This Row],[7F1 Donut Production area]]</f>
        <v>211.1359999999404</v>
      </c>
      <c r="FT3">
        <f>CB4-Table2[[#This Row],[8F5 Donut Ban Bary]]</f>
        <v>44.448000000003958</v>
      </c>
      <c r="FU3">
        <f>CF4-Table2[[#This Row],[9F4 - PDB 13 - Donut Sink Geyser area]]</f>
        <v>15.263999999995576</v>
      </c>
      <c r="FV3">
        <f>BV4-Table2[[#This Row],[7F2 Flour Silo]]</f>
        <v>566.95999999996275</v>
      </c>
      <c r="FW3">
        <f>BY4-Table2[[#This Row],[8F2 ACPDB - 3 SILO Ventilation]]</f>
        <v>49.504000000015367</v>
      </c>
      <c r="FX3">
        <f>J4-Table2[[#This Row],[DG 1010KVA Running Hours]]</f>
        <v>0.3000000000001819</v>
      </c>
      <c r="FY3">
        <f>K4-Table2[[#This Row],[DG 1010 KVA Meter Reading]]</f>
        <v>124</v>
      </c>
      <c r="FZ3">
        <f>L4-Table2[[#This Row],[GG 1010 KVA Running Hours]]</f>
        <v>1</v>
      </c>
      <c r="GA3">
        <f>M4-Table2[[#This Row],[GG 1010 KVA Meter Reading]]</f>
        <v>0.12999999999999545</v>
      </c>
    </row>
    <row r="4" spans="1:183" x14ac:dyDescent="0.35">
      <c r="A4" s="1">
        <v>47</v>
      </c>
      <c r="B4" s="2">
        <v>46235.407835648148</v>
      </c>
      <c r="C4" s="2">
        <v>46235.449791666666</v>
      </c>
      <c r="D4" s="1" t="s">
        <v>111</v>
      </c>
      <c r="E4" s="1"/>
      <c r="F4" s="1"/>
      <c r="G4" s="3">
        <v>46235</v>
      </c>
      <c r="H4" s="1" t="s">
        <v>182</v>
      </c>
      <c r="I4" s="5">
        <v>6579.5020000000004</v>
      </c>
      <c r="J4" s="5">
        <v>4272.7</v>
      </c>
      <c r="K4" s="5">
        <v>1776361</v>
      </c>
      <c r="L4" s="5">
        <v>453</v>
      </c>
      <c r="M4" s="5">
        <v>190.57</v>
      </c>
      <c r="N4" s="5">
        <v>1866079.04</v>
      </c>
      <c r="O4" s="5">
        <v>4593424.6399999997</v>
      </c>
      <c r="P4" s="5">
        <v>644758.65599999996</v>
      </c>
      <c r="Q4" s="5">
        <v>8083234.5599999996</v>
      </c>
      <c r="R4" s="5">
        <v>5523598.7199999997</v>
      </c>
      <c r="S4" s="5">
        <v>7354659.8399999999</v>
      </c>
      <c r="T4" s="5">
        <v>42722957.740999997</v>
      </c>
      <c r="U4" s="5">
        <v>2100603.6800000002</v>
      </c>
      <c r="V4" s="5">
        <v>5111805.4400000004</v>
      </c>
      <c r="W4" s="5">
        <v>1590.8545999999999</v>
      </c>
      <c r="X4" s="5">
        <v>773276.03200000001</v>
      </c>
      <c r="Y4" s="5">
        <v>1089194.1599999999</v>
      </c>
      <c r="Z4" s="5">
        <v>2777.8894</v>
      </c>
      <c r="AA4" s="5">
        <v>667670.59199999995</v>
      </c>
      <c r="AB4" s="5">
        <v>421246.33600000001</v>
      </c>
      <c r="AC4" s="5">
        <v>2137185.92</v>
      </c>
      <c r="AD4" s="5">
        <v>3996975.96</v>
      </c>
      <c r="AE4" s="5">
        <v>12787.9872</v>
      </c>
      <c r="AF4" s="5">
        <v>873829.76</v>
      </c>
      <c r="AG4" s="5">
        <v>1395.537</v>
      </c>
      <c r="AH4" s="5">
        <v>133143.264</v>
      </c>
      <c r="AI4" s="5">
        <v>14612.9408</v>
      </c>
      <c r="AJ4" s="5">
        <v>145358.75200000001</v>
      </c>
      <c r="AK4" s="5">
        <v>105216.128</v>
      </c>
      <c r="AL4" s="5">
        <v>330405.28000000003</v>
      </c>
      <c r="AM4" s="5">
        <v>989.84699999999998</v>
      </c>
      <c r="AN4" s="5">
        <v>325</v>
      </c>
      <c r="AO4" s="5">
        <v>7.5</v>
      </c>
      <c r="AP4" s="5">
        <v>429888</v>
      </c>
      <c r="AQ4" s="5">
        <v>42313</v>
      </c>
      <c r="AR4" s="5">
        <v>41768</v>
      </c>
      <c r="AS4" s="5">
        <v>32332</v>
      </c>
      <c r="AT4" s="5">
        <v>22071</v>
      </c>
      <c r="AU4" s="5">
        <v>15576</v>
      </c>
      <c r="AV4" s="5">
        <v>6393</v>
      </c>
      <c r="AW4" s="5">
        <v>20.906972</v>
      </c>
      <c r="AX4" s="5">
        <v>7234.1819999999998</v>
      </c>
      <c r="AY4" s="5">
        <v>678.69056</v>
      </c>
      <c r="AZ4" s="5">
        <v>20.788</v>
      </c>
      <c r="BA4" s="5">
        <v>10349</v>
      </c>
      <c r="BB4" s="5">
        <v>44.686999999999998</v>
      </c>
      <c r="BC4" s="5">
        <v>113989.152</v>
      </c>
      <c r="BD4" s="5">
        <v>275821.18400000001</v>
      </c>
      <c r="BE4" s="5">
        <v>3723.1792</v>
      </c>
      <c r="BF4" s="5">
        <v>1712.0419999999999</v>
      </c>
      <c r="BG4" s="5">
        <v>74.965000000000003</v>
      </c>
      <c r="BH4" s="5">
        <v>364.11700000000002</v>
      </c>
      <c r="BI4" s="5">
        <v>914.35</v>
      </c>
      <c r="BJ4" s="5">
        <v>14.557</v>
      </c>
      <c r="BK4" s="5">
        <v>563.65499999999997</v>
      </c>
      <c r="BL4" s="5">
        <v>72595.967999999993</v>
      </c>
      <c r="BM4" s="5">
        <v>308572.19199999998</v>
      </c>
      <c r="BN4" s="5">
        <v>7191.1912000000002</v>
      </c>
      <c r="BO4" s="5">
        <v>53557.811199999996</v>
      </c>
      <c r="BP4" s="5">
        <v>314128.64000000001</v>
      </c>
      <c r="BQ4" s="5">
        <v>324.97699999999998</v>
      </c>
      <c r="BR4" s="5">
        <v>181.01</v>
      </c>
      <c r="BS4" s="5">
        <v>1009944.38</v>
      </c>
      <c r="BT4" s="5">
        <v>1400618.6</v>
      </c>
      <c r="BU4" s="5">
        <v>628942.14399999997</v>
      </c>
      <c r="BV4" s="5">
        <v>1021758.32</v>
      </c>
      <c r="BW4" s="5">
        <v>568228.22400000005</v>
      </c>
      <c r="BX4" s="5">
        <v>993844.67200000002</v>
      </c>
      <c r="BY4" s="5">
        <v>157668.04800000001</v>
      </c>
      <c r="BZ4" s="5">
        <v>114334.048</v>
      </c>
      <c r="CA4" s="5">
        <v>1240.6469999999999</v>
      </c>
      <c r="CB4" s="5">
        <v>108645.45600000001</v>
      </c>
      <c r="CC4" s="5">
        <v>150629.21599999999</v>
      </c>
      <c r="CD4" s="5">
        <v>446437.53600000002</v>
      </c>
      <c r="CE4" s="5">
        <v>49125.260799999996</v>
      </c>
      <c r="CF4" s="5">
        <v>155861.45600000001</v>
      </c>
      <c r="CG4" s="5">
        <v>360805.88160000002</v>
      </c>
      <c r="CH4" s="5">
        <v>2385.8710000000001</v>
      </c>
      <c r="CI4" s="5">
        <v>214.27500000000001</v>
      </c>
      <c r="CJ4" s="5">
        <v>1191.4000000000001</v>
      </c>
      <c r="CK4" s="5">
        <v>78.078000000000003</v>
      </c>
      <c r="CL4" s="5">
        <v>733.80799999999999</v>
      </c>
      <c r="CM4" s="5">
        <v>551.4</v>
      </c>
      <c r="CN4" s="5">
        <v>45170.6</v>
      </c>
      <c r="CO4" s="5">
        <v>1650.518</v>
      </c>
      <c r="CP4" s="5">
        <v>294188.05200000003</v>
      </c>
      <c r="CQ4" s="5">
        <v>3683145.28</v>
      </c>
      <c r="CR4" s="5">
        <v>131189.52799999999</v>
      </c>
      <c r="CS4" s="5">
        <v>514327.68</v>
      </c>
      <c r="CT4" s="5">
        <v>2926906.7949999999</v>
      </c>
      <c r="CU4" s="5">
        <v>298528.02399999998</v>
      </c>
      <c r="CV4" s="5">
        <v>30137.590400000001</v>
      </c>
      <c r="CW4" s="5">
        <v>62858.137600000002</v>
      </c>
      <c r="CX4" s="5">
        <v>33466.092799999999</v>
      </c>
      <c r="CY4" s="5">
        <v>167828.88</v>
      </c>
      <c r="CZ4" s="5">
        <v>217897.74400000001</v>
      </c>
      <c r="DA4" s="5">
        <v>19026.7</v>
      </c>
      <c r="DB4" s="5">
        <v>150158.21299999999</v>
      </c>
      <c r="DC4" s="5">
        <v>3023.74</v>
      </c>
      <c r="DD4" s="5">
        <v>3023.66</v>
      </c>
      <c r="DE4" s="5">
        <v>3050.16</v>
      </c>
      <c r="DF4" s="5">
        <v>0.996</v>
      </c>
      <c r="DG4" s="1" t="s">
        <v>220</v>
      </c>
      <c r="DH4" s="4">
        <f>Table2[[#This Row],[Date]]</f>
        <v>46235</v>
      </c>
      <c r="DI4">
        <f>(DD5-Table2[[#This Row],[MWH Total]])*4000</f>
        <v>27079.999999999927</v>
      </c>
      <c r="DJ4">
        <f>(DA5-Table2[[#This Row],[PNG Meter (Outside)]])*2.936</f>
        <v>7.0170399999982909</v>
      </c>
      <c r="DK4">
        <f>(DB5-Table2[[#This Row],[PNG Meter (Inside)]])*2.936</f>
        <v>129.67724800001503</v>
      </c>
      <c r="DL4">
        <f>(BH5-Table2[[#This Row],[3F Dough cooler - 2 ]])*1000</f>
        <v>195.99999999996953</v>
      </c>
      <c r="DM4">
        <f>(BI5-Table2[[#This Row],[3F Dough Cooler- 1]])*1000</f>
        <v>358.9999999999236</v>
      </c>
      <c r="DN4">
        <f>(BJ5-Table2[[#This Row],[4F Dough Production cooling Unit]])*1000</f>
        <v>28.000000000000469</v>
      </c>
      <c r="DO4">
        <f>(BQ5-Table2[[#This Row],[3F2 - PDB 3 - Dough Production Area]])*1000</f>
        <v>149.00000000000091</v>
      </c>
      <c r="DP4">
        <f>(BR5-Table2[[#This Row],[3F3 - PDB 4 - Dough Area]])*1000</f>
        <v>85.000000000007958</v>
      </c>
      <c r="DQ4">
        <f>AC5-Table2[[#This Row],[16F1 Tray washer Panel for Light]]</f>
        <v>615.52000000001863</v>
      </c>
      <c r="DR4">
        <f>CQ5-Table2[[#This Row],[2F1 Tray Washer - 1]]</f>
        <v>989.12000000011176</v>
      </c>
      <c r="DS4">
        <f>CS5-Table2[[#This Row],[2F5 Destacker]]</f>
        <v>209.56800000002841</v>
      </c>
      <c r="DT4">
        <f>CU5-Table2[[#This Row],[5F1 Metering (TW-2)]]</f>
        <v>217.15200000000186</v>
      </c>
      <c r="DU4">
        <f>CV5-Table2[[#This Row],[6F1 Pre soaker Tray washer]]</f>
        <v>2.1087999999981548</v>
      </c>
      <c r="DV4">
        <f>CZ5-Table2[[#This Row],[6F5 Vent tray Storage]]</f>
        <v>54.720000000001164</v>
      </c>
      <c r="DW4">
        <f>I5-Table2[[#This Row],[Popeyes Meter ]]</f>
        <v>4.4799999999995634</v>
      </c>
      <c r="DX4">
        <f>AZ5-Table2[[#This Row],[2F WH Chiller, Segregation Area]]</f>
        <v>0</v>
      </c>
      <c r="DY4">
        <f>BA5-Table2[[#This Row],[3F1 AC Unit WH dock cooling - 2 Nos]]</f>
        <v>16</v>
      </c>
      <c r="DZ4">
        <f>BB5-Table2[[#This Row],[3F2 AC Unit WH dock cooling - 3 Nos]]</f>
        <v>3.5000000000003695E-2</v>
      </c>
      <c r="EA4">
        <f>(BK5-Table2[[#This Row],[5F WH Perishable]])*1000</f>
        <v>214.00000000005548</v>
      </c>
      <c r="EB4">
        <f>BN5-Table2[[#This Row],[2F3 - PDB 9 - WH Dock Leveler Door ]]</f>
        <v>0.60239999999976135</v>
      </c>
      <c r="EC4">
        <f>BP5-Table2[[#This Row],[3F1 - PDB 5 - WH HSD]]</f>
        <v>79.776000000012573</v>
      </c>
      <c r="ED4">
        <f>BX5-Table2[[#This Row],[8F1 WH Dock AHU - Ventilation]]</f>
        <v>1715.5200000000186</v>
      </c>
      <c r="EE4">
        <f>BZ5-Table2[[#This Row],[8F3 ACPDB - 4 WH Dock air curtain]]</f>
        <v>0.71199999999953434</v>
      </c>
      <c r="EF4">
        <f>CA5-Table2[[#This Row],[8F4 WH Light]]</f>
        <v>2.0540000000000873</v>
      </c>
      <c r="EG4">
        <f>CC5-Table2[[#This Row],[9F1 - PDB 10 - WH Dock door &amp; Office]]</f>
        <v>112.13600000002771</v>
      </c>
      <c r="EH4">
        <f>CD5-Table2[[#This Row],[9F2 - PDB 11 - WH flycatchers]]</f>
        <v>222.07999999995809</v>
      </c>
      <c r="EI4">
        <f>CE5-Table2[[#This Row],[9F3 - PDB 12 - Other items]]</f>
        <v>0</v>
      </c>
      <c r="EJ4">
        <f>CR5-Table2[[#This Row],[2F3 - PDB 1 - Dock 1 to 4 ]]</f>
        <v>59.847999999998137</v>
      </c>
      <c r="EK4">
        <f>BM5-Table2[[#This Row],[2F2 - PDB 3 - WH Truck &amp; Battery Charging]]</f>
        <v>513.08800000004703</v>
      </c>
      <c r="EL4">
        <f>(CK5-Table2[[#This Row],[PDB - 11 Truck Charging]])*1000</f>
        <v>69.000000000002615</v>
      </c>
      <c r="EM4">
        <f>P5-Table2[[#This Row],[5F3 Admin Area]]</f>
        <v>305.08799999998882</v>
      </c>
      <c r="EN4">
        <f>AH5-Table2[[#This Row],[2F5 Main Gate-1 Piller -1]]</f>
        <v>98.208000000013271</v>
      </c>
      <c r="EO4">
        <f>CW5-Table2[[#This Row],[6F2 Ground Floor AC]]</f>
        <v>24.435199999999895</v>
      </c>
      <c r="EP4">
        <f>CX5-Table2[[#This Row],[6F3 ACBD -1 (First floor AC)]]</f>
        <v>0</v>
      </c>
      <c r="EQ4">
        <f>CY5-Table2[[#This Row],[6F4 ACBD - 2 (Second &amp; Third floor AC)]]</f>
        <v>104.67199999999139</v>
      </c>
      <c r="ER4">
        <f>(BC5-Table2[[#This Row],[4F Old BMC cooling Unit]])</f>
        <v>0</v>
      </c>
      <c r="ES4">
        <f>BO5-Table2[[#This Row],[2F4 - Old BMC]]</f>
        <v>3.9744000000064261</v>
      </c>
      <c r="ET4">
        <f>Y5-Table2[[#This Row],[14F2 New CK]]</f>
        <v>1008.4799999999814</v>
      </c>
      <c r="EU4">
        <f>(CL5-Table2[[#This Row],[OLD Ck Panel-1]])*1000</f>
        <v>120.00000000000455</v>
      </c>
      <c r="EV4">
        <f>CM5-Table2[[#This Row],[2F4 Old CK Blast (Blue star)]]</f>
        <v>0</v>
      </c>
      <c r="EW4">
        <f>CN5-Table2[[#This Row],[3F6 Old CK Blast (Carrier)]]</f>
        <v>0.20000000000436557</v>
      </c>
      <c r="EX4">
        <f>(CO5-Table2[[#This Row],[Old CK Panel -2]])*1000</f>
        <v>643.0000000000291</v>
      </c>
      <c r="EY4">
        <f>N5-Table2[[#This Row],[4F1 Main UPS 1/C -1]]</f>
        <v>724.95999999996275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36.000000000001364</v>
      </c>
      <c r="FC4">
        <f>BW5-Table2[[#This Row],[7F3 CLC Power Panel]]</f>
        <v>225.85599999991246</v>
      </c>
      <c r="FD4">
        <f>(CI5-Table2[[#This Row],[PDB - 17 CLC Section ]])*1000</f>
        <v>125</v>
      </c>
      <c r="FE4">
        <f>(W5-Table2[[#This Row],[13F3 Water &amp; Lift Old CK]])*1000</f>
        <v>759.30000000016662</v>
      </c>
      <c r="FF4">
        <f>AA5-Table2[[#This Row],[15F2 New ETP Panel]]</f>
        <v>227.84000000008382</v>
      </c>
      <c r="FG4">
        <f>AL5-Table2[[#This Row],[3F4 Old ETP Panel]]</f>
        <v>64.991999999969266</v>
      </c>
      <c r="FH4">
        <f>AF5-Table2[[#This Row],[2F1 RO Plant]]</f>
        <v>432.06400000001304</v>
      </c>
      <c r="FI4">
        <f>AK5-Table2[[#This Row],[3F3 Fire Hydrant Panel]]</f>
        <v>8.7200000000011642</v>
      </c>
      <c r="FJ4">
        <f>R5-Table2[[#This Row],[7F1 Freon System Panel]]</f>
        <v>5112.320000000298</v>
      </c>
      <c r="FK4">
        <f>(AE5-Table2[[#This Row],[21F1 Refrigeration Ammonia]])*1000</f>
        <v>5821.6000000011263</v>
      </c>
      <c r="FL4">
        <f>(AG5-Table2[[#This Row],[2F3 Air Compressor]])*1000</f>
        <v>995.99999999986721</v>
      </c>
      <c r="FM4">
        <f>(AX5-Table2[[#This Row],[Solar Reading Panel II]])*1000</f>
        <v>2274.000000000342</v>
      </c>
      <c r="FN4">
        <f>AI5-Table2[[#This Row],[3F1 Maintenance Workshop]]</f>
        <v>3.1055999999989581</v>
      </c>
      <c r="FO4">
        <f>BD5-Table2[[#This Row],[4F B2B unit ]]</f>
        <v>27.135999999998603</v>
      </c>
      <c r="FP4">
        <f>BL5-Table2[[#This Row],[2F1 - PDB 6 - Bread, B2B section]]</f>
        <v>89.63200000001234</v>
      </c>
      <c r="FQ4">
        <f>(CG5-Table2[[#This Row],[9F5 - PDB 14 - Bread Lift]])</f>
        <v>0.22079999995185062</v>
      </c>
      <c r="FR4">
        <f>CJ5-Table2[[#This Row],[PDB - 16 Bread Section]]</f>
        <v>0</v>
      </c>
      <c r="FS4">
        <f>BU5-Table2[[#This Row],[7F1 Donut Production area]]</f>
        <v>146.75199999997858</v>
      </c>
      <c r="FT4">
        <f>CB5-Table2[[#This Row],[8F5 Donut Ban Bary]]</f>
        <v>21.711999999999534</v>
      </c>
      <c r="FU4">
        <f>CF5-Table2[[#This Row],[9F4 - PDB 13 - Donut Sink Geyser area]]</f>
        <v>60.799999999988358</v>
      </c>
      <c r="FV4">
        <f>BV5-Table2[[#This Row],[7F2 Flour Silo]]</f>
        <v>495.11999999999534</v>
      </c>
      <c r="FW4">
        <f>BY5-Table2[[#This Row],[8F2 ACPDB - 3 SILO Ventilation]]</f>
        <v>58.623999999981606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48</v>
      </c>
      <c r="B5" s="2">
        <v>46237.395636574074</v>
      </c>
      <c r="C5" s="2">
        <v>46237.415659722225</v>
      </c>
      <c r="D5" s="1" t="s">
        <v>111</v>
      </c>
      <c r="E5" s="1"/>
      <c r="F5" s="1"/>
      <c r="G5" s="3">
        <v>46236</v>
      </c>
      <c r="H5" s="1" t="s">
        <v>182</v>
      </c>
      <c r="I5" s="5">
        <v>6583.982</v>
      </c>
      <c r="J5" s="5">
        <v>4272.7</v>
      </c>
      <c r="K5" s="5">
        <v>1776361</v>
      </c>
      <c r="L5" s="5">
        <v>453</v>
      </c>
      <c r="M5" s="5">
        <v>190.57</v>
      </c>
      <c r="N5" s="5">
        <v>1866804</v>
      </c>
      <c r="O5" s="5">
        <v>4594966.4000000004</v>
      </c>
      <c r="P5" s="5">
        <v>645063.74399999995</v>
      </c>
      <c r="Q5" s="5">
        <v>8085854.7199999997</v>
      </c>
      <c r="R5" s="5">
        <v>5528711.04</v>
      </c>
      <c r="S5" s="5">
        <v>7357372.1600000001</v>
      </c>
      <c r="T5" s="5">
        <v>42733071.033</v>
      </c>
      <c r="U5" s="5">
        <v>2101688.48</v>
      </c>
      <c r="V5" s="5">
        <v>5113104</v>
      </c>
      <c r="W5" s="5">
        <v>1591.6139000000001</v>
      </c>
      <c r="X5" s="5">
        <v>773512.70400000003</v>
      </c>
      <c r="Y5" s="5">
        <v>1090202.6399999999</v>
      </c>
      <c r="Z5" s="5">
        <v>2777.8894</v>
      </c>
      <c r="AA5" s="5">
        <v>667898.43200000003</v>
      </c>
      <c r="AB5" s="5">
        <v>421257.82400000002</v>
      </c>
      <c r="AC5" s="5">
        <v>2137801.44</v>
      </c>
      <c r="AD5" s="5">
        <v>2634762.892</v>
      </c>
      <c r="AE5" s="5">
        <v>12793.808800000001</v>
      </c>
      <c r="AF5" s="5">
        <v>874261.82400000002</v>
      </c>
      <c r="AG5" s="5">
        <v>1396.5329999999999</v>
      </c>
      <c r="AH5" s="5">
        <v>133241.47200000001</v>
      </c>
      <c r="AI5" s="5">
        <v>14616.046399999999</v>
      </c>
      <c r="AJ5" s="5">
        <v>145360.89600000001</v>
      </c>
      <c r="AK5" s="5">
        <v>105224.848</v>
      </c>
      <c r="AL5" s="5">
        <v>330470.272</v>
      </c>
      <c r="AM5" s="5">
        <v>990.81500000000005</v>
      </c>
      <c r="AN5" s="5">
        <v>250.6</v>
      </c>
      <c r="AO5" s="5">
        <v>6.9</v>
      </c>
      <c r="AP5" s="5">
        <v>437585</v>
      </c>
      <c r="AQ5" s="5">
        <v>42313</v>
      </c>
      <c r="AR5" s="5">
        <v>41768</v>
      </c>
      <c r="AS5" s="5">
        <v>32351</v>
      </c>
      <c r="AT5" s="5">
        <v>22082</v>
      </c>
      <c r="AU5" s="5">
        <v>15595</v>
      </c>
      <c r="AV5" s="5">
        <v>6404</v>
      </c>
      <c r="AW5" s="5">
        <v>20.912520000000001</v>
      </c>
      <c r="AX5" s="5">
        <v>7236.4560000000001</v>
      </c>
      <c r="AY5" s="5">
        <v>678.79920000000004</v>
      </c>
      <c r="AZ5" s="5">
        <v>20.788</v>
      </c>
      <c r="BA5" s="5">
        <v>10365</v>
      </c>
      <c r="BB5" s="5">
        <v>44.722000000000001</v>
      </c>
      <c r="BC5" s="5">
        <v>113989.152</v>
      </c>
      <c r="BD5" s="5">
        <v>275848.32000000001</v>
      </c>
      <c r="BE5" s="5">
        <v>3724.0544</v>
      </c>
      <c r="BF5" s="5">
        <v>1712.0419999999999</v>
      </c>
      <c r="BG5" s="5">
        <v>75.001000000000005</v>
      </c>
      <c r="BH5" s="5">
        <v>364.31299999999999</v>
      </c>
      <c r="BI5" s="5">
        <v>914.70899999999995</v>
      </c>
      <c r="BJ5" s="5">
        <v>14.585000000000001</v>
      </c>
      <c r="BK5" s="5">
        <v>563.86900000000003</v>
      </c>
      <c r="BL5" s="5">
        <v>72685.600000000006</v>
      </c>
      <c r="BM5" s="5">
        <v>309085.28000000003</v>
      </c>
      <c r="BN5" s="5">
        <v>7191.7936</v>
      </c>
      <c r="BO5" s="5">
        <v>53561.785600000003</v>
      </c>
      <c r="BP5" s="5">
        <v>314208.41600000003</v>
      </c>
      <c r="BQ5" s="5">
        <v>325.12599999999998</v>
      </c>
      <c r="BR5" s="5">
        <v>181.095</v>
      </c>
      <c r="BS5" s="5">
        <v>1010924.719</v>
      </c>
      <c r="BT5" s="5">
        <v>1400618.6529999999</v>
      </c>
      <c r="BU5" s="5">
        <v>629088.89599999995</v>
      </c>
      <c r="BV5" s="5">
        <v>1022253.44</v>
      </c>
      <c r="BW5" s="5">
        <v>568454.07999999996</v>
      </c>
      <c r="BX5" s="5">
        <v>995560.19200000004</v>
      </c>
      <c r="BY5" s="5">
        <v>157726.67199999999</v>
      </c>
      <c r="BZ5" s="5">
        <v>114334.76</v>
      </c>
      <c r="CA5" s="5">
        <v>1242.701</v>
      </c>
      <c r="CB5" s="5">
        <v>108667.16800000001</v>
      </c>
      <c r="CC5" s="5">
        <v>150741.35200000001</v>
      </c>
      <c r="CD5" s="5">
        <v>446659.61599999998</v>
      </c>
      <c r="CE5" s="5">
        <v>49125.260799999996</v>
      </c>
      <c r="CF5" s="5">
        <v>155922.25599999999</v>
      </c>
      <c r="CG5" s="5">
        <v>360806.10239999997</v>
      </c>
      <c r="CH5" s="5">
        <v>2385.8710000000001</v>
      </c>
      <c r="CI5" s="5">
        <v>214.4</v>
      </c>
      <c r="CJ5" s="5">
        <v>1191.4000000000001</v>
      </c>
      <c r="CK5" s="5">
        <v>78.147000000000006</v>
      </c>
      <c r="CL5" s="5">
        <v>733.928</v>
      </c>
      <c r="CM5" s="5">
        <v>551.4</v>
      </c>
      <c r="CN5" s="5">
        <v>45170.8</v>
      </c>
      <c r="CO5" s="5">
        <v>1651.1610000000001</v>
      </c>
      <c r="CP5" s="5">
        <v>294291.31199999998</v>
      </c>
      <c r="CQ5" s="5">
        <v>3684134.4</v>
      </c>
      <c r="CR5" s="5">
        <v>131249.37599999999</v>
      </c>
      <c r="CS5" s="5">
        <v>514537.24800000002</v>
      </c>
      <c r="CT5" s="5">
        <v>2929366.0240000002</v>
      </c>
      <c r="CU5" s="5">
        <v>298745.17599999998</v>
      </c>
      <c r="CV5" s="5">
        <v>30139.699199999999</v>
      </c>
      <c r="CW5" s="5">
        <v>62882.572800000002</v>
      </c>
      <c r="CX5" s="5">
        <v>33466.092799999999</v>
      </c>
      <c r="CY5" s="5">
        <v>167933.552</v>
      </c>
      <c r="CZ5" s="5">
        <v>217952.46400000001</v>
      </c>
      <c r="DA5" s="5">
        <v>19029.09</v>
      </c>
      <c r="DB5" s="5">
        <v>150202.38099999999</v>
      </c>
      <c r="DC5" s="5">
        <v>3030.57</v>
      </c>
      <c r="DD5" s="5">
        <v>3030.43</v>
      </c>
      <c r="DE5" s="5">
        <v>3057.11</v>
      </c>
      <c r="DF5" s="5">
        <v>0.99299999999999999</v>
      </c>
      <c r="DG5" s="1" t="s">
        <v>217</v>
      </c>
      <c r="DH5" s="4">
        <f>Table2[[#This Row],[Date]]</f>
        <v>46236</v>
      </c>
      <c r="DI5">
        <f>(DD6-Table2[[#This Row],[MWH Total]])*4000</f>
        <v>20960.000000000946</v>
      </c>
      <c r="DJ5">
        <f>(DA6-Table2[[#This Row],[PNG Meter (Outside)]])*2.936</f>
        <v>2.113920000003418</v>
      </c>
      <c r="DK5">
        <f>(DB6-Table2[[#This Row],[PNG Meter (Inside)]])*2.936</f>
        <v>248.90820800005946</v>
      </c>
      <c r="DL5">
        <f>(BH6-Table2[[#This Row],[3F Dough cooler - 2 ]])*1000</f>
        <v>306.00000000004002</v>
      </c>
      <c r="DM5">
        <f>(BI6-Table2[[#This Row],[3F Dough Cooler- 1]])*1000</f>
        <v>605.00000000001819</v>
      </c>
      <c r="DN5">
        <f>(BJ6-Table2[[#This Row],[4F Dough Production cooling Unit]])*1000</f>
        <v>46.99999999999882</v>
      </c>
      <c r="DO5">
        <f>(BQ6-Table2[[#This Row],[3F2 - PDB 3 - Dough Production Area]])*1000</f>
        <v>236.00000000004684</v>
      </c>
      <c r="DP5">
        <f>(BR6-Table2[[#This Row],[3F3 - PDB 4 - Dough Area]])*1000</f>
        <v>125</v>
      </c>
      <c r="DQ5">
        <f>AC6-Table2[[#This Row],[16F1 Tray washer Panel for Light]]</f>
        <v>878.87999999988824</v>
      </c>
      <c r="DR5">
        <f>CQ6-Table2[[#This Row],[2F1 Tray Washer - 1]]</f>
        <v>1441.6000000000931</v>
      </c>
      <c r="DS5">
        <f>CS6-Table2[[#This Row],[2F5 Destacker]]</f>
        <v>309.5679999999702</v>
      </c>
      <c r="DT5">
        <f>CU6-Table2[[#This Row],[5F1 Metering (TW-2)]]</f>
        <v>325.09500000003027</v>
      </c>
      <c r="DU5">
        <f>CV6-Table2[[#This Row],[6F1 Pre soaker Tray washer]]</f>
        <v>3.1999999991967343E-3</v>
      </c>
      <c r="DV5">
        <f>CZ6-Table2[[#This Row],[6F5 Vent tray Storage]]</f>
        <v>65.199999999982538</v>
      </c>
      <c r="DW5">
        <f>I6-Table2[[#This Row],[Popeyes Meter ]]</f>
        <v>103.94999999999982</v>
      </c>
      <c r="DX5">
        <f>AZ6-Table2[[#This Row],[2F WH Chiller, Segregation Area]]</f>
        <v>0</v>
      </c>
      <c r="DY5">
        <f>BA6-Table2[[#This Row],[3F1 AC Unit WH dock cooling - 2 Nos]]</f>
        <v>23</v>
      </c>
      <c r="DZ5">
        <f>BB6-Table2[[#This Row],[3F2 AC Unit WH dock cooling - 3 Nos]]</f>
        <v>5.8999999999997499E-2</v>
      </c>
      <c r="EA5">
        <f>(BK6-Table2[[#This Row],[5F WH Perishable]])*1000</f>
        <v>365.00000000000909</v>
      </c>
      <c r="EB5">
        <f>BN6-Table2[[#This Row],[2F3 - PDB 9 - WH Dock Leveler Door ]]</f>
        <v>1.8815999999997075</v>
      </c>
      <c r="EC5">
        <f>BP6-Table2[[#This Row],[3F1 - PDB 5 - WH HSD]]</f>
        <v>132.19199999998091</v>
      </c>
      <c r="ED5">
        <f>BX6-Table2[[#This Row],[8F1 WH Dock AHU - Ventilation]]</f>
        <v>2925.0559999999823</v>
      </c>
      <c r="EE5">
        <f>BZ6-Table2[[#This Row],[8F3 ACPDB - 4 WH Dock air curtain]]</f>
        <v>19.896000000007916</v>
      </c>
      <c r="EF5">
        <f>CA6-Table2[[#This Row],[8F4 WH Light]]</f>
        <v>1.6060999999999694</v>
      </c>
      <c r="EG5">
        <f>CC6-Table2[[#This Row],[9F1 - PDB 10 - WH Dock door &amp; Office]]</f>
        <v>135.84799999999814</v>
      </c>
      <c r="EH5">
        <f>CD6-Table2[[#This Row],[9F2 - PDB 11 - WH flycatchers]]</f>
        <v>87.232000000018161</v>
      </c>
      <c r="EI5">
        <f>CE6-Table2[[#This Row],[9F3 - PDB 12 - Other items]]</f>
        <v>0</v>
      </c>
      <c r="EJ5">
        <f>CR6-Table2[[#This Row],[2F3 - PDB 1 - Dock 1 to 4 ]]</f>
        <v>93.168000000005122</v>
      </c>
      <c r="EK5">
        <f>BM6-Table2[[#This Row],[2F2 - PDB 3 - WH Truck &amp; Battery Charging]]</f>
        <v>331.71199999999953</v>
      </c>
      <c r="EL5">
        <f>(CK6-Table2[[#This Row],[PDB - 11 Truck Charging]])*1000</f>
        <v>12.000000000000455</v>
      </c>
      <c r="EM5">
        <f>P6-Table2[[#This Row],[5F3 Admin Area]]</f>
        <v>531.13600000005681</v>
      </c>
      <c r="EN5">
        <f>AH6-Table2[[#This Row],[2F5 Main Gate-1 Piller -1]]</f>
        <v>117.18399999997928</v>
      </c>
      <c r="EO5">
        <f>CW6-Table2[[#This Row],[6F2 Ground Floor AC]]</f>
        <v>40.300799999997253</v>
      </c>
      <c r="EP5">
        <f>CX6-Table2[[#This Row],[6F3 ACBD -1 (First floor AC)]]</f>
        <v>0</v>
      </c>
      <c r="EQ5">
        <f>CY6-Table2[[#This Row],[6F4 ACBD - 2 (Second &amp; Third floor AC)]]</f>
        <v>180.55999999999767</v>
      </c>
      <c r="ER5">
        <f>(BC6-Table2[[#This Row],[4F Old BMC cooling Unit]])</f>
        <v>0</v>
      </c>
      <c r="ES5">
        <f>BO6-Table2[[#This Row],[2F4 - Old BMC]]</f>
        <v>6.7999999999956344</v>
      </c>
      <c r="ET5">
        <f>Y6-Table2[[#This Row],[14F2 New CK]]</f>
        <v>1064.2399999999907</v>
      </c>
      <c r="EU5">
        <f>(CL6-Table2[[#This Row],[OLD Ck Panel-1]])*1000</f>
        <v>154.99999999997272</v>
      </c>
      <c r="EV5">
        <f>CM6-Table2[[#This Row],[2F4 Old CK Blast (Blue star)]]</f>
        <v>0</v>
      </c>
      <c r="EW5">
        <f>CN6-Table2[[#This Row],[3F6 Old CK Blast (Carrier)]]</f>
        <v>0.29999999999563443</v>
      </c>
      <c r="EX5">
        <f>(CO6-Table2[[#This Row],[Old CK Panel -2]])*1000</f>
        <v>706.99999999987995</v>
      </c>
      <c r="EY5">
        <f>N6-Table2[[#This Row],[4F1 Main UPS 1/C -1]]</f>
        <v>959.84000000008382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18.999999999991246</v>
      </c>
      <c r="FC5">
        <f>BW6-Table2[[#This Row],[7F3 CLC Power Panel]]</f>
        <v>194.4320000000298</v>
      </c>
      <c r="FD5">
        <f>(CI6-Table2[[#This Row],[PDB - 17 CLC Section ]])*1000</f>
        <v>122.99999999999045</v>
      </c>
      <c r="FE5">
        <f>(W6-Table2[[#This Row],[13F3 Water &amp; Lift Old CK]])*1000</f>
        <v>486.79999999990287</v>
      </c>
      <c r="FF5">
        <f>AA6-Table2[[#This Row],[15F2 New ETP Panel]]</f>
        <v>456.89599999994971</v>
      </c>
      <c r="FG5">
        <f>AL6-Table2[[#This Row],[3F4 Old ETP Panel]]</f>
        <v>73.184000000008382</v>
      </c>
      <c r="FH5">
        <f>AF6-Table2[[#This Row],[2F1 RO Plant]]</f>
        <v>683.39199999999255</v>
      </c>
      <c r="FI5">
        <f>AK6-Table2[[#This Row],[3F3 Fire Hydrant Panel]]</f>
        <v>16.576000000000931</v>
      </c>
      <c r="FJ5">
        <f>R6-Table2[[#This Row],[7F1 Freon System Panel]]</f>
        <v>6142.7199999997392</v>
      </c>
      <c r="FK5">
        <f>(AE6-Table2[[#This Row],[21F1 Refrigeration Ammonia]])*1000</f>
        <v>7730.3999999985535</v>
      </c>
      <c r="FL5">
        <f>(AG6-Table2[[#This Row],[2F3 Air Compressor]])*1000</f>
        <v>1447.0000000001164</v>
      </c>
      <c r="FM5">
        <f>(AX6-Table2[[#This Row],[Solar Reading Panel II]])*1000</f>
        <v>3994.9999999998909</v>
      </c>
      <c r="FN5">
        <f>AI6-Table2[[#This Row],[3F1 Maintenance Workshop]]</f>
        <v>4.3328000000001339</v>
      </c>
      <c r="FO5">
        <f>BD6-Table2[[#This Row],[4F B2B unit ]]</f>
        <v>78.656000000017229</v>
      </c>
      <c r="FP5">
        <f>BL6-Table2[[#This Row],[2F1 - PDB 6 - Bread, B2B section]]</f>
        <v>122.32319999999891</v>
      </c>
      <c r="FQ5">
        <f>(CG6-Table2[[#This Row],[9F5 - PDB 14 - Bread Lift]])</f>
        <v>0.44800000003306195</v>
      </c>
      <c r="FR5">
        <f>CJ6-Table2[[#This Row],[PDB - 16 Bread Section]]</f>
        <v>0</v>
      </c>
      <c r="FS5">
        <f>BU6-Table2[[#This Row],[7F1 Donut Production area]]</f>
        <v>215.10400000005029</v>
      </c>
      <c r="FT5">
        <f>CB6-Table2[[#This Row],[8F5 Donut Ban Bary]]</f>
        <v>51.679999999993015</v>
      </c>
      <c r="FU5">
        <f>CF6-Table2[[#This Row],[9F4 - PDB 13 - Donut Sink Geyser area]]</f>
        <v>46.512000000016997</v>
      </c>
      <c r="FV5">
        <f>BV6-Table2[[#This Row],[7F2 Flour Silo]]</f>
        <v>476</v>
      </c>
      <c r="FW5">
        <f>BY6-Table2[[#This Row],[8F2 ACPDB - 3 SILO Ventilation]]</f>
        <v>68.032000000006519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49</v>
      </c>
      <c r="B6" s="2">
        <v>46237.415902777779</v>
      </c>
      <c r="C6" s="2">
        <v>46237.455925925926</v>
      </c>
      <c r="D6" s="1" t="s">
        <v>111</v>
      </c>
      <c r="E6" s="1"/>
      <c r="F6" s="1"/>
      <c r="G6" s="3">
        <v>46237</v>
      </c>
      <c r="H6" s="1" t="s">
        <v>182</v>
      </c>
      <c r="I6" s="5">
        <v>6687.9319999999998</v>
      </c>
      <c r="J6" s="5">
        <v>4272.7</v>
      </c>
      <c r="K6" s="5">
        <v>1776361</v>
      </c>
      <c r="L6" s="5">
        <v>453</v>
      </c>
      <c r="M6" s="5">
        <v>190.57</v>
      </c>
      <c r="N6" s="5">
        <v>1867763.84</v>
      </c>
      <c r="O6" s="5">
        <v>4597175.3600000003</v>
      </c>
      <c r="P6" s="5">
        <v>645594.88</v>
      </c>
      <c r="Q6" s="5">
        <v>8089822.7199999997</v>
      </c>
      <c r="R6" s="5">
        <v>5534853.7599999998</v>
      </c>
      <c r="S6" s="5">
        <v>7360382.7199999997</v>
      </c>
      <c r="T6" s="5">
        <v>42744304.789999999</v>
      </c>
      <c r="U6" s="5">
        <v>2102692.96</v>
      </c>
      <c r="V6" s="5">
        <v>5114972.4800000004</v>
      </c>
      <c r="W6" s="5">
        <v>1592.1007</v>
      </c>
      <c r="X6" s="5">
        <v>773820.48</v>
      </c>
      <c r="Y6" s="5">
        <v>1091266.8799999999</v>
      </c>
      <c r="Z6" s="5">
        <v>2777.8894</v>
      </c>
      <c r="AA6" s="5">
        <v>668355.32799999998</v>
      </c>
      <c r="AB6" s="5">
        <v>421272.44799999997</v>
      </c>
      <c r="AC6" s="5">
        <v>2138680.3199999998</v>
      </c>
      <c r="AD6" s="5">
        <v>4021998.2990000001</v>
      </c>
      <c r="AE6" s="5">
        <v>12801.539199999999</v>
      </c>
      <c r="AF6" s="5">
        <v>874945.21600000001</v>
      </c>
      <c r="AG6" s="5">
        <v>1397.98</v>
      </c>
      <c r="AH6" s="5">
        <v>133358.65599999999</v>
      </c>
      <c r="AI6" s="5">
        <v>14620.379199999999</v>
      </c>
      <c r="AJ6" s="5">
        <v>145365.408</v>
      </c>
      <c r="AK6" s="5">
        <v>105241.424</v>
      </c>
      <c r="AL6" s="5">
        <v>330543.45600000001</v>
      </c>
      <c r="AM6" s="5">
        <v>990.91399999999999</v>
      </c>
      <c r="AN6" s="5">
        <v>292.60000000000002</v>
      </c>
      <c r="AO6" s="5">
        <v>7.8</v>
      </c>
      <c r="AP6" s="5">
        <v>448953</v>
      </c>
      <c r="AQ6" s="5">
        <v>42313</v>
      </c>
      <c r="AR6" s="5">
        <v>41768</v>
      </c>
      <c r="AS6" s="5">
        <v>32380</v>
      </c>
      <c r="AT6" s="5">
        <v>22100</v>
      </c>
      <c r="AU6" s="5">
        <v>15624</v>
      </c>
      <c r="AV6" s="5">
        <v>6419</v>
      </c>
      <c r="AW6" s="5">
        <v>20.920206</v>
      </c>
      <c r="AX6" s="5">
        <v>7240.451</v>
      </c>
      <c r="AY6" s="5">
        <v>678.96024</v>
      </c>
      <c r="AZ6" s="5">
        <v>20.788</v>
      </c>
      <c r="BA6" s="5">
        <v>10388</v>
      </c>
      <c r="BB6" s="5">
        <v>44.780999999999999</v>
      </c>
      <c r="BC6" s="5">
        <v>113989.152</v>
      </c>
      <c r="BD6" s="5">
        <v>275926.97600000002</v>
      </c>
      <c r="BE6" s="5">
        <v>3725.4756000000002</v>
      </c>
      <c r="BF6" s="5">
        <v>1712.0419999999999</v>
      </c>
      <c r="BG6" s="5">
        <v>75.02</v>
      </c>
      <c r="BH6" s="5">
        <v>364.61900000000003</v>
      </c>
      <c r="BI6" s="5">
        <v>915.31399999999996</v>
      </c>
      <c r="BJ6" s="5">
        <v>14.632</v>
      </c>
      <c r="BK6" s="5">
        <v>564.23400000000004</v>
      </c>
      <c r="BL6" s="5">
        <v>72807.923200000005</v>
      </c>
      <c r="BM6" s="5">
        <v>309416.99200000003</v>
      </c>
      <c r="BN6" s="5">
        <v>7193.6751999999997</v>
      </c>
      <c r="BO6" s="5">
        <v>53568.585599999999</v>
      </c>
      <c r="BP6" s="5">
        <v>314340.60800000001</v>
      </c>
      <c r="BQ6" s="5">
        <v>325.36200000000002</v>
      </c>
      <c r="BR6" s="5">
        <v>181.22</v>
      </c>
      <c r="BS6" s="5">
        <v>1011958.5820000001</v>
      </c>
      <c r="BT6" s="5">
        <v>1400619.6850000001</v>
      </c>
      <c r="BU6" s="5">
        <v>629304</v>
      </c>
      <c r="BV6" s="5">
        <v>1022729.44</v>
      </c>
      <c r="BW6" s="5">
        <v>568648.51199999999</v>
      </c>
      <c r="BX6" s="5">
        <v>998485.24800000002</v>
      </c>
      <c r="BY6" s="5">
        <v>157794.704</v>
      </c>
      <c r="BZ6" s="5">
        <v>114354.656</v>
      </c>
      <c r="CA6" s="5">
        <v>1244.3071</v>
      </c>
      <c r="CB6" s="5">
        <v>108718.848</v>
      </c>
      <c r="CC6" s="5">
        <v>150877.20000000001</v>
      </c>
      <c r="CD6" s="5">
        <v>446746.848</v>
      </c>
      <c r="CE6" s="5">
        <v>49125.260799999996</v>
      </c>
      <c r="CF6" s="5">
        <v>155968.76800000001</v>
      </c>
      <c r="CG6" s="5">
        <v>360806.55040000001</v>
      </c>
      <c r="CH6" s="5">
        <v>2385.8710000000001</v>
      </c>
      <c r="CI6" s="5">
        <v>214.523</v>
      </c>
      <c r="CJ6" s="5">
        <v>1191.4000000000001</v>
      </c>
      <c r="CK6" s="5">
        <v>78.159000000000006</v>
      </c>
      <c r="CL6" s="5">
        <v>734.08299999999997</v>
      </c>
      <c r="CM6" s="5">
        <v>551.4</v>
      </c>
      <c r="CN6" s="5">
        <v>45171.1</v>
      </c>
      <c r="CO6" s="5">
        <v>1651.8679999999999</v>
      </c>
      <c r="CP6" s="5">
        <v>294479.12199999997</v>
      </c>
      <c r="CQ6" s="5">
        <v>3685576</v>
      </c>
      <c r="CR6" s="5">
        <v>131342.54399999999</v>
      </c>
      <c r="CS6" s="5">
        <v>514846.81599999999</v>
      </c>
      <c r="CT6" s="5">
        <v>2932735.83</v>
      </c>
      <c r="CU6" s="5">
        <v>299070.27100000001</v>
      </c>
      <c r="CV6" s="5">
        <v>30139.702399999998</v>
      </c>
      <c r="CW6" s="5">
        <v>62922.873599999999</v>
      </c>
      <c r="CX6" s="5">
        <v>33466.092799999999</v>
      </c>
      <c r="CY6" s="5">
        <v>168114.11199999999</v>
      </c>
      <c r="CZ6" s="5">
        <v>218017.66399999999</v>
      </c>
      <c r="DA6" s="5">
        <v>19029.810000000001</v>
      </c>
      <c r="DB6" s="5">
        <v>150287.15900000001</v>
      </c>
      <c r="DC6" s="5">
        <v>3035.87</v>
      </c>
      <c r="DD6" s="5">
        <v>3035.67</v>
      </c>
      <c r="DE6" s="5">
        <v>3062.58</v>
      </c>
      <c r="DF6" s="5">
        <v>0.97899999999999998</v>
      </c>
      <c r="DG6" s="1" t="s">
        <v>221</v>
      </c>
      <c r="DH6" s="4">
        <f>Table2[[#This Row],[Date]]</f>
        <v>46237</v>
      </c>
      <c r="DI6">
        <f>(DD7-Table2[[#This Row],[MWH Total]])*4000</f>
        <v>25799.999999999272</v>
      </c>
      <c r="DJ6">
        <f>(DA7-Table2[[#This Row],[PNG Meter (Outside)]])*2.936</f>
        <v>19.14272000000128</v>
      </c>
      <c r="DK6">
        <f>(DB7-Table2[[#This Row],[PNG Meter (Inside)]])*2.936</f>
        <v>333.41509599996169</v>
      </c>
      <c r="DL6">
        <f>(BH7-Table2[[#This Row],[3F Dough cooler - 2 ]])*1000</f>
        <v>285.99999999994452</v>
      </c>
      <c r="DM6">
        <f>(BI7-Table2[[#This Row],[3F Dough Cooler- 1]])*1000</f>
        <v>479.00000000004184</v>
      </c>
      <c r="DN6">
        <f>(BJ7-Table2[[#This Row],[4F Dough Production cooling Unit]])*1000</f>
        <v>56.000000000000938</v>
      </c>
      <c r="DO6">
        <f>(BQ7-Table2[[#This Row],[3F2 - PDB 3 - Dough Production Area]])*1000</f>
        <v>240.99999999998545</v>
      </c>
      <c r="DP6">
        <f>(BR7-Table2[[#This Row],[3F3 - PDB 4 - Dough Area]])*1000</f>
        <v>120.00000000000455</v>
      </c>
      <c r="DQ6">
        <f>AC7-Table2[[#This Row],[16F1 Tray washer Panel for Light]]</f>
        <v>719.68000000016764</v>
      </c>
      <c r="DR6">
        <f>CQ7-Table2[[#This Row],[2F1 Tray Washer - 1]]</f>
        <v>1308.7999999998137</v>
      </c>
      <c r="DS6">
        <f>CS7-Table2[[#This Row],[2F5 Destacker]]</f>
        <v>286.62400000001071</v>
      </c>
      <c r="DT6">
        <f>CU7-Table2[[#This Row],[5F1 Metering (TW-2)]]</f>
        <v>296.88500000000931</v>
      </c>
      <c r="DU6">
        <f>CV7-Table2[[#This Row],[6F1 Pre soaker Tray washer]]</f>
        <v>3.2000000028347131E-3</v>
      </c>
      <c r="DV6">
        <f>CZ7-Table2[[#This Row],[6F5 Vent tray Storage]]</f>
        <v>98.768000000010943</v>
      </c>
      <c r="DW6">
        <f>I7-Table2[[#This Row],[Popeyes Meter ]]</f>
        <v>67.75</v>
      </c>
      <c r="DX6">
        <f>AZ7-Table2[[#This Row],[2F WH Chiller, Segregation Area]]</f>
        <v>0</v>
      </c>
      <c r="DY6">
        <f>BA7-Table2[[#This Row],[3F1 AC Unit WH dock cooling - 2 Nos]]</f>
        <v>19</v>
      </c>
      <c r="DZ6">
        <f>BB7-Table2[[#This Row],[3F2 AC Unit WH dock cooling - 3 Nos]]</f>
        <v>4.5999999999999375E-2</v>
      </c>
      <c r="EA6">
        <f>(BK7-Table2[[#This Row],[5F WH Perishable]])*1000</f>
        <v>285.99999999994452</v>
      </c>
      <c r="EB6">
        <f>BN7-Table2[[#This Row],[2F3 - PDB 9 - WH Dock Leveler Door ]]</f>
        <v>1.9832000000005792</v>
      </c>
      <c r="EC6">
        <f>BP7-Table2[[#This Row],[3F1 - PDB 5 - WH HSD]]</f>
        <v>119.58399999997346</v>
      </c>
      <c r="ED6">
        <f>BX7-Table2[[#This Row],[8F1 WH Dock AHU - Ventilation]]</f>
        <v>2295.951999999932</v>
      </c>
      <c r="EE6">
        <f>BZ7-Table2[[#This Row],[8F3 ACPDB - 4 WH Dock air curtain]]</f>
        <v>18.207999999998719</v>
      </c>
      <c r="EF6">
        <f>CA7-Table2[[#This Row],[8F4 WH Light]]</f>
        <v>2.1999999999934516E-2</v>
      </c>
      <c r="EG6">
        <f>CC7-Table2[[#This Row],[9F1 - PDB 10 - WH Dock door &amp; Office]]</f>
        <v>152.8640000000014</v>
      </c>
      <c r="EH6">
        <f>CD7-Table2[[#This Row],[9F2 - PDB 11 - WH flycatchers]]</f>
        <v>258.14400000002934</v>
      </c>
      <c r="EI6">
        <f>CE7-Table2[[#This Row],[9F3 - PDB 12 - Other items]]</f>
        <v>0</v>
      </c>
      <c r="EJ6">
        <f>CR7-Table2[[#This Row],[2F3 - PDB 1 - Dock 1 to 4 ]]</f>
        <v>76.535999999992782</v>
      </c>
      <c r="EK6">
        <f>BM7-Table2[[#This Row],[2F2 - PDB 3 - WH Truck &amp; Battery Charging]]</f>
        <v>535.4879999999539</v>
      </c>
      <c r="EL6">
        <f>(CK7-Table2[[#This Row],[PDB - 11 Truck Charging]])*1000</f>
        <v>62.999999999988177</v>
      </c>
      <c r="EM6">
        <f>P7-Table2[[#This Row],[5F3 Admin Area]]</f>
        <v>381.69599999999627</v>
      </c>
      <c r="EN6">
        <f>AH7-Table2[[#This Row],[2F5 Main Gate-1 Piller -1]]</f>
        <v>105.57600000000093</v>
      </c>
      <c r="EO6">
        <f>CW7-Table2[[#This Row],[6F2 Ground Floor AC]]</f>
        <v>30.604800000000978</v>
      </c>
      <c r="EP6">
        <f>CX7-Table2[[#This Row],[6F3 ACBD -1 (First floor AC)]]</f>
        <v>0</v>
      </c>
      <c r="EQ6">
        <f>CY7-Table2[[#This Row],[6F4 ACBD - 2 (Second &amp; Third floor AC)]]</f>
        <v>136</v>
      </c>
      <c r="ER6">
        <f>(BC7-Table2[[#This Row],[4F Old BMC cooling Unit]])</f>
        <v>0</v>
      </c>
      <c r="ES6">
        <f>BO7-Table2[[#This Row],[2F4 - Old BMC]]</f>
        <v>2.3680000000022119</v>
      </c>
      <c r="ET6">
        <f>Y7-Table2[[#This Row],[14F2 New CK]]</f>
        <v>1538.2400000002235</v>
      </c>
      <c r="EU6">
        <f>(CL7-Table2[[#This Row],[OLD Ck Panel-1]])*1000</f>
        <v>176.00000000004457</v>
      </c>
      <c r="EV6">
        <f>CM7-Table2[[#This Row],[2F4 Old CK Blast (Blue star)]]</f>
        <v>0</v>
      </c>
      <c r="EW6">
        <f>CN7-Table2[[#This Row],[3F6 Old CK Blast (Carrier)]]</f>
        <v>8</v>
      </c>
      <c r="EX6">
        <f>(CO7-Table2[[#This Row],[Old CK Panel -2]])*1000</f>
        <v>878.00000000015643</v>
      </c>
      <c r="EY6">
        <f>N7-Table2[[#This Row],[4F1 Main UPS 1/C -1]]</f>
        <v>924.95999999996275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32.000000000010687</v>
      </c>
      <c r="FC6">
        <f>BW7-Table2[[#This Row],[7F3 CLC Power Panel]]</f>
        <v>326.46400000003632</v>
      </c>
      <c r="FD6">
        <f>(CI7-Table2[[#This Row],[PDB - 17 CLC Section ]])*1000</f>
        <v>227.00000000000387</v>
      </c>
      <c r="FE6">
        <f>(W7-Table2[[#This Row],[13F3 Water &amp; Lift Old CK]])*1000</f>
        <v>412.00000000003456</v>
      </c>
      <c r="FF6">
        <f>AA7-Table2[[#This Row],[15F2 New ETP Panel]]</f>
        <v>364.54399999999441</v>
      </c>
      <c r="FG6">
        <f>AL7-Table2[[#This Row],[3F4 Old ETP Panel]]</f>
        <v>64.415999999968335</v>
      </c>
      <c r="FH6">
        <f>AF7-Table2[[#This Row],[2F1 RO Plant]]</f>
        <v>534.01599999994505</v>
      </c>
      <c r="FI6">
        <f>AK7-Table2[[#This Row],[3F3 Fire Hydrant Panel]]</f>
        <v>10.576000000000931</v>
      </c>
      <c r="FJ6">
        <f>R7-Table2[[#This Row],[7F1 Freon System Panel]]</f>
        <v>5775.3600000003353</v>
      </c>
      <c r="FK6">
        <f>(AE7-Table2[[#This Row],[21F1 Refrigeration Ammonia]])*1000</f>
        <v>6941.6000000001077</v>
      </c>
      <c r="FL6">
        <f>(AG7-Table2[[#This Row],[2F3 Air Compressor]])*1000</f>
        <v>1009.9999999999909</v>
      </c>
      <c r="FM6">
        <f>(AX7-Table2[[#This Row],[Solar Reading Panel II]])*1000</f>
        <v>2028.9999999995416</v>
      </c>
      <c r="FN6">
        <f>AI7-Table2[[#This Row],[3F1 Maintenance Workshop]]</f>
        <v>4.3712000000014086</v>
      </c>
      <c r="FO6">
        <f>BD7-Table2[[#This Row],[4F B2B unit ]]</f>
        <v>66.783999999985099</v>
      </c>
      <c r="FP6">
        <f>BL7-Table2[[#This Row],[2F1 - PDB 6 - Bread, B2B section]]</f>
        <v>135.46880000000237</v>
      </c>
      <c r="FQ6">
        <f>(CG7-Table2[[#This Row],[9F5 - PDB 14 - Bread Lift]])</f>
        <v>0.59840000001713634</v>
      </c>
      <c r="FR6">
        <f>CJ7-Table2[[#This Row],[PDB - 16 Bread Section]]</f>
        <v>0</v>
      </c>
      <c r="FS6">
        <f>BU7-Table2[[#This Row],[7F1 Donut Production area]]</f>
        <v>250.68799999996554</v>
      </c>
      <c r="FT6">
        <f>CB7-Table2[[#This Row],[8F5 Donut Ban Bary]]</f>
        <v>64.487999999997555</v>
      </c>
      <c r="FU6">
        <f>CF7-Table2[[#This Row],[9F4 - PDB 13 - Donut Sink Geyser area]]</f>
        <v>26.095999999990454</v>
      </c>
      <c r="FV6">
        <f>BV7-Table2[[#This Row],[7F2 Flour Silo]]</f>
        <v>484.64000000001397</v>
      </c>
      <c r="FW6">
        <f>BY7-Table2[[#This Row],[8F2 ACPDB - 3 SILO Ventilation]]</f>
        <v>48.144000000000233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 x14ac:dyDescent="0.35">
      <c r="A7" s="1">
        <v>50</v>
      </c>
      <c r="B7" s="2">
        <v>46238.395335648151</v>
      </c>
      <c r="C7" s="2">
        <v>46238.441006944442</v>
      </c>
      <c r="D7" s="1" t="s">
        <v>111</v>
      </c>
      <c r="E7" s="1"/>
      <c r="F7" s="1"/>
      <c r="G7" s="3">
        <v>46238</v>
      </c>
      <c r="H7" s="1" t="s">
        <v>182</v>
      </c>
      <c r="I7" s="5">
        <v>6755.6819999999998</v>
      </c>
      <c r="J7" s="5">
        <v>4272.7</v>
      </c>
      <c r="K7" s="5">
        <v>1776361</v>
      </c>
      <c r="L7" s="5">
        <v>453</v>
      </c>
      <c r="M7" s="5">
        <v>190.57</v>
      </c>
      <c r="N7" s="5">
        <v>1868688.8</v>
      </c>
      <c r="O7" s="5">
        <v>4598792.96</v>
      </c>
      <c r="P7" s="5">
        <v>645976.576</v>
      </c>
      <c r="Q7" s="5">
        <v>8091911.04</v>
      </c>
      <c r="R7" s="5">
        <v>5540629.1200000001</v>
      </c>
      <c r="S7" s="5">
        <v>7363605.7599999998</v>
      </c>
      <c r="T7" s="5">
        <v>43200508.241999999</v>
      </c>
      <c r="U7" s="5">
        <v>2103936.96</v>
      </c>
      <c r="V7" s="5">
        <v>5116617.5999999996</v>
      </c>
      <c r="W7" s="5">
        <v>1592.5127</v>
      </c>
      <c r="X7" s="5">
        <v>774116.16</v>
      </c>
      <c r="Y7" s="5">
        <v>1092805.1200000001</v>
      </c>
      <c r="Z7" s="5">
        <v>2777.8894</v>
      </c>
      <c r="AA7" s="5">
        <v>668719.87199999997</v>
      </c>
      <c r="AB7" s="5">
        <v>421285.21600000001</v>
      </c>
      <c r="AC7" s="5">
        <v>2139400</v>
      </c>
      <c r="AD7" s="5">
        <v>2653008.0950000002</v>
      </c>
      <c r="AE7" s="5">
        <v>12808.480799999999</v>
      </c>
      <c r="AF7" s="5">
        <v>875479.23199999996</v>
      </c>
      <c r="AG7" s="5">
        <v>1398.99</v>
      </c>
      <c r="AH7" s="5">
        <v>133464.23199999999</v>
      </c>
      <c r="AI7" s="5">
        <v>14624.750400000001</v>
      </c>
      <c r="AJ7" s="5">
        <v>145369.424</v>
      </c>
      <c r="AK7" s="5">
        <v>105252</v>
      </c>
      <c r="AL7" s="5">
        <v>330607.87199999997</v>
      </c>
      <c r="AM7" s="5">
        <v>991.45299999999997</v>
      </c>
      <c r="AN7" s="5">
        <v>284.2</v>
      </c>
      <c r="AO7" s="5">
        <v>7.7</v>
      </c>
      <c r="AP7" s="5">
        <v>456787</v>
      </c>
      <c r="AQ7" s="5">
        <v>42313</v>
      </c>
      <c r="AR7" s="5">
        <v>41768</v>
      </c>
      <c r="AS7" s="5">
        <v>32390</v>
      </c>
      <c r="AT7" s="5">
        <v>22105</v>
      </c>
      <c r="AU7" s="5">
        <v>15647</v>
      </c>
      <c r="AV7" s="5">
        <v>6432</v>
      </c>
      <c r="AW7" s="5">
        <v>20.926932000000001</v>
      </c>
      <c r="AX7" s="5">
        <v>7242.48</v>
      </c>
      <c r="AY7" s="5">
        <v>679.10303999999996</v>
      </c>
      <c r="AZ7" s="5">
        <v>20.788</v>
      </c>
      <c r="BA7" s="5">
        <v>10407</v>
      </c>
      <c r="BB7" s="5">
        <v>44.826999999999998</v>
      </c>
      <c r="BC7" s="5">
        <v>113989.152</v>
      </c>
      <c r="BD7" s="5">
        <v>275993.76</v>
      </c>
      <c r="BE7" s="5">
        <v>3726.6747999999998</v>
      </c>
      <c r="BF7" s="5">
        <v>1712.0419999999999</v>
      </c>
      <c r="BG7" s="5">
        <v>75.052000000000007</v>
      </c>
      <c r="BH7" s="5">
        <v>364.90499999999997</v>
      </c>
      <c r="BI7" s="5">
        <v>915.79300000000001</v>
      </c>
      <c r="BJ7" s="5">
        <v>14.688000000000001</v>
      </c>
      <c r="BK7" s="5">
        <v>564.52</v>
      </c>
      <c r="BL7" s="5">
        <v>72943.392000000007</v>
      </c>
      <c r="BM7" s="5">
        <v>309952.48</v>
      </c>
      <c r="BN7" s="5">
        <v>7195.6584000000003</v>
      </c>
      <c r="BO7" s="5">
        <v>53570.953600000001</v>
      </c>
      <c r="BP7" s="5">
        <v>314460.19199999998</v>
      </c>
      <c r="BQ7" s="5">
        <v>325.60300000000001</v>
      </c>
      <c r="BR7" s="5">
        <v>181.34</v>
      </c>
      <c r="BS7" s="5">
        <v>1013192.048</v>
      </c>
      <c r="BT7" s="5">
        <v>1400620.507</v>
      </c>
      <c r="BU7" s="5">
        <v>629554.68799999997</v>
      </c>
      <c r="BV7" s="5">
        <v>1023214.08</v>
      </c>
      <c r="BW7" s="5">
        <v>568974.97600000002</v>
      </c>
      <c r="BX7" s="5">
        <v>1000781.2</v>
      </c>
      <c r="BY7" s="5">
        <v>157842.848</v>
      </c>
      <c r="BZ7" s="5">
        <v>114372.864</v>
      </c>
      <c r="CA7" s="5">
        <v>1244.3290999999999</v>
      </c>
      <c r="CB7" s="5">
        <v>108783.336</v>
      </c>
      <c r="CC7" s="5">
        <v>151030.06400000001</v>
      </c>
      <c r="CD7" s="5">
        <v>447004.99200000003</v>
      </c>
      <c r="CE7" s="5">
        <v>49125.260799999996</v>
      </c>
      <c r="CF7" s="5">
        <v>155994.864</v>
      </c>
      <c r="CG7" s="5">
        <v>360807.14880000002</v>
      </c>
      <c r="CH7" s="5">
        <v>2385.8710000000001</v>
      </c>
      <c r="CI7" s="5">
        <v>214.75</v>
      </c>
      <c r="CJ7" s="5">
        <v>1191.4000000000001</v>
      </c>
      <c r="CK7" s="5">
        <v>78.221999999999994</v>
      </c>
      <c r="CL7" s="5">
        <v>734.25900000000001</v>
      </c>
      <c r="CM7" s="5">
        <v>551.4</v>
      </c>
      <c r="CN7" s="5">
        <v>45179.1</v>
      </c>
      <c r="CO7" s="5">
        <v>1652.7460000000001</v>
      </c>
      <c r="CP7" s="5">
        <v>294629.06400000001</v>
      </c>
      <c r="CQ7" s="5">
        <v>3686884.8</v>
      </c>
      <c r="CR7" s="5">
        <v>131419.07999999999</v>
      </c>
      <c r="CS7" s="5">
        <v>515133.44</v>
      </c>
      <c r="CT7" s="5">
        <v>2936032.1779999998</v>
      </c>
      <c r="CU7" s="5">
        <v>299367.15600000002</v>
      </c>
      <c r="CV7" s="5">
        <v>30139.705600000001</v>
      </c>
      <c r="CW7" s="5">
        <v>62953.4784</v>
      </c>
      <c r="CX7" s="5">
        <v>33466.092799999999</v>
      </c>
      <c r="CY7" s="5">
        <v>168250.11199999999</v>
      </c>
      <c r="CZ7" s="5">
        <v>218116.432</v>
      </c>
      <c r="DA7" s="5">
        <v>19036.330000000002</v>
      </c>
      <c r="DB7" s="5">
        <v>150400.72</v>
      </c>
      <c r="DC7" s="5">
        <v>3042.25</v>
      </c>
      <c r="DD7" s="5">
        <v>3042.12</v>
      </c>
      <c r="DE7" s="5">
        <v>3069.26</v>
      </c>
      <c r="DF7" s="5">
        <v>0.97799999999999998</v>
      </c>
      <c r="DG7" s="1" t="s">
        <v>213</v>
      </c>
      <c r="DH7" s="4">
        <f>Table2[[#This Row],[Date]]</f>
        <v>46238</v>
      </c>
      <c r="DI7">
        <f>(DD8-Table2[[#This Row],[MWH Total]])*4000</f>
        <v>25040.000000000873</v>
      </c>
      <c r="DJ7">
        <f>(DA8-Table2[[#This Row],[PNG Meter (Outside)]])*2.936</f>
        <v>19.14272000000128</v>
      </c>
      <c r="DK7">
        <f>(DB8-Table2[[#This Row],[PNG Meter (Inside)]])*2.936</f>
        <v>371.6095200000205</v>
      </c>
      <c r="DL7">
        <f>(BH8-Table2[[#This Row],[3F Dough cooler - 2 ]])*1000</f>
        <v>429.00000000003047</v>
      </c>
      <c r="DM7">
        <f>(BI8-Table2[[#This Row],[3F Dough Cooler- 1]])*1000</f>
        <v>462.99999999996544</v>
      </c>
      <c r="DN7">
        <f>(BJ8-Table2[[#This Row],[4F Dough Production cooling Unit]])*1000</f>
        <v>54.00000000000027</v>
      </c>
      <c r="DO7">
        <f>(BQ8-Table2[[#This Row],[3F2 - PDB 3 - Dough Production Area]])*1000</f>
        <v>211.99999999998909</v>
      </c>
      <c r="DP7">
        <f>(BR8-Table2[[#This Row],[3F3 - PDB 4 - Dough Area]])*1000</f>
        <v>106.99999999999932</v>
      </c>
      <c r="DQ7">
        <f>AC8-Table2[[#This Row],[16F1 Tray washer Panel for Light]]</f>
        <v>712.31999999983236</v>
      </c>
      <c r="DR7">
        <f>CQ8-Table2[[#This Row],[2F1 Tray Washer - 1]]</f>
        <v>1233.9200000003912</v>
      </c>
      <c r="DS7">
        <f>CS8-Table2[[#This Row],[2F5 Destacker]]</f>
        <v>267.58399999997346</v>
      </c>
      <c r="DT7">
        <f>CU8-Table2[[#This Row],[5F1 Metering (TW-2)]]</f>
        <v>255.01899999997113</v>
      </c>
      <c r="DU7">
        <f>CV8-Table2[[#This Row],[6F1 Pre soaker Tray washer]]</f>
        <v>6.3999999983934686E-3</v>
      </c>
      <c r="DV7">
        <f>CZ8-Table2[[#This Row],[6F5 Vent tray Storage]]</f>
        <v>76.896000000007916</v>
      </c>
      <c r="DW7">
        <f>I8-Table2[[#This Row],[Popeyes Meter ]]</f>
        <v>41.159999999999854</v>
      </c>
      <c r="DX7">
        <f>AZ8-Table2[[#This Row],[2F WH Chiller, Segregation Area]]</f>
        <v>0</v>
      </c>
      <c r="DY7">
        <f>BA8-Table2[[#This Row],[3F1 AC Unit WH dock cooling - 2 Nos]]</f>
        <v>19</v>
      </c>
      <c r="DZ7">
        <f>BB8-Table2[[#This Row],[3F2 AC Unit WH dock cooling - 3 Nos]]</f>
        <v>4.8999999999999488E-2</v>
      </c>
      <c r="EA7">
        <f>(BK8-Table2[[#This Row],[5F WH Perishable]])*1000</f>
        <v>274.99999999997726</v>
      </c>
      <c r="EB7">
        <f>BN8-Table2[[#This Row],[2F3 - PDB 9 - WH Dock Leveler Door ]]</f>
        <v>1.1279999999997017</v>
      </c>
      <c r="EC7">
        <f>BP8-Table2[[#This Row],[3F1 - PDB 5 - WH HSD]]</f>
        <v>119.52000000001863</v>
      </c>
      <c r="ED7">
        <f>BX8-Table2[[#This Row],[8F1 WH Dock AHU - Ventilation]]</f>
        <v>2308.4000000000233</v>
      </c>
      <c r="EE7">
        <f>BZ8-Table2[[#This Row],[8F3 ACPDB - 4 WH Dock air curtain]]</f>
        <v>1.6879999999946449</v>
      </c>
      <c r="EF7">
        <f>CA8-Table2[[#This Row],[8F4 WH Light]]</f>
        <v>9.3000000001666194E-3</v>
      </c>
      <c r="EG7">
        <f>CC8-Table2[[#This Row],[9F1 - PDB 10 - WH Dock door &amp; Office]]</f>
        <v>137.59999999997672</v>
      </c>
      <c r="EH7">
        <f>CD8-Table2[[#This Row],[9F2 - PDB 11 - WH flycatchers]]</f>
        <v>164.31999999994878</v>
      </c>
      <c r="EI7">
        <f>CE8-Table2[[#This Row],[9F3 - PDB 12 - Other items]]</f>
        <v>0</v>
      </c>
      <c r="EJ7">
        <f>CR8-Table2[[#This Row],[2F3 - PDB 1 - Dock 1 to 4 ]]</f>
        <v>66.080000000016298</v>
      </c>
      <c r="EK7">
        <f>BM8-Table2[[#This Row],[2F2 - PDB 3 - WH Truck &amp; Battery Charging]]</f>
        <v>365.76000000000931</v>
      </c>
      <c r="EL7">
        <f>(CK8-Table2[[#This Row],[PDB - 11 Truck Charging]])*1000</f>
        <v>27.000000000001023</v>
      </c>
      <c r="EM7">
        <f>P8-Table2[[#This Row],[5F3 Admin Area]]</f>
        <v>385.40800000005402</v>
      </c>
      <c r="EN7">
        <f>AH8-Table2[[#This Row],[2F5 Main Gate-1 Piller -1]]</f>
        <v>104.16000000000349</v>
      </c>
      <c r="EO7">
        <f>CW8-Table2[[#This Row],[6F2 Ground Floor AC]]</f>
        <v>25.247999999999593</v>
      </c>
      <c r="EP7">
        <f>CX8-Table2[[#This Row],[6F3 ACBD -1 (First floor AC)]]</f>
        <v>0</v>
      </c>
      <c r="EQ7">
        <f>CY8-Table2[[#This Row],[6F4 ACBD - 2 (Second &amp; Third floor AC)]]</f>
        <v>126.84799999999814</v>
      </c>
      <c r="ER7">
        <f>(BC8-Table2[[#This Row],[4F Old BMC cooling Unit]])</f>
        <v>0</v>
      </c>
      <c r="ES7">
        <f>BO8-Table2[[#This Row],[2F4 - Old BMC]]</f>
        <v>3.6416000000026543</v>
      </c>
      <c r="ET7">
        <f>Y8-Table2[[#This Row],[14F2 New CK]]</f>
        <v>1641.9199999999255</v>
      </c>
      <c r="EU7">
        <f>(CL8-Table2[[#This Row],[OLD Ck Panel-1]])*1000</f>
        <v>662.00000000003456</v>
      </c>
      <c r="EV7">
        <f>CM8-Table2[[#This Row],[2F4 Old CK Blast (Blue star)]]</f>
        <v>0</v>
      </c>
      <c r="EW7">
        <f>CN8-Table2[[#This Row],[3F6 Old CK Blast (Carrier)]]</f>
        <v>518.70000000000437</v>
      </c>
      <c r="EX7">
        <f>(CO8-Table2[[#This Row],[Old CK Panel -2]])*1000</f>
        <v>833.99999999983265</v>
      </c>
      <c r="EY7">
        <f>N8-Table2[[#This Row],[4F1 Main UPS 1/C -1]]</f>
        <v>941.76000000000931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32.99999999998704</v>
      </c>
      <c r="FC7">
        <f>BW8-Table2[[#This Row],[7F3 CLC Power Panel]]</f>
        <v>261.31199999991804</v>
      </c>
      <c r="FD7">
        <f>(CI8-Table2[[#This Row],[PDB - 17 CLC Section ]])*1000</f>
        <v>168.00000000000637</v>
      </c>
      <c r="FE7">
        <f>(W8-Table2[[#This Row],[13F3 Water &amp; Lift Old CK]])*1000</f>
        <v>553.49999999998545</v>
      </c>
      <c r="FF7">
        <f>AA8-Table2[[#This Row],[15F2 New ETP Panel]]</f>
        <v>332.28800000005867</v>
      </c>
      <c r="FG7">
        <f>AL8-Table2[[#This Row],[3F4 Old ETP Panel]]</f>
        <v>76.672000000020489</v>
      </c>
      <c r="FH7">
        <f>AF8-Table2[[#This Row],[2F1 RO Plant]]</f>
        <v>562.36800000001676</v>
      </c>
      <c r="FI7">
        <f>AK8-Table2[[#This Row],[3F3 Fire Hydrant Panel]]</f>
        <v>10.639999999999418</v>
      </c>
      <c r="FJ7">
        <f>R8-Table2[[#This Row],[7F1 Freon System Panel]]</f>
        <v>5783.679999999702</v>
      </c>
      <c r="FK7">
        <f>(AE8-Table2[[#This Row],[21F1 Refrigeration Ammonia]])*1000</f>
        <v>6905.6000000000495</v>
      </c>
      <c r="FL7">
        <f>(AG8-Table2[[#This Row],[2F3 Air Compressor]])*1000</f>
        <v>1257.0000000000618</v>
      </c>
      <c r="FM7">
        <f>(AX8-Table2[[#This Row],[Solar Reading Panel II]])*1000</f>
        <v>1737.00000000008</v>
      </c>
      <c r="FN7">
        <f>AI8-Table2[[#This Row],[3F1 Maintenance Workshop]]</f>
        <v>6.3663999999989755</v>
      </c>
      <c r="FO7">
        <f>BD8-Table2[[#This Row],[4F B2B unit ]]</f>
        <v>70.399999999965075</v>
      </c>
      <c r="FP7">
        <f>BL8-Table2[[#This Row],[2F1 - PDB 6 - Bread, B2B section]]</f>
        <v>181.56159999998636</v>
      </c>
      <c r="FQ7">
        <f>(CG8-Table2[[#This Row],[9F5 - PDB 14 - Bread Lift]])</f>
        <v>0.56959999998798594</v>
      </c>
      <c r="FR7">
        <f>CJ8-Table2[[#This Row],[PDB - 16 Bread Section]]</f>
        <v>9.9999999999909051E-2</v>
      </c>
      <c r="FS7">
        <f>BU8-Table2[[#This Row],[7F1 Donut Production area]]</f>
        <v>201.40800000005402</v>
      </c>
      <c r="FT7">
        <f>CB8-Table2[[#This Row],[8F5 Donut Ban Bary]]</f>
        <v>44.648000000001048</v>
      </c>
      <c r="FU7">
        <f>CF8-Table2[[#This Row],[9F4 - PDB 13 - Donut Sink Geyser area]]</f>
        <v>25.215999999985797</v>
      </c>
      <c r="FV7">
        <f>BV8-Table2[[#This Row],[7F2 Flour Silo]]</f>
        <v>647.11999999999534</v>
      </c>
      <c r="FW7">
        <f>BY8-Table2[[#This Row],[8F2 ACPDB - 3 SILO Ventilation]]</f>
        <v>48.511999999987893</v>
      </c>
      <c r="FX7">
        <f>J8-Table2[[#This Row],[DG 1010KVA Running Hours]]</f>
        <v>1.5</v>
      </c>
      <c r="FY7">
        <f>K8-Table2[[#This Row],[DG 1010 KVA Meter Reading]]</f>
        <v>512</v>
      </c>
      <c r="FZ7">
        <f>L8-Table2[[#This Row],[GG 1010 KVA Running Hours]]</f>
        <v>1</v>
      </c>
      <c r="GA7">
        <f>M8-Table2[[#This Row],[GG 1010 KVA Meter Reading]]</f>
        <v>0.56000000000000227</v>
      </c>
    </row>
    <row r="8" spans="1:183" x14ac:dyDescent="0.35">
      <c r="A8" s="1">
        <v>51</v>
      </c>
      <c r="B8" s="2">
        <v>46239.397199074076</v>
      </c>
      <c r="C8" s="2">
        <v>46239.457268518519</v>
      </c>
      <c r="D8" s="1" t="s">
        <v>111</v>
      </c>
      <c r="E8" s="1"/>
      <c r="F8" s="1"/>
      <c r="G8" s="3">
        <v>46239</v>
      </c>
      <c r="H8" s="1" t="s">
        <v>182</v>
      </c>
      <c r="I8" s="5">
        <v>6796.8419999999996</v>
      </c>
      <c r="J8" s="5">
        <v>4274.2</v>
      </c>
      <c r="K8" s="5">
        <v>1776873</v>
      </c>
      <c r="L8" s="5">
        <v>454</v>
      </c>
      <c r="M8" s="5">
        <v>191.13</v>
      </c>
      <c r="N8" s="5">
        <v>1869630.56</v>
      </c>
      <c r="O8" s="5">
        <v>4600708.4800000004</v>
      </c>
      <c r="P8" s="5">
        <v>646361.98400000005</v>
      </c>
      <c r="Q8" s="5">
        <v>8094778.2400000002</v>
      </c>
      <c r="R8" s="5">
        <v>5546412.7999999998</v>
      </c>
      <c r="S8" s="5">
        <v>7366694.4000000004</v>
      </c>
      <c r="T8" s="5">
        <v>370483.43599999999</v>
      </c>
      <c r="U8" s="5">
        <v>2105089.7599999998</v>
      </c>
      <c r="V8" s="5">
        <v>5118390.08</v>
      </c>
      <c r="W8" s="5">
        <v>1593.0662</v>
      </c>
      <c r="X8" s="5">
        <v>774375.74399999995</v>
      </c>
      <c r="Y8" s="5">
        <v>1094447.04</v>
      </c>
      <c r="Z8" s="5">
        <v>2777.8894</v>
      </c>
      <c r="AA8" s="5">
        <v>669052.16000000003</v>
      </c>
      <c r="AB8" s="5">
        <v>421297.53600000002</v>
      </c>
      <c r="AC8" s="5">
        <v>2140112.3199999998</v>
      </c>
      <c r="AD8" s="5">
        <v>4050811.96</v>
      </c>
      <c r="AE8" s="5">
        <v>12815.386399999999</v>
      </c>
      <c r="AF8" s="5">
        <v>876041.6</v>
      </c>
      <c r="AG8" s="5">
        <v>1400.2470000000001</v>
      </c>
      <c r="AH8" s="5">
        <v>133568.39199999999</v>
      </c>
      <c r="AI8" s="5">
        <v>14631.1168</v>
      </c>
      <c r="AJ8" s="5">
        <v>145371.05600000001</v>
      </c>
      <c r="AK8" s="5">
        <v>105262.64</v>
      </c>
      <c r="AL8" s="5">
        <v>330684.54399999999</v>
      </c>
      <c r="AM8" s="5">
        <v>992.03300000000002</v>
      </c>
      <c r="AN8" s="5">
        <v>287.60000000000002</v>
      </c>
      <c r="AO8" s="5">
        <v>7.2</v>
      </c>
      <c r="AP8" s="5">
        <v>467276</v>
      </c>
      <c r="AQ8" s="5">
        <v>42329</v>
      </c>
      <c r="AR8" s="5">
        <v>41785</v>
      </c>
      <c r="AS8" s="5">
        <v>32390</v>
      </c>
      <c r="AT8" s="5">
        <v>22105</v>
      </c>
      <c r="AU8" s="5">
        <v>15671</v>
      </c>
      <c r="AV8" s="5">
        <v>6447</v>
      </c>
      <c r="AW8" s="5">
        <v>20.933603999999999</v>
      </c>
      <c r="AX8" s="5">
        <v>7244.2169999999996</v>
      </c>
      <c r="AY8" s="5">
        <v>679.25216</v>
      </c>
      <c r="AZ8" s="5">
        <v>20.788</v>
      </c>
      <c r="BA8" s="5">
        <v>10426</v>
      </c>
      <c r="BB8" s="5">
        <v>44.875999999999998</v>
      </c>
      <c r="BC8" s="5">
        <v>113989.152</v>
      </c>
      <c r="BD8" s="5">
        <v>276064.15999999997</v>
      </c>
      <c r="BE8" s="5">
        <v>3727.9828000000002</v>
      </c>
      <c r="BF8" s="5">
        <v>1712.0419999999999</v>
      </c>
      <c r="BG8" s="5">
        <v>75.084999999999994</v>
      </c>
      <c r="BH8" s="5">
        <v>365.334</v>
      </c>
      <c r="BI8" s="5">
        <v>916.25599999999997</v>
      </c>
      <c r="BJ8" s="5">
        <v>14.742000000000001</v>
      </c>
      <c r="BK8" s="5">
        <v>564.79499999999996</v>
      </c>
      <c r="BL8" s="5">
        <v>73124.953599999993</v>
      </c>
      <c r="BM8" s="5">
        <v>310318.24</v>
      </c>
      <c r="BN8" s="5">
        <v>7196.7864</v>
      </c>
      <c r="BO8" s="5">
        <v>53574.595200000003</v>
      </c>
      <c r="BP8" s="5">
        <v>314579.712</v>
      </c>
      <c r="BQ8" s="5">
        <v>325.815</v>
      </c>
      <c r="BR8" s="5">
        <v>181.447</v>
      </c>
      <c r="BS8" s="5">
        <v>1014306.808</v>
      </c>
      <c r="BT8" s="5">
        <v>1400620.5379999999</v>
      </c>
      <c r="BU8" s="5">
        <v>629756.09600000002</v>
      </c>
      <c r="BV8" s="5">
        <v>1023861.2</v>
      </c>
      <c r="BW8" s="5">
        <v>569236.28799999994</v>
      </c>
      <c r="BX8" s="5">
        <v>1003089.6</v>
      </c>
      <c r="BY8" s="5">
        <v>157891.35999999999</v>
      </c>
      <c r="BZ8" s="5">
        <v>114374.552</v>
      </c>
      <c r="CA8" s="5">
        <v>1244.3384000000001</v>
      </c>
      <c r="CB8" s="5">
        <v>108827.984</v>
      </c>
      <c r="CC8" s="5">
        <v>151167.66399999999</v>
      </c>
      <c r="CD8" s="5">
        <v>447169.31199999998</v>
      </c>
      <c r="CE8" s="5">
        <v>49125.260799999996</v>
      </c>
      <c r="CF8" s="5">
        <v>156020.07999999999</v>
      </c>
      <c r="CG8" s="5">
        <v>360807.71840000001</v>
      </c>
      <c r="CH8" s="5">
        <v>2385.8710000000001</v>
      </c>
      <c r="CI8" s="5">
        <v>214.91800000000001</v>
      </c>
      <c r="CJ8" s="5">
        <v>1191.5</v>
      </c>
      <c r="CK8" s="5">
        <v>78.248999999999995</v>
      </c>
      <c r="CL8" s="5">
        <v>734.92100000000005</v>
      </c>
      <c r="CM8" s="5">
        <v>551.4</v>
      </c>
      <c r="CN8" s="5">
        <v>45697.8</v>
      </c>
      <c r="CO8" s="5">
        <v>1653.58</v>
      </c>
      <c r="CP8" s="5">
        <v>294770.81400000001</v>
      </c>
      <c r="CQ8" s="5">
        <v>3688118.72</v>
      </c>
      <c r="CR8" s="5">
        <v>131485.16</v>
      </c>
      <c r="CS8" s="5">
        <v>515401.02399999998</v>
      </c>
      <c r="CT8" s="5">
        <v>2939149.6609999998</v>
      </c>
      <c r="CU8" s="5">
        <v>299622.17499999999</v>
      </c>
      <c r="CV8" s="5">
        <v>30139.712</v>
      </c>
      <c r="CW8" s="5">
        <v>62978.7264</v>
      </c>
      <c r="CX8" s="5">
        <v>33466.092799999999</v>
      </c>
      <c r="CY8" s="5">
        <v>168376.95999999999</v>
      </c>
      <c r="CZ8" s="5">
        <v>218193.32800000001</v>
      </c>
      <c r="DA8" s="5">
        <v>19042.850000000002</v>
      </c>
      <c r="DB8" s="5">
        <v>150527.29</v>
      </c>
      <c r="DC8" s="5">
        <v>3048.48</v>
      </c>
      <c r="DD8" s="5">
        <v>3048.38</v>
      </c>
      <c r="DE8" s="5">
        <v>3075.6</v>
      </c>
      <c r="DF8" s="5">
        <v>0.99199999999999999</v>
      </c>
      <c r="DG8" s="1" t="s">
        <v>222</v>
      </c>
      <c r="DH8" s="4">
        <f>Table2[[#This Row],[Date]]</f>
        <v>46239</v>
      </c>
      <c r="DI8">
        <f>(DD9-Table2[[#This Row],[MWH Total]])*4000</f>
        <v>25159.999999999854</v>
      </c>
      <c r="DJ8">
        <f>(DA9-Table2[[#This Row],[PNG Meter (Outside)]])*2.936</f>
        <v>235.20295999999104</v>
      </c>
      <c r="DK8">
        <f>(DB9-Table2[[#This Row],[PNG Meter (Inside)]])*2.936</f>
        <v>379.00823999998971</v>
      </c>
      <c r="DL8">
        <f>(BH9-Table2[[#This Row],[3F Dough cooler - 2 ]])*1000</f>
        <v>314.00000000002137</v>
      </c>
      <c r="DM8">
        <f>(BI9-Table2[[#This Row],[3F Dough Cooler- 1]])*1000</f>
        <v>498.00000000004729</v>
      </c>
      <c r="DN8">
        <f>(BJ9-Table2[[#This Row],[4F Dough Production cooling Unit]])*1000</f>
        <v>57.999999999999829</v>
      </c>
      <c r="DO8">
        <f>(BQ9-Table2[[#This Row],[3F2 - PDB 3 - Dough Production Area]])*1000</f>
        <v>242.00000000001864</v>
      </c>
      <c r="DP8">
        <f>(BR9-Table2[[#This Row],[3F3 - PDB 4 - Dough Area]])*1000</f>
        <v>133.00000000000978</v>
      </c>
      <c r="DQ8">
        <f>AC9-Table2[[#This Row],[16F1 Tray washer Panel for Light]]</f>
        <v>754.72000000020489</v>
      </c>
      <c r="DR8">
        <f>CQ9-Table2[[#This Row],[2F1 Tray Washer - 1]]</f>
        <v>1449.9199999999255</v>
      </c>
      <c r="DS8">
        <f>CS9-Table2[[#This Row],[2F5 Destacker]]</f>
        <v>320.54400000005262</v>
      </c>
      <c r="DT8">
        <f>CU9-Table2[[#This Row],[5F1 Metering (TW-2)]]</f>
        <v>223.23200000001816</v>
      </c>
      <c r="DU8">
        <f>CV9-Table2[[#This Row],[6F1 Pre soaker Tray washer]]</f>
        <v>9.6000000012281816E-3</v>
      </c>
      <c r="DV8" s="1">
        <f>CZ9-Table2[[#This Row],[6F5 Vent tray Storage]]</f>
        <v>68.831999999994878</v>
      </c>
      <c r="DW8">
        <f>I9-Table2[[#This Row],[Popeyes Meter ]]</f>
        <v>59.3100000000004</v>
      </c>
      <c r="DX8">
        <f>AZ9-Table2[[#This Row],[2F WH Chiller, Segregation Area]]</f>
        <v>0</v>
      </c>
      <c r="DY8">
        <f>BA9-Table2[[#This Row],[3F1 AC Unit WH dock cooling - 2 Nos]]</f>
        <v>16</v>
      </c>
      <c r="DZ8">
        <f>BB9-Table2[[#This Row],[3F2 AC Unit WH dock cooling - 3 Nos]]</f>
        <v>4.2999999999999261E-2</v>
      </c>
      <c r="EA8">
        <f>(BK9-Table2[[#This Row],[5F WH Perishable]])*1000</f>
        <v>295.00000000007276</v>
      </c>
      <c r="EB8">
        <f>BN9-Table2[[#This Row],[2F3 - PDB 9 - WH Dock Leveler Door ]]</f>
        <v>1.5976000000000568</v>
      </c>
      <c r="EC8">
        <f>BP9-Table2[[#This Row],[3F1 - PDB 5 - WH HSD]]</f>
        <v>127.71199999999953</v>
      </c>
      <c r="ED8">
        <f>BX9-Table2[[#This Row],[8F1 WH Dock AHU - Ventilation]]</f>
        <v>2410</v>
      </c>
      <c r="EE8">
        <f>BZ9-Table2[[#This Row],[8F3 ACPDB - 4 WH Dock air curtain]]</f>
        <v>4.8880000000062864</v>
      </c>
      <c r="EF8">
        <f>CA9-Table2[[#This Row],[8F4 WH Light]]</f>
        <v>2.9999999992469384E-4</v>
      </c>
      <c r="EG8">
        <f>CC9-Table2[[#This Row],[9F1 - PDB 10 - WH Dock door &amp; Office]]</f>
        <v>112.7039999999979</v>
      </c>
      <c r="EH8">
        <f>CD9-Table2[[#This Row],[9F2 - PDB 11 - WH flycatchers]]</f>
        <v>194.91200000001118</v>
      </c>
      <c r="EI8">
        <f>CE9-Table2[[#This Row],[9F3 - PDB 12 - Other items]]</f>
        <v>0</v>
      </c>
      <c r="EJ8">
        <f>CR9-Table2[[#This Row],[2F3 - PDB 1 - Dock 1 to 4 ]]</f>
        <v>63.62400000001071</v>
      </c>
      <c r="EK8">
        <f>BM9-Table2[[#This Row],[2F2 - PDB 3 - WH Truck &amp; Battery Charging]]</f>
        <v>454.40000000002328</v>
      </c>
      <c r="EL8">
        <f>(CK9-Table2[[#This Row],[PDB - 11 Truck Charging]])*1000</f>
        <v>58.000000000006935</v>
      </c>
      <c r="EM8">
        <f>P9-Table2[[#This Row],[5F3 Admin Area]]</f>
        <v>355.71199999994133</v>
      </c>
      <c r="EN8" s="1">
        <f>AH9-Table2[[#This Row],[2F5 Main Gate-1 Piller -1]]</f>
        <v>100</v>
      </c>
      <c r="EO8">
        <f>CW9-Table2[[#This Row],[6F2 Ground Floor AC]]</f>
        <v>18.271999999997206</v>
      </c>
      <c r="EP8">
        <f>CX9-Table2[[#This Row],[6F3 ACBD -1 (First floor AC)]]</f>
        <v>0</v>
      </c>
      <c r="EQ8">
        <f>CY9-Table2[[#This Row],[6F4 ACBD - 2 (Second &amp; Third floor AC)]]</f>
        <v>115.77600000001257</v>
      </c>
      <c r="ER8">
        <f>(BC9-Table2[[#This Row],[4F Old BMC cooling Unit]])</f>
        <v>0</v>
      </c>
      <c r="ES8">
        <f>BO9-Table2[[#This Row],[2F4 - Old BMC]]</f>
        <v>4.1440000000002328</v>
      </c>
      <c r="ET8">
        <f>Y9-Table2[[#This Row],[14F2 New CK]]</f>
        <v>1546.2399999999907</v>
      </c>
      <c r="EU8">
        <f>(CL9-Table2[[#This Row],[OLD Ck Panel-1]])*1000</f>
        <v>736.99999999996635</v>
      </c>
      <c r="EV8">
        <f>CM9-Table2[[#This Row],[2F4 Old CK Blast (Blue star)]]</f>
        <v>0</v>
      </c>
      <c r="EW8">
        <f>CN9-Table2[[#This Row],[3F6 Old CK Blast (Carrier)]]</f>
        <v>593</v>
      </c>
      <c r="EX8">
        <f>(CO9-Table2[[#This Row],[Old CK Panel -2]])*1000</f>
        <v>918.00000000012005</v>
      </c>
      <c r="EY8">
        <f>N9-Table2[[#This Row],[4F1 Main UPS 1/C -1]]</f>
        <v>996.80000000004657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35.0000000000108</v>
      </c>
      <c r="FC8">
        <f>BW9-Table2[[#This Row],[7F3 CLC Power Panel]]</f>
        <v>290.36800000001676</v>
      </c>
      <c r="FD8">
        <f>(CI9-Table2[[#This Row],[PDB - 17 CLC Section ]])*1000</f>
        <v>187.99999999998818</v>
      </c>
      <c r="FE8">
        <f>(W9-Table2[[#This Row],[13F3 Water &amp; Lift Old CK]])*1000</f>
        <v>457.49999999998181</v>
      </c>
      <c r="FF8">
        <f>AA9-Table2[[#This Row],[15F2 New ETP Panel]]</f>
        <v>275.71199999994133</v>
      </c>
      <c r="FG8">
        <f>AL9-Table2[[#This Row],[3F4 Old ETP Panel]]</f>
        <v>83.488000000012107</v>
      </c>
      <c r="FH8">
        <f>AF9-Table2[[#This Row],[2F1 RO Plant]]</f>
        <v>580.67200000002049</v>
      </c>
      <c r="FI8">
        <f>AK9-Table2[[#This Row],[3F3 Fire Hydrant Panel]]</f>
        <v>11.039999999993597</v>
      </c>
      <c r="FJ8">
        <f>R9-Table2[[#This Row],[7F1 Freon System Panel]]</f>
        <v>5855.3600000003353</v>
      </c>
      <c r="FK8">
        <f>(AE9-Table2[[#This Row],[21F1 Refrigeration Ammonia]])*1000</f>
        <v>7155.2000000010594</v>
      </c>
      <c r="FL8">
        <f>(AG9-Table2[[#This Row],[2F3 Air Compressor]])*1000</f>
        <v>1144.9999999999818</v>
      </c>
      <c r="FM8">
        <f>(AX9-Table2[[#This Row],[Solar Reading Panel II]])*1000</f>
        <v>1509.0000000000146</v>
      </c>
      <c r="FN8">
        <f>AI9-Table2[[#This Row],[3F1 Maintenance Workshop]]</f>
        <v>6.3536000000003696</v>
      </c>
      <c r="FO8">
        <f>BD9-Table2[[#This Row],[4F B2B unit ]]</f>
        <v>66.784000000043306</v>
      </c>
      <c r="FP8">
        <f>BL9-Table2[[#This Row],[2F1 - PDB 6 - Bread, B2B section]]</f>
        <v>179.63520000000426</v>
      </c>
      <c r="FQ8">
        <f>(CG9-Table2[[#This Row],[9F5 - PDB 14 - Bread Lift]])</f>
        <v>0.44479999999748543</v>
      </c>
      <c r="FR8">
        <f>CJ9-Table2[[#This Row],[PDB - 16 Bread Section]]</f>
        <v>0</v>
      </c>
      <c r="FS8">
        <f>BU9-Table2[[#This Row],[7F1 Donut Production area]]</f>
        <v>202.4320000000298</v>
      </c>
      <c r="FT8">
        <f>CB9-Table2[[#This Row],[8F5 Donut Ban Bary]]</f>
        <v>56.927999999999884</v>
      </c>
      <c r="FU8">
        <f>CF9-Table2[[#This Row],[9F4 - PDB 13 - Donut Sink Geyser area]]</f>
        <v>23.104000000021188</v>
      </c>
      <c r="FV8">
        <f>BV9-Table2[[#This Row],[7F2 Flour Silo]]</f>
        <v>679.84000000008382</v>
      </c>
      <c r="FW8">
        <f>BY9-Table2[[#This Row],[8F2 ACPDB - 3 SILO Ventilation]]</f>
        <v>50.224000000016531</v>
      </c>
      <c r="FX8">
        <f>J9-Table2[[#This Row],[DG 1010KVA Running Hours]]</f>
        <v>0.4000000000005457</v>
      </c>
      <c r="FY8">
        <f>K9-Table2[[#This Row],[DG 1010 KVA Meter Reading]]</f>
        <v>149</v>
      </c>
      <c r="FZ8">
        <f>L9-Table2[[#This Row],[GG 1010 KVA Running Hours]]</f>
        <v>0</v>
      </c>
      <c r="GA8">
        <f>M9-Table2[[#This Row],[GG 1010 KVA Meter Reading]]</f>
        <v>0.12000000000000455</v>
      </c>
    </row>
    <row r="9" spans="1:183" x14ac:dyDescent="0.35">
      <c r="A9" s="1">
        <v>52</v>
      </c>
      <c r="B9" s="2">
        <v>46240.427222222221</v>
      </c>
      <c r="C9" s="2">
        <v>46240.469618055555</v>
      </c>
      <c r="D9" s="1" t="s">
        <v>111</v>
      </c>
      <c r="E9" s="1"/>
      <c r="F9" s="1"/>
      <c r="G9" s="3">
        <v>46240</v>
      </c>
      <c r="H9" s="1" t="s">
        <v>182</v>
      </c>
      <c r="I9" s="5">
        <v>6856.152</v>
      </c>
      <c r="J9" s="5">
        <v>4274.6000000000004</v>
      </c>
      <c r="K9" s="5">
        <v>1777022</v>
      </c>
      <c r="L9" s="5">
        <v>454</v>
      </c>
      <c r="M9" s="5">
        <v>191.25</v>
      </c>
      <c r="N9" s="5">
        <v>1870627.36</v>
      </c>
      <c r="O9" s="5">
        <v>4602525.12</v>
      </c>
      <c r="P9" s="5">
        <v>646717.696</v>
      </c>
      <c r="Q9" s="5">
        <v>8097114.8799999999</v>
      </c>
      <c r="R9" s="5">
        <v>5552268.1600000001</v>
      </c>
      <c r="S9" s="5">
        <v>7370200.3200000003</v>
      </c>
      <c r="T9" s="5">
        <v>43226275.839000002</v>
      </c>
      <c r="U9" s="5">
        <v>2106364.96</v>
      </c>
      <c r="V9" s="5">
        <v>5120123.5199999996</v>
      </c>
      <c r="W9" s="5">
        <v>1593.5237</v>
      </c>
      <c r="X9" s="5">
        <v>774602.11199999996</v>
      </c>
      <c r="Y9" s="5">
        <v>1095993.28</v>
      </c>
      <c r="Z9" s="5">
        <v>2777.8894</v>
      </c>
      <c r="AA9" s="5">
        <v>669327.87199999997</v>
      </c>
      <c r="AB9" s="5">
        <v>421308.51199999999</v>
      </c>
      <c r="AC9" s="5">
        <v>2140867.04</v>
      </c>
      <c r="AD9" s="5">
        <v>2672378.2149999999</v>
      </c>
      <c r="AE9" s="5">
        <v>12822.5416</v>
      </c>
      <c r="AF9" s="5">
        <v>876622.272</v>
      </c>
      <c r="AG9" s="5">
        <v>1401.3920000000001</v>
      </c>
      <c r="AH9" s="5">
        <v>133668.39199999999</v>
      </c>
      <c r="AI9" s="5">
        <v>14637.4704</v>
      </c>
      <c r="AJ9" s="5">
        <v>145374.16</v>
      </c>
      <c r="AK9" s="5">
        <v>105273.68</v>
      </c>
      <c r="AL9" s="5">
        <v>330768.03200000001</v>
      </c>
      <c r="AM9" s="5">
        <v>992.81</v>
      </c>
      <c r="AN9" s="5">
        <v>319.60000000000002</v>
      </c>
      <c r="AO9" s="5">
        <v>7.6</v>
      </c>
      <c r="AP9" s="5">
        <v>478037</v>
      </c>
      <c r="AQ9" s="5">
        <v>42329</v>
      </c>
      <c r="AR9" s="5">
        <v>41785</v>
      </c>
      <c r="AS9" s="5">
        <v>32390</v>
      </c>
      <c r="AT9" s="5">
        <v>22105</v>
      </c>
      <c r="AU9" s="5">
        <v>15696</v>
      </c>
      <c r="AV9" s="5">
        <v>6466</v>
      </c>
      <c r="AW9" s="5">
        <v>20.940496</v>
      </c>
      <c r="AX9" s="5">
        <v>7245.7259999999997</v>
      </c>
      <c r="AY9" s="5">
        <v>679.37336000000005</v>
      </c>
      <c r="AZ9" s="5">
        <v>20.788</v>
      </c>
      <c r="BA9" s="5">
        <v>10442</v>
      </c>
      <c r="BB9" s="5">
        <v>44.918999999999997</v>
      </c>
      <c r="BC9" s="5">
        <v>113989.152</v>
      </c>
      <c r="BD9" s="5">
        <v>276130.94400000002</v>
      </c>
      <c r="BE9" s="5">
        <v>3729.2451999999998</v>
      </c>
      <c r="BF9" s="5">
        <v>1712.0419999999999</v>
      </c>
      <c r="BG9" s="5">
        <v>75.12</v>
      </c>
      <c r="BH9" s="5">
        <v>365.64800000000002</v>
      </c>
      <c r="BI9" s="5">
        <v>916.75400000000002</v>
      </c>
      <c r="BJ9" s="5">
        <v>14.8</v>
      </c>
      <c r="BK9" s="5">
        <v>565.09</v>
      </c>
      <c r="BL9" s="5">
        <v>73304.588799999998</v>
      </c>
      <c r="BM9" s="5">
        <v>310772.64</v>
      </c>
      <c r="BN9" s="5">
        <v>7198.384</v>
      </c>
      <c r="BO9" s="5">
        <v>53578.739200000004</v>
      </c>
      <c r="BP9" s="5">
        <v>314707.424</v>
      </c>
      <c r="BQ9" s="5">
        <v>326.05700000000002</v>
      </c>
      <c r="BR9" s="5">
        <v>181.58</v>
      </c>
      <c r="BS9" s="5">
        <v>101550.97</v>
      </c>
      <c r="BT9" s="5">
        <v>1400620.58</v>
      </c>
      <c r="BU9" s="5">
        <v>629958.52800000005</v>
      </c>
      <c r="BV9" s="5">
        <v>1024541.04</v>
      </c>
      <c r="BW9" s="5">
        <v>569526.65599999996</v>
      </c>
      <c r="BX9" s="5">
        <v>1005499.6</v>
      </c>
      <c r="BY9" s="5">
        <v>157941.584</v>
      </c>
      <c r="BZ9" s="5">
        <v>114379.44</v>
      </c>
      <c r="CA9" s="5">
        <v>1244.3387</v>
      </c>
      <c r="CB9" s="5">
        <v>108884.912</v>
      </c>
      <c r="CC9" s="5">
        <v>151280.36799999999</v>
      </c>
      <c r="CD9" s="5">
        <v>447364.22399999999</v>
      </c>
      <c r="CE9" s="5">
        <v>49125.260799999996</v>
      </c>
      <c r="CF9" s="5">
        <v>156043.18400000001</v>
      </c>
      <c r="CG9" s="5">
        <v>360808.16320000001</v>
      </c>
      <c r="CH9" s="5">
        <v>2385.8710000000001</v>
      </c>
      <c r="CI9" s="5">
        <v>215.10599999999999</v>
      </c>
      <c r="CJ9" s="5">
        <v>1191.5</v>
      </c>
      <c r="CK9" s="5">
        <v>78.307000000000002</v>
      </c>
      <c r="CL9" s="5">
        <v>735.65800000000002</v>
      </c>
      <c r="CM9" s="5">
        <v>551.4</v>
      </c>
      <c r="CN9" s="5">
        <v>46290.8</v>
      </c>
      <c r="CO9" s="5">
        <v>1654.498</v>
      </c>
      <c r="CP9" s="5">
        <v>294925.29599999997</v>
      </c>
      <c r="CQ9" s="5">
        <v>3689568.64</v>
      </c>
      <c r="CR9" s="5">
        <v>131548.78400000001</v>
      </c>
      <c r="CS9" s="5">
        <v>515721.56800000003</v>
      </c>
      <c r="CT9" s="5">
        <v>2942730.1919999998</v>
      </c>
      <c r="CU9" s="5">
        <v>299845.40700000001</v>
      </c>
      <c r="CV9" s="5">
        <v>30139.721600000001</v>
      </c>
      <c r="CW9" s="5">
        <v>62996.998399999997</v>
      </c>
      <c r="CX9" s="5">
        <v>33466.092799999999</v>
      </c>
      <c r="CY9" s="5">
        <v>168492.736</v>
      </c>
      <c r="CZ9" s="5">
        <v>218262.16</v>
      </c>
      <c r="DA9" s="5">
        <v>19122.96</v>
      </c>
      <c r="DB9" s="5">
        <v>150656.38</v>
      </c>
      <c r="DC9" s="5">
        <v>3054.78</v>
      </c>
      <c r="DD9" s="5">
        <v>3054.67</v>
      </c>
      <c r="DE9" s="5">
        <v>3082.22</v>
      </c>
      <c r="DF9" s="5">
        <v>0.98699999999999999</v>
      </c>
      <c r="DG9" s="1" t="s">
        <v>228</v>
      </c>
      <c r="DH9" s="4">
        <f>Table2[[#This Row],[Date]]</f>
        <v>46240</v>
      </c>
      <c r="DI9">
        <f>(DD10-Table2[[#This Row],[MWH Total]])*4000</f>
        <v>25760.000000000218</v>
      </c>
      <c r="DJ9">
        <f>(DA10-Table2[[#This Row],[PNG Meter (Outside)]])*2.936</f>
        <v>28.567279999998718</v>
      </c>
      <c r="DK9">
        <f>(DB10-Table2[[#This Row],[PNG Meter (Inside)]])*2.936</f>
        <v>369.0375839999665</v>
      </c>
      <c r="DL9">
        <f>(BH10-Table2[[#This Row],[3F Dough cooler - 2 ]])*1000</f>
        <v>435.99999999997863</v>
      </c>
      <c r="DM9">
        <f>(BI10-Table2[[#This Row],[3F Dough Cooler- 1]])*1000</f>
        <v>471.99999999997999</v>
      </c>
      <c r="DN9">
        <f>(BJ10-Table2[[#This Row],[4F Dough Production cooling Unit]])*1000</f>
        <v>55.999999999999162</v>
      </c>
      <c r="DO9">
        <f>(BQ10-Table2[[#This Row],[3F2 - PDB 3 - Dough Production Area]])*1000</f>
        <v>231.9999999999709</v>
      </c>
      <c r="DP9">
        <f>(BR10-Table2[[#This Row],[3F3 - PDB 4 - Dough Area]])*1000</f>
        <v>131.99999999997658</v>
      </c>
      <c r="DQ9">
        <f>AC10-Table2[[#This Row],[16F1 Tray washer Panel for Light]]</f>
        <v>702.23999999975786</v>
      </c>
      <c r="DR9">
        <f>CQ10-Table2[[#This Row],[2F1 Tray Washer - 1]]</f>
        <v>1463.3599999998696</v>
      </c>
      <c r="DS9">
        <f>CS10-Table2[[#This Row],[2F5 Destacker]]</f>
        <v>252.15999999997439</v>
      </c>
      <c r="DT9">
        <f>CU10-Table2[[#This Row],[5F1 Metering (TW-2)]]</f>
        <v>208.21999999997206</v>
      </c>
      <c r="DU9">
        <f>CV10-Table2[[#This Row],[6F1 Pre soaker Tray washer]]</f>
        <v>6.3999999983934686E-3</v>
      </c>
      <c r="DV9">
        <f>CZ10-Table2[[#This Row],[6F5 Vent tray Storage]]</f>
        <v>48.847999999998137</v>
      </c>
      <c r="DW9">
        <f>I10-Table2[[#This Row],[Popeyes Meter ]]</f>
        <v>36.640000000000327</v>
      </c>
      <c r="DX9">
        <f>AZ10-Table2[[#This Row],[2F WH Chiller, Segregation Area]]</f>
        <v>0</v>
      </c>
      <c r="DY9">
        <f>BA10-Table2[[#This Row],[3F1 AC Unit WH dock cooling - 2 Nos]]</f>
        <v>18</v>
      </c>
      <c r="DZ9">
        <f>BB10-Table2[[#This Row],[3F2 AC Unit WH dock cooling - 3 Nos]]</f>
        <v>3.5000000000003695E-2</v>
      </c>
      <c r="EA9">
        <f>(BK10-Table2[[#This Row],[5F WH Perishable]])*1000</f>
        <v>278.99999999999636</v>
      </c>
      <c r="EB9">
        <f>BN10-Table2[[#This Row],[2F3 - PDB 9 - WH Dock Leveler Door ]]</f>
        <v>1.677599999999984</v>
      </c>
      <c r="EC9">
        <f>BP10-Table2[[#This Row],[3F1 - PDB 5 - WH HSD]]</f>
        <v>125.2160000000149</v>
      </c>
      <c r="ED9">
        <f>BX10-Table2[[#This Row],[8F1 WH Dock AHU - Ventilation]]</f>
        <v>2288.2399999999907</v>
      </c>
      <c r="EE9">
        <f>BZ10-Table2[[#This Row],[8F3 ACPDB - 4 WH Dock air curtain]]</f>
        <v>3.3040000000037253</v>
      </c>
      <c r="EF9">
        <f>CA10-Table2[[#This Row],[8F4 WH Light]]</f>
        <v>3.9999999989959178E-4</v>
      </c>
      <c r="EG9">
        <f>CC10-Table2[[#This Row],[9F1 - PDB 10 - WH Dock door &amp; Office]]</f>
        <v>90.544000000023516</v>
      </c>
      <c r="EH9">
        <f>CD10-Table2[[#This Row],[9F2 - PDB 11 - WH flycatchers]]</f>
        <v>204.22399999998743</v>
      </c>
      <c r="EI9">
        <f>CE10-Table2[[#This Row],[9F3 - PDB 12 - Other items]]</f>
        <v>0</v>
      </c>
      <c r="EJ9">
        <f>CR10-Table2[[#This Row],[2F3 - PDB 1 - Dock 1 to 4 ]]</f>
        <v>55.495999999984633</v>
      </c>
      <c r="EK9">
        <f>BM10-Table2[[#This Row],[2F2 - PDB 3 - WH Truck &amp; Battery Charging]]</f>
        <v>339.67999999999302</v>
      </c>
      <c r="EL9">
        <f>(CK10-Table2[[#This Row],[PDB - 11 Truck Charging]])*1000</f>
        <v>51.999999999992497</v>
      </c>
      <c r="EM9">
        <f>P10-Table2[[#This Row],[5F3 Admin Area]]</f>
        <v>347.00800000003073</v>
      </c>
      <c r="EN9">
        <f>AH10-Table2[[#This Row],[2F5 Main Gate-1 Piller -1]]</f>
        <v>78.392000000021653</v>
      </c>
      <c r="EO9">
        <f>CW10-Table2[[#This Row],[6F2 Ground Floor AC]]</f>
        <v>18.899199999999837</v>
      </c>
      <c r="EP9">
        <f>CX10-Table2[[#This Row],[6F3 ACBD -1 (First floor AC)]]</f>
        <v>0</v>
      </c>
      <c r="EQ9">
        <f>CY10-Table2[[#This Row],[6F4 ACBD - 2 (Second &amp; Third floor AC)]]</f>
        <v>118.32000000000698</v>
      </c>
      <c r="ER9">
        <f>(BC10-Table2[[#This Row],[4F Old BMC cooling Unit]])</f>
        <v>0</v>
      </c>
      <c r="ES9">
        <f>BO10-Table2[[#This Row],[2F4 - Old BMC]]</f>
        <v>3.9487999999983003</v>
      </c>
      <c r="ET9">
        <f>Y10-Table2[[#This Row],[14F2 New CK]]</f>
        <v>1431.1999999999534</v>
      </c>
      <c r="EU9">
        <f>(CL10-Table2[[#This Row],[OLD Ck Panel-1]])*1000</f>
        <v>683.99999999996908</v>
      </c>
      <c r="EV9">
        <f>CM10-Table2[[#This Row],[2F4 Old CK Blast (Blue star)]]</f>
        <v>0</v>
      </c>
      <c r="EW9">
        <f>CN10-Table2[[#This Row],[3F6 Old CK Blast (Carrier)]]</f>
        <v>555.5</v>
      </c>
      <c r="EX9">
        <f>(CO10-Table2[[#This Row],[Old CK Panel -2]])*1000</f>
        <v>782.99999999990177</v>
      </c>
      <c r="EY9">
        <f>N10-Table2[[#This Row],[4F1 Main UPS 1/C -1]]</f>
        <v>940.31999999983236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33.000000000001251</v>
      </c>
      <c r="FC9">
        <f>BW10-Table2[[#This Row],[7F3 CLC Power Panel]]</f>
        <v>315.32800000009593</v>
      </c>
      <c r="FD9">
        <f>(CI10-Table2[[#This Row],[PDB - 17 CLC Section ]])*1000</f>
        <v>212.99999999999386</v>
      </c>
      <c r="FE9">
        <f>(W10-Table2[[#This Row],[13F3 Water &amp; Lift Old CK]])*1000</f>
        <v>927.00000000013461</v>
      </c>
      <c r="FF9">
        <f>AA10-Table2[[#This Row],[15F2 New ETP Panel]]</f>
        <v>264.57600000000093</v>
      </c>
      <c r="FG9">
        <f>AL10-Table2[[#This Row],[3F4 Old ETP Panel]]</f>
        <v>66.912000000011176</v>
      </c>
      <c r="FH9">
        <f>AF10-Table2[[#This Row],[2F1 RO Plant]]</f>
        <v>562.23999999999069</v>
      </c>
      <c r="FI9">
        <f>AK10-Table2[[#This Row],[3F3 Fire Hydrant Panel]]</f>
        <v>10.440000000002328</v>
      </c>
      <c r="FJ9">
        <f>R10-Table2[[#This Row],[7F1 Freon System Panel]]</f>
        <v>5639.0400000000373</v>
      </c>
      <c r="FK9">
        <f>(AE10-Table2[[#This Row],[21F1 Refrigeration Ammonia]])*1000</f>
        <v>6089.5999999993364</v>
      </c>
      <c r="FL9">
        <f>(AG10-Table2[[#This Row],[2F3 Air Compressor]])*1000</f>
        <v>1231.9999999999709</v>
      </c>
      <c r="FM9">
        <f>(AX10-Table2[[#This Row],[Solar Reading Panel II]])*1000</f>
        <v>883.00000000072032</v>
      </c>
      <c r="FN9">
        <f>AI10-Table2[[#This Row],[3F1 Maintenance Workshop]]</f>
        <v>4.3600000000005821</v>
      </c>
      <c r="FO9">
        <f>BD10-Table2[[#This Row],[4F B2B unit ]]</f>
        <v>56.479999999981374</v>
      </c>
      <c r="FP9">
        <f>BL10-Table2[[#This Row],[2F1 - PDB 6 - Bread, B2B section]]</f>
        <v>163.80160000000615</v>
      </c>
      <c r="FQ9" s="1">
        <f>(CG10-Table2[[#This Row],[9F5 - PDB 14 - Bread Lift]])</f>
        <v>79.964800000016112</v>
      </c>
      <c r="FR9">
        <f>CJ10-Table2[[#This Row],[PDB - 16 Bread Section]]</f>
        <v>9.9999999999909051E-2</v>
      </c>
      <c r="FS9">
        <f>BU10-Table2[[#This Row],[7F1 Donut Production area]]</f>
        <v>200.76799999992363</v>
      </c>
      <c r="FT9">
        <f>CB10-Table2[[#This Row],[8F5 Donut Ban Bary]]</f>
        <v>41.01600000000326</v>
      </c>
      <c r="FU9">
        <f>CF10-Table2[[#This Row],[9F4 - PDB 13 - Donut Sink Geyser area]]</f>
        <v>28.175999999977648</v>
      </c>
      <c r="FV9">
        <f>BV10-Table2[[#This Row],[7F2 Flour Silo]]</f>
        <v>507.11999999999534</v>
      </c>
      <c r="FW9">
        <f>BY10-Table2[[#This Row],[8F2 ACPDB - 3 SILO Ventilation]]</f>
        <v>47.919999999983702</v>
      </c>
      <c r="FX9">
        <f>J10-Table2[[#This Row],[DG 1010KVA Running Hours]]</f>
        <v>0.1999999999998181</v>
      </c>
      <c r="FY9">
        <f>K10-Table2[[#This Row],[DG 1010 KVA Meter Reading]]</f>
        <v>78</v>
      </c>
      <c r="FZ9">
        <f>L10-Table2[[#This Row],[GG 1010 KVA Running Hours]]</f>
        <v>0</v>
      </c>
      <c r="GA9">
        <f>M10-Table2[[#This Row],[GG 1010 KVA Meter Reading]]</f>
        <v>3.0000000000001137E-2</v>
      </c>
    </row>
    <row r="10" spans="1:183" x14ac:dyDescent="0.35">
      <c r="A10" s="1">
        <v>53</v>
      </c>
      <c r="B10" s="2">
        <v>46241.401805555557</v>
      </c>
      <c r="C10" s="2">
        <v>46241.444965277777</v>
      </c>
      <c r="D10" s="1" t="s">
        <v>111</v>
      </c>
      <c r="E10" s="1"/>
      <c r="F10" s="1"/>
      <c r="G10" s="3">
        <v>46241</v>
      </c>
      <c r="H10" s="1" t="s">
        <v>182</v>
      </c>
      <c r="I10" s="5">
        <v>6892.7920000000004</v>
      </c>
      <c r="J10" s="5">
        <v>4274.8</v>
      </c>
      <c r="K10" s="5">
        <v>1777100</v>
      </c>
      <c r="L10" s="5">
        <v>454</v>
      </c>
      <c r="M10" s="5">
        <v>191.28</v>
      </c>
      <c r="N10" s="5">
        <v>1871567.68</v>
      </c>
      <c r="O10" s="5">
        <v>4604417.5999999996</v>
      </c>
      <c r="P10" s="5">
        <v>647064.70400000003</v>
      </c>
      <c r="Q10" s="5">
        <v>8099036.7999999998</v>
      </c>
      <c r="R10" s="5">
        <v>5557907.2000000002</v>
      </c>
      <c r="S10" s="5">
        <v>7373492.4800000004</v>
      </c>
      <c r="T10" s="5">
        <v>43240868.734999999</v>
      </c>
      <c r="U10" s="5">
        <v>2107465.44</v>
      </c>
      <c r="V10" s="5">
        <v>5121930.88</v>
      </c>
      <c r="W10" s="5">
        <v>1594.4507000000001</v>
      </c>
      <c r="X10" s="5">
        <v>774810.56</v>
      </c>
      <c r="Y10" s="5">
        <v>1097424.48</v>
      </c>
      <c r="Z10" s="5">
        <v>2777.8894</v>
      </c>
      <c r="AA10" s="5">
        <v>669592.44799999997</v>
      </c>
      <c r="AB10" s="5">
        <v>421319.07199999999</v>
      </c>
      <c r="AC10" s="5">
        <v>2141569.2799999998</v>
      </c>
      <c r="AD10" s="5">
        <v>4076326.523</v>
      </c>
      <c r="AE10" s="5">
        <v>12828.6312</v>
      </c>
      <c r="AF10" s="5">
        <v>877184.51199999999</v>
      </c>
      <c r="AG10" s="5">
        <v>1402.624</v>
      </c>
      <c r="AH10" s="5">
        <v>133746.78400000001</v>
      </c>
      <c r="AI10" s="5">
        <v>14641.830400000001</v>
      </c>
      <c r="AJ10" s="5">
        <v>145374.52799999999</v>
      </c>
      <c r="AK10" s="5">
        <v>105284.12</v>
      </c>
      <c r="AL10" s="5">
        <v>330834.94400000002</v>
      </c>
      <c r="AM10" s="5">
        <v>993.42700000000002</v>
      </c>
      <c r="AN10" s="5">
        <v>337</v>
      </c>
      <c r="AO10" s="5">
        <v>7.7</v>
      </c>
      <c r="AP10" s="5">
        <v>487903</v>
      </c>
      <c r="AQ10" s="5">
        <v>42349</v>
      </c>
      <c r="AR10" s="5">
        <v>41804</v>
      </c>
      <c r="AS10" s="5">
        <v>32390</v>
      </c>
      <c r="AT10" s="5">
        <v>22106</v>
      </c>
      <c r="AU10" s="5">
        <v>15719</v>
      </c>
      <c r="AV10" s="5">
        <v>6479</v>
      </c>
      <c r="AW10" s="5">
        <v>20.946397999999999</v>
      </c>
      <c r="AX10" s="5">
        <v>7246.6090000000004</v>
      </c>
      <c r="AY10" s="5">
        <v>679.48599999999999</v>
      </c>
      <c r="AZ10" s="5">
        <v>20.788</v>
      </c>
      <c r="BA10" s="5">
        <v>10460</v>
      </c>
      <c r="BB10" s="5">
        <v>44.954000000000001</v>
      </c>
      <c r="BC10" s="5">
        <v>113989.152</v>
      </c>
      <c r="BD10" s="5">
        <v>276187.424</v>
      </c>
      <c r="BE10" s="5">
        <v>3730.5796</v>
      </c>
      <c r="BF10" s="5">
        <v>1712.0419999999999</v>
      </c>
      <c r="BG10" s="5">
        <v>75.153000000000006</v>
      </c>
      <c r="BH10" s="5">
        <v>366.084</v>
      </c>
      <c r="BI10" s="5">
        <v>917.226</v>
      </c>
      <c r="BJ10" s="5">
        <v>14.856</v>
      </c>
      <c r="BK10" s="5">
        <v>565.36900000000003</v>
      </c>
      <c r="BL10" s="5">
        <v>73468.390400000004</v>
      </c>
      <c r="BM10" s="5">
        <v>311112.32000000001</v>
      </c>
      <c r="BN10" s="5">
        <v>7200.0616</v>
      </c>
      <c r="BO10" s="5">
        <v>53582.688000000002</v>
      </c>
      <c r="BP10" s="5">
        <v>314832.64000000001</v>
      </c>
      <c r="BQ10" s="5">
        <v>326.28899999999999</v>
      </c>
      <c r="BR10" s="5">
        <v>181.71199999999999</v>
      </c>
      <c r="BS10" s="5">
        <v>1016634.1</v>
      </c>
      <c r="BT10" s="5">
        <v>1400620.737</v>
      </c>
      <c r="BU10" s="5">
        <v>630159.29599999997</v>
      </c>
      <c r="BV10" s="5">
        <v>1025048.16</v>
      </c>
      <c r="BW10" s="5">
        <v>569841.98400000005</v>
      </c>
      <c r="BX10" s="5">
        <v>1007787.84</v>
      </c>
      <c r="BY10" s="5">
        <v>157989.50399999999</v>
      </c>
      <c r="BZ10" s="5">
        <v>114382.74400000001</v>
      </c>
      <c r="CA10" s="5">
        <v>1244.3390999999999</v>
      </c>
      <c r="CB10" s="5">
        <v>108925.928</v>
      </c>
      <c r="CC10" s="5">
        <v>151370.91200000001</v>
      </c>
      <c r="CD10" s="5">
        <v>447568.44799999997</v>
      </c>
      <c r="CE10" s="5">
        <v>49125.260799999996</v>
      </c>
      <c r="CF10" s="5">
        <v>156071.35999999999</v>
      </c>
      <c r="CG10" s="5">
        <v>360888.12800000003</v>
      </c>
      <c r="CH10" s="5">
        <v>2385.8710000000001</v>
      </c>
      <c r="CI10" s="5">
        <v>215.31899999999999</v>
      </c>
      <c r="CJ10" s="5">
        <v>1191.5999999999999</v>
      </c>
      <c r="CK10" s="5">
        <v>78.358999999999995</v>
      </c>
      <c r="CL10" s="5">
        <v>736.34199999999998</v>
      </c>
      <c r="CM10" s="5">
        <v>551.4</v>
      </c>
      <c r="CN10" s="5">
        <v>46846.3</v>
      </c>
      <c r="CO10" s="5">
        <v>1655.2809999999999</v>
      </c>
      <c r="CP10" s="5">
        <v>295074.49099999998</v>
      </c>
      <c r="CQ10" s="5">
        <v>3691032</v>
      </c>
      <c r="CR10" s="5">
        <v>131604.28</v>
      </c>
      <c r="CS10" s="5">
        <v>515973.728</v>
      </c>
      <c r="CT10" s="5">
        <v>2946102.2859999998</v>
      </c>
      <c r="CU10" s="5">
        <v>300053.62699999998</v>
      </c>
      <c r="CV10" s="5">
        <v>30139.727999999999</v>
      </c>
      <c r="CW10" s="5">
        <v>63015.897599999997</v>
      </c>
      <c r="CX10" s="5">
        <v>33466.092799999999</v>
      </c>
      <c r="CY10" s="5">
        <v>168611.05600000001</v>
      </c>
      <c r="CZ10" s="5">
        <v>218311.008</v>
      </c>
      <c r="DA10" s="5">
        <v>19132.689999999999</v>
      </c>
      <c r="DB10" s="5">
        <v>150782.07399999999</v>
      </c>
      <c r="DC10" s="5">
        <v>3061.24</v>
      </c>
      <c r="DD10" s="5">
        <v>3061.11</v>
      </c>
      <c r="DE10" s="5">
        <v>3088.84</v>
      </c>
      <c r="DF10" s="5">
        <v>0.97399999999999998</v>
      </c>
      <c r="DG10" s="1" t="s">
        <v>229</v>
      </c>
      <c r="DH10" s="4">
        <f>Table2[[#This Row],[Date]]</f>
        <v>46241</v>
      </c>
      <c r="DI10">
        <f>(DD11-Table2[[#This Row],[MWH Total]])*4000</f>
        <v>26559.999999999491</v>
      </c>
      <c r="DJ10">
        <f>(DA11-Table2[[#This Row],[PNG Meter (Outside)]])*2.936</f>
        <v>16.676480000000854</v>
      </c>
      <c r="DK10">
        <f>(DB11-Table2[[#This Row],[PNG Meter (Inside)]])*2.936</f>
        <v>438.60904000004103</v>
      </c>
      <c r="DL10">
        <f>(BH11-Table2[[#This Row],[3F Dough cooler - 2 ]])*1000</f>
        <v>445.99999999996953</v>
      </c>
      <c r="DM10">
        <f>(BI11-Table2[[#This Row],[3F Dough Cooler- 1]])*1000</f>
        <v>481.9999999999709</v>
      </c>
      <c r="DN10">
        <f>(BJ11-Table2[[#This Row],[4F Dough Production cooling Unit]])*1000</f>
        <v>57.000000000000384</v>
      </c>
      <c r="DO10">
        <f>(BQ11-Table2[[#This Row],[3F2 - PDB 3 - Dough Production Area]])*1000</f>
        <v>197.00000000000273</v>
      </c>
      <c r="DP10">
        <f>(BR11-Table2[[#This Row],[3F3 - PDB 4 - Dough Area]])*1000</f>
        <v>116.00000000001387</v>
      </c>
      <c r="DQ10">
        <f>AC11-Table2[[#This Row],[16F1 Tray washer Panel for Light]]</f>
        <v>745.44000000040978</v>
      </c>
      <c r="DR10">
        <f>CQ11-Table2[[#This Row],[2F1 Tray Washer - 1]]</f>
        <v>1303.3599999998696</v>
      </c>
      <c r="DS10">
        <f>CS11-Table2[[#This Row],[2F5 Destacker]]</f>
        <v>254.7839999999851</v>
      </c>
      <c r="DT10">
        <f>CU11-Table2[[#This Row],[5F1 Metering (TW-2)]]</f>
        <v>224.56800000002841</v>
      </c>
      <c r="DU10">
        <f>CV11-Table2[[#This Row],[6F1 Pre soaker Tray washer]]</f>
        <v>0</v>
      </c>
      <c r="DV10">
        <f>CZ11-Table2[[#This Row],[6F5 Vent tray Storage]]</f>
        <v>60.063999999983935</v>
      </c>
      <c r="DW10">
        <f>I11-Table2[[#This Row],[Popeyes Meter ]]</f>
        <v>39.489999999999782</v>
      </c>
      <c r="DX10">
        <f>AZ11-Table2[[#This Row],[2F WH Chiller, Segregation Area]]</f>
        <v>0</v>
      </c>
      <c r="DY10">
        <f>BA11-Table2[[#This Row],[3F1 AC Unit WH dock cooling - 2 Nos]]</f>
        <v>20</v>
      </c>
      <c r="DZ10">
        <f>BB11-Table2[[#This Row],[3F2 AC Unit WH dock cooling - 3 Nos]]</f>
        <v>3.6000000000001364E-2</v>
      </c>
      <c r="EA10">
        <f>(BK11-Table2[[#This Row],[5F WH Perishable]])*1000</f>
        <v>278.99999999999636</v>
      </c>
      <c r="EB10">
        <f>BN11-Table2[[#This Row],[2F3 - PDB 9 - WH Dock Leveler Door ]]</f>
        <v>4.1791999999995824</v>
      </c>
      <c r="EC10">
        <f>BP11-Table2[[#This Row],[3F1 - PDB 5 - WH HSD]]</f>
        <v>105.69599999999627</v>
      </c>
      <c r="ED10">
        <f>BX11-Table2[[#This Row],[8F1 WH Dock AHU - Ventilation]]</f>
        <v>2313.359999999986</v>
      </c>
      <c r="EE10">
        <f>BZ11-Table2[[#This Row],[8F3 ACPDB - 4 WH Dock air curtain]]</f>
        <v>19.639999999999418</v>
      </c>
      <c r="EF10">
        <f>CA11-Table2[[#This Row],[8F4 WH Light]]</f>
        <v>0</v>
      </c>
      <c r="EG10">
        <f>CC11-Table2[[#This Row],[9F1 - PDB 10 - WH Dock door &amp; Office]]</f>
        <v>60.543999999994412</v>
      </c>
      <c r="EH10">
        <f>CD11-Table2[[#This Row],[9F2 - PDB 11 - WH flycatchers]]</f>
        <v>103.26400000002468</v>
      </c>
      <c r="EI10">
        <f>CE11-Table2[[#This Row],[9F3 - PDB 12 - Other items]]</f>
        <v>0.76160000000527361</v>
      </c>
      <c r="EJ10">
        <f>CR11-Table2[[#This Row],[2F3 - PDB 1 - Dock 1 to 4 ]]</f>
        <v>58.880000000004657</v>
      </c>
      <c r="EK10">
        <f>BM11-Table2[[#This Row],[2F2 - PDB 3 - WH Truck &amp; Battery Charging]]</f>
        <v>227.8399999999674</v>
      </c>
      <c r="EL10">
        <f>(CK11-Table2[[#This Row],[PDB - 11 Truck Charging]])*1000</f>
        <v>17.000000000010118</v>
      </c>
      <c r="EM10">
        <f>P11-Table2[[#This Row],[5F3 Admin Area]]</f>
        <v>367.48800000001211</v>
      </c>
      <c r="EN10">
        <f>AH11-Table2[[#This Row],[2F5 Main Gate-1 Piller -1]]</f>
        <v>78.639999999984866</v>
      </c>
      <c r="EO10">
        <f>CW11-Table2[[#This Row],[6F2 Ground Floor AC]]</f>
        <v>23.987200000003213</v>
      </c>
      <c r="EP10">
        <f>CX11-Table2[[#This Row],[6F3 ACBD -1 (First floor AC)]]</f>
        <v>0</v>
      </c>
      <c r="EQ10">
        <f>CY11-Table2[[#This Row],[6F4 ACBD - 2 (Second &amp; Third floor AC)]]</f>
        <v>115.2960000000021</v>
      </c>
      <c r="ER10">
        <f>(BC11-Table2[[#This Row],[4F Old BMC cooling Unit]])</f>
        <v>0</v>
      </c>
      <c r="ES10">
        <f>BO11-Table2[[#This Row],[2F4 - Old BMC]]</f>
        <v>4.7583999999988009</v>
      </c>
      <c r="ET10">
        <f>Y11-Table2[[#This Row],[14F2 New CK]]</f>
        <v>1413.3600000001024</v>
      </c>
      <c r="EU10">
        <f>(CL11-Table2[[#This Row],[OLD Ck Panel-1]])*1000</f>
        <v>682.00000000001637</v>
      </c>
      <c r="EV10">
        <f>CM11-Table2[[#This Row],[2F4 Old CK Blast (Blue star)]]</f>
        <v>0</v>
      </c>
      <c r="EW10">
        <f>CN11-Table2[[#This Row],[3F6 Old CK Blast (Carrier)]]</f>
        <v>567</v>
      </c>
      <c r="EX10">
        <f>(CO11-Table2[[#This Row],[Old CK Panel -2]])*1000</f>
        <v>899.0000000001146</v>
      </c>
      <c r="EY10">
        <f>N11-Table2[[#This Row],[4F1 Main UPS 1/C -1]]</f>
        <v>967.19999999995343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33.999999999991815</v>
      </c>
      <c r="FC10">
        <f>BW11-Table2[[#This Row],[7F3 CLC Power Panel]]</f>
        <v>267.07199999992736</v>
      </c>
      <c r="FD10">
        <f>(CI11-Table2[[#This Row],[PDB - 17 CLC Section ]])*1000</f>
        <v>168.00000000000637</v>
      </c>
      <c r="FE10">
        <f>(W11-Table2[[#This Row],[13F3 Water &amp; Lift Old CK]])*1000</f>
        <v>919.99999999984539</v>
      </c>
      <c r="FF10">
        <f>AA11-Table2[[#This Row],[15F2 New ETP Panel]]</f>
        <v>273.92000000004191</v>
      </c>
      <c r="FG10">
        <f>AL11-Table2[[#This Row],[3F4 Old ETP Panel]]</f>
        <v>74.048000000009779</v>
      </c>
      <c r="FH10">
        <f>AF11-Table2[[#This Row],[2F1 RO Plant]]</f>
        <v>571.32799999997951</v>
      </c>
      <c r="FI10">
        <f>AK11-Table2[[#This Row],[3F3 Fire Hydrant Panel]]</f>
        <v>10.680000000007567</v>
      </c>
      <c r="FJ10">
        <f>R11-Table2[[#This Row],[7F1 Freon System Panel]]</f>
        <v>6190.7199999997392</v>
      </c>
      <c r="FK10">
        <f>(AE11-Table2[[#This Row],[21F1 Refrigeration Ammonia]])*1000</f>
        <v>5926.4000000002852</v>
      </c>
      <c r="FL10">
        <f>(AG11-Table2[[#This Row],[2F3 Air Compressor]])*1000</f>
        <v>1249.0000000000236</v>
      </c>
      <c r="FM10">
        <f>(AX11-Table2[[#This Row],[Solar Reading Panel II]])*1000</f>
        <v>944.99999999970896</v>
      </c>
      <c r="FN10">
        <f>AI11-Table2[[#This Row],[3F1 Maintenance Workshop]]</f>
        <v>5.3663999999989755</v>
      </c>
      <c r="FO10">
        <f>BD11-Table2[[#This Row],[4F B2B unit ]]</f>
        <v>61.887999999977183</v>
      </c>
      <c r="FP10">
        <f>BL11-Table2[[#This Row],[2F1 - PDB 6 - Bread, B2B section]]</f>
        <v>234.30399999998917</v>
      </c>
      <c r="FQ10">
        <f>(CG11-Table2[[#This Row],[9F5 - PDB 14 - Bread Lift]])</f>
        <v>5.5679999999701977</v>
      </c>
      <c r="FR10">
        <f>CJ11-Table2[[#This Row],[PDB - 16 Bread Section]]</f>
        <v>0</v>
      </c>
      <c r="FS10">
        <f>BU11-Table2[[#This Row],[7F1 Donut Production area]]</f>
        <v>186.4320000000298</v>
      </c>
      <c r="FT10">
        <f>CB11-Table2[[#This Row],[8F5 Donut Ban Bary]]</f>
        <v>52.495999999999185</v>
      </c>
      <c r="FU10">
        <f>CF11-Table2[[#This Row],[9F4 - PDB 13 - Donut Sink Geyser area]]</f>
        <v>21.600000000005821</v>
      </c>
      <c r="FV10">
        <f>BV11-Table2[[#This Row],[7F2 Flour Silo]]</f>
        <v>679.67999999993481</v>
      </c>
      <c r="FW10">
        <f>BY11-Table2[[#This Row],[8F2 ACPDB - 3 SILO Ventilation]]</f>
        <v>43.808000000019092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 x14ac:dyDescent="0.35">
      <c r="A11" s="1">
        <v>54</v>
      </c>
      <c r="B11" s="2">
        <v>46242.392696759256</v>
      </c>
      <c r="C11" s="2">
        <v>46242.434050925927</v>
      </c>
      <c r="D11" s="1" t="s">
        <v>111</v>
      </c>
      <c r="E11" s="1"/>
      <c r="F11" s="1"/>
      <c r="G11" s="3">
        <v>46242</v>
      </c>
      <c r="H11" s="1" t="s">
        <v>182</v>
      </c>
      <c r="I11" s="5">
        <v>6932.2820000000002</v>
      </c>
      <c r="J11" s="5">
        <v>4274.8</v>
      </c>
      <c r="K11" s="5">
        <v>1777100</v>
      </c>
      <c r="L11" s="5">
        <v>454</v>
      </c>
      <c r="M11" s="5">
        <v>191.28</v>
      </c>
      <c r="N11" s="5">
        <v>1872534.88</v>
      </c>
      <c r="O11" s="5">
        <v>4606378.5599999996</v>
      </c>
      <c r="P11" s="5">
        <v>647432.19200000004</v>
      </c>
      <c r="Q11" s="5">
        <v>8101157.1200000001</v>
      </c>
      <c r="R11" s="5">
        <v>5564097.9199999999</v>
      </c>
      <c r="S11" s="5">
        <v>7376673.9199999999</v>
      </c>
      <c r="T11" s="5">
        <v>42809081.963</v>
      </c>
      <c r="U11" s="5">
        <v>2108467.2000000002</v>
      </c>
      <c r="V11" s="5">
        <v>5123766.4000000004</v>
      </c>
      <c r="W11" s="5">
        <v>1595.3706999999999</v>
      </c>
      <c r="X11" s="5">
        <v>775034.304</v>
      </c>
      <c r="Y11" s="5">
        <v>1098837.8400000001</v>
      </c>
      <c r="Z11" s="5">
        <v>2777.8894</v>
      </c>
      <c r="AA11" s="5">
        <v>669866.36800000002</v>
      </c>
      <c r="AB11" s="5">
        <v>421329.85600000003</v>
      </c>
      <c r="AC11" s="5">
        <v>2142314.7200000002</v>
      </c>
      <c r="AD11" s="5">
        <v>2689039.625</v>
      </c>
      <c r="AE11" s="5">
        <v>12834.5576</v>
      </c>
      <c r="AF11" s="5">
        <v>877755.84</v>
      </c>
      <c r="AG11" s="5">
        <v>1403.873</v>
      </c>
      <c r="AH11" s="5">
        <v>133825.424</v>
      </c>
      <c r="AI11" s="5">
        <v>14647.1968</v>
      </c>
      <c r="AJ11" s="5">
        <v>145375.264</v>
      </c>
      <c r="AK11" s="5">
        <v>105294.8</v>
      </c>
      <c r="AL11" s="5">
        <v>330908.99200000003</v>
      </c>
      <c r="AM11" s="5">
        <v>994.10799999999995</v>
      </c>
      <c r="AN11" s="5">
        <v>166.1</v>
      </c>
      <c r="AO11" s="5">
        <v>6.7</v>
      </c>
      <c r="AP11" s="5">
        <v>498254</v>
      </c>
      <c r="AQ11" s="5">
        <v>42366</v>
      </c>
      <c r="AR11" s="5">
        <v>41821</v>
      </c>
      <c r="AS11" s="5">
        <v>32390</v>
      </c>
      <c r="AT11" s="5">
        <v>22106</v>
      </c>
      <c r="AU11" s="5">
        <v>15742</v>
      </c>
      <c r="AV11" s="5">
        <v>6493</v>
      </c>
      <c r="AW11" s="5">
        <v>20.952145999999999</v>
      </c>
      <c r="AX11" s="5">
        <v>7247.5540000000001</v>
      </c>
      <c r="AY11" s="5">
        <v>679.60320000000002</v>
      </c>
      <c r="AZ11" s="5">
        <v>20.788</v>
      </c>
      <c r="BA11" s="5">
        <v>10480</v>
      </c>
      <c r="BB11" s="5">
        <v>44.99</v>
      </c>
      <c r="BC11" s="5">
        <v>113989.152</v>
      </c>
      <c r="BD11" s="5">
        <v>276249.31199999998</v>
      </c>
      <c r="BE11" s="5">
        <v>3731.93</v>
      </c>
      <c r="BF11" s="5">
        <v>1712.0419999999999</v>
      </c>
      <c r="BG11" s="5">
        <v>75.186999999999998</v>
      </c>
      <c r="BH11" s="5">
        <v>366.53</v>
      </c>
      <c r="BI11" s="5">
        <v>917.70799999999997</v>
      </c>
      <c r="BJ11" s="5">
        <v>14.913</v>
      </c>
      <c r="BK11" s="5">
        <v>565.64800000000002</v>
      </c>
      <c r="BL11" s="5">
        <v>73702.694399999993</v>
      </c>
      <c r="BM11" s="5">
        <v>311340.15999999997</v>
      </c>
      <c r="BN11" s="5">
        <v>7204.2407999999996</v>
      </c>
      <c r="BO11" s="5">
        <v>53587.446400000001</v>
      </c>
      <c r="BP11" s="5">
        <v>314938.33600000001</v>
      </c>
      <c r="BQ11" s="5">
        <v>326.48599999999999</v>
      </c>
      <c r="BR11" s="5">
        <v>181.828</v>
      </c>
      <c r="BS11" s="5">
        <v>1017610.986</v>
      </c>
      <c r="BT11" s="5">
        <v>1400620.74</v>
      </c>
      <c r="BU11" s="5">
        <v>630345.728</v>
      </c>
      <c r="BV11" s="5">
        <v>1025727.84</v>
      </c>
      <c r="BW11" s="5">
        <v>570109.05599999998</v>
      </c>
      <c r="BX11" s="5">
        <v>1010101.2</v>
      </c>
      <c r="BY11" s="5">
        <v>158033.31200000001</v>
      </c>
      <c r="BZ11" s="5">
        <v>114402.38400000001</v>
      </c>
      <c r="CA11" s="5">
        <v>1244.3390999999999</v>
      </c>
      <c r="CB11" s="5">
        <v>108978.424</v>
      </c>
      <c r="CC11" s="5">
        <v>151431.45600000001</v>
      </c>
      <c r="CD11" s="5">
        <v>447671.712</v>
      </c>
      <c r="CE11" s="5">
        <v>49126.022400000002</v>
      </c>
      <c r="CF11" s="5">
        <v>156092.96</v>
      </c>
      <c r="CG11" s="5">
        <v>360893.696</v>
      </c>
      <c r="CH11" s="5">
        <v>2385.8710000000001</v>
      </c>
      <c r="CI11" s="5">
        <v>215.48699999999999</v>
      </c>
      <c r="CJ11" s="5">
        <v>1191.5999999999999</v>
      </c>
      <c r="CK11" s="5">
        <v>78.376000000000005</v>
      </c>
      <c r="CL11" s="5">
        <v>737.024</v>
      </c>
      <c r="CM11" s="5">
        <v>551.4</v>
      </c>
      <c r="CN11" s="5">
        <v>47413.3</v>
      </c>
      <c r="CO11" s="5">
        <v>1656.18</v>
      </c>
      <c r="CP11" s="5">
        <v>295220.83100000001</v>
      </c>
      <c r="CQ11" s="5">
        <v>3692335.36</v>
      </c>
      <c r="CR11" s="5">
        <v>131663.16</v>
      </c>
      <c r="CS11" s="5">
        <v>516228.51199999999</v>
      </c>
      <c r="CT11" s="5">
        <v>2949332.5189999999</v>
      </c>
      <c r="CU11" s="5">
        <v>300278.19500000001</v>
      </c>
      <c r="CV11" s="5">
        <v>30139.727999999999</v>
      </c>
      <c r="CW11" s="5">
        <v>63039.8848</v>
      </c>
      <c r="CX11" s="5">
        <v>33466.092799999999</v>
      </c>
      <c r="CY11" s="5">
        <v>168726.35200000001</v>
      </c>
      <c r="CZ11" s="5">
        <v>218371.07199999999</v>
      </c>
      <c r="DA11" s="5">
        <v>19138.37</v>
      </c>
      <c r="DB11" s="5">
        <v>150931.46400000001</v>
      </c>
      <c r="DC11" s="5">
        <v>3067.84</v>
      </c>
      <c r="DD11" s="5">
        <v>3067.75</v>
      </c>
      <c r="DE11" s="5">
        <v>3095.79</v>
      </c>
      <c r="DF11" s="5">
        <v>0.97499999999999998</v>
      </c>
      <c r="DG11" s="1" t="s">
        <v>230</v>
      </c>
      <c r="DH11" s="4">
        <f>Table2[[#This Row],[Date]]</f>
        <v>46242</v>
      </c>
      <c r="DI11">
        <f>(DD12-Table2[[#This Row],[MWH Total]])*4000</f>
        <v>26600.000000000364</v>
      </c>
      <c r="DJ11">
        <f>(DA12-Table2[[#This Row],[PNG Meter (Outside)]])*2.936</f>
        <v>144.56864000000471</v>
      </c>
      <c r="DK11">
        <f>(DB12-Table2[[#This Row],[PNG Meter (Inside)]])*2.936</f>
        <v>169.42481600001639</v>
      </c>
      <c r="DL11">
        <f>(BH12-Table2[[#This Row],[3F Dough cooler - 2 ]])*1000</f>
        <v>299.00000000003502</v>
      </c>
      <c r="DM11">
        <f>(BI12-Table2[[#This Row],[3F Dough Cooler- 1]])*1000</f>
        <v>1330.0000000000409</v>
      </c>
      <c r="DN11">
        <f>(BJ12-Table2[[#This Row],[4F Dough Production cooling Unit]])*1000</f>
        <v>38.999999999999702</v>
      </c>
      <c r="DO11">
        <f>(BQ12-Table2[[#This Row],[3F2 - PDB 3 - Dough Production Area]])*1000</f>
        <v>163.00000000001091</v>
      </c>
      <c r="DP11">
        <f>(BR12-Table2[[#This Row],[3F3 - PDB 4 - Dough Area]])*1000</f>
        <v>85.999999999984311</v>
      </c>
      <c r="DQ11">
        <f>AC12-Table2[[#This Row],[16F1 Tray washer Panel for Light]]</f>
        <v>580</v>
      </c>
      <c r="DR11">
        <f>CQ12-Table2[[#This Row],[2F1 Tray Washer - 1]]</f>
        <v>1074.5600000000559</v>
      </c>
      <c r="DS11">
        <f>CS12-Table2[[#This Row],[2F5 Destacker]]</f>
        <v>173.28000000002794</v>
      </c>
      <c r="DT11">
        <f>CU12-Table2[[#This Row],[5F1 Metering (TW-2)]]</f>
        <v>165.63400000002002</v>
      </c>
      <c r="DU11">
        <f>CV12-Table2[[#This Row],[6F1 Pre soaker Tray washer]]</f>
        <v>8.9599999999336433E-2</v>
      </c>
      <c r="DV11">
        <f>CZ12-Table2[[#This Row],[6F5 Vent tray Storage]]</f>
        <v>56.352000000013504</v>
      </c>
      <c r="DW11">
        <f>I12-Table2[[#This Row],[Popeyes Meter ]]</f>
        <v>25.069999999999709</v>
      </c>
      <c r="DX11">
        <f>AZ12-Table2[[#This Row],[2F WH Chiller, Segregation Area]]</f>
        <v>0</v>
      </c>
      <c r="DY11">
        <f>BA12-Table2[[#This Row],[3F1 AC Unit WH dock cooling - 2 Nos]]</f>
        <v>15</v>
      </c>
      <c r="DZ11">
        <f>BB12-Table2[[#This Row],[3F2 AC Unit WH dock cooling - 3 Nos]]</f>
        <v>3.1999999999996476E-2</v>
      </c>
      <c r="EA11">
        <f>(BK12-Table2[[#This Row],[5F WH Perishable]])*1000</f>
        <v>197.99999999997908</v>
      </c>
      <c r="EB11">
        <f>BN12-Table2[[#This Row],[2F3 - PDB 9 - WH Dock Leveler Door ]]</f>
        <v>4.8088000000007014</v>
      </c>
      <c r="EC11">
        <f>BP12-Table2[[#This Row],[3F1 - PDB 5 - WH HSD]]</f>
        <v>99.135999999998603</v>
      </c>
      <c r="ED11">
        <f>BX12-Table2[[#This Row],[8F1 WH Dock AHU - Ventilation]]</f>
        <v>1757.2000000000698</v>
      </c>
      <c r="EE11">
        <f>BZ12-Table2[[#This Row],[8F3 ACPDB - 4 WH Dock air curtain]]</f>
        <v>24.255999999993946</v>
      </c>
      <c r="EF11">
        <f>CA12-Table2[[#This Row],[8F4 WH Light]]</f>
        <v>1.4300000000048385E-2</v>
      </c>
      <c r="EG11">
        <f>CC12-Table2[[#This Row],[9F1 - PDB 10 - WH Dock door &amp; Office]]</f>
        <v>88.111999999993714</v>
      </c>
      <c r="EH11">
        <f>CD12-Table2[[#This Row],[9F2 - PDB 11 - WH flycatchers]]</f>
        <v>202.7839999999851</v>
      </c>
      <c r="EI11">
        <f>CE12-Table2[[#This Row],[9F3 - PDB 12 - Other items]]</f>
        <v>1.254399999997986</v>
      </c>
      <c r="EJ11">
        <f>CR12-Table2[[#This Row],[2F3 - PDB 1 - Dock 1 to 4 ]]</f>
        <v>49.448000000003958</v>
      </c>
      <c r="EK11">
        <f>BM12-Table2[[#This Row],[2F2 - PDB 3 - WH Truck &amp; Battery Charging]]</f>
        <v>316.22400000004563</v>
      </c>
      <c r="EL11">
        <f>(CK12-Table2[[#This Row],[PDB - 11 Truck Charging]])*1000</f>
        <v>58.999999999997499</v>
      </c>
      <c r="EM11">
        <f>P12-Table2[[#This Row],[5F3 Admin Area]]</f>
        <v>303.80799999996088</v>
      </c>
      <c r="EN11">
        <f>AH12-Table2[[#This Row],[2F5 Main Gate-1 Piller -1]]</f>
        <v>87.791999999986729</v>
      </c>
      <c r="EO11">
        <f>CW12-Table2[[#This Row],[6F2 Ground Floor AC]]</f>
        <v>14.763200000001234</v>
      </c>
      <c r="EP11">
        <f>CX12-Table2[[#This Row],[6F3 ACBD -1 (First floor AC)]]</f>
        <v>0</v>
      </c>
      <c r="EQ11">
        <f>CY12-Table2[[#This Row],[6F4 ACBD - 2 (Second &amp; Third floor AC)]]</f>
        <v>158.60799999997835</v>
      </c>
      <c r="ER11">
        <f>(BC12-Table2[[#This Row],[4F Old BMC cooling Unit]])</f>
        <v>0</v>
      </c>
      <c r="ES11">
        <f>BO12-Table2[[#This Row],[2F4 - Old BMC]]</f>
        <v>1.6863999999986845</v>
      </c>
      <c r="ET11">
        <f>Y12-Table2[[#This Row],[14F2 New CK]]</f>
        <v>1005.5200000000186</v>
      </c>
      <c r="EU11">
        <f>(CL12-Table2[[#This Row],[OLD Ck Panel-1]])*1000</f>
        <v>524.99999999997726</v>
      </c>
      <c r="EV11">
        <f>CM12-Table2[[#This Row],[2F4 Old CK Blast (Blue star)]]</f>
        <v>0</v>
      </c>
      <c r="EW11">
        <f>CN12-Table2[[#This Row],[3F6 Old CK Blast (Carrier)]]</f>
        <v>437.39999999999418</v>
      </c>
      <c r="EX11">
        <f>(CO12-Table2[[#This Row],[Old CK Panel -2]])*1000</f>
        <v>581.99999999987995</v>
      </c>
      <c r="EY11">
        <f>N12-Table2[[#This Row],[4F1 Main UPS 1/C -1]]</f>
        <v>800.32000000006519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22.999999999996135</v>
      </c>
      <c r="FC11">
        <f>BW12-Table2[[#This Row],[7F3 CLC Power Panel]]</f>
        <v>181.63199999998324</v>
      </c>
      <c r="FD11">
        <f>(CI12-Table2[[#This Row],[PDB - 17 CLC Section ]])*1000</f>
        <v>99.999999999994316</v>
      </c>
      <c r="FE11">
        <f>(W12-Table2[[#This Row],[13F3 Water &amp; Lift Old CK]])*1000</f>
        <v>451.90000000002328</v>
      </c>
      <c r="FF11">
        <f>AA12-Table2[[#This Row],[15F2 New ETP Panel]]</f>
        <v>208.31999999994878</v>
      </c>
      <c r="FG11">
        <f>AL12-Table2[[#This Row],[3F4 Old ETP Panel]]</f>
        <v>54.399999999965075</v>
      </c>
      <c r="FH11">
        <f>AF12-Table2[[#This Row],[2F1 RO Plant]]</f>
        <v>461.11999999999534</v>
      </c>
      <c r="FI11">
        <f>AK12-Table2[[#This Row],[3F3 Fire Hydrant Panel]]</f>
        <v>9.0559999999968568</v>
      </c>
      <c r="FJ11">
        <f>R12-Table2[[#This Row],[7F1 Freon System Panel]]</f>
        <v>5023.3600000003353</v>
      </c>
      <c r="FK11">
        <f>(AE12-Table2[[#This Row],[21F1 Refrigeration Ammonia]])*1000</f>
        <v>5398.4000000000378</v>
      </c>
      <c r="FL11">
        <f>(AG12-Table2[[#This Row],[2F3 Air Compressor]])*1000</f>
        <v>1313.9999999998508</v>
      </c>
      <c r="FM11">
        <f>(AX12-Table2[[#This Row],[Solar Reading Panel II]])*1000</f>
        <v>2052.9999999998836</v>
      </c>
      <c r="FN11">
        <f>AI12-Table2[[#This Row],[3F1 Maintenance Workshop]]</f>
        <v>4.4320000000006985</v>
      </c>
      <c r="FO11">
        <f>BD12-Table2[[#This Row],[4F B2B unit ]]</f>
        <v>25.664000000047963</v>
      </c>
      <c r="FP11">
        <f>BL12-Table2[[#This Row],[2F1 - PDB 6 - Bread, B2B section]]</f>
        <v>92.87039999999979</v>
      </c>
      <c r="FQ11">
        <f>(CG12-Table2[[#This Row],[9F5 - PDB 14 - Bread Lift]])</f>
        <v>2.5599999999976717</v>
      </c>
      <c r="FR11">
        <f>CJ12-Table2[[#This Row],[PDB - 16 Bread Section]]</f>
        <v>0</v>
      </c>
      <c r="FS11">
        <f>BU12-Table2[[#This Row],[7F1 Donut Production area]]</f>
        <v>197.11999999999534</v>
      </c>
      <c r="FT11">
        <f>CB12-Table2[[#This Row],[8F5 Donut Ban Bary]]</f>
        <v>21.19199999999546</v>
      </c>
      <c r="FU11">
        <f>CF12-Table2[[#This Row],[9F4 - PDB 13 - Donut Sink Geyser area]]</f>
        <v>16.912000000011176</v>
      </c>
      <c r="FV11">
        <f>BV12-Table2[[#This Row],[7F2 Flour Silo]]</f>
        <v>381.76000000000931</v>
      </c>
      <c r="FW11">
        <f>BY12-Table2[[#This Row],[8F2 ACPDB - 3 SILO Ventilation]]</f>
        <v>32.335999999981141</v>
      </c>
      <c r="FX11">
        <f>J12-Table2[[#This Row],[DG 1010KVA Running Hours]]</f>
        <v>0.8999999999996362</v>
      </c>
      <c r="FY11">
        <f>K12-Table2[[#This Row],[DG 1010 KVA Meter Reading]]</f>
        <v>284</v>
      </c>
      <c r="FZ11">
        <f>L12-Table2[[#This Row],[GG 1010 KVA Running Hours]]</f>
        <v>1</v>
      </c>
      <c r="GA11">
        <f>M12-Table2[[#This Row],[GG 1010 KVA Meter Reading]]</f>
        <v>0.43000000000000682</v>
      </c>
    </row>
    <row r="12" spans="1:183" x14ac:dyDescent="0.35">
      <c r="A12" s="1">
        <v>55</v>
      </c>
      <c r="B12" s="2">
        <v>46244.410185185188</v>
      </c>
      <c r="C12" s="2">
        <v>46244.429814814815</v>
      </c>
      <c r="D12" s="1" t="s">
        <v>111</v>
      </c>
      <c r="E12" s="1"/>
      <c r="F12" s="1"/>
      <c r="G12" s="3">
        <v>46243</v>
      </c>
      <c r="H12" s="1" t="s">
        <v>182</v>
      </c>
      <c r="I12" s="5">
        <v>6957.3519999999999</v>
      </c>
      <c r="J12" s="5">
        <v>4275.7</v>
      </c>
      <c r="K12" s="5">
        <v>1777384</v>
      </c>
      <c r="L12" s="5">
        <v>455</v>
      </c>
      <c r="M12" s="5">
        <v>191.71</v>
      </c>
      <c r="N12" s="5">
        <v>1873335.2</v>
      </c>
      <c r="O12" s="5">
        <v>4607967.3600000003</v>
      </c>
      <c r="P12" s="5">
        <v>647736</v>
      </c>
      <c r="Q12" s="5">
        <v>8103832.96</v>
      </c>
      <c r="R12" s="5">
        <v>5569121.2800000003</v>
      </c>
      <c r="S12" s="5">
        <v>7379379.8399999999</v>
      </c>
      <c r="T12" s="5">
        <v>42819190.401000001</v>
      </c>
      <c r="U12" s="5">
        <v>2109366.08</v>
      </c>
      <c r="V12" s="5">
        <v>5125147.5199999996</v>
      </c>
      <c r="W12" s="5">
        <v>1595.8226</v>
      </c>
      <c r="X12" s="5">
        <v>775219.45600000001</v>
      </c>
      <c r="Y12" s="5">
        <v>1099843.3600000001</v>
      </c>
      <c r="Z12" s="5">
        <v>2777.8894</v>
      </c>
      <c r="AA12" s="5">
        <v>670074.68799999997</v>
      </c>
      <c r="AB12" s="5">
        <v>421339.64799999999</v>
      </c>
      <c r="AC12" s="5">
        <v>2142894.7200000002</v>
      </c>
      <c r="AD12" s="5">
        <v>2696476.36</v>
      </c>
      <c r="AE12" s="5">
        <v>12839.956</v>
      </c>
      <c r="AF12" s="5">
        <v>878216.96</v>
      </c>
      <c r="AG12" s="5">
        <v>1405.1869999999999</v>
      </c>
      <c r="AH12" s="5">
        <v>133913.21599999999</v>
      </c>
      <c r="AI12" s="5">
        <v>14651.6288</v>
      </c>
      <c r="AJ12" s="5">
        <v>145376.448</v>
      </c>
      <c r="AK12" s="5">
        <v>105303.856</v>
      </c>
      <c r="AL12" s="5">
        <v>330963.39199999999</v>
      </c>
      <c r="AM12" s="5">
        <v>994.55100000000004</v>
      </c>
      <c r="AN12" s="5">
        <v>330.5</v>
      </c>
      <c r="AO12" s="5">
        <v>7.7</v>
      </c>
      <c r="AP12" s="5">
        <v>506434</v>
      </c>
      <c r="AQ12" s="5">
        <v>42377</v>
      </c>
      <c r="AR12" s="5">
        <v>41833</v>
      </c>
      <c r="AS12" s="5">
        <v>32390</v>
      </c>
      <c r="AT12" s="5">
        <v>22105</v>
      </c>
      <c r="AU12" s="5">
        <v>15761</v>
      </c>
      <c r="AV12" s="5">
        <v>6506</v>
      </c>
      <c r="AW12" s="5">
        <v>20.957314</v>
      </c>
      <c r="AX12" s="5">
        <v>7249.607</v>
      </c>
      <c r="AY12" s="5">
        <v>679.69856000000004</v>
      </c>
      <c r="AZ12" s="5">
        <v>20.788</v>
      </c>
      <c r="BA12" s="5">
        <v>10495</v>
      </c>
      <c r="BB12" s="5">
        <v>45.021999999999998</v>
      </c>
      <c r="BC12" s="5">
        <v>113989.152</v>
      </c>
      <c r="BD12" s="5">
        <v>276274.97600000002</v>
      </c>
      <c r="BE12" s="5">
        <v>3732.8663999999999</v>
      </c>
      <c r="BF12" s="5">
        <v>1712.0419999999999</v>
      </c>
      <c r="BG12" s="5">
        <v>75.209999999999994</v>
      </c>
      <c r="BH12" s="5">
        <v>366.82900000000001</v>
      </c>
      <c r="BI12" s="5">
        <v>919.03800000000001</v>
      </c>
      <c r="BJ12" s="5">
        <v>14.952</v>
      </c>
      <c r="BK12" s="5">
        <v>565.846</v>
      </c>
      <c r="BL12" s="5">
        <v>73795.564799999993</v>
      </c>
      <c r="BM12" s="5">
        <v>311656.38400000002</v>
      </c>
      <c r="BN12" s="5">
        <v>7209.0496000000003</v>
      </c>
      <c r="BO12" s="5">
        <v>53589.132799999999</v>
      </c>
      <c r="BP12" s="5">
        <v>315037.47200000001</v>
      </c>
      <c r="BQ12" s="5">
        <v>326.649</v>
      </c>
      <c r="BR12" s="5">
        <v>181.91399999999999</v>
      </c>
      <c r="BS12" s="5">
        <v>1018424.356</v>
      </c>
      <c r="BT12" s="5">
        <v>1400620.952</v>
      </c>
      <c r="BU12" s="5">
        <v>630542.848</v>
      </c>
      <c r="BV12" s="5">
        <v>1026109.6</v>
      </c>
      <c r="BW12" s="5">
        <v>570290.68799999997</v>
      </c>
      <c r="BX12" s="5">
        <v>1011858.4</v>
      </c>
      <c r="BY12" s="5">
        <v>158065.64799999999</v>
      </c>
      <c r="BZ12" s="5">
        <v>114426.64</v>
      </c>
      <c r="CA12" s="5">
        <v>1244.3534</v>
      </c>
      <c r="CB12" s="5">
        <v>108999.61599999999</v>
      </c>
      <c r="CC12" s="5">
        <v>151519.568</v>
      </c>
      <c r="CD12" s="5">
        <v>447874.49599999998</v>
      </c>
      <c r="CE12" s="5">
        <v>49127.2768</v>
      </c>
      <c r="CF12" s="5">
        <v>156109.872</v>
      </c>
      <c r="CG12" s="5">
        <v>360896.25599999999</v>
      </c>
      <c r="CH12" s="5">
        <v>2385.8710000000001</v>
      </c>
      <c r="CI12" s="5">
        <v>215.58699999999999</v>
      </c>
      <c r="CJ12" s="5">
        <v>1191.5999999999999</v>
      </c>
      <c r="CK12" s="5">
        <v>78.435000000000002</v>
      </c>
      <c r="CL12" s="5">
        <v>737.54899999999998</v>
      </c>
      <c r="CM12" s="5">
        <v>551.4</v>
      </c>
      <c r="CN12" s="5">
        <v>47850.7</v>
      </c>
      <c r="CO12" s="5">
        <v>1656.7619999999999</v>
      </c>
      <c r="CP12" s="5">
        <v>295304.64500000002</v>
      </c>
      <c r="CQ12" s="5">
        <v>3693409.92</v>
      </c>
      <c r="CR12" s="5">
        <v>131712.60800000001</v>
      </c>
      <c r="CS12" s="5">
        <v>516401.79200000002</v>
      </c>
      <c r="CT12" s="5">
        <v>2951827.2209999999</v>
      </c>
      <c r="CU12" s="5">
        <v>300443.82900000003</v>
      </c>
      <c r="CV12" s="5">
        <v>30139.817599999998</v>
      </c>
      <c r="CW12" s="5">
        <v>63054.648000000001</v>
      </c>
      <c r="CX12" s="5">
        <v>33466.092799999999</v>
      </c>
      <c r="CY12" s="5">
        <v>168884.96</v>
      </c>
      <c r="CZ12" s="5">
        <v>218427.424</v>
      </c>
      <c r="DA12" s="5">
        <v>19187.61</v>
      </c>
      <c r="DB12" s="5">
        <v>150989.17000000001</v>
      </c>
      <c r="DC12" s="5">
        <v>3074.53</v>
      </c>
      <c r="DD12" s="5">
        <v>3074.4</v>
      </c>
      <c r="DE12" s="5">
        <v>3102.6</v>
      </c>
      <c r="DF12" s="5">
        <v>0.97799999999999998</v>
      </c>
      <c r="DG12" s="1" t="s">
        <v>217</v>
      </c>
      <c r="DH12" s="4">
        <f>Table2[[#This Row],[Date]]</f>
        <v>46243</v>
      </c>
      <c r="DI12">
        <f>(DD13-Table2[[#This Row],[MWH Total]])*4000</f>
        <v>21079.999999999927</v>
      </c>
      <c r="DJ12">
        <f>(DA13-Table2[[#This Row],[PNG Meter (Outside)]])*2.936</f>
        <v>38.872639999994021</v>
      </c>
      <c r="DK12">
        <f>(DB13-Table2[[#This Row],[PNG Meter (Inside)]])*2.936</f>
        <v>286.69452799996037</v>
      </c>
      <c r="DL12">
        <f>(BH13-Table2[[#This Row],[3F Dough cooler - 2 ]])*1000</f>
        <v>562.00000000001182</v>
      </c>
      <c r="DM12" s="1">
        <f>(BI13-Table2[[#This Row],[3F Dough Cooler- 1]])*1000</f>
        <v>606.9999999999709</v>
      </c>
      <c r="DN12">
        <f>(BJ13-Table2[[#This Row],[4F Dough Production cooling Unit]])*1000</f>
        <v>87.99999999999919</v>
      </c>
      <c r="DO12">
        <f>(BQ13-Table2[[#This Row],[3F2 - PDB 3 - Dough Production Area]])*1000</f>
        <v>283.00000000001546</v>
      </c>
      <c r="DP12">
        <f>(BR13-Table2[[#This Row],[3F3 - PDB 4 - Dough Area]])*1000</f>
        <v>160.00000000002501</v>
      </c>
      <c r="DQ12">
        <f>AC13-Table2[[#This Row],[16F1 Tray washer Panel for Light]]</f>
        <v>843.52000000001863</v>
      </c>
      <c r="DR12">
        <f>CQ13-Table2[[#This Row],[2F1 Tray Washer - 1]]</f>
        <v>1680.6400000001304</v>
      </c>
      <c r="DS12">
        <f>CS13-Table2[[#This Row],[2F5 Destacker]]</f>
        <v>381.63199999998324</v>
      </c>
      <c r="DT12">
        <f>CU13-Table2[[#This Row],[5F1 Metering (TW-2)]]</f>
        <v>305.75</v>
      </c>
      <c r="DU12">
        <f>CV13-Table2[[#This Row],[6F1 Pre soaker Tray washer]]</f>
        <v>5.5520000000033178</v>
      </c>
      <c r="DV12">
        <f>CZ13-Table2[[#This Row],[6F5 Vent tray Storage]]</f>
        <v>84.336000000010245</v>
      </c>
      <c r="DW12">
        <f>I13-Table2[[#This Row],[Popeyes Meter ]]</f>
        <v>16.75</v>
      </c>
      <c r="DX12">
        <f>AZ13-Table2[[#This Row],[2F WH Chiller, Segregation Area]]</f>
        <v>0</v>
      </c>
      <c r="DY12">
        <f>BA13-Table2[[#This Row],[3F1 AC Unit WH dock cooling - 2 Nos]]</f>
        <v>19</v>
      </c>
      <c r="DZ12">
        <f>BB13-Table2[[#This Row],[3F2 AC Unit WH dock cooling - 3 Nos]]</f>
        <v>5.4000000000002046E-2</v>
      </c>
      <c r="EA12">
        <f>(BK13-Table2[[#This Row],[5F WH Perishable]])*1000</f>
        <v>355.99999999999454</v>
      </c>
      <c r="EB12">
        <f>BN13-Table2[[#This Row],[2F3 - PDB 9 - WH Dock Leveler Door ]]</f>
        <v>2.8368000000000393</v>
      </c>
      <c r="EC12">
        <f>BP13-Table2[[#This Row],[3F1 - PDB 5 - WH HSD]]</f>
        <v>127.90399999998044</v>
      </c>
      <c r="ED12">
        <f>BX13-Table2[[#This Row],[8F1 WH Dock AHU - Ventilation]]</f>
        <v>2954.5599999999395</v>
      </c>
      <c r="EE12">
        <f>BZ13-Table2[[#This Row],[8F3 ACPDB - 4 WH Dock air curtain]]</f>
        <v>37.528000000005704</v>
      </c>
      <c r="EF12">
        <f>CA13-Table2[[#This Row],[8F4 WH Light]]</f>
        <v>7.3999999999614374E-3</v>
      </c>
      <c r="EG12">
        <f>CC13-Table2[[#This Row],[9F1 - PDB 10 - WH Dock door &amp; Office]]</f>
        <v>183.82399999999325</v>
      </c>
      <c r="EH12">
        <f>CD13-Table2[[#This Row],[9F2 - PDB 11 - WH flycatchers]]</f>
        <v>149.53600000002189</v>
      </c>
      <c r="EI12">
        <f>CE13-Table2[[#This Row],[9F3 - PDB 12 - Other items]]</f>
        <v>5.1200000001699664E-2</v>
      </c>
      <c r="EJ12">
        <f>CR13-Table2[[#This Row],[2F3 - PDB 1 - Dock 1 to 4 ]]</f>
        <v>106.45600000000559</v>
      </c>
      <c r="EK12">
        <f>BM13-Table2[[#This Row],[2F2 - PDB 3 - WH Truck &amp; Battery Charging]]</f>
        <v>460.63999999995576</v>
      </c>
      <c r="EL12">
        <f>(CK13-Table2[[#This Row],[PDB - 11 Truck Charging]])*1000</f>
        <v>42.000000000001592</v>
      </c>
      <c r="EM12">
        <f>P13-Table2[[#This Row],[5F3 Admin Area]]</f>
        <v>452.80000000004657</v>
      </c>
      <c r="EN12">
        <f>AH13-Table2[[#This Row],[2F5 Main Gate-1 Piller -1]]</f>
        <v>141.36000000001513</v>
      </c>
      <c r="EO12">
        <f>CW13-Table2[[#This Row],[6F2 Ground Floor AC]]</f>
        <v>31.995199999997567</v>
      </c>
      <c r="EP12">
        <f>CX13-Table2[[#This Row],[6F3 ACBD -1 (First floor AC)]]</f>
        <v>0</v>
      </c>
      <c r="EQ12">
        <f>CY13-Table2[[#This Row],[6F4 ACBD - 2 (Second &amp; Third floor AC)]]</f>
        <v>54.975999999995111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590.39999999990687</v>
      </c>
      <c r="EU12">
        <f>(CL13-Table2[[#This Row],[OLD Ck Panel-1]])*1000</f>
        <v>431.00000000004002</v>
      </c>
      <c r="EV12">
        <f>CM13-Table2[[#This Row],[2F4 Old CK Blast (Blue star)]]</f>
        <v>0</v>
      </c>
      <c r="EW12">
        <f>CN13-Table2[[#This Row],[3F6 Old CK Blast (Carrier)]]</f>
        <v>315.40000000000146</v>
      </c>
      <c r="EX12">
        <f>(CO13-Table2[[#This Row],[Old CK Panel -2]])*1000</f>
        <v>854.00000000004184</v>
      </c>
      <c r="EY12">
        <f>N13-Table2[[#This Row],[4F1 Main UPS 1/C -1]]</f>
        <v>1087.1999999999534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39.000000000001478</v>
      </c>
      <c r="FC12">
        <f>BW13-Table2[[#This Row],[7F3 CLC Power Panel]]</f>
        <v>183.87200000009034</v>
      </c>
      <c r="FD12">
        <f>(CI13-Table2[[#This Row],[PDB - 17 CLC Section ]])*1000</f>
        <v>134.00000000001455</v>
      </c>
      <c r="FE12">
        <f>(W13-Table2[[#This Row],[13F3 Water &amp; Lift Old CK]])*1000</f>
        <v>860.00000000012733</v>
      </c>
      <c r="FF12">
        <f>AA13-Table2[[#This Row],[15F2 New ETP Panel]]</f>
        <v>296.89600000006612</v>
      </c>
      <c r="FG12">
        <f>AL13-Table2[[#This Row],[3F4 Old ETP Panel]]</f>
        <v>91.296000000031199</v>
      </c>
      <c r="FH12">
        <f>AF13-Table2[[#This Row],[2F1 RO Plant]]</f>
        <v>666.11200000008103</v>
      </c>
      <c r="FI12">
        <f>AK13-Table2[[#This Row],[3F3 Fire Hydrant Panel]]</f>
        <v>12.063999999998487</v>
      </c>
      <c r="FJ12">
        <f>R13-Table2[[#This Row],[7F1 Freon System Panel]]</f>
        <v>6405.7599999997765</v>
      </c>
      <c r="FK12">
        <f>(AE13-Table2[[#This Row],[21F1 Refrigeration Ammonia]])*1000</f>
        <v>7897.6000000002387</v>
      </c>
      <c r="FL12">
        <f>(AG13-Table2[[#This Row],[2F3 Air Compressor]])*1000</f>
        <v>1831.000000000131</v>
      </c>
      <c r="FM12">
        <f>(AX13-Table2[[#This Row],[Solar Reading Panel II]])*1000</f>
        <v>4386.9999999997162</v>
      </c>
      <c r="FN12">
        <f>AI13-Table2[[#This Row],[3F1 Maintenance Workshop]]</f>
        <v>8.7151999999987311</v>
      </c>
      <c r="FO12">
        <f>BD13-Table2[[#This Row],[4F B2B unit ]]</f>
        <v>81.759999999951106</v>
      </c>
      <c r="FP12">
        <f>BL13-Table2[[#This Row],[2F1 - PDB 6 - Bread, B2B section]]</f>
        <v>107.13600000001315</v>
      </c>
      <c r="FQ12">
        <f>(CG13-Table2[[#This Row],[9F5 - PDB 14 - Bread Lift]])</f>
        <v>4.0320000000065193</v>
      </c>
      <c r="FR12">
        <f>CJ13-Table2[[#This Row],[PDB - 16 Bread Section]]</f>
        <v>0</v>
      </c>
      <c r="FS12">
        <f>BU13-Table2[[#This Row],[7F1 Donut Production area]]</f>
        <v>239.35999999998603</v>
      </c>
      <c r="FT12">
        <f>CB13-Table2[[#This Row],[8F5 Donut Ban Bary]]</f>
        <v>76.264000000010128</v>
      </c>
      <c r="FU12">
        <f>CF13-Table2[[#This Row],[9F4 - PDB 13 - Donut Sink Geyser area]]</f>
        <v>29.456000000005588</v>
      </c>
      <c r="FV12">
        <f>BV13-Table2[[#This Row],[7F2 Flour Silo]]</f>
        <v>560.56000000005588</v>
      </c>
      <c r="FW12">
        <f>BY13-Table2[[#This Row],[8F2 ACPDB - 3 SILO Ventilation]]</f>
        <v>55.312000000005355</v>
      </c>
      <c r="FX12">
        <f>J13-Table2[[#This Row],[DG 1010KVA Running Hours]]</f>
        <v>0.6000000000003638</v>
      </c>
      <c r="FY12">
        <f>K13-Table2[[#This Row],[DG 1010 KVA Meter Reading]]</f>
        <v>186</v>
      </c>
      <c r="FZ12">
        <f>L13-Table2[[#This Row],[GG 1010 KVA Running Hours]]</f>
        <v>1</v>
      </c>
      <c r="GA12">
        <f>M13-Table2[[#This Row],[GG 1010 KVA Meter Reading]]</f>
        <v>9.9999999999994316E-2</v>
      </c>
    </row>
    <row r="13" spans="1:183" x14ac:dyDescent="0.35">
      <c r="A13" s="1">
        <v>56</v>
      </c>
      <c r="B13" s="2">
        <v>46244.429965277777</v>
      </c>
      <c r="C13" s="2">
        <v>46244.471388888887</v>
      </c>
      <c r="D13" s="1" t="s">
        <v>111</v>
      </c>
      <c r="E13" s="1"/>
      <c r="F13" s="1"/>
      <c r="G13" s="3">
        <v>46244</v>
      </c>
      <c r="H13" s="1" t="s">
        <v>182</v>
      </c>
      <c r="I13" s="5">
        <v>6974.1019999999999</v>
      </c>
      <c r="J13" s="5">
        <v>4276.3</v>
      </c>
      <c r="K13" s="5">
        <v>1777570</v>
      </c>
      <c r="L13" s="5">
        <v>456</v>
      </c>
      <c r="M13" s="5">
        <v>191.81</v>
      </c>
      <c r="N13" s="5">
        <v>1874422.4</v>
      </c>
      <c r="O13" s="5">
        <v>4610370.88</v>
      </c>
      <c r="P13" s="5">
        <v>648188.80000000005</v>
      </c>
      <c r="Q13" s="5">
        <v>8107994.2400000002</v>
      </c>
      <c r="R13" s="5">
        <v>5575527.04</v>
      </c>
      <c r="S13" s="5">
        <v>7383014.4000000004</v>
      </c>
      <c r="T13" s="5">
        <v>43280612.443999998</v>
      </c>
      <c r="U13" s="5">
        <v>2110534.56</v>
      </c>
      <c r="V13" s="5">
        <v>5127328.6399999997</v>
      </c>
      <c r="W13" s="5">
        <v>1596.6826000000001</v>
      </c>
      <c r="X13" s="5">
        <v>775510.72</v>
      </c>
      <c r="Y13" s="5">
        <v>1100433.76</v>
      </c>
      <c r="Z13" s="5">
        <v>2777.8894</v>
      </c>
      <c r="AA13" s="5">
        <v>670371.58400000003</v>
      </c>
      <c r="AB13" s="5">
        <v>421352.51199999999</v>
      </c>
      <c r="AC13" s="5">
        <v>2143738.2400000002</v>
      </c>
      <c r="AD13" s="5">
        <v>4114204.2519999999</v>
      </c>
      <c r="AE13" s="5">
        <v>12847.8536</v>
      </c>
      <c r="AF13" s="5">
        <v>878883.07200000004</v>
      </c>
      <c r="AG13" s="5">
        <v>1407.018</v>
      </c>
      <c r="AH13" s="5">
        <v>134054.576</v>
      </c>
      <c r="AI13" s="5">
        <v>14660.343999999999</v>
      </c>
      <c r="AJ13" s="5">
        <v>145379.696</v>
      </c>
      <c r="AK13" s="5">
        <v>105315.92</v>
      </c>
      <c r="AL13" s="5">
        <v>331054.68800000002</v>
      </c>
      <c r="AM13" s="5">
        <v>995.30200000000002</v>
      </c>
      <c r="AN13" s="5">
        <v>316</v>
      </c>
      <c r="AO13" s="5">
        <v>7.2</v>
      </c>
      <c r="AP13" s="5">
        <v>518980</v>
      </c>
      <c r="AQ13" s="5">
        <v>42407</v>
      </c>
      <c r="AR13" s="5">
        <v>41862</v>
      </c>
      <c r="AS13" s="5">
        <v>32390</v>
      </c>
      <c r="AT13" s="5">
        <v>22106</v>
      </c>
      <c r="AU13" s="5">
        <v>15790</v>
      </c>
      <c r="AV13" s="5">
        <v>6522</v>
      </c>
      <c r="AW13" s="5">
        <v>20.965074000000001</v>
      </c>
      <c r="AX13" s="5">
        <v>7253.9939999999997</v>
      </c>
      <c r="AY13" s="5">
        <v>679.84208000000001</v>
      </c>
      <c r="AZ13" s="5">
        <v>20.788</v>
      </c>
      <c r="BA13" s="5">
        <v>10514</v>
      </c>
      <c r="BB13" s="5">
        <v>45.076000000000001</v>
      </c>
      <c r="BC13" s="5">
        <v>113989.152</v>
      </c>
      <c r="BD13" s="5">
        <v>276356.73599999998</v>
      </c>
      <c r="BE13" s="5">
        <v>3734.5868</v>
      </c>
      <c r="BF13" s="5">
        <v>1712.0419999999999</v>
      </c>
      <c r="BG13" s="5">
        <v>75.248999999999995</v>
      </c>
      <c r="BH13" s="5">
        <v>367.39100000000002</v>
      </c>
      <c r="BI13" s="5">
        <v>919.64499999999998</v>
      </c>
      <c r="BJ13" s="5">
        <v>15.04</v>
      </c>
      <c r="BK13" s="5">
        <v>566.202</v>
      </c>
      <c r="BL13" s="5">
        <v>73902.700800000006</v>
      </c>
      <c r="BM13" s="5">
        <v>312117.02399999998</v>
      </c>
      <c r="BN13" s="5">
        <v>7211.8864000000003</v>
      </c>
      <c r="BO13" s="5">
        <v>53589.132799999999</v>
      </c>
      <c r="BP13" s="5">
        <v>315165.37599999999</v>
      </c>
      <c r="BQ13" s="5">
        <v>326.93200000000002</v>
      </c>
      <c r="BR13" s="5">
        <v>182.07400000000001</v>
      </c>
      <c r="BS13" s="5">
        <v>1019630.561</v>
      </c>
      <c r="BT13" s="5">
        <v>1400621.537</v>
      </c>
      <c r="BU13" s="5">
        <v>630782.20799999998</v>
      </c>
      <c r="BV13" s="5">
        <v>1026670.16</v>
      </c>
      <c r="BW13" s="5">
        <v>570474.56000000006</v>
      </c>
      <c r="BX13" s="5">
        <v>1014812.96</v>
      </c>
      <c r="BY13" s="5">
        <v>158120.95999999999</v>
      </c>
      <c r="BZ13" s="5">
        <v>114464.16800000001</v>
      </c>
      <c r="CA13" s="5">
        <v>1244.3607999999999</v>
      </c>
      <c r="CB13" s="5">
        <v>109075.88</v>
      </c>
      <c r="CC13" s="5">
        <v>151703.39199999999</v>
      </c>
      <c r="CD13" s="5">
        <v>448024.03200000001</v>
      </c>
      <c r="CE13" s="5">
        <v>49127.328000000001</v>
      </c>
      <c r="CF13" s="5">
        <v>156139.32800000001</v>
      </c>
      <c r="CG13" s="5">
        <v>360900.288</v>
      </c>
      <c r="CH13" s="5">
        <v>2385.8710000000001</v>
      </c>
      <c r="CI13" s="5">
        <v>215.721</v>
      </c>
      <c r="CJ13" s="5">
        <v>1191.5999999999999</v>
      </c>
      <c r="CK13" s="5">
        <v>78.477000000000004</v>
      </c>
      <c r="CL13" s="5">
        <v>737.98</v>
      </c>
      <c r="CM13" s="5">
        <v>551.4</v>
      </c>
      <c r="CN13" s="5">
        <v>48166.1</v>
      </c>
      <c r="CO13" s="5">
        <v>1657.616</v>
      </c>
      <c r="CP13" s="5">
        <v>295451.30900000001</v>
      </c>
      <c r="CQ13" s="5">
        <v>3695090.56</v>
      </c>
      <c r="CR13" s="5">
        <v>131819.06400000001</v>
      </c>
      <c r="CS13" s="5">
        <v>516783.424</v>
      </c>
      <c r="CT13" s="5">
        <v>2955800.4539999999</v>
      </c>
      <c r="CU13" s="5">
        <v>300749.57900000003</v>
      </c>
      <c r="CV13" s="5">
        <v>30145.369600000002</v>
      </c>
      <c r="CW13" s="5">
        <v>63086.643199999999</v>
      </c>
      <c r="CX13" s="5">
        <v>33466.092799999999</v>
      </c>
      <c r="CY13" s="5">
        <v>168939.93599999999</v>
      </c>
      <c r="CZ13" s="5">
        <v>218511.76</v>
      </c>
      <c r="DA13" s="5">
        <v>19200.849999999999</v>
      </c>
      <c r="DB13" s="5">
        <v>151086.818</v>
      </c>
      <c r="DC13" s="5">
        <v>3079.8</v>
      </c>
      <c r="DD13" s="5">
        <v>3079.67</v>
      </c>
      <c r="DE13" s="5">
        <v>3108.02</v>
      </c>
      <c r="DF13" s="5">
        <v>0.98899999999999999</v>
      </c>
      <c r="DG13" s="1" t="s">
        <v>231</v>
      </c>
      <c r="DH13" s="4">
        <f>Table2[[#This Row],[Date]]</f>
        <v>46244</v>
      </c>
      <c r="DI13">
        <f>(DD14-Table2[[#This Row],[MWH Total]])*4000</f>
        <v>26719.999999999345</v>
      </c>
      <c r="DJ13">
        <f>(DA14-Table2[[#This Row],[PNG Meter (Outside)]])*2.936</f>
        <v>8.7786400000046996</v>
      </c>
      <c r="DK13">
        <f>(DB14-Table2[[#This Row],[PNG Meter (Inside)]])*2.936</f>
        <v>321.49200000000002</v>
      </c>
      <c r="DL13">
        <f>(BH14-Table2[[#This Row],[3F Dough cooler - 2 ]])*1000</f>
        <v>430.99999999998317</v>
      </c>
      <c r="DM13">
        <f>(BI14-Table2[[#This Row],[3F Dough Cooler- 1]])*1000</f>
        <v>273.00000000002456</v>
      </c>
      <c r="DN13">
        <f>(BJ14-Table2[[#This Row],[4F Dough Production cooling Unit]])*1000</f>
        <v>57.000000000000384</v>
      </c>
      <c r="DO13">
        <f>(BQ14-Table2[[#This Row],[3F2 - PDB 3 - Dough Production Area]])*1000</f>
        <v>276.99999999998681</v>
      </c>
      <c r="DP13">
        <f>(BR14-Table2[[#This Row],[3F3 - PDB 4 - Dough Area]])*1000</f>
        <v>155.99999999997749</v>
      </c>
      <c r="DQ13">
        <f>AC14-Table2[[#This Row],[16F1 Tray washer Panel for Light]]</f>
        <v>677.27999999979511</v>
      </c>
      <c r="DR13">
        <f>CQ14-Table2[[#This Row],[2F1 Tray Washer - 1]]</f>
        <v>1414.0800000000745</v>
      </c>
      <c r="DS13">
        <f>CS14-Table2[[#This Row],[2F5 Destacker]]</f>
        <v>248.60800000000745</v>
      </c>
      <c r="DT13">
        <f>CU14-Table2[[#This Row],[5F1 Metering (TW-2)]]</f>
        <v>400.29399999999441</v>
      </c>
      <c r="DU13">
        <f>CV14-Table2[[#This Row],[6F1 Pre soaker Tray washer]]</f>
        <v>31.555199999998877</v>
      </c>
      <c r="DV13">
        <f>CZ14-Table2[[#This Row],[6F5 Vent tray Storage]]</f>
        <v>76.207999999984168</v>
      </c>
      <c r="DW13">
        <f>I14-Table2[[#This Row],[Popeyes Meter ]]</f>
        <v>60.110000000000582</v>
      </c>
      <c r="DX13">
        <f>AZ14-Table2[[#This Row],[2F WH Chiller, Segregation Area]]</f>
        <v>0</v>
      </c>
      <c r="DY13">
        <f>BA14-Table2[[#This Row],[3F1 AC Unit WH dock cooling - 2 Nos]]</f>
        <v>27</v>
      </c>
      <c r="DZ13">
        <f>BB14-Table2[[#This Row],[3F2 AC Unit WH dock cooling - 3 Nos]]</f>
        <v>4.8999999999999488E-2</v>
      </c>
      <c r="EA13">
        <f>(BK14-Table2[[#This Row],[5F WH Perishable]])*1000</f>
        <v>282.00000000003911</v>
      </c>
      <c r="EB13">
        <f>BN14-Table2[[#This Row],[2F3 - PDB 9 - WH Dock Leveler Door ]]</f>
        <v>2.2263999999995576</v>
      </c>
      <c r="EC13">
        <f>BP14-Table2[[#This Row],[3F1 - PDB 5 - WH HSD]]</f>
        <v>99.232000000018161</v>
      </c>
      <c r="ED13">
        <f>BX14-Table2[[#This Row],[8F1 WH Dock AHU - Ventilation]]</f>
        <v>2274.3200000000652</v>
      </c>
      <c r="EE13">
        <f>BZ14-Table2[[#This Row],[8F3 ACPDB - 4 WH Dock air curtain]]</f>
        <v>29.255999999993946</v>
      </c>
      <c r="EF13">
        <f>CA14-Table2[[#This Row],[8F4 WH Light]]</f>
        <v>0</v>
      </c>
      <c r="EG13">
        <f>CC14-Table2[[#This Row],[9F1 - PDB 10 - WH Dock door &amp; Office]]</f>
        <v>132.68799999999464</v>
      </c>
      <c r="EH13">
        <f>CD14-Table2[[#This Row],[9F2 - PDB 11 - WH flycatchers]]</f>
        <v>216.76799999998184</v>
      </c>
      <c r="EI13">
        <f>CE14-Table2[[#This Row],[9F3 - PDB 12 - Other items]]</f>
        <v>4.438399999999092</v>
      </c>
      <c r="EJ13">
        <f>CR14-Table2[[#This Row],[2F3 - PDB 1 - Dock 1 to 4 ]]</f>
        <v>66.015999999974156</v>
      </c>
      <c r="EK13">
        <f>BM14-Table2[[#This Row],[2F2 - PDB 3 - WH Truck &amp; Battery Charging]]</f>
        <v>351.93600000004517</v>
      </c>
      <c r="EL13">
        <f>(CK14-Table2[[#This Row],[PDB - 11 Truck Charging]])*1000</f>
        <v>46.999999999997044</v>
      </c>
      <c r="EM13">
        <f>P14-Table2[[#This Row],[5F3 Admin Area]]</f>
        <v>387.07199999992736</v>
      </c>
      <c r="EN13">
        <f>AH14-Table2[[#This Row],[2F5 Main Gate-1 Piller -1]]</f>
        <v>111.01600000000326</v>
      </c>
      <c r="EO13">
        <f>CW14-Table2[[#This Row],[6F2 Ground Floor AC]]</f>
        <v>29.024000000004889</v>
      </c>
      <c r="EP13">
        <f>CX14-Table2[[#This Row],[6F3 ACBD -1 (First floor AC)]]</f>
        <v>0</v>
      </c>
      <c r="EQ13">
        <f>CY14-Table2[[#This Row],[6F4 ACBD - 2 (Second &amp; Third floor AC)]]</f>
        <v>137.45600000000559</v>
      </c>
      <c r="ER13">
        <f>(BC14-Table2[[#This Row],[4F Old BMC cooling Unit]])</f>
        <v>0.84799999999813735</v>
      </c>
      <c r="ES13">
        <f>BO14-Table2[[#This Row],[2F4 - Old BMC]]</f>
        <v>0</v>
      </c>
      <c r="ET13">
        <f>Y14-Table2[[#This Row],[14F2 New CK]]</f>
        <v>1559.5200000000186</v>
      </c>
      <c r="EU13">
        <f>(CL14-Table2[[#This Row],[OLD Ck Panel-1]])*1000</f>
        <v>658.99999999999181</v>
      </c>
      <c r="EV13">
        <f>CM14-Table2[[#This Row],[2F4 Old CK Blast (Blue star)]]</f>
        <v>0</v>
      </c>
      <c r="EW13">
        <f>CN14-Table2[[#This Row],[3F6 Old CK Blast (Carrier)]]</f>
        <v>535.5</v>
      </c>
      <c r="EX13">
        <f>(CO14-Table2[[#This Row],[Old CK Panel -2]])*1000</f>
        <v>1066.0000000000309</v>
      </c>
      <c r="EY13">
        <f>N14-Table2[[#This Row],[4F1 Main UPS 1/C -1]]</f>
        <v>924.80000000004657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34.000000000006025</v>
      </c>
      <c r="FC13">
        <f>BW14-Table2[[#This Row],[7F3 CLC Power Panel]]</f>
        <v>217.08799999998882</v>
      </c>
      <c r="FD13">
        <f>(CI14-Table2[[#This Row],[PDB - 17 CLC Section ]])*1000</f>
        <v>157.99999999998704</v>
      </c>
      <c r="FE13">
        <f>(W14-Table2[[#This Row],[13F3 Water &amp; Lift Old CK]])*1000</f>
        <v>573.49999999996726</v>
      </c>
      <c r="FF13">
        <f>AA14-Table2[[#This Row],[15F2 New ETP Panel]]</f>
        <v>258.30400000000373</v>
      </c>
      <c r="FG13">
        <f>AL14-Table2[[#This Row],[3F4 Old ETP Panel]]</f>
        <v>71.743999999947846</v>
      </c>
      <c r="FH13">
        <f>AF14-Table2[[#This Row],[2F1 RO Plant]]</f>
        <v>591.80799999996088</v>
      </c>
      <c r="FI13">
        <f>AK14-Table2[[#This Row],[3F3 Fire Hydrant Panel]]</f>
        <v>10.263999999995576</v>
      </c>
      <c r="FJ13">
        <f>R14-Table2[[#This Row],[7F1 Freon System Panel]]</f>
        <v>5464.320000000298</v>
      </c>
      <c r="FK13">
        <f>(AE14-Table2[[#This Row],[21F1 Refrigeration Ammonia]])*1000</f>
        <v>7925.600000000486</v>
      </c>
      <c r="FL13">
        <f>(AG14-Table2[[#This Row],[2F3 Air Compressor]])*1000</f>
        <v>1280.9999999999491</v>
      </c>
      <c r="FM13">
        <f>(AX14-Table2[[#This Row],[Solar Reading Panel II]])*1000</f>
        <v>1703.0000000004293</v>
      </c>
      <c r="FN13">
        <f>AI14-Table2[[#This Row],[3F1 Maintenance Workshop]]</f>
        <v>6.7648000000008324</v>
      </c>
      <c r="FO13">
        <f>BD14-Table2[[#This Row],[4F B2B unit ]]</f>
        <v>37.024000000033993</v>
      </c>
      <c r="FP13">
        <f>BL14-Table2[[#This Row],[2F1 - PDB 6 - Bread, B2B section]]</f>
        <v>174.29119999999239</v>
      </c>
      <c r="FQ13">
        <f>(CG14-Table2[[#This Row],[9F5 - PDB 14 - Bread Lift]])</f>
        <v>3.5520000000251457</v>
      </c>
      <c r="FR13">
        <f>CJ14-Table2[[#This Row],[PDB - 16 Bread Section]]</f>
        <v>0</v>
      </c>
      <c r="FS13">
        <f>BU14-Table2[[#This Row],[7F1 Donut Production area]]</f>
        <v>233.92000000004191</v>
      </c>
      <c r="FT13">
        <f>CB14-Table2[[#This Row],[8F5 Donut Ban Bary]]</f>
        <v>48.855999999999767</v>
      </c>
      <c r="FU13">
        <f>CF14-Table2[[#This Row],[9F4 - PDB 13 - Donut Sink Geyser area]]</f>
        <v>25.423999999999069</v>
      </c>
      <c r="FV13">
        <f>BV14-Table2[[#This Row],[7F2 Flour Silo]]</f>
        <v>463.35999999998603</v>
      </c>
      <c r="FW13">
        <f>BY14-Table2[[#This Row],[8F2 ACPDB - 3 SILO Ventilation]]</f>
        <v>42.543999999994412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57</v>
      </c>
      <c r="B14" s="2">
        <v>46245.406956018516</v>
      </c>
      <c r="C14" s="2">
        <v>46245.445868055554</v>
      </c>
      <c r="D14" s="1" t="s">
        <v>111</v>
      </c>
      <c r="E14" s="1"/>
      <c r="F14" s="1"/>
      <c r="G14" s="3">
        <v>46245</v>
      </c>
      <c r="H14" s="1" t="s">
        <v>182</v>
      </c>
      <c r="I14" s="5">
        <v>7034.2120000000004</v>
      </c>
      <c r="J14" s="5">
        <v>4276.3</v>
      </c>
      <c r="K14" s="5">
        <v>1777570</v>
      </c>
      <c r="L14" s="5">
        <v>456</v>
      </c>
      <c r="M14" s="5">
        <v>191.81</v>
      </c>
      <c r="N14" s="5">
        <v>1875347.2</v>
      </c>
      <c r="O14" s="5">
        <v>4612337.5999999996</v>
      </c>
      <c r="P14" s="5">
        <v>648575.87199999997</v>
      </c>
      <c r="Q14" s="5">
        <v>8110879.3600000003</v>
      </c>
      <c r="R14" s="5">
        <v>5580991.3600000003</v>
      </c>
      <c r="S14" s="5">
        <v>7386571.5199999996</v>
      </c>
      <c r="T14" s="5">
        <v>43294685.538999997</v>
      </c>
      <c r="U14" s="5">
        <v>2111687.52</v>
      </c>
      <c r="V14" s="5">
        <v>5129127.3600000003</v>
      </c>
      <c r="W14" s="5">
        <v>1597.2561000000001</v>
      </c>
      <c r="X14" s="5">
        <v>775913.66399999999</v>
      </c>
      <c r="Y14" s="5">
        <v>1101993.28</v>
      </c>
      <c r="Z14" s="5">
        <v>2777.8894</v>
      </c>
      <c r="AA14" s="5">
        <v>670629.88800000004</v>
      </c>
      <c r="AB14" s="5">
        <v>421364.09600000002</v>
      </c>
      <c r="AC14" s="5">
        <v>2144415.52</v>
      </c>
      <c r="AD14" s="5">
        <v>4130104.4389999998</v>
      </c>
      <c r="AE14" s="5">
        <v>12855.779200000001</v>
      </c>
      <c r="AF14" s="5">
        <v>879474.88</v>
      </c>
      <c r="AG14" s="5">
        <v>1408.299</v>
      </c>
      <c r="AH14" s="5">
        <v>134165.592</v>
      </c>
      <c r="AI14" s="5">
        <v>14667.1088</v>
      </c>
      <c r="AJ14" s="5">
        <v>145380.03200000001</v>
      </c>
      <c r="AK14" s="5">
        <v>105326.18399999999</v>
      </c>
      <c r="AL14" s="5">
        <v>331126.43199999997</v>
      </c>
      <c r="AM14" s="5">
        <v>995.93600000000004</v>
      </c>
      <c r="AN14" s="5">
        <v>284.8</v>
      </c>
      <c r="AO14" s="5">
        <v>7</v>
      </c>
      <c r="AP14" s="5">
        <v>529181</v>
      </c>
      <c r="AQ14" s="5">
        <v>42430</v>
      </c>
      <c r="AR14" s="5">
        <v>41885</v>
      </c>
      <c r="AS14" s="5">
        <v>32390</v>
      </c>
      <c r="AT14" s="5">
        <v>22106</v>
      </c>
      <c r="AU14" s="5">
        <v>15813</v>
      </c>
      <c r="AV14" s="5">
        <v>6534</v>
      </c>
      <c r="AW14" s="5">
        <v>20.972818</v>
      </c>
      <c r="AX14" s="5">
        <v>7255.6970000000001</v>
      </c>
      <c r="AY14" s="5">
        <v>680.00152000000003</v>
      </c>
      <c r="AZ14" s="5">
        <v>20.788</v>
      </c>
      <c r="BA14" s="5">
        <v>10541</v>
      </c>
      <c r="BB14" s="5">
        <v>45.125</v>
      </c>
      <c r="BC14" s="5">
        <v>113990</v>
      </c>
      <c r="BD14" s="5">
        <v>276393.76</v>
      </c>
      <c r="BE14" s="5">
        <v>3735.9088000000002</v>
      </c>
      <c r="BF14" s="5">
        <v>1712.0419999999999</v>
      </c>
      <c r="BG14" s="5">
        <v>75.283000000000001</v>
      </c>
      <c r="BH14" s="5">
        <v>367.822</v>
      </c>
      <c r="BI14" s="5">
        <v>919.91800000000001</v>
      </c>
      <c r="BJ14" s="5">
        <v>15.097</v>
      </c>
      <c r="BK14" s="5">
        <v>566.48400000000004</v>
      </c>
      <c r="BL14" s="5">
        <v>74076.991999999998</v>
      </c>
      <c r="BM14" s="5">
        <v>312468.96000000002</v>
      </c>
      <c r="BN14" s="5">
        <v>7214.1127999999999</v>
      </c>
      <c r="BO14" s="5">
        <v>53589.132799999999</v>
      </c>
      <c r="BP14" s="5">
        <v>315264.60800000001</v>
      </c>
      <c r="BQ14" s="5">
        <v>327.209</v>
      </c>
      <c r="BR14" s="5">
        <v>182.23</v>
      </c>
      <c r="BS14" s="5">
        <v>1020775.7169999999</v>
      </c>
      <c r="BT14" s="5">
        <v>1400621.5379999999</v>
      </c>
      <c r="BU14" s="5">
        <v>631016.12800000003</v>
      </c>
      <c r="BV14" s="5">
        <v>1027133.52</v>
      </c>
      <c r="BW14" s="5">
        <v>570691.64800000004</v>
      </c>
      <c r="BX14" s="5">
        <v>1017087.28</v>
      </c>
      <c r="BY14" s="5">
        <v>158163.50399999999</v>
      </c>
      <c r="BZ14" s="5">
        <v>114493.424</v>
      </c>
      <c r="CA14" s="5">
        <v>1244.3607999999999</v>
      </c>
      <c r="CB14" s="5">
        <v>109124.736</v>
      </c>
      <c r="CC14" s="5">
        <v>151836.07999999999</v>
      </c>
      <c r="CD14" s="5">
        <v>448240.8</v>
      </c>
      <c r="CE14" s="5">
        <v>49131.7664</v>
      </c>
      <c r="CF14" s="5">
        <v>156164.75200000001</v>
      </c>
      <c r="CG14" s="5">
        <v>360903.84</v>
      </c>
      <c r="CH14" s="5">
        <v>2385.8710000000001</v>
      </c>
      <c r="CI14" s="5">
        <v>215.87899999999999</v>
      </c>
      <c r="CJ14" s="5">
        <v>1191.5999999999999</v>
      </c>
      <c r="CK14" s="5">
        <v>78.524000000000001</v>
      </c>
      <c r="CL14" s="5">
        <v>738.63900000000001</v>
      </c>
      <c r="CM14" s="5">
        <v>551.4</v>
      </c>
      <c r="CN14" s="5">
        <v>48701.599999999999</v>
      </c>
      <c r="CO14" s="5">
        <v>1658.682</v>
      </c>
      <c r="CP14" s="5">
        <v>295663.57299999997</v>
      </c>
      <c r="CQ14" s="5">
        <v>3696504.64</v>
      </c>
      <c r="CR14" s="5">
        <v>131885.07999999999</v>
      </c>
      <c r="CS14" s="5">
        <v>517032.03200000001</v>
      </c>
      <c r="CT14" s="5">
        <v>2959431.3459999999</v>
      </c>
      <c r="CU14" s="5">
        <v>301149.87300000002</v>
      </c>
      <c r="CV14" s="5">
        <v>30176.924800000001</v>
      </c>
      <c r="CW14" s="5">
        <v>63115.667200000004</v>
      </c>
      <c r="CX14" s="5">
        <v>33466.092799999999</v>
      </c>
      <c r="CY14" s="5">
        <v>169077.39199999999</v>
      </c>
      <c r="CZ14" s="5">
        <v>218587.96799999999</v>
      </c>
      <c r="DA14" s="5">
        <v>19203.84</v>
      </c>
      <c r="DB14" s="5">
        <v>151196.318</v>
      </c>
      <c r="DC14" s="5">
        <v>3086.48</v>
      </c>
      <c r="DD14" s="5">
        <v>3086.35</v>
      </c>
      <c r="DE14" s="5">
        <v>3114.91</v>
      </c>
      <c r="DF14" s="5">
        <v>0.97899999999999998</v>
      </c>
      <c r="DG14" s="1" t="s">
        <v>232</v>
      </c>
      <c r="DH14" s="4">
        <f>Table2[[#This Row],[Date]]</f>
        <v>46245</v>
      </c>
      <c r="DI14">
        <f>(DD15-Table2[[#This Row],[MWH Total]])*4000</f>
        <v>28680.000000000291</v>
      </c>
      <c r="DJ14">
        <f>(DA15-Table2[[#This Row],[PNG Meter (Outside)]])*2.936</f>
        <v>9.5713599999953001</v>
      </c>
      <c r="DK14">
        <f>(DB15-Table2[[#This Row],[PNG Meter (Inside)]])*2.936</f>
        <v>413.26255200003624</v>
      </c>
      <c r="DL14">
        <f>(BH15-Table2[[#This Row],[3F Dough cooler - 2 ]])*1000</f>
        <v>449.00000000001228</v>
      </c>
      <c r="DM14" s="1">
        <f>(BI15-Table2[[#This Row],[3F Dough Cooler- 1]])*1000</f>
        <v>72.999999999979082</v>
      </c>
      <c r="DN14">
        <f>(BJ15-Table2[[#This Row],[4F Dough Production cooling Unit]])*1000</f>
        <v>54.00000000000027</v>
      </c>
      <c r="DO14">
        <f>(BQ15-Table2[[#This Row],[3F2 - PDB 3 - Dough Production Area]])*1000</f>
        <v>264.00000000001</v>
      </c>
      <c r="DP14">
        <f>(BR15-Table2[[#This Row],[3F3 - PDB 4 - Dough Area]])*1000</f>
        <v>159.00000000002024</v>
      </c>
      <c r="DQ14">
        <f>AC15-Table2[[#This Row],[16F1 Tray washer Panel for Light]]</f>
        <v>674.72000000020489</v>
      </c>
      <c r="DR14">
        <f>CQ15-Table2[[#This Row],[2F1 Tray Washer - 1]]</f>
        <v>1389.4399999999441</v>
      </c>
      <c r="DS14">
        <f>CS15-Table2[[#This Row],[2F5 Destacker]]</f>
        <v>364.99199999996927</v>
      </c>
      <c r="DT14">
        <f>CU15-Table2[[#This Row],[5F1 Metering (TW-2)]]</f>
        <v>284.91899999999441</v>
      </c>
      <c r="DU14">
        <f>CV15-Table2[[#This Row],[6F1 Pre soaker Tray washer]]</f>
        <v>3.0527999999976601</v>
      </c>
      <c r="DV14">
        <f>CZ15-Table2[[#This Row],[6F5 Vent tray Storage]]</f>
        <v>82.096000000019558</v>
      </c>
      <c r="DW14">
        <f>I15-Table2[[#This Row],[Popeyes Meter ]]</f>
        <v>15.149999999999636</v>
      </c>
      <c r="DX14">
        <f>AZ15-Table2[[#This Row],[2F WH Chiller, Segregation Area]]</f>
        <v>0</v>
      </c>
      <c r="DY14" s="1">
        <f>BA15-Table2[[#This Row],[3F1 AC Unit WH dock cooling - 2 Nos]]</f>
        <v>29</v>
      </c>
      <c r="DZ14">
        <f>BB15-Table2[[#This Row],[3F2 AC Unit WH dock cooling - 3 Nos]]</f>
        <v>4.2999999999999261E-2</v>
      </c>
      <c r="EA14">
        <f>(BK15-Table2[[#This Row],[5F WH Perishable]])*1000</f>
        <v>288.00000000001091</v>
      </c>
      <c r="EB14">
        <f>BN15-Table2[[#This Row],[2F3 - PDB 9 - WH Dock Leveler Door ]]</f>
        <v>2.2615999999998166</v>
      </c>
      <c r="EC14">
        <f>BP15-Table2[[#This Row],[3F1 - PDB 5 - WH HSD]]</f>
        <v>108.96000000002095</v>
      </c>
      <c r="ED14">
        <f>BX15-Table2[[#This Row],[8F1 WH Dock AHU - Ventilation]]</f>
        <v>2325.1999999999534</v>
      </c>
      <c r="EE14">
        <f>BZ15-Table2[[#This Row],[8F3 ACPDB - 4 WH Dock air curtain]]</f>
        <v>28.872000000003027</v>
      </c>
      <c r="EF14">
        <f>CA15-Table2[[#This Row],[8F4 WH Light]]</f>
        <v>0</v>
      </c>
      <c r="EG14">
        <f>CC15-Table2[[#This Row],[9F1 - PDB 10 - WH Dock door &amp; Office]]</f>
        <v>141.61600000000908</v>
      </c>
      <c r="EH14">
        <f>CD15-Table2[[#This Row],[9F2 - PDB 11 - WH flycatchers]]</f>
        <v>189.24800000002142</v>
      </c>
      <c r="EI14">
        <f>CE15-Table2[[#This Row],[9F3 - PDB 12 - Other items]]</f>
        <v>1.5904000000009546</v>
      </c>
      <c r="EJ14">
        <f>CR15-Table2[[#This Row],[2F3 - PDB 1 - Dock 1 to 4 ]]</f>
        <v>59.312000000005355</v>
      </c>
      <c r="EK14">
        <f>BM15-Table2[[#This Row],[2F2 - PDB 3 - WH Truck &amp; Battery Charging]]</f>
        <v>585.63199999998324</v>
      </c>
      <c r="EL14">
        <f>(CK15-Table2[[#This Row],[PDB - 11 Truck Charging]])*1000</f>
        <v>28.999999999996362</v>
      </c>
      <c r="EM14">
        <f>P15-Table2[[#This Row],[5F3 Admin Area]]</f>
        <v>370.56000000005588</v>
      </c>
      <c r="EN14">
        <f>AH15-Table2[[#This Row],[2F5 Main Gate-1 Piller -1]]</f>
        <v>108.67999999999302</v>
      </c>
      <c r="EO14">
        <f>CW15-Table2[[#This Row],[6F2 Ground Floor AC]]</f>
        <v>32.627199999995355</v>
      </c>
      <c r="EP14">
        <f>CX15-Table2[[#This Row],[6F3 ACBD -1 (First floor AC)]]</f>
        <v>0</v>
      </c>
      <c r="EQ14">
        <f>CY15-Table2[[#This Row],[6F4 ACBD - 2 (Second &amp; Third floor AC)]]</f>
        <v>127.26399999999558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1219.3599999998696</v>
      </c>
      <c r="EU14">
        <f>(CL15-Table2[[#This Row],[OLD Ck Panel-1]])*1000</f>
        <v>644.99999999998181</v>
      </c>
      <c r="EV14">
        <f>CM15-Table2[[#This Row],[2F4 Old CK Blast (Blue star)]]</f>
        <v>0</v>
      </c>
      <c r="EW14">
        <f>CN15-Table2[[#This Row],[3F6 Old CK Blast (Carrier)]]</f>
        <v>580.80000000000291</v>
      </c>
      <c r="EX14">
        <f>(CO15-Table2[[#This Row],[Old CK Panel -2]])*1000</f>
        <v>966.99999999987085</v>
      </c>
      <c r="EY14">
        <f>N15-Table2[[#This Row],[4F1 Main UPS 1/C -1]]</f>
        <v>967.36000000010245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33.999999999991815</v>
      </c>
      <c r="FC14">
        <f>BW15-Table2[[#This Row],[7F3 CLC Power Panel]]</f>
        <v>284.92799999995623</v>
      </c>
      <c r="FD14">
        <f>(CI15-Table2[[#This Row],[PDB - 17 CLC Section ]])*1000</f>
        <v>183.9999999999975</v>
      </c>
      <c r="FE14">
        <f>(W15-Table2[[#This Row],[13F3 Water &amp; Lift Old CK]])*1000</f>
        <v>610.79999999992651</v>
      </c>
      <c r="FF14">
        <f>AA15-Table2[[#This Row],[15F2 New ETP Panel]]</f>
        <v>282.6239999999525</v>
      </c>
      <c r="FG14">
        <f>AL15-Table2[[#This Row],[3F4 Old ETP Panel]]</f>
        <v>58.432000000029802</v>
      </c>
      <c r="FH14">
        <f>AF15-Table2[[#This Row],[2F1 RO Plant]]</f>
        <v>630.71999999997206</v>
      </c>
      <c r="FI14">
        <f>AK15-Table2[[#This Row],[3F3 Fire Hydrant Panel]]</f>
        <v>8.3680000000022119</v>
      </c>
      <c r="FJ14">
        <f>R15-Table2[[#This Row],[7F1 Freon System Panel]]</f>
        <v>5614.0800000000745</v>
      </c>
      <c r="FK14">
        <f>(AE15-Table2[[#This Row],[21F1 Refrigeration Ammonia]])*1000</f>
        <v>7937.5999999992928</v>
      </c>
      <c r="FL14">
        <f>(AG15-Table2[[#This Row],[2F3 Air Compressor]])*1000</f>
        <v>1357.9999999999472</v>
      </c>
      <c r="FM14">
        <f>(AX15-Table2[[#This Row],[Solar Reading Panel II]])*1000</f>
        <v>1823.0000000003201</v>
      </c>
      <c r="FN14">
        <f>AI15-Table2[[#This Row],[3F1 Maintenance Workshop]]</f>
        <v>4.5807999999997264</v>
      </c>
      <c r="FO14">
        <f>BD15-Table2[[#This Row],[4F B2B unit ]]</f>
        <v>79.232000000018161</v>
      </c>
      <c r="FP14">
        <f>BL15-Table2[[#This Row],[2F1 - PDB 6 - Bread, B2B section]]</f>
        <v>301.03040000000328</v>
      </c>
      <c r="FQ14">
        <f>(CG15-Table2[[#This Row],[9F5 - PDB 14 - Bread Lift]])</f>
        <v>4.5119999999878928</v>
      </c>
      <c r="FR14">
        <f>CJ15-Table2[[#This Row],[PDB - 16 Bread Section]]</f>
        <v>0</v>
      </c>
      <c r="FS14">
        <f>BU15-Table2[[#This Row],[7F1 Donut Production area]]</f>
        <v>187.19999999995343</v>
      </c>
      <c r="FT14">
        <f>CB15-Table2[[#This Row],[8F5 Donut Ban Bary]]</f>
        <v>43.063999999998487</v>
      </c>
      <c r="FU14">
        <f>CF15-Table2[[#This Row],[9F4 - PDB 13 - Donut Sink Geyser area]]</f>
        <v>17.135999999998603</v>
      </c>
      <c r="FV14">
        <f>BV15-Table2[[#This Row],[7F2 Flour Silo]]</f>
        <v>707.43999999994412</v>
      </c>
      <c r="FW14">
        <f>BY15-Table2[[#This Row],[8F2 ACPDB - 3 SILO Ventilation]]</f>
        <v>43.216000000014901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58</v>
      </c>
      <c r="B15" s="2">
        <v>46246.402407407404</v>
      </c>
      <c r="C15" s="2">
        <v>46246.444722222222</v>
      </c>
      <c r="D15" s="1" t="s">
        <v>111</v>
      </c>
      <c r="E15" s="1"/>
      <c r="F15" s="1"/>
      <c r="G15" s="3">
        <v>46246</v>
      </c>
      <c r="H15" s="1" t="s">
        <v>182</v>
      </c>
      <c r="I15" s="5">
        <v>7049.3620000000001</v>
      </c>
      <c r="J15" s="5">
        <v>4276.3</v>
      </c>
      <c r="K15" s="5">
        <v>1777570</v>
      </c>
      <c r="L15" s="5">
        <v>456</v>
      </c>
      <c r="M15" s="5">
        <v>191.81</v>
      </c>
      <c r="N15" s="5">
        <v>1876314.56</v>
      </c>
      <c r="O15" s="5">
        <v>4614384</v>
      </c>
      <c r="P15" s="5">
        <v>648946.43200000003</v>
      </c>
      <c r="Q15" s="5">
        <v>8113030.4000000004</v>
      </c>
      <c r="R15" s="5">
        <v>5586605.4400000004</v>
      </c>
      <c r="S15" s="5">
        <v>7390101.1200000001</v>
      </c>
      <c r="T15" s="5">
        <v>43309149.952</v>
      </c>
      <c r="U15" s="5">
        <v>2113273.2799999998</v>
      </c>
      <c r="V15" s="5">
        <v>5130938.88</v>
      </c>
      <c r="W15" s="5">
        <v>1597.8669</v>
      </c>
      <c r="X15" s="5">
        <v>776199.36</v>
      </c>
      <c r="Y15" s="5">
        <v>1103212.6399999999</v>
      </c>
      <c r="Z15" s="5">
        <v>2777.8894</v>
      </c>
      <c r="AA15" s="5">
        <v>670912.51199999999</v>
      </c>
      <c r="AB15" s="5">
        <v>421376.06400000001</v>
      </c>
      <c r="AC15" s="5">
        <v>2145090.2400000002</v>
      </c>
      <c r="AD15" s="5">
        <v>4145955.2209999999</v>
      </c>
      <c r="AE15" s="5">
        <v>12863.7168</v>
      </c>
      <c r="AF15" s="5">
        <v>880105.6</v>
      </c>
      <c r="AG15" s="5">
        <v>1409.6569999999999</v>
      </c>
      <c r="AH15" s="5">
        <v>134274.272</v>
      </c>
      <c r="AI15" s="5">
        <v>14671.6896</v>
      </c>
      <c r="AJ15" s="5">
        <v>145380.03200000001</v>
      </c>
      <c r="AK15" s="5">
        <v>105334.552</v>
      </c>
      <c r="AL15" s="5">
        <v>331184.864</v>
      </c>
      <c r="AM15" s="5">
        <v>996.60799999999995</v>
      </c>
      <c r="AN15" s="5">
        <v>312.3</v>
      </c>
      <c r="AO15" s="5">
        <v>7.1</v>
      </c>
      <c r="AP15" s="5">
        <v>540361</v>
      </c>
      <c r="AQ15" s="5">
        <v>42454</v>
      </c>
      <c r="AR15" s="5">
        <v>41909</v>
      </c>
      <c r="AS15" s="5">
        <v>32390</v>
      </c>
      <c r="AT15" s="5">
        <v>22106</v>
      </c>
      <c r="AU15" s="5">
        <v>15837</v>
      </c>
      <c r="AV15" s="5">
        <v>6549</v>
      </c>
      <c r="AW15" s="5">
        <v>20.980551999999999</v>
      </c>
      <c r="AX15" s="5">
        <v>7257.52</v>
      </c>
      <c r="AY15" s="5">
        <v>680.17376000000002</v>
      </c>
      <c r="AZ15" s="5">
        <v>20.788</v>
      </c>
      <c r="BA15" s="5">
        <v>10570</v>
      </c>
      <c r="BB15" s="5">
        <v>45.167999999999999</v>
      </c>
      <c r="BC15" s="5">
        <v>113990</v>
      </c>
      <c r="BD15" s="5">
        <v>276472.99200000003</v>
      </c>
      <c r="BE15" s="5">
        <v>3737.2636000000002</v>
      </c>
      <c r="BF15" s="5">
        <v>1712.0419999999999</v>
      </c>
      <c r="BG15" s="5">
        <v>75.316999999999993</v>
      </c>
      <c r="BH15" s="5">
        <v>368.27100000000002</v>
      </c>
      <c r="BI15" s="5">
        <v>919.99099999999999</v>
      </c>
      <c r="BJ15" s="5">
        <v>15.151</v>
      </c>
      <c r="BK15" s="5">
        <v>566.77200000000005</v>
      </c>
      <c r="BL15" s="5">
        <v>74378.022400000002</v>
      </c>
      <c r="BM15" s="5">
        <v>313054.592</v>
      </c>
      <c r="BN15" s="5">
        <v>7216.3743999999997</v>
      </c>
      <c r="BO15" s="5">
        <v>53589.132799999999</v>
      </c>
      <c r="BP15" s="5">
        <v>315373.56800000003</v>
      </c>
      <c r="BQ15" s="5">
        <v>327.47300000000001</v>
      </c>
      <c r="BR15" s="5">
        <v>182.38900000000001</v>
      </c>
      <c r="BS15" s="5">
        <v>1022338.2610000001</v>
      </c>
      <c r="BT15" s="5">
        <v>1400621.5390000001</v>
      </c>
      <c r="BU15" s="5">
        <v>631203.32799999998</v>
      </c>
      <c r="BV15" s="5">
        <v>1027840.96</v>
      </c>
      <c r="BW15" s="5">
        <v>570976.576</v>
      </c>
      <c r="BX15" s="5">
        <v>1019412.48</v>
      </c>
      <c r="BY15" s="5">
        <v>158206.72</v>
      </c>
      <c r="BZ15" s="5">
        <v>114522.296</v>
      </c>
      <c r="CA15" s="5">
        <v>1244.3607999999999</v>
      </c>
      <c r="CB15" s="5">
        <v>109167.8</v>
      </c>
      <c r="CC15" s="5">
        <v>151977.696</v>
      </c>
      <c r="CD15" s="5">
        <v>448430.04800000001</v>
      </c>
      <c r="CE15" s="5">
        <v>49133.356800000001</v>
      </c>
      <c r="CF15" s="5">
        <v>156181.88800000001</v>
      </c>
      <c r="CG15" s="5">
        <v>360908.35200000001</v>
      </c>
      <c r="CH15" s="5">
        <v>2385.8710000000001</v>
      </c>
      <c r="CI15" s="5">
        <v>216.06299999999999</v>
      </c>
      <c r="CJ15" s="5">
        <v>1191.5999999999999</v>
      </c>
      <c r="CK15" s="5">
        <v>78.552999999999997</v>
      </c>
      <c r="CL15" s="5">
        <v>739.28399999999999</v>
      </c>
      <c r="CM15" s="5">
        <v>551.4</v>
      </c>
      <c r="CN15" s="5">
        <v>49282.400000000001</v>
      </c>
      <c r="CO15" s="5">
        <v>1659.6489999999999</v>
      </c>
      <c r="CP15" s="5">
        <v>295862.09600000002</v>
      </c>
      <c r="CQ15" s="5">
        <v>3697894.08</v>
      </c>
      <c r="CR15" s="5">
        <v>131944.39199999999</v>
      </c>
      <c r="CS15" s="5">
        <v>517397.02399999998</v>
      </c>
      <c r="CT15" s="5">
        <v>2963027.2</v>
      </c>
      <c r="CU15" s="5">
        <v>301434.79200000002</v>
      </c>
      <c r="CV15" s="5">
        <v>30179.977599999998</v>
      </c>
      <c r="CW15" s="5">
        <v>63148.294399999999</v>
      </c>
      <c r="CX15" s="5">
        <v>33466.092799999999</v>
      </c>
      <c r="CY15" s="5">
        <v>169204.65599999999</v>
      </c>
      <c r="CZ15" s="5">
        <v>218670.06400000001</v>
      </c>
      <c r="DA15" s="5">
        <v>19207.099999999999</v>
      </c>
      <c r="DB15" s="5">
        <v>151337.07500000001</v>
      </c>
      <c r="DC15" s="5">
        <v>3093.65</v>
      </c>
      <c r="DD15" s="5">
        <v>3093.52</v>
      </c>
      <c r="DE15" s="5">
        <v>3122.28</v>
      </c>
      <c r="DF15" s="5">
        <v>0.98899999999999999</v>
      </c>
      <c r="DG15" s="1" t="s">
        <v>212</v>
      </c>
      <c r="DH15" s="4">
        <f>Table2[[#This Row],[Date]]</f>
        <v>46246</v>
      </c>
      <c r="DI15">
        <f>(DD16-Table2[[#This Row],[MWH Total]])*4000</f>
        <v>27680.000000000291</v>
      </c>
      <c r="DJ15">
        <f>(DA16-Table2[[#This Row],[PNG Meter (Outside)]])*2.936</f>
        <v>11.479759999999573</v>
      </c>
      <c r="DK15">
        <f>(DB16-Table2[[#This Row],[PNG Meter (Inside)]])*2.936</f>
        <v>427.45517599995827</v>
      </c>
      <c r="DL15">
        <f>(BH16-Table2[[#This Row],[3F Dough cooler - 2 ]])*1000</f>
        <v>449.99999999998863</v>
      </c>
      <c r="DM15">
        <f>(BI16-Table2[[#This Row],[3F Dough Cooler- 1]])*1000</f>
        <v>96.000000000003638</v>
      </c>
      <c r="DN15">
        <f>(BJ16-Table2[[#This Row],[4F Dough Production cooling Unit]])*1000</f>
        <v>60.999999999999943</v>
      </c>
      <c r="DO15">
        <f>(BQ16-Table2[[#This Row],[3F2 - PDB 3 - Dough Production Area]])*1000</f>
        <v>293.99999999998272</v>
      </c>
      <c r="DP15">
        <f>(BR16-Table2[[#This Row],[3F3 - PDB 4 - Dough Area]])*1000</f>
        <v>170.99999999999227</v>
      </c>
      <c r="DQ15">
        <f>AC16-Table2[[#This Row],[16F1 Tray washer Panel for Light]]</f>
        <v>659.1999999997206</v>
      </c>
      <c r="DR15">
        <f>CQ16-Table2[[#This Row],[2F1 Tray Washer - 1]]</f>
        <v>1405.7599999997765</v>
      </c>
      <c r="DS15">
        <f>CS16-Table2[[#This Row],[2F5 Destacker]]</f>
        <v>382.4320000000298</v>
      </c>
      <c r="DT15">
        <f>CU16-Table2[[#This Row],[5F1 Metering (TW-2)]]</f>
        <v>289.1809999999823</v>
      </c>
      <c r="DU15">
        <f>CV16-Table2[[#This Row],[6F1 Pre soaker Tray washer]]</f>
        <v>3.6832000000031258</v>
      </c>
      <c r="DV15">
        <f>CZ16-Table2[[#This Row],[6F5 Vent tray Storage]]</f>
        <v>68.511999999987893</v>
      </c>
      <c r="DW15">
        <f>I16-Table2[[#This Row],[Popeyes Meter ]]</f>
        <v>58.109999999999673</v>
      </c>
      <c r="DX15">
        <f>AZ16-Table2[[#This Row],[2F WH Chiller, Segregation Area]]</f>
        <v>0</v>
      </c>
      <c r="DY15">
        <f>BA16-Table2[[#This Row],[3F1 AC Unit WH dock cooling - 2 Nos]]</f>
        <v>21</v>
      </c>
      <c r="DZ15">
        <f>BB16-Table2[[#This Row],[3F2 AC Unit WH dock cooling - 3 Nos]]</f>
        <v>4.5999999999999375E-2</v>
      </c>
      <c r="EA15">
        <f>(BK16-Table2[[#This Row],[5F WH Perishable]])*1000</f>
        <v>289.99999999996362</v>
      </c>
      <c r="EB15">
        <f>BN16-Table2[[#This Row],[2F3 - PDB 9 - WH Dock Leveler Door ]]</f>
        <v>2.3304000000007363</v>
      </c>
      <c r="EC15">
        <f>BP16-Table2[[#This Row],[3F1 - PDB 5 - WH HSD]]</f>
        <v>83.391999999992549</v>
      </c>
      <c r="ED15">
        <f>BX16-Table2[[#This Row],[8F1 WH Dock AHU - Ventilation]]</f>
        <v>2319.6800000000512</v>
      </c>
      <c r="EE15">
        <f>BZ16-Table2[[#This Row],[8F3 ACPDB - 4 WH Dock air curtain]]</f>
        <v>37.423999999999069</v>
      </c>
      <c r="EF15">
        <f>CA16-Table2[[#This Row],[8F4 WH Light]]</f>
        <v>0</v>
      </c>
      <c r="EG15">
        <f>CC16-Table2[[#This Row],[9F1 - PDB 10 - WH Dock door &amp; Office]]</f>
        <v>101.90400000000955</v>
      </c>
      <c r="EH15">
        <f>CD16-Table2[[#This Row],[9F2 - PDB 11 - WH flycatchers]]</f>
        <v>214.27199999999721</v>
      </c>
      <c r="EI15">
        <f>CE16-Table2[[#This Row],[9F3 - PDB 12 - Other items]]</f>
        <v>1.4752000000007683</v>
      </c>
      <c r="EJ15">
        <f>CR16-Table2[[#This Row],[2F3 - PDB 1 - Dock 1 to 4 ]]</f>
        <v>63.296000000002095</v>
      </c>
      <c r="EK15">
        <f>BM16-Table2[[#This Row],[2F2 - PDB 3 - WH Truck &amp; Battery Charging]]</f>
        <v>582.20799999998417</v>
      </c>
      <c r="EL15">
        <f>(CK16-Table2[[#This Row],[PDB - 11 Truck Charging]])*1000</f>
        <v>28.000000000005798</v>
      </c>
      <c r="EM15">
        <f>P16-Table2[[#This Row],[5F3 Admin Area]]</f>
        <v>389.43999999994412</v>
      </c>
      <c r="EN15">
        <f>AH16-Table2[[#This Row],[2F5 Main Gate-1 Piller -1]]</f>
        <v>115.95199999999022</v>
      </c>
      <c r="EO15">
        <f>CW16-Table2[[#This Row],[6F2 Ground Floor AC]]</f>
        <v>32.480000000003201</v>
      </c>
      <c r="EP15">
        <f>CX16-Table2[[#This Row],[6F3 ACBD -1 (First floor AC)]]</f>
        <v>0</v>
      </c>
      <c r="EQ15">
        <f>CY16-Table2[[#This Row],[6F4 ACBD - 2 (Second &amp; Third floor AC)]]</f>
        <v>144.01600000000326</v>
      </c>
      <c r="ER15">
        <f>(BC16-Table2[[#This Row],[4F Old BMC cooling Unit]])</f>
        <v>17.639999999999418</v>
      </c>
      <c r="ES15">
        <f>BO16-Table2[[#This Row],[2F4 - Old BMC]]</f>
        <v>0</v>
      </c>
      <c r="ET15">
        <f>Y16-Table2[[#This Row],[14F2 New CK]]</f>
        <v>1604.3200000000652</v>
      </c>
      <c r="EU15">
        <f>(CL16-Table2[[#This Row],[OLD Ck Panel-1]])*1000</f>
        <v>662.00000000003456</v>
      </c>
      <c r="EV15">
        <f>CM16-Table2[[#This Row],[2F4 Old CK Blast (Blue star)]]</f>
        <v>0</v>
      </c>
      <c r="EW15">
        <f>CN16-Table2[[#This Row],[3F6 Old CK Blast (Carrier)]]</f>
        <v>598.29999999999563</v>
      </c>
      <c r="EX15">
        <f>(CO16-Table2[[#This Row],[Old CK Panel -2]])*1000</f>
        <v>933.0000000002201</v>
      </c>
      <c r="EY15">
        <f>N16-Table2[[#This Row],[4F1 Main UPS 1/C -1]]</f>
        <v>993.76000000000931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35.0000000000108</v>
      </c>
      <c r="FC15">
        <f>BW16-Table2[[#This Row],[7F3 CLC Power Panel]]</f>
        <v>221.50399999995716</v>
      </c>
      <c r="FD15">
        <f>(CI16-Table2[[#This Row],[PDB - 17 CLC Section ]])*1000</f>
        <v>142.00000000002433</v>
      </c>
      <c r="FE15">
        <f>(W16-Table2[[#This Row],[13F3 Water &amp; Lift Old CK]])*1000</f>
        <v>1305.2999999999884</v>
      </c>
      <c r="FF15">
        <f>AA16-Table2[[#This Row],[15F2 New ETP Panel]]</f>
        <v>267.90399999998044</v>
      </c>
      <c r="FG15">
        <f>AL16-Table2[[#This Row],[3F4 Old ETP Panel]]</f>
        <v>77.567999999970198</v>
      </c>
      <c r="FH15">
        <f>AF16-Table2[[#This Row],[2F1 RO Plant]]</f>
        <v>586.23999999999069</v>
      </c>
      <c r="FI15">
        <f>AK16-Table2[[#This Row],[3F3 Fire Hydrant Panel]]</f>
        <v>8.9199999999982538</v>
      </c>
      <c r="FJ15">
        <f>R16-Table2[[#This Row],[7F1 Freon System Panel]]</f>
        <v>6083.839999999851</v>
      </c>
      <c r="FK15">
        <f>(AE16-Table2[[#This Row],[21F1 Refrigeration Ammonia]])*1000</f>
        <v>8442.3999999999069</v>
      </c>
      <c r="FL15">
        <f>(AG16-Table2[[#This Row],[2F3 Air Compressor]])*1000</f>
        <v>1365.0000000000091</v>
      </c>
      <c r="FM15">
        <f>(AX16-Table2[[#This Row],[Solar Reading Panel II]])*1000</f>
        <v>3509.0000000000146</v>
      </c>
      <c r="FN15">
        <f>AI16-Table2[[#This Row],[3F1 Maintenance Workshop]]</f>
        <v>6.8256000000001222</v>
      </c>
      <c r="FO15">
        <f>BD16-Table2[[#This Row],[4F B2B unit ]]</f>
        <v>69.087999999988824</v>
      </c>
      <c r="FP15">
        <f>BL16-Table2[[#This Row],[2F1 - PDB 6 - Bread, B2B section]]</f>
        <v>283.88479999999981</v>
      </c>
      <c r="FQ15">
        <f>(CG16-Table2[[#This Row],[9F5 - PDB 14 - Bread Lift]])</f>
        <v>8.5119999999878928</v>
      </c>
      <c r="FR15">
        <f>CJ16-Table2[[#This Row],[PDB - 16 Bread Section]]</f>
        <v>0</v>
      </c>
      <c r="FS15">
        <f>BU16-Table2[[#This Row],[7F1 Donut Production area]]</f>
        <v>243.8399999999674</v>
      </c>
      <c r="FT15">
        <f>CB16-Table2[[#This Row],[8F5 Donut Ban Bary]]</f>
        <v>49</v>
      </c>
      <c r="FU15">
        <f>CF16-Table2[[#This Row],[9F4 - PDB 13 - Donut Sink Geyser area]]</f>
        <v>16.335999999981141</v>
      </c>
      <c r="FV15">
        <f>BV16-Table2[[#This Row],[7F2 Flour Silo]]</f>
        <v>848.96000000007916</v>
      </c>
      <c r="FW15">
        <f>BY16-Table2[[#This Row],[8F2 ACPDB - 3 SILO Ventilation]]</f>
        <v>43.056000000011409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59</v>
      </c>
      <c r="B16" s="2">
        <v>46247.399456018517</v>
      </c>
      <c r="C16" s="2">
        <v>46247.44321759259</v>
      </c>
      <c r="D16" s="1" t="s">
        <v>111</v>
      </c>
      <c r="E16" s="1"/>
      <c r="F16" s="1"/>
      <c r="G16" s="3">
        <v>46247</v>
      </c>
      <c r="H16" s="1" t="s">
        <v>182</v>
      </c>
      <c r="I16" s="5">
        <v>7107.4719999999998</v>
      </c>
      <c r="J16" s="5">
        <v>4276.3</v>
      </c>
      <c r="K16" s="5">
        <v>1777570</v>
      </c>
      <c r="L16" s="5">
        <v>456</v>
      </c>
      <c r="M16" s="5">
        <v>191.81</v>
      </c>
      <c r="N16" s="5">
        <v>1877308.32</v>
      </c>
      <c r="O16" s="5">
        <v>4616450.88</v>
      </c>
      <c r="P16" s="5">
        <v>649335.87199999997</v>
      </c>
      <c r="Q16" s="5">
        <v>8116683.5199999996</v>
      </c>
      <c r="R16" s="5">
        <v>5592689.2800000003</v>
      </c>
      <c r="S16" s="5">
        <v>7393642.2400000002</v>
      </c>
      <c r="T16" s="5">
        <v>43322384.799000002</v>
      </c>
      <c r="U16" s="5">
        <v>2114831.52</v>
      </c>
      <c r="V16" s="5">
        <v>5132800.96</v>
      </c>
      <c r="W16" s="5">
        <v>1599.1722</v>
      </c>
      <c r="X16" s="5">
        <v>776488.70400000003</v>
      </c>
      <c r="Y16" s="5">
        <v>1104816.96</v>
      </c>
      <c r="Z16" s="5">
        <v>2777.8894</v>
      </c>
      <c r="AA16" s="5">
        <v>671180.41599999997</v>
      </c>
      <c r="AB16" s="5">
        <v>421389.02399999998</v>
      </c>
      <c r="AC16" s="5">
        <v>2145749.44</v>
      </c>
      <c r="AD16" s="5">
        <v>4162481.2949999999</v>
      </c>
      <c r="AE16" s="5">
        <v>12872.1592</v>
      </c>
      <c r="AF16" s="5">
        <v>880691.84</v>
      </c>
      <c r="AG16" s="5">
        <v>1411.0219999999999</v>
      </c>
      <c r="AH16" s="5">
        <v>134390.22399999999</v>
      </c>
      <c r="AI16" s="5">
        <v>14678.5152</v>
      </c>
      <c r="AJ16" s="5">
        <v>145380.03200000001</v>
      </c>
      <c r="AK16" s="5">
        <v>105343.47199999999</v>
      </c>
      <c r="AL16" s="5">
        <v>331262.43199999997</v>
      </c>
      <c r="AM16" s="5">
        <v>997.38800000000003</v>
      </c>
      <c r="AN16" s="5">
        <v>225.8</v>
      </c>
      <c r="AO16" s="5">
        <v>7</v>
      </c>
      <c r="AP16" s="5">
        <v>551625</v>
      </c>
      <c r="AQ16" s="5">
        <v>42478</v>
      </c>
      <c r="AR16" s="5">
        <v>41933</v>
      </c>
      <c r="AS16" s="5">
        <v>32390</v>
      </c>
      <c r="AT16" s="5">
        <v>22106</v>
      </c>
      <c r="AU16" s="5">
        <v>15861</v>
      </c>
      <c r="AV16" s="5">
        <v>6563</v>
      </c>
      <c r="AW16" s="5">
        <v>20.988786000000001</v>
      </c>
      <c r="AX16" s="5">
        <v>7261.0290000000005</v>
      </c>
      <c r="AY16" s="5">
        <v>680.33911999999998</v>
      </c>
      <c r="AZ16" s="5">
        <v>20.788</v>
      </c>
      <c r="BA16" s="5">
        <v>10591</v>
      </c>
      <c r="BB16" s="5">
        <v>45.213999999999999</v>
      </c>
      <c r="BC16" s="5">
        <v>114007.64</v>
      </c>
      <c r="BD16" s="5">
        <v>276542.08000000002</v>
      </c>
      <c r="BE16" s="5">
        <v>3738.6419999999998</v>
      </c>
      <c r="BF16" s="5">
        <v>1712.0419999999999</v>
      </c>
      <c r="BG16" s="5">
        <v>75.352000000000004</v>
      </c>
      <c r="BH16" s="5">
        <v>368.721</v>
      </c>
      <c r="BI16" s="5">
        <v>920.08699999999999</v>
      </c>
      <c r="BJ16" s="5">
        <v>15.212</v>
      </c>
      <c r="BK16" s="5">
        <v>567.06200000000001</v>
      </c>
      <c r="BL16" s="5">
        <v>74661.907200000001</v>
      </c>
      <c r="BM16" s="5">
        <v>313636.8</v>
      </c>
      <c r="BN16" s="5">
        <v>7218.7048000000004</v>
      </c>
      <c r="BO16" s="5">
        <v>53589.132799999999</v>
      </c>
      <c r="BP16" s="5">
        <v>315456.96000000002</v>
      </c>
      <c r="BQ16" s="5">
        <v>327.767</v>
      </c>
      <c r="BR16" s="5">
        <v>182.56</v>
      </c>
      <c r="BS16" s="5">
        <v>1023887.942</v>
      </c>
      <c r="BT16" s="5">
        <v>1400621.5390000001</v>
      </c>
      <c r="BU16" s="5">
        <v>631447.16799999995</v>
      </c>
      <c r="BV16" s="5">
        <v>1028689.92</v>
      </c>
      <c r="BW16" s="5">
        <v>571198.07999999996</v>
      </c>
      <c r="BX16" s="5">
        <v>1021732.16</v>
      </c>
      <c r="BY16" s="5">
        <v>158249.77600000001</v>
      </c>
      <c r="BZ16" s="5">
        <v>114559.72</v>
      </c>
      <c r="CA16" s="5">
        <v>1244.3607999999999</v>
      </c>
      <c r="CB16" s="5">
        <v>109216.8</v>
      </c>
      <c r="CC16" s="5">
        <v>152079.6</v>
      </c>
      <c r="CD16" s="5">
        <v>448644.32</v>
      </c>
      <c r="CE16" s="5">
        <v>49134.832000000002</v>
      </c>
      <c r="CF16" s="5">
        <v>156198.22399999999</v>
      </c>
      <c r="CG16" s="5">
        <v>360916.864</v>
      </c>
      <c r="CH16" s="5">
        <v>2385.8710000000001</v>
      </c>
      <c r="CI16" s="5">
        <v>216.20500000000001</v>
      </c>
      <c r="CJ16" s="5">
        <v>1191.5999999999999</v>
      </c>
      <c r="CK16" s="5">
        <v>78.581000000000003</v>
      </c>
      <c r="CL16" s="5">
        <v>739.94600000000003</v>
      </c>
      <c r="CM16" s="5">
        <v>551.4</v>
      </c>
      <c r="CN16" s="5">
        <v>49880.7</v>
      </c>
      <c r="CO16" s="5">
        <v>1660.5820000000001</v>
      </c>
      <c r="CP16" s="5">
        <v>296061.45400000003</v>
      </c>
      <c r="CQ16" s="5">
        <v>3699299.84</v>
      </c>
      <c r="CR16" s="5">
        <v>132007.68799999999</v>
      </c>
      <c r="CS16" s="5">
        <v>517779.45600000001</v>
      </c>
      <c r="CT16" s="5">
        <v>2966631.73</v>
      </c>
      <c r="CU16" s="5">
        <v>301723.973</v>
      </c>
      <c r="CV16" s="5">
        <v>30183.660800000001</v>
      </c>
      <c r="CW16" s="5">
        <v>63180.774400000002</v>
      </c>
      <c r="CX16" s="5">
        <v>33466.092799999999</v>
      </c>
      <c r="CY16" s="5">
        <v>169348.67199999999</v>
      </c>
      <c r="CZ16" s="5">
        <v>218738.576</v>
      </c>
      <c r="DA16" s="5">
        <v>19211.009999999998</v>
      </c>
      <c r="DB16" s="5">
        <v>151482.666</v>
      </c>
      <c r="DC16" s="5">
        <v>3100.57</v>
      </c>
      <c r="DD16" s="5">
        <v>3100.44</v>
      </c>
      <c r="DE16" s="5">
        <v>3129.34</v>
      </c>
      <c r="DF16" s="5">
        <v>0.98099999999999998</v>
      </c>
      <c r="DG16" s="1" t="s">
        <v>183</v>
      </c>
      <c r="DH16" s="4">
        <f>Table2[[#This Row],[Date]]</f>
        <v>46247</v>
      </c>
      <c r="DI16">
        <f>(DD17-Table2[[#This Row],[MWH Total]])*4000</f>
        <v>29119.999999998981</v>
      </c>
      <c r="DJ16">
        <f>(DA17-Table2[[#This Row],[PNG Meter (Outside)]])*2.936</f>
        <v>6.7528000000085449</v>
      </c>
      <c r="DK16">
        <f>(DB17-Table2[[#This Row],[PNG Meter (Inside)]])*2.936</f>
        <v>461.1017360000198</v>
      </c>
      <c r="DL16">
        <f>(BH17-Table2[[#This Row],[3F Dough cooler - 2 ]])*1000</f>
        <v>440.99999999997408</v>
      </c>
      <c r="DM16">
        <f>(BI17-Table2[[#This Row],[3F Dough Cooler- 1]])*1000</f>
        <v>475.99999999999909</v>
      </c>
      <c r="DN16">
        <f>(BJ17-Table2[[#This Row],[4F Dough Production cooling Unit]])*1000</f>
        <v>59.000000000001052</v>
      </c>
      <c r="DO16">
        <f>(BQ17-Table2[[#This Row],[3F2 - PDB 3 - Dough Production Area]])*1000</f>
        <v>302.99999999999727</v>
      </c>
      <c r="DP16">
        <f>(BR17-Table2[[#This Row],[3F3 - PDB 4 - Dough Area]])*1000</f>
        <v>169.00000000001114</v>
      </c>
      <c r="DQ16">
        <f>AC17-Table2[[#This Row],[16F1 Tray washer Panel for Light]]</f>
        <v>637.60000000009313</v>
      </c>
      <c r="DR16">
        <f>CQ17-Table2[[#This Row],[2F1 Tray Washer - 1]]</f>
        <v>1327.0400000000373</v>
      </c>
      <c r="DS16">
        <f>CS17-Table2[[#This Row],[2F5 Destacker]]</f>
        <v>334.88000000000466</v>
      </c>
      <c r="DT16">
        <f>CU17-Table2[[#This Row],[5F1 Metering (TW-2)]]</f>
        <v>308.90700000000652</v>
      </c>
      <c r="DU16">
        <f>CV17-Table2[[#This Row],[6F1 Pre soaker Tray washer]]</f>
        <v>3.6831999999994878</v>
      </c>
      <c r="DV16">
        <f>CZ17-Table2[[#This Row],[6F5 Vent tray Storage]]</f>
        <v>104.63999999998487</v>
      </c>
      <c r="DW16">
        <f>I17-Table2[[#This Row],[Popeyes Meter ]]</f>
        <v>37.680000000000291</v>
      </c>
      <c r="DX16">
        <f>AZ17-Table2[[#This Row],[2F WH Chiller, Segregation Area]]</f>
        <v>0</v>
      </c>
      <c r="DY16">
        <f>BA17-Table2[[#This Row],[3F1 AC Unit WH dock cooling - 2 Nos]]</f>
        <v>28</v>
      </c>
      <c r="DZ16">
        <f>BB17-Table2[[#This Row],[3F2 AC Unit WH dock cooling - 3 Nos]]</f>
        <v>3.6000000000001364E-2</v>
      </c>
      <c r="EA16">
        <f>(BK17-Table2[[#This Row],[5F WH Perishable]])*1000</f>
        <v>230.99999999999454</v>
      </c>
      <c r="EB16">
        <f>BN17-Table2[[#This Row],[2F3 - PDB 9 - WH Dock Leveler Door ]]</f>
        <v>4.9183999999995649</v>
      </c>
      <c r="EC16">
        <f>BP17-Table2[[#This Row],[3F1 - PDB 5 - WH HSD]]</f>
        <v>91.807999999960884</v>
      </c>
      <c r="ED16">
        <f>BX17-Table2[[#This Row],[8F1 WH Dock AHU - Ventilation]]</f>
        <v>2271.1199999999953</v>
      </c>
      <c r="EE16">
        <f>BZ17-Table2[[#This Row],[8F3 ACPDB - 4 WH Dock air curtain]]</f>
        <v>38.263999999995576</v>
      </c>
      <c r="EF16">
        <f>CA17-Table2[[#This Row],[8F4 WH Light]]</f>
        <v>0</v>
      </c>
      <c r="EG16">
        <f>CC17-Table2[[#This Row],[9F1 - PDB 10 - WH Dock door &amp; Office]]</f>
        <v>144.14400000000023</v>
      </c>
      <c r="EH16">
        <f>CD17-Table2[[#This Row],[9F2 - PDB 11 - WH flycatchers]]</f>
        <v>295.03999999997905</v>
      </c>
      <c r="EI16">
        <f>CE17-Table2[[#This Row],[9F3 - PDB 12 - Other items]]</f>
        <v>1.5103999999992084</v>
      </c>
      <c r="EJ16">
        <f>CR17-Table2[[#This Row],[2F3 - PDB 1 - Dock 1 to 4 ]]</f>
        <v>63.391999999992549</v>
      </c>
      <c r="EK16">
        <f>BM17-Table2[[#This Row],[2F2 - PDB 3 - WH Truck &amp; Battery Charging]]</f>
        <v>488.03200000000652</v>
      </c>
      <c r="EL16">
        <f>(CK17-Table2[[#This Row],[PDB - 11 Truck Charging]])*1000</f>
        <v>51.000000000001933</v>
      </c>
      <c r="EM16">
        <f>P17-Table2[[#This Row],[5F3 Admin Area]]</f>
        <v>381.50400000007357</v>
      </c>
      <c r="EN16">
        <f>AH17-Table2[[#This Row],[2F5 Main Gate-1 Piller -1]]</f>
        <v>116.60800000000745</v>
      </c>
      <c r="EO16">
        <f>CW17-Table2[[#This Row],[6F2 Ground Floor AC]]</f>
        <v>32.089599999999336</v>
      </c>
      <c r="EP16">
        <f>CX17-Table2[[#This Row],[6F3 ACBD -1 (First floor AC)]]</f>
        <v>0.29439999999885913</v>
      </c>
      <c r="EQ16">
        <f>CY17-Table2[[#This Row],[6F4 ACBD - 2 (Second &amp; Third floor AC)]]</f>
        <v>127.10400000002119</v>
      </c>
      <c r="ER16">
        <f>(BC17-Table2[[#This Row],[4F Old BMC cooling Unit]])</f>
        <v>8.7200000000011642</v>
      </c>
      <c r="ES16">
        <f>BO17-Table2[[#This Row],[2F4 - Old BMC]]</f>
        <v>0</v>
      </c>
      <c r="ET16">
        <f>Y17-Table2[[#This Row],[14F2 New CK]]</f>
        <v>1480.160000000149</v>
      </c>
      <c r="EU16">
        <f>(CL17-Table2[[#This Row],[OLD Ck Panel-1]])*1000</f>
        <v>688.99999999996453</v>
      </c>
      <c r="EV16">
        <f>CM17-Table2[[#This Row],[2F4 Old CK Blast (Blue star)]]</f>
        <v>0</v>
      </c>
      <c r="EW16">
        <f>CN17-Table2[[#This Row],[3F6 Old CK Blast (Carrier)]]</f>
        <v>587.80000000000291</v>
      </c>
      <c r="EX16">
        <f>(CO17-Table2[[#This Row],[Old CK Panel -2]])*1000</f>
        <v>1247.9999999998199</v>
      </c>
      <c r="EY16">
        <f>N17-Table2[[#This Row],[4F1 Main UPS 1/C -1]]</f>
        <v>980.47999999998137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33.999999999991815</v>
      </c>
      <c r="FC16">
        <f>BW17-Table2[[#This Row],[7F3 CLC Power Panel]]</f>
        <v>201.47200000006706</v>
      </c>
      <c r="FD16">
        <f>(CI17-Table2[[#This Row],[PDB - 17 CLC Section ]])*1000</f>
        <v>121.99999999998568</v>
      </c>
      <c r="FE16">
        <f>(W17-Table2[[#This Row],[13F3 Water &amp; Lift Old CK]])*1000</f>
        <v>721.99999999997999</v>
      </c>
      <c r="FF16">
        <f>AA17-Table2[[#This Row],[15F2 New ETP Panel]]</f>
        <v>282.04800000006799</v>
      </c>
      <c r="FG16">
        <f>AL17-Table2[[#This Row],[3F4 Old ETP Panel]]</f>
        <v>82.336000000010245</v>
      </c>
      <c r="FH16">
        <f>AF17-Table2[[#This Row],[2F1 RO Plant]]</f>
        <v>613.56800000008661</v>
      </c>
      <c r="FI16">
        <f>AK17-Table2[[#This Row],[3F3 Fire Hydrant Panel]]</f>
        <v>8.1440000000002328</v>
      </c>
      <c r="FJ16">
        <f>R17-Table2[[#This Row],[7F1 Freon System Panel]]</f>
        <v>6405.1200000001118</v>
      </c>
      <c r="FK16">
        <f>(AE17-Table2[[#This Row],[21F1 Refrigeration Ammonia]])*1000</f>
        <v>13978.399999999965</v>
      </c>
      <c r="FL16">
        <f>(AG17-Table2[[#This Row],[2F3 Air Compressor]])*1000</f>
        <v>1305.0000000000637</v>
      </c>
      <c r="FM16">
        <f>(AX17-Table2[[#This Row],[Solar Reading Panel II]])*1000</f>
        <v>2444.999999999709</v>
      </c>
      <c r="FN16">
        <f>AI17-Table2[[#This Row],[3F1 Maintenance Workshop]]</f>
        <v>5.5951999999997497</v>
      </c>
      <c r="FO16">
        <f>BD17-Table2[[#This Row],[4F B2B unit ]]</f>
        <v>70.271999999997206</v>
      </c>
      <c r="FP16">
        <f>BL17-Table2[[#This Row],[2F1 - PDB 6 - Bread, B2B section]]</f>
        <v>172.84479999999166</v>
      </c>
      <c r="FQ16">
        <f>(CG17-Table2[[#This Row],[9F5 - PDB 14 - Bread Lift]])</f>
        <v>7.7760000000125729</v>
      </c>
      <c r="FR16">
        <f>CJ17-Table2[[#This Row],[PDB - 16 Bread Section]]</f>
        <v>0</v>
      </c>
      <c r="FS16">
        <f>BU17-Table2[[#This Row],[7F1 Donut Production area]]</f>
        <v>255.16800000006333</v>
      </c>
      <c r="FT16">
        <f>CB17-Table2[[#This Row],[8F5 Donut Ban Bary]]</f>
        <v>41.335999999995693</v>
      </c>
      <c r="FU16">
        <f>CF17-Table2[[#This Row],[9F4 - PDB 13 - Donut Sink Geyser area]]</f>
        <v>15.6480000000156</v>
      </c>
      <c r="FV16">
        <f>BV17-Table2[[#This Row],[7F2 Flour Silo]]</f>
        <v>649.11999999999534</v>
      </c>
      <c r="FW16">
        <f>BY17-Table2[[#This Row],[8F2 ACPDB - 3 SILO Ventilation]]</f>
        <v>42.047999999980675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60</v>
      </c>
      <c r="B17" s="2">
        <v>46248.386030092595</v>
      </c>
      <c r="C17" s="2">
        <v>46248.424907407411</v>
      </c>
      <c r="D17" s="1" t="s">
        <v>111</v>
      </c>
      <c r="E17" s="1"/>
      <c r="F17" s="1"/>
      <c r="G17" s="3">
        <v>46248</v>
      </c>
      <c r="H17" s="1" t="s">
        <v>182</v>
      </c>
      <c r="I17" s="5">
        <v>7145.152</v>
      </c>
      <c r="J17" s="5">
        <v>4276.3</v>
      </c>
      <c r="K17" s="5">
        <v>1777570</v>
      </c>
      <c r="L17" s="5">
        <v>456</v>
      </c>
      <c r="M17" s="5">
        <v>191.81</v>
      </c>
      <c r="N17" s="5">
        <v>1878288.8</v>
      </c>
      <c r="O17" s="5">
        <v>4618479.3600000003</v>
      </c>
      <c r="P17" s="5">
        <v>649717.37600000005</v>
      </c>
      <c r="Q17" s="5">
        <v>8119676.7999999998</v>
      </c>
      <c r="R17" s="5">
        <v>5599094.4000000004</v>
      </c>
      <c r="S17" s="5">
        <v>7397333.7599999998</v>
      </c>
      <c r="T17" s="5">
        <v>43336913.052000001</v>
      </c>
      <c r="U17" s="5">
        <v>2116179.6800000002</v>
      </c>
      <c r="V17" s="5">
        <v>5134526.4000000004</v>
      </c>
      <c r="W17" s="5">
        <v>1599.8942</v>
      </c>
      <c r="X17" s="5">
        <v>776801.66399999999</v>
      </c>
      <c r="Y17" s="5">
        <v>1106297.1200000001</v>
      </c>
      <c r="Z17" s="5">
        <v>2777.8894</v>
      </c>
      <c r="AA17" s="5">
        <v>671462.46400000004</v>
      </c>
      <c r="AB17" s="5">
        <v>421399.84</v>
      </c>
      <c r="AC17" s="5">
        <v>2146387.04</v>
      </c>
      <c r="AD17" s="5">
        <f>AD16+AD16-AD15</f>
        <v>4179007.3689999999</v>
      </c>
      <c r="AE17" s="5">
        <v>12886.1376</v>
      </c>
      <c r="AF17" s="5">
        <v>881305.40800000005</v>
      </c>
      <c r="AG17" s="5">
        <v>1412.327</v>
      </c>
      <c r="AH17" s="5">
        <v>134506.83199999999</v>
      </c>
      <c r="AI17" s="5">
        <v>14684.1104</v>
      </c>
      <c r="AJ17" s="5">
        <v>145380.03200000001</v>
      </c>
      <c r="AK17" s="5">
        <v>105351.61599999999</v>
      </c>
      <c r="AL17" s="5">
        <v>331344.76799999998</v>
      </c>
      <c r="AM17" s="5">
        <v>998.053</v>
      </c>
      <c r="AN17" s="5">
        <v>297.39999999999998</v>
      </c>
      <c r="AO17" s="5">
        <v>7.6</v>
      </c>
      <c r="AP17" s="5">
        <v>562126</v>
      </c>
      <c r="AQ17" s="5">
        <v>42501</v>
      </c>
      <c r="AR17" s="5">
        <v>41957</v>
      </c>
      <c r="AS17" s="5">
        <v>32390</v>
      </c>
      <c r="AT17" s="5">
        <v>22106</v>
      </c>
      <c r="AU17" s="5">
        <v>15885</v>
      </c>
      <c r="AV17" s="5">
        <v>6577</v>
      </c>
      <c r="AW17" s="5">
        <v>20.996562000000001</v>
      </c>
      <c r="AX17" s="5">
        <v>7263.4740000000002</v>
      </c>
      <c r="AY17" s="5">
        <v>680.50984000000005</v>
      </c>
      <c r="AZ17" s="5">
        <v>20.788</v>
      </c>
      <c r="BA17" s="5">
        <v>10619</v>
      </c>
      <c r="BB17" s="5">
        <v>45.25</v>
      </c>
      <c r="BC17" s="5">
        <v>114016.36</v>
      </c>
      <c r="BD17" s="5">
        <v>276612.35200000001</v>
      </c>
      <c r="BE17" s="5">
        <v>3739.9276</v>
      </c>
      <c r="BF17" s="5">
        <v>1712.0419999999999</v>
      </c>
      <c r="BG17" s="5">
        <v>75.385999999999996</v>
      </c>
      <c r="BH17" s="5">
        <v>369.16199999999998</v>
      </c>
      <c r="BI17" s="5">
        <v>920.56299999999999</v>
      </c>
      <c r="BJ17" s="5">
        <v>15.271000000000001</v>
      </c>
      <c r="BK17" s="5">
        <v>567.29300000000001</v>
      </c>
      <c r="BL17" s="5">
        <v>74834.751999999993</v>
      </c>
      <c r="BM17" s="5">
        <v>314124.83199999999</v>
      </c>
      <c r="BN17" s="5">
        <v>7223.6232</v>
      </c>
      <c r="BO17" s="5">
        <v>53589.132799999999</v>
      </c>
      <c r="BP17" s="5">
        <v>315548.76799999998</v>
      </c>
      <c r="BQ17" s="5">
        <v>328.07</v>
      </c>
      <c r="BR17" s="5">
        <v>182.72900000000001</v>
      </c>
      <c r="BS17" s="5">
        <v>1025214.759</v>
      </c>
      <c r="BT17" s="5">
        <v>1400621.54</v>
      </c>
      <c r="BU17" s="5">
        <v>631702.33600000001</v>
      </c>
      <c r="BV17" s="5">
        <v>1029339.04</v>
      </c>
      <c r="BW17" s="5">
        <v>571399.55200000003</v>
      </c>
      <c r="BX17" s="5">
        <v>1024003.28</v>
      </c>
      <c r="BY17" s="5">
        <v>158291.82399999999</v>
      </c>
      <c r="BZ17" s="5">
        <v>114597.984</v>
      </c>
      <c r="CA17" s="5">
        <v>1244.3607999999999</v>
      </c>
      <c r="CB17" s="5">
        <v>109258.136</v>
      </c>
      <c r="CC17" s="5">
        <v>152223.74400000001</v>
      </c>
      <c r="CD17" s="5">
        <v>448939.36</v>
      </c>
      <c r="CE17" s="5">
        <v>49136.342400000001</v>
      </c>
      <c r="CF17" s="5">
        <v>156213.872</v>
      </c>
      <c r="CG17" s="5">
        <v>360924.64</v>
      </c>
      <c r="CH17" s="5">
        <v>2385.8710000000001</v>
      </c>
      <c r="CI17" s="5">
        <v>216.327</v>
      </c>
      <c r="CJ17" s="5">
        <v>1191.5999999999999</v>
      </c>
      <c r="CK17" s="5">
        <v>78.632000000000005</v>
      </c>
      <c r="CL17" s="5">
        <v>740.63499999999999</v>
      </c>
      <c r="CM17" s="5">
        <v>551.4</v>
      </c>
      <c r="CN17" s="5">
        <v>50468.5</v>
      </c>
      <c r="CO17" s="5">
        <v>1661.83</v>
      </c>
      <c r="CP17" s="5">
        <v>296251.69699999999</v>
      </c>
      <c r="CQ17" s="5">
        <v>3700626.88</v>
      </c>
      <c r="CR17" s="5">
        <v>132071.07999999999</v>
      </c>
      <c r="CS17" s="5">
        <v>518114.33600000001</v>
      </c>
      <c r="CT17" s="5">
        <v>2970397.6090000002</v>
      </c>
      <c r="CU17" s="5">
        <v>302032.88</v>
      </c>
      <c r="CV17" s="5">
        <v>30187.344000000001</v>
      </c>
      <c r="CW17" s="5">
        <v>63212.864000000001</v>
      </c>
      <c r="CX17" s="5">
        <v>33466.387199999997</v>
      </c>
      <c r="CY17" s="5">
        <v>169475.77600000001</v>
      </c>
      <c r="CZ17" s="5">
        <v>218843.21599999999</v>
      </c>
      <c r="DA17" s="5">
        <v>19213.310000000001</v>
      </c>
      <c r="DB17" s="5">
        <v>151639.717</v>
      </c>
      <c r="DC17" s="5">
        <v>3107.85</v>
      </c>
      <c r="DD17" s="5">
        <v>3107.72</v>
      </c>
      <c r="DE17" s="5">
        <v>3136.82</v>
      </c>
      <c r="DF17" s="5">
        <v>0.98699999999999999</v>
      </c>
      <c r="DG17" s="1" t="s">
        <v>214</v>
      </c>
      <c r="DH17" s="4">
        <f>Table2[[#This Row],[Date]]</f>
        <v>46248</v>
      </c>
      <c r="DI17">
        <f>(DD18-Table2[[#This Row],[MWH Total]])*4000</f>
        <v>24959.999999999127</v>
      </c>
      <c r="DJ17">
        <f>(DA18-Table2[[#This Row],[PNG Meter (Outside)]])*2.936</f>
        <v>41.603119999994874</v>
      </c>
      <c r="DK17">
        <f>(DB18-Table2[[#This Row],[PNG Meter (Inside)]])*2.936</f>
        <v>1413.4373759999924</v>
      </c>
      <c r="DL17">
        <f>(BH18-Table2[[#This Row],[3F Dough cooler - 2 ]])*1000</f>
        <v>1889.00000000001</v>
      </c>
      <c r="DM17">
        <f>(BI18-Table2[[#This Row],[3F Dough Cooler- 1]])*1000</f>
        <v>2191.0000000000309</v>
      </c>
      <c r="DN17">
        <f>(BJ18-Table2[[#This Row],[4F Dough Production cooling Unit]])*1000</f>
        <v>253.99999999999955</v>
      </c>
      <c r="DO17">
        <f>(BQ18-Table2[[#This Row],[3F2 - PDB 3 - Dough Production Area]])*1000</f>
        <v>1108.9999999999804</v>
      </c>
      <c r="DP17">
        <f>(BR18-Table2[[#This Row],[3F3 - PDB 4 - Dough Area]])*1000</f>
        <v>669.99999999998749</v>
      </c>
      <c r="DQ17">
        <f>AC18-Table2[[#This Row],[16F1 Tray washer Panel for Light]]</f>
        <v>3407.6800000001676</v>
      </c>
      <c r="DR17">
        <f>CQ18-Table2[[#This Row],[2F1 Tray Washer - 1]]</f>
        <v>6322.8799999998882</v>
      </c>
      <c r="DS17">
        <f>CS18-Table2[[#This Row],[2F5 Destacker]]</f>
        <v>1537.5679999999702</v>
      </c>
      <c r="DT17">
        <f>CU18-Table2[[#This Row],[5F1 Metering (TW-2)]]</f>
        <v>1376.4079999999958</v>
      </c>
      <c r="DU17">
        <f>CV18-Table2[[#This Row],[6F1 Pre soaker Tray washer]]</f>
        <v>11.683199999999488</v>
      </c>
      <c r="DV17">
        <f>CZ18-Table2[[#This Row],[6F5 Vent tray Storage]]</f>
        <v>375.2160000000149</v>
      </c>
      <c r="DW17">
        <f>I18-Table2[[#This Row],[Popeyes Meter ]]</f>
        <v>159.60999999999967</v>
      </c>
      <c r="DX17">
        <f>AZ18-Table2[[#This Row],[2F WH Chiller, Segregation Area]]</f>
        <v>0</v>
      </c>
      <c r="DY17">
        <f>BA18-Table2[[#This Row],[3F1 AC Unit WH dock cooling - 2 Nos]]</f>
        <v>96</v>
      </c>
      <c r="DZ17">
        <f>BB18-Table2[[#This Row],[3F2 AC Unit WH dock cooling - 3 Nos]]</f>
        <v>0.2120000000000033</v>
      </c>
      <c r="EA17">
        <f>(BK18-Table2[[#This Row],[5F WH Perishable]])*1000</f>
        <v>1004.9999999999955</v>
      </c>
      <c r="EB17">
        <f>BN18-Table2[[#This Row],[2F3 - PDB 9 - WH Dock Leveler Door ]]</f>
        <v>26.64639999999963</v>
      </c>
      <c r="EC17">
        <f>BP18-Table2[[#This Row],[3F1 - PDB 5 - WH HSD]]</f>
        <v>497.2160000000149</v>
      </c>
      <c r="ED17">
        <f>BX18-Table2[[#This Row],[8F1 WH Dock AHU - Ventilation]]</f>
        <v>11623.599999999977</v>
      </c>
      <c r="EE17">
        <f>BZ18-Table2[[#This Row],[8F3 ACPDB - 4 WH Dock air curtain]]</f>
        <v>151.34399999999732</v>
      </c>
      <c r="EF17">
        <f>CA18-Table2[[#This Row],[8F4 WH Light]]</f>
        <v>0</v>
      </c>
      <c r="EG17">
        <f>CC18-Table2[[#This Row],[9F1 - PDB 10 - WH Dock door &amp; Office]]</f>
        <v>522.63999999998487</v>
      </c>
      <c r="EH17">
        <f>CD18-Table2[[#This Row],[9F2 - PDB 11 - WH flycatchers]]</f>
        <v>852.19200000003912</v>
      </c>
      <c r="EI17">
        <f>CE18-Table2[[#This Row],[9F3 - PDB 12 - Other items]]</f>
        <v>2.6368000000002212</v>
      </c>
      <c r="EJ17">
        <f>CR18-Table2[[#This Row],[2F3 - PDB 1 - Dock 1 to 4 ]]</f>
        <v>305.31200000000536</v>
      </c>
      <c r="EK17">
        <f>BM18-Table2[[#This Row],[2F2 - PDB 3 - WH Truck &amp; Battery Charging]]</f>
        <v>2465.1840000000084</v>
      </c>
      <c r="EL17">
        <f>(CK18-Table2[[#This Row],[PDB - 11 Truck Charging]])*1000</f>
        <v>171.99999999999704</v>
      </c>
      <c r="EM17">
        <f>P18-Table2[[#This Row],[5F3 Admin Area]]</f>
        <v>1872.3839999999618</v>
      </c>
      <c r="EN17">
        <f>AH18-Table2[[#This Row],[2F5 Main Gate-1 Piller -1]]</f>
        <v>565.44000000000233</v>
      </c>
      <c r="EO17">
        <f>CW18-Table2[[#This Row],[6F2 Ground Floor AC]]</f>
        <v>151.96159999999509</v>
      </c>
      <c r="EP17">
        <f>CX18-Table2[[#This Row],[6F3 ACBD -1 (First floor AC)]]</f>
        <v>43.209600000001956</v>
      </c>
      <c r="EQ17">
        <f>CY18-Table2[[#This Row],[6F4 ACBD - 2 (Second &amp; Third floor AC)]]</f>
        <v>595.77599999998347</v>
      </c>
      <c r="ER17">
        <f>(BC18-Table2[[#This Row],[4F Old BMC cooling Unit]])</f>
        <v>8.2079999999987194</v>
      </c>
      <c r="ES17">
        <f>BO18-Table2[[#This Row],[2F4 - Old BMC]]</f>
        <v>0</v>
      </c>
      <c r="ET17">
        <f>Y18-Table2[[#This Row],[14F2 New CK]]</f>
        <v>6514.2399999999907</v>
      </c>
      <c r="EU17">
        <f>(CL18-Table2[[#This Row],[OLD Ck Panel-1]])*1000</f>
        <v>2839.0000000000555</v>
      </c>
      <c r="EV17">
        <f>CM18-Table2[[#This Row],[2F4 Old CK Blast (Blue star)]]</f>
        <v>0</v>
      </c>
      <c r="EW17">
        <f>CN18-Table2[[#This Row],[3F6 Old CK Blast (Carrier)]]</f>
        <v>2243.6999999999971</v>
      </c>
      <c r="EX17">
        <f>(CO18-Table2[[#This Row],[Old CK Panel -2]])*1000</f>
        <v>7418.0000000001201</v>
      </c>
      <c r="EY17">
        <f>N18-Table2[[#This Row],[4F1 Main UPS 1/C -1]]</f>
        <v>4761.1199999998789</v>
      </c>
      <c r="EZ17">
        <f>Z18-Table2[[#This Row],[15F1 Main UPS Panel - I/C - 2]]</f>
        <v>0</v>
      </c>
      <c r="FA17">
        <f>BF18-Table2[[#This Row],[2F CLC -1 AC unit - 2]]</f>
        <v>2.1400000000001</v>
      </c>
      <c r="FB17">
        <f>(BG18-Table2[[#This Row],[2F CLC Anti room]])*1000</f>
        <v>115.00000000000909</v>
      </c>
      <c r="FC17">
        <f>BW18-Table2[[#This Row],[7F3 CLC Power Panel]]</f>
        <v>1038.2719999999972</v>
      </c>
      <c r="FD17">
        <f>(CI18-Table2[[#This Row],[PDB - 17 CLC Section ]])*1000</f>
        <v>668.00000000000637</v>
      </c>
      <c r="FE17">
        <f>(W18-Table2[[#This Row],[13F3 Water &amp; Lift Old CK]])*1000</f>
        <v>3021.8999999999596</v>
      </c>
      <c r="FF17">
        <f>AA18-Table2[[#This Row],[15F2 New ETP Panel]]</f>
        <v>1367.935999999987</v>
      </c>
      <c r="FG17">
        <f>AL18-Table2[[#This Row],[3F4 Old ETP Panel]]</f>
        <v>385.60000000003492</v>
      </c>
      <c r="FH17">
        <f>AF18-Table2[[#This Row],[2F1 RO Plant]]</f>
        <v>2793.3439999999246</v>
      </c>
      <c r="FI17">
        <f>AK18-Table2[[#This Row],[3F3 Fire Hydrant Panel]]</f>
        <v>54.80000000000291</v>
      </c>
      <c r="FJ17">
        <f>R18-Table2[[#This Row],[7F1 Freon System Panel]]</f>
        <v>6405.1200000001118</v>
      </c>
      <c r="FK17">
        <v>13978.399999999965</v>
      </c>
      <c r="FL17">
        <f>(AG18-Table2[[#This Row],[2F3 Air Compressor]])*1000</f>
        <v>6691.0000000000309</v>
      </c>
      <c r="FM17">
        <f>(AX18-Table2[[#This Row],[Solar Reading Panel II]])*1000</f>
        <v>12563.999999999396</v>
      </c>
      <c r="FN17">
        <f>AI18-Table2[[#This Row],[3F1 Maintenance Workshop]]</f>
        <v>23.960000000000946</v>
      </c>
      <c r="FO17">
        <f>BD18-Table2[[#This Row],[4F B2B unit ]]</f>
        <v>205.53599999996368</v>
      </c>
      <c r="FP17">
        <f>BL18-Table2[[#This Row],[2F1 - PDB 6 - Bread, B2B section]]</f>
        <v>763.78240000001097</v>
      </c>
      <c r="FQ17">
        <f>(CG18-Table2[[#This Row],[9F5 - PDB 14 - Bread Lift]])</f>
        <v>14.975999999966007</v>
      </c>
      <c r="FR17">
        <f>CJ18-Table2[[#This Row],[PDB - 16 Bread Section]]</f>
        <v>0</v>
      </c>
      <c r="FS17">
        <f>BU18-Table2[[#This Row],[7F1 Donut Production area]]</f>
        <v>1006.9760000000242</v>
      </c>
      <c r="FT17">
        <f>CB18-Table2[[#This Row],[8F5 Donut Ban Bary]]</f>
        <v>243.38400000000547</v>
      </c>
      <c r="FU17">
        <f>CF18-Table2[[#This Row],[9F4 - PDB 13 - Donut Sink Geyser area]]</f>
        <v>97.199999999982538</v>
      </c>
      <c r="FV17">
        <f>BV18-Table2[[#This Row],[7F2 Flour Silo]]</f>
        <v>3158.4799999999814</v>
      </c>
      <c r="FW17">
        <f>BY18-Table2[[#This Row],[8F2 ACPDB - 3 SILO Ventilation]]</f>
        <v>217.60000000000582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61</v>
      </c>
      <c r="B18" s="2">
        <v>46253.405381944445</v>
      </c>
      <c r="C18" s="2">
        <v>46253.447893518518</v>
      </c>
      <c r="D18" s="1" t="s">
        <v>111</v>
      </c>
      <c r="E18" s="1"/>
      <c r="F18" s="1"/>
      <c r="G18" s="3">
        <v>46253</v>
      </c>
      <c r="H18" s="1" t="s">
        <v>240</v>
      </c>
      <c r="I18" s="5">
        <v>7304.7619999999997</v>
      </c>
      <c r="J18" s="5">
        <v>4276.3</v>
      </c>
      <c r="K18" s="5">
        <v>1777570</v>
      </c>
      <c r="L18" s="5">
        <v>456</v>
      </c>
      <c r="M18" s="5">
        <v>191.81</v>
      </c>
      <c r="N18" s="5">
        <v>1883049.92</v>
      </c>
      <c r="O18" s="5">
        <v>4628503.3600000003</v>
      </c>
      <c r="P18" s="5">
        <v>651589.76</v>
      </c>
      <c r="Q18" s="5">
        <v>8134367.3600000003</v>
      </c>
      <c r="R18" s="5">
        <f>R17+R17-R16</f>
        <v>5605499.5200000005</v>
      </c>
      <c r="S18" s="5">
        <v>7416490.8799999999</v>
      </c>
      <c r="T18" s="5">
        <v>42951555.758000001</v>
      </c>
      <c r="U18" s="5">
        <v>2122328</v>
      </c>
      <c r="V18" s="5">
        <v>5142447.04</v>
      </c>
      <c r="W18" s="5">
        <v>1602.9160999999999</v>
      </c>
      <c r="X18" s="5">
        <v>778168.70400000003</v>
      </c>
      <c r="Y18" s="5">
        <v>1112811.3600000001</v>
      </c>
      <c r="Z18" s="5">
        <v>2777.8894</v>
      </c>
      <c r="AA18" s="5">
        <v>672830.4</v>
      </c>
      <c r="AB18" s="5">
        <v>421454.11200000002</v>
      </c>
      <c r="AC18" s="5">
        <v>2149794.7200000002</v>
      </c>
      <c r="AD18" s="5">
        <v>4249474.4210000001</v>
      </c>
      <c r="AE18" s="5">
        <v>12916.908799999999</v>
      </c>
      <c r="AF18" s="5">
        <v>884098.75199999998</v>
      </c>
      <c r="AG18" s="5">
        <v>1419.018</v>
      </c>
      <c r="AH18" s="5">
        <v>135072.272</v>
      </c>
      <c r="AI18" s="5">
        <v>14708.070400000001</v>
      </c>
      <c r="AJ18" s="5">
        <v>145388.49600000001</v>
      </c>
      <c r="AK18" s="5">
        <v>105406.416</v>
      </c>
      <c r="AL18" s="5">
        <v>331730.36800000002</v>
      </c>
      <c r="AM18" s="5">
        <v>1001.2569999999999</v>
      </c>
      <c r="AN18" s="5">
        <v>296.89999999999998</v>
      </c>
      <c r="AO18" s="5">
        <v>7.1</v>
      </c>
      <c r="AP18" s="5">
        <v>613873</v>
      </c>
      <c r="AQ18" s="5">
        <v>42617</v>
      </c>
      <c r="AR18" s="5">
        <v>42072</v>
      </c>
      <c r="AS18" s="5">
        <v>32390</v>
      </c>
      <c r="AT18" s="5">
        <v>22106</v>
      </c>
      <c r="AU18" s="5">
        <v>16001</v>
      </c>
      <c r="AV18" s="5">
        <v>6642</v>
      </c>
      <c r="AW18" s="5">
        <v>21.032212000000001</v>
      </c>
      <c r="AX18" s="5">
        <v>7276.0379999999996</v>
      </c>
      <c r="AY18" s="5">
        <v>681.14279999999997</v>
      </c>
      <c r="AZ18" s="5">
        <v>20.788</v>
      </c>
      <c r="BA18" s="5">
        <v>10715</v>
      </c>
      <c r="BB18" s="5">
        <v>45.462000000000003</v>
      </c>
      <c r="BC18" s="5">
        <v>114024.568</v>
      </c>
      <c r="BD18" s="5">
        <v>276817.88799999998</v>
      </c>
      <c r="BE18" s="5">
        <v>3745.6352000000002</v>
      </c>
      <c r="BF18" s="5">
        <v>1714.182</v>
      </c>
      <c r="BG18" s="5">
        <v>75.501000000000005</v>
      </c>
      <c r="BH18" s="5">
        <v>371.05099999999999</v>
      </c>
      <c r="BI18" s="5">
        <v>922.75400000000002</v>
      </c>
      <c r="BJ18" s="5">
        <v>15.525</v>
      </c>
      <c r="BK18" s="5">
        <v>568.298</v>
      </c>
      <c r="BL18" s="5">
        <v>75598.534400000004</v>
      </c>
      <c r="BM18" s="5">
        <v>316590.016</v>
      </c>
      <c r="BN18" s="5">
        <v>7250.2695999999996</v>
      </c>
      <c r="BO18" s="5">
        <v>53589.132799999999</v>
      </c>
      <c r="BP18" s="5">
        <v>316045.984</v>
      </c>
      <c r="BQ18" s="5">
        <v>329.17899999999997</v>
      </c>
      <c r="BR18" s="5">
        <v>183.399</v>
      </c>
      <c r="BS18" s="5">
        <v>1031232.601</v>
      </c>
      <c r="BT18" s="5">
        <v>1400623.0090000001</v>
      </c>
      <c r="BU18" s="5">
        <v>632709.31200000003</v>
      </c>
      <c r="BV18" s="5">
        <v>1032497.52</v>
      </c>
      <c r="BW18" s="5">
        <v>572437.82400000002</v>
      </c>
      <c r="BX18" s="5">
        <v>1035626.88</v>
      </c>
      <c r="BY18" s="5">
        <v>158509.424</v>
      </c>
      <c r="BZ18" s="5">
        <v>114749.32799999999</v>
      </c>
      <c r="CA18" s="5">
        <v>1244.3607999999999</v>
      </c>
      <c r="CB18" s="5">
        <v>109501.52</v>
      </c>
      <c r="CC18" s="5">
        <v>152746.38399999999</v>
      </c>
      <c r="CD18" s="5">
        <v>449791.55200000003</v>
      </c>
      <c r="CE18" s="5">
        <v>49138.979200000002</v>
      </c>
      <c r="CF18" s="5">
        <v>156311.07199999999</v>
      </c>
      <c r="CG18" s="5">
        <v>360939.61599999998</v>
      </c>
      <c r="CH18" s="5">
        <v>2385.8710000000001</v>
      </c>
      <c r="CI18" s="5">
        <v>216.995</v>
      </c>
      <c r="CJ18" s="5">
        <v>1191.5999999999999</v>
      </c>
      <c r="CK18" s="5">
        <v>78.804000000000002</v>
      </c>
      <c r="CL18" s="5">
        <v>743.47400000000005</v>
      </c>
      <c r="CM18" s="5">
        <v>551.4</v>
      </c>
      <c r="CN18" s="5">
        <v>52712.2</v>
      </c>
      <c r="CO18" s="5">
        <v>1669.248</v>
      </c>
      <c r="CP18" s="5">
        <v>297262.88799999998</v>
      </c>
      <c r="CQ18" s="5">
        <v>3706949.76</v>
      </c>
      <c r="CR18" s="5">
        <v>132376.39199999999</v>
      </c>
      <c r="CS18" s="5">
        <v>519651.90399999998</v>
      </c>
      <c r="CT18" s="5">
        <v>2989949.6639999999</v>
      </c>
      <c r="CU18" s="5">
        <v>303409.288</v>
      </c>
      <c r="CV18" s="5">
        <v>30199.0272</v>
      </c>
      <c r="CW18" s="5">
        <v>63364.825599999996</v>
      </c>
      <c r="CX18" s="5">
        <v>33509.596799999999</v>
      </c>
      <c r="CY18" s="5">
        <v>170071.552</v>
      </c>
      <c r="CZ18" s="5">
        <v>219218.432</v>
      </c>
      <c r="DA18" s="5">
        <v>19227.48</v>
      </c>
      <c r="DB18" s="5">
        <v>152121.133</v>
      </c>
      <c r="DC18" s="5">
        <v>3140.78</v>
      </c>
      <c r="DD18" s="5">
        <f>DD17+6.24</f>
        <v>3113.9599999999996</v>
      </c>
      <c r="DE18" s="5">
        <v>3170.38</v>
      </c>
      <c r="DF18" s="5">
        <v>0.98899999999999999</v>
      </c>
      <c r="DG18" s="1" t="s">
        <v>215</v>
      </c>
      <c r="DH18" s="4">
        <f>Table2[[#This Row],[Date]]</f>
        <v>46253</v>
      </c>
      <c r="DI18">
        <f>(DD19-Table2[[#This Row],[MWH Total]])*4000</f>
        <v>24920.000000000073</v>
      </c>
      <c r="DJ18">
        <f>(DA19-Table2[[#This Row],[PNG Meter (Outside)]])*2.936</f>
        <v>16.970079999996582</v>
      </c>
      <c r="DK18">
        <f>(DB19-Table2[[#This Row],[PNG Meter (Inside)]])*2.936</f>
        <v>287.04684800003213</v>
      </c>
      <c r="DL18">
        <f>(BH19-Table2[[#This Row],[3F Dough cooler - 2 ]])*1000</f>
        <v>348.00000000001319</v>
      </c>
      <c r="DM18">
        <f>(BI19-Table2[[#This Row],[3F Dough Cooler- 1]])*1000</f>
        <v>478.99999999992815</v>
      </c>
      <c r="DN18">
        <f>(BJ19-Table2[[#This Row],[4F Dough Production cooling Unit]])*1000</f>
        <v>35.999999999999588</v>
      </c>
      <c r="DO18">
        <f>(BQ19-Table2[[#This Row],[3F2 - PDB 3 - Dough Production Area]])*1000</f>
        <v>229.00000000004184</v>
      </c>
      <c r="DP18">
        <f>(BR19-Table2[[#This Row],[3F3 - PDB 4 - Dough Area]])*1000</f>
        <v>151.00000000001046</v>
      </c>
      <c r="DQ18">
        <f>AC19-Table2[[#This Row],[16F1 Tray washer Panel for Light]]</f>
        <v>693.59999999962747</v>
      </c>
      <c r="DR18">
        <f>CQ19-Table2[[#This Row],[2F1 Tray Washer - 1]]</f>
        <v>1179.8400000003166</v>
      </c>
      <c r="DS18">
        <f>CS19-Table2[[#This Row],[2F5 Destacker]]</f>
        <v>346.20800000004238</v>
      </c>
      <c r="DT18">
        <f>CU19-Table2[[#This Row],[5F1 Metering (TW-2)]]</f>
        <v>300.97499999997672</v>
      </c>
      <c r="DU18">
        <f>CV19-Table2[[#This Row],[6F1 Pre soaker Tray washer]]</f>
        <v>2.2943999999988591</v>
      </c>
      <c r="DV18">
        <f>CZ19-Table2[[#This Row],[6F5 Vent tray Storage]]</f>
        <v>97.423999999999069</v>
      </c>
      <c r="DW18">
        <f>I19-Table2[[#This Row],[Popeyes Meter ]]</f>
        <v>72.119999999999891</v>
      </c>
      <c r="DX18">
        <f>AZ19-Table2[[#This Row],[2F WH Chiller, Segregation Area]]</f>
        <v>0</v>
      </c>
      <c r="DY18">
        <f>BA19-Table2[[#This Row],[3F1 AC Unit WH dock cooling - 2 Nos]]</f>
        <v>13</v>
      </c>
      <c r="DZ18">
        <f>BB19-Table2[[#This Row],[3F2 AC Unit WH dock cooling - 3 Nos]]</f>
        <v>3.7999999999996703E-2</v>
      </c>
      <c r="EA18">
        <f>(BK19-Table2[[#This Row],[5F WH Perishable]])*1000</f>
        <v>203.99999999995089</v>
      </c>
      <c r="EB18">
        <f>BN19-Table2[[#This Row],[2F3 - PDB 9 - WH Dock Leveler Door ]]</f>
        <v>5.2120000000004438</v>
      </c>
      <c r="EC18">
        <f>BP19-Table2[[#This Row],[3F1 - PDB 5 - WH HSD]]</f>
        <v>119.84000000002561</v>
      </c>
      <c r="ED18">
        <f>BX19-Table2[[#This Row],[8F1 WH Dock AHU - Ventilation]]</f>
        <v>1469.4399999999441</v>
      </c>
      <c r="EE18">
        <f>BZ19-Table2[[#This Row],[8F3 ACPDB - 4 WH Dock air curtain]]</f>
        <v>42.048000000009779</v>
      </c>
      <c r="EF18">
        <f>CA19-Table2[[#This Row],[8F4 WH Light]]</f>
        <v>0.22870000000011714</v>
      </c>
      <c r="EG18">
        <f>CC19-Table2[[#This Row],[9F1 - PDB 10 - WH Dock door &amp; Office]]</f>
        <v>104.20800000001327</v>
      </c>
      <c r="EH18">
        <f>CD19-Table2[[#This Row],[9F2 - PDB 11 - WH flycatchers]]</f>
        <v>242.87999999994645</v>
      </c>
      <c r="EI18">
        <f>CE19-Table2[[#This Row],[9F3 - PDB 12 - Other items]]</f>
        <v>2.0095999999975902</v>
      </c>
      <c r="EJ18">
        <f>CR19-Table2[[#This Row],[2F3 - PDB 1 - Dock 1 to 4 ]]</f>
        <v>47.592000000004191</v>
      </c>
      <c r="EK18">
        <f>BM19-Table2[[#This Row],[2F2 - PDB 3 - WH Truck &amp; Battery Charging]]</f>
        <v>608.8640000000014</v>
      </c>
      <c r="EL18">
        <f>(CK19-Table2[[#This Row],[PDB - 11 Truck Charging]])*1000</f>
        <v>66.000000000002501</v>
      </c>
      <c r="EM18">
        <f>P19-Table2[[#This Row],[5F3 Admin Area]]</f>
        <v>371.1359999999404</v>
      </c>
      <c r="EN18">
        <f>AH19-Table2[[#This Row],[2F5 Main Gate-1 Piller -1]]</f>
        <v>114.36800000001676</v>
      </c>
      <c r="EO18">
        <f>CW19-Table2[[#This Row],[6F2 Ground Floor AC]]</f>
        <v>31.699200000002747</v>
      </c>
      <c r="EP18">
        <f>CX19-Table2[[#This Row],[6F3 ACBD -1 (First floor AC)]]</f>
        <v>8.4447999999974854</v>
      </c>
      <c r="EQ18">
        <f>CY19-Table2[[#This Row],[6F4 ACBD - 2 (Second &amp; Third floor AC)]]</f>
        <v>120.06400000001304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1825.7600000000093</v>
      </c>
      <c r="EU18">
        <f>(CL19-Table2[[#This Row],[OLD Ck Panel-1]])*1000</f>
        <v>704.99999999992724</v>
      </c>
      <c r="EV18">
        <f>CM19-Table2[[#This Row],[2F4 Old CK Blast (Blue star)]]</f>
        <v>0</v>
      </c>
      <c r="EW18">
        <f>CN19-Table2[[#This Row],[3F6 Old CK Blast (Carrier)]]</f>
        <v>573.60000000000582</v>
      </c>
      <c r="EX18">
        <f>(CO19-Table2[[#This Row],[Old CK Panel -2]])*1000</f>
        <v>1548.9999999999782</v>
      </c>
      <c r="EY18">
        <f>N19-Table2[[#This Row],[4F1 Main UPS 1/C -1]]</f>
        <v>1046.7199999999721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34.999999999996589</v>
      </c>
      <c r="FC18">
        <f>BW19-Table2[[#This Row],[7F3 CLC Power Panel]]</f>
        <v>288.95999999996275</v>
      </c>
      <c r="FD18">
        <f>(CI19-Table2[[#This Row],[PDB - 17 CLC Section ]])*1000</f>
        <v>206.99999999999363</v>
      </c>
      <c r="FE18">
        <f>(W19-Table2[[#This Row],[13F3 Water &amp; Lift Old CK]])*1000</f>
        <v>740.99999999998545</v>
      </c>
      <c r="FF18">
        <f>AA19-Table2[[#This Row],[15F2 New ETP Panel]]</f>
        <v>273.15200000000186</v>
      </c>
      <c r="FG18">
        <f>AL19-Table2[[#This Row],[3F4 Old ETP Panel]]</f>
        <v>70.655999999959022</v>
      </c>
      <c r="FH18">
        <f>AF19-Table2[[#This Row],[2F1 RO Plant]]</f>
        <v>595.45600000000559</v>
      </c>
      <c r="FI18">
        <f>AK19-Table2[[#This Row],[3F3 Fire Hydrant Panel]]</f>
        <v>12.98399999999674</v>
      </c>
      <c r="FJ18">
        <v>5068.160000000149</v>
      </c>
      <c r="FK18">
        <f>(AE19-Table2[[#This Row],[21F1 Refrigeration Ammonia]])*1000</f>
        <v>7752.0000000004075</v>
      </c>
      <c r="FL18">
        <f>(AG19-Table2[[#This Row],[2F3 Air Compressor]])*1000</f>
        <v>1379.9999999998818</v>
      </c>
      <c r="FM18">
        <f>(AX19-Table2[[#This Row],[Solar Reading Panel II]])*1000</f>
        <v>2701.0000000000218</v>
      </c>
      <c r="FN18">
        <f>AI19-Table2[[#This Row],[3F1 Maintenance Workshop]]</f>
        <v>5.3135999999994965</v>
      </c>
      <c r="FO18">
        <f>BD19-Table2[[#This Row],[4F B2B unit ]]</f>
        <v>56.960000000020955</v>
      </c>
      <c r="FP18">
        <f>BL19-Table2[[#This Row],[2F1 - PDB 6 - Bread, B2B section]]</f>
        <v>94.751999999993131</v>
      </c>
      <c r="FQ18">
        <f>(CG19-Table2[[#This Row],[9F5 - PDB 14 - Bread Lift]])</f>
        <v>3.9679999999934807</v>
      </c>
      <c r="FR18">
        <f>CJ19-Table2[[#This Row],[PDB - 16 Bread Section]]</f>
        <v>0</v>
      </c>
      <c r="FS18">
        <f>BU19-Table2[[#This Row],[7F1 Donut Production area]]</f>
        <v>183.87199999997392</v>
      </c>
      <c r="FT18">
        <f>CB19-Table2[[#This Row],[8F5 Donut Ban Bary]]</f>
        <v>48.815999999991618</v>
      </c>
      <c r="FU18">
        <f>CF19-Table2[[#This Row],[9F4 - PDB 13 - Donut Sink Geyser area]]</f>
        <v>23.920000000012806</v>
      </c>
      <c r="FV18">
        <f>BV19-Table2[[#This Row],[7F2 Flour Silo]]</f>
        <v>467.76000000000931</v>
      </c>
      <c r="FW18">
        <f>BY19-Table2[[#This Row],[8F2 ACPDB - 3 SILO Ventilation]]</f>
        <v>42.880000000004657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62</v>
      </c>
      <c r="B19" s="56">
        <v>46254.402060185188</v>
      </c>
      <c r="C19" s="56">
        <v>46254.448622685188</v>
      </c>
      <c r="D19" s="1" t="s">
        <v>111</v>
      </c>
      <c r="E19" s="1"/>
      <c r="F19" s="1"/>
      <c r="G19" s="3">
        <v>46254</v>
      </c>
      <c r="H19" s="1" t="s">
        <v>182</v>
      </c>
      <c r="I19" s="5">
        <v>7376.8819999999996</v>
      </c>
      <c r="J19" s="5">
        <v>4276.3</v>
      </c>
      <c r="K19" s="5">
        <v>1777570</v>
      </c>
      <c r="L19" s="5">
        <v>456</v>
      </c>
      <c r="M19" s="5">
        <v>191.81</v>
      </c>
      <c r="N19" s="5">
        <v>1884096.64</v>
      </c>
      <c r="O19" s="5">
        <v>4630570.88</v>
      </c>
      <c r="P19" s="5">
        <v>651960.89599999995</v>
      </c>
      <c r="Q19" s="5">
        <v>8137201.2800000003</v>
      </c>
      <c r="R19" s="5">
        <v>5633561.5999999996</v>
      </c>
      <c r="S19" s="5">
        <v>7420307.2000000002</v>
      </c>
      <c r="T19" s="5">
        <v>43416915.423</v>
      </c>
      <c r="U19" s="5">
        <v>2123659.6800000002</v>
      </c>
      <c r="V19" s="5">
        <v>5144041.5999999996</v>
      </c>
      <c r="W19" s="5">
        <v>1603.6570999999999</v>
      </c>
      <c r="X19" s="5">
        <v>778470.52800000005</v>
      </c>
      <c r="Y19" s="5">
        <v>1114637.1200000001</v>
      </c>
      <c r="Z19" s="5">
        <v>2777.8894</v>
      </c>
      <c r="AA19" s="5">
        <v>673103.55200000003</v>
      </c>
      <c r="AB19" s="5">
        <v>421464.25599999999</v>
      </c>
      <c r="AC19" s="5">
        <v>2150488.3199999998</v>
      </c>
      <c r="AD19" s="5">
        <v>4264829.9929999998</v>
      </c>
      <c r="AE19" s="5">
        <v>12924.6608</v>
      </c>
      <c r="AF19" s="5">
        <v>884694.20799999998</v>
      </c>
      <c r="AG19" s="5">
        <v>1420.3979999999999</v>
      </c>
      <c r="AH19" s="5">
        <v>135186.64000000001</v>
      </c>
      <c r="AI19" s="5">
        <v>14713.384</v>
      </c>
      <c r="AJ19" s="5">
        <v>145390.54399999999</v>
      </c>
      <c r="AK19" s="5">
        <v>105419.4</v>
      </c>
      <c r="AL19" s="5">
        <v>331801.02399999998</v>
      </c>
      <c r="AM19" s="5">
        <v>1001.924</v>
      </c>
      <c r="AN19" s="5">
        <v>251.7</v>
      </c>
      <c r="AO19" s="5">
        <v>6.9</v>
      </c>
      <c r="AP19" s="5">
        <v>627372</v>
      </c>
      <c r="AQ19" s="5">
        <v>42646</v>
      </c>
      <c r="AR19" s="5">
        <v>42101</v>
      </c>
      <c r="AS19" s="5">
        <v>0</v>
      </c>
      <c r="AT19" s="5">
        <v>0</v>
      </c>
      <c r="AU19" s="5">
        <v>16029</v>
      </c>
      <c r="AV19" s="5">
        <v>6659</v>
      </c>
      <c r="AW19" s="5">
        <v>21.039746000000001</v>
      </c>
      <c r="AX19" s="5">
        <v>7278.7389999999996</v>
      </c>
      <c r="AY19" s="5">
        <v>681.26559999999995</v>
      </c>
      <c r="AZ19" s="5">
        <v>20.788</v>
      </c>
      <c r="BA19" s="5">
        <v>10728</v>
      </c>
      <c r="BB19" s="5">
        <v>45.5</v>
      </c>
      <c r="BC19" s="5">
        <v>114024.568</v>
      </c>
      <c r="BD19" s="5">
        <v>276874.848</v>
      </c>
      <c r="BE19" s="5">
        <v>3746.7815999999998</v>
      </c>
      <c r="BF19" s="5">
        <v>1714.182</v>
      </c>
      <c r="BG19" s="5">
        <v>75.536000000000001</v>
      </c>
      <c r="BH19" s="5">
        <v>371.399</v>
      </c>
      <c r="BI19" s="5">
        <v>923.23299999999995</v>
      </c>
      <c r="BJ19" s="5">
        <v>15.561</v>
      </c>
      <c r="BK19" s="5">
        <v>568.50199999999995</v>
      </c>
      <c r="BL19" s="5">
        <v>75693.286399999997</v>
      </c>
      <c r="BM19" s="5">
        <v>317198.88</v>
      </c>
      <c r="BN19" s="5">
        <v>7255.4816000000001</v>
      </c>
      <c r="BO19" s="5">
        <v>53589.132799999999</v>
      </c>
      <c r="BP19" s="5">
        <v>316165.82400000002</v>
      </c>
      <c r="BQ19" s="5">
        <v>329.40800000000002</v>
      </c>
      <c r="BR19" s="5">
        <v>183.55</v>
      </c>
      <c r="BS19" s="5">
        <v>1032527.591</v>
      </c>
      <c r="BT19" s="5">
        <v>1400623.4669999999</v>
      </c>
      <c r="BU19" s="5">
        <v>632893.18400000001</v>
      </c>
      <c r="BV19" s="5">
        <v>1032965.28</v>
      </c>
      <c r="BW19" s="5">
        <v>572726.78399999999</v>
      </c>
      <c r="BX19" s="5">
        <v>1037096.32</v>
      </c>
      <c r="BY19" s="5">
        <v>158552.304</v>
      </c>
      <c r="BZ19" s="5">
        <v>114791.376</v>
      </c>
      <c r="CA19" s="5">
        <v>1244.5895</v>
      </c>
      <c r="CB19" s="5">
        <v>109550.336</v>
      </c>
      <c r="CC19" s="5">
        <v>152850.592</v>
      </c>
      <c r="CD19" s="5">
        <v>450034.43199999997</v>
      </c>
      <c r="CE19" s="5">
        <v>49140.988799999999</v>
      </c>
      <c r="CF19" s="5">
        <v>156334.992</v>
      </c>
      <c r="CG19" s="5">
        <v>360943.58399999997</v>
      </c>
      <c r="CH19" s="5">
        <v>2385.8710000000001</v>
      </c>
      <c r="CI19" s="5">
        <v>217.202</v>
      </c>
      <c r="CJ19" s="5">
        <v>1191.5999999999999</v>
      </c>
      <c r="CK19" s="5">
        <v>78.87</v>
      </c>
      <c r="CL19" s="5">
        <v>744.17899999999997</v>
      </c>
      <c r="CM19" s="5">
        <v>551.4</v>
      </c>
      <c r="CN19" s="5">
        <v>53285.8</v>
      </c>
      <c r="CO19" s="5">
        <v>1670.797</v>
      </c>
      <c r="CP19" s="5">
        <v>297482.663</v>
      </c>
      <c r="CQ19" s="5">
        <v>3708129.6</v>
      </c>
      <c r="CR19" s="5">
        <v>132423.984</v>
      </c>
      <c r="CS19" s="5">
        <v>519998.11200000002</v>
      </c>
      <c r="CT19" s="5">
        <v>2993833.8859999999</v>
      </c>
      <c r="CU19" s="5">
        <v>303710.26299999998</v>
      </c>
      <c r="CV19" s="5">
        <v>30201.321599999999</v>
      </c>
      <c r="CW19" s="5">
        <v>63396.524799999999</v>
      </c>
      <c r="CX19" s="5">
        <v>33518.041599999997</v>
      </c>
      <c r="CY19" s="5">
        <v>170191.61600000001</v>
      </c>
      <c r="CZ19" s="5">
        <v>219315.856</v>
      </c>
      <c r="DA19" s="5">
        <v>19233.259999999998</v>
      </c>
      <c r="DB19" s="5">
        <v>152218.90100000001</v>
      </c>
      <c r="DC19" s="5">
        <v>3147.55</v>
      </c>
      <c r="DD19" s="5">
        <f>DD18+6.23</f>
        <v>3120.1899999999996</v>
      </c>
      <c r="DE19" s="5">
        <v>3177.06</v>
      </c>
      <c r="DF19" s="5">
        <v>0.997</v>
      </c>
      <c r="DG19" s="1" t="s">
        <v>216</v>
      </c>
      <c r="DH19" s="4">
        <f>Table2[[#This Row],[Date]]</f>
        <v>46254</v>
      </c>
      <c r="DI19">
        <f>(DD20-Table2[[#This Row],[MWH Total]])*4000</f>
        <v>23079.999999999927</v>
      </c>
      <c r="DJ19">
        <f>(DA20-Table2[[#This Row],[PNG Meter (Outside)]])*2.936</f>
        <v>92.806960000001709</v>
      </c>
      <c r="DK19">
        <f>(DB20-Table2[[#This Row],[PNG Meter (Inside)]])*2.936</f>
        <v>314.22246399992889</v>
      </c>
      <c r="DL19">
        <f>(BH20-Table2[[#This Row],[3F Dough cooler - 2 ]])*1000</f>
        <v>389.99999999998636</v>
      </c>
      <c r="DM19">
        <f>(BI20-Table2[[#This Row],[3F Dough Cooler- 1]])*1000</f>
        <v>492.00000000007549</v>
      </c>
      <c r="DN19">
        <f>(BJ20-Table2[[#This Row],[4F Dough Production cooling Unit]])*1000</f>
        <v>53.000000000000824</v>
      </c>
      <c r="DO19">
        <f>(BQ20-Table2[[#This Row],[3F2 - PDB 3 - Dough Production Area]])*1000</f>
        <v>260.99999999996726</v>
      </c>
      <c r="DP19">
        <f>(BR20-Table2[[#This Row],[3F3 - PDB 4 - Dough Area]])*1000</f>
        <v>161.00000000000136</v>
      </c>
      <c r="DQ19">
        <f>AC20-Table2[[#This Row],[16F1 Tray washer Panel for Light]]</f>
        <v>713.92000000039116</v>
      </c>
      <c r="DR19">
        <f>CQ20-Table2[[#This Row],[2F1 Tray Washer - 1]]</f>
        <v>1237.1200000001118</v>
      </c>
      <c r="DS19">
        <f>CS20-Table2[[#This Row],[2F5 Destacker]]</f>
        <v>353.34399999998277</v>
      </c>
      <c r="DT19">
        <f>CU20-Table2[[#This Row],[5F1 Metering (TW-2)]]</f>
        <v>280.41800000000512</v>
      </c>
      <c r="DU19" s="1">
        <f>CV20-Table2[[#This Row],[6F1 Pre soaker Tray washer]]</f>
        <v>2.2943999999988591</v>
      </c>
      <c r="DV19">
        <f>CZ20-Table2[[#This Row],[6F5 Vent tray Storage]]</f>
        <v>125.79199999998673</v>
      </c>
      <c r="DW19" s="1">
        <f>I20-Table2[[#This Row],[Popeyes Meter ]]</f>
        <v>72.119999999999891</v>
      </c>
      <c r="DX19">
        <f>AZ20-Table2[[#This Row],[2F WH Chiller, Segregation Area]]</f>
        <v>0</v>
      </c>
      <c r="DY19">
        <f>BA20-Table2[[#This Row],[3F1 AC Unit WH dock cooling - 2 Nos]]</f>
        <v>24</v>
      </c>
      <c r="DZ19">
        <f>BB20-Table2[[#This Row],[3F2 AC Unit WH dock cooling - 3 Nos]]</f>
        <v>5.4999999999999716E-2</v>
      </c>
      <c r="EA19">
        <f>(BK20-Table2[[#This Row],[5F WH Perishable]])*1000</f>
        <v>265.00000000010004</v>
      </c>
      <c r="EB19">
        <f>BN20-Table2[[#This Row],[2F3 - PDB 9 - WH Dock Leveler Door ]]</f>
        <v>4.7295999999996639</v>
      </c>
      <c r="EC19">
        <f>BP20-Table2[[#This Row],[3F1 - PDB 5 - WH HSD]]</f>
        <v>110.7839999999851</v>
      </c>
      <c r="ED19">
        <f>BX20-Table2[[#This Row],[8F1 WH Dock AHU - Ventilation]]</f>
        <v>1518.1600000000326</v>
      </c>
      <c r="EE19">
        <f>BZ20-Table2[[#This Row],[8F3 ACPDB - 4 WH Dock air curtain]]</f>
        <v>29.255999999993946</v>
      </c>
      <c r="EF19">
        <f>CA20-Table2[[#This Row],[8F4 WH Light]]</f>
        <v>0</v>
      </c>
      <c r="EG19">
        <f>CC20-Table2[[#This Row],[9F1 - PDB 10 - WH Dock door &amp; Office]]</f>
        <v>103.96799999999348</v>
      </c>
      <c r="EH19">
        <f>CD20-Table2[[#This Row],[9F2 - PDB 11 - WH flycatchers]]</f>
        <v>349.2160000000149</v>
      </c>
      <c r="EI19">
        <f>CE20-Table2[[#This Row],[9F3 - PDB 12 - Other items]]</f>
        <v>0</v>
      </c>
      <c r="EJ19">
        <f>CR20-Table2[[#This Row],[2F3 - PDB 1 - Dock 1 to 4 ]]</f>
        <v>64.592000000004191</v>
      </c>
      <c r="EK19">
        <f>BM20-Table2[[#This Row],[2F2 - PDB 3 - WH Truck &amp; Battery Charging]]</f>
        <v>530.88000000000466</v>
      </c>
      <c r="EL19">
        <f>(CK20-Table2[[#This Row],[PDB - 11 Truck Charging]])*1000</f>
        <v>102.99999999999443</v>
      </c>
      <c r="EM19">
        <f>P20-Table2[[#This Row],[5F3 Admin Area]]</f>
        <v>405.05600000009872</v>
      </c>
      <c r="EN19">
        <f>AH20-Table2[[#This Row],[2F5 Main Gate-1 Piller -1]]</f>
        <v>127.10399999999208</v>
      </c>
      <c r="EO19">
        <f>CW20-Table2[[#This Row],[6F2 Ground Floor AC]]</f>
        <v>17.84320000000298</v>
      </c>
      <c r="EP19">
        <f>CX20-Table2[[#This Row],[6F3 ACBD -1 (First floor AC)]]</f>
        <v>8.5536000000065542</v>
      </c>
      <c r="EQ19">
        <f>CY20-Table2[[#This Row],[6F4 ACBD - 2 (Second &amp; Third floor AC)]]</f>
        <v>98.36799999998766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1766.8799999998882</v>
      </c>
      <c r="EU19">
        <f>(CL20-Table2[[#This Row],[OLD Ck Panel-1]])*1000</f>
        <v>671.00000000004911</v>
      </c>
      <c r="EV19">
        <f>CM20-Table2[[#This Row],[2F4 Old CK Blast (Blue star)]]</f>
        <v>0</v>
      </c>
      <c r="EW19">
        <f>CN20-Table2[[#This Row],[3F6 Old CK Blast (Carrier)]]</f>
        <v>540.19999999999709</v>
      </c>
      <c r="EX19">
        <f>(CO20-Table2[[#This Row],[Old CK Panel -2]])*1000</f>
        <v>1412.0000000000346</v>
      </c>
      <c r="EY19">
        <f>N20-Table2[[#This Row],[4F1 Main UPS 1/C -1]]</f>
        <v>1066.2399999999907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36.000000000001364</v>
      </c>
      <c r="FC19">
        <f>BW20-Table2[[#This Row],[7F3 CLC Power Panel]]</f>
        <v>295.35999999998603</v>
      </c>
      <c r="FD19">
        <f>(CI20-Table2[[#This Row],[PDB - 17 CLC Section ]])*1000</f>
        <v>210.00000000000796</v>
      </c>
      <c r="FE19">
        <f>(W20-Table2[[#This Row],[13F3 Water &amp; Lift Old CK]])*1000</f>
        <v>863.90000000005784</v>
      </c>
      <c r="FF19">
        <f>AA20-Table2[[#This Row],[15F2 New ETP Panel]]</f>
        <v>274.55999999993946</v>
      </c>
      <c r="FG19">
        <f>AL20-Table2[[#This Row],[3F4 Old ETP Panel]]</f>
        <v>73.472000000008848</v>
      </c>
      <c r="FH19">
        <f>AF20-Table2[[#This Row],[2F1 RO Plant]]</f>
        <v>590.7839999999851</v>
      </c>
      <c r="FI19">
        <f>AK20-Table2[[#This Row],[3F3 Fire Hydrant Panel]]</f>
        <v>8.2240000000019791</v>
      </c>
      <c r="FJ19">
        <f>R20-Table2[[#This Row],[7F1 Freon System Panel]]</f>
        <v>5068.160000000149</v>
      </c>
      <c r="FK19">
        <f>(AE20-Table2[[#This Row],[21F1 Refrigeration Ammonia]])*1000</f>
        <v>8312.7999999996973</v>
      </c>
      <c r="FL19">
        <f>(AG20-Table2[[#This Row],[2F3 Air Compressor]])*1000</f>
        <v>1349.0000000001601</v>
      </c>
      <c r="FM19">
        <f>(AX20-Table2[[#This Row],[Solar Reading Panel II]])*1000</f>
        <v>3304.0000000000873</v>
      </c>
      <c r="FN19">
        <f>AI20-Table2[[#This Row],[3F1 Maintenance Workshop]]</f>
        <v>6.4959999999991851</v>
      </c>
      <c r="FO19">
        <f>BD20-Table2[[#This Row],[4F B2B unit ]]</f>
        <v>29.311999999976251</v>
      </c>
      <c r="FP19">
        <f>BL20-Table2[[#This Row],[2F1 - PDB 6 - Bread, B2B section]]</f>
        <v>71.411200000002282</v>
      </c>
      <c r="FQ19">
        <f>(CG20-Table2[[#This Row],[9F5 - PDB 14 - Bread Lift]])</f>
        <v>1.0880000000470318</v>
      </c>
      <c r="FR19">
        <f>CJ20-Table2[[#This Row],[PDB - 16 Bread Section]]</f>
        <v>0</v>
      </c>
      <c r="FS19">
        <f>BU20-Table2[[#This Row],[7F1 Donut Production area]]</f>
        <v>194.4320000000298</v>
      </c>
      <c r="FT19">
        <f>CB20-Table2[[#This Row],[8F5 Donut Ban Bary]]</f>
        <v>39.8240000000078</v>
      </c>
      <c r="FU19">
        <f>CF20-Table2[[#This Row],[9F4 - PDB 13 - Donut Sink Geyser area]]</f>
        <v>17.760000000009313</v>
      </c>
      <c r="FV19">
        <f>BV20-Table2[[#This Row],[7F2 Flour Silo]]</f>
        <v>501.76000000000931</v>
      </c>
      <c r="FW19">
        <f>BY20-Table2[[#This Row],[8F2 ACPDB - 3 SILO Ventilation]]</f>
        <v>44.815999999991618</v>
      </c>
      <c r="FX19">
        <f>J20-Table2[[#This Row],[DG 1010KVA Running Hours]]</f>
        <v>0.5999999999994543</v>
      </c>
      <c r="FY19">
        <f>K20-Table2[[#This Row],[DG 1010 KVA Meter Reading]]</f>
        <v>240</v>
      </c>
      <c r="FZ19">
        <f>L20-Table2[[#This Row],[GG 1010 KVA Running Hours]]</f>
        <v>1</v>
      </c>
      <c r="GA19">
        <f>M20-Table2[[#This Row],[GG 1010 KVA Meter Reading]]</f>
        <v>0.22999999999998977</v>
      </c>
    </row>
    <row r="20" spans="1:183" x14ac:dyDescent="0.35">
      <c r="A20" s="1">
        <v>63</v>
      </c>
      <c r="B20" s="56">
        <v>46255.442013888889</v>
      </c>
      <c r="C20" s="56">
        <v>46255.480821759258</v>
      </c>
      <c r="D20" s="1" t="s">
        <v>111</v>
      </c>
      <c r="E20" s="1"/>
      <c r="F20" s="1"/>
      <c r="G20" s="3">
        <v>46255</v>
      </c>
      <c r="H20" s="1" t="s">
        <v>182</v>
      </c>
      <c r="I20" s="5">
        <f>I19-I18+I19</f>
        <v>7449.0019999999995</v>
      </c>
      <c r="J20" s="5">
        <v>4276.8999999999996</v>
      </c>
      <c r="K20" s="5">
        <v>1777810</v>
      </c>
      <c r="L20" s="5">
        <v>457</v>
      </c>
      <c r="M20" s="5">
        <v>192.04</v>
      </c>
      <c r="N20" s="5">
        <v>1885162.88</v>
      </c>
      <c r="O20" s="5">
        <v>4632618.5599999996</v>
      </c>
      <c r="P20" s="5">
        <v>652365.95200000005</v>
      </c>
      <c r="Q20" s="5">
        <v>8140754.5599999996</v>
      </c>
      <c r="R20" s="5">
        <v>5638629.7599999998</v>
      </c>
      <c r="S20" s="5">
        <v>7424080</v>
      </c>
      <c r="T20" s="5">
        <v>42976363.261</v>
      </c>
      <c r="U20" s="5">
        <v>2124872.7999999998</v>
      </c>
      <c r="V20" s="5">
        <v>5145777.5999999996</v>
      </c>
      <c r="W20" s="5">
        <v>1604.521</v>
      </c>
      <c r="X20" s="5">
        <v>778755.58400000003</v>
      </c>
      <c r="Y20" s="5">
        <v>1116404</v>
      </c>
      <c r="Z20" s="5">
        <v>2777.8894</v>
      </c>
      <c r="AA20" s="5">
        <v>673378.11199999996</v>
      </c>
      <c r="AB20" s="5">
        <v>421481.08799999999</v>
      </c>
      <c r="AC20" s="5">
        <v>2151202.2400000002</v>
      </c>
      <c r="AD20" s="5">
        <v>4280901.7529999996</v>
      </c>
      <c r="AE20" s="5">
        <v>12932.973599999999</v>
      </c>
      <c r="AF20" s="5">
        <v>885284.99199999997</v>
      </c>
      <c r="AG20" s="5">
        <v>1421.7470000000001</v>
      </c>
      <c r="AH20" s="5">
        <v>135313.74400000001</v>
      </c>
      <c r="AI20" s="5">
        <v>14719.88</v>
      </c>
      <c r="AJ20" s="5">
        <v>145393.05600000001</v>
      </c>
      <c r="AK20" s="5">
        <v>105427.624</v>
      </c>
      <c r="AL20" s="5">
        <v>331874.49599999998</v>
      </c>
      <c r="AM20" s="5">
        <v>1002.553</v>
      </c>
      <c r="AN20" s="5">
        <v>330.4</v>
      </c>
      <c r="AO20" s="5">
        <v>7.4</v>
      </c>
      <c r="AP20" s="5">
        <v>637908</v>
      </c>
      <c r="AQ20" s="5">
        <v>42670</v>
      </c>
      <c r="AR20" s="5">
        <v>42125</v>
      </c>
      <c r="AS20" s="5">
        <v>0</v>
      </c>
      <c r="AT20" s="5">
        <v>0</v>
      </c>
      <c r="AU20" s="5">
        <v>16054</v>
      </c>
      <c r="AV20" s="5">
        <v>6672</v>
      </c>
      <c r="AW20" s="5">
        <v>21.047830000000001</v>
      </c>
      <c r="AX20" s="5">
        <v>7282.0429999999997</v>
      </c>
      <c r="AY20" s="5">
        <v>681.48504000000003</v>
      </c>
      <c r="AZ20" s="5">
        <v>20.788</v>
      </c>
      <c r="BA20" s="5">
        <v>10752</v>
      </c>
      <c r="BB20" s="5">
        <v>45.555</v>
      </c>
      <c r="BC20" s="5">
        <v>114024.568</v>
      </c>
      <c r="BD20" s="5">
        <v>276904.15999999997</v>
      </c>
      <c r="BE20" s="5">
        <v>3748.0783999999999</v>
      </c>
      <c r="BF20" s="5">
        <v>1714.182</v>
      </c>
      <c r="BG20" s="5">
        <v>75.572000000000003</v>
      </c>
      <c r="BH20" s="5">
        <v>371.78899999999999</v>
      </c>
      <c r="BI20" s="5">
        <v>923.72500000000002</v>
      </c>
      <c r="BJ20" s="5">
        <v>15.614000000000001</v>
      </c>
      <c r="BK20" s="5">
        <v>568.76700000000005</v>
      </c>
      <c r="BL20" s="5">
        <v>75764.6976</v>
      </c>
      <c r="BM20" s="5">
        <v>317729.76</v>
      </c>
      <c r="BN20" s="5">
        <v>7260.2111999999997</v>
      </c>
      <c r="BO20" s="5">
        <v>53589.132799999999</v>
      </c>
      <c r="BP20" s="5">
        <v>316276.60800000001</v>
      </c>
      <c r="BQ20" s="5">
        <v>329.66899999999998</v>
      </c>
      <c r="BR20" s="5">
        <v>183.71100000000001</v>
      </c>
      <c r="BS20" s="5">
        <v>1033715.1189999999</v>
      </c>
      <c r="BT20" s="5">
        <v>1400623.4890000001</v>
      </c>
      <c r="BU20" s="5">
        <v>633087.61600000004</v>
      </c>
      <c r="BV20" s="5">
        <v>1033467.04</v>
      </c>
      <c r="BW20" s="5">
        <v>573022.14399999997</v>
      </c>
      <c r="BX20" s="5">
        <v>1038614.48</v>
      </c>
      <c r="BY20" s="5">
        <v>158597.12</v>
      </c>
      <c r="BZ20" s="5">
        <v>114820.632</v>
      </c>
      <c r="CA20" s="5">
        <v>1244.5895</v>
      </c>
      <c r="CB20" s="5">
        <v>109590.16</v>
      </c>
      <c r="CC20" s="5">
        <v>152954.56</v>
      </c>
      <c r="CD20" s="5">
        <v>450383.64799999999</v>
      </c>
      <c r="CE20" s="5">
        <v>49140.988799999999</v>
      </c>
      <c r="CF20" s="5">
        <v>156352.75200000001</v>
      </c>
      <c r="CG20" s="5">
        <v>360944.67200000002</v>
      </c>
      <c r="CH20" s="5">
        <v>2385.8710000000001</v>
      </c>
      <c r="CI20" s="5">
        <v>217.41200000000001</v>
      </c>
      <c r="CJ20" s="5">
        <v>1191.5999999999999</v>
      </c>
      <c r="CK20" s="5">
        <v>78.972999999999999</v>
      </c>
      <c r="CL20" s="5">
        <v>744.85</v>
      </c>
      <c r="CM20" s="5">
        <v>551.4</v>
      </c>
      <c r="CN20" s="5">
        <v>53826</v>
      </c>
      <c r="CO20" s="5">
        <v>1672.2090000000001</v>
      </c>
      <c r="CP20" s="5">
        <v>297727.88400000002</v>
      </c>
      <c r="CQ20" s="5">
        <v>3709366.72</v>
      </c>
      <c r="CR20" s="5">
        <v>132488.576</v>
      </c>
      <c r="CS20" s="5">
        <v>520351.45600000001</v>
      </c>
      <c r="CT20" s="5">
        <v>2997677.889</v>
      </c>
      <c r="CU20" s="5">
        <v>303990.68099999998</v>
      </c>
      <c r="CV20" s="5">
        <f>CV19+CV19-CV18</f>
        <v>30203.615999999998</v>
      </c>
      <c r="CW20" s="5">
        <v>63414.368000000002</v>
      </c>
      <c r="CX20" s="5">
        <v>33526.595200000003</v>
      </c>
      <c r="CY20" s="5">
        <v>170289.984</v>
      </c>
      <c r="CZ20" s="5">
        <v>219441.64799999999</v>
      </c>
      <c r="DA20" s="5">
        <v>19264.87</v>
      </c>
      <c r="DB20" s="5">
        <v>152325.92499999999</v>
      </c>
      <c r="DC20" s="5">
        <v>3151.44</v>
      </c>
      <c r="DD20" s="5">
        <f>DD19+5.77</f>
        <v>3125.9599999999996</v>
      </c>
      <c r="DE20" s="5">
        <v>3180.57</v>
      </c>
      <c r="DF20" s="5">
        <v>0.999</v>
      </c>
      <c r="DG20" s="1" t="s">
        <v>241</v>
      </c>
      <c r="DH20" s="4">
        <f>Table2[[#This Row],[Date]]</f>
        <v>46255</v>
      </c>
      <c r="DI20">
        <f>(DD21-Table2[[#This Row],[MWH Total]])*4000</f>
        <v>24079.999999999927</v>
      </c>
      <c r="DJ20">
        <f>(DA21-Table2[[#This Row],[PNG Meter (Outside)]])*2.936</f>
        <v>7.1638400000068359</v>
      </c>
      <c r="DK20">
        <f>(DB21-Table2[[#This Row],[PNG Meter (Inside)]])*2.936</f>
        <v>298.84369600006426</v>
      </c>
      <c r="DL20">
        <f>(BH21-Table2[[#This Row],[3F Dough cooler - 2 ]])*1000</f>
        <v>331.00000000001728</v>
      </c>
      <c r="DM20">
        <f>(BI21-Table2[[#This Row],[3F Dough Cooler- 1]])*1000</f>
        <v>466.00000000000819</v>
      </c>
      <c r="DN20">
        <f>(BJ21-Table2[[#This Row],[4F Dough Production cooling Unit]])*1000</f>
        <v>46.99999999999882</v>
      </c>
      <c r="DO20">
        <f>(BQ21-Table2[[#This Row],[3F2 - PDB 3 - Dough Production Area]])*1000</f>
        <v>228.00000000000864</v>
      </c>
      <c r="DP20">
        <f>(BR21-Table2[[#This Row],[3F3 - PDB 4 - Dough Area]])*1000</f>
        <v>127.9999999999859</v>
      </c>
      <c r="DQ20">
        <f>AC21-Table2[[#This Row],[16F1 Tray washer Panel for Light]]</f>
        <v>665.75999999977648</v>
      </c>
      <c r="DR20">
        <f>CQ21-Table2[[#This Row],[2F1 Tray Washer - 1]]</f>
        <v>1090.8799999998882</v>
      </c>
      <c r="DS20">
        <f>CS21-Table2[[#This Row],[2F5 Destacker]]</f>
        <v>359.26399999996647</v>
      </c>
      <c r="DT20">
        <f>CU21-Table2[[#This Row],[5F1 Metering (TW-2)]]</f>
        <v>272.64500000001863</v>
      </c>
      <c r="DU20">
        <f>CV21-Table2[[#This Row],[6F1 Pre soaker Tray washer]]</f>
        <v>2.8943999999974039</v>
      </c>
      <c r="DV20">
        <f>CZ21-Table2[[#This Row],[6F5 Vent tray Storage]]</f>
        <v>116.41600000002654</v>
      </c>
      <c r="DW20">
        <f>I21-Table2[[#This Row],[Popeyes Meter ]]</f>
        <v>21</v>
      </c>
      <c r="DX20">
        <f>AZ21-Table2[[#This Row],[2F WH Chiller, Segregation Area]]</f>
        <v>0</v>
      </c>
      <c r="DY20">
        <f>BA21-Table2[[#This Row],[3F1 AC Unit WH dock cooling - 2 Nos]]</f>
        <v>21</v>
      </c>
      <c r="DZ20">
        <f>BB21-Table2[[#This Row],[3F2 AC Unit WH dock cooling - 3 Nos]]</f>
        <v>4.0999999999996817E-2</v>
      </c>
      <c r="EA20">
        <f>(BK21-Table2[[#This Row],[5F WH Perishable]])*1000</f>
        <v>269.99999999998181</v>
      </c>
      <c r="EB20">
        <f>BN21-Table2[[#This Row],[2F3 - PDB 9 - WH Dock Leveler Door ]]</f>
        <v>1.4207999999998719</v>
      </c>
      <c r="EC20">
        <f>BP21-Table2[[#This Row],[3F1 - PDB 5 - WH HSD]]</f>
        <v>114.91200000001118</v>
      </c>
      <c r="ED20">
        <f>BX21-Table2[[#This Row],[8F1 WH Dock AHU - Ventilation]]</f>
        <v>1405.6800000000512</v>
      </c>
      <c r="EE20">
        <f>BZ21-Table2[[#This Row],[8F3 ACPDB - 4 WH Dock air curtain]]</f>
        <v>31.047999999995227</v>
      </c>
      <c r="EF20">
        <f>CA21-Table2[[#This Row],[8F4 WH Light]]</f>
        <v>0</v>
      </c>
      <c r="EG20">
        <f>CC21-Table2[[#This Row],[9F1 - PDB 10 - WH Dock door &amp; Office]]</f>
        <v>149.51999999998952</v>
      </c>
      <c r="EH20">
        <f>CD21-Table2[[#This Row],[9F2 - PDB 11 - WH flycatchers]]</f>
        <v>211.35999999998603</v>
      </c>
      <c r="EI20">
        <f>CE21-Table2[[#This Row],[9F3 - PDB 12 - Other items]]</f>
        <v>0</v>
      </c>
      <c r="EJ20">
        <f>CR21-Table2[[#This Row],[2F3 - PDB 1 - Dock 1 to 4 ]]</f>
        <v>58.896000000007916</v>
      </c>
      <c r="EK20">
        <f>BM21-Table2[[#This Row],[2F2 - PDB 3 - WH Truck &amp; Battery Charging]]</f>
        <v>485.47200000000885</v>
      </c>
      <c r="EL20">
        <f>(CK21-Table2[[#This Row],[PDB - 11 Truck Charging]])*1000</f>
        <v>67.000000000007276</v>
      </c>
      <c r="EM20">
        <f>P21-Table2[[#This Row],[5F3 Admin Area]]</f>
        <v>366.52799999993294</v>
      </c>
      <c r="EN20">
        <f>AH21-Table2[[#This Row],[2F5 Main Gate-1 Piller -1]]</f>
        <v>128.94399999998859</v>
      </c>
      <c r="EO20">
        <f>CW21-Table2[[#This Row],[6F2 Ground Floor AC]]</f>
        <v>11.718399999997928</v>
      </c>
      <c r="EP20">
        <f>CX21-Table2[[#This Row],[6F3 ACBD -1 (First floor AC)]]</f>
        <v>7.9775999999983469</v>
      </c>
      <c r="EQ20">
        <f>CY21-Table2[[#This Row],[6F4 ACBD - 2 (Second &amp; Third floor AC)]]</f>
        <v>114.11199999999371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1612.3999999999069</v>
      </c>
      <c r="EU20">
        <f>(CL21-Table2[[#This Row],[OLD Ck Panel-1]])*1000</f>
        <v>658.00000000001546</v>
      </c>
      <c r="EV20">
        <f>CM21-Table2[[#This Row],[2F4 Old CK Blast (Blue star)]]</f>
        <v>0</v>
      </c>
      <c r="EW20">
        <f>CN21-Table2[[#This Row],[3F6 Old CK Blast (Carrier)]]</f>
        <v>528.40000000000146</v>
      </c>
      <c r="EX20">
        <f>(CO21-Table2[[#This Row],[Old CK Panel -2]])*1000</f>
        <v>1451.0000000000218</v>
      </c>
      <c r="EY20">
        <f>N21-Table2[[#This Row],[4F1 Main UPS 1/C -1]]</f>
        <v>963.68000000016764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31.999999999996476</v>
      </c>
      <c r="FC20">
        <f>BW21-Table2[[#This Row],[7F3 CLC Power Panel]]</f>
        <v>283.26400000008289</v>
      </c>
      <c r="FD20">
        <f>(CI21-Table2[[#This Row],[PDB - 17 CLC Section ]])*1000</f>
        <v>164.99999999999204</v>
      </c>
      <c r="FE20">
        <f>(W21-Table2[[#This Row],[13F3 Water &amp; Lift Old CK]])*1000</f>
        <v>723.60000000003311</v>
      </c>
      <c r="FF20">
        <f>AA21-Table2[[#This Row],[15F2 New ETP Panel]]</f>
        <v>273.92000000004191</v>
      </c>
      <c r="FG20">
        <f>AL21-Table2[[#This Row],[3F4 Old ETP Panel]]</f>
        <v>70.239999999990687</v>
      </c>
      <c r="FH20">
        <f>AF21-Table2[[#This Row],[2F1 RO Plant]]</f>
        <v>590.7839999999851</v>
      </c>
      <c r="FI20">
        <f>AK21-Table2[[#This Row],[3F3 Fire Hydrant Panel]]</f>
        <v>14.520000000004075</v>
      </c>
      <c r="FJ20">
        <f>R21-Table2[[#This Row],[7F1 Freon System Panel]]</f>
        <v>5217.9199999999255</v>
      </c>
      <c r="FK20">
        <f>(AE21-Table2[[#This Row],[21F1 Refrigeration Ammonia]])*1000</f>
        <v>7208.8000000003376</v>
      </c>
      <c r="FL20">
        <f>(AG21-Table2[[#This Row],[2F3 Air Compressor]])*1000</f>
        <v>1215.9999999998945</v>
      </c>
      <c r="FM20">
        <f>(AX21-Table2[[#This Row],[Solar Reading Panel II]])*1000</f>
        <v>2650.0000000005457</v>
      </c>
      <c r="FN20">
        <f>AI21-Table2[[#This Row],[3F1 Maintenance Workshop]]</f>
        <v>5.3520000000007713</v>
      </c>
      <c r="FO20">
        <f>BD21-Table2[[#This Row],[4F B2B unit ]]</f>
        <v>42.880000000004657</v>
      </c>
      <c r="FP20">
        <f>BL21-Table2[[#This Row],[2F1 - PDB 6 - Bread, B2B section]]</f>
        <v>227.05920000000333</v>
      </c>
      <c r="FQ20">
        <f>(CG21-Table2[[#This Row],[9F5 - PDB 14 - Bread Lift]])</f>
        <v>1.9199999999837019</v>
      </c>
      <c r="FR20">
        <f>CJ21-Table2[[#This Row],[PDB - 16 Bread Section]]</f>
        <v>0</v>
      </c>
      <c r="FS20">
        <f>BU21-Table2[[#This Row],[7F1 Donut Production area]]</f>
        <v>161.59999999997672</v>
      </c>
      <c r="FT20">
        <f>CB21-Table2[[#This Row],[8F5 Donut Ban Bary]]</f>
        <v>40.543999999994412</v>
      </c>
      <c r="FU20">
        <f>CF21-Table2[[#This Row],[9F4 - PDB 13 - Donut Sink Geyser area]]</f>
        <v>9.0559999999823049</v>
      </c>
      <c r="FV20">
        <f>BV21-Table2[[#This Row],[7F2 Flour Silo]]</f>
        <v>699.59999999997672</v>
      </c>
      <c r="FW20">
        <f>BY21-Table2[[#This Row],[8F2 ACPDB - 3 SILO Ventilation]]</f>
        <v>41.168000000005122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64</v>
      </c>
      <c r="B21" s="56">
        <v>46256.407627314817</v>
      </c>
      <c r="C21" s="56">
        <v>46256.44059027778</v>
      </c>
      <c r="D21" s="1" t="s">
        <v>111</v>
      </c>
      <c r="E21" s="1"/>
      <c r="F21" s="1"/>
      <c r="G21" s="3">
        <v>46256</v>
      </c>
      <c r="H21" s="1" t="s">
        <v>240</v>
      </c>
      <c r="I21" s="5">
        <f>I20+21</f>
        <v>7470.0019999999995</v>
      </c>
      <c r="J21" s="5">
        <v>4276.8999999999996</v>
      </c>
      <c r="K21" s="5">
        <v>1777810</v>
      </c>
      <c r="L21" s="5">
        <v>457</v>
      </c>
      <c r="M21" s="5">
        <v>192.04</v>
      </c>
      <c r="N21" s="5">
        <v>1886126.56</v>
      </c>
      <c r="O21" s="5">
        <v>4634532.4800000004</v>
      </c>
      <c r="P21" s="5">
        <v>652732.48</v>
      </c>
      <c r="Q21" s="5">
        <v>8143920</v>
      </c>
      <c r="R21" s="5">
        <v>5643847.6799999997</v>
      </c>
      <c r="S21" s="5">
        <v>7427678.7199999997</v>
      </c>
      <c r="T21" s="5">
        <v>42988560.574000001</v>
      </c>
      <c r="U21" s="5">
        <v>2126248.96</v>
      </c>
      <c r="V21" s="5">
        <v>5147369.92</v>
      </c>
      <c r="W21" s="5">
        <v>1605.2446</v>
      </c>
      <c r="X21" s="5">
        <v>779032.19200000004</v>
      </c>
      <c r="Y21" s="5">
        <v>1118016.3999999999</v>
      </c>
      <c r="Z21" s="5">
        <v>2777.8894</v>
      </c>
      <c r="AA21" s="5">
        <v>673652.03200000001</v>
      </c>
      <c r="AB21" s="5">
        <v>421498.56</v>
      </c>
      <c r="AC21" s="5">
        <v>2151868</v>
      </c>
      <c r="AD21" s="5">
        <v>4294977.4009999996</v>
      </c>
      <c r="AE21" s="5">
        <v>12940.1824</v>
      </c>
      <c r="AF21" s="5">
        <v>885875.77599999995</v>
      </c>
      <c r="AG21" s="5">
        <v>1422.963</v>
      </c>
      <c r="AH21" s="5">
        <v>135442.68799999999</v>
      </c>
      <c r="AI21" s="5">
        <v>14725.232</v>
      </c>
      <c r="AJ21" s="5">
        <v>145394.736</v>
      </c>
      <c r="AK21" s="5">
        <v>105442.144</v>
      </c>
      <c r="AL21" s="5">
        <v>331944.73599999998</v>
      </c>
      <c r="AM21" s="5">
        <v>1003.154</v>
      </c>
      <c r="AN21" s="5">
        <v>298.10000000000002</v>
      </c>
      <c r="AO21" s="5">
        <v>7.8</v>
      </c>
      <c r="AP21" s="5">
        <v>647236</v>
      </c>
      <c r="AQ21" s="5">
        <v>42693</v>
      </c>
      <c r="AR21" s="5">
        <v>42148</v>
      </c>
      <c r="AS21" s="5">
        <v>0</v>
      </c>
      <c r="AT21" s="5">
        <v>0</v>
      </c>
      <c r="AU21" s="5">
        <v>16077</v>
      </c>
      <c r="AV21" s="5">
        <v>6683</v>
      </c>
      <c r="AW21" s="5">
        <v>21.054838</v>
      </c>
      <c r="AX21" s="5">
        <v>7284.6930000000002</v>
      </c>
      <c r="AY21" s="5">
        <v>681.71032000000002</v>
      </c>
      <c r="AZ21" s="5">
        <v>20.788</v>
      </c>
      <c r="BA21" s="5">
        <v>10773</v>
      </c>
      <c r="BB21" s="5">
        <v>45.595999999999997</v>
      </c>
      <c r="BC21" s="5">
        <v>114024.568</v>
      </c>
      <c r="BD21" s="5">
        <v>276947.03999999998</v>
      </c>
      <c r="BE21" s="5">
        <v>3749.2739999999999</v>
      </c>
      <c r="BF21" s="5">
        <v>1714.182</v>
      </c>
      <c r="BG21" s="5">
        <v>75.603999999999999</v>
      </c>
      <c r="BH21" s="5">
        <v>372.12</v>
      </c>
      <c r="BI21" s="5">
        <v>924.19100000000003</v>
      </c>
      <c r="BJ21" s="5">
        <v>15.661</v>
      </c>
      <c r="BK21" s="5">
        <v>569.03700000000003</v>
      </c>
      <c r="BL21" s="5">
        <v>75991.756800000003</v>
      </c>
      <c r="BM21" s="5">
        <v>318215.23200000002</v>
      </c>
      <c r="BN21" s="5">
        <v>7261.6319999999996</v>
      </c>
      <c r="BO21" s="5">
        <v>53589.132799999999</v>
      </c>
      <c r="BP21" s="5">
        <v>316391.52</v>
      </c>
      <c r="BQ21" s="5">
        <v>329.89699999999999</v>
      </c>
      <c r="BR21" s="5">
        <v>183.839</v>
      </c>
      <c r="BS21" s="5">
        <v>1035078.682</v>
      </c>
      <c r="BT21" s="5">
        <v>1400623.4890000001</v>
      </c>
      <c r="BU21" s="5">
        <v>633249.21600000001</v>
      </c>
      <c r="BV21" s="5">
        <v>1034166.64</v>
      </c>
      <c r="BW21" s="5">
        <v>573305.40800000005</v>
      </c>
      <c r="BX21" s="5">
        <v>1040020.16</v>
      </c>
      <c r="BY21" s="5">
        <v>158638.288</v>
      </c>
      <c r="BZ21" s="5">
        <v>114851.68</v>
      </c>
      <c r="CA21" s="5">
        <v>1244.5895</v>
      </c>
      <c r="CB21" s="5">
        <v>109630.704</v>
      </c>
      <c r="CC21" s="5">
        <v>153104.07999999999</v>
      </c>
      <c r="CD21" s="5">
        <v>450595.00799999997</v>
      </c>
      <c r="CE21" s="5">
        <v>49140.988799999999</v>
      </c>
      <c r="CF21" s="5">
        <v>156361.80799999999</v>
      </c>
      <c r="CG21" s="5">
        <v>360946.592</v>
      </c>
      <c r="CH21" s="5">
        <v>2385.8710000000001</v>
      </c>
      <c r="CI21" s="5">
        <v>217.577</v>
      </c>
      <c r="CJ21" s="5">
        <v>1191.5999999999999</v>
      </c>
      <c r="CK21" s="5">
        <v>79.040000000000006</v>
      </c>
      <c r="CL21" s="5">
        <v>745.50800000000004</v>
      </c>
      <c r="CM21" s="5">
        <v>551.4</v>
      </c>
      <c r="CN21" s="5">
        <v>54354.400000000001</v>
      </c>
      <c r="CO21" s="5">
        <v>1673.66</v>
      </c>
      <c r="CP21" s="5">
        <v>297949.44900000002</v>
      </c>
      <c r="CQ21" s="5">
        <v>3710457.6</v>
      </c>
      <c r="CR21" s="5">
        <v>132547.47200000001</v>
      </c>
      <c r="CS21" s="5">
        <v>520710.72</v>
      </c>
      <c r="CT21" s="5">
        <v>3001339.355</v>
      </c>
      <c r="CU21" s="5">
        <v>304263.326</v>
      </c>
      <c r="CV21" s="5">
        <f>CV20+CV20-CV19+0.6</f>
        <v>30206.510399999996</v>
      </c>
      <c r="CW21" s="5">
        <v>63426.0864</v>
      </c>
      <c r="CX21" s="5">
        <v>33534.572800000002</v>
      </c>
      <c r="CY21" s="5">
        <v>170404.09599999999</v>
      </c>
      <c r="CZ21" s="5">
        <v>219558.06400000001</v>
      </c>
      <c r="DA21" s="5">
        <v>19267.310000000001</v>
      </c>
      <c r="DB21" s="5">
        <v>152427.71100000001</v>
      </c>
      <c r="DC21" s="5">
        <v>3157.81</v>
      </c>
      <c r="DD21" s="5">
        <f>DD20+6.02</f>
        <v>3131.9799999999996</v>
      </c>
      <c r="DE21" s="5">
        <v>3187.14</v>
      </c>
      <c r="DF21" s="5">
        <v>0.995</v>
      </c>
      <c r="DG21" s="1" t="s">
        <v>213</v>
      </c>
      <c r="DH21" s="4">
        <f>Table2[[#This Row],[Date]]</f>
        <v>46256</v>
      </c>
      <c r="DI21">
        <f>(DD22-Table2[[#This Row],[MWH Total]])*4000</f>
        <v>24360.000000000582</v>
      </c>
      <c r="DJ21">
        <f>(DA22-Table2[[#This Row],[PNG Meter (Outside)]])*2.936</f>
        <v>17.704079999996583</v>
      </c>
      <c r="DK21">
        <f>(DB22-Table2[[#This Row],[PNG Meter (Inside)]])*2.936</f>
        <v>179.65384000000682</v>
      </c>
      <c r="DL21">
        <f>(BH22-Table2[[#This Row],[3F Dough cooler - 2 ]])*1000</f>
        <v>740.99999999998545</v>
      </c>
      <c r="DM21">
        <f>(BI22-Table2[[#This Row],[3F Dough Cooler- 1]])*1000</f>
        <v>370.00000000000455</v>
      </c>
      <c r="DN21">
        <f>(BJ22-Table2[[#This Row],[4F Dough Production cooling Unit]])*1000</f>
        <v>47.000000000000597</v>
      </c>
      <c r="DO21">
        <f>(BQ22-Table2[[#This Row],[3F2 - PDB 3 - Dough Production Area]])*1000</f>
        <v>153.00000000002001</v>
      </c>
      <c r="DP21">
        <f>(BR22-Table2[[#This Row],[3F3 - PDB 4 - Dough Area]])*1000</f>
        <v>84.000000000003183</v>
      </c>
      <c r="DQ21">
        <f>AC22-Table2[[#This Row],[16F1 Tray washer Panel for Light]]</f>
        <v>549.91999999992549</v>
      </c>
      <c r="DR21">
        <f>CQ22-Table2[[#This Row],[2F1 Tray Washer - 1]]</f>
        <v>957.12000000011176</v>
      </c>
      <c r="DS21">
        <f>CS22-Table2[[#This Row],[2F5 Destacker]]</f>
        <v>231.55200000002515</v>
      </c>
      <c r="DT21">
        <f>CU22-Table2[[#This Row],[5F1 Metering (TW-2)]]</f>
        <v>170.63099999999395</v>
      </c>
      <c r="DU21">
        <f>CV22-Table2[[#This Row],[6F1 Pre soaker Tray washer]]</f>
        <v>3.0943999999981315</v>
      </c>
      <c r="DV21">
        <f>CZ22-Table2[[#This Row],[6F5 Vent tray Storage]]</f>
        <v>63.583999999973457</v>
      </c>
      <c r="DW21">
        <f>I22-Table2[[#This Row],[Popeyes Meter ]]</f>
        <v>33</v>
      </c>
      <c r="DX21">
        <f>AZ22-Table2[[#This Row],[2F WH Chiller, Segregation Area]]</f>
        <v>0</v>
      </c>
      <c r="DY21">
        <f>BA22-Table2[[#This Row],[3F1 AC Unit WH dock cooling - 2 Nos]]</f>
        <v>16</v>
      </c>
      <c r="DZ21">
        <f>BB22-Table2[[#This Row],[3F2 AC Unit WH dock cooling - 3 Nos]]</f>
        <v>2.7000000000001023E-2</v>
      </c>
      <c r="EA21">
        <f>(BK22-Table2[[#This Row],[5F WH Perishable]])*1000</f>
        <v>213.99999999994179</v>
      </c>
      <c r="EB21">
        <f>BN22-Table2[[#This Row],[2F3 - PDB 9 - WH Dock Leveler Door ]]</f>
        <v>4.2344000000002779</v>
      </c>
      <c r="EC21">
        <f>BP22-Table2[[#This Row],[3F1 - PDB 5 - WH HSD]]</f>
        <v>93.119999999995343</v>
      </c>
      <c r="ED21">
        <f>BX22-Table2[[#This Row],[8F1 WH Dock AHU - Ventilation]]</f>
        <v>1125.1199999999953</v>
      </c>
      <c r="EE21">
        <f>BZ22-Table2[[#This Row],[8F3 ACPDB - 4 WH Dock air curtain]]</f>
        <v>27.63200000001234</v>
      </c>
      <c r="EF21">
        <f>CA22-Table2[[#This Row],[8F4 WH Light]]</f>
        <v>0</v>
      </c>
      <c r="EG21">
        <f>CC22-Table2[[#This Row],[9F1 - PDB 10 - WH Dock door &amp; Office]]</f>
        <v>116.89600000000792</v>
      </c>
      <c r="EH21">
        <f>CD22-Table2[[#This Row],[9F2 - PDB 11 - WH flycatchers]]</f>
        <v>204.73600000003353</v>
      </c>
      <c r="EI21">
        <f>CE22-Table2[[#This Row],[9F3 - PDB 12 - Other items]]</f>
        <v>0</v>
      </c>
      <c r="EJ21">
        <f>CR22-Table2[[#This Row],[2F3 - PDB 1 - Dock 1 to 4 ]]</f>
        <v>42.919999999983702</v>
      </c>
      <c r="EK21">
        <f>BM22-Table2[[#This Row],[2F2 - PDB 3 - WH Truck &amp; Battery Charging]]</f>
        <v>700.12799999996787</v>
      </c>
      <c r="EL21">
        <f>(CK22-Table2[[#This Row],[PDB - 11 Truck Charging]])*1000</f>
        <v>65.99999999998829</v>
      </c>
      <c r="EM21">
        <f>P22-Table2[[#This Row],[5F3 Admin Area]]</f>
        <v>286.01600000006147</v>
      </c>
      <c r="EN21">
        <f>AH22-Table2[[#This Row],[2F5 Main Gate-1 Piller -1]]</f>
        <v>101.50400000001537</v>
      </c>
      <c r="EO21">
        <f>CW22-Table2[[#This Row],[6F2 Ground Floor AC]]</f>
        <v>8.7168000000019674</v>
      </c>
      <c r="EP21">
        <f>CX22-Table2[[#This Row],[6F3 ACBD -1 (First floor AC)]]</f>
        <v>6.591999999996915</v>
      </c>
      <c r="EQ21">
        <f>CY22-Table2[[#This Row],[6F4 ACBD - 2 (Second &amp; Third floor AC)]]</f>
        <v>77.088000000017928</v>
      </c>
      <c r="ER21">
        <f>(BC22-Table2[[#This Row],[4F Old BMC cooling Unit]])</f>
        <v>0</v>
      </c>
      <c r="ES21" s="1">
        <f>BO22-Table2[[#This Row],[2F4 - Old BMC]]</f>
        <v>0</v>
      </c>
      <c r="ET21">
        <f>Y22-Table2[[#This Row],[14F2 New CK]]</f>
        <v>1383.3600000001024</v>
      </c>
      <c r="EU21">
        <f>(CL22-Table2[[#This Row],[OLD Ck Panel-1]])*1000</f>
        <v>318.99999999995998</v>
      </c>
      <c r="EV21">
        <f>CM22-Table2[[#This Row],[2F4 Old CK Blast (Blue star)]]</f>
        <v>0</v>
      </c>
      <c r="EW21">
        <f>CN22-Table2[[#This Row],[3F6 Old CK Blast (Carrier)]]</f>
        <v>224.69999999999709</v>
      </c>
      <c r="EX21">
        <f>(CO22-Table2[[#This Row],[Old CK Panel -2]])*1000</f>
        <v>1032.9999999999018</v>
      </c>
      <c r="EY21">
        <f>N22-Table2[[#This Row],[4F1 Main UPS 1/C -1]]</f>
        <v>730.39999999990687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28.000000000005798</v>
      </c>
      <c r="FC21">
        <f>BW22-Table2[[#This Row],[7F3 CLC Power Panel]]</f>
        <v>223.10399999993388</v>
      </c>
      <c r="FD21">
        <f>(CI22-Table2[[#This Row],[PDB - 17 CLC Section ]])*1000</f>
        <v>123.99999999999523</v>
      </c>
      <c r="FE21">
        <f>(W22-Table2[[#This Row],[13F3 Water &amp; Lift Old CK]])*1000</f>
        <v>707.40000000000691</v>
      </c>
      <c r="FF21">
        <f>AA22-Table2[[#This Row],[15F2 New ETP Panel]]</f>
        <v>204.80000000004657</v>
      </c>
      <c r="FG21">
        <f>AL22-Table2[[#This Row],[3F4 Old ETP Panel]]</f>
        <v>58.271999999997206</v>
      </c>
      <c r="FH21">
        <f>AF22-Table2[[#This Row],[2F1 RO Plant]]</f>
        <v>384.89600000006612</v>
      </c>
      <c r="FI21">
        <f>AK22-Table2[[#This Row],[3F3 Fire Hydrant Panel]]</f>
        <v>6.5359999999927823</v>
      </c>
      <c r="FJ21">
        <f>R22-Table2[[#This Row],[7F1 Freon System Panel]]</f>
        <v>4170.8799999998882</v>
      </c>
      <c r="FK21">
        <f>(AE22-Table2[[#This Row],[21F1 Refrigeration Ammonia]])*1000</f>
        <v>5659.2000000000553</v>
      </c>
      <c r="FL21">
        <f>(AG22-Table2[[#This Row],[2F3 Air Compressor]])*1000</f>
        <v>992.99999999993815</v>
      </c>
      <c r="FM21">
        <f>(AX22-Table2[[#This Row],[Solar Reading Panel II]])*1000</f>
        <v>1858.9999999994689</v>
      </c>
      <c r="FN21">
        <f>AI22-Table2[[#This Row],[3F1 Maintenance Workshop]]</f>
        <v>3.7088000000003376</v>
      </c>
      <c r="FO21">
        <f>BD22-Table2[[#This Row],[4F B2B unit ]]</f>
        <v>34.304000000003725</v>
      </c>
      <c r="FP21">
        <f>BL22-Table2[[#This Row],[2F1 - PDB 6 - Bread, B2B section]]</f>
        <v>174.9311999999918</v>
      </c>
      <c r="FQ21">
        <f>(CG22-Table2[[#This Row],[9F5 - PDB 14 - Bread Lift]])</f>
        <v>5.0879999999888241</v>
      </c>
      <c r="FR21">
        <f>CJ22-Table2[[#This Row],[PDB - 16 Bread Section]]</f>
        <v>0</v>
      </c>
      <c r="FS21">
        <f>BU22-Table2[[#This Row],[7F1 Donut Production area]]</f>
        <v>167.35999999998603</v>
      </c>
      <c r="FT21">
        <f>CB22-Table2[[#This Row],[8F5 Donut Ban Bary]]</f>
        <v>20.01600000000326</v>
      </c>
      <c r="FU21">
        <f>CF22-Table2[[#This Row],[9F4 - PDB 13 - Donut Sink Geyser area]]</f>
        <v>56.112000000022817</v>
      </c>
      <c r="FV21">
        <f>BV22-Table2[[#This Row],[7F2 Flour Silo]]</f>
        <v>372.88000000000466</v>
      </c>
      <c r="FW21">
        <f>BY22-Table2[[#This Row],[8F2 ACPDB - 3 SILO Ventilation]]</f>
        <v>55.10999999998603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65</v>
      </c>
      <c r="B22" s="56">
        <v>46258.457118055558</v>
      </c>
      <c r="C22" s="56">
        <v>46258.478761574072</v>
      </c>
      <c r="D22" s="1" t="s">
        <v>111</v>
      </c>
      <c r="E22" s="1"/>
      <c r="F22" s="1"/>
      <c r="G22" s="3">
        <v>46257</v>
      </c>
      <c r="H22" s="1" t="s">
        <v>182</v>
      </c>
      <c r="I22" s="5">
        <f>I21+33</f>
        <v>7503.0019999999995</v>
      </c>
      <c r="J22" s="5">
        <v>4276.8999999999996</v>
      </c>
      <c r="K22" s="5">
        <v>1777810</v>
      </c>
      <c r="L22" s="5">
        <v>457</v>
      </c>
      <c r="M22" s="5">
        <v>192.04</v>
      </c>
      <c r="N22" s="5">
        <v>1886856.96</v>
      </c>
      <c r="O22" s="5">
        <v>4635991.3600000003</v>
      </c>
      <c r="P22" s="5">
        <v>653018.49600000004</v>
      </c>
      <c r="Q22" s="5">
        <v>8146140.7999999998</v>
      </c>
      <c r="R22" s="5">
        <v>5648018.5599999996</v>
      </c>
      <c r="S22" s="5">
        <v>743394.24</v>
      </c>
      <c r="T22" s="5">
        <v>42998009.691</v>
      </c>
      <c r="U22" s="5">
        <v>2127632.96</v>
      </c>
      <c r="V22" s="5">
        <v>5148712.96</v>
      </c>
      <c r="W22" s="5">
        <v>1605.952</v>
      </c>
      <c r="X22" s="5">
        <v>779204.48</v>
      </c>
      <c r="Y22" s="5">
        <v>1119399.76</v>
      </c>
      <c r="Z22" s="5">
        <v>2777.8894</v>
      </c>
      <c r="AA22" s="5">
        <v>673856.83200000005</v>
      </c>
      <c r="AB22" s="5">
        <v>421511.29599999997</v>
      </c>
      <c r="AC22" s="5">
        <v>2152417.92</v>
      </c>
      <c r="AD22" s="5">
        <v>2847539.5890000002</v>
      </c>
      <c r="AE22" s="5">
        <v>12945.8416</v>
      </c>
      <c r="AF22" s="5">
        <v>886260.67200000002</v>
      </c>
      <c r="AG22" s="5">
        <v>1423.9559999999999</v>
      </c>
      <c r="AH22" s="5">
        <v>135544.19200000001</v>
      </c>
      <c r="AI22" s="5">
        <v>14728.9408</v>
      </c>
      <c r="AJ22" s="5">
        <v>145396.54399999999</v>
      </c>
      <c r="AK22" s="5">
        <v>105448.68</v>
      </c>
      <c r="AL22" s="5">
        <v>332003.00799999997</v>
      </c>
      <c r="AM22" s="5">
        <v>1003.605</v>
      </c>
      <c r="AN22" s="5">
        <v>272.60000000000002</v>
      </c>
      <c r="AO22" s="5">
        <v>7.1</v>
      </c>
      <c r="AP22" s="5">
        <v>655174</v>
      </c>
      <c r="AQ22" s="5">
        <v>42712</v>
      </c>
      <c r="AR22" s="5">
        <v>42167</v>
      </c>
      <c r="AS22" s="5">
        <v>32390</v>
      </c>
      <c r="AT22" s="5">
        <v>22106</v>
      </c>
      <c r="AU22" s="5">
        <v>16095</v>
      </c>
      <c r="AV22" s="5">
        <v>6693</v>
      </c>
      <c r="AW22" s="5">
        <v>21.0603318</v>
      </c>
      <c r="AX22" s="5">
        <v>7286.5519999999997</v>
      </c>
      <c r="AY22" s="5">
        <v>681.87840000000006</v>
      </c>
      <c r="AZ22" s="5">
        <v>20.788</v>
      </c>
      <c r="BA22" s="5">
        <v>10789</v>
      </c>
      <c r="BB22" s="5">
        <v>45.622999999999998</v>
      </c>
      <c r="BC22" s="5">
        <v>114024.568</v>
      </c>
      <c r="BD22" s="5">
        <v>276981.34399999998</v>
      </c>
      <c r="BE22" s="5">
        <v>3750.3036000000002</v>
      </c>
      <c r="BF22" s="5">
        <v>1714.182</v>
      </c>
      <c r="BG22" s="5">
        <v>75.632000000000005</v>
      </c>
      <c r="BH22" s="5">
        <v>372.86099999999999</v>
      </c>
      <c r="BI22" s="5">
        <v>924.56100000000004</v>
      </c>
      <c r="BJ22" s="5">
        <v>15.708</v>
      </c>
      <c r="BK22" s="5">
        <v>569.25099999999998</v>
      </c>
      <c r="BL22" s="5">
        <v>76166.687999999995</v>
      </c>
      <c r="BM22" s="5">
        <v>318915.36</v>
      </c>
      <c r="BN22" s="5">
        <v>7265.8663999999999</v>
      </c>
      <c r="BO22" s="5">
        <v>53589.132799999999</v>
      </c>
      <c r="BP22" s="5">
        <v>316484.64</v>
      </c>
      <c r="BQ22" s="5">
        <v>330.05</v>
      </c>
      <c r="BR22" s="5">
        <v>183.923</v>
      </c>
      <c r="BS22" s="5">
        <v>1036423.1949999999</v>
      </c>
      <c r="BT22" s="5">
        <v>1400623.4890000001</v>
      </c>
      <c r="BU22" s="5">
        <v>633416.576</v>
      </c>
      <c r="BV22" s="5">
        <v>1034539.52</v>
      </c>
      <c r="BW22" s="5">
        <v>573528.51199999999</v>
      </c>
      <c r="BX22" s="5">
        <v>1041145.28</v>
      </c>
      <c r="BY22" s="5">
        <v>158693.39799999999</v>
      </c>
      <c r="BZ22" s="5">
        <v>114879.31200000001</v>
      </c>
      <c r="CA22" s="5">
        <v>1244.5895</v>
      </c>
      <c r="CB22" s="5">
        <v>109650.72</v>
      </c>
      <c r="CC22" s="5">
        <v>153220.976</v>
      </c>
      <c r="CD22" s="5">
        <v>450799.74400000001</v>
      </c>
      <c r="CE22" s="5">
        <v>49140.988799999999</v>
      </c>
      <c r="CF22" s="5">
        <v>156417.92000000001</v>
      </c>
      <c r="CG22" s="5">
        <v>360951.68</v>
      </c>
      <c r="CH22" s="5">
        <v>2385.8710000000001</v>
      </c>
      <c r="CI22" s="5">
        <v>217.70099999999999</v>
      </c>
      <c r="CJ22" s="5">
        <v>1191.5999999999999</v>
      </c>
      <c r="CK22" s="5">
        <v>79.105999999999995</v>
      </c>
      <c r="CL22" s="5">
        <v>745.827</v>
      </c>
      <c r="CM22" s="5">
        <v>551.4</v>
      </c>
      <c r="CN22" s="5">
        <v>54579.1</v>
      </c>
      <c r="CO22" s="5">
        <v>1674.693</v>
      </c>
      <c r="CP22" s="5">
        <v>298133.07299999997</v>
      </c>
      <c r="CQ22" s="5">
        <v>3711414.72</v>
      </c>
      <c r="CR22" s="5">
        <v>132590.39199999999</v>
      </c>
      <c r="CS22" s="5">
        <v>520942.272</v>
      </c>
      <c r="CT22" s="5">
        <v>3004198.3059999999</v>
      </c>
      <c r="CU22" s="5">
        <v>304433.95699999999</v>
      </c>
      <c r="CV22" s="5">
        <f>CV21+CV21-CV20+0.2</f>
        <v>30209.604799999994</v>
      </c>
      <c r="CW22" s="5">
        <v>63434.803200000002</v>
      </c>
      <c r="CX22" s="5">
        <v>33541.164799999999</v>
      </c>
      <c r="CY22" s="5">
        <v>170481.18400000001</v>
      </c>
      <c r="CZ22" s="5">
        <v>219621.64799999999</v>
      </c>
      <c r="DA22" s="5">
        <v>19273.34</v>
      </c>
      <c r="DB22" s="5">
        <v>152488.90100000001</v>
      </c>
      <c r="DC22" s="5">
        <v>3164.75</v>
      </c>
      <c r="DD22" s="5">
        <f>DD21+6.09</f>
        <v>3138.0699999999997</v>
      </c>
      <c r="DE22" s="5">
        <v>3194.1</v>
      </c>
      <c r="DF22" s="5">
        <v>0.998</v>
      </c>
      <c r="DG22" s="1" t="s">
        <v>243</v>
      </c>
      <c r="DH22" s="4">
        <f>Table2[[#This Row],[Date]]</f>
        <v>46257</v>
      </c>
      <c r="DI22">
        <f>(DD23-Table2[[#This Row],[MWH Total]])*4000</f>
        <v>21280.000000000655</v>
      </c>
      <c r="DJ22">
        <f>(DA23-Table2[[#This Row],[PNG Meter (Outside)]])*2.936</f>
        <v>97.328400000004265</v>
      </c>
      <c r="DK22">
        <f>(DB23-Table2[[#This Row],[PNG Meter (Inside)]])*2.936</f>
        <v>240.33802399999041</v>
      </c>
      <c r="DL22" s="1">
        <f>(BH23-Table2[[#This Row],[3F Dough cooler - 2 ]])*1000</f>
        <v>31.999999999982265</v>
      </c>
      <c r="DM22">
        <f>(BI23-Table2[[#This Row],[3F Dough Cooler- 1]])*1000</f>
        <v>569.99999999993634</v>
      </c>
      <c r="DN22">
        <f>(BJ23-Table2[[#This Row],[4F Dough Production cooling Unit]])*1000</f>
        <v>63.000000000000611</v>
      </c>
      <c r="DO22">
        <f>(BQ23-Table2[[#This Row],[3F2 - PDB 3 - Dough Production Area]])*1000</f>
        <v>247.99999999999045</v>
      </c>
      <c r="DP22">
        <f>(BR23-Table2[[#This Row],[3F3 - PDB 4 - Dough Area]])*1000</f>
        <v>151.00000000001046</v>
      </c>
      <c r="DQ22">
        <f>AC23-Table2[[#This Row],[16F1 Tray washer Panel for Light]]</f>
        <v>866.39999999990687</v>
      </c>
      <c r="DR22">
        <f>CQ23-Table2[[#This Row],[2F1 Tray Washer - 1]]</f>
        <v>1332.1599999996834</v>
      </c>
      <c r="DS22">
        <f>CS23-Table2[[#This Row],[2F5 Destacker]]</f>
        <v>382.62400000001071</v>
      </c>
      <c r="DT22">
        <f>CU23-Table2[[#This Row],[5F1 Metering (TW-2)]]</f>
        <v>203.11300000001211</v>
      </c>
      <c r="DU22">
        <f>CV23-Table2[[#This Row],[6F1 Pre soaker Tray washer]]</f>
        <v>3.5943999999981315</v>
      </c>
      <c r="DV22">
        <f>CZ23-Table2[[#This Row],[6F5 Vent tray Storage]]</f>
        <v>55.296000000002095</v>
      </c>
      <c r="DW22">
        <f>I23-Table2[[#This Row],[Popeyes Meter ]]</f>
        <v>34</v>
      </c>
      <c r="DX22">
        <f>AZ23-Table2[[#This Row],[2F WH Chiller, Segregation Area]]</f>
        <v>0</v>
      </c>
      <c r="DY22" s="1">
        <f>BA23-Table2[[#This Row],[3F1 AC Unit WH dock cooling - 2 Nos]]</f>
        <v>19</v>
      </c>
      <c r="DZ22">
        <f>BB23-Table2[[#This Row],[3F2 AC Unit WH dock cooling - 3 Nos]]</f>
        <v>6.0000000000002274E-2</v>
      </c>
      <c r="EA22">
        <f>(BK23-Table2[[#This Row],[5F WH Perishable]])*1000</f>
        <v>345.00000000002728</v>
      </c>
      <c r="EB22">
        <f>BN23-Table2[[#This Row],[2F3 - PDB 9 - WH Dock Leveler Door ]]</f>
        <v>2.5864000000001397</v>
      </c>
      <c r="EC22">
        <f>BP23-Table2[[#This Row],[3F1 - PDB 5 - WH HSD]]</f>
        <v>122.20799999998417</v>
      </c>
      <c r="ED22">
        <f>BX23-Table2[[#This Row],[8F1 WH Dock AHU - Ventilation]]</f>
        <v>1840.8800000000047</v>
      </c>
      <c r="EE22">
        <f>BZ23-Table2[[#This Row],[8F3 ACPDB - 4 WH Dock air curtain]]</f>
        <v>25.463999999992666</v>
      </c>
      <c r="EF22">
        <f>CA23-Table2[[#This Row],[8F4 WH Light]]</f>
        <v>0</v>
      </c>
      <c r="EG22">
        <f>CC23-Table2[[#This Row],[9F1 - PDB 10 - WH Dock door &amp; Office]]</f>
        <v>110.84799999999814</v>
      </c>
      <c r="EH22">
        <f>CD23-Table2[[#This Row],[9F2 - PDB 11 - WH flycatchers]]</f>
        <v>156.64000000001397</v>
      </c>
      <c r="EI22">
        <f>CE23-Table2[[#This Row],[9F3 - PDB 12 - Other items]]</f>
        <v>4.4800000003306195E-2</v>
      </c>
      <c r="EJ22">
        <f>CR23-Table2[[#This Row],[2F3 - PDB 1 - Dock 1 to 4 ]]</f>
        <v>55.135999999998603</v>
      </c>
      <c r="EK22">
        <f>BM23-Table2[[#This Row],[2F2 - PDB 3 - WH Truck &amp; Battery Charging]]</f>
        <v>474.01600000000326</v>
      </c>
      <c r="EL22">
        <f>(CK23-Table2[[#This Row],[PDB - 11 Truck Charging]])*1000</f>
        <v>35.0000000000108</v>
      </c>
      <c r="EM22">
        <f>P23-Table2[[#This Row],[5F3 Admin Area]]</f>
        <v>415.23199999995995</v>
      </c>
      <c r="EN22">
        <f>AH23-Table2[[#This Row],[2F5 Main Gate-1 Piller -1]]</f>
        <v>143.42399999999907</v>
      </c>
      <c r="EO22">
        <f>CW23-Table2[[#This Row],[6F2 Ground Floor AC]]</f>
        <v>12.793599999997241</v>
      </c>
      <c r="EP22">
        <f>CX23-Table2[[#This Row],[6F3 ACBD -1 (First floor AC)]]</f>
        <v>11.03360000000248</v>
      </c>
      <c r="EQ22">
        <f>CY23-Table2[[#This Row],[6F4 ACBD - 2 (Second &amp; Third floor AC)]]</f>
        <v>100.14400000000023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1151.7600000000093</v>
      </c>
      <c r="EU22">
        <f>(CL23-Table2[[#This Row],[OLD Ck Panel-1]])*1000</f>
        <v>772.0000000000482</v>
      </c>
      <c r="EV22">
        <f>CM23-Table2[[#This Row],[2F4 Old CK Blast (Blue star)]]</f>
        <v>0</v>
      </c>
      <c r="EW22">
        <f>CN23-Table2[[#This Row],[3F6 Old CK Blast (Carrier)]]</f>
        <v>688.20000000000437</v>
      </c>
      <c r="EX22">
        <f>(CO23-Table2[[#This Row],[Old CK Panel -2]])*1000</f>
        <v>1159.0000000001055</v>
      </c>
      <c r="EY22">
        <f>N23-Table2[[#This Row],[4F1 Main UPS 1/C -1]]</f>
        <v>1129.1200000001118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18.999999999991246</v>
      </c>
      <c r="FC22">
        <f>BW23-Table2[[#This Row],[7F3 CLC Power Panel]]</f>
        <v>199.16800000006333</v>
      </c>
      <c r="FD22">
        <f>(CI23-Table2[[#This Row],[PDB - 17 CLC Section ]])*1000</f>
        <v>125</v>
      </c>
      <c r="FE22">
        <f>(W23-Table2[[#This Row],[13F3 Water &amp; Lift Old CK]])*1000</f>
        <v>512.79999999997017</v>
      </c>
      <c r="FF22">
        <f>AA23-Table2[[#This Row],[15F2 New ETP Panel]]</f>
        <v>342.27199999999721</v>
      </c>
      <c r="FG22">
        <f>AL23-Table2[[#This Row],[3F4 Old ETP Panel]]</f>
        <v>85.664000000047963</v>
      </c>
      <c r="FH22">
        <f>AF23-Table2[[#This Row],[2F1 RO Plant]]</f>
        <v>741.31200000003446</v>
      </c>
      <c r="FI22">
        <f>AK23-Table2[[#This Row],[3F3 Fire Hydrant Panel]]</f>
        <v>12.768000000010943</v>
      </c>
      <c r="FJ22">
        <f>R23-Table2[[#This Row],[7F1 Freon System Panel]]</f>
        <v>5326.7200000006706</v>
      </c>
      <c r="FK22">
        <f>(AE23-Table2[[#This Row],[21F1 Refrigeration Ammonia]])*1000</f>
        <v>7944.8000000011234</v>
      </c>
      <c r="FL22">
        <f>(AG23-Table2[[#This Row],[2F3 Air Compressor]])*1000</f>
        <v>1326.0000000000218</v>
      </c>
      <c r="FM22">
        <f>(AX23-Table2[[#This Row],[Solar Reading Panel II]])*1000</f>
        <v>2416.0000000001673</v>
      </c>
      <c r="FN22">
        <f>AI23-Table2[[#This Row],[3F1 Maintenance Workshop]]</f>
        <v>8.8752000000004045</v>
      </c>
      <c r="FO22">
        <f>BD23-Table2[[#This Row],[4F B2B unit ]]</f>
        <v>25.37599999998929</v>
      </c>
      <c r="FP22">
        <f>BL23-Table2[[#This Row],[2F1 - PDB 6 - Bread, B2B section]]</f>
        <v>235.58400000000256</v>
      </c>
      <c r="FQ22" s="1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202.4320000000298</v>
      </c>
      <c r="FT22">
        <f>CB23-Table2[[#This Row],[8F5 Donut Ban Bary]]</f>
        <v>60.672000000005937</v>
      </c>
      <c r="FU22">
        <f>CF23-Table2[[#This Row],[9F4 - PDB 13 - Donut Sink Geyser area]]</f>
        <v>61.183999999979278</v>
      </c>
      <c r="FV22">
        <f>BV23-Table2[[#This Row],[7F2 Flour Silo]]</f>
        <v>534.07999999995809</v>
      </c>
      <c r="FW22">
        <f>BY23-Table2[[#This Row],[8F2 ACPDB - 3 SILO Ventilation]]</f>
        <v>58.202000000019325</v>
      </c>
      <c r="FX22">
        <f>J23-Table2[[#This Row],[DG 1010KVA Running Hours]]</f>
        <v>1</v>
      </c>
      <c r="FY22">
        <f>K23-Table2[[#This Row],[DG 1010 KVA Meter Reading]]</f>
        <v>254</v>
      </c>
      <c r="FZ22">
        <f>L23-Table2[[#This Row],[GG 1010 KVA Running Hours]]</f>
        <v>0</v>
      </c>
      <c r="GA22">
        <f>M23-Table2[[#This Row],[GG 1010 KVA Meter Reading]]</f>
        <v>0.27000000000001023</v>
      </c>
    </row>
    <row r="23" spans="1:183" x14ac:dyDescent="0.35">
      <c r="A23" s="1">
        <v>66</v>
      </c>
      <c r="B23" s="56">
        <v>46258.415219907409</v>
      </c>
      <c r="C23" s="56">
        <v>46258.451909722222</v>
      </c>
      <c r="D23" s="1" t="s">
        <v>111</v>
      </c>
      <c r="E23" s="1"/>
      <c r="F23" s="1"/>
      <c r="G23" s="3">
        <v>46258</v>
      </c>
      <c r="H23" s="1" t="s">
        <v>182</v>
      </c>
      <c r="I23" s="5">
        <f>I22+34</f>
        <v>7537.0019999999995</v>
      </c>
      <c r="J23" s="5">
        <v>4277.8999999999996</v>
      </c>
      <c r="K23" s="5">
        <v>1778064</v>
      </c>
      <c r="L23" s="5">
        <v>457</v>
      </c>
      <c r="M23" s="5">
        <v>192.31</v>
      </c>
      <c r="N23" s="5">
        <v>1887986.08</v>
      </c>
      <c r="O23" s="5">
        <v>4638221.4400000004</v>
      </c>
      <c r="P23" s="5">
        <v>653433.728</v>
      </c>
      <c r="Q23" s="5">
        <v>8148917.7599999998</v>
      </c>
      <c r="R23" s="5">
        <v>5653345.2800000003</v>
      </c>
      <c r="S23" s="5">
        <v>7434108.1600000001</v>
      </c>
      <c r="T23" s="5">
        <v>43011008.328000002</v>
      </c>
      <c r="U23" s="5">
        <v>2129082.2400000002</v>
      </c>
      <c r="V23" s="5">
        <v>5150664</v>
      </c>
      <c r="W23" s="5">
        <v>1606.4648</v>
      </c>
      <c r="X23" s="5">
        <v>779405.56799999997</v>
      </c>
      <c r="Y23" s="5">
        <v>1120551.52</v>
      </c>
      <c r="Z23" s="5">
        <v>2777.8894</v>
      </c>
      <c r="AA23" s="5">
        <v>674199.10400000005</v>
      </c>
      <c r="AB23" s="5">
        <v>421570.304</v>
      </c>
      <c r="AC23" s="5">
        <v>2153284.3199999998</v>
      </c>
      <c r="AD23" s="5">
        <v>4321703.8380000005</v>
      </c>
      <c r="AE23" s="5">
        <v>12953.786400000001</v>
      </c>
      <c r="AF23" s="5">
        <v>887001.98400000005</v>
      </c>
      <c r="AG23" s="5">
        <v>1425.2819999999999</v>
      </c>
      <c r="AH23" s="5">
        <v>135687.61600000001</v>
      </c>
      <c r="AI23" s="5">
        <v>14737.816000000001</v>
      </c>
      <c r="AJ23" s="5">
        <v>145399.35999999999</v>
      </c>
      <c r="AK23" s="5">
        <v>105461.448</v>
      </c>
      <c r="AL23" s="5">
        <v>332088.67200000002</v>
      </c>
      <c r="AM23" s="5">
        <v>1004.351</v>
      </c>
      <c r="AN23" s="5">
        <v>303</v>
      </c>
      <c r="AO23" s="5">
        <v>7.7</v>
      </c>
      <c r="AP23" s="5">
        <v>663423</v>
      </c>
      <c r="AQ23" s="5">
        <v>42721</v>
      </c>
      <c r="AR23" s="5">
        <v>42176</v>
      </c>
      <c r="AS23" s="5">
        <v>32390</v>
      </c>
      <c r="AT23" s="5">
        <v>22106</v>
      </c>
      <c r="AU23" s="5">
        <v>16116</v>
      </c>
      <c r="AV23" s="5">
        <v>6705</v>
      </c>
      <c r="AW23" s="5">
        <v>21.067964</v>
      </c>
      <c r="AX23" s="5">
        <v>7288.9679999999998</v>
      </c>
      <c r="AY23" s="5">
        <v>682.13552000000004</v>
      </c>
      <c r="AZ23" s="5">
        <v>20.788</v>
      </c>
      <c r="BA23" s="5">
        <v>10808</v>
      </c>
      <c r="BB23" s="5">
        <v>45.683</v>
      </c>
      <c r="BC23" s="5">
        <v>114024.568</v>
      </c>
      <c r="BD23" s="5">
        <v>277006.71999999997</v>
      </c>
      <c r="BE23" s="5">
        <v>3751.7127999999998</v>
      </c>
      <c r="BF23" s="5">
        <v>1714.182</v>
      </c>
      <c r="BG23" s="5">
        <v>75.650999999999996</v>
      </c>
      <c r="BH23" s="5">
        <v>372.89299999999997</v>
      </c>
      <c r="BI23" s="5">
        <v>925.13099999999997</v>
      </c>
      <c r="BJ23" s="5">
        <v>15.771000000000001</v>
      </c>
      <c r="BK23" s="5">
        <v>569.596</v>
      </c>
      <c r="BL23" s="5">
        <v>76402.271999999997</v>
      </c>
      <c r="BM23" s="5">
        <v>319389.37599999999</v>
      </c>
      <c r="BN23" s="5">
        <v>7268.4528</v>
      </c>
      <c r="BO23" s="5">
        <v>53589.132799999999</v>
      </c>
      <c r="BP23" s="5">
        <v>316606.848</v>
      </c>
      <c r="BQ23" s="5">
        <v>330.298</v>
      </c>
      <c r="BR23" s="5">
        <v>184.07400000000001</v>
      </c>
      <c r="BS23" s="5">
        <v>1037848.547</v>
      </c>
      <c r="BT23" s="5">
        <v>1400623.503</v>
      </c>
      <c r="BU23" s="5">
        <v>633619.00800000003</v>
      </c>
      <c r="BV23" s="5">
        <v>1035073.6</v>
      </c>
      <c r="BW23" s="5">
        <v>573727.68000000005</v>
      </c>
      <c r="BX23" s="5">
        <v>1042986.16</v>
      </c>
      <c r="BY23" s="5">
        <v>158751.6</v>
      </c>
      <c r="BZ23" s="5">
        <v>114904.776</v>
      </c>
      <c r="CA23" s="5">
        <v>1244.5895</v>
      </c>
      <c r="CB23" s="5">
        <v>109711.39200000001</v>
      </c>
      <c r="CC23" s="5">
        <v>153331.82399999999</v>
      </c>
      <c r="CD23" s="5">
        <v>450956.38400000002</v>
      </c>
      <c r="CE23" s="5">
        <v>49141.033600000002</v>
      </c>
      <c r="CF23" s="5">
        <v>156479.10399999999</v>
      </c>
      <c r="CG23" s="5">
        <v>360951.68</v>
      </c>
      <c r="CH23" s="5">
        <v>2385.8710000000001</v>
      </c>
      <c r="CI23" s="5">
        <v>217.82599999999999</v>
      </c>
      <c r="CJ23" s="5">
        <v>1191.5999999999999</v>
      </c>
      <c r="CK23" s="5">
        <v>79.141000000000005</v>
      </c>
      <c r="CL23" s="5">
        <v>746.59900000000005</v>
      </c>
      <c r="CM23" s="5">
        <v>551.4</v>
      </c>
      <c r="CN23" s="5">
        <v>55267.3</v>
      </c>
      <c r="CO23" s="5">
        <v>1675.8520000000001</v>
      </c>
      <c r="CP23" s="5">
        <v>298414.16499999998</v>
      </c>
      <c r="CQ23" s="5">
        <v>3712746.88</v>
      </c>
      <c r="CR23" s="5">
        <v>132645.52799999999</v>
      </c>
      <c r="CS23" s="5">
        <v>521324.89600000001</v>
      </c>
      <c r="CT23" s="5">
        <v>3007912.821</v>
      </c>
      <c r="CU23" s="5">
        <v>304637.07</v>
      </c>
      <c r="CV23" s="5">
        <f>CV22+CV22-CV21+0.5</f>
        <v>30213.199199999992</v>
      </c>
      <c r="CW23" s="5">
        <v>63447.596799999999</v>
      </c>
      <c r="CX23" s="5">
        <v>33552.198400000001</v>
      </c>
      <c r="CY23" s="5">
        <v>170581.32800000001</v>
      </c>
      <c r="CZ23" s="5">
        <v>219676.94399999999</v>
      </c>
      <c r="DA23" s="5">
        <v>19306.490000000002</v>
      </c>
      <c r="DB23" s="5">
        <v>152570.76</v>
      </c>
      <c r="DC23" s="5">
        <v>3172.97</v>
      </c>
      <c r="DD23" s="5">
        <f>DD22+5.32</f>
        <v>3143.39</v>
      </c>
      <c r="DE23" s="5">
        <v>3201.6</v>
      </c>
      <c r="DF23" s="5">
        <v>0.995</v>
      </c>
      <c r="DG23" s="1" t="s">
        <v>242</v>
      </c>
      <c r="DH23" s="4">
        <f>Table2[[#This Row],[Date]]</f>
        <v>46258</v>
      </c>
      <c r="DI23">
        <f>(DD24-Table2[[#This Row],[MWH Total]])*4000</f>
        <v>25280.000000000655</v>
      </c>
      <c r="DJ23">
        <f>(DA24-Table2[[#This Row],[PNG Meter (Outside)]])*2.936</f>
        <v>19.1133599999953</v>
      </c>
      <c r="DK23">
        <f>(DB24-Table2[[#This Row],[PNG Meter (Inside)]])*2.936</f>
        <v>348.80267199998838</v>
      </c>
      <c r="DL23" s="1">
        <f>(BH24-Table2[[#This Row],[3F Dough cooler - 2 ]])*1000</f>
        <v>354.00000000004184</v>
      </c>
      <c r="DM23">
        <f>(BI24-Table2[[#This Row],[3F Dough Cooler- 1]])*1000</f>
        <v>480.00000000001819</v>
      </c>
      <c r="DN23">
        <f>(BJ24-Table2[[#This Row],[4F Dough Production cooling Unit]])*1000</f>
        <v>56.999999999998607</v>
      </c>
      <c r="DO23">
        <f>(BQ24-Table2[[#This Row],[3F2 - PDB 3 - Dough Production Area]])*1000</f>
        <v>331.00000000001728</v>
      </c>
      <c r="DP23">
        <f>(BR24-Table2[[#This Row],[3F3 - PDB 4 - Dough Area]])*1000</f>
        <v>201.99999999999818</v>
      </c>
      <c r="DQ23">
        <f>AC24-Table2[[#This Row],[16F1 Tray washer Panel for Light]]</f>
        <v>705.92000000039116</v>
      </c>
      <c r="DR23">
        <f>CQ24-Table2[[#This Row],[2F1 Tray Washer - 1]]</f>
        <v>1412.4799999999814</v>
      </c>
      <c r="DS23">
        <f>CS24-Table2[[#This Row],[2F5 Destacker]]</f>
        <v>372.99199999996927</v>
      </c>
      <c r="DT23">
        <f>CU24-Table2[[#This Row],[5F1 Metering (TW-2)]]</f>
        <v>412.58600000001024</v>
      </c>
      <c r="DU23">
        <f>CV24-Table2[[#This Row],[6F1 Pre soaker Tray washer]]</f>
        <v>30.474400000006426</v>
      </c>
      <c r="DV23">
        <f>CZ24-Table2[[#This Row],[6F5 Vent tray Storage]]</f>
        <v>83.408000000024913</v>
      </c>
      <c r="DW23">
        <f>I24-Table2[[#This Row],[Popeyes Meter ]]</f>
        <v>45</v>
      </c>
      <c r="DX23">
        <f>AZ24-Table2[[#This Row],[2F WH Chiller, Segregation Area]]</f>
        <v>0</v>
      </c>
      <c r="DY23" s="1">
        <f>BA24-Table2[[#This Row],[3F1 AC Unit WH dock cooling - 2 Nos]]</f>
        <v>19</v>
      </c>
      <c r="DZ23">
        <f>BB24-Table2[[#This Row],[3F2 AC Unit WH dock cooling - 3 Nos]]</f>
        <v>3.5000000000003695E-2</v>
      </c>
      <c r="EA23">
        <f>(BK24-Table2[[#This Row],[5F WH Perishable]])*1000</f>
        <v>278.00000000002001</v>
      </c>
      <c r="EB23">
        <f>BN24-Table2[[#This Row],[2F3 - PDB 9 - WH Dock Leveler Door ]]</f>
        <v>3.1144000000003871</v>
      </c>
      <c r="EC23">
        <f>BP24-Table2[[#This Row],[3F1 - PDB 5 - WH HSD]]</f>
        <v>121.56800000002841</v>
      </c>
      <c r="ED23">
        <f>BX24-Table2[[#This Row],[8F1 WH Dock AHU - Ventilation]]</f>
        <v>1456.4799999999814</v>
      </c>
      <c r="EE23">
        <f>BZ24-Table2[[#This Row],[8F3 ACPDB - 4 WH Dock air curtain]]</f>
        <v>25.495999999999185</v>
      </c>
      <c r="EF23">
        <f>CA24-Table2[[#This Row],[8F4 WH Light]]</f>
        <v>0</v>
      </c>
      <c r="EG23">
        <f>CC24-Table2[[#This Row],[9F1 - PDB 10 - WH Dock door &amp; Office]]</f>
        <v>74.816000000020722</v>
      </c>
      <c r="EH23">
        <f>CD24-Table2[[#This Row],[9F2 - PDB 11 - WH flycatchers]]</f>
        <v>211.10399999999208</v>
      </c>
      <c r="EI23">
        <f>CE24-Table2[[#This Row],[9F3 - PDB 12 - Other items]]</f>
        <v>2.3775999999998021</v>
      </c>
      <c r="EJ23">
        <f>CR24-Table2[[#This Row],[2F3 - PDB 1 - Dock 1 to 4 ]]</f>
        <v>48.224000000016531</v>
      </c>
      <c r="EK23">
        <f>BM24-Table2[[#This Row],[2F2 - PDB 3 - WH Truck &amp; Battery Charging]]</f>
        <v>539.71199999999953</v>
      </c>
      <c r="EL23">
        <f>(CK24-Table2[[#This Row],[PDB - 11 Truck Charging]])*1000</f>
        <v>50.999999999987722</v>
      </c>
      <c r="EM23">
        <f>P24-Table2[[#This Row],[5F3 Admin Area]]</f>
        <v>360.89599999994971</v>
      </c>
      <c r="EN23">
        <f>AH24-Table2[[#This Row],[2F5 Main Gate-1 Piller -1]]</f>
        <v>111.03999999997905</v>
      </c>
      <c r="EO23">
        <f>CW24-Table2[[#This Row],[6F2 Ground Floor AC]]</f>
        <v>11.315199999997276</v>
      </c>
      <c r="EP23">
        <f>CX24-Table2[[#This Row],[6F3 ACBD -1 (First floor AC)]]</f>
        <v>8.355199999998149</v>
      </c>
      <c r="EQ23">
        <f>CY24-Table2[[#This Row],[6F4 ACBD - 2 (Second &amp; Third floor AC)]]</f>
        <v>125.31200000000536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1910.4799999999814</v>
      </c>
      <c r="EU23">
        <f>(CL24-Table2[[#This Row],[OLD Ck Panel-1]])*1000</f>
        <v>613.99999999991905</v>
      </c>
      <c r="EV23">
        <f>CM24-Table2[[#This Row],[2F4 Old CK Blast (Blue star)]]</f>
        <v>0</v>
      </c>
      <c r="EW23">
        <f>CN24-Table2[[#This Row],[3F6 Old CK Blast (Carrier)]]</f>
        <v>497.69999999999709</v>
      </c>
      <c r="EX23">
        <f>(CO24-Table2[[#This Row],[Old CK Panel -2]])*1000</f>
        <v>1094.9999999997999</v>
      </c>
      <c r="EY23">
        <f>N24-Table2[[#This Row],[4F1 Main UPS 1/C -1]]</f>
        <v>980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34.000000000006025</v>
      </c>
      <c r="FC23">
        <f>BW24-Table2[[#This Row],[7F3 CLC Power Panel]]</f>
        <v>275.07199999992736</v>
      </c>
      <c r="FD23">
        <f>(CI24-Table2[[#This Row],[PDB - 17 CLC Section ]])*1000</f>
        <v>171.00000000002069</v>
      </c>
      <c r="FE23">
        <f>(W24-Table2[[#This Row],[13F3 Water &amp; Lift Old CK]])*1000</f>
        <v>618.89999999993961</v>
      </c>
      <c r="FF23">
        <f>AA24-Table2[[#This Row],[15F2 New ETP Panel]]</f>
        <v>273.08799999998882</v>
      </c>
      <c r="FG23">
        <f>AL24-Table2[[#This Row],[3F4 Old ETP Panel]]</f>
        <v>71.039999999979045</v>
      </c>
      <c r="FH23">
        <f>AF24-Table2[[#This Row],[2F1 RO Plant]]</f>
        <v>543.55199999990873</v>
      </c>
      <c r="FI23">
        <f>AK24-Table2[[#This Row],[3F3 Fire Hydrant Panel]]</f>
        <v>10.599999999991269</v>
      </c>
      <c r="FJ23">
        <f>R24-Table2[[#This Row],[7F1 Freon System Panel]]</f>
        <v>5034.8799999998882</v>
      </c>
      <c r="FK23">
        <f>(AE24-Table2[[#This Row],[21F1 Refrigeration Ammonia]])*1000</f>
        <v>7859.1999999989639</v>
      </c>
      <c r="FL23">
        <f>(AG24-Table2[[#This Row],[2F3 Air Compressor]])*1000</f>
        <v>1288.9999999999873</v>
      </c>
      <c r="FM23">
        <f>(AX24-Table2[[#This Row],[Solar Reading Panel II]])*1000</f>
        <v>907.0000000001528</v>
      </c>
      <c r="FN23">
        <f>AI24-Table2[[#This Row],[3F1 Maintenance Workshop]]</f>
        <v>4.4111999999986438</v>
      </c>
      <c r="FO23">
        <f>BD24-Table2[[#This Row],[4F B2B unit ]]</f>
        <v>55.872000000032131</v>
      </c>
      <c r="FP23">
        <f>BL24-Table2[[#This Row],[2F1 - PDB 6 - Bread, B2B section]]</f>
        <v>312.41599999999744</v>
      </c>
      <c r="FQ23" s="1">
        <f>(CG24-Table2[[#This Row],[9F5 - PDB 14 - Bread Lift]])</f>
        <v>4.3200000000069849</v>
      </c>
      <c r="FR23">
        <f>CJ24-Table2[[#This Row],[PDB - 16 Bread Section]]</f>
        <v>0</v>
      </c>
      <c r="FS23">
        <f>BU24-Table2[[#This Row],[7F1 Donut Production area]]</f>
        <v>154.11199999996461</v>
      </c>
      <c r="FT23">
        <f>CB24-Table2[[#This Row],[8F5 Donut Ban Bary]]</f>
        <v>39.351999999998952</v>
      </c>
      <c r="FU23">
        <f>CF24-Table2[[#This Row],[9F4 - PDB 13 - Donut Sink Geyser area]]</f>
        <v>19.936000000016065</v>
      </c>
      <c r="FV23">
        <f>BV24-Table2[[#This Row],[7F2 Flour Silo]]</f>
        <v>557.8399999999674</v>
      </c>
      <c r="FW23">
        <f>BY24-Table2[[#This Row],[8F2 ACPDB - 3 SILO Ventilation]]</f>
        <v>42.559999999997672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>
        <v>67</v>
      </c>
      <c r="B24" s="56">
        <v>46259.402233796296</v>
      </c>
      <c r="C24" s="56">
        <v>46259.436203703706</v>
      </c>
      <c r="D24" s="1" t="s">
        <v>111</v>
      </c>
      <c r="E24" s="1"/>
      <c r="F24" s="1"/>
      <c r="G24" s="3">
        <v>46259</v>
      </c>
      <c r="H24" s="1" t="s">
        <v>182</v>
      </c>
      <c r="I24" s="5">
        <f>I23+45</f>
        <v>7582.0019999999995</v>
      </c>
      <c r="J24" s="5">
        <v>4277.8999999999996</v>
      </c>
      <c r="K24" s="5">
        <v>1778064</v>
      </c>
      <c r="L24" s="5">
        <v>457</v>
      </c>
      <c r="M24" s="5">
        <v>192.31</v>
      </c>
      <c r="N24" s="5">
        <v>1888966.08</v>
      </c>
      <c r="O24" s="5">
        <v>4640198.08</v>
      </c>
      <c r="P24" s="5">
        <v>653794.62399999995</v>
      </c>
      <c r="Q24" s="5">
        <v>8150695.6799999997</v>
      </c>
      <c r="R24" s="5">
        <v>5658380.1600000001</v>
      </c>
      <c r="S24" s="5">
        <v>7437811.2000000002</v>
      </c>
      <c r="T24" s="5">
        <v>43477388.056999996</v>
      </c>
      <c r="U24" s="5">
        <v>2130884</v>
      </c>
      <c r="V24" s="5">
        <v>5152488</v>
      </c>
      <c r="W24" s="5">
        <v>1607.0836999999999</v>
      </c>
      <c r="X24" s="5">
        <v>779821.63199999998</v>
      </c>
      <c r="Y24" s="5">
        <v>1122462</v>
      </c>
      <c r="Z24" s="5">
        <v>2777.8894</v>
      </c>
      <c r="AA24" s="5">
        <v>674472.19200000004</v>
      </c>
      <c r="AB24" s="5">
        <v>421659.26400000002</v>
      </c>
      <c r="AC24" s="5">
        <v>2153990.2400000002</v>
      </c>
      <c r="AD24" s="5">
        <v>4338301.193</v>
      </c>
      <c r="AE24" s="5">
        <v>12961.6456</v>
      </c>
      <c r="AF24" s="5">
        <v>887545.53599999996</v>
      </c>
      <c r="AG24" s="5">
        <v>1426.5709999999999</v>
      </c>
      <c r="AH24" s="5">
        <v>135798.65599999999</v>
      </c>
      <c r="AI24" s="5">
        <v>14742.227199999999</v>
      </c>
      <c r="AJ24" s="5">
        <v>145399.584</v>
      </c>
      <c r="AK24" s="5">
        <v>105472.048</v>
      </c>
      <c r="AL24" s="5">
        <v>332159.712</v>
      </c>
      <c r="AM24" s="5">
        <v>1005.079</v>
      </c>
      <c r="AN24" s="5">
        <v>213.4</v>
      </c>
      <c r="AO24" s="5">
        <v>6.9</v>
      </c>
      <c r="AP24" s="5">
        <v>677519</v>
      </c>
      <c r="AQ24" s="5">
        <v>42739</v>
      </c>
      <c r="AR24" s="5">
        <v>42194</v>
      </c>
      <c r="AS24" s="5">
        <v>32390</v>
      </c>
      <c r="AT24" s="5">
        <v>22106</v>
      </c>
      <c r="AU24" s="5">
        <v>16146</v>
      </c>
      <c r="AV24" s="5">
        <v>6726</v>
      </c>
      <c r="AW24" s="5">
        <v>21.075683999999999</v>
      </c>
      <c r="AX24" s="5">
        <v>7289.875</v>
      </c>
      <c r="AY24" s="5">
        <v>682.35104000000001</v>
      </c>
      <c r="AZ24" s="5">
        <v>20.788</v>
      </c>
      <c r="BA24" s="5">
        <v>10827</v>
      </c>
      <c r="BB24" s="5">
        <v>45.718000000000004</v>
      </c>
      <c r="BC24" s="5">
        <v>114024.568</v>
      </c>
      <c r="BD24" s="5">
        <v>277062.592</v>
      </c>
      <c r="BE24" s="5">
        <v>3753.0747999999999</v>
      </c>
      <c r="BF24" s="5">
        <v>1714.182</v>
      </c>
      <c r="BG24" s="5">
        <v>75.685000000000002</v>
      </c>
      <c r="BH24" s="5">
        <v>373.24700000000001</v>
      </c>
      <c r="BI24" s="5">
        <v>925.61099999999999</v>
      </c>
      <c r="BJ24" s="5">
        <v>15.827999999999999</v>
      </c>
      <c r="BK24" s="5">
        <v>569.87400000000002</v>
      </c>
      <c r="BL24" s="5">
        <v>76714.687999999995</v>
      </c>
      <c r="BM24" s="5">
        <v>319929.08799999999</v>
      </c>
      <c r="BN24" s="5">
        <v>7271.5672000000004</v>
      </c>
      <c r="BO24" s="5">
        <v>53589.132799999999</v>
      </c>
      <c r="BP24" s="5">
        <v>316728.41600000003</v>
      </c>
      <c r="BQ24" s="5">
        <v>330.62900000000002</v>
      </c>
      <c r="BR24" s="5">
        <v>184.27600000000001</v>
      </c>
      <c r="BS24" s="5">
        <v>1039606.374</v>
      </c>
      <c r="BT24" s="5">
        <v>1400623.503</v>
      </c>
      <c r="BU24" s="5">
        <v>633773.12</v>
      </c>
      <c r="BV24" s="5">
        <v>1035631.44</v>
      </c>
      <c r="BW24" s="5">
        <v>574002.75199999998</v>
      </c>
      <c r="BX24" s="5">
        <v>1044442.64</v>
      </c>
      <c r="BY24" s="5">
        <v>158794.16</v>
      </c>
      <c r="BZ24" s="5">
        <v>114930.272</v>
      </c>
      <c r="CA24" s="5">
        <v>1244.5895</v>
      </c>
      <c r="CB24" s="5">
        <v>109750.74400000001</v>
      </c>
      <c r="CC24" s="5">
        <v>153406.64000000001</v>
      </c>
      <c r="CD24" s="5">
        <v>451167.48800000001</v>
      </c>
      <c r="CE24" s="5">
        <v>49143.411200000002</v>
      </c>
      <c r="CF24" s="5">
        <v>156499.04</v>
      </c>
      <c r="CG24" s="5">
        <v>360956</v>
      </c>
      <c r="CH24" s="5">
        <v>2385.8710000000001</v>
      </c>
      <c r="CI24" s="5">
        <v>217.99700000000001</v>
      </c>
      <c r="CJ24" s="5">
        <v>1191.5999999999999</v>
      </c>
      <c r="CK24" s="5">
        <v>79.191999999999993</v>
      </c>
      <c r="CL24" s="5">
        <v>747.21299999999997</v>
      </c>
      <c r="CM24" s="5">
        <v>551.4</v>
      </c>
      <c r="CN24" s="5">
        <v>55765</v>
      </c>
      <c r="CO24" s="5">
        <v>1676.9469999999999</v>
      </c>
      <c r="CP24" s="5">
        <v>298658.21299999999</v>
      </c>
      <c r="CQ24" s="5">
        <v>3714159.36</v>
      </c>
      <c r="CR24" s="5">
        <v>132693.75200000001</v>
      </c>
      <c r="CS24" s="5">
        <v>521697.88799999998</v>
      </c>
      <c r="CT24" s="5">
        <v>3011676.1779999998</v>
      </c>
      <c r="CU24" s="5">
        <v>305049.65600000002</v>
      </c>
      <c r="CV24" s="5">
        <v>30243.673599999998</v>
      </c>
      <c r="CW24" s="5">
        <v>63458.911999999997</v>
      </c>
      <c r="CX24" s="5">
        <v>33560.553599999999</v>
      </c>
      <c r="CY24" s="5">
        <v>170706.64</v>
      </c>
      <c r="CZ24" s="5">
        <v>219760.35200000001</v>
      </c>
      <c r="DA24" s="5">
        <v>19313</v>
      </c>
      <c r="DB24" s="5">
        <v>152689.56200000001</v>
      </c>
      <c r="DC24" s="5">
        <v>3180.35</v>
      </c>
      <c r="DD24" s="5">
        <f>DD23+6.32</f>
        <v>3149.71</v>
      </c>
      <c r="DE24" s="5">
        <v>3209.87</v>
      </c>
      <c r="DF24" s="5">
        <v>0.997</v>
      </c>
      <c r="DG24" s="1" t="s">
        <v>255</v>
      </c>
      <c r="DH24" s="4">
        <f>Table2[[#This Row],[Date]]</f>
        <v>46259</v>
      </c>
      <c r="DI24">
        <f>(DD25-Table2[[#This Row],[MWH Total]])*4000</f>
        <v>28079.999999999927</v>
      </c>
      <c r="DJ24">
        <f>(DA25-Table2[[#This Row],[PNG Meter (Outside)]])*2.936</f>
        <v>230.094319999997</v>
      </c>
      <c r="DK24">
        <f>(DB25-Table2[[#This Row],[PNG Meter (Inside)]])*2.936</f>
        <v>318.87895999995897</v>
      </c>
      <c r="DL24" s="1">
        <f>(BH25-Table2[[#This Row],[3F Dough cooler - 2 ]])*1000</f>
        <v>397.99999999996771</v>
      </c>
      <c r="DM24">
        <f>(BI25-Table2[[#This Row],[3F Dough Cooler- 1]])*1000</f>
        <v>476.99999999997544</v>
      </c>
      <c r="DN24">
        <f>(BJ25-Table2[[#This Row],[4F Dough Production cooling Unit]])*1000</f>
        <v>60.000000000000497</v>
      </c>
      <c r="DO24">
        <f>(BQ25-Table2[[#This Row],[3F2 - PDB 3 - Dough Production Area]])*1000</f>
        <v>323.99999999995543</v>
      </c>
      <c r="DP24">
        <f>(BR25-Table2[[#This Row],[3F3 - PDB 4 - Dough Area]])*1000</f>
        <v>191.99999999997885</v>
      </c>
      <c r="DQ24">
        <f>AC25-Table2[[#This Row],[16F1 Tray washer Panel for Light]]</f>
        <v>686.71999999973923</v>
      </c>
      <c r="DR24">
        <f>CQ25-Table2[[#This Row],[2F1 Tray Washer - 1]]</f>
        <v>1300.4799999999814</v>
      </c>
      <c r="DS24">
        <f>CS25-Table2[[#This Row],[2F5 Destacker]]</f>
        <v>359.52000000001863</v>
      </c>
      <c r="DT24">
        <f>CU25-Table2[[#This Row],[5F1 Metering (TW-2)]]</f>
        <v>274.61099999997532</v>
      </c>
      <c r="DU24">
        <f>CV25-Table2[[#This Row],[6F1 Pre soaker Tray washer]]</f>
        <v>5.1488000000026659</v>
      </c>
      <c r="DV24">
        <f>CZ25-Table2[[#This Row],[6F5 Vent tray Storage]]</f>
        <v>82.655999999988126</v>
      </c>
      <c r="DW24">
        <f>I25-Table2[[#This Row],[Popeyes Meter ]]</f>
        <v>56</v>
      </c>
      <c r="DX24">
        <f>AZ25-Table2[[#This Row],[2F WH Chiller, Segregation Area]]</f>
        <v>0</v>
      </c>
      <c r="DY24" s="1">
        <f>BA25-Table2[[#This Row],[3F1 AC Unit WH dock cooling - 2 Nos]]</f>
        <v>21</v>
      </c>
      <c r="DZ24">
        <f>BB25-Table2[[#This Row],[3F2 AC Unit WH dock cooling - 3 Nos]]</f>
        <v>4.6999999999997044E-2</v>
      </c>
      <c r="EA24">
        <f>(BK25-Table2[[#This Row],[5F WH Perishable]])*1000</f>
        <v>275.99999999995362</v>
      </c>
      <c r="EB24">
        <f>BN25-Table2[[#This Row],[2F3 - PDB 9 - WH Dock Leveler Door ]]</f>
        <v>2.6311999999998079</v>
      </c>
      <c r="EC24">
        <f>BP25-Table2[[#This Row],[3F1 - PDB 5 - WH HSD]]</f>
        <v>90.687999999965541</v>
      </c>
      <c r="ED24">
        <f>BX25-Table2[[#This Row],[8F1 WH Dock AHU - Ventilation]]</f>
        <v>1469.9200000000419</v>
      </c>
      <c r="EE24">
        <f>BZ25-Table2[[#This Row],[8F3 ACPDB - 4 WH Dock air curtain]]</f>
        <v>33.263999999995576</v>
      </c>
      <c r="EF24">
        <f>CA25-Table2[[#This Row],[8F4 WH Light]]</f>
        <v>0</v>
      </c>
      <c r="EG24">
        <f>CC25-Table2[[#This Row],[9F1 - PDB 10 - WH Dock door &amp; Office]]</f>
        <v>121.58399999997346</v>
      </c>
      <c r="EH24">
        <f>CD25-Table2[[#This Row],[9F2 - PDB 11 - WH flycatchers]]</f>
        <v>239.8399999999674</v>
      </c>
      <c r="EI24">
        <f>CE25-Table2[[#This Row],[9F3 - PDB 12 - Other items]]</f>
        <v>7.8783999999941443</v>
      </c>
      <c r="EJ24">
        <f>CR25-Table2[[#This Row],[2F3 - PDB 1 - Dock 1 to 4 ]]</f>
        <v>52.495999999984633</v>
      </c>
      <c r="EK24">
        <f>BM25-Table2[[#This Row],[2F2 - PDB 3 - WH Truck &amp; Battery Charging]]</f>
        <v>434.55999999999767</v>
      </c>
      <c r="EL24">
        <f>(CK25-Table2[[#This Row],[PDB - 11 Truck Charging]])*1000</f>
        <v>53.000000000011482</v>
      </c>
      <c r="EM24">
        <f>P25-Table2[[#This Row],[5F3 Admin Area]]</f>
        <v>356.1600000000326</v>
      </c>
      <c r="EN24">
        <f>AH25-Table2[[#This Row],[2F5 Main Gate-1 Piller -1]]</f>
        <v>122.97600000002421</v>
      </c>
      <c r="EO24">
        <f>CW25-Table2[[#This Row],[6F2 Ground Floor AC]]</f>
        <v>11.987200000003213</v>
      </c>
      <c r="EP24">
        <f>CX25-Table2[[#This Row],[6F3 ACBD -1 (First floor AC)]]</f>
        <v>8.7168000000019674</v>
      </c>
      <c r="EQ24">
        <f>CY25-Table2[[#This Row],[6F4 ACBD - 2 (Second &amp; Third floor AC)]]</f>
        <v>127.45599999997648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1783.1200000001118</v>
      </c>
      <c r="EU24">
        <f>(CL25-Table2[[#This Row],[OLD Ck Panel-1]])*1000</f>
        <v>697.99999999997908</v>
      </c>
      <c r="EV24">
        <f>CM25-Table2[[#This Row],[2F4 Old CK Blast (Blue star)]]</f>
        <v>0</v>
      </c>
      <c r="EW24">
        <f>CN25-Table2[[#This Row],[3F6 Old CK Blast (Carrier)]]</f>
        <v>561.40000000000146</v>
      </c>
      <c r="EX24">
        <f>(CO25-Table2[[#This Row],[Old CK Panel -2]])*1000</f>
        <v>1238.0000000000564</v>
      </c>
      <c r="EY24">
        <f>N25-Table2[[#This Row],[4F1 Main UPS 1/C -1]]</f>
        <v>1016.9599999999627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33.000000000001251</v>
      </c>
      <c r="FC24">
        <f>BW25-Table2[[#This Row],[7F3 CLC Power Panel]]</f>
        <v>232.76800000004005</v>
      </c>
      <c r="FD24">
        <f>(CI25-Table2[[#This Row],[PDB - 17 CLC Section ]])*1000</f>
        <v>153.99999999999636</v>
      </c>
      <c r="FE24">
        <f>(W25-Table2[[#This Row],[13F3 Water &amp; Lift Old CK]])*1000</f>
        <v>706.10000000010587</v>
      </c>
      <c r="FF24">
        <f>AA25-Table2[[#This Row],[15F2 New ETP Panel]]</f>
        <v>279.74399999994785</v>
      </c>
      <c r="FG24">
        <f>AL25-Table2[[#This Row],[3F4 Old ETP Panel]]</f>
        <v>67.103999999992084</v>
      </c>
      <c r="FH24">
        <f>AF25-Table2[[#This Row],[2F1 RO Plant]]</f>
        <v>558.7839999999851</v>
      </c>
      <c r="FI24">
        <f>AK25-Table2[[#This Row],[3F3 Fire Hydrant Panel]]</f>
        <v>10.792000000001281</v>
      </c>
      <c r="FJ24">
        <f>R25-Table2[[#This Row],[7F1 Freon System Panel]]</f>
        <v>4972.160000000149</v>
      </c>
      <c r="FK24">
        <f>(AE25-Table2[[#This Row],[21F1 Refrigeration Ammonia]])*1000</f>
        <v>7797.5999999998749</v>
      </c>
      <c r="FL24">
        <f>(AG25-Table2[[#This Row],[2F3 Air Compressor]])*1000</f>
        <v>1314.0000000000782</v>
      </c>
      <c r="FM24">
        <f>(AX25-Table2[[#This Row],[Solar Reading Panel II]])*1000</f>
        <v>2688.0000000001019</v>
      </c>
      <c r="FN24">
        <f>AI25-Table2[[#This Row],[3F1 Maintenance Workshop]]</f>
        <v>3.8912000000000262</v>
      </c>
      <c r="FO24">
        <f>BD25-Table2[[#This Row],[4F B2B unit ]]</f>
        <v>35.615999999979977</v>
      </c>
      <c r="FP24">
        <f>BL25-Table2[[#This Row],[2F1 - PDB 6 - Bread, B2B section]]</f>
        <v>199.95520000001125</v>
      </c>
      <c r="FQ24" s="1">
        <f>(CG25-Table2[[#This Row],[9F5 - PDB 14 - Bread Lift]])</f>
        <v>2.2079999999841675</v>
      </c>
      <c r="FR24">
        <f>CJ25-Table2[[#This Row],[PDB - 16 Bread Section]]</f>
        <v>0</v>
      </c>
      <c r="FS24">
        <f>BU25-Table2[[#This Row],[7F1 Donut Production area]]</f>
        <v>160.38399999996182</v>
      </c>
      <c r="FT24">
        <f>CB25-Table2[[#This Row],[8F5 Donut Ban Bary]]</f>
        <v>35.239999999990687</v>
      </c>
      <c r="FU24">
        <f>CF25-Table2[[#This Row],[9F4 - PDB 13 - Donut Sink Geyser area]]</f>
        <v>9.9199999999837019</v>
      </c>
      <c r="FV24">
        <f>BV25-Table2[[#This Row],[7F2 Flour Silo]]</f>
        <v>509.76000000000931</v>
      </c>
      <c r="FW24">
        <f>BY25-Table2[[#This Row],[8F2 ACPDB - 3 SILO Ventilation]]</f>
        <v>42.592000000004191</v>
      </c>
      <c r="FX24">
        <f>J25-Table2[[#This Row],[DG 1010KVA Running Hours]]</f>
        <v>1.6000000000003638</v>
      </c>
      <c r="FY24">
        <f>K25-Table2[[#This Row],[DG 1010 KVA Meter Reading]]</f>
        <v>685</v>
      </c>
      <c r="FZ24">
        <f>L25-Table2[[#This Row],[GG 1010 KVA Running Hours]]</f>
        <v>2</v>
      </c>
      <c r="GA24">
        <f>M25-Table2[[#This Row],[GG 1010 KVA Meter Reading]]</f>
        <v>0.69999999999998863</v>
      </c>
    </row>
    <row r="25" spans="1:183" x14ac:dyDescent="0.35">
      <c r="A25" s="1">
        <v>68</v>
      </c>
      <c r="B25" s="56">
        <v>46260.393587962964</v>
      </c>
      <c r="C25" s="56">
        <v>46260.432847222219</v>
      </c>
      <c r="D25" s="1" t="s">
        <v>111</v>
      </c>
      <c r="E25" s="1"/>
      <c r="F25" s="1"/>
      <c r="G25" s="3">
        <v>46260</v>
      </c>
      <c r="H25" s="1" t="s">
        <v>182</v>
      </c>
      <c r="I25" s="5">
        <f>I24+56</f>
        <v>7638.0019999999995</v>
      </c>
      <c r="J25" s="5">
        <v>4279.5</v>
      </c>
      <c r="K25" s="5">
        <v>1778749</v>
      </c>
      <c r="L25" s="5">
        <v>459</v>
      </c>
      <c r="M25" s="5">
        <v>193.01</v>
      </c>
      <c r="N25" s="5">
        <v>1889983.04</v>
      </c>
      <c r="O25" s="5">
        <v>4642193.92</v>
      </c>
      <c r="P25" s="5">
        <v>654150.78399999999</v>
      </c>
      <c r="Q25" s="5">
        <v>8153841.2800000003</v>
      </c>
      <c r="R25" s="5">
        <v>5663352.3200000003</v>
      </c>
      <c r="S25" s="5">
        <v>7441537.2800000003</v>
      </c>
      <c r="T25" s="5">
        <v>43488826.207000002</v>
      </c>
      <c r="U25" s="5">
        <v>2132300.7999999998</v>
      </c>
      <c r="V25" s="5">
        <v>5154227.84</v>
      </c>
      <c r="W25" s="5">
        <v>1607.7898</v>
      </c>
      <c r="X25" s="5">
        <v>780096.19200000004</v>
      </c>
      <c r="Y25" s="5">
        <v>1124245.1200000001</v>
      </c>
      <c r="Z25" s="5">
        <v>2777.8894</v>
      </c>
      <c r="AA25" s="5">
        <v>674751.93599999999</v>
      </c>
      <c r="AB25" s="5">
        <v>421744.22399999999</v>
      </c>
      <c r="AC25" s="5">
        <v>2154676.96</v>
      </c>
      <c r="AD25" s="5">
        <v>4353466.7350000003</v>
      </c>
      <c r="AE25" s="5">
        <v>12969.4432</v>
      </c>
      <c r="AF25" s="5">
        <v>888104.32</v>
      </c>
      <c r="AG25" s="5">
        <v>1427.885</v>
      </c>
      <c r="AH25" s="5">
        <v>135921.63200000001</v>
      </c>
      <c r="AI25" s="5">
        <v>14746.118399999999</v>
      </c>
      <c r="AJ25" s="5">
        <v>145401.95199999999</v>
      </c>
      <c r="AK25" s="5">
        <v>105482.84</v>
      </c>
      <c r="AL25" s="5">
        <v>332226.81599999999</v>
      </c>
      <c r="AM25" s="5">
        <v>1005.684</v>
      </c>
      <c r="AN25" s="5">
        <v>280.7</v>
      </c>
      <c r="AO25" s="5">
        <v>7.3</v>
      </c>
      <c r="AP25" s="5">
        <v>685399</v>
      </c>
      <c r="AQ25" s="5">
        <v>42757</v>
      </c>
      <c r="AR25" s="5">
        <v>42212</v>
      </c>
      <c r="AS25" s="5">
        <v>32390</v>
      </c>
      <c r="AT25" s="5">
        <v>22106</v>
      </c>
      <c r="AU25" s="5">
        <v>16164</v>
      </c>
      <c r="AV25" s="5">
        <v>6736</v>
      </c>
      <c r="AW25" s="5">
        <v>21.083217999999999</v>
      </c>
      <c r="AX25" s="5">
        <v>7292.5630000000001</v>
      </c>
      <c r="AY25" s="5">
        <v>682.55016000000001</v>
      </c>
      <c r="AZ25" s="5">
        <v>20.788</v>
      </c>
      <c r="BA25" s="5">
        <v>10848</v>
      </c>
      <c r="BB25" s="5">
        <v>45.765000000000001</v>
      </c>
      <c r="BC25" s="5">
        <v>114024.568</v>
      </c>
      <c r="BD25" s="5">
        <v>277098.20799999998</v>
      </c>
      <c r="BE25" s="5">
        <v>3754.3863999999999</v>
      </c>
      <c r="BF25" s="5">
        <v>1714.182</v>
      </c>
      <c r="BG25" s="5">
        <v>75.718000000000004</v>
      </c>
      <c r="BH25" s="5">
        <v>373.64499999999998</v>
      </c>
      <c r="BI25" s="5">
        <v>926.08799999999997</v>
      </c>
      <c r="BJ25" s="5">
        <v>15.888</v>
      </c>
      <c r="BK25" s="5">
        <v>570.15</v>
      </c>
      <c r="BL25" s="5">
        <v>76914.643200000006</v>
      </c>
      <c r="BM25" s="5">
        <v>320363.64799999999</v>
      </c>
      <c r="BN25" s="5">
        <v>7274.1984000000002</v>
      </c>
      <c r="BO25" s="5">
        <v>53589.132799999999</v>
      </c>
      <c r="BP25" s="5">
        <v>316819.10399999999</v>
      </c>
      <c r="BQ25" s="5">
        <v>330.95299999999997</v>
      </c>
      <c r="BR25" s="5">
        <v>184.46799999999999</v>
      </c>
      <c r="BS25" s="5">
        <v>1040999.2070000001</v>
      </c>
      <c r="BT25" s="5">
        <v>1400623.642</v>
      </c>
      <c r="BU25" s="5">
        <v>633933.50399999996</v>
      </c>
      <c r="BV25" s="5">
        <v>1036141.2</v>
      </c>
      <c r="BW25" s="5">
        <v>574235.52</v>
      </c>
      <c r="BX25" s="5">
        <v>1045912.56</v>
      </c>
      <c r="BY25" s="5">
        <v>158836.75200000001</v>
      </c>
      <c r="BZ25" s="5">
        <v>114963.53599999999</v>
      </c>
      <c r="CA25" s="5">
        <v>1244.5895</v>
      </c>
      <c r="CB25" s="5">
        <v>109785.984</v>
      </c>
      <c r="CC25" s="5">
        <v>153528.22399999999</v>
      </c>
      <c r="CD25" s="5">
        <v>451407.32799999998</v>
      </c>
      <c r="CE25" s="5">
        <v>49151.289599999996</v>
      </c>
      <c r="CF25" s="5">
        <v>156508.96</v>
      </c>
      <c r="CG25" s="5">
        <v>360958.20799999998</v>
      </c>
      <c r="CH25" s="5">
        <v>2385.8710000000001</v>
      </c>
      <c r="CI25" s="5">
        <v>218.15100000000001</v>
      </c>
      <c r="CJ25" s="5">
        <v>1191.5999999999999</v>
      </c>
      <c r="CK25" s="5">
        <v>79.245000000000005</v>
      </c>
      <c r="CL25" s="5">
        <v>747.91099999999994</v>
      </c>
      <c r="CM25" s="5">
        <v>551.4</v>
      </c>
      <c r="CN25" s="5">
        <v>56326.400000000001</v>
      </c>
      <c r="CO25" s="5">
        <v>1678.1849999999999</v>
      </c>
      <c r="CP25" s="5">
        <v>298929.098</v>
      </c>
      <c r="CQ25" s="5">
        <v>3715459.84</v>
      </c>
      <c r="CR25" s="5">
        <v>132746.24799999999</v>
      </c>
      <c r="CS25" s="5">
        <v>522057.408</v>
      </c>
      <c r="CT25" s="5">
        <v>3015469.5660000001</v>
      </c>
      <c r="CU25" s="5">
        <v>305324.26699999999</v>
      </c>
      <c r="CV25" s="5">
        <v>30248.822400000001</v>
      </c>
      <c r="CW25" s="5">
        <v>63470.8992</v>
      </c>
      <c r="CX25" s="5">
        <v>33569.270400000001</v>
      </c>
      <c r="CY25" s="5">
        <v>170834.09599999999</v>
      </c>
      <c r="CZ25" s="5">
        <v>219843.008</v>
      </c>
      <c r="DA25" s="5">
        <v>19391.37</v>
      </c>
      <c r="DB25" s="5">
        <v>152798.17199999999</v>
      </c>
      <c r="DC25" s="5">
        <v>3186.96</v>
      </c>
      <c r="DD25" s="5">
        <f>DD24+7.02</f>
        <v>3156.73</v>
      </c>
      <c r="DE25" s="5">
        <v>3216.51</v>
      </c>
      <c r="DF25" s="5">
        <v>0.99299999999999999</v>
      </c>
      <c r="DG25" s="1" t="s">
        <v>256</v>
      </c>
      <c r="DH25" s="4">
        <f>Table2[[#This Row],[Date]]</f>
        <v>46260</v>
      </c>
      <c r="DI25">
        <f>(DD26-Table2[[#This Row],[MWH Total]])*4000</f>
        <v>24479.999999999563</v>
      </c>
      <c r="DJ25">
        <f>(DA26-Table2[[#This Row],[PNG Meter (Outside)]])*2.936</f>
        <v>66.353600000006409</v>
      </c>
      <c r="DK25">
        <f>(DB26-Table2[[#This Row],[PNG Meter (Inside)]])*2.936</f>
        <v>300.76971200002941</v>
      </c>
      <c r="DL25" s="1">
        <f>(BH26-Table2[[#This Row],[3F Dough cooler - 2 ]])*1000</f>
        <v>410.00000000002501</v>
      </c>
      <c r="DM25">
        <f>(BI26-Table2[[#This Row],[3F Dough Cooler- 1]])*1000</f>
        <v>490.99999999998545</v>
      </c>
      <c r="DN25">
        <f>(BJ26-Table2[[#This Row],[4F Dough Production cooling Unit]])*1000</f>
        <v>53.000000000000824</v>
      </c>
      <c r="DO25">
        <f>(BQ26-Table2[[#This Row],[3F2 - PDB 3 - Dough Production Area]])*1000</f>
        <v>328.00000000003138</v>
      </c>
      <c r="DP25">
        <f>(BR26-Table2[[#This Row],[3F3 - PDB 4 - Dough Area]])*1000</f>
        <v>194.00000000001683</v>
      </c>
      <c r="DQ25">
        <f>AC26-Table2[[#This Row],[16F1 Tray washer Panel for Light]]</f>
        <v>703.04000000003725</v>
      </c>
      <c r="DR25">
        <f>CQ26-Table2[[#This Row],[2F1 Tray Washer - 1]]</f>
        <v>1265.6000000000931</v>
      </c>
      <c r="DS25">
        <f>CS26-Table2[[#This Row],[2F5 Destacker]]</f>
        <v>347.03999999997905</v>
      </c>
      <c r="DT25">
        <f>CU26-Table2[[#This Row],[5F1 Metering (TW-2)]]</f>
        <v>305.58500000002095</v>
      </c>
      <c r="DU25">
        <f>CV26-Table2[[#This Row],[6F1 Pre soaker Tray washer]]</f>
        <v>6.0864000000001397</v>
      </c>
      <c r="DV25">
        <f>CZ26-Table2[[#This Row],[6F5 Vent tray Storage]]</f>
        <v>112.52799999999115</v>
      </c>
      <c r="DW25">
        <f>I26-Table2[[#This Row],[Popeyes Meter ]]</f>
        <v>53.100000000000364</v>
      </c>
      <c r="DX25">
        <f>AZ26-Table2[[#This Row],[2F WH Chiller, Segregation Area]]</f>
        <v>0</v>
      </c>
      <c r="DY25" s="1">
        <f>BA26-Table2[[#This Row],[3F1 AC Unit WH dock cooling - 2 Nos]]</f>
        <v>19</v>
      </c>
      <c r="DZ25">
        <f>BB26-Table2[[#This Row],[3F2 AC Unit WH dock cooling - 3 Nos]]</f>
        <v>4.5999999999999375E-2</v>
      </c>
      <c r="EA25">
        <f>(BK26-Table2[[#This Row],[5F WH Perishable]])*1000</f>
        <v>284.99999999996817</v>
      </c>
      <c r="EB25">
        <f>BN26-Table2[[#This Row],[2F3 - PDB 9 - WH Dock Leveler Door ]]</f>
        <v>3.221599999999853</v>
      </c>
      <c r="EC25">
        <f>BP26-Table2[[#This Row],[3F1 - PDB 5 - WH HSD]]</f>
        <v>105.28000000002794</v>
      </c>
      <c r="ED25">
        <f>BX26-Table2[[#This Row],[8F1 WH Dock AHU - Ventilation]]</f>
        <v>1485.1199999999953</v>
      </c>
      <c r="EE25">
        <f>BZ26-Table2[[#This Row],[8F3 ACPDB - 4 WH Dock air curtain]]</f>
        <v>13.768000000010943</v>
      </c>
      <c r="EF25">
        <f>CA26-Table2[[#This Row],[8F4 WH Light]]</f>
        <v>0</v>
      </c>
      <c r="EG25">
        <f>CC26-Table2[[#This Row],[9F1 - PDB 10 - WH Dock door &amp; Office]]</f>
        <v>156.88000000000466</v>
      </c>
      <c r="EH25">
        <f>CD26-Table2[[#This Row],[9F2 - PDB 11 - WH flycatchers]]</f>
        <v>260</v>
      </c>
      <c r="EI25">
        <f>CE26-Table2[[#This Row],[9F3 - PDB 12 - Other items]]</f>
        <v>3.916800000006333</v>
      </c>
      <c r="EJ25">
        <f>CR26-Table2[[#This Row],[2F3 - PDB 1 - Dock 1 to 4 ]]</f>
        <v>52.472000000008848</v>
      </c>
      <c r="EK25">
        <f>BM26-Table2[[#This Row],[2F2 - PDB 3 - WH Truck &amp; Battery Charging]]</f>
        <v>694.88000000000466</v>
      </c>
      <c r="EL25">
        <f>(CK26-Table2[[#This Row],[PDB - 11 Truck Charging]])*1000</f>
        <v>78.99999999999352</v>
      </c>
      <c r="EM25">
        <f>P26-Table2[[#This Row],[5F3 Admin Area]]</f>
        <v>389.63199999998324</v>
      </c>
      <c r="EN25">
        <f>AH26-Table2[[#This Row],[2F5 Main Gate-1 Piller -1]]</f>
        <v>131.69599999999627</v>
      </c>
      <c r="EO25">
        <f>CW26-Table2[[#This Row],[6F2 Ground Floor AC]]</f>
        <v>12.332800000003772</v>
      </c>
      <c r="EP25">
        <f>CX26-Table2[[#This Row],[6F3 ACBD -1 (First floor AC)]]</f>
        <v>8.7135999999954947</v>
      </c>
      <c r="EQ25">
        <f>CY26-Table2[[#This Row],[6F4 ACBD - 2 (Second &amp; Third floor AC)]]</f>
        <v>123.68000000002212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1741.5999999998603</v>
      </c>
      <c r="EU25">
        <f>(CL26-Table2[[#This Row],[OLD Ck Panel-1]])*1000</f>
        <v>696.00000000002638</v>
      </c>
      <c r="EV25">
        <f>CM26-Table2[[#This Row],[2F4 Old CK Blast (Blue star)]]</f>
        <v>0</v>
      </c>
      <c r="EW25">
        <f>CN26-Table2[[#This Row],[3F6 Old CK Blast (Carrier)]]</f>
        <v>561.59999999999854</v>
      </c>
      <c r="EX25">
        <f>(CO26-Table2[[#This Row],[Old CK Panel -2]])*1000</f>
        <v>1254.0000000001328</v>
      </c>
      <c r="EY25">
        <f>N26-Table2[[#This Row],[4F1 Main UPS 1/C -1]]</f>
        <v>1004.1599999999162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33.999999999991815</v>
      </c>
      <c r="FC25">
        <f>BW26-Table2[[#This Row],[7F3 CLC Power Panel]]</f>
        <v>237.0559999999823</v>
      </c>
      <c r="FD25">
        <f>(CI26-Table2[[#This Row],[PDB - 17 CLC Section ]])*1000</f>
        <v>141.99999999999591</v>
      </c>
      <c r="FE25">
        <f>(W26-Table2[[#This Row],[13F3 Water &amp; Lift Old CK]])*1000</f>
        <v>630.49999999998363</v>
      </c>
      <c r="FF25">
        <f>AA26-Table2[[#This Row],[15F2 New ETP Panel]]</f>
        <v>289.02399999997579</v>
      </c>
      <c r="FG25">
        <f>AL26-Table2[[#This Row],[3F4 Old ETP Panel]]</f>
        <v>67.967999999993481</v>
      </c>
      <c r="FH25">
        <f>AF26-Table2[[#This Row],[2F1 RO Plant]]</f>
        <v>605.82400000002235</v>
      </c>
      <c r="FI25">
        <f>AK26-Table2[[#This Row],[3F3 Fire Hydrant Panel]]</f>
        <v>9.6160000000090804</v>
      </c>
      <c r="FJ25">
        <f>R26-Table2[[#This Row],[7F1 Freon System Panel]]</f>
        <v>5161.5999999996275</v>
      </c>
      <c r="FK25">
        <f>(AE26-Table2[[#This Row],[21F1 Refrigeration Ammonia]])*1000</f>
        <v>8308.8000000007014</v>
      </c>
      <c r="FL25">
        <f>(AG26-Table2[[#This Row],[2F3 Air Compressor]])*1000</f>
        <v>1320.9999999999127</v>
      </c>
      <c r="FM25">
        <f>(AX26-Table2[[#This Row],[Solar Reading Panel II]])*1000</f>
        <v>2494.9999999998909</v>
      </c>
      <c r="FN25">
        <f>AI26-Table2[[#This Row],[3F1 Maintenance Workshop]]</f>
        <v>4.710399999999936</v>
      </c>
      <c r="FO25">
        <f>BD26-Table2[[#This Row],[4F B2B unit ]]</f>
        <v>35.391999999992549</v>
      </c>
      <c r="FP25">
        <f>BL26-Table2[[#This Row],[2F1 - PDB 6 - Bread, B2B section]]</f>
        <v>262.99519999999029</v>
      </c>
      <c r="FQ25" s="1">
        <f>(CG26-Table2[[#This Row],[9F5 - PDB 14 - Bread Lift]])</f>
        <v>4.7680000000400469</v>
      </c>
      <c r="FR25">
        <f>CJ26-Table2[[#This Row],[PDB - 16 Bread Section]]</f>
        <v>0</v>
      </c>
      <c r="FS25">
        <f>BU26-Table2[[#This Row],[7F1 Donut Production area]]</f>
        <v>196.73600000003353</v>
      </c>
      <c r="FT25">
        <f>CB26-Table2[[#This Row],[8F5 Donut Ban Bary]]</f>
        <v>43.088000000003376</v>
      </c>
      <c r="FU25">
        <f>CF26-Table2[[#This Row],[9F4 - PDB 13 - Donut Sink Geyser area]]</f>
        <v>13.184000000008382</v>
      </c>
      <c r="FV25">
        <f>BV26-Table2[[#This Row],[7F2 Flour Silo]]</f>
        <v>806.23999999999069</v>
      </c>
      <c r="FW25">
        <f>BY26-Table2[[#This Row],[8F2 ACPDB - 3 SILO Ventilation]]</f>
        <v>42.975999999995111</v>
      </c>
      <c r="FX25">
        <f>J26-Table2[[#This Row],[DG 1010KVA Running Hours]]</f>
        <v>0.3999999999996362</v>
      </c>
      <c r="FY25">
        <f>K26-Table2[[#This Row],[DG 1010 KVA Meter Reading]]</f>
        <v>160</v>
      </c>
      <c r="FZ25">
        <f>L26-Table2[[#This Row],[GG 1010 KVA Running Hours]]</f>
        <v>0</v>
      </c>
      <c r="GA25">
        <f>M26-Table2[[#This Row],[GG 1010 KVA Meter Reading]]</f>
        <v>0.15999999999999659</v>
      </c>
    </row>
    <row r="26" spans="1:183" x14ac:dyDescent="0.35">
      <c r="A26" s="1">
        <v>69</v>
      </c>
      <c r="B26" s="56">
        <v>46261.407442129632</v>
      </c>
      <c r="C26" s="56">
        <v>46261.443761574075</v>
      </c>
      <c r="D26" s="1" t="s">
        <v>111</v>
      </c>
      <c r="E26" s="1"/>
      <c r="F26" s="1"/>
      <c r="G26" s="3">
        <v>46261</v>
      </c>
      <c r="H26" s="1" t="s">
        <v>182</v>
      </c>
      <c r="I26" s="5">
        <v>7691.1019999999999</v>
      </c>
      <c r="J26" s="5">
        <v>4279.8999999999996</v>
      </c>
      <c r="K26" s="5">
        <v>1778909</v>
      </c>
      <c r="L26" s="5">
        <v>459</v>
      </c>
      <c r="M26" s="5">
        <v>193.17</v>
      </c>
      <c r="N26" s="5">
        <v>1890987.2</v>
      </c>
      <c r="O26" s="5">
        <v>4644251.5199999996</v>
      </c>
      <c r="P26" s="5">
        <v>654540.41599999997</v>
      </c>
      <c r="Q26" s="5">
        <v>8156662.4000000004</v>
      </c>
      <c r="R26" s="5">
        <v>5668513.9199999999</v>
      </c>
      <c r="S26" s="5">
        <v>7445253.7599999998</v>
      </c>
      <c r="T26" s="5">
        <v>43048838.740999997</v>
      </c>
      <c r="U26" s="5">
        <v>2134108.7999999998</v>
      </c>
      <c r="V26" s="5">
        <v>5155974.4000000004</v>
      </c>
      <c r="W26" s="5">
        <v>1608.4203</v>
      </c>
      <c r="X26" s="5">
        <v>780401.92</v>
      </c>
      <c r="Y26" s="5">
        <v>1125986.72</v>
      </c>
      <c r="Z26" s="5">
        <v>2777.8894</v>
      </c>
      <c r="AA26" s="5">
        <v>675040.96</v>
      </c>
      <c r="AB26" s="5">
        <v>421789.05599999998</v>
      </c>
      <c r="AC26" s="5">
        <v>2155380</v>
      </c>
      <c r="AD26" s="5">
        <v>4369941.1679999996</v>
      </c>
      <c r="AE26" s="5">
        <v>12977.752</v>
      </c>
      <c r="AF26" s="5">
        <v>888710.14399999997</v>
      </c>
      <c r="AG26" s="5">
        <v>1429.2059999999999</v>
      </c>
      <c r="AH26" s="5">
        <v>136053.32800000001</v>
      </c>
      <c r="AI26" s="5">
        <v>14750.828799999999</v>
      </c>
      <c r="AJ26" s="5">
        <v>145401.95199999999</v>
      </c>
      <c r="AK26" s="5">
        <v>105492.45600000001</v>
      </c>
      <c r="AL26" s="5">
        <v>332294.78399999999</v>
      </c>
      <c r="AM26" s="5">
        <v>1006.345</v>
      </c>
      <c r="AN26" s="5">
        <v>283.2</v>
      </c>
      <c r="AO26" s="5">
        <v>6.9</v>
      </c>
      <c r="AP26" s="5">
        <v>698009</v>
      </c>
      <c r="AQ26" s="5">
        <v>42787</v>
      </c>
      <c r="AR26" s="5">
        <v>42242</v>
      </c>
      <c r="AS26" s="5">
        <v>32390</v>
      </c>
      <c r="AT26" s="5">
        <v>22106</v>
      </c>
      <c r="AU26" s="5">
        <v>16194</v>
      </c>
      <c r="AV26" s="5">
        <v>6751</v>
      </c>
      <c r="AW26" s="5">
        <v>21.091242000000001</v>
      </c>
      <c r="AX26" s="5">
        <v>7295.058</v>
      </c>
      <c r="AY26" s="5">
        <v>682.67264</v>
      </c>
      <c r="AZ26" s="5">
        <v>20.788</v>
      </c>
      <c r="BA26" s="5">
        <v>10867</v>
      </c>
      <c r="BB26" s="5">
        <v>45.811</v>
      </c>
      <c r="BC26" s="5">
        <v>114024.568</v>
      </c>
      <c r="BD26" s="5">
        <v>277133.59999999998</v>
      </c>
      <c r="BE26" s="5">
        <v>3755.7080000000001</v>
      </c>
      <c r="BF26" s="5">
        <v>1714.182</v>
      </c>
      <c r="BG26" s="5">
        <v>75.751999999999995</v>
      </c>
      <c r="BH26" s="5">
        <v>374.05500000000001</v>
      </c>
      <c r="BI26" s="5">
        <v>926.57899999999995</v>
      </c>
      <c r="BJ26" s="5">
        <v>15.941000000000001</v>
      </c>
      <c r="BK26" s="5">
        <v>570.43499999999995</v>
      </c>
      <c r="BL26" s="5">
        <v>77177.638399999996</v>
      </c>
      <c r="BM26" s="5">
        <v>321058.52799999999</v>
      </c>
      <c r="BN26" s="5">
        <v>7277.42</v>
      </c>
      <c r="BO26" s="5">
        <v>53589.132799999999</v>
      </c>
      <c r="BP26" s="5">
        <v>316924.38400000002</v>
      </c>
      <c r="BQ26" s="5">
        <v>331.28100000000001</v>
      </c>
      <c r="BR26" s="5">
        <v>184.66200000000001</v>
      </c>
      <c r="BS26" s="5">
        <v>1042785.584</v>
      </c>
      <c r="BT26" s="5">
        <v>1400623.652</v>
      </c>
      <c r="BU26" s="5">
        <v>634130.24</v>
      </c>
      <c r="BV26" s="5">
        <v>1036947.44</v>
      </c>
      <c r="BW26" s="5">
        <v>574472.576</v>
      </c>
      <c r="BX26" s="5">
        <v>1047397.68</v>
      </c>
      <c r="BY26" s="5">
        <v>158879.728</v>
      </c>
      <c r="BZ26" s="5">
        <v>114977.304</v>
      </c>
      <c r="CA26" s="5">
        <v>1244.5895</v>
      </c>
      <c r="CB26" s="5">
        <v>109829.072</v>
      </c>
      <c r="CC26" s="5">
        <v>153685.10399999999</v>
      </c>
      <c r="CD26" s="5">
        <v>451667.32799999998</v>
      </c>
      <c r="CE26" s="5">
        <v>49155.206400000003</v>
      </c>
      <c r="CF26" s="5">
        <v>156522.144</v>
      </c>
      <c r="CG26" s="5">
        <v>360962.97600000002</v>
      </c>
      <c r="CH26" s="5">
        <v>2385.8710000000001</v>
      </c>
      <c r="CI26" s="5">
        <v>218.29300000000001</v>
      </c>
      <c r="CJ26" s="5">
        <v>1191.5999999999999</v>
      </c>
      <c r="CK26" s="5">
        <v>79.323999999999998</v>
      </c>
      <c r="CL26" s="5">
        <v>748.60699999999997</v>
      </c>
      <c r="CM26" s="5">
        <v>551.4</v>
      </c>
      <c r="CN26" s="5">
        <v>56888</v>
      </c>
      <c r="CO26" s="5">
        <v>1679.4390000000001</v>
      </c>
      <c r="CP26" s="5">
        <v>299208.84399999998</v>
      </c>
      <c r="CQ26" s="5">
        <v>3716725.44</v>
      </c>
      <c r="CR26" s="5">
        <v>132798.72</v>
      </c>
      <c r="CS26" s="5">
        <v>522404.44799999997</v>
      </c>
      <c r="CT26" s="5">
        <v>3019255.95</v>
      </c>
      <c r="CU26" s="5">
        <v>305629.85200000001</v>
      </c>
      <c r="CV26" s="5">
        <v>30254.908800000001</v>
      </c>
      <c r="CW26" s="5">
        <v>63483.232000000004</v>
      </c>
      <c r="CX26" s="5">
        <v>33577.983999999997</v>
      </c>
      <c r="CY26" s="5">
        <v>170957.77600000001</v>
      </c>
      <c r="CZ26" s="5">
        <v>219955.53599999999</v>
      </c>
      <c r="DA26" s="5">
        <v>19413.97</v>
      </c>
      <c r="DB26" s="5">
        <v>152900.614</v>
      </c>
      <c r="DC26" s="5">
        <v>3193.05</v>
      </c>
      <c r="DD26" s="5">
        <f>DD25+6.12</f>
        <v>3162.85</v>
      </c>
      <c r="DE26" s="5">
        <v>3222.63</v>
      </c>
      <c r="DF26" s="5">
        <v>0.996</v>
      </c>
      <c r="DG26" s="1" t="s">
        <v>183</v>
      </c>
      <c r="DH26" s="4">
        <f>Table2[[#This Row],[Date]]</f>
        <v>46261</v>
      </c>
      <c r="DI26">
        <f>(DD27-Table2[[#This Row],[MWH Total]])*4000</f>
        <v>24479.999999999563</v>
      </c>
      <c r="DJ26">
        <f>(DA27-Table2[[#This Row],[PNG Meter (Outside)]])*2.936</f>
        <v>15.267199999991455</v>
      </c>
      <c r="DK26">
        <f>(DB27-Table2[[#This Row],[PNG Meter (Inside)]])*2.936</f>
        <v>301.75914400002802</v>
      </c>
      <c r="DL26" s="1">
        <f>(BH27-Table2[[#This Row],[3F Dough cooler - 2 ]])*1000</f>
        <v>408.99999999999181</v>
      </c>
      <c r="DM26">
        <f>(BI27-Table2[[#This Row],[3F Dough Cooler- 1]])*1000</f>
        <v>483.00000000006094</v>
      </c>
      <c r="DN26">
        <f>(BJ27-Table2[[#This Row],[4F Dough Production cooling Unit]])*1000</f>
        <v>48.999999999999488</v>
      </c>
      <c r="DO26">
        <f>(BQ27-Table2[[#This Row],[3F2 - PDB 3 - Dough Production Area]])*1000</f>
        <v>240.00000000000909</v>
      </c>
      <c r="DP26">
        <f>(BR27-Table2[[#This Row],[3F3 - PDB 4 - Dough Area]])*1000</f>
        <v>150.00000000000568</v>
      </c>
      <c r="DQ26">
        <f>AC27-Table2[[#This Row],[16F1 Tray washer Panel for Light]]</f>
        <v>694.72000000020489</v>
      </c>
      <c r="DR26">
        <f>CQ27-Table2[[#This Row],[2F1 Tray Washer - 1]]</f>
        <v>1305.6000000000931</v>
      </c>
      <c r="DS26">
        <f>CS27-Table2[[#This Row],[2F5 Destacker]]</f>
        <v>309.63200000004144</v>
      </c>
      <c r="DT26">
        <f>CU27-Table2[[#This Row],[5F1 Metering (TW-2)]]</f>
        <v>286.7729999999865</v>
      </c>
      <c r="DU26">
        <f>CV27-Table2[[#This Row],[6F1 Pre soaker Tray washer]]</f>
        <v>3.1743999999998778</v>
      </c>
      <c r="DV26">
        <f>CZ27-Table2[[#This Row],[6F5 Vent tray Storage]]</f>
        <v>86.224000000016531</v>
      </c>
      <c r="DW26">
        <f>I27-Table2[[#This Row],[Popeyes Meter ]]</f>
        <v>53.100000000000364</v>
      </c>
      <c r="DX26">
        <f>AZ27-Table2[[#This Row],[2F WH Chiller, Segregation Area]]</f>
        <v>0</v>
      </c>
      <c r="DY26" s="1">
        <f>BA27-Table2[[#This Row],[3F1 AC Unit WH dock cooling - 2 Nos]]</f>
        <v>21</v>
      </c>
      <c r="DZ26">
        <f>BB27-Table2[[#This Row],[3F2 AC Unit WH dock cooling - 3 Nos]]</f>
        <v>3.7999999999996703E-2</v>
      </c>
      <c r="EA26">
        <f>(BK27-Table2[[#This Row],[5F WH Perishable]])*1000</f>
        <v>282.00000000003911</v>
      </c>
      <c r="EB26">
        <f>BN27-Table2[[#This Row],[2F3 - PDB 9 - WH Dock Leveler Door ]]</f>
        <v>5.7200000000002547</v>
      </c>
      <c r="EC26">
        <f>BP27-Table2[[#This Row],[3F1 - PDB 5 - WH HSD]]</f>
        <v>78.559999999997672</v>
      </c>
      <c r="ED26">
        <f>BX27-Table2[[#This Row],[8F1 WH Dock AHU - Ventilation]]</f>
        <v>1478.0799999999581</v>
      </c>
      <c r="EE26">
        <f>BZ27-Table2[[#This Row],[8F3 ACPDB - 4 WH Dock air curtain]]</f>
        <v>5.9519999999902211</v>
      </c>
      <c r="EF26">
        <f>CA27-Table2[[#This Row],[8F4 WH Light]]</f>
        <v>0</v>
      </c>
      <c r="EG26">
        <f>CC27-Table2[[#This Row],[9F1 - PDB 10 - WH Dock door &amp; Office]]</f>
        <v>88.464000000007218</v>
      </c>
      <c r="EH26">
        <f>CD27-Table2[[#This Row],[9F2 - PDB 11 - WH flycatchers]]</f>
        <v>366.84799999999814</v>
      </c>
      <c r="EI26">
        <f>CE27-Table2[[#This Row],[9F3 - PDB 12 - Other items]]</f>
        <v>4.118399999999383</v>
      </c>
      <c r="EJ26">
        <f>CR27-Table2[[#This Row],[2F3 - PDB 1 - Dock 1 to 4 ]]</f>
        <v>47.576000000000931</v>
      </c>
      <c r="EK26">
        <f>BM27-Table2[[#This Row],[2F2 - PDB 3 - WH Truck &amp; Battery Charging]]</f>
        <v>570.65600000001723</v>
      </c>
      <c r="EL26">
        <f>(CK27-Table2[[#This Row],[PDB - 11 Truck Charging]])*1000</f>
        <v>96.000000000003638</v>
      </c>
      <c r="EM26">
        <f>P27-Table2[[#This Row],[5F3 Admin Area]]</f>
        <v>360.12800000002608</v>
      </c>
      <c r="EN26">
        <f>AH27-Table2[[#This Row],[2F5 Main Gate-1 Piller -1]]</f>
        <v>124.95999999999185</v>
      </c>
      <c r="EO26">
        <f>CW27-Table2[[#This Row],[6F2 Ground Floor AC]]</f>
        <v>12.108799999994517</v>
      </c>
      <c r="EP26">
        <f>CX27-Table2[[#This Row],[6F3 ACBD -1 (First floor AC)]]</f>
        <v>8.508800000003248</v>
      </c>
      <c r="EQ26">
        <f>CY27-Table2[[#This Row],[6F4 ACBD - 2 (Second &amp; Third floor AC)]]</f>
        <v>143.90399999998044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1782.6400000001304</v>
      </c>
      <c r="EU26">
        <f>(CL27-Table2[[#This Row],[OLD Ck Panel-1]])*1000</f>
        <v>678.99999999997362</v>
      </c>
      <c r="EV26">
        <f>CM27-Table2[[#This Row],[2F4 Old CK Blast (Blue star)]]</f>
        <v>0</v>
      </c>
      <c r="EW26">
        <f>CN27-Table2[[#This Row],[3F6 Old CK Blast (Carrier)]]</f>
        <v>533.40000000000146</v>
      </c>
      <c r="EX26">
        <f>(CO27-Table2[[#This Row],[Old CK Panel -2]])*1000</f>
        <v>1235.9999999998763</v>
      </c>
      <c r="EY26">
        <f>N27-Table2[[#This Row],[4F1 Main UPS 1/C -1]]</f>
        <v>986.23999999999069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33.000000000001251</v>
      </c>
      <c r="FC26">
        <f>BW27-Table2[[#This Row],[7F3 CLC Power Panel]]</f>
        <v>207.68000000005122</v>
      </c>
      <c r="FD26">
        <f>(CI27-Table2[[#This Row],[PDB - 17 CLC Section ]])*1000</f>
        <v>126.00000000000477</v>
      </c>
      <c r="FE26">
        <f>(W27-Table2[[#This Row],[13F3 Water &amp; Lift Old CK]])*1000</f>
        <v>584.29999999998472</v>
      </c>
      <c r="FF26">
        <f>AA27-Table2[[#This Row],[15F2 New ETP Panel]]</f>
        <v>294.27199999999721</v>
      </c>
      <c r="FG26">
        <f>AL27-Table2[[#This Row],[3F4 Old ETP Panel]]</f>
        <v>84.511999999987893</v>
      </c>
      <c r="FH26">
        <f>AF27-Table2[[#This Row],[2F1 RO Plant]]</f>
        <v>600.51199999998789</v>
      </c>
      <c r="FI26">
        <f>AK27-Table2[[#This Row],[3F3 Fire Hydrant Panel]]</f>
        <v>11.095999999990454</v>
      </c>
      <c r="FJ26">
        <f>R27-Table2[[#This Row],[7F1 Freon System Panel]]</f>
        <v>4887.0400000000373</v>
      </c>
      <c r="FK26">
        <f>(AE27-Table2[[#This Row],[21F1 Refrigeration Ammonia]])*1000</f>
        <v>7419.2000000002736</v>
      </c>
      <c r="FL26">
        <f>(AG27-Table2[[#This Row],[2F3 Air Compressor]])*1000</f>
        <v>1322.0000000001164</v>
      </c>
      <c r="FM26">
        <f>(AX27-Table2[[#This Row],[Solar Reading Panel II]])*1000</f>
        <v>2179.0000000000873</v>
      </c>
      <c r="FN26">
        <f>AI27-Table2[[#This Row],[3F1 Maintenance Workshop]]</f>
        <v>4.8544000000001688</v>
      </c>
      <c r="FO26">
        <f>BD27-Table2[[#This Row],[4F B2B unit ]]</f>
        <v>53.536000000021886</v>
      </c>
      <c r="FP26">
        <f>BL27-Table2[[#This Row],[2F1 - PDB 6 - Bread, B2B section]]</f>
        <v>209.44000000000233</v>
      </c>
      <c r="FQ26" s="1">
        <f>(CG27-Table2[[#This Row],[9F5 - PDB 14 - Bread Lift]])</f>
        <v>3.3919999999925494</v>
      </c>
      <c r="FR26">
        <f>CJ27-Table2[[#This Row],[PDB - 16 Bread Section]]</f>
        <v>0</v>
      </c>
      <c r="FS26">
        <f>BU27-Table2[[#This Row],[7F1 Donut Production area]]</f>
        <v>192</v>
      </c>
      <c r="FT26">
        <f>CB27-Table2[[#This Row],[8F5 Donut Ban Bary]]</f>
        <v>38.543999999994412</v>
      </c>
      <c r="FU26">
        <f>CF27-Table2[[#This Row],[9F4 - PDB 13 - Donut Sink Geyser area]]</f>
        <v>44.496000000013737</v>
      </c>
      <c r="FV26">
        <f>BV27-Table2[[#This Row],[7F2 Flour Silo]]</f>
        <v>709.04000000003725</v>
      </c>
      <c r="FW26">
        <f>BY27-Table2[[#This Row],[8F2 ACPDB - 3 SILO Ventilation]]</f>
        <v>43.312000000005355</v>
      </c>
      <c r="FX26">
        <f>J27-Table2[[#This Row],[DG 1010KVA Running Hours]]</f>
        <v>0</v>
      </c>
      <c r="FY26">
        <f>K27-Table2[[#This Row],[DG 1010 KVA Meter Reading]]</f>
        <v>0</v>
      </c>
      <c r="FZ26">
        <f>L27-Table2[[#This Row],[GG 1010 KVA Running Hours]]</f>
        <v>0</v>
      </c>
      <c r="GA26">
        <f>M27-Table2[[#This Row],[GG 1010 KVA Meter Reading]]</f>
        <v>0</v>
      </c>
    </row>
    <row r="27" spans="1:183" x14ac:dyDescent="0.35">
      <c r="A27" s="1">
        <v>70</v>
      </c>
      <c r="B27" s="56">
        <v>46262.406064814815</v>
      </c>
      <c r="C27" s="56">
        <v>46262.448391203703</v>
      </c>
      <c r="D27" s="1" t="s">
        <v>111</v>
      </c>
      <c r="E27" s="1"/>
      <c r="F27" s="1"/>
      <c r="G27" s="3">
        <v>46262</v>
      </c>
      <c r="H27" s="1" t="s">
        <v>182</v>
      </c>
      <c r="I27" s="5">
        <f>I26+I26-I25</f>
        <v>7744.2020000000002</v>
      </c>
      <c r="J27" s="5">
        <v>4279.8999999999996</v>
      </c>
      <c r="K27" s="5">
        <v>1778909</v>
      </c>
      <c r="L27" s="5">
        <v>459</v>
      </c>
      <c r="M27" s="5">
        <v>193.17</v>
      </c>
      <c r="N27" s="5">
        <v>1891973.44</v>
      </c>
      <c r="O27" s="5">
        <v>4646283.5199999996</v>
      </c>
      <c r="P27" s="5">
        <v>654900.54399999999</v>
      </c>
      <c r="Q27" s="5">
        <v>8159407.3600000003</v>
      </c>
      <c r="R27" s="5">
        <v>5673400.96</v>
      </c>
      <c r="S27" s="5">
        <v>7448890.8799999999</v>
      </c>
      <c r="T27" s="5">
        <v>43514521.159999996</v>
      </c>
      <c r="U27" s="5">
        <v>2135540.7999999998</v>
      </c>
      <c r="V27" s="5">
        <v>5157703.04</v>
      </c>
      <c r="W27" s="5">
        <v>1609.0046</v>
      </c>
      <c r="X27" s="5">
        <v>780686.97600000002</v>
      </c>
      <c r="Y27" s="5">
        <v>1127769.3600000001</v>
      </c>
      <c r="Z27" s="5">
        <v>2777.8894</v>
      </c>
      <c r="AA27" s="5">
        <v>675335.23199999996</v>
      </c>
      <c r="AB27" s="5">
        <v>421834.52799999999</v>
      </c>
      <c r="AC27" s="5">
        <v>2156074.7200000002</v>
      </c>
      <c r="AD27" s="5">
        <v>4385358.7209999999</v>
      </c>
      <c r="AE27" s="5">
        <v>12985.171200000001</v>
      </c>
      <c r="AF27" s="5">
        <v>889310.65599999996</v>
      </c>
      <c r="AG27" s="5">
        <v>1430.528</v>
      </c>
      <c r="AH27" s="5">
        <v>136178.288</v>
      </c>
      <c r="AI27" s="5">
        <v>14755.683199999999</v>
      </c>
      <c r="AJ27" s="5">
        <v>145401.95199999999</v>
      </c>
      <c r="AK27" s="5">
        <v>105503.552</v>
      </c>
      <c r="AL27" s="5">
        <v>332379.29599999997</v>
      </c>
      <c r="AM27" s="5">
        <v>1006.923</v>
      </c>
      <c r="AN27" s="5">
        <v>294</v>
      </c>
      <c r="AO27" s="5">
        <v>7.6</v>
      </c>
      <c r="AP27" s="5">
        <v>708369</v>
      </c>
      <c r="AQ27" s="5">
        <v>42811</v>
      </c>
      <c r="AR27" s="5">
        <v>42266</v>
      </c>
      <c r="AS27" s="5">
        <v>32390</v>
      </c>
      <c r="AT27" s="5">
        <v>22106</v>
      </c>
      <c r="AU27" s="5">
        <v>16218</v>
      </c>
      <c r="AV27" s="5">
        <v>6764</v>
      </c>
      <c r="AW27" s="5">
        <v>21.098406000000001</v>
      </c>
      <c r="AX27" s="5">
        <v>7297.2370000000001</v>
      </c>
      <c r="AY27" s="5">
        <v>682.79751999999996</v>
      </c>
      <c r="AZ27" s="5">
        <v>20.788</v>
      </c>
      <c r="BA27" s="5">
        <v>10888</v>
      </c>
      <c r="BB27" s="5">
        <v>45.848999999999997</v>
      </c>
      <c r="BC27" s="5">
        <v>114024.568</v>
      </c>
      <c r="BD27" s="5">
        <v>277187.136</v>
      </c>
      <c r="BE27" s="5">
        <v>3757.0131999999999</v>
      </c>
      <c r="BF27" s="5">
        <v>1714.182</v>
      </c>
      <c r="BG27" s="5">
        <v>75.784999999999997</v>
      </c>
      <c r="BH27" s="5">
        <v>374.464</v>
      </c>
      <c r="BI27" s="5">
        <v>927.06200000000001</v>
      </c>
      <c r="BJ27" s="5">
        <v>15.99</v>
      </c>
      <c r="BK27" s="5">
        <v>570.71699999999998</v>
      </c>
      <c r="BL27" s="5">
        <v>77387.078399999999</v>
      </c>
      <c r="BM27" s="5">
        <v>321629.18400000001</v>
      </c>
      <c r="BN27" s="5">
        <v>7283.14</v>
      </c>
      <c r="BO27" s="5">
        <v>53589.132799999999</v>
      </c>
      <c r="BP27" s="5">
        <v>317002.94400000002</v>
      </c>
      <c r="BQ27" s="5">
        <v>331.52100000000002</v>
      </c>
      <c r="BR27" s="5">
        <v>184.81200000000001</v>
      </c>
      <c r="BS27" s="5">
        <v>1044188.879</v>
      </c>
      <c r="BT27" s="5">
        <v>1400623.656</v>
      </c>
      <c r="BU27" s="5">
        <v>634322.24</v>
      </c>
      <c r="BV27" s="5">
        <v>1037656.48</v>
      </c>
      <c r="BW27" s="5">
        <v>574680.25600000005</v>
      </c>
      <c r="BX27" s="5">
        <v>1048875.76</v>
      </c>
      <c r="BY27" s="5">
        <v>158923.04</v>
      </c>
      <c r="BZ27" s="5">
        <v>114983.25599999999</v>
      </c>
      <c r="CA27" s="5">
        <v>1244.5895</v>
      </c>
      <c r="CB27" s="5">
        <v>109867.61599999999</v>
      </c>
      <c r="CC27" s="5">
        <v>153773.568</v>
      </c>
      <c r="CD27" s="5">
        <v>452034.17599999998</v>
      </c>
      <c r="CE27" s="5">
        <v>49159.324800000002</v>
      </c>
      <c r="CF27" s="5">
        <v>156566.64000000001</v>
      </c>
      <c r="CG27" s="5">
        <v>360966.36800000002</v>
      </c>
      <c r="CH27" s="5">
        <v>2385.8710000000001</v>
      </c>
      <c r="CI27" s="5">
        <v>218.41900000000001</v>
      </c>
      <c r="CJ27" s="5">
        <v>1191.5999999999999</v>
      </c>
      <c r="CK27" s="5">
        <v>79.42</v>
      </c>
      <c r="CL27" s="5">
        <v>749.28599999999994</v>
      </c>
      <c r="CM27" s="5">
        <v>551.4</v>
      </c>
      <c r="CN27" s="5">
        <v>57421.4</v>
      </c>
      <c r="CO27" s="5">
        <v>1680.675</v>
      </c>
      <c r="CP27" s="5">
        <v>299479.5</v>
      </c>
      <c r="CQ27" s="5">
        <v>3718031.04</v>
      </c>
      <c r="CR27" s="5">
        <v>132846.296</v>
      </c>
      <c r="CS27" s="5">
        <v>522714.08</v>
      </c>
      <c r="CT27" s="5">
        <v>3022968.1209999998</v>
      </c>
      <c r="CU27" s="5">
        <v>305916.625</v>
      </c>
      <c r="CV27" s="5">
        <v>30258.083200000001</v>
      </c>
      <c r="CW27" s="5">
        <v>63495.340799999998</v>
      </c>
      <c r="CX27" s="5">
        <v>33586.4928</v>
      </c>
      <c r="CY27" s="5">
        <v>171101.68</v>
      </c>
      <c r="CZ27" s="5">
        <v>220041.76</v>
      </c>
      <c r="DA27" s="5">
        <v>19419.169999999998</v>
      </c>
      <c r="DB27" s="5">
        <v>153003.39300000001</v>
      </c>
      <c r="DC27" s="5">
        <v>3200.21</v>
      </c>
      <c r="DD27" s="5">
        <f>DD26+DD26-DD25</f>
        <v>3168.97</v>
      </c>
      <c r="DE27" s="5">
        <v>3229.79</v>
      </c>
      <c r="DF27" s="5">
        <v>0.995</v>
      </c>
      <c r="DG27" s="1" t="s">
        <v>216</v>
      </c>
      <c r="DH27" s="4">
        <f>Table2[[#This Row],[Date]]</f>
        <v>46262</v>
      </c>
      <c r="DI27">
        <f>(DD28-Table2[[#This Row],[MWH Total]])*4000</f>
        <v>24479.999999999563</v>
      </c>
      <c r="DJ27">
        <f>(DA28-Table2[[#This Row],[PNG Meter (Outside)]])*2.936</f>
        <v>0.91016000000384523</v>
      </c>
      <c r="DK27">
        <f>(DB28-Table2[[#This Row],[PNG Meter (Inside)]])*2.936</f>
        <v>129.45117599995831</v>
      </c>
      <c r="DL27" s="1">
        <f>(BH28-Table2[[#This Row],[3F Dough cooler - 2 ]])*1000</f>
        <v>399.99999999997726</v>
      </c>
      <c r="DM27">
        <f>(BI28-Table2[[#This Row],[3F Dough Cooler- 1]])*1000</f>
        <v>480.99999999999454</v>
      </c>
      <c r="DN27">
        <f>(BJ28-Table2[[#This Row],[4F Dough Production cooling Unit]])*1000</f>
        <v>48.000000000000043</v>
      </c>
      <c r="DO27">
        <f>(BQ28-Table2[[#This Row],[3F2 - PDB 3 - Dough Production Area]])*1000</f>
        <v>211.00000000001273</v>
      </c>
      <c r="DP27">
        <f>(BR28-Table2[[#This Row],[3F3 - PDB 4 - Dough Area]])*1000</f>
        <v>117.999999999995</v>
      </c>
      <c r="DQ27">
        <f>AC28-Table2[[#This Row],[16F1 Tray washer Panel for Light]]</f>
        <v>694.71999999973923</v>
      </c>
      <c r="DR27">
        <f>CQ28-Table2[[#This Row],[2F1 Tray Washer - 1]]</f>
        <v>1244.160000000149</v>
      </c>
      <c r="DS27">
        <f>CS28-Table2[[#This Row],[2F5 Destacker]]</f>
        <v>289.72800000000279</v>
      </c>
      <c r="DT27">
        <f>CU28-Table2[[#This Row],[5F1 Metering (TW-2)]]</f>
        <v>249.06400000001304</v>
      </c>
      <c r="DU27">
        <f>CV28-Table2[[#This Row],[6F1 Pre soaker Tray washer]]</f>
        <v>1.8335999999981141</v>
      </c>
      <c r="DV27">
        <f>CZ28-Table2[[#This Row],[6F5 Vent tray Storage]]</f>
        <v>69.055999999982305</v>
      </c>
      <c r="DW27">
        <f>I28-Table2[[#This Row],[Popeyes Meter ]]</f>
        <v>42.010000000000218</v>
      </c>
      <c r="DX27">
        <f>AZ28-Table2[[#This Row],[2F WH Chiller, Segregation Area]]</f>
        <v>0</v>
      </c>
      <c r="DY27" s="1">
        <f>BA28-Table2[[#This Row],[3F1 AC Unit WH dock cooling - 2 Nos]]</f>
        <v>16</v>
      </c>
      <c r="DZ27">
        <f>BB28-Table2[[#This Row],[3F2 AC Unit WH dock cooling - 3 Nos]]</f>
        <v>2.9000000000003467E-2</v>
      </c>
      <c r="EA27">
        <f>(BK28-Table2[[#This Row],[5F WH Perishable]])*1000</f>
        <v>277.00000000004366</v>
      </c>
      <c r="EB27">
        <f>BN28-Table2[[#This Row],[2F3 - PDB 9 - WH Dock Leveler Door ]]</f>
        <v>4.2831999999998516</v>
      </c>
      <c r="EC27">
        <f>BP28-Table2[[#This Row],[3F1 - PDB 5 - WH HSD]]</f>
        <v>108.3519999999553</v>
      </c>
      <c r="ED27">
        <f>BX28-Table2[[#This Row],[8F1 WH Dock AHU - Ventilation]]</f>
        <v>1458.3999999999069</v>
      </c>
      <c r="EE27">
        <f>BZ28-Table2[[#This Row],[8F3 ACPDB - 4 WH Dock air curtain]]</f>
        <v>0.26400000001012813</v>
      </c>
      <c r="EF27">
        <f>CA28-Table2[[#This Row],[8F4 WH Light]]</f>
        <v>0</v>
      </c>
      <c r="EG27">
        <f>CC28-Table2[[#This Row],[9F1 - PDB 10 - WH Dock door &amp; Office]]</f>
        <v>102.41599999999744</v>
      </c>
      <c r="EH27">
        <f>CD28-Table2[[#This Row],[9F2 - PDB 11 - WH flycatchers]]</f>
        <v>159.84000000002561</v>
      </c>
      <c r="EI27">
        <f>CE28-Table2[[#This Row],[9F3 - PDB 12 - Other items]]</f>
        <v>4.2431999999971595</v>
      </c>
      <c r="EJ27">
        <f>CR28-Table2[[#This Row],[2F3 - PDB 1 - Dock 1 to 4 ]]</f>
        <v>62.440000000002328</v>
      </c>
      <c r="EK27">
        <f>BM28-Table2[[#This Row],[2F2 - PDB 3 - WH Truck &amp; Battery Charging]]</f>
        <v>604.83199999999488</v>
      </c>
      <c r="EL27">
        <f>(CK28-Table2[[#This Row],[PDB - 11 Truck Charging]])*1000</f>
        <v>36.000000000001364</v>
      </c>
      <c r="EM27">
        <f>P28-Table2[[#This Row],[5F3 Admin Area]]</f>
        <v>435.71200000005774</v>
      </c>
      <c r="EN27">
        <f>AH28-Table2[[#This Row],[2F5 Main Gate-1 Piller -1]]</f>
        <v>117.80799999998999</v>
      </c>
      <c r="EO27">
        <f>CW28-Table2[[#This Row],[6F2 Ground Floor AC]]</f>
        <v>10.585599999998522</v>
      </c>
      <c r="EP27">
        <f>CX28-Table2[[#This Row],[6F3 ACBD -1 (First floor AC)]]</f>
        <v>8.4927999999999884</v>
      </c>
      <c r="EQ27">
        <f>CY28-Table2[[#This Row],[6F4 ACBD - 2 (Second &amp; Third floor AC)]]</f>
        <v>132.3520000000135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1133.1199999998789</v>
      </c>
      <c r="EU27">
        <f>(CL28-Table2[[#This Row],[OLD Ck Panel-1]])*1000</f>
        <v>242.00000000007549</v>
      </c>
      <c r="EV27">
        <f>CM28-Table2[[#This Row],[2F4 Old CK Blast (Blue star)]]</f>
        <v>0</v>
      </c>
      <c r="EW27">
        <f>CN28-Table2[[#This Row],[3F6 Old CK Blast (Carrier)]]</f>
        <v>101.69999999999709</v>
      </c>
      <c r="EX27">
        <f>(CO28-Table2[[#This Row],[Old CK Panel -2]])*1000</f>
        <v>1294.0000000000964</v>
      </c>
      <c r="EY27">
        <f>N28-Table2[[#This Row],[4F1 Main UPS 1/C -1]]</f>
        <v>885.76000000000931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10.000000000005116</v>
      </c>
      <c r="FC27">
        <f>BW28-Table2[[#This Row],[7F3 CLC Power Panel]]</f>
        <v>198.59199999994598</v>
      </c>
      <c r="FD27">
        <f>(CI28-Table2[[#This Row],[PDB - 17 CLC Section ]])*1000</f>
        <v>114.99999999998067</v>
      </c>
      <c r="FE27">
        <f>(W28-Table2[[#This Row],[13F3 Water &amp; Lift Old CK]])*1000</f>
        <v>861.10000000007858</v>
      </c>
      <c r="FF27">
        <f>AA28-Table2[[#This Row],[15F2 New ETP Panel]]</f>
        <v>267.32800000009593</v>
      </c>
      <c r="FG27">
        <f>AL28-Table2[[#This Row],[3F4 Old ETP Panel]]</f>
        <v>64.224000000045635</v>
      </c>
      <c r="FH27">
        <f>AF28-Table2[[#This Row],[2F1 RO Plant]]</f>
        <v>567.48800000001211</v>
      </c>
      <c r="FI27">
        <f>AK28-Table2[[#This Row],[3F3 Fire Hydrant Panel]]</f>
        <v>12.512000000002445</v>
      </c>
      <c r="FJ27">
        <f>R28-Table2[[#This Row],[7F1 Freon System Panel]]</f>
        <v>3756.7999999998137</v>
      </c>
      <c r="FK27">
        <f>(AE28-Table2[[#This Row],[21F1 Refrigeration Ammonia]])*1000</f>
        <v>6726.3999999995576</v>
      </c>
      <c r="FL27">
        <f>(AG28-Table2[[#This Row],[2F3 Air Compressor]])*1000</f>
        <v>1346.0000000000036</v>
      </c>
      <c r="FM27">
        <f>(AX28-Table2[[#This Row],[Solar Reading Panel II]])*1000</f>
        <v>3360.9999999998763</v>
      </c>
      <c r="FN27">
        <f>AI28-Table2[[#This Row],[3F1 Maintenance Workshop]]</f>
        <v>4.1296000000002095</v>
      </c>
      <c r="FO27">
        <f>BD28-Table2[[#This Row],[4F B2B unit ]]</f>
        <v>15.840000000025611</v>
      </c>
      <c r="FP27">
        <f>BL28-Table2[[#This Row],[2F1 - PDB 6 - Bread, B2B section]]</f>
        <v>113.04959999999846</v>
      </c>
      <c r="FQ27" s="1">
        <f>(CG28-Table2[[#This Row],[9F5 - PDB 14 - Bread Lift]])</f>
        <v>0.38399999996181577</v>
      </c>
      <c r="FR27">
        <f>CJ28-Table2[[#This Row],[PDB - 16 Bread Section]]</f>
        <v>0</v>
      </c>
      <c r="FS27">
        <f>BU28-Table2[[#This Row],[7F1 Donut Production area]]</f>
        <v>200.12800000002608</v>
      </c>
      <c r="FT27">
        <f>CB28-Table2[[#This Row],[8F5 Donut Ban Bary]]</f>
        <v>44.720000000001164</v>
      </c>
      <c r="FU27">
        <f>CF28-Table2[[#This Row],[9F4 - PDB 13 - Donut Sink Geyser area]]</f>
        <v>24.303999999974621</v>
      </c>
      <c r="FV27">
        <f>BV28-Table2[[#This Row],[7F2 Flour Silo]]</f>
        <v>404.23999999999069</v>
      </c>
      <c r="FW27">
        <f>BY28-Table2[[#This Row],[8F2 ACPDB - 3 SILO Ventilation]]</f>
        <v>43.119999999995343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71</v>
      </c>
      <c r="B28" s="56">
        <v>46263.412407407406</v>
      </c>
      <c r="C28" s="56">
        <v>46263.450868055559</v>
      </c>
      <c r="D28" s="1" t="s">
        <v>111</v>
      </c>
      <c r="E28" s="1"/>
      <c r="F28" s="1"/>
      <c r="G28" s="3">
        <v>46263</v>
      </c>
      <c r="H28" s="1" t="s">
        <v>182</v>
      </c>
      <c r="I28" s="5">
        <v>7786.2120000000004</v>
      </c>
      <c r="J28" s="5">
        <v>4279.8999999999996</v>
      </c>
      <c r="K28" s="5">
        <v>1778909</v>
      </c>
      <c r="L28" s="5">
        <v>459</v>
      </c>
      <c r="M28" s="5">
        <v>193.17</v>
      </c>
      <c r="N28" s="5">
        <v>1892859.2</v>
      </c>
      <c r="O28" s="5">
        <v>4648264</v>
      </c>
      <c r="P28" s="5">
        <v>655336.25600000005</v>
      </c>
      <c r="Q28" s="5">
        <v>8162478.7199999997</v>
      </c>
      <c r="R28" s="5">
        <v>5677157.7599999998</v>
      </c>
      <c r="S28" s="5">
        <v>7452460.7999999998</v>
      </c>
      <c r="T28" s="5">
        <v>43524001.053000003</v>
      </c>
      <c r="U28" s="5">
        <v>2136797.44</v>
      </c>
      <c r="V28" s="5">
        <v>5159407.3600000003</v>
      </c>
      <c r="W28" s="5">
        <v>1609.8657000000001</v>
      </c>
      <c r="X28" s="5">
        <v>780941.63199999998</v>
      </c>
      <c r="Y28" s="5">
        <v>1128902.48</v>
      </c>
      <c r="Z28" s="5">
        <v>2777.8894</v>
      </c>
      <c r="AA28" s="5">
        <v>675602.56</v>
      </c>
      <c r="AB28" s="5">
        <v>421868.25599999999</v>
      </c>
      <c r="AC28" s="5">
        <v>2156769.44</v>
      </c>
      <c r="AD28" s="5">
        <v>4398902.0990000004</v>
      </c>
      <c r="AE28" s="5">
        <v>12991.8976</v>
      </c>
      <c r="AF28" s="5">
        <v>889878.14399999997</v>
      </c>
      <c r="AG28" s="5">
        <v>1431.874</v>
      </c>
      <c r="AH28" s="5">
        <v>136296.09599999999</v>
      </c>
      <c r="AI28" s="5">
        <v>14759.8128</v>
      </c>
      <c r="AJ28" s="5">
        <v>145401.95199999999</v>
      </c>
      <c r="AK28" s="5">
        <v>105516.064</v>
      </c>
      <c r="AL28" s="5">
        <v>332443.52000000002</v>
      </c>
      <c r="AM28" s="5">
        <v>1007.4690000000001</v>
      </c>
      <c r="AN28" s="5">
        <v>199.9</v>
      </c>
      <c r="AO28" s="5">
        <v>7.3</v>
      </c>
      <c r="AP28" s="5">
        <v>719261</v>
      </c>
      <c r="AQ28" s="5">
        <v>42835</v>
      </c>
      <c r="AR28" s="5">
        <v>42290</v>
      </c>
      <c r="AS28" s="5">
        <v>32390</v>
      </c>
      <c r="AT28" s="5">
        <v>22106</v>
      </c>
      <c r="AU28" s="5">
        <v>16242</v>
      </c>
      <c r="AV28" s="5">
        <v>6778</v>
      </c>
      <c r="AW28" s="5">
        <v>21.104932000000002</v>
      </c>
      <c r="AX28" s="5">
        <v>7300.598</v>
      </c>
      <c r="AY28" s="5">
        <v>682.88679999999999</v>
      </c>
      <c r="AZ28" s="5">
        <v>20.788</v>
      </c>
      <c r="BA28" s="5">
        <v>10904</v>
      </c>
      <c r="BB28" s="5">
        <v>45.878</v>
      </c>
      <c r="BC28" s="5">
        <v>114024.568</v>
      </c>
      <c r="BD28" s="5">
        <v>277202.97600000002</v>
      </c>
      <c r="BE28" s="5">
        <v>3758.2831999999999</v>
      </c>
      <c r="BF28" s="5">
        <v>1714.182</v>
      </c>
      <c r="BG28" s="5">
        <v>75.795000000000002</v>
      </c>
      <c r="BH28" s="5">
        <v>374.86399999999998</v>
      </c>
      <c r="BI28" s="5">
        <v>927.54300000000001</v>
      </c>
      <c r="BJ28" s="5">
        <v>16.038</v>
      </c>
      <c r="BK28" s="5">
        <v>570.99400000000003</v>
      </c>
      <c r="BL28" s="5">
        <v>77500.127999999997</v>
      </c>
      <c r="BM28" s="5">
        <v>322234.016</v>
      </c>
      <c r="BN28" s="5">
        <v>7287.4232000000002</v>
      </c>
      <c r="BO28" s="5">
        <v>53589.132799999999</v>
      </c>
      <c r="BP28" s="5">
        <v>317111.29599999997</v>
      </c>
      <c r="BQ28" s="5">
        <v>331.73200000000003</v>
      </c>
      <c r="BR28" s="5">
        <v>184.93</v>
      </c>
      <c r="BS28" s="5">
        <v>1045424.602</v>
      </c>
      <c r="BT28" s="5">
        <v>1400626.8089999999</v>
      </c>
      <c r="BU28" s="5">
        <v>634522.36800000002</v>
      </c>
      <c r="BV28" s="5">
        <v>1038060.72</v>
      </c>
      <c r="BW28" s="5">
        <v>574878.848</v>
      </c>
      <c r="BX28" s="5">
        <v>1050334.1599999999</v>
      </c>
      <c r="BY28" s="5">
        <v>158966.16</v>
      </c>
      <c r="BZ28" s="5">
        <v>114983.52</v>
      </c>
      <c r="CA28" s="5">
        <v>1244.5895</v>
      </c>
      <c r="CB28" s="5">
        <v>109912.336</v>
      </c>
      <c r="CC28" s="5">
        <v>153875.984</v>
      </c>
      <c r="CD28" s="5">
        <v>452194.016</v>
      </c>
      <c r="CE28" s="5">
        <v>49163.567999999999</v>
      </c>
      <c r="CF28" s="5">
        <v>156590.94399999999</v>
      </c>
      <c r="CG28" s="5">
        <v>360966.75199999998</v>
      </c>
      <c r="CH28" s="5">
        <v>2385.8710000000001</v>
      </c>
      <c r="CI28" s="5">
        <v>218.53399999999999</v>
      </c>
      <c r="CJ28" s="5">
        <v>1191.5999999999999</v>
      </c>
      <c r="CK28" s="5">
        <v>79.456000000000003</v>
      </c>
      <c r="CL28" s="5">
        <v>749.52800000000002</v>
      </c>
      <c r="CM28" s="5">
        <v>551.4</v>
      </c>
      <c r="CN28" s="5">
        <v>57523.1</v>
      </c>
      <c r="CO28" s="5">
        <v>1681.9690000000001</v>
      </c>
      <c r="CP28" s="5">
        <v>299735.80200000003</v>
      </c>
      <c r="CQ28" s="5">
        <v>3719275.2</v>
      </c>
      <c r="CR28" s="5">
        <v>132908.736</v>
      </c>
      <c r="CS28" s="5">
        <v>523003.80800000002</v>
      </c>
      <c r="CT28" s="5">
        <v>3026616.6940000001</v>
      </c>
      <c r="CU28" s="5">
        <v>306165.68900000001</v>
      </c>
      <c r="CV28" s="5">
        <v>30259.916799999999</v>
      </c>
      <c r="CW28" s="5">
        <v>63505.926399999997</v>
      </c>
      <c r="CX28" s="5">
        <v>33594.9856</v>
      </c>
      <c r="CY28" s="5">
        <v>171234.03200000001</v>
      </c>
      <c r="CZ28" s="5">
        <v>220110.81599999999</v>
      </c>
      <c r="DA28" s="5">
        <v>19419.48</v>
      </c>
      <c r="DB28" s="5">
        <v>153047.484</v>
      </c>
      <c r="DC28" s="5">
        <v>3205.58</v>
      </c>
      <c r="DD28" s="5">
        <f t="shared" ref="DD28:DD29" si="0">DD27+DD27-DD26</f>
        <v>3175.0899999999997</v>
      </c>
      <c r="DE28" s="5">
        <v>3235.35</v>
      </c>
      <c r="DF28" s="5">
        <v>0.998</v>
      </c>
      <c r="DG28" s="1" t="s">
        <v>260</v>
      </c>
      <c r="DH28" s="4">
        <f>Table2[[#This Row],[Date]]</f>
        <v>46263</v>
      </c>
      <c r="DI28">
        <f>(DD29-Table2[[#This Row],[MWH Total]])*4000</f>
        <v>24479.999999999563</v>
      </c>
      <c r="DJ28">
        <f>(DA29-Table2[[#This Row],[PNG Meter (Outside)]])*2.936</f>
        <v>12.066960000001709</v>
      </c>
      <c r="DK28">
        <f>(DB29-Table2[[#This Row],[PNG Meter (Inside)]])*2.936</f>
        <v>302.58709600004715</v>
      </c>
      <c r="DL28" s="1">
        <f>(BH29-Table2[[#This Row],[3F Dough cooler - 2 ]])*1000</f>
        <v>395.00000000003865</v>
      </c>
      <c r="DM28">
        <f>(BI29-Table2[[#This Row],[3F Dough Cooler- 1]])*1000</f>
        <v>855.99999999999454</v>
      </c>
      <c r="DN28">
        <f>(BJ29-Table2[[#This Row],[4F Dough Production cooling Unit]])*1000</f>
        <v>100.99999999999909</v>
      </c>
      <c r="DO28">
        <f>(BQ29-Table2[[#This Row],[3F2 - PDB 3 - Dough Production Area]])*1000</f>
        <v>400.99999999995362</v>
      </c>
      <c r="DP28">
        <f>(BR29-Table2[[#This Row],[3F3 - PDB 4 - Dough Area]])*1000</f>
        <v>234.99999999998522</v>
      </c>
      <c r="DQ28">
        <f>AC29-Table2[[#This Row],[16F1 Tray washer Panel for Light]]</f>
        <v>1404.8000000002794</v>
      </c>
      <c r="DR28">
        <f>CQ29-Table2[[#This Row],[2F1 Tray Washer - 1]]</f>
        <v>2928.6399999996647</v>
      </c>
      <c r="DS28">
        <f>CS29-Table2[[#This Row],[2F5 Destacker]]</f>
        <v>629.72800000000279</v>
      </c>
      <c r="DT28">
        <f>CU29-Table2[[#This Row],[5F1 Metering (TW-2)]]</f>
        <v>515.32699999999022</v>
      </c>
      <c r="DU28">
        <f>CV29-Table2[[#This Row],[6F1 Pre soaker Tray washer]]</f>
        <v>3.1999999991967343E-3</v>
      </c>
      <c r="DV28">
        <f>CZ29-Table2[[#This Row],[6F5 Vent tray Storage]]</f>
        <v>102.72000000000116</v>
      </c>
      <c r="DW28">
        <f>I29-Table2[[#This Row],[Popeyes Meter ]]</f>
        <v>24.019999999999527</v>
      </c>
      <c r="DX28">
        <f>AZ29-Table2[[#This Row],[2F WH Chiller, Segregation Area]]</f>
        <v>0</v>
      </c>
      <c r="DY28" s="1">
        <f>BA29-Table2[[#This Row],[3F1 AC Unit WH dock cooling - 2 Nos]]</f>
        <v>27</v>
      </c>
      <c r="DZ28">
        <f>BB29-Table2[[#This Row],[3F2 AC Unit WH dock cooling - 3 Nos]]</f>
        <v>5.700000000000216E-2</v>
      </c>
      <c r="EA28">
        <f>(BK29-Table2[[#This Row],[5F WH Perishable]])*1000</f>
        <v>552.99999999999727</v>
      </c>
      <c r="EB28">
        <f>BN29-Table2[[#This Row],[2F3 - PDB 9 - WH Dock Leveler Door ]]</f>
        <v>8.4687999999996464</v>
      </c>
      <c r="EC28">
        <f>BP29-Table2[[#This Row],[3F1 - PDB 5 - WH HSD]]</f>
        <v>211.10400000005029</v>
      </c>
      <c r="ED28">
        <f>BX29-Table2[[#This Row],[8F1 WH Dock AHU - Ventilation]]</f>
        <v>2942.4799999999814</v>
      </c>
      <c r="EE28">
        <f>BZ29-Table2[[#This Row],[8F3 ACPDB - 4 WH Dock air curtain]]</f>
        <v>18.144000000000233</v>
      </c>
      <c r="EF28">
        <f>CA29-Table2[[#This Row],[8F4 WH Light]]</f>
        <v>0</v>
      </c>
      <c r="EG28">
        <f>CC29-Table2[[#This Row],[9F1 - PDB 10 - WH Dock door &amp; Office]]</f>
        <v>186.27199999999721</v>
      </c>
      <c r="EH28">
        <f>CD29-Table2[[#This Row],[9F2 - PDB 11 - WH flycatchers]]</f>
        <v>215.58399999997346</v>
      </c>
      <c r="EI28">
        <f>CE29-Table2[[#This Row],[9F3 - PDB 12 - Other items]]</f>
        <v>1.7248000000035972</v>
      </c>
      <c r="EJ28">
        <f>CR29-Table2[[#This Row],[2F3 - PDB 1 - Dock 1 to 4 ]]</f>
        <v>116.88800000000629</v>
      </c>
      <c r="EK28">
        <f>BM29-Table2[[#This Row],[2F2 - PDB 3 - WH Truck &amp; Battery Charging]]</f>
        <v>1299.359999999986</v>
      </c>
      <c r="EL28">
        <f>(CK29-Table2[[#This Row],[PDB - 11 Truck Charging]])*1000</f>
        <v>42.000000000001592</v>
      </c>
      <c r="EM28">
        <f>P29-Table2[[#This Row],[5F3 Admin Area]]</f>
        <v>687.93599999998696</v>
      </c>
      <c r="EN28">
        <f>AH29-Table2[[#This Row],[2F5 Main Gate-1 Piller -1]]</f>
        <v>242.32000000000698</v>
      </c>
      <c r="EO28">
        <f>CW29-Table2[[#This Row],[6F2 Ground Floor AC]]</f>
        <v>19.699200000002747</v>
      </c>
      <c r="EP28">
        <f>CX29-Table2[[#This Row],[6F3 ACBD -1 (First floor AC)]]</f>
        <v>17.062400000002526</v>
      </c>
      <c r="EQ28">
        <f>CY29-Table2[[#This Row],[6F4 ACBD - 2 (Second &amp; Third floor AC)]]</f>
        <v>331.75999999998021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1877.3600000001024</v>
      </c>
      <c r="EU28">
        <f>(CL29-Table2[[#This Row],[OLD Ck Panel-1]])*1000</f>
        <v>153.99999999999636</v>
      </c>
      <c r="EV28">
        <f>CM29-Table2[[#This Row],[2F4 Old CK Blast (Blue star)]]</f>
        <v>0</v>
      </c>
      <c r="EW28">
        <f>CN29-Table2[[#This Row],[3F6 Old CK Blast (Carrier)]]</f>
        <v>19.80000000000291</v>
      </c>
      <c r="EX28">
        <f>(CO29-Table2[[#This Row],[Old CK Panel -2]])*1000</f>
        <v>2148.9999999998872</v>
      </c>
      <c r="EY28">
        <f>N29-Table2[[#This Row],[4F1 Main UPS 1/C -1]]</f>
        <v>1816.9599999999627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49.999999999997158</v>
      </c>
      <c r="FC28">
        <f>BW29-Table2[[#This Row],[7F3 CLC Power Panel]]</f>
        <v>405.11999999999534</v>
      </c>
      <c r="FD28">
        <f>(CI29-Table2[[#This Row],[PDB - 17 CLC Section ]])*1000</f>
        <v>254.99999999999545</v>
      </c>
      <c r="FE28">
        <f>(W29-Table2[[#This Row],[13F3 Water &amp; Lift Old CK]])*1000</f>
        <v>1172.0000000000255</v>
      </c>
      <c r="FF28">
        <f>AA29-Table2[[#This Row],[15F2 New ETP Panel]]</f>
        <v>579.90399999998044</v>
      </c>
      <c r="FG28">
        <f>AL29-Table2[[#This Row],[3F4 Old ETP Panel]]</f>
        <v>138.30400000000373</v>
      </c>
      <c r="FH28">
        <f>AF29-Table2[[#This Row],[2F1 RO Plant]]</f>
        <v>1207.4239999999991</v>
      </c>
      <c r="FI28">
        <f>AK29-Table2[[#This Row],[3F3 Fire Hydrant Panel]]</f>
        <v>23.608000000007451</v>
      </c>
      <c r="FJ28" s="1">
        <v>6363.8399999998501</v>
      </c>
      <c r="FK28" s="1">
        <f>(AE29-Table2[[#This Row],[21F1 Refrigeration Ammonia]])*1000</f>
        <v>13730.400000000373</v>
      </c>
      <c r="FL28">
        <f>(AG29-Table2[[#This Row],[2F3 Air Compressor]])*1000</f>
        <v>2173.9999999999782</v>
      </c>
      <c r="FM28">
        <f>(AX29-Table2[[#This Row],[Solar Reading Panel II]])*1000</f>
        <v>5893.0000000000291</v>
      </c>
      <c r="FN28">
        <f>AI29-Table2[[#This Row],[3F1 Maintenance Workshop]]</f>
        <v>10.28479999999945</v>
      </c>
      <c r="FO28">
        <f>BD29-Table2[[#This Row],[4F B2B unit ]]</f>
        <v>52.479999999981374</v>
      </c>
      <c r="FP28">
        <f>BL29-Table2[[#This Row],[2F1 - PDB 6 - Bread, B2B section]]</f>
        <v>303.27040000000852</v>
      </c>
      <c r="FQ28" s="1">
        <f>(CG29-Table2[[#This Row],[9F5 - PDB 14 - Bread Lift]])</f>
        <v>6.7520000000367872</v>
      </c>
      <c r="FR28">
        <f>CJ29-Table2[[#This Row],[PDB - 16 Bread Section]]</f>
        <v>0</v>
      </c>
      <c r="FS28">
        <f>BU29-Table2[[#This Row],[7F1 Donut Production area]]</f>
        <v>408.25599999993574</v>
      </c>
      <c r="FT28">
        <f>CB29-Table2[[#This Row],[8F5 Donut Ban Bary]]</f>
        <v>55.360000000000582</v>
      </c>
      <c r="FU28">
        <f>CF29-Table2[[#This Row],[9F4 - PDB 13 - Donut Sink Geyser area]]</f>
        <v>111.26400000002468</v>
      </c>
      <c r="FV28">
        <f>BV29-Table2[[#This Row],[7F2 Flour Silo]]</f>
        <v>919.92000000004191</v>
      </c>
      <c r="FW28">
        <f>BY29-Table2[[#This Row],[8F2 ACPDB - 3 SILO Ventilation]]</f>
        <v>112.63999999998487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72</v>
      </c>
      <c r="B29" s="56">
        <v>46265.438900462963</v>
      </c>
      <c r="C29" s="56">
        <v>46265.47488425926</v>
      </c>
      <c r="D29" s="1" t="s">
        <v>111</v>
      </c>
      <c r="E29" s="1"/>
      <c r="F29" s="1"/>
      <c r="G29" s="3">
        <v>46265</v>
      </c>
      <c r="H29" s="1" t="s">
        <v>182</v>
      </c>
      <c r="I29" s="5">
        <v>7810.232</v>
      </c>
      <c r="J29" s="5">
        <v>4279.8999999999996</v>
      </c>
      <c r="K29" s="5">
        <v>1778909</v>
      </c>
      <c r="L29" s="5">
        <v>459</v>
      </c>
      <c r="M29" s="5">
        <v>193.17</v>
      </c>
      <c r="N29" s="5">
        <v>1894676.16</v>
      </c>
      <c r="O29" s="5">
        <v>4651872.96</v>
      </c>
      <c r="P29" s="5">
        <v>656024.19200000004</v>
      </c>
      <c r="Q29" s="5">
        <v>8168730.8799999999</v>
      </c>
      <c r="R29" s="5">
        <v>5686521.5999999996</v>
      </c>
      <c r="S29" s="5">
        <v>7459864.3200000003</v>
      </c>
      <c r="T29" s="5">
        <v>43544751.233999997</v>
      </c>
      <c r="U29" s="5">
        <v>2139509.7599999998</v>
      </c>
      <c r="V29" s="5">
        <v>5162567.04</v>
      </c>
      <c r="W29" s="5">
        <v>1611.0377000000001</v>
      </c>
      <c r="X29" s="5">
        <v>781455.29599999997</v>
      </c>
      <c r="Y29" s="5">
        <v>1130779.8400000001</v>
      </c>
      <c r="Z29" s="5">
        <v>2777.8894</v>
      </c>
      <c r="AA29" s="5">
        <v>676182.46400000004</v>
      </c>
      <c r="AB29" s="5">
        <v>421938.46399999998</v>
      </c>
      <c r="AC29" s="5">
        <v>2158174.2400000002</v>
      </c>
      <c r="AD29" s="5">
        <v>4425760.8559999997</v>
      </c>
      <c r="AE29" s="5">
        <v>13005.628000000001</v>
      </c>
      <c r="AF29" s="5">
        <v>891085.56799999997</v>
      </c>
      <c r="AG29" s="5">
        <v>1434.048</v>
      </c>
      <c r="AH29" s="5">
        <v>136538.416</v>
      </c>
      <c r="AI29" s="5">
        <v>14770.097599999999</v>
      </c>
      <c r="AJ29" s="5">
        <v>145404.416</v>
      </c>
      <c r="AK29" s="5">
        <v>105539.67200000001</v>
      </c>
      <c r="AL29" s="5">
        <v>332581.82400000002</v>
      </c>
      <c r="AM29" s="5">
        <v>1008.678</v>
      </c>
      <c r="AN29" s="5">
        <v>208.2</v>
      </c>
      <c r="AO29" s="5">
        <v>6.6</v>
      </c>
      <c r="AP29" s="5">
        <v>737323</v>
      </c>
      <c r="AQ29" s="5">
        <v>42881</v>
      </c>
      <c r="AR29" s="5">
        <v>42336</v>
      </c>
      <c r="AS29" s="5">
        <v>32412</v>
      </c>
      <c r="AT29" s="5">
        <v>22128</v>
      </c>
      <c r="AU29" s="5">
        <v>16268</v>
      </c>
      <c r="AV29" s="5">
        <v>6791</v>
      </c>
      <c r="AW29" s="5">
        <v>21.118259999999999</v>
      </c>
      <c r="AX29" s="5">
        <v>7306.491</v>
      </c>
      <c r="AY29" s="5">
        <v>683.07983999999999</v>
      </c>
      <c r="AZ29" s="5">
        <v>20.788</v>
      </c>
      <c r="BA29" s="5">
        <v>10931</v>
      </c>
      <c r="BB29" s="5">
        <v>45.935000000000002</v>
      </c>
      <c r="BC29" s="5">
        <v>114024.568</v>
      </c>
      <c r="BD29" s="5">
        <v>277255.45600000001</v>
      </c>
      <c r="BE29" s="5">
        <v>3760.65</v>
      </c>
      <c r="BF29" s="5">
        <v>1714.182</v>
      </c>
      <c r="BG29" s="5">
        <v>75.844999999999999</v>
      </c>
      <c r="BH29" s="5">
        <v>375.25900000000001</v>
      </c>
      <c r="BI29" s="5">
        <v>928.399</v>
      </c>
      <c r="BJ29" s="5">
        <v>16.138999999999999</v>
      </c>
      <c r="BK29" s="5">
        <v>571.54700000000003</v>
      </c>
      <c r="BL29" s="5">
        <v>77803.398400000005</v>
      </c>
      <c r="BM29" s="5">
        <v>323533.37599999999</v>
      </c>
      <c r="BN29" s="5">
        <v>7295.8919999999998</v>
      </c>
      <c r="BO29" s="5">
        <v>53589.132799999999</v>
      </c>
      <c r="BP29" s="5">
        <v>317322.40000000002</v>
      </c>
      <c r="BQ29" s="5">
        <v>332.13299999999998</v>
      </c>
      <c r="BR29" s="5">
        <v>185.16499999999999</v>
      </c>
      <c r="BS29" s="5">
        <v>1048308.127</v>
      </c>
      <c r="BT29" s="5">
        <v>1400627.8230000001</v>
      </c>
      <c r="BU29" s="5">
        <v>634930.62399999995</v>
      </c>
      <c r="BV29" s="5">
        <v>1038980.64</v>
      </c>
      <c r="BW29" s="5">
        <v>575283.96799999999</v>
      </c>
      <c r="BX29" s="5">
        <v>1053276.6399999999</v>
      </c>
      <c r="BY29" s="5">
        <v>159078.79999999999</v>
      </c>
      <c r="BZ29" s="5">
        <v>115001.664</v>
      </c>
      <c r="CA29" s="5">
        <v>1244.5895</v>
      </c>
      <c r="CB29" s="5">
        <v>109967.696</v>
      </c>
      <c r="CC29" s="5">
        <v>154062.25599999999</v>
      </c>
      <c r="CD29" s="5">
        <v>452409.59999999998</v>
      </c>
      <c r="CE29" s="5">
        <v>49165.292800000003</v>
      </c>
      <c r="CF29" s="5">
        <v>156702.20800000001</v>
      </c>
      <c r="CG29" s="5">
        <v>360973.50400000002</v>
      </c>
      <c r="CH29" s="5">
        <v>2385.8710000000001</v>
      </c>
      <c r="CI29" s="5">
        <v>218.78899999999999</v>
      </c>
      <c r="CJ29" s="5">
        <v>1191.5999999999999</v>
      </c>
      <c r="CK29" s="5">
        <v>79.498000000000005</v>
      </c>
      <c r="CL29" s="5">
        <v>749.68200000000002</v>
      </c>
      <c r="CM29" s="5">
        <v>551.4</v>
      </c>
      <c r="CN29" s="5">
        <v>57542.9</v>
      </c>
      <c r="CO29" s="5">
        <v>1684.1179999999999</v>
      </c>
      <c r="CP29" s="5">
        <v>300227.61499999999</v>
      </c>
      <c r="CQ29" s="5">
        <v>3722203.84</v>
      </c>
      <c r="CR29" s="5">
        <v>133025.62400000001</v>
      </c>
      <c r="CS29" s="5">
        <v>523633.53600000002</v>
      </c>
      <c r="CT29" s="5">
        <v>3034141.1809999999</v>
      </c>
      <c r="CU29" s="5">
        <v>306681.016</v>
      </c>
      <c r="CV29" s="5">
        <v>30259.919999999998</v>
      </c>
      <c r="CW29" s="5">
        <v>63525.625599999999</v>
      </c>
      <c r="CX29" s="5">
        <v>33612.048000000003</v>
      </c>
      <c r="CY29" s="5">
        <v>171565.79199999999</v>
      </c>
      <c r="CZ29" s="5">
        <v>220213.53599999999</v>
      </c>
      <c r="DA29" s="5">
        <v>19423.59</v>
      </c>
      <c r="DB29" s="5">
        <v>153150.54500000001</v>
      </c>
      <c r="DC29" s="5">
        <v>3216.73</v>
      </c>
      <c r="DD29" s="5">
        <f t="shared" si="0"/>
        <v>3181.2099999999996</v>
      </c>
      <c r="DE29" s="5">
        <v>3246.54</v>
      </c>
      <c r="DF29" s="5">
        <v>0.999</v>
      </c>
      <c r="DG29" s="1" t="s">
        <v>261</v>
      </c>
      <c r="DH29" s="4">
        <f>Table2[[#This Row],[Date]]</f>
        <v>46265</v>
      </c>
      <c r="DI29">
        <f>(DD30-Table2[[#This Row],[MWH Total]])*4000</f>
        <v>-12724839.999999998</v>
      </c>
      <c r="DJ29">
        <f>(DA30-Table2[[#This Row],[PNG Meter (Outside)]])*2.936</f>
        <v>-57027.660239999997</v>
      </c>
      <c r="DK29">
        <f>(DB30-Table2[[#This Row],[PNG Meter (Inside)]])*2.936</f>
        <v>-449650.00012000004</v>
      </c>
      <c r="DL29" s="1">
        <f>(BH30-Table2[[#This Row],[3F Dough cooler - 2 ]])*1000</f>
        <v>-375259</v>
      </c>
      <c r="DM29">
        <f>(BI30-Table2[[#This Row],[3F Dough Cooler- 1]])*1000</f>
        <v>-928399</v>
      </c>
      <c r="DN29">
        <f>(BJ30-Table2[[#This Row],[4F Dough Production cooling Unit]])*1000</f>
        <v>-16139</v>
      </c>
      <c r="DO29">
        <f>(BQ30-Table2[[#This Row],[3F2 - PDB 3 - Dough Production Area]])*1000</f>
        <v>-332133</v>
      </c>
      <c r="DP29">
        <f>(BR30-Table2[[#This Row],[3F3 - PDB 4 - Dough Area]])*1000</f>
        <v>-185165</v>
      </c>
      <c r="DQ29">
        <f>AC30-Table2[[#This Row],[16F1 Tray washer Panel for Light]]</f>
        <v>-2158174.2400000002</v>
      </c>
      <c r="DR29">
        <f>CQ30-Table2[[#This Row],[2F1 Tray Washer - 1]]</f>
        <v>-3722203.84</v>
      </c>
      <c r="DS29">
        <f>CS30-Table2[[#This Row],[2F5 Destacker]]</f>
        <v>-523633.53600000002</v>
      </c>
      <c r="DT29">
        <f>CU30-Table2[[#This Row],[5F1 Metering (TW-2)]]</f>
        <v>-306681.016</v>
      </c>
      <c r="DU29">
        <f>CV30-Table2[[#This Row],[6F1 Pre soaker Tray washer]]</f>
        <v>-30259.919999999998</v>
      </c>
      <c r="DV29">
        <f>CZ30-Table2[[#This Row],[6F5 Vent tray Storage]]</f>
        <v>-220213.53599999999</v>
      </c>
      <c r="DW29">
        <f>I30-Table2[[#This Row],[Popeyes Meter ]]</f>
        <v>-7810.232</v>
      </c>
      <c r="DX29">
        <f>AZ30-Table2[[#This Row],[2F WH Chiller, Segregation Area]]</f>
        <v>-20.788</v>
      </c>
      <c r="DY29" s="1">
        <f>BA30-Table2[[#This Row],[3F1 AC Unit WH dock cooling - 2 Nos]]</f>
        <v>-10931</v>
      </c>
      <c r="DZ29">
        <f>BB30-Table2[[#This Row],[3F2 AC Unit WH dock cooling - 3 Nos]]</f>
        <v>-45.935000000000002</v>
      </c>
      <c r="EA29">
        <f>(BK30-Table2[[#This Row],[5F WH Perishable]])*1000</f>
        <v>-571547</v>
      </c>
      <c r="EB29">
        <f>BN30-Table2[[#This Row],[2F3 - PDB 9 - WH Dock Leveler Door ]]</f>
        <v>-7295.8919999999998</v>
      </c>
      <c r="EC29">
        <f>BP30-Table2[[#This Row],[3F1 - PDB 5 - WH HSD]]</f>
        <v>-317322.40000000002</v>
      </c>
      <c r="ED29">
        <f>BX30-Table2[[#This Row],[8F1 WH Dock AHU - Ventilation]]</f>
        <v>-1053276.6399999999</v>
      </c>
      <c r="EE29">
        <f>BZ30-Table2[[#This Row],[8F3 ACPDB - 4 WH Dock air curtain]]</f>
        <v>-115001.664</v>
      </c>
      <c r="EF29">
        <f>CA30-Table2[[#This Row],[8F4 WH Light]]</f>
        <v>-1244.5895</v>
      </c>
      <c r="EG29">
        <f>CC30-Table2[[#This Row],[9F1 - PDB 10 - WH Dock door &amp; Office]]</f>
        <v>-154062.25599999999</v>
      </c>
      <c r="EH29">
        <f>CD30-Table2[[#This Row],[9F2 - PDB 11 - WH flycatchers]]</f>
        <v>-452409.59999999998</v>
      </c>
      <c r="EI29">
        <f>CE30-Table2[[#This Row],[9F3 - PDB 12 - Other items]]</f>
        <v>-49165.292800000003</v>
      </c>
      <c r="EJ29">
        <f>CR30-Table2[[#This Row],[2F3 - PDB 1 - Dock 1 to 4 ]]</f>
        <v>-133025.62400000001</v>
      </c>
      <c r="EK29">
        <f>BM30-Table2[[#This Row],[2F2 - PDB 3 - WH Truck &amp; Battery Charging]]</f>
        <v>-323533.37599999999</v>
      </c>
      <c r="EL29">
        <f>(CK30-Table2[[#This Row],[PDB - 11 Truck Charging]])*1000</f>
        <v>-79498</v>
      </c>
      <c r="EM29">
        <f>P30-Table2[[#This Row],[5F3 Admin Area]]</f>
        <v>-656024.19200000004</v>
      </c>
      <c r="EN29">
        <f>AH30-Table2[[#This Row],[2F5 Main Gate-1 Piller -1]]</f>
        <v>-136538.416</v>
      </c>
      <c r="EO29">
        <f>CW30-Table2[[#This Row],[6F2 Ground Floor AC]]</f>
        <v>-63525.625599999999</v>
      </c>
      <c r="EP29">
        <f>CX30-Table2[[#This Row],[6F3 ACBD -1 (First floor AC)]]</f>
        <v>-33612.048000000003</v>
      </c>
      <c r="EQ29">
        <f>CY30-Table2[[#This Row],[6F4 ACBD - 2 (Second &amp; Third floor AC)]]</f>
        <v>-171565.79199999999</v>
      </c>
      <c r="ER29">
        <f>(BC30-Table2[[#This Row],[4F Old BMC cooling Unit]])</f>
        <v>-114024.568</v>
      </c>
      <c r="ES29">
        <f>BO30-Table2[[#This Row],[2F4 - Old BMC]]</f>
        <v>-53589.132799999999</v>
      </c>
      <c r="ET29">
        <f>Y30-Table2[[#This Row],[14F2 New CK]]</f>
        <v>-1130779.8400000001</v>
      </c>
      <c r="EU29">
        <f>(CL30-Table2[[#This Row],[OLD Ck Panel-1]])*1000</f>
        <v>-749682</v>
      </c>
      <c r="EV29">
        <f>CM30-Table2[[#This Row],[2F4 Old CK Blast (Blue star)]]</f>
        <v>-551.4</v>
      </c>
      <c r="EW29">
        <f>CN30-Table2[[#This Row],[3F6 Old CK Blast (Carrier)]]</f>
        <v>-57542.9</v>
      </c>
      <c r="EX29">
        <f>(CO30-Table2[[#This Row],[Old CK Panel -2]])*1000</f>
        <v>-1684118</v>
      </c>
      <c r="EY29">
        <f>N30-Table2[[#This Row],[4F1 Main UPS 1/C -1]]</f>
        <v>-1894676.16</v>
      </c>
      <c r="EZ29">
        <f>Z30-Table2[[#This Row],[15F1 Main UPS Panel - I/C - 2]]</f>
        <v>-2777.8894</v>
      </c>
      <c r="FA29">
        <f>BF30-Table2[[#This Row],[2F CLC -1 AC unit - 2]]</f>
        <v>-1714.182</v>
      </c>
      <c r="FB29">
        <f>(BG30-Table2[[#This Row],[2F CLC Anti room]])*1000</f>
        <v>-75845</v>
      </c>
      <c r="FC29">
        <f>BW30-Table2[[#This Row],[7F3 CLC Power Panel]]</f>
        <v>-575283.96799999999</v>
      </c>
      <c r="FD29">
        <f>(CI30-Table2[[#This Row],[PDB - 17 CLC Section ]])*1000</f>
        <v>-218789</v>
      </c>
      <c r="FE29">
        <f>(W30-Table2[[#This Row],[13F3 Water &amp; Lift Old CK]])*1000</f>
        <v>-1611037.7000000002</v>
      </c>
      <c r="FF29">
        <f>AA30-Table2[[#This Row],[15F2 New ETP Panel]]</f>
        <v>-676182.46400000004</v>
      </c>
      <c r="FG29">
        <f>AL30-Table2[[#This Row],[3F4 Old ETP Panel]]</f>
        <v>-332581.82400000002</v>
      </c>
      <c r="FH29">
        <f>AF30-Table2[[#This Row],[2F1 RO Plant]]</f>
        <v>-891085.56799999997</v>
      </c>
      <c r="FI29">
        <f>AK30-Table2[[#This Row],[3F3 Fire Hydrant Panel]]</f>
        <v>-105539.67200000001</v>
      </c>
      <c r="FJ29">
        <f>R30-Table2[[#This Row],[7F1 Freon System Panel]]</f>
        <v>-5686521.5999999996</v>
      </c>
      <c r="FK29">
        <f>(AE30-Table2[[#This Row],[21F1 Refrigeration Ammonia]])*1000</f>
        <v>-13005628</v>
      </c>
      <c r="FL29">
        <f>(AG30-Table2[[#This Row],[2F3 Air Compressor]])*1000</f>
        <v>-1434048</v>
      </c>
      <c r="FM29">
        <f>(AX30-Table2[[#This Row],[Solar Reading Panel II]])*1000</f>
        <v>-7306491</v>
      </c>
      <c r="FN29">
        <f>AI30-Table2[[#This Row],[3F1 Maintenance Workshop]]</f>
        <v>-14770.097599999999</v>
      </c>
      <c r="FO29">
        <f>BD30-Table2[[#This Row],[4F B2B unit ]]</f>
        <v>-277255.45600000001</v>
      </c>
      <c r="FP29">
        <f>BL30-Table2[[#This Row],[2F1 - PDB 6 - Bread, B2B section]]</f>
        <v>-77803.398400000005</v>
      </c>
      <c r="FQ29" s="1">
        <f>(CG30-Table2[[#This Row],[9F5 - PDB 14 - Bread Lift]])</f>
        <v>-360973.50400000002</v>
      </c>
      <c r="FR29">
        <f>CJ30-Table2[[#This Row],[PDB - 16 Bread Section]]</f>
        <v>-1191.5999999999999</v>
      </c>
      <c r="FS29">
        <f>BU30-Table2[[#This Row],[7F1 Donut Production area]]</f>
        <v>-634930.62399999995</v>
      </c>
      <c r="FT29">
        <f>CB30-Table2[[#This Row],[8F5 Donut Ban Bary]]</f>
        <v>-109967.696</v>
      </c>
      <c r="FU29">
        <f>CF30-Table2[[#This Row],[9F4 - PDB 13 - Donut Sink Geyser area]]</f>
        <v>-156702.20800000001</v>
      </c>
      <c r="FV29">
        <f>BV30-Table2[[#This Row],[7F2 Flour Silo]]</f>
        <v>-1038980.64</v>
      </c>
      <c r="FW29">
        <f>BY30-Table2[[#This Row],[8F2 ACPDB - 3 SILO Ventilation]]</f>
        <v>-159078.79999999999</v>
      </c>
      <c r="FX29">
        <f>J30-Table2[[#This Row],[DG 1010KVA Running Hours]]</f>
        <v>-4279.8999999999996</v>
      </c>
      <c r="FY29">
        <f>K30-Table2[[#This Row],[DG 1010 KVA Meter Reading]]</f>
        <v>-1778909</v>
      </c>
      <c r="FZ29">
        <f>L30-Table2[[#This Row],[GG 1010 KVA Running Hours]]</f>
        <v>-459</v>
      </c>
      <c r="GA29">
        <f>M30-Table2[[#This Row],[GG 1010 KVA Meter Reading]]</f>
        <v>-193.17</v>
      </c>
    </row>
    <row r="30" spans="1:183" x14ac:dyDescent="0.35">
      <c r="B30" s="56"/>
      <c r="C30" s="56"/>
      <c r="G30" s="3"/>
      <c r="DH30" s="4" t="e">
        <f>Table2[[#This Row],[Date]]</f>
        <v>#VALUE!</v>
      </c>
      <c r="DI30" t="e">
        <f>(DD31-Table2[[#This Row],[MWH Total]])*4000</f>
        <v>#VALUE!</v>
      </c>
      <c r="DJ30" t="e">
        <f>(DA31-Table2[[#This Row],[PNG Meter (Outside)]])*2.936</f>
        <v>#VALUE!</v>
      </c>
      <c r="DK30" t="e">
        <f>(DB31-Table2[[#This Row],[PNG Meter (Inside)]])*2.936</f>
        <v>#VALUE!</v>
      </c>
      <c r="DL30" s="1" t="e">
        <f>(BH31-Table2[[#This Row],[3F Dough cooler - 2 ]])*1000</f>
        <v>#VALUE!</v>
      </c>
      <c r="DM30" t="e">
        <f>(BI31-Table2[[#This Row],[3F Dough Cooler- 1]])*1000</f>
        <v>#VALUE!</v>
      </c>
      <c r="DN30" t="e">
        <f>(BJ31-Table2[[#This Row],[4F Dough Production cooling Unit]])*1000</f>
        <v>#VALUE!</v>
      </c>
      <c r="DO30" t="e">
        <f>(BQ31-Table2[[#This Row],[3F2 - PDB 3 - Dough Production Area]])*1000</f>
        <v>#VALUE!</v>
      </c>
      <c r="DP30" t="e">
        <f>(BR31-Table2[[#This Row],[3F3 - PDB 4 - Dough Area]])*1000</f>
        <v>#VALUE!</v>
      </c>
      <c r="DQ30" t="e">
        <f>AC31-Table2[[#This Row],[16F1 Tray washer Panel for Light]]</f>
        <v>#VALUE!</v>
      </c>
      <c r="DR30" t="e">
        <f>CQ31-Table2[[#This Row],[2F1 Tray Washer - 1]]</f>
        <v>#VALUE!</v>
      </c>
      <c r="DS30" t="e">
        <f>CS31-Table2[[#This Row],[2F5 Destacker]]</f>
        <v>#VALUE!</v>
      </c>
      <c r="DT30" t="e">
        <f>CU31-Table2[[#This Row],[5F1 Metering (TW-2)]]</f>
        <v>#VALUE!</v>
      </c>
      <c r="DU30" t="e">
        <f>CV31-Table2[[#This Row],[6F1 Pre soaker Tray washer]]</f>
        <v>#VALUE!</v>
      </c>
      <c r="DV30" t="e">
        <f>CZ31-Table2[[#This Row],[6F5 Vent tray Storage]]</f>
        <v>#VALUE!</v>
      </c>
      <c r="DW30" t="e">
        <f>I31-Table2[[#This Row],[Popeyes Meter ]]</f>
        <v>#VALUE!</v>
      </c>
      <c r="DX30" t="e">
        <f>AZ31-Table2[[#This Row],[2F WH Chiller, Segregation Area]]</f>
        <v>#VALUE!</v>
      </c>
      <c r="DY30" s="1" t="e">
        <f>BA31-Table2[[#This Row],[3F1 AC Unit WH dock cooling - 2 Nos]]</f>
        <v>#VALUE!</v>
      </c>
      <c r="DZ30" t="e">
        <f>BB31-Table2[[#This Row],[3F2 AC Unit WH dock cooling - 3 Nos]]</f>
        <v>#VALUE!</v>
      </c>
      <c r="EA30" t="e">
        <f>(BK31-Table2[[#This Row],[5F WH Perishable]])*1000</f>
        <v>#VALUE!</v>
      </c>
      <c r="EB30" t="e">
        <f>BN31-Table2[[#This Row],[2F3 - PDB 9 - WH Dock Leveler Door ]]</f>
        <v>#VALUE!</v>
      </c>
      <c r="EC30" t="e">
        <f>BP31-Table2[[#This Row],[3F1 - PDB 5 - WH HSD]]</f>
        <v>#VALUE!</v>
      </c>
      <c r="ED30" t="e">
        <f>BX31-Table2[[#This Row],[8F1 WH Dock AHU - Ventilation]]</f>
        <v>#VALUE!</v>
      </c>
      <c r="EE30" t="e">
        <f>BZ31-Table2[[#This Row],[8F3 ACPDB - 4 WH Dock air curtain]]</f>
        <v>#VALUE!</v>
      </c>
      <c r="EF30" t="e">
        <f>CA31-Table2[[#This Row],[8F4 WH Light]]</f>
        <v>#VALUE!</v>
      </c>
      <c r="EG30" t="e">
        <f>CC31-Table2[[#This Row],[9F1 - PDB 10 - WH Dock door &amp; Office]]</f>
        <v>#VALUE!</v>
      </c>
      <c r="EH30" t="e">
        <f>CD31-Table2[[#This Row],[9F2 - PDB 11 - WH flycatchers]]</f>
        <v>#VALUE!</v>
      </c>
      <c r="EI30" t="e">
        <f>CE31-Table2[[#This Row],[9F3 - PDB 12 - Other items]]</f>
        <v>#VALUE!</v>
      </c>
      <c r="EJ30" t="e">
        <f>CR31-Table2[[#This Row],[2F3 - PDB 1 - Dock 1 to 4 ]]</f>
        <v>#VALUE!</v>
      </c>
      <c r="EK30" t="e">
        <f>BM31-Table2[[#This Row],[2F2 - PDB 3 - WH Truck &amp; Battery Charging]]</f>
        <v>#VALUE!</v>
      </c>
      <c r="EL30" t="e">
        <f>(CK31-Table2[[#This Row],[PDB - 11 Truck Charging]])*1000</f>
        <v>#VALUE!</v>
      </c>
      <c r="EM30" t="e">
        <f>P31-Table2[[#This Row],[5F3 Admin Area]]</f>
        <v>#VALUE!</v>
      </c>
      <c r="EN30" t="e">
        <f>AH31-Table2[[#This Row],[2F5 Main Gate-1 Piller -1]]</f>
        <v>#VALUE!</v>
      </c>
      <c r="EO30" t="e">
        <f>CW31-Table2[[#This Row],[6F2 Ground Floor AC]]</f>
        <v>#VALUE!</v>
      </c>
      <c r="EP30" t="e">
        <f>CX31-Table2[[#This Row],[6F3 ACBD -1 (First floor AC)]]</f>
        <v>#VALUE!</v>
      </c>
      <c r="EQ30" t="e">
        <f>CY31-Table2[[#This Row],[6F4 ACBD - 2 (Second &amp; Third floor AC)]]</f>
        <v>#VALUE!</v>
      </c>
      <c r="ER30" t="e">
        <f>(BC31-Table2[[#This Row],[4F Old BMC cooling Unit]])</f>
        <v>#VALUE!</v>
      </c>
      <c r="ES30" t="e">
        <f>BO31-Table2[[#This Row],[2F4 - Old BMC]]</f>
        <v>#VALUE!</v>
      </c>
      <c r="ET30" t="e">
        <f>Y31-Table2[[#This Row],[14F2 New CK]]</f>
        <v>#VALUE!</v>
      </c>
      <c r="EU30" t="e">
        <f>(CL31-Table2[[#This Row],[OLD Ck Panel-1]])*1000</f>
        <v>#VALUE!</v>
      </c>
      <c r="EV30" t="e">
        <f>CM31-Table2[[#This Row],[2F4 Old CK Blast (Blue star)]]</f>
        <v>#VALUE!</v>
      </c>
      <c r="EW30" t="e">
        <f>CN31-Table2[[#This Row],[3F6 Old CK Blast (Carrier)]]</f>
        <v>#VALUE!</v>
      </c>
      <c r="EX30" t="e">
        <f>(CO31-Table2[[#This Row],[Old CK Panel -2]])*1000</f>
        <v>#VALUE!</v>
      </c>
      <c r="EY30" t="e">
        <f>N31-Table2[[#This Row],[4F1 Main UPS 1/C -1]]</f>
        <v>#VALUE!</v>
      </c>
      <c r="EZ30" t="e">
        <f>Z31-Table2[[#This Row],[15F1 Main UPS Panel - I/C - 2]]</f>
        <v>#VALUE!</v>
      </c>
      <c r="FA30" t="e">
        <f>BF31-Table2[[#This Row],[2F CLC -1 AC unit - 2]]</f>
        <v>#VALUE!</v>
      </c>
      <c r="FB30" t="e">
        <f>(BG31-Table2[[#This Row],[2F CLC Anti room]])*1000</f>
        <v>#VALUE!</v>
      </c>
      <c r="FC30" t="e">
        <f>BW31-Table2[[#This Row],[7F3 CLC Power Panel]]</f>
        <v>#VALUE!</v>
      </c>
      <c r="FD30" t="e">
        <f>(CI31-Table2[[#This Row],[PDB - 17 CLC Section ]])*1000</f>
        <v>#VALUE!</v>
      </c>
      <c r="FE30" t="e">
        <f>(W31-Table2[[#This Row],[13F3 Water &amp; Lift Old CK]])*1000</f>
        <v>#VALUE!</v>
      </c>
      <c r="FF30" t="e">
        <f>AA31-Table2[[#This Row],[15F2 New ETP Panel]]</f>
        <v>#VALUE!</v>
      </c>
      <c r="FG30" t="e">
        <f>AL31-Table2[[#This Row],[3F4 Old ETP Panel]]</f>
        <v>#VALUE!</v>
      </c>
      <c r="FH30" t="e">
        <f>AF31-Table2[[#This Row],[2F1 RO Plant]]</f>
        <v>#VALUE!</v>
      </c>
      <c r="FI30" t="e">
        <f>AK31-Table2[[#This Row],[3F3 Fire Hydrant Panel]]</f>
        <v>#VALUE!</v>
      </c>
      <c r="FJ30" t="e">
        <f>R31-Table2[[#This Row],[7F1 Freon System Panel]]</f>
        <v>#VALUE!</v>
      </c>
      <c r="FK30" t="e">
        <f>(AE31-Table2[[#This Row],[21F1 Refrigeration Ammonia]])*1000</f>
        <v>#VALUE!</v>
      </c>
      <c r="FL30" t="e">
        <f>(AG31-Table2[[#This Row],[2F3 Air Compressor]])*1000</f>
        <v>#VALUE!</v>
      </c>
      <c r="FM30" t="e">
        <f>(AX31-Table2[[#This Row],[Solar Reading Panel II]])*1000</f>
        <v>#VALUE!</v>
      </c>
      <c r="FN30" t="e">
        <f>AI31-Table2[[#This Row],[3F1 Maintenance Workshop]]</f>
        <v>#VALUE!</v>
      </c>
      <c r="FO30" t="e">
        <f>BD31-Table2[[#This Row],[4F B2B unit ]]</f>
        <v>#VALUE!</v>
      </c>
      <c r="FP30" t="e">
        <f>BL31-Table2[[#This Row],[2F1 - PDB 6 - Bread, B2B section]]</f>
        <v>#VALUE!</v>
      </c>
      <c r="FQ30" s="1" t="e">
        <f>(CG31-Table2[[#This Row],[9F5 - PDB 14 - Bread Lift]])</f>
        <v>#VALUE!</v>
      </c>
      <c r="FR30" t="e">
        <f>CJ31-Table2[[#This Row],[PDB - 16 Bread Section]]</f>
        <v>#VALUE!</v>
      </c>
      <c r="FS30" t="e">
        <f>BU31-Table2[[#This Row],[7F1 Donut Production area]]</f>
        <v>#VALUE!</v>
      </c>
      <c r="FT30" t="e">
        <f>CB31-Table2[[#This Row],[8F5 Donut Ban Bary]]</f>
        <v>#VALUE!</v>
      </c>
      <c r="FU30" t="e">
        <f>CF31-Table2[[#This Row],[9F4 - PDB 13 - Donut Sink Geyser area]]</f>
        <v>#VALUE!</v>
      </c>
      <c r="FV30" t="e">
        <f>BV31-Table2[[#This Row],[7F2 Flour Silo]]</f>
        <v>#VALUE!</v>
      </c>
      <c r="FW30" t="e">
        <f>BY31-Table2[[#This Row],[8F2 ACPDB - 3 SILO Ventilation]]</f>
        <v>#VALUE!</v>
      </c>
      <c r="FX30" t="e">
        <f>J31-Table2[[#This Row],[DG 1010KVA Running Hours]]</f>
        <v>#VALUE!</v>
      </c>
      <c r="FY30" t="e">
        <f>K31-Table2[[#This Row],[DG 1010 KVA Meter Reading]]</f>
        <v>#VALUE!</v>
      </c>
      <c r="FZ30" t="e">
        <f>L31-Table2[[#This Row],[GG 1010 KVA Running Hours]]</f>
        <v>#VALUE!</v>
      </c>
      <c r="GA30" t="e">
        <f>M31-Table2[[#This Row],[GG 1010 KVA Meter Reading]]</f>
        <v>#VALUE!</v>
      </c>
    </row>
    <row r="31" spans="1:183" x14ac:dyDescent="0.35">
      <c r="B31" s="56"/>
      <c r="C31" s="56"/>
      <c r="G31" s="3"/>
      <c r="DH31" s="4" t="e">
        <f>Table2[[#This Row],[Date]]</f>
        <v>#VALUE!</v>
      </c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s="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s="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s="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 x14ac:dyDescent="0.35">
      <c r="B32" s="56"/>
      <c r="C32" s="56"/>
      <c r="G32" s="3"/>
      <c r="DH32" s="4" t="e">
        <f>Table2[[#This Row],[Date]]</f>
        <v>#VALUE!</v>
      </c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s="1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s="1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s="1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2:183" x14ac:dyDescent="0.35">
      <c r="B33" s="56"/>
      <c r="C33" s="56"/>
      <c r="G33" s="3"/>
      <c r="DH33" s="4" t="e">
        <f>Table2[[#This Row],[Date]]</f>
        <v>#VALUE!</v>
      </c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s="1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s="1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s="1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2:183" x14ac:dyDescent="0.35">
      <c r="B34" s="56"/>
      <c r="C34" s="56"/>
      <c r="DH34" s="4" t="e">
        <f>Table2[[#This Row],[Date]]</f>
        <v>#VALUE!</v>
      </c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s="1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s="1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2:183" x14ac:dyDescent="0.35">
      <c r="B35" s="56"/>
      <c r="C35" s="56"/>
      <c r="DI35" t="e">
        <f>(DD36-Table2[[#This Row],[MWH Total]])*4000</f>
        <v>#VALUE!</v>
      </c>
      <c r="DJ35" t="e">
        <f>(DA36-Table2[[#This Row],[PNG Meter (Outside)]])*2.936</f>
        <v>#VALUE!</v>
      </c>
      <c r="DK35" t="e">
        <f>(DB36-Table2[[#This Row],[PNG Meter (Inside)]])*2.936</f>
        <v>#VALUE!</v>
      </c>
      <c r="DL35" t="e">
        <f>(BH36-Table2[[#This Row],[3F Dough cooler - 2 ]])*1000</f>
        <v>#VALUE!</v>
      </c>
      <c r="DM35" t="e">
        <f>(BI36-Table2[[#This Row],[3F Dough Cooler- 1]])*1000</f>
        <v>#VALUE!</v>
      </c>
      <c r="DN35" t="e">
        <f>(BJ36-Table2[[#This Row],[4F Dough Production cooling Unit]])*1000</f>
        <v>#VALUE!</v>
      </c>
      <c r="DO35" t="e">
        <f>(BQ36-Table2[[#This Row],[3F2 - PDB 3 - Dough Production Area]])*1000</f>
        <v>#VALUE!</v>
      </c>
      <c r="DP35" t="e">
        <f>(BR36-Table2[[#This Row],[3F3 - PDB 4 - Dough Area]])*1000</f>
        <v>#VALUE!</v>
      </c>
      <c r="DQ35" t="e">
        <f>AC36-Table2[[#This Row],[16F1 Tray washer Panel for Light]]</f>
        <v>#VALUE!</v>
      </c>
      <c r="DR35" t="e">
        <f>CQ36-Table2[[#This Row],[2F1 Tray Washer - 1]]</f>
        <v>#VALUE!</v>
      </c>
      <c r="DS35" t="e">
        <f>CS36-Table2[[#This Row],[2F5 Destacker]]</f>
        <v>#VALUE!</v>
      </c>
      <c r="DT35" t="e">
        <f>CU36-Table2[[#This Row],[5F1 Metering (TW-2)]]</f>
        <v>#VALUE!</v>
      </c>
      <c r="DU35" t="e">
        <f>CV36-Table2[[#This Row],[6F1 Pre soaker Tray washer]]</f>
        <v>#VALUE!</v>
      </c>
      <c r="DV35" t="e">
        <f>CZ36-Table2[[#This Row],[6F5 Vent tray Storage]]</f>
        <v>#VALUE!</v>
      </c>
      <c r="DW35" t="e">
        <f>I36-Table2[[#This Row],[Popeyes Meter ]]</f>
        <v>#VALUE!</v>
      </c>
      <c r="DX35" t="e">
        <f>AZ36-Table2[[#This Row],[2F WH Chiller, Segregation Area]]</f>
        <v>#VALUE!</v>
      </c>
      <c r="DY35" s="1" t="e">
        <f>BA36-Table2[[#This Row],[3F1 AC Unit WH dock cooling - 2 Nos]]</f>
        <v>#VALUE!</v>
      </c>
      <c r="DZ35" t="e">
        <f>BB36-Table2[[#This Row],[3F2 AC Unit WH dock cooling - 3 Nos]]</f>
        <v>#VALUE!</v>
      </c>
      <c r="EA35" t="e">
        <f>(BK36-Table2[[#This Row],[5F WH Perishable]])*1000</f>
        <v>#VALUE!</v>
      </c>
      <c r="EB35" t="e">
        <f>BN36-Table2[[#This Row],[2F3 - PDB 9 - WH Dock Leveler Door ]]</f>
        <v>#VALUE!</v>
      </c>
      <c r="EC35" t="e">
        <f>BP36-Table2[[#This Row],[3F1 - PDB 5 - WH HSD]]</f>
        <v>#VALUE!</v>
      </c>
      <c r="ED35" t="e">
        <f>BX36-Table2[[#This Row],[8F1 WH Dock AHU - Ventilation]]</f>
        <v>#VALUE!</v>
      </c>
      <c r="EE35" t="e">
        <f>BZ36-Table2[[#This Row],[8F3 ACPDB - 4 WH Dock air curtain]]</f>
        <v>#VALUE!</v>
      </c>
      <c r="EF35" t="e">
        <f>CA36-Table2[[#This Row],[8F4 WH Light]]</f>
        <v>#VALUE!</v>
      </c>
      <c r="EG35" t="e">
        <f>CC36-Table2[[#This Row],[9F1 - PDB 10 - WH Dock door &amp; Office]]</f>
        <v>#VALUE!</v>
      </c>
      <c r="EH35" t="e">
        <f>CD36-Table2[[#This Row],[9F2 - PDB 11 - WH flycatchers]]</f>
        <v>#VALUE!</v>
      </c>
      <c r="EI35" t="e">
        <f>CE36-Table2[[#This Row],[9F3 - PDB 12 - Other items]]</f>
        <v>#VALUE!</v>
      </c>
      <c r="EJ35" t="e">
        <f>CR36-Table2[[#This Row],[2F3 - PDB 1 - Dock 1 to 4 ]]</f>
        <v>#VALUE!</v>
      </c>
      <c r="EK35" t="e">
        <f>BM36-Table2[[#This Row],[2F2 - PDB 3 - WH Truck &amp; Battery Charging]]</f>
        <v>#VALUE!</v>
      </c>
      <c r="EL35" t="e">
        <f>(CK36-Table2[[#This Row],[PDB - 11 Truck Charging]])*1000</f>
        <v>#VALUE!</v>
      </c>
      <c r="EM35" t="e">
        <f>P36-Table2[[#This Row],[5F3 Admin Area]]</f>
        <v>#VALUE!</v>
      </c>
      <c r="EN35" t="e">
        <f>AH36-Table2[[#This Row],[2F5 Main Gate-1 Piller -1]]</f>
        <v>#VALUE!</v>
      </c>
      <c r="EO35" t="e">
        <f>CW36-Table2[[#This Row],[6F2 Ground Floor AC]]</f>
        <v>#VALUE!</v>
      </c>
      <c r="EP35" t="e">
        <f>CX36-Table2[[#This Row],[6F3 ACBD -1 (First floor AC)]]</f>
        <v>#VALUE!</v>
      </c>
      <c r="EQ35" t="e">
        <f>CY36-Table2[[#This Row],[6F4 ACBD - 2 (Second &amp; Third floor AC)]]</f>
        <v>#VALUE!</v>
      </c>
      <c r="ER35" t="e">
        <f>(BC36-Table2[[#This Row],[4F Old BMC cooling Unit]])</f>
        <v>#VALUE!</v>
      </c>
      <c r="ES35" t="e">
        <f>BO36-Table2[[#This Row],[2F4 - Old BMC]]</f>
        <v>#VALUE!</v>
      </c>
      <c r="ET35" t="e">
        <f>Y36-Table2[[#This Row],[14F2 New CK]]</f>
        <v>#VALUE!</v>
      </c>
      <c r="EU35" t="e">
        <f>(CL36-Table2[[#This Row],[OLD Ck Panel-1]])*1000</f>
        <v>#VALUE!</v>
      </c>
      <c r="EV35" t="e">
        <f>CM36-Table2[[#This Row],[2F4 Old CK Blast (Blue star)]]</f>
        <v>#VALUE!</v>
      </c>
      <c r="EW35" t="e">
        <f>CN36-Table2[[#This Row],[3F6 Old CK Blast (Carrier)]]</f>
        <v>#VALUE!</v>
      </c>
      <c r="EX35" t="e">
        <f>(CO36-Table2[[#This Row],[Old CK Panel -2]])*1000</f>
        <v>#VALUE!</v>
      </c>
      <c r="EY35" t="e">
        <f>N36-Table2[[#This Row],[4F1 Main UPS 1/C -1]]</f>
        <v>#VALUE!</v>
      </c>
      <c r="EZ35" t="e">
        <f>Z36-Table2[[#This Row],[15F1 Main UPS Panel - I/C - 2]]</f>
        <v>#VALUE!</v>
      </c>
      <c r="FA35" t="e">
        <f>BF36-Table2[[#This Row],[2F CLC -1 AC unit - 2]]</f>
        <v>#VALUE!</v>
      </c>
      <c r="FB35" t="e">
        <f>(BG36-Table2[[#This Row],[2F CLC Anti room]])*1000</f>
        <v>#VALUE!</v>
      </c>
      <c r="FC35" t="e">
        <f>BW36-Table2[[#This Row],[7F3 CLC Power Panel]]</f>
        <v>#VALUE!</v>
      </c>
      <c r="FD35" t="e">
        <f>(CI36-Table2[[#This Row],[PDB - 17 CLC Section ]])*1000</f>
        <v>#VALUE!</v>
      </c>
      <c r="FE35" t="e">
        <f>(W36-Table2[[#This Row],[13F3 Water &amp; Lift Old CK]])*1000</f>
        <v>#VALUE!</v>
      </c>
      <c r="FF35" t="e">
        <f>AA36-Table2[[#This Row],[15F2 New ETP Panel]]</f>
        <v>#VALUE!</v>
      </c>
      <c r="FG35" t="e">
        <f>AL36-Table2[[#This Row],[3F4 Old ETP Panel]]</f>
        <v>#VALUE!</v>
      </c>
      <c r="FH35" t="e">
        <f>AF36-Table2[[#This Row],[2F1 RO Plant]]</f>
        <v>#VALUE!</v>
      </c>
      <c r="FI35" t="e">
        <f>AK36-Table2[[#This Row],[3F3 Fire Hydrant Panel]]</f>
        <v>#VALUE!</v>
      </c>
      <c r="FJ35" t="e">
        <f>R36-Table2[[#This Row],[7F1 Freon System Panel]]</f>
        <v>#VALUE!</v>
      </c>
      <c r="FK35" t="e">
        <f>(AE36-Table2[[#This Row],[21F1 Refrigeration Ammonia]])*1000</f>
        <v>#VALUE!</v>
      </c>
      <c r="FL35" t="e">
        <f>(AG36-Table2[[#This Row],[2F3 Air Compressor]])*1000</f>
        <v>#VALUE!</v>
      </c>
      <c r="FM35" t="e">
        <f>(AX36-Table2[[#This Row],[Solar Reading Panel II]])*1000</f>
        <v>#VALUE!</v>
      </c>
      <c r="FN35" t="e">
        <f>AI36-Table2[[#This Row],[3F1 Maintenance Workshop]]</f>
        <v>#VALUE!</v>
      </c>
      <c r="FO35" t="e">
        <f>BD36-Table2[[#This Row],[4F B2B unit ]]</f>
        <v>#VALUE!</v>
      </c>
      <c r="FP35" t="e">
        <f>BL36-Table2[[#This Row],[2F1 - PDB 6 - Bread, B2B section]]</f>
        <v>#VALUE!</v>
      </c>
      <c r="FQ35" s="1" t="e">
        <f>(CG36-Table2[[#This Row],[9F5 - PDB 14 - Bread Lift]])</f>
        <v>#VALUE!</v>
      </c>
      <c r="FR35" t="e">
        <f>CJ36-Table2[[#This Row],[PDB - 16 Bread Section]]</f>
        <v>#VALUE!</v>
      </c>
      <c r="FS35" t="e">
        <f>BU36-Table2[[#This Row],[7F1 Donut Production area]]</f>
        <v>#VALUE!</v>
      </c>
      <c r="FT35" t="e">
        <f>CB36-Table2[[#This Row],[8F5 Donut Ban Bary]]</f>
        <v>#VALUE!</v>
      </c>
      <c r="FU35" t="e">
        <f>CF36-Table2[[#This Row],[9F4 - PDB 13 - Donut Sink Geyser area]]</f>
        <v>#VALUE!</v>
      </c>
      <c r="FV35" t="e">
        <f>BV36-Table2[[#This Row],[7F2 Flour Silo]]</f>
        <v>#VALUE!</v>
      </c>
      <c r="FW35" t="e">
        <f>BY36-Table2[[#This Row],[8F2 ACPDB - 3 SILO Ventilation]]</f>
        <v>#VALUE!</v>
      </c>
      <c r="FX35" t="e">
        <f>J36-Table2[[#This Row],[DG 1010KVA Running Hours]]</f>
        <v>#VALUE!</v>
      </c>
      <c r="FY35" t="e">
        <f>K36-Table2[[#This Row],[DG 1010 KVA Meter Reading]]</f>
        <v>#VALUE!</v>
      </c>
      <c r="FZ35" t="e">
        <f>L36-Table2[[#This Row],[GG 1010 KVA Running Hours]]</f>
        <v>#VALUE!</v>
      </c>
      <c r="GA35" t="e">
        <f>M36-Table2[[#This Row],[GG 1010 KVA Meter Reading]]</f>
        <v>#VALUE!</v>
      </c>
    </row>
    <row r="36" spans="2:183" x14ac:dyDescent="0.35">
      <c r="B36" s="56"/>
      <c r="C36" s="56"/>
    </row>
    <row r="37" spans="2:183" x14ac:dyDescent="0.35">
      <c r="B37" s="56"/>
      <c r="C37" s="56"/>
      <c r="DJ37">
        <f>SUM(DJ3:DK25)</f>
        <v>9520.432143999964</v>
      </c>
    </row>
    <row r="38" spans="2:183" x14ac:dyDescent="0.35">
      <c r="B38" s="56"/>
      <c r="C38" s="56"/>
      <c r="DJ38">
        <f>DJ37/26</f>
        <v>366.17046707692168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zoomScale="76" workbookViewId="0">
      <pane ySplit="9" topLeftCell="A28" activePane="bottomLeft" state="frozen"/>
      <selection pane="bottomLeft" activeCell="E41" sqref="E41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2.6328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SUBTOTAL(9,L10:L11116)</f>
        <v>-417026.5</v>
      </c>
      <c r="M8" s="42">
        <f t="shared" si="0"/>
        <v>-221660.79999999999</v>
      </c>
      <c r="N8" s="42">
        <f t="shared" si="0"/>
        <v>-53296.800000000003</v>
      </c>
      <c r="O8" s="42">
        <f t="shared" si="0"/>
        <v>-376126.4</v>
      </c>
      <c r="P8" s="42">
        <f t="shared" si="0"/>
        <v>-252213.5</v>
      </c>
      <c r="Q8" s="42">
        <f t="shared" si="0"/>
        <v>-536886.80000000005</v>
      </c>
      <c r="R8" s="42">
        <f t="shared" si="0"/>
        <v>-309901.7</v>
      </c>
      <c r="S8" s="42">
        <f t="shared" si="0"/>
        <v>-737190.2</v>
      </c>
      <c r="T8" s="42">
        <f t="shared" si="0"/>
        <v>-1471095</v>
      </c>
      <c r="U8" s="42">
        <f t="shared" si="0"/>
        <v>-953913.3</v>
      </c>
      <c r="V8" s="42">
        <f t="shared" si="0"/>
        <v>-531562.5</v>
      </c>
      <c r="W8" s="42">
        <f t="shared" si="0"/>
        <v>-790487</v>
      </c>
      <c r="X8" s="42">
        <f t="shared" si="0"/>
        <v>-2099434.9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218</v>
      </c>
      <c r="B10" s="29">
        <v>417026.5</v>
      </c>
      <c r="C10" s="28">
        <v>221372.3</v>
      </c>
      <c r="D10" s="30">
        <v>53296.800000000003</v>
      </c>
      <c r="E10" s="30">
        <v>376126.4</v>
      </c>
      <c r="F10" s="30">
        <v>252213.5</v>
      </c>
      <c r="G10" s="30">
        <v>536886.80000000005</v>
      </c>
      <c r="H10" s="28">
        <v>309686.5</v>
      </c>
      <c r="I10" s="30">
        <v>737190.2</v>
      </c>
      <c r="J10" s="33">
        <v>1471095</v>
      </c>
      <c r="L10" s="45">
        <f t="shared" ref="L10:T37" si="1">IFERROR(B11-B10,0)</f>
        <v>484.09999999997672</v>
      </c>
      <c r="M10" s="45">
        <f t="shared" si="1"/>
        <v>404.40000000002328</v>
      </c>
      <c r="N10" s="45">
        <f t="shared" si="1"/>
        <v>367.29999999999563</v>
      </c>
      <c r="O10" s="45">
        <f t="shared" si="1"/>
        <v>410.79999999998836</v>
      </c>
      <c r="P10" s="45">
        <f t="shared" si="1"/>
        <v>251.5</v>
      </c>
      <c r="Q10" s="45">
        <f t="shared" si="1"/>
        <v>558.19999999995343</v>
      </c>
      <c r="R10" s="45">
        <f t="shared" si="1"/>
        <v>332.40000000002328</v>
      </c>
      <c r="S10" s="45">
        <f t="shared" si="1"/>
        <v>1281.5</v>
      </c>
      <c r="T10" s="45">
        <f t="shared" si="1"/>
        <v>1794</v>
      </c>
      <c r="U10" s="46">
        <f t="shared" ref="U10:W72" si="2">L10+Q10</f>
        <v>1042.2999999999302</v>
      </c>
      <c r="V10" s="46">
        <f t="shared" si="2"/>
        <v>736.80000000004657</v>
      </c>
      <c r="W10" s="46">
        <f t="shared" si="2"/>
        <v>1648.7999999999956</v>
      </c>
      <c r="X10" s="46">
        <f t="shared" ref="X10:X37" si="3">O10+P10+T10</f>
        <v>2456.2999999999884</v>
      </c>
    </row>
    <row r="11" spans="1:24" ht="20" customHeight="1" x14ac:dyDescent="0.35">
      <c r="A11" s="28" t="s">
        <v>219</v>
      </c>
      <c r="B11" s="29">
        <v>417510.6</v>
      </c>
      <c r="C11" s="28">
        <v>221776.7</v>
      </c>
      <c r="D11" s="30">
        <v>53664.1</v>
      </c>
      <c r="E11" s="30">
        <v>376537.2</v>
      </c>
      <c r="F11" s="30">
        <v>252465</v>
      </c>
      <c r="G11" s="30">
        <v>537445</v>
      </c>
      <c r="H11" s="28">
        <v>310018.90000000002</v>
      </c>
      <c r="I11" s="30">
        <v>738471.7</v>
      </c>
      <c r="J11" s="33">
        <v>1472889</v>
      </c>
      <c r="L11" s="45">
        <f t="shared" si="1"/>
        <v>501.30000000004657</v>
      </c>
      <c r="M11" s="45">
        <f t="shared" si="1"/>
        <v>414.59999999997672</v>
      </c>
      <c r="N11" s="45">
        <f t="shared" si="1"/>
        <v>355</v>
      </c>
      <c r="O11" s="45">
        <f t="shared" si="1"/>
        <v>370.39999999996508</v>
      </c>
      <c r="P11" s="45">
        <f t="shared" si="1"/>
        <v>231.89999999999418</v>
      </c>
      <c r="Q11" s="45">
        <f t="shared" si="1"/>
        <v>566.69999999995343</v>
      </c>
      <c r="R11" s="45">
        <f t="shared" si="1"/>
        <v>399.79999999998836</v>
      </c>
      <c r="S11" s="45">
        <f t="shared" si="1"/>
        <v>955.90000000002328</v>
      </c>
      <c r="T11" s="45">
        <f t="shared" si="1"/>
        <v>1870</v>
      </c>
      <c r="U11" s="46">
        <f t="shared" si="2"/>
        <v>1068</v>
      </c>
      <c r="V11" s="46">
        <f t="shared" si="2"/>
        <v>814.39999999996508</v>
      </c>
      <c r="W11" s="46">
        <f t="shared" si="2"/>
        <v>1310.9000000000233</v>
      </c>
      <c r="X11" s="46">
        <f t="shared" si="3"/>
        <v>2472.2999999999593</v>
      </c>
    </row>
    <row r="12" spans="1:24" ht="20" customHeight="1" x14ac:dyDescent="0.35">
      <c r="A12" s="28" t="s">
        <v>223</v>
      </c>
      <c r="B12" s="29">
        <v>418011.9</v>
      </c>
      <c r="C12" s="28">
        <v>222191.3</v>
      </c>
      <c r="D12" s="30">
        <v>54019.1</v>
      </c>
      <c r="E12" s="30">
        <v>376907.6</v>
      </c>
      <c r="F12" s="30">
        <v>252696.9</v>
      </c>
      <c r="G12" s="30">
        <v>538011.69999999995</v>
      </c>
      <c r="H12" s="28">
        <v>310418.7</v>
      </c>
      <c r="I12" s="30">
        <v>739427.6</v>
      </c>
      <c r="J12" s="33">
        <v>1474759</v>
      </c>
      <c r="L12" s="45">
        <f t="shared" si="1"/>
        <v>481.09999999997672</v>
      </c>
      <c r="M12" s="45">
        <f t="shared" si="1"/>
        <v>0</v>
      </c>
      <c r="N12" s="45">
        <f t="shared" si="1"/>
        <v>333.09999999999854</v>
      </c>
      <c r="O12" s="45">
        <f t="shared" si="1"/>
        <v>377</v>
      </c>
      <c r="P12" s="45">
        <f t="shared" si="1"/>
        <v>232.70000000001164</v>
      </c>
      <c r="Q12" s="45">
        <f t="shared" si="1"/>
        <v>466.30000000004657</v>
      </c>
      <c r="R12" s="45">
        <f t="shared" si="1"/>
        <v>0</v>
      </c>
      <c r="S12" s="45">
        <f t="shared" si="1"/>
        <v>793.70000000006985</v>
      </c>
      <c r="T12" s="45">
        <f t="shared" si="1"/>
        <v>1835</v>
      </c>
      <c r="U12" s="46">
        <f t="shared" si="2"/>
        <v>947.40000000002328</v>
      </c>
      <c r="V12" s="46">
        <f t="shared" si="2"/>
        <v>0</v>
      </c>
      <c r="W12" s="46">
        <f t="shared" si="2"/>
        <v>1126.8000000000684</v>
      </c>
      <c r="X12" s="46">
        <f t="shared" si="3"/>
        <v>2444.7000000000116</v>
      </c>
    </row>
    <row r="13" spans="1:24" ht="20" customHeight="1" x14ac:dyDescent="0.35">
      <c r="A13" s="28" t="s">
        <v>224</v>
      </c>
      <c r="B13" s="29">
        <v>418493</v>
      </c>
      <c r="C13" s="28" t="s">
        <v>211</v>
      </c>
      <c r="D13" s="30">
        <v>54352.2</v>
      </c>
      <c r="E13" s="30">
        <v>377284.6</v>
      </c>
      <c r="F13" s="30">
        <v>252929.6</v>
      </c>
      <c r="G13" s="30">
        <v>538478</v>
      </c>
      <c r="H13" s="28" t="s">
        <v>211</v>
      </c>
      <c r="I13" s="30">
        <v>740221.3</v>
      </c>
      <c r="J13" s="33">
        <v>1476594</v>
      </c>
      <c r="L13" s="45">
        <f t="shared" si="1"/>
        <v>496</v>
      </c>
      <c r="M13" s="45">
        <f t="shared" si="1"/>
        <v>0</v>
      </c>
      <c r="N13" s="45">
        <f t="shared" si="1"/>
        <v>361</v>
      </c>
      <c r="O13" s="45">
        <f t="shared" si="1"/>
        <v>376.30000000004657</v>
      </c>
      <c r="P13" s="45">
        <f t="shared" si="1"/>
        <v>232.60000000000582</v>
      </c>
      <c r="Q13" s="45">
        <f t="shared" si="1"/>
        <v>585.5</v>
      </c>
      <c r="R13" s="45">
        <f t="shared" si="1"/>
        <v>0</v>
      </c>
      <c r="S13" s="45">
        <f t="shared" si="1"/>
        <v>1256.8999999999069</v>
      </c>
      <c r="T13" s="45">
        <f t="shared" si="1"/>
        <v>1820</v>
      </c>
      <c r="U13" s="46">
        <f t="shared" si="2"/>
        <v>1081.5</v>
      </c>
      <c r="V13" s="46">
        <f t="shared" si="2"/>
        <v>0</v>
      </c>
      <c r="W13" s="46">
        <f t="shared" si="2"/>
        <v>1617.8999999999069</v>
      </c>
      <c r="X13" s="46">
        <f t="shared" si="3"/>
        <v>2428.9000000000524</v>
      </c>
    </row>
    <row r="14" spans="1:24" ht="20" customHeight="1" x14ac:dyDescent="0.35">
      <c r="A14" s="28" t="s">
        <v>225</v>
      </c>
      <c r="B14" s="29">
        <v>418989</v>
      </c>
      <c r="C14" s="28" t="s">
        <v>211</v>
      </c>
      <c r="D14" s="30">
        <v>54713.2</v>
      </c>
      <c r="E14" s="30">
        <v>377660.9</v>
      </c>
      <c r="F14" s="30">
        <v>253162.2</v>
      </c>
      <c r="G14" s="30">
        <v>539063.5</v>
      </c>
      <c r="H14" s="28" t="s">
        <v>211</v>
      </c>
      <c r="I14" s="30">
        <v>741478.2</v>
      </c>
      <c r="J14" s="33">
        <v>1478414</v>
      </c>
      <c r="L14" s="45">
        <f t="shared" si="1"/>
        <v>511.29999999998836</v>
      </c>
      <c r="M14" s="45">
        <f t="shared" si="1"/>
        <v>0</v>
      </c>
      <c r="N14" s="45">
        <f t="shared" si="1"/>
        <v>372.40000000000146</v>
      </c>
      <c r="O14" s="45">
        <f t="shared" si="1"/>
        <v>376.19999999995343</v>
      </c>
      <c r="P14" s="45">
        <f t="shared" si="1"/>
        <v>232.29999999998836</v>
      </c>
      <c r="Q14" s="45">
        <f t="shared" si="1"/>
        <v>618</v>
      </c>
      <c r="R14" s="45">
        <f t="shared" si="1"/>
        <v>0</v>
      </c>
      <c r="S14" s="45">
        <f t="shared" si="1"/>
        <v>1353.6000000000931</v>
      </c>
      <c r="T14" s="45">
        <f t="shared" si="1"/>
        <v>1677</v>
      </c>
      <c r="U14" s="46">
        <f t="shared" si="2"/>
        <v>1129.2999999999884</v>
      </c>
      <c r="V14" s="46">
        <f t="shared" si="2"/>
        <v>0</v>
      </c>
      <c r="W14" s="46">
        <f t="shared" si="2"/>
        <v>1726.0000000000946</v>
      </c>
      <c r="X14" s="46">
        <f t="shared" si="3"/>
        <v>2285.4999999999418</v>
      </c>
    </row>
    <row r="15" spans="1:24" ht="20" customHeight="1" x14ac:dyDescent="0.35">
      <c r="A15" s="28" t="s">
        <v>226</v>
      </c>
      <c r="B15" s="29">
        <v>419500.3</v>
      </c>
      <c r="C15" s="28" t="s">
        <v>211</v>
      </c>
      <c r="D15" s="30">
        <v>55085.599999999999</v>
      </c>
      <c r="E15" s="30">
        <v>378037.1</v>
      </c>
      <c r="F15" s="30">
        <v>253394.5</v>
      </c>
      <c r="G15" s="30">
        <v>539681.5</v>
      </c>
      <c r="H15" s="28" t="s">
        <v>211</v>
      </c>
      <c r="I15" s="30">
        <v>742831.8</v>
      </c>
      <c r="J15" s="33">
        <v>1480091</v>
      </c>
      <c r="L15" s="45">
        <f t="shared" si="1"/>
        <v>501.29999999998836</v>
      </c>
      <c r="M15" s="45">
        <f t="shared" si="1"/>
        <v>0</v>
      </c>
      <c r="N15" s="45">
        <f t="shared" si="1"/>
        <v>367</v>
      </c>
      <c r="O15" s="45">
        <f t="shared" si="1"/>
        <v>370.70000000001164</v>
      </c>
      <c r="P15" s="45">
        <f t="shared" si="1"/>
        <v>228.10000000000582</v>
      </c>
      <c r="Q15" s="45">
        <f t="shared" si="1"/>
        <v>565.59999999997672</v>
      </c>
      <c r="R15" s="45">
        <f t="shared" si="1"/>
        <v>0</v>
      </c>
      <c r="S15" s="45">
        <f t="shared" si="1"/>
        <v>1378.6999999999534</v>
      </c>
      <c r="T15" s="45">
        <f t="shared" si="1"/>
        <v>1417</v>
      </c>
      <c r="U15" s="46">
        <f t="shared" si="2"/>
        <v>1066.8999999999651</v>
      </c>
      <c r="V15" s="46">
        <f t="shared" si="2"/>
        <v>0</v>
      </c>
      <c r="W15" s="46">
        <f t="shared" si="2"/>
        <v>1745.6999999999534</v>
      </c>
      <c r="X15" s="46">
        <f t="shared" si="3"/>
        <v>2015.8000000000175</v>
      </c>
    </row>
    <row r="16" spans="1:24" ht="20" customHeight="1" x14ac:dyDescent="0.35">
      <c r="A16" s="28" t="s">
        <v>227</v>
      </c>
      <c r="B16" s="29">
        <v>420001.6</v>
      </c>
      <c r="C16" s="28" t="s">
        <v>211</v>
      </c>
      <c r="D16" s="30">
        <v>55452.6</v>
      </c>
      <c r="E16" s="30">
        <v>378407.8</v>
      </c>
      <c r="F16" s="30">
        <v>253622.6</v>
      </c>
      <c r="G16" s="30">
        <v>540247.1</v>
      </c>
      <c r="H16" s="28" t="s">
        <v>211</v>
      </c>
      <c r="I16" s="30">
        <v>744210.5</v>
      </c>
      <c r="J16" s="33">
        <v>1481508</v>
      </c>
      <c r="L16" s="45">
        <f t="shared" si="1"/>
        <v>513.40000000002328</v>
      </c>
      <c r="M16" s="45">
        <f t="shared" si="1"/>
        <v>0</v>
      </c>
      <c r="N16" s="45">
        <f t="shared" si="1"/>
        <v>365</v>
      </c>
      <c r="O16" s="45">
        <f t="shared" si="1"/>
        <v>375.70000000001164</v>
      </c>
      <c r="P16" s="45">
        <f t="shared" si="1"/>
        <v>231.19999999998254</v>
      </c>
      <c r="Q16" s="45">
        <f t="shared" si="1"/>
        <v>742.20000000006985</v>
      </c>
      <c r="R16" s="45">
        <f t="shared" si="1"/>
        <v>0</v>
      </c>
      <c r="S16" s="45">
        <f t="shared" si="1"/>
        <v>1320.8000000000466</v>
      </c>
      <c r="T16" s="45">
        <f t="shared" si="1"/>
        <v>1450</v>
      </c>
      <c r="U16" s="46">
        <f t="shared" si="2"/>
        <v>1255.6000000000931</v>
      </c>
      <c r="V16" s="46">
        <f t="shared" si="2"/>
        <v>0</v>
      </c>
      <c r="W16" s="46">
        <f t="shared" si="2"/>
        <v>1685.8000000000466</v>
      </c>
      <c r="X16" s="46">
        <f t="shared" si="3"/>
        <v>2056.8999999999942</v>
      </c>
    </row>
    <row r="17" spans="1:24" ht="20" customHeight="1" x14ac:dyDescent="0.35">
      <c r="A17" s="28" t="s">
        <v>233</v>
      </c>
      <c r="B17" s="29">
        <v>420515</v>
      </c>
      <c r="C17" s="28" t="s">
        <v>211</v>
      </c>
      <c r="D17" s="30">
        <v>55817.599999999999</v>
      </c>
      <c r="E17" s="30">
        <v>378783.5</v>
      </c>
      <c r="F17" s="30">
        <v>253853.8</v>
      </c>
      <c r="G17" s="30">
        <v>540989.30000000005</v>
      </c>
      <c r="H17" s="28" t="s">
        <v>211</v>
      </c>
      <c r="I17" s="30">
        <v>745531.3</v>
      </c>
      <c r="J17" s="33">
        <v>1482958</v>
      </c>
      <c r="L17" s="45">
        <f t="shared" si="1"/>
        <v>518.5</v>
      </c>
      <c r="M17" s="45">
        <f t="shared" si="1"/>
        <v>0</v>
      </c>
      <c r="N17" s="45">
        <f t="shared" si="1"/>
        <v>371.70000000000437</v>
      </c>
      <c r="O17" s="45">
        <f t="shared" si="1"/>
        <v>375.79999999998836</v>
      </c>
      <c r="P17" s="45">
        <f t="shared" si="1"/>
        <v>231.40000000002328</v>
      </c>
      <c r="Q17" s="45">
        <f t="shared" si="1"/>
        <v>743.89999999990687</v>
      </c>
      <c r="R17" s="45">
        <f t="shared" si="1"/>
        <v>0</v>
      </c>
      <c r="S17" s="45">
        <f t="shared" si="1"/>
        <v>1378.7999999999302</v>
      </c>
      <c r="T17" s="45">
        <f t="shared" si="1"/>
        <v>1552</v>
      </c>
      <c r="U17" s="46">
        <f t="shared" si="2"/>
        <v>1262.3999999999069</v>
      </c>
      <c r="V17" s="46">
        <f t="shared" si="2"/>
        <v>0</v>
      </c>
      <c r="W17" s="46">
        <f t="shared" si="2"/>
        <v>1750.4999999999345</v>
      </c>
      <c r="X17" s="46">
        <f t="shared" si="3"/>
        <v>2159.2000000000116</v>
      </c>
    </row>
    <row r="18" spans="1:24" ht="20" customHeight="1" x14ac:dyDescent="0.35">
      <c r="A18" s="28" t="s">
        <v>234</v>
      </c>
      <c r="B18" s="29">
        <v>421033.5</v>
      </c>
      <c r="C18" s="28">
        <v>222479.8</v>
      </c>
      <c r="D18" s="30">
        <v>56189.3</v>
      </c>
      <c r="E18" s="30">
        <v>379159.3</v>
      </c>
      <c r="F18" s="30">
        <v>254085.2</v>
      </c>
      <c r="G18" s="30">
        <v>541733.19999999995</v>
      </c>
      <c r="H18" s="28">
        <v>310633.90000000002</v>
      </c>
      <c r="I18" s="30">
        <v>746910.1</v>
      </c>
      <c r="J18" s="33">
        <v>1484510</v>
      </c>
      <c r="L18" s="45">
        <f t="shared" si="1"/>
        <v>497.70000000001164</v>
      </c>
      <c r="M18" s="45">
        <f t="shared" si="1"/>
        <v>231.20000000001164</v>
      </c>
      <c r="N18" s="45">
        <f t="shared" si="1"/>
        <v>353.39999999999418</v>
      </c>
      <c r="O18" s="45">
        <f t="shared" si="1"/>
        <v>360</v>
      </c>
      <c r="P18" s="45">
        <f t="shared" si="1"/>
        <v>215.59999999997672</v>
      </c>
      <c r="Q18" s="45">
        <f t="shared" si="1"/>
        <v>622.10000000009313</v>
      </c>
      <c r="R18" s="45">
        <f t="shared" si="1"/>
        <v>142.79999999998836</v>
      </c>
      <c r="S18" s="45">
        <f t="shared" si="1"/>
        <v>1248.9000000000233</v>
      </c>
      <c r="T18" s="45">
        <f t="shared" si="1"/>
        <v>1645</v>
      </c>
      <c r="U18" s="46">
        <f t="shared" si="2"/>
        <v>1119.8000000001048</v>
      </c>
      <c r="V18" s="46">
        <f t="shared" si="2"/>
        <v>374</v>
      </c>
      <c r="W18" s="46">
        <f t="shared" si="2"/>
        <v>1602.3000000000175</v>
      </c>
      <c r="X18" s="46">
        <f t="shared" si="3"/>
        <v>2220.5999999999767</v>
      </c>
    </row>
    <row r="19" spans="1:24" ht="20" customHeight="1" x14ac:dyDescent="0.35">
      <c r="A19" s="28" t="s">
        <v>235</v>
      </c>
      <c r="B19" s="29">
        <v>421531.2</v>
      </c>
      <c r="C19" s="28">
        <v>222711</v>
      </c>
      <c r="D19" s="30">
        <v>56542.7</v>
      </c>
      <c r="E19" s="30">
        <v>379519.3</v>
      </c>
      <c r="F19" s="30">
        <v>254300.79999999999</v>
      </c>
      <c r="G19" s="30">
        <v>542355.30000000005</v>
      </c>
      <c r="H19" s="28">
        <v>310776.7</v>
      </c>
      <c r="I19" s="30">
        <v>748159</v>
      </c>
      <c r="J19" s="33">
        <v>1486155</v>
      </c>
      <c r="L19" s="45">
        <f t="shared" si="1"/>
        <v>469.39999999996508</v>
      </c>
      <c r="M19" s="45">
        <f t="shared" si="1"/>
        <v>201.89999999999418</v>
      </c>
      <c r="N19" s="45">
        <f t="shared" si="1"/>
        <v>349.20000000000437</v>
      </c>
      <c r="O19" s="45">
        <f t="shared" si="1"/>
        <v>283.29999999998836</v>
      </c>
      <c r="P19" s="45">
        <f t="shared" si="1"/>
        <v>216.40000000002328</v>
      </c>
      <c r="Q19" s="45">
        <f t="shared" si="1"/>
        <v>401.09999999997672</v>
      </c>
      <c r="R19" s="45">
        <f t="shared" si="1"/>
        <v>214.79999999998836</v>
      </c>
      <c r="S19" s="45">
        <f t="shared" si="1"/>
        <v>874.5</v>
      </c>
      <c r="T19" s="45">
        <f t="shared" si="1"/>
        <v>1554</v>
      </c>
      <c r="U19" s="46">
        <f t="shared" si="2"/>
        <v>870.49999999994179</v>
      </c>
      <c r="V19" s="46">
        <f t="shared" si="2"/>
        <v>416.69999999998254</v>
      </c>
      <c r="W19" s="46">
        <f t="shared" si="2"/>
        <v>1223.7000000000044</v>
      </c>
      <c r="X19" s="46">
        <f t="shared" si="3"/>
        <v>2053.7000000000116</v>
      </c>
    </row>
    <row r="20" spans="1:24" ht="20" customHeight="1" x14ac:dyDescent="0.35">
      <c r="A20" s="28" t="s">
        <v>236</v>
      </c>
      <c r="B20" s="29">
        <v>422000.6</v>
      </c>
      <c r="C20" s="28">
        <v>222912.9</v>
      </c>
      <c r="D20" s="30">
        <v>56891.9</v>
      </c>
      <c r="E20" s="30">
        <v>379802.6</v>
      </c>
      <c r="F20" s="30">
        <v>254517.2</v>
      </c>
      <c r="G20" s="30">
        <v>542756.4</v>
      </c>
      <c r="H20" s="28">
        <v>310991.5</v>
      </c>
      <c r="I20" s="30">
        <v>749033.5</v>
      </c>
      <c r="J20" s="33">
        <v>1487709</v>
      </c>
      <c r="L20" s="45">
        <f t="shared" si="1"/>
        <v>367.30000000004657</v>
      </c>
      <c r="M20" s="45">
        <f t="shared" si="1"/>
        <v>165.5</v>
      </c>
      <c r="N20" s="45">
        <f t="shared" si="1"/>
        <v>353.79999999999563</v>
      </c>
      <c r="O20" s="45">
        <f t="shared" si="1"/>
        <v>376.10000000003492</v>
      </c>
      <c r="P20" s="45">
        <f t="shared" si="1"/>
        <v>249.89999999999418</v>
      </c>
      <c r="Q20" s="45">
        <f t="shared" si="1"/>
        <v>471.09999999997672</v>
      </c>
      <c r="R20" s="45">
        <f t="shared" si="1"/>
        <v>281.40000000002328</v>
      </c>
      <c r="S20" s="45">
        <f t="shared" si="1"/>
        <v>1087.5999999999767</v>
      </c>
      <c r="T20" s="45">
        <f t="shared" si="1"/>
        <v>1584</v>
      </c>
      <c r="U20" s="46">
        <f t="shared" si="2"/>
        <v>838.40000000002328</v>
      </c>
      <c r="V20" s="46">
        <f t="shared" si="2"/>
        <v>446.90000000002328</v>
      </c>
      <c r="W20" s="46">
        <f t="shared" si="2"/>
        <v>1441.3999999999724</v>
      </c>
      <c r="X20" s="46">
        <f t="shared" si="3"/>
        <v>2210.0000000000291</v>
      </c>
    </row>
    <row r="21" spans="1:24" ht="20" customHeight="1" x14ac:dyDescent="0.35">
      <c r="A21" s="28" t="s">
        <v>237</v>
      </c>
      <c r="B21" s="29">
        <v>422367.9</v>
      </c>
      <c r="C21" s="30">
        <v>223078.39999999999</v>
      </c>
      <c r="D21" s="30">
        <v>57245.7</v>
      </c>
      <c r="E21" s="30">
        <v>380178.7</v>
      </c>
      <c r="F21" s="30">
        <v>254767.1</v>
      </c>
      <c r="G21" s="30">
        <v>543227.5</v>
      </c>
      <c r="H21" s="30">
        <v>311272.90000000002</v>
      </c>
      <c r="I21" s="30">
        <v>750121.1</v>
      </c>
      <c r="J21" s="33">
        <v>1489293</v>
      </c>
      <c r="L21" s="45">
        <f t="shared" si="1"/>
        <v>63</v>
      </c>
      <c r="M21" s="45">
        <f t="shared" si="1"/>
        <v>250.20000000001164</v>
      </c>
      <c r="N21" s="45">
        <f t="shared" si="1"/>
        <v>359.80000000000291</v>
      </c>
      <c r="O21" s="45">
        <f t="shared" si="1"/>
        <v>444.39999999996508</v>
      </c>
      <c r="P21" s="45">
        <f t="shared" si="1"/>
        <v>303.10000000000582</v>
      </c>
      <c r="Q21" s="45">
        <f t="shared" si="1"/>
        <v>49.300000000046566</v>
      </c>
      <c r="R21" s="45">
        <f t="shared" si="1"/>
        <v>391.19999999995343</v>
      </c>
      <c r="S21" s="45">
        <f t="shared" si="1"/>
        <v>1165.5</v>
      </c>
      <c r="T21" s="45">
        <f t="shared" si="1"/>
        <v>1665</v>
      </c>
      <c r="U21" s="46">
        <f t="shared" si="2"/>
        <v>112.30000000004657</v>
      </c>
      <c r="V21" s="46">
        <f t="shared" si="2"/>
        <v>641.39999999996508</v>
      </c>
      <c r="W21" s="46">
        <f t="shared" si="2"/>
        <v>1525.3000000000029</v>
      </c>
      <c r="X21" s="46">
        <f t="shared" si="3"/>
        <v>2412.4999999999709</v>
      </c>
    </row>
    <row r="22" spans="1:24" ht="20" customHeight="1" x14ac:dyDescent="0.35">
      <c r="A22" s="28" t="s">
        <v>238</v>
      </c>
      <c r="B22" s="29">
        <v>422430.9</v>
      </c>
      <c r="C22" s="30">
        <v>223328.6</v>
      </c>
      <c r="D22" s="30">
        <v>57605.5</v>
      </c>
      <c r="E22" s="30">
        <v>380623.1</v>
      </c>
      <c r="F22" s="30">
        <v>255070.2</v>
      </c>
      <c r="G22" s="30">
        <v>543276.80000000005</v>
      </c>
      <c r="H22" s="30">
        <v>311664.09999999998</v>
      </c>
      <c r="I22" s="30">
        <v>751286.6</v>
      </c>
      <c r="J22" s="33">
        <v>1490958</v>
      </c>
      <c r="L22" s="45">
        <f t="shared" si="1"/>
        <v>7.7999999999883585</v>
      </c>
      <c r="M22" s="45">
        <f t="shared" si="1"/>
        <v>429.19999999998254</v>
      </c>
      <c r="N22" s="45">
        <f t="shared" si="1"/>
        <v>376.5</v>
      </c>
      <c r="O22" s="45">
        <f t="shared" si="1"/>
        <v>390.70000000001164</v>
      </c>
      <c r="P22" s="45">
        <f t="shared" si="1"/>
        <v>257.19999999998254</v>
      </c>
      <c r="Q22" s="45">
        <f t="shared" si="1"/>
        <v>15.699999999953434</v>
      </c>
      <c r="R22" s="45">
        <f t="shared" si="1"/>
        <v>819.80000000004657</v>
      </c>
      <c r="S22" s="45">
        <f t="shared" si="1"/>
        <v>1243.0999999999767</v>
      </c>
      <c r="T22" s="45">
        <f t="shared" si="1"/>
        <v>1770</v>
      </c>
      <c r="U22" s="46">
        <f t="shared" si="2"/>
        <v>23.499999999941792</v>
      </c>
      <c r="V22" s="46">
        <f t="shared" si="2"/>
        <v>1249.0000000000291</v>
      </c>
      <c r="W22" s="46">
        <f t="shared" si="2"/>
        <v>1619.5999999999767</v>
      </c>
      <c r="X22" s="46">
        <f t="shared" si="3"/>
        <v>2417.8999999999942</v>
      </c>
    </row>
    <row r="23" spans="1:24" ht="20" customHeight="1" x14ac:dyDescent="0.35">
      <c r="A23" s="28" t="s">
        <v>239</v>
      </c>
      <c r="B23" s="29">
        <v>422438.7</v>
      </c>
      <c r="C23" s="30">
        <v>223757.8</v>
      </c>
      <c r="D23" s="30">
        <v>57982</v>
      </c>
      <c r="E23" s="30">
        <v>381013.8</v>
      </c>
      <c r="F23" s="30">
        <v>255327.4</v>
      </c>
      <c r="G23" s="30">
        <v>543292.5</v>
      </c>
      <c r="H23" s="30">
        <v>312483.90000000002</v>
      </c>
      <c r="I23" s="30">
        <v>752529.7</v>
      </c>
      <c r="J23" s="33">
        <v>1492728</v>
      </c>
      <c r="L23" s="45">
        <f t="shared" si="1"/>
        <v>153</v>
      </c>
      <c r="M23" s="45">
        <f t="shared" si="1"/>
        <v>443.30000000001746</v>
      </c>
      <c r="N23" s="45">
        <f t="shared" si="1"/>
        <v>383.69999999999709</v>
      </c>
      <c r="O23" s="45">
        <f t="shared" si="1"/>
        <v>373.60000000003492</v>
      </c>
      <c r="P23" s="45">
        <f t="shared" si="1"/>
        <v>240.5</v>
      </c>
      <c r="Q23" s="45">
        <f t="shared" si="1"/>
        <v>214.90000000002328</v>
      </c>
      <c r="R23" s="45">
        <f t="shared" si="1"/>
        <v>1027</v>
      </c>
      <c r="S23" s="45">
        <f t="shared" si="1"/>
        <v>1338</v>
      </c>
      <c r="T23" s="45">
        <f t="shared" si="1"/>
        <v>1698</v>
      </c>
      <c r="U23" s="46">
        <f t="shared" si="2"/>
        <v>367.90000000002328</v>
      </c>
      <c r="V23" s="46">
        <f t="shared" si="2"/>
        <v>1470.3000000000175</v>
      </c>
      <c r="W23" s="46">
        <f t="shared" si="2"/>
        <v>1721.6999999999971</v>
      </c>
      <c r="X23" s="46">
        <f t="shared" si="3"/>
        <v>2312.1000000000349</v>
      </c>
    </row>
    <row r="24" spans="1:24" ht="20" customHeight="1" x14ac:dyDescent="0.35">
      <c r="A24" s="28" t="s">
        <v>244</v>
      </c>
      <c r="B24" s="29">
        <v>422591.7</v>
      </c>
      <c r="C24" s="30">
        <v>224201.1</v>
      </c>
      <c r="D24" s="30">
        <v>58365.7</v>
      </c>
      <c r="E24" s="30">
        <v>381387.4</v>
      </c>
      <c r="F24" s="30">
        <v>255567.9</v>
      </c>
      <c r="G24" s="30">
        <v>543507.4</v>
      </c>
      <c r="H24" s="30">
        <v>313510.90000000002</v>
      </c>
      <c r="I24" s="30">
        <v>753867.7</v>
      </c>
      <c r="J24" s="33">
        <v>1494426</v>
      </c>
      <c r="L24" s="45">
        <f t="shared" si="1"/>
        <v>191.89999999996508</v>
      </c>
      <c r="M24" s="45">
        <f t="shared" si="1"/>
        <v>441.39999999999418</v>
      </c>
      <c r="N24" s="45">
        <f t="shared" si="1"/>
        <v>384.10000000000582</v>
      </c>
      <c r="O24" s="45">
        <f t="shared" si="1"/>
        <v>395.5</v>
      </c>
      <c r="P24" s="45">
        <f t="shared" si="1"/>
        <v>230</v>
      </c>
      <c r="Q24" s="45">
        <f t="shared" si="1"/>
        <v>1.2999999999301508</v>
      </c>
      <c r="R24" s="45">
        <f t="shared" si="1"/>
        <v>984.69999999995343</v>
      </c>
      <c r="S24" s="45">
        <f t="shared" si="1"/>
        <v>1262.3000000000466</v>
      </c>
      <c r="T24" s="45">
        <f t="shared" si="1"/>
        <v>1737</v>
      </c>
      <c r="U24" s="46">
        <f t="shared" si="2"/>
        <v>193.19999999989523</v>
      </c>
      <c r="V24" s="46">
        <f t="shared" si="2"/>
        <v>1426.0999999999476</v>
      </c>
      <c r="W24" s="46">
        <f t="shared" si="2"/>
        <v>1646.4000000000524</v>
      </c>
      <c r="X24" s="46">
        <f t="shared" si="3"/>
        <v>2362.5</v>
      </c>
    </row>
    <row r="25" spans="1:24" ht="20" customHeight="1" x14ac:dyDescent="0.35">
      <c r="A25" s="28" t="s">
        <v>245</v>
      </c>
      <c r="B25" s="29">
        <v>422783.6</v>
      </c>
      <c r="C25" s="30">
        <v>224642.5</v>
      </c>
      <c r="D25" s="30">
        <v>58749.8</v>
      </c>
      <c r="E25" s="30">
        <v>381782.9</v>
      </c>
      <c r="F25" s="30">
        <v>255797.9</v>
      </c>
      <c r="G25" s="30">
        <v>543508.69999999995</v>
      </c>
      <c r="H25" s="30">
        <v>314495.59999999998</v>
      </c>
      <c r="I25" s="30">
        <v>755130</v>
      </c>
      <c r="J25" s="33">
        <v>1496163</v>
      </c>
      <c r="L25" s="45">
        <f t="shared" si="1"/>
        <v>156.90000000002328</v>
      </c>
      <c r="M25" s="45">
        <f t="shared" si="1"/>
        <v>434.79999999998836</v>
      </c>
      <c r="N25" s="45">
        <f t="shared" si="1"/>
        <v>370.69999999999709</v>
      </c>
      <c r="O25" s="45">
        <f t="shared" si="1"/>
        <v>384.69999999995343</v>
      </c>
      <c r="P25" s="45">
        <f t="shared" si="1"/>
        <v>277.20000000001164</v>
      </c>
      <c r="Q25" s="45">
        <f t="shared" si="1"/>
        <v>1.4000000000232831</v>
      </c>
      <c r="R25" s="45">
        <f t="shared" si="1"/>
        <v>706.30000000004657</v>
      </c>
      <c r="S25" s="45">
        <f t="shared" si="1"/>
        <v>819.69999999995343</v>
      </c>
      <c r="T25" s="45">
        <f t="shared" si="1"/>
        <v>1885</v>
      </c>
      <c r="U25" s="46">
        <f t="shared" si="2"/>
        <v>158.30000000004657</v>
      </c>
      <c r="V25" s="46">
        <f t="shared" si="2"/>
        <v>1141.1000000000349</v>
      </c>
      <c r="W25" s="46">
        <f t="shared" si="2"/>
        <v>1190.3999999999505</v>
      </c>
      <c r="X25" s="46">
        <f t="shared" si="3"/>
        <v>2546.8999999999651</v>
      </c>
    </row>
    <row r="26" spans="1:24" ht="20" customHeight="1" x14ac:dyDescent="0.35">
      <c r="A26" s="28" t="s">
        <v>246</v>
      </c>
      <c r="B26" s="29">
        <v>422940.5</v>
      </c>
      <c r="C26" s="30">
        <v>225077.3</v>
      </c>
      <c r="D26" s="30">
        <v>59120.5</v>
      </c>
      <c r="E26" s="30">
        <v>382167.6</v>
      </c>
      <c r="F26" s="30">
        <v>256075.1</v>
      </c>
      <c r="G26" s="30">
        <v>543510.1</v>
      </c>
      <c r="H26" s="30">
        <v>315201.90000000002</v>
      </c>
      <c r="I26" s="30">
        <v>755949.7</v>
      </c>
      <c r="J26" s="33">
        <v>1498048</v>
      </c>
      <c r="L26" s="45">
        <f t="shared" si="1"/>
        <v>0</v>
      </c>
      <c r="M26" s="45">
        <f t="shared" si="1"/>
        <v>435.20000000001164</v>
      </c>
      <c r="N26" s="45">
        <f t="shared" si="1"/>
        <v>339.80000000000291</v>
      </c>
      <c r="O26" s="45">
        <f t="shared" si="1"/>
        <v>358.90000000002328</v>
      </c>
      <c r="P26" s="45">
        <f t="shared" si="1"/>
        <v>219.60000000000582</v>
      </c>
      <c r="Q26" s="45">
        <f t="shared" si="1"/>
        <v>0</v>
      </c>
      <c r="R26" s="45">
        <f t="shared" si="1"/>
        <v>628.09999999997672</v>
      </c>
      <c r="S26" s="45">
        <f t="shared" si="1"/>
        <v>886.90000000002328</v>
      </c>
      <c r="T26" s="45">
        <f t="shared" si="1"/>
        <v>1578</v>
      </c>
      <c r="U26" s="46">
        <f t="shared" si="2"/>
        <v>0</v>
      </c>
      <c r="V26" s="46">
        <f t="shared" si="2"/>
        <v>1063.2999999999884</v>
      </c>
      <c r="W26" s="46">
        <f t="shared" si="2"/>
        <v>1226.7000000000262</v>
      </c>
      <c r="X26" s="46">
        <f t="shared" si="3"/>
        <v>2156.5000000000291</v>
      </c>
    </row>
    <row r="27" spans="1:24" ht="16.75" customHeight="1" x14ac:dyDescent="0.35">
      <c r="A27" s="28" t="s">
        <v>247</v>
      </c>
      <c r="B27" s="29">
        <v>422940.5</v>
      </c>
      <c r="C27" s="30">
        <v>225512.5</v>
      </c>
      <c r="D27" s="30">
        <v>59460.3</v>
      </c>
      <c r="E27" s="30">
        <v>382526.5</v>
      </c>
      <c r="F27" s="30">
        <v>256294.7</v>
      </c>
      <c r="G27" s="30">
        <v>543510.1</v>
      </c>
      <c r="H27" s="30">
        <v>315830</v>
      </c>
      <c r="I27" s="30">
        <v>756836.6</v>
      </c>
      <c r="J27" s="33">
        <v>1499626</v>
      </c>
      <c r="L27" s="45">
        <f t="shared" si="1"/>
        <v>0</v>
      </c>
      <c r="M27" s="45">
        <f t="shared" si="1"/>
        <v>493</v>
      </c>
      <c r="N27" s="45">
        <f t="shared" si="1"/>
        <v>382.69999999999709</v>
      </c>
      <c r="O27" s="45">
        <f t="shared" si="1"/>
        <v>377.90000000002328</v>
      </c>
      <c r="P27" s="45">
        <f t="shared" si="1"/>
        <v>230.79999999998836</v>
      </c>
      <c r="Q27" s="45">
        <f t="shared" si="1"/>
        <v>2.7000000000698492</v>
      </c>
      <c r="R27" s="45">
        <f t="shared" si="1"/>
        <v>943.20000000001164</v>
      </c>
      <c r="S27" s="45">
        <f t="shared" si="1"/>
        <v>1369.8000000000466</v>
      </c>
      <c r="T27" s="45">
        <f t="shared" si="1"/>
        <v>1211</v>
      </c>
      <c r="U27" s="46">
        <f t="shared" si="2"/>
        <v>2.7000000000698492</v>
      </c>
      <c r="V27" s="46">
        <f t="shared" si="2"/>
        <v>1436.2000000000116</v>
      </c>
      <c r="W27" s="46">
        <f t="shared" si="2"/>
        <v>1752.5000000000437</v>
      </c>
      <c r="X27" s="46">
        <f t="shared" si="3"/>
        <v>1819.7000000000116</v>
      </c>
    </row>
    <row r="28" spans="1:24" ht="20" customHeight="1" x14ac:dyDescent="0.35">
      <c r="A28" s="28" t="s">
        <v>248</v>
      </c>
      <c r="B28" s="29">
        <v>422940.5</v>
      </c>
      <c r="C28" s="30">
        <v>226005.5</v>
      </c>
      <c r="D28" s="30">
        <v>59843</v>
      </c>
      <c r="E28" s="30">
        <v>382904.4</v>
      </c>
      <c r="F28" s="30">
        <v>256525.5</v>
      </c>
      <c r="G28" s="30">
        <v>543512.80000000005</v>
      </c>
      <c r="H28" s="30">
        <v>316773.2</v>
      </c>
      <c r="I28" s="30">
        <v>758206.4</v>
      </c>
      <c r="J28" s="33">
        <v>1500837</v>
      </c>
      <c r="L28" s="45">
        <f t="shared" si="1"/>
        <v>0</v>
      </c>
      <c r="M28" s="45">
        <f t="shared" si="1"/>
        <v>479.29999999998836</v>
      </c>
      <c r="N28" s="45">
        <f t="shared" si="1"/>
        <v>392.80000000000291</v>
      </c>
      <c r="O28" s="45">
        <f t="shared" si="1"/>
        <v>377.69999999995343</v>
      </c>
      <c r="P28" s="45">
        <f t="shared" si="1"/>
        <v>231.29999999998836</v>
      </c>
      <c r="Q28" s="45">
        <f t="shared" si="1"/>
        <v>2.7999999999301508</v>
      </c>
      <c r="R28" s="45">
        <f t="shared" si="1"/>
        <v>841.29999999998836</v>
      </c>
      <c r="S28" s="45">
        <f t="shared" si="1"/>
        <v>1488.1999999999534</v>
      </c>
      <c r="T28" s="45">
        <f t="shared" si="1"/>
        <v>1514</v>
      </c>
      <c r="U28" s="46">
        <f t="shared" si="2"/>
        <v>2.7999999999301508</v>
      </c>
      <c r="V28" s="46">
        <f t="shared" si="2"/>
        <v>1320.5999999999767</v>
      </c>
      <c r="W28" s="46">
        <f t="shared" si="2"/>
        <v>1880.9999999999563</v>
      </c>
      <c r="X28" s="46">
        <f t="shared" si="3"/>
        <v>2122.9999999999418</v>
      </c>
    </row>
    <row r="29" spans="1:24" ht="20" customHeight="1" x14ac:dyDescent="0.35">
      <c r="A29" s="28" t="s">
        <v>249</v>
      </c>
      <c r="B29" s="29">
        <v>422940.5</v>
      </c>
      <c r="C29" s="30">
        <v>226484.8</v>
      </c>
      <c r="D29" s="30">
        <v>60235.8</v>
      </c>
      <c r="E29" s="30">
        <v>383282.1</v>
      </c>
      <c r="F29" s="30">
        <v>256756.8</v>
      </c>
      <c r="G29" s="30">
        <v>543515.6</v>
      </c>
      <c r="H29" s="30">
        <v>317614.5</v>
      </c>
      <c r="I29" s="30">
        <v>759694.6</v>
      </c>
      <c r="J29" s="33">
        <v>1502351</v>
      </c>
      <c r="L29" s="45">
        <f t="shared" si="1"/>
        <v>0</v>
      </c>
      <c r="M29" s="45">
        <f t="shared" si="1"/>
        <v>474.10000000000582</v>
      </c>
      <c r="N29" s="45">
        <f t="shared" si="1"/>
        <v>396.5</v>
      </c>
      <c r="O29" s="45">
        <f t="shared" si="1"/>
        <v>378.20000000001164</v>
      </c>
      <c r="P29" s="45">
        <f t="shared" si="1"/>
        <v>231.70000000001164</v>
      </c>
      <c r="Q29" s="45">
        <f t="shared" si="1"/>
        <v>1.4000000000232831</v>
      </c>
      <c r="R29" s="45">
        <f t="shared" si="1"/>
        <v>762.70000000001164</v>
      </c>
      <c r="S29" s="45">
        <f t="shared" si="1"/>
        <v>1309</v>
      </c>
      <c r="T29" s="45">
        <f t="shared" si="1"/>
        <v>1515</v>
      </c>
      <c r="U29" s="46">
        <f t="shared" si="2"/>
        <v>1.4000000000232831</v>
      </c>
      <c r="V29" s="46">
        <f t="shared" si="2"/>
        <v>1236.8000000000175</v>
      </c>
      <c r="W29" s="46">
        <f t="shared" si="2"/>
        <v>1705.5</v>
      </c>
      <c r="X29" s="46">
        <f t="shared" si="3"/>
        <v>2124.9000000000233</v>
      </c>
    </row>
    <row r="30" spans="1:24" ht="20" customHeight="1" x14ac:dyDescent="0.35">
      <c r="A30" s="28" t="s">
        <v>250</v>
      </c>
      <c r="B30" s="29">
        <v>422940.5</v>
      </c>
      <c r="C30" s="30">
        <v>226958.9</v>
      </c>
      <c r="D30" s="30">
        <v>60632.3</v>
      </c>
      <c r="E30" s="30">
        <v>383660.3</v>
      </c>
      <c r="F30" s="30">
        <v>256988.5</v>
      </c>
      <c r="G30" s="30">
        <v>543517</v>
      </c>
      <c r="H30" s="30">
        <v>318377.2</v>
      </c>
      <c r="I30" s="30">
        <v>761003.6</v>
      </c>
      <c r="J30" s="33">
        <v>1503866</v>
      </c>
      <c r="L30" s="45">
        <f t="shared" si="1"/>
        <v>0</v>
      </c>
      <c r="M30" s="45">
        <f t="shared" si="1"/>
        <v>340.70000000001164</v>
      </c>
      <c r="N30" s="45">
        <f t="shared" si="1"/>
        <v>383.79999999999563</v>
      </c>
      <c r="O30" s="45">
        <f t="shared" si="1"/>
        <v>377.5</v>
      </c>
      <c r="P30" s="45">
        <f t="shared" si="1"/>
        <v>231.70000000001164</v>
      </c>
      <c r="Q30" s="45">
        <f t="shared" si="1"/>
        <v>1.3000000000465661</v>
      </c>
      <c r="R30" s="45">
        <f t="shared" si="1"/>
        <v>363.59999999997672</v>
      </c>
      <c r="S30" s="45">
        <f t="shared" si="1"/>
        <v>1435.5</v>
      </c>
      <c r="T30" s="45">
        <f t="shared" si="1"/>
        <v>1495</v>
      </c>
      <c r="U30" s="46">
        <f t="shared" si="2"/>
        <v>1.3000000000465661</v>
      </c>
      <c r="V30" s="46">
        <f t="shared" si="2"/>
        <v>704.29999999998836</v>
      </c>
      <c r="W30" s="46">
        <f t="shared" si="2"/>
        <v>1819.2999999999956</v>
      </c>
      <c r="X30" s="46">
        <f t="shared" si="3"/>
        <v>2104.2000000000116</v>
      </c>
    </row>
    <row r="31" spans="1:24" ht="20" customHeight="1" x14ac:dyDescent="0.35">
      <c r="A31" s="28" t="s">
        <v>251</v>
      </c>
      <c r="B31" s="29">
        <v>422940.5</v>
      </c>
      <c r="C31" s="30">
        <v>227299.6</v>
      </c>
      <c r="D31" s="30">
        <v>61016.1</v>
      </c>
      <c r="E31" s="30">
        <v>384037.8</v>
      </c>
      <c r="F31" s="30">
        <v>257220.2</v>
      </c>
      <c r="G31" s="30">
        <v>543518.30000000005</v>
      </c>
      <c r="H31" s="30">
        <v>318740.8</v>
      </c>
      <c r="I31" s="30">
        <v>762439.1</v>
      </c>
      <c r="J31" s="33">
        <v>1505361</v>
      </c>
      <c r="L31" s="45">
        <f t="shared" si="1"/>
        <v>0</v>
      </c>
      <c r="M31" s="45">
        <f t="shared" si="1"/>
        <v>164.5</v>
      </c>
      <c r="N31" s="45">
        <f t="shared" si="1"/>
        <v>387.90000000000146</v>
      </c>
      <c r="O31" s="45">
        <f t="shared" si="1"/>
        <v>378.70000000001164</v>
      </c>
      <c r="P31" s="45">
        <f t="shared" si="1"/>
        <v>232.5</v>
      </c>
      <c r="Q31" s="45">
        <f t="shared" si="1"/>
        <v>4.7999999999301508</v>
      </c>
      <c r="R31" s="45">
        <f t="shared" si="1"/>
        <v>136.40000000002328</v>
      </c>
      <c r="S31" s="45">
        <f t="shared" si="1"/>
        <v>1463.8000000000466</v>
      </c>
      <c r="T31" s="45">
        <f t="shared" si="1"/>
        <v>1518</v>
      </c>
      <c r="U31" s="46">
        <f t="shared" si="2"/>
        <v>4.7999999999301508</v>
      </c>
      <c r="V31" s="46">
        <f t="shared" si="2"/>
        <v>300.90000000002328</v>
      </c>
      <c r="W31" s="46">
        <f t="shared" si="2"/>
        <v>1851.700000000048</v>
      </c>
      <c r="X31" s="46">
        <f t="shared" si="3"/>
        <v>2129.2000000000116</v>
      </c>
    </row>
    <row r="32" spans="1:24" ht="20" customHeight="1" x14ac:dyDescent="0.35">
      <c r="A32" s="28" t="s">
        <v>252</v>
      </c>
      <c r="B32" s="29">
        <v>422940.5</v>
      </c>
      <c r="C32" s="30">
        <v>227464.1</v>
      </c>
      <c r="D32" s="30">
        <v>61404</v>
      </c>
      <c r="E32" s="30">
        <v>384416.5</v>
      </c>
      <c r="F32" s="30">
        <v>257452.7</v>
      </c>
      <c r="G32" s="30">
        <v>543523.1</v>
      </c>
      <c r="H32" s="30">
        <v>318877.2</v>
      </c>
      <c r="I32" s="30">
        <v>763902.9</v>
      </c>
      <c r="J32" s="33">
        <v>1506879</v>
      </c>
      <c r="L32" s="45">
        <f t="shared" si="1"/>
        <v>0</v>
      </c>
      <c r="M32" s="45">
        <f t="shared" si="1"/>
        <v>433.10000000000582</v>
      </c>
      <c r="N32" s="45">
        <f t="shared" si="1"/>
        <v>381.30000000000291</v>
      </c>
      <c r="O32" s="45">
        <f t="shared" si="1"/>
        <v>378.5</v>
      </c>
      <c r="P32" s="45">
        <f t="shared" si="1"/>
        <v>232.19999999998254</v>
      </c>
      <c r="Q32" s="45">
        <f t="shared" si="1"/>
        <v>1.4000000000232831</v>
      </c>
      <c r="R32" s="45">
        <f t="shared" si="1"/>
        <v>916.79999999998836</v>
      </c>
      <c r="S32" s="45">
        <f t="shared" si="1"/>
        <v>1110.4000000000233</v>
      </c>
      <c r="T32" s="45">
        <f t="shared" si="1"/>
        <v>1509</v>
      </c>
      <c r="U32" s="46">
        <f t="shared" si="2"/>
        <v>1.4000000000232831</v>
      </c>
      <c r="V32" s="46">
        <f t="shared" si="2"/>
        <v>1349.8999999999942</v>
      </c>
      <c r="W32" s="46">
        <f t="shared" si="2"/>
        <v>1491.7000000000262</v>
      </c>
      <c r="X32" s="46">
        <f t="shared" si="3"/>
        <v>2119.6999999999825</v>
      </c>
    </row>
    <row r="33" spans="1:24" ht="20" customHeight="1" x14ac:dyDescent="0.35">
      <c r="A33" s="28" t="s">
        <v>253</v>
      </c>
      <c r="B33" s="29">
        <v>422940.5</v>
      </c>
      <c r="C33" s="30">
        <v>227897.2</v>
      </c>
      <c r="D33" s="28">
        <v>61785.3</v>
      </c>
      <c r="E33" s="30">
        <v>384795</v>
      </c>
      <c r="F33" s="30">
        <v>257684.9</v>
      </c>
      <c r="G33" s="30">
        <v>543524.5</v>
      </c>
      <c r="H33" s="30">
        <v>319794</v>
      </c>
      <c r="I33" s="28">
        <v>765013.3</v>
      </c>
      <c r="J33" s="33">
        <v>1508388</v>
      </c>
      <c r="L33" s="45">
        <f t="shared" si="1"/>
        <v>0</v>
      </c>
      <c r="M33" s="45">
        <f t="shared" si="1"/>
        <v>457.79999999998836</v>
      </c>
      <c r="N33" s="45">
        <f t="shared" si="1"/>
        <v>299.19999999999709</v>
      </c>
      <c r="O33" s="45">
        <f t="shared" si="1"/>
        <v>379.5</v>
      </c>
      <c r="P33" s="45">
        <f t="shared" si="1"/>
        <v>232.5</v>
      </c>
      <c r="Q33" s="45">
        <f t="shared" si="1"/>
        <v>2.6999999999534339</v>
      </c>
      <c r="R33" s="45">
        <f t="shared" si="1"/>
        <v>603.40000000002328</v>
      </c>
      <c r="S33" s="45">
        <f t="shared" si="1"/>
        <v>691.69999999995343</v>
      </c>
      <c r="T33" s="45">
        <f t="shared" si="1"/>
        <v>1501</v>
      </c>
      <c r="U33" s="46">
        <f t="shared" si="2"/>
        <v>2.6999999999534339</v>
      </c>
      <c r="V33" s="46">
        <f t="shared" si="2"/>
        <v>1061.2000000000116</v>
      </c>
      <c r="W33" s="46">
        <f t="shared" si="2"/>
        <v>990.89999999995052</v>
      </c>
      <c r="X33" s="46">
        <f t="shared" si="3"/>
        <v>2113</v>
      </c>
    </row>
    <row r="34" spans="1:24" ht="20" customHeight="1" x14ac:dyDescent="0.35">
      <c r="A34" s="28" t="s">
        <v>254</v>
      </c>
      <c r="B34" s="29">
        <v>422940.5</v>
      </c>
      <c r="C34" s="30">
        <v>228355</v>
      </c>
      <c r="D34" s="28">
        <v>62084.5</v>
      </c>
      <c r="E34" s="30">
        <v>385174.5</v>
      </c>
      <c r="F34" s="30">
        <v>257917.4</v>
      </c>
      <c r="G34" s="30">
        <v>543527.19999999995</v>
      </c>
      <c r="H34" s="30">
        <v>320397.40000000002</v>
      </c>
      <c r="I34" s="28">
        <v>765705</v>
      </c>
      <c r="J34" s="33">
        <v>1509889</v>
      </c>
      <c r="L34" s="45">
        <f t="shared" si="1"/>
        <v>0</v>
      </c>
      <c r="M34" s="45">
        <f t="shared" si="1"/>
        <v>352</v>
      </c>
      <c r="N34" s="45">
        <f t="shared" si="1"/>
        <v>247.30000000000291</v>
      </c>
      <c r="O34" s="45">
        <f t="shared" si="1"/>
        <v>379.40000000002328</v>
      </c>
      <c r="P34" s="45">
        <f t="shared" si="1"/>
        <v>233.20000000001164</v>
      </c>
      <c r="Q34" s="45">
        <f t="shared" si="1"/>
        <v>1.6000000000931323</v>
      </c>
      <c r="R34" s="45">
        <f t="shared" si="1"/>
        <v>354.79999999998836</v>
      </c>
      <c r="S34" s="45">
        <f t="shared" si="1"/>
        <v>961</v>
      </c>
      <c r="T34" s="45">
        <f t="shared" si="1"/>
        <v>1511</v>
      </c>
      <c r="U34" s="46">
        <f t="shared" si="2"/>
        <v>1.6000000000931323</v>
      </c>
      <c r="V34" s="46">
        <f t="shared" si="2"/>
        <v>706.79999999998836</v>
      </c>
      <c r="W34" s="46">
        <f t="shared" si="2"/>
        <v>1208.3000000000029</v>
      </c>
      <c r="X34" s="46">
        <f t="shared" si="3"/>
        <v>2123.6000000000349</v>
      </c>
    </row>
    <row r="35" spans="1:24" ht="20" customHeight="1" x14ac:dyDescent="0.35">
      <c r="A35" s="28" t="s">
        <v>257</v>
      </c>
      <c r="B35" s="29">
        <v>422940.5</v>
      </c>
      <c r="C35" s="30">
        <v>228707</v>
      </c>
      <c r="D35" s="28">
        <v>62331.8</v>
      </c>
      <c r="E35" s="30">
        <v>385553.9</v>
      </c>
      <c r="F35" s="30">
        <v>258150.6</v>
      </c>
      <c r="G35" s="30">
        <v>543528.80000000005</v>
      </c>
      <c r="H35" s="30">
        <v>320752.2</v>
      </c>
      <c r="I35" s="28">
        <v>766666</v>
      </c>
      <c r="J35" s="33">
        <v>1511400</v>
      </c>
      <c r="L35" s="45">
        <f t="shared" si="1"/>
        <v>0</v>
      </c>
      <c r="M35" s="45">
        <f t="shared" si="1"/>
        <v>304.79999999998836</v>
      </c>
      <c r="N35" s="45">
        <f t="shared" si="1"/>
        <v>383.59999999999854</v>
      </c>
      <c r="O35" s="45">
        <f t="shared" si="1"/>
        <v>378.59999999997672</v>
      </c>
      <c r="P35" s="45">
        <f t="shared" si="1"/>
        <v>232.19999999998254</v>
      </c>
      <c r="Q35" s="45">
        <f t="shared" si="1"/>
        <v>1.5999999999767169</v>
      </c>
      <c r="R35" s="45">
        <f t="shared" si="1"/>
        <v>434.20000000001164</v>
      </c>
      <c r="S35" s="45">
        <f t="shared" si="1"/>
        <v>1159.1999999999534</v>
      </c>
      <c r="T35" s="45">
        <f t="shared" si="1"/>
        <v>1505</v>
      </c>
      <c r="U35" s="46">
        <f t="shared" si="2"/>
        <v>1.5999999999767169</v>
      </c>
      <c r="V35" s="46">
        <f t="shared" si="2"/>
        <v>739</v>
      </c>
      <c r="W35" s="46">
        <f t="shared" si="2"/>
        <v>1542.799999999952</v>
      </c>
      <c r="X35" s="46">
        <f t="shared" si="3"/>
        <v>2115.7999999999593</v>
      </c>
    </row>
    <row r="36" spans="1:24" ht="20" customHeight="1" x14ac:dyDescent="0.35">
      <c r="A36" s="28" t="s">
        <v>258</v>
      </c>
      <c r="B36" s="29">
        <v>422940.5</v>
      </c>
      <c r="C36" s="30">
        <v>229011.8</v>
      </c>
      <c r="D36" s="28">
        <v>62715.4</v>
      </c>
      <c r="E36" s="30">
        <v>385932.5</v>
      </c>
      <c r="F36" s="30">
        <v>258382.8</v>
      </c>
      <c r="G36" s="30">
        <v>543530.4</v>
      </c>
      <c r="H36" s="30">
        <v>321186.40000000002</v>
      </c>
      <c r="I36" s="28">
        <v>767825.2</v>
      </c>
      <c r="J36" s="33">
        <v>1512905</v>
      </c>
      <c r="L36" s="45">
        <f t="shared" si="1"/>
        <v>0</v>
      </c>
      <c r="M36" s="45">
        <f t="shared" si="1"/>
        <v>332.70000000001164</v>
      </c>
      <c r="N36" s="45">
        <f t="shared" si="1"/>
        <v>375.90000000000146</v>
      </c>
      <c r="O36" s="45">
        <f t="shared" si="1"/>
        <v>374.29999999998836</v>
      </c>
      <c r="P36" s="45">
        <f t="shared" si="1"/>
        <v>229.80000000001746</v>
      </c>
      <c r="Q36" s="45">
        <f t="shared" si="1"/>
        <v>2.9000000000232831</v>
      </c>
      <c r="R36" s="45">
        <f t="shared" si="1"/>
        <v>483.09999999997672</v>
      </c>
      <c r="S36" s="45">
        <f t="shared" si="1"/>
        <v>1157.8000000000466</v>
      </c>
      <c r="T36" s="45">
        <f t="shared" si="1"/>
        <v>1470</v>
      </c>
      <c r="U36" s="46">
        <f t="shared" si="2"/>
        <v>2.9000000000232831</v>
      </c>
      <c r="V36" s="46">
        <f t="shared" si="2"/>
        <v>815.79999999998836</v>
      </c>
      <c r="W36" s="46">
        <f t="shared" si="2"/>
        <v>1533.700000000048</v>
      </c>
      <c r="X36" s="46">
        <f t="shared" si="3"/>
        <v>2074.1000000000058</v>
      </c>
    </row>
    <row r="37" spans="1:24" ht="20" customHeight="1" x14ac:dyDescent="0.35">
      <c r="A37" s="28" t="s">
        <v>259</v>
      </c>
      <c r="B37" s="29">
        <v>422940.5</v>
      </c>
      <c r="C37" s="30">
        <v>229344.5</v>
      </c>
      <c r="D37" s="28">
        <v>63091.3</v>
      </c>
      <c r="E37" s="30">
        <v>386306.8</v>
      </c>
      <c r="F37" s="30">
        <v>258612.6</v>
      </c>
      <c r="G37" s="30">
        <v>543533.30000000005</v>
      </c>
      <c r="H37" s="30">
        <v>321669.5</v>
      </c>
      <c r="I37" s="28">
        <v>768983</v>
      </c>
      <c r="J37" s="33">
        <v>1514375</v>
      </c>
      <c r="L37" s="45">
        <f t="shared" si="1"/>
        <v>0</v>
      </c>
      <c r="M37" s="45">
        <f t="shared" si="1"/>
        <v>366.89999999999418</v>
      </c>
      <c r="N37" s="45">
        <f t="shared" si="1"/>
        <v>368.39999999999418</v>
      </c>
      <c r="O37" s="45">
        <f t="shared" ref="O37:T79" si="4">IFERROR(E38-E37,0)</f>
        <v>373.70000000001164</v>
      </c>
      <c r="P37" s="45">
        <f t="shared" si="4"/>
        <v>231.89999999999418</v>
      </c>
      <c r="Q37" s="45">
        <f t="shared" si="4"/>
        <v>1.6999999999534339</v>
      </c>
      <c r="R37" s="45">
        <f t="shared" si="4"/>
        <v>481.5</v>
      </c>
      <c r="S37" s="45">
        <f t="shared" si="4"/>
        <v>1140.5</v>
      </c>
      <c r="T37" s="45">
        <f t="shared" si="4"/>
        <v>1473</v>
      </c>
      <c r="U37" s="46">
        <f t="shared" si="2"/>
        <v>1.6999999999534339</v>
      </c>
      <c r="V37" s="46">
        <f t="shared" si="2"/>
        <v>848.39999999999418</v>
      </c>
      <c r="W37" s="46">
        <f t="shared" si="2"/>
        <v>1508.8999999999942</v>
      </c>
      <c r="X37" s="46">
        <f t="shared" si="3"/>
        <v>2078.6000000000058</v>
      </c>
    </row>
    <row r="38" spans="1:24" ht="20" customHeight="1" x14ac:dyDescent="0.35">
      <c r="A38" s="28" t="s">
        <v>262</v>
      </c>
      <c r="B38" s="29">
        <v>422940.5</v>
      </c>
      <c r="C38" s="30">
        <v>229711.4</v>
      </c>
      <c r="D38" s="28">
        <v>63459.7</v>
      </c>
      <c r="E38" s="30">
        <v>386680.5</v>
      </c>
      <c r="F38" s="30">
        <v>258844.5</v>
      </c>
      <c r="G38" s="30">
        <v>543535</v>
      </c>
      <c r="H38" s="30">
        <v>322151</v>
      </c>
      <c r="I38" s="28">
        <v>770123.5</v>
      </c>
      <c r="J38" s="33">
        <v>1515848</v>
      </c>
      <c r="L38" s="45">
        <f t="shared" ref="L38:Q101" si="5">IFERROR(B39-B38,0)</f>
        <v>0</v>
      </c>
      <c r="M38" s="45">
        <f t="shared" si="5"/>
        <v>99.800000000017462</v>
      </c>
      <c r="N38" s="45">
        <f t="shared" si="5"/>
        <v>342.60000000000582</v>
      </c>
      <c r="O38" s="45">
        <f t="shared" si="4"/>
        <v>377</v>
      </c>
      <c r="P38" s="45">
        <f t="shared" si="4"/>
        <v>233.29999999998836</v>
      </c>
      <c r="Q38" s="45">
        <f t="shared" si="4"/>
        <v>2.6999999999534339</v>
      </c>
      <c r="R38" s="45">
        <f t="shared" si="4"/>
        <v>131.79999999998836</v>
      </c>
      <c r="S38" s="45">
        <f t="shared" si="4"/>
        <v>775.80000000004657</v>
      </c>
      <c r="T38" s="45">
        <f t="shared" si="4"/>
        <v>1519</v>
      </c>
      <c r="U38" s="46">
        <f t="shared" si="2"/>
        <v>2.6999999999534339</v>
      </c>
      <c r="V38" s="46">
        <f t="shared" si="2"/>
        <v>231.60000000000582</v>
      </c>
      <c r="W38" s="46">
        <f t="shared" si="2"/>
        <v>1118.4000000000524</v>
      </c>
      <c r="X38" s="46">
        <f t="shared" ref="X38:X69" si="6">O38+P38+T38</f>
        <v>2129.2999999999884</v>
      </c>
    </row>
    <row r="39" spans="1:24" ht="20" customHeight="1" x14ac:dyDescent="0.35">
      <c r="A39" s="28" t="s">
        <v>263</v>
      </c>
      <c r="B39" s="29">
        <v>422940.5</v>
      </c>
      <c r="C39" s="30">
        <v>229811.20000000001</v>
      </c>
      <c r="D39" s="30">
        <v>63802.3</v>
      </c>
      <c r="E39" s="30">
        <v>387057.5</v>
      </c>
      <c r="F39" s="30">
        <v>259077.8</v>
      </c>
      <c r="G39" s="30">
        <v>543537.69999999995</v>
      </c>
      <c r="H39" s="30">
        <v>322282.8</v>
      </c>
      <c r="I39" s="30">
        <v>770899.3</v>
      </c>
      <c r="J39" s="33">
        <v>1517367</v>
      </c>
      <c r="L39" s="45">
        <f t="shared" si="5"/>
        <v>-422940.5</v>
      </c>
      <c r="M39" s="45">
        <f t="shared" si="5"/>
        <v>-229811.20000000001</v>
      </c>
      <c r="N39" s="45">
        <f t="shared" si="5"/>
        <v>-63802.3</v>
      </c>
      <c r="O39" s="45">
        <f t="shared" si="4"/>
        <v>-387057.5</v>
      </c>
      <c r="P39" s="45">
        <f t="shared" si="4"/>
        <v>-259077.8</v>
      </c>
      <c r="Q39" s="45">
        <f t="shared" si="4"/>
        <v>-543537.69999999995</v>
      </c>
      <c r="R39" s="45">
        <f t="shared" si="4"/>
        <v>-322282.8</v>
      </c>
      <c r="S39" s="45">
        <f t="shared" si="4"/>
        <v>-770899.3</v>
      </c>
      <c r="T39" s="45">
        <f t="shared" si="4"/>
        <v>-1517367</v>
      </c>
      <c r="U39" s="46">
        <f t="shared" si="2"/>
        <v>-966478.2</v>
      </c>
      <c r="V39" s="46">
        <f t="shared" si="2"/>
        <v>-552094</v>
      </c>
      <c r="W39" s="46">
        <f t="shared" si="2"/>
        <v>-834701.60000000009</v>
      </c>
      <c r="X39" s="46">
        <f t="shared" si="6"/>
        <v>-2163502.2999999998</v>
      </c>
    </row>
    <row r="40" spans="1:24" ht="20" customHeight="1" x14ac:dyDescent="0.35">
      <c r="A40" s="28"/>
      <c r="B40" s="29"/>
      <c r="C40" s="30"/>
      <c r="D40" s="28"/>
      <c r="E40" s="30"/>
      <c r="F40" s="30"/>
      <c r="G40" s="30"/>
      <c r="H40" s="30"/>
      <c r="I40" s="28"/>
      <c r="J40" s="33"/>
      <c r="L40" s="45">
        <f t="shared" si="5"/>
        <v>0</v>
      </c>
      <c r="M40" s="45">
        <f t="shared" si="5"/>
        <v>0</v>
      </c>
      <c r="N40" s="45">
        <f t="shared" si="5"/>
        <v>0</v>
      </c>
      <c r="O40" s="45">
        <f t="shared" si="4"/>
        <v>0</v>
      </c>
      <c r="P40" s="45">
        <f t="shared" si="4"/>
        <v>0</v>
      </c>
      <c r="Q40" s="45">
        <f t="shared" si="4"/>
        <v>0</v>
      </c>
      <c r="R40" s="45">
        <f t="shared" si="4"/>
        <v>0</v>
      </c>
      <c r="S40" s="45">
        <f t="shared" si="4"/>
        <v>0</v>
      </c>
      <c r="T40" s="45">
        <f t="shared" si="4"/>
        <v>0</v>
      </c>
      <c r="U40" s="46">
        <f t="shared" si="2"/>
        <v>0</v>
      </c>
      <c r="V40" s="46">
        <f t="shared" si="2"/>
        <v>0</v>
      </c>
      <c r="W40" s="46">
        <f t="shared" si="2"/>
        <v>0</v>
      </c>
      <c r="X40" s="46">
        <f t="shared" si="6"/>
        <v>0</v>
      </c>
    </row>
    <row r="41" spans="1:24" ht="20" customHeight="1" x14ac:dyDescent="0.35">
      <c r="A41" s="28"/>
      <c r="B41" s="29"/>
      <c r="C41" s="30"/>
      <c r="D41" s="28"/>
      <c r="E41" s="30"/>
      <c r="F41" s="30"/>
      <c r="G41" s="30"/>
      <c r="H41" s="30"/>
      <c r="I41" s="28"/>
      <c r="J41" s="33"/>
      <c r="L41" s="45">
        <f t="shared" si="5"/>
        <v>0</v>
      </c>
      <c r="M41" s="45">
        <f t="shared" si="5"/>
        <v>0</v>
      </c>
      <c r="N41" s="45">
        <f t="shared" si="5"/>
        <v>0</v>
      </c>
      <c r="O41" s="45">
        <f t="shared" si="4"/>
        <v>0</v>
      </c>
      <c r="P41" s="45">
        <f t="shared" si="4"/>
        <v>0</v>
      </c>
      <c r="Q41" s="45">
        <f t="shared" si="4"/>
        <v>0</v>
      </c>
      <c r="R41" s="45">
        <f t="shared" si="4"/>
        <v>0</v>
      </c>
      <c r="S41" s="45">
        <f t="shared" si="4"/>
        <v>0</v>
      </c>
      <c r="T41" s="45">
        <f t="shared" si="4"/>
        <v>0</v>
      </c>
      <c r="U41" s="46">
        <f t="shared" si="2"/>
        <v>0</v>
      </c>
      <c r="V41" s="46">
        <f t="shared" si="2"/>
        <v>0</v>
      </c>
      <c r="W41" s="46">
        <f t="shared" si="2"/>
        <v>0</v>
      </c>
      <c r="X41" s="46">
        <f t="shared" si="6"/>
        <v>0</v>
      </c>
    </row>
    <row r="42" spans="1:24" ht="20" customHeight="1" x14ac:dyDescent="0.35">
      <c r="A42" s="28"/>
      <c r="B42" s="29"/>
      <c r="C42" s="30"/>
      <c r="D42" s="30"/>
      <c r="E42" s="30"/>
      <c r="F42" s="30"/>
      <c r="G42" s="30"/>
      <c r="H42" s="30"/>
      <c r="I42" s="30"/>
      <c r="J42" s="33"/>
      <c r="L42" s="45">
        <f t="shared" si="5"/>
        <v>0</v>
      </c>
      <c r="M42" s="45">
        <f t="shared" si="5"/>
        <v>0</v>
      </c>
      <c r="N42" s="45">
        <f t="shared" si="5"/>
        <v>0</v>
      </c>
      <c r="O42" s="45">
        <f t="shared" si="4"/>
        <v>0</v>
      </c>
      <c r="P42" s="45">
        <f t="shared" si="4"/>
        <v>0</v>
      </c>
      <c r="Q42" s="45">
        <f t="shared" si="4"/>
        <v>0</v>
      </c>
      <c r="R42" s="45">
        <f t="shared" si="4"/>
        <v>0</v>
      </c>
      <c r="S42" s="45">
        <f t="shared" si="4"/>
        <v>0</v>
      </c>
      <c r="T42" s="45">
        <f t="shared" si="4"/>
        <v>0</v>
      </c>
      <c r="U42" s="46">
        <f t="shared" si="2"/>
        <v>0</v>
      </c>
      <c r="V42" s="46">
        <f t="shared" si="2"/>
        <v>0</v>
      </c>
      <c r="W42" s="46">
        <f t="shared" si="2"/>
        <v>0</v>
      </c>
      <c r="X42" s="46">
        <f t="shared" si="6"/>
        <v>0</v>
      </c>
    </row>
    <row r="43" spans="1:24" ht="20" customHeight="1" x14ac:dyDescent="0.35">
      <c r="A43" s="28"/>
      <c r="B43" s="29"/>
      <c r="C43" s="30"/>
      <c r="D43" s="30"/>
      <c r="E43" s="30"/>
      <c r="F43" s="30"/>
      <c r="G43" s="30"/>
      <c r="H43" s="30"/>
      <c r="I43" s="30"/>
      <c r="J43" s="33"/>
      <c r="L43" s="45">
        <f t="shared" si="5"/>
        <v>0</v>
      </c>
      <c r="M43" s="45">
        <f t="shared" si="5"/>
        <v>0</v>
      </c>
      <c r="N43" s="45">
        <f t="shared" si="5"/>
        <v>0</v>
      </c>
      <c r="O43" s="45">
        <f t="shared" si="4"/>
        <v>0</v>
      </c>
      <c r="P43" s="45">
        <f t="shared" si="4"/>
        <v>0</v>
      </c>
      <c r="Q43" s="45">
        <f t="shared" si="4"/>
        <v>0</v>
      </c>
      <c r="R43" s="45">
        <f t="shared" si="4"/>
        <v>0</v>
      </c>
      <c r="S43" s="45">
        <f t="shared" si="4"/>
        <v>0</v>
      </c>
      <c r="T43" s="45">
        <f t="shared" si="4"/>
        <v>0</v>
      </c>
      <c r="U43" s="46">
        <f t="shared" si="2"/>
        <v>0</v>
      </c>
      <c r="V43" s="46">
        <f t="shared" si="2"/>
        <v>0</v>
      </c>
      <c r="W43" s="46">
        <f t="shared" si="2"/>
        <v>0</v>
      </c>
      <c r="X43" s="46">
        <f t="shared" si="6"/>
        <v>0</v>
      </c>
    </row>
    <row r="44" spans="1:24" ht="20" customHeight="1" x14ac:dyDescent="0.35">
      <c r="A44" s="28"/>
      <c r="B44" s="29"/>
      <c r="C44" s="30"/>
      <c r="D44" s="30"/>
      <c r="E44" s="30"/>
      <c r="F44" s="30"/>
      <c r="G44" s="30"/>
      <c r="H44" s="30"/>
      <c r="I44" s="30"/>
      <c r="J44" s="33"/>
      <c r="L44" s="45">
        <f t="shared" si="5"/>
        <v>0</v>
      </c>
      <c r="M44" s="45">
        <f t="shared" si="5"/>
        <v>0</v>
      </c>
      <c r="N44" s="45">
        <f t="shared" si="5"/>
        <v>0</v>
      </c>
      <c r="O44" s="45">
        <f t="shared" si="4"/>
        <v>0</v>
      </c>
      <c r="P44" s="45">
        <f t="shared" si="4"/>
        <v>0</v>
      </c>
      <c r="Q44" s="45">
        <f t="shared" si="4"/>
        <v>0</v>
      </c>
      <c r="R44" s="45">
        <f t="shared" si="4"/>
        <v>0</v>
      </c>
      <c r="S44" s="45">
        <f t="shared" si="4"/>
        <v>0</v>
      </c>
      <c r="T44" s="45">
        <f t="shared" si="4"/>
        <v>0</v>
      </c>
      <c r="U44" s="46">
        <f t="shared" si="2"/>
        <v>0</v>
      </c>
      <c r="V44" s="46">
        <f t="shared" si="2"/>
        <v>0</v>
      </c>
      <c r="W44" s="46">
        <f t="shared" si="2"/>
        <v>0</v>
      </c>
      <c r="X44" s="46">
        <f t="shared" si="6"/>
        <v>0</v>
      </c>
    </row>
    <row r="45" spans="1:24" ht="16.75" customHeight="1" x14ac:dyDescent="0.35">
      <c r="A45" s="28"/>
      <c r="B45" s="29"/>
      <c r="C45" s="30"/>
      <c r="D45" s="30"/>
      <c r="E45" s="30"/>
      <c r="F45" s="30"/>
      <c r="G45" s="30"/>
      <c r="H45" s="30"/>
      <c r="I45" s="30"/>
      <c r="J45" s="33"/>
      <c r="L45" s="45">
        <f t="shared" si="5"/>
        <v>0</v>
      </c>
      <c r="M45" s="45">
        <f t="shared" si="5"/>
        <v>0</v>
      </c>
      <c r="N45" s="45">
        <f t="shared" si="5"/>
        <v>0</v>
      </c>
      <c r="O45" s="45">
        <f t="shared" si="4"/>
        <v>0</v>
      </c>
      <c r="P45" s="45">
        <f t="shared" si="4"/>
        <v>0</v>
      </c>
      <c r="Q45" s="45">
        <f t="shared" si="4"/>
        <v>0</v>
      </c>
      <c r="R45" s="45">
        <f t="shared" si="4"/>
        <v>0</v>
      </c>
      <c r="S45" s="45">
        <f t="shared" si="4"/>
        <v>0</v>
      </c>
      <c r="T45" s="45">
        <f t="shared" si="4"/>
        <v>0</v>
      </c>
      <c r="U45" s="46">
        <f t="shared" si="2"/>
        <v>0</v>
      </c>
      <c r="V45" s="46">
        <f t="shared" si="2"/>
        <v>0</v>
      </c>
      <c r="W45" s="46">
        <f t="shared" si="2"/>
        <v>0</v>
      </c>
      <c r="X45" s="46">
        <f t="shared" si="6"/>
        <v>0</v>
      </c>
    </row>
    <row r="46" spans="1:24" ht="20" customHeight="1" x14ac:dyDescent="0.35">
      <c r="A46" s="28"/>
      <c r="B46" s="29"/>
      <c r="C46" s="30"/>
      <c r="D46" s="30"/>
      <c r="E46" s="30"/>
      <c r="F46" s="30"/>
      <c r="G46" s="30"/>
      <c r="H46" s="30"/>
      <c r="I46" s="30"/>
      <c r="J46" s="33"/>
      <c r="L46" s="45">
        <f t="shared" si="5"/>
        <v>0</v>
      </c>
      <c r="M46" s="45">
        <f t="shared" si="5"/>
        <v>0</v>
      </c>
      <c r="N46" s="45">
        <f t="shared" si="5"/>
        <v>0</v>
      </c>
      <c r="O46" s="45">
        <f t="shared" si="4"/>
        <v>0</v>
      </c>
      <c r="P46" s="45">
        <f t="shared" si="4"/>
        <v>0</v>
      </c>
      <c r="Q46" s="45">
        <f t="shared" si="4"/>
        <v>0</v>
      </c>
      <c r="R46" s="45">
        <f t="shared" si="4"/>
        <v>0</v>
      </c>
      <c r="S46" s="45">
        <f t="shared" si="4"/>
        <v>0</v>
      </c>
      <c r="T46" s="45">
        <f t="shared" si="4"/>
        <v>0</v>
      </c>
      <c r="U46" s="46">
        <f t="shared" si="2"/>
        <v>0</v>
      </c>
      <c r="V46" s="46">
        <f t="shared" si="2"/>
        <v>0</v>
      </c>
      <c r="W46" s="46">
        <f t="shared" si="2"/>
        <v>0</v>
      </c>
      <c r="X46" s="46">
        <f t="shared" si="6"/>
        <v>0</v>
      </c>
    </row>
    <row r="47" spans="1:24" ht="20" customHeight="1" x14ac:dyDescent="0.35">
      <c r="A47" s="28"/>
      <c r="B47" s="29"/>
      <c r="C47" s="30"/>
      <c r="D47" s="30"/>
      <c r="E47" s="30"/>
      <c r="F47" s="30"/>
      <c r="G47" s="30"/>
      <c r="H47" s="30"/>
      <c r="I47" s="30"/>
      <c r="J47" s="33"/>
      <c r="L47" s="45">
        <f t="shared" si="5"/>
        <v>0</v>
      </c>
      <c r="M47" s="45">
        <f t="shared" si="5"/>
        <v>0</v>
      </c>
      <c r="N47" s="45">
        <f t="shared" si="5"/>
        <v>0</v>
      </c>
      <c r="O47" s="45">
        <f t="shared" si="4"/>
        <v>0</v>
      </c>
      <c r="P47" s="45">
        <f t="shared" si="4"/>
        <v>0</v>
      </c>
      <c r="Q47" s="45">
        <f t="shared" si="4"/>
        <v>0</v>
      </c>
      <c r="R47" s="45">
        <f t="shared" si="4"/>
        <v>0</v>
      </c>
      <c r="S47" s="45">
        <f t="shared" si="4"/>
        <v>0</v>
      </c>
      <c r="T47" s="45">
        <f t="shared" si="4"/>
        <v>0</v>
      </c>
      <c r="U47" s="46">
        <f t="shared" si="2"/>
        <v>0</v>
      </c>
      <c r="V47" s="46">
        <f t="shared" si="2"/>
        <v>0</v>
      </c>
      <c r="W47" s="46">
        <f t="shared" si="2"/>
        <v>0</v>
      </c>
      <c r="X47" s="46">
        <f t="shared" si="6"/>
        <v>0</v>
      </c>
    </row>
    <row r="48" spans="1:24" ht="20" customHeight="1" x14ac:dyDescent="0.35">
      <c r="A48" s="28"/>
      <c r="B48" s="29"/>
      <c r="C48" s="30"/>
      <c r="D48" s="30"/>
      <c r="E48" s="30"/>
      <c r="F48" s="30"/>
      <c r="G48" s="30"/>
      <c r="H48" s="30"/>
      <c r="I48" s="30"/>
      <c r="J48" s="33"/>
      <c r="L48" s="45">
        <f t="shared" si="5"/>
        <v>0</v>
      </c>
      <c r="M48" s="45">
        <f t="shared" si="5"/>
        <v>0</v>
      </c>
      <c r="N48" s="45">
        <f t="shared" si="5"/>
        <v>0</v>
      </c>
      <c r="O48" s="45">
        <f t="shared" si="4"/>
        <v>0</v>
      </c>
      <c r="P48" s="45">
        <f t="shared" si="4"/>
        <v>0</v>
      </c>
      <c r="Q48" s="45">
        <f t="shared" si="4"/>
        <v>0</v>
      </c>
      <c r="R48" s="45">
        <f t="shared" si="4"/>
        <v>0</v>
      </c>
      <c r="S48" s="45">
        <f t="shared" si="4"/>
        <v>0</v>
      </c>
      <c r="T48" s="45">
        <f t="shared" si="4"/>
        <v>0</v>
      </c>
      <c r="U48" s="46">
        <f t="shared" si="2"/>
        <v>0</v>
      </c>
      <c r="V48" s="46">
        <f t="shared" si="2"/>
        <v>0</v>
      </c>
      <c r="W48" s="46">
        <f t="shared" si="2"/>
        <v>0</v>
      </c>
      <c r="X48" s="46">
        <f t="shared" si="6"/>
        <v>0</v>
      </c>
    </row>
    <row r="49" spans="1:24" ht="20" customHeight="1" x14ac:dyDescent="0.35">
      <c r="A49" s="28"/>
      <c r="B49" s="29"/>
      <c r="C49" s="30"/>
      <c r="D49" s="30"/>
      <c r="E49" s="30"/>
      <c r="F49" s="30"/>
      <c r="G49" s="30"/>
      <c r="H49" s="30"/>
      <c r="I49" s="30"/>
      <c r="J49" s="33"/>
      <c r="L49" s="45">
        <f t="shared" si="5"/>
        <v>0</v>
      </c>
      <c r="M49" s="45">
        <f t="shared" si="5"/>
        <v>0</v>
      </c>
      <c r="N49" s="45">
        <f t="shared" si="5"/>
        <v>0</v>
      </c>
      <c r="O49" s="45">
        <f t="shared" si="4"/>
        <v>0</v>
      </c>
      <c r="P49" s="45">
        <f t="shared" si="4"/>
        <v>0</v>
      </c>
      <c r="Q49" s="45">
        <f t="shared" si="4"/>
        <v>0</v>
      </c>
      <c r="R49" s="45">
        <f t="shared" si="4"/>
        <v>0</v>
      </c>
      <c r="S49" s="45">
        <f t="shared" si="4"/>
        <v>0</v>
      </c>
      <c r="T49" s="45">
        <f t="shared" si="4"/>
        <v>0</v>
      </c>
      <c r="U49" s="46">
        <f t="shared" si="2"/>
        <v>0</v>
      </c>
      <c r="V49" s="46">
        <f t="shared" si="2"/>
        <v>0</v>
      </c>
      <c r="W49" s="46">
        <f t="shared" si="2"/>
        <v>0</v>
      </c>
      <c r="X49" s="46">
        <f t="shared" si="6"/>
        <v>0</v>
      </c>
    </row>
    <row r="50" spans="1:24" ht="20" customHeight="1" x14ac:dyDescent="0.35">
      <c r="A50" s="28"/>
      <c r="B50" s="29"/>
      <c r="C50" s="30"/>
      <c r="D50" s="30"/>
      <c r="E50" s="30"/>
      <c r="F50" s="30"/>
      <c r="G50" s="30"/>
      <c r="H50" s="30"/>
      <c r="I50" s="30"/>
      <c r="J50" s="33"/>
      <c r="L50" s="45">
        <f t="shared" si="5"/>
        <v>0</v>
      </c>
      <c r="M50" s="45">
        <f t="shared" si="5"/>
        <v>0</v>
      </c>
      <c r="N50" s="45">
        <f t="shared" si="5"/>
        <v>0</v>
      </c>
      <c r="O50" s="45">
        <f t="shared" si="4"/>
        <v>0</v>
      </c>
      <c r="P50" s="45">
        <f t="shared" si="4"/>
        <v>0</v>
      </c>
      <c r="Q50" s="45">
        <f t="shared" si="4"/>
        <v>0</v>
      </c>
      <c r="R50" s="45">
        <f t="shared" si="4"/>
        <v>0</v>
      </c>
      <c r="S50" s="45">
        <f t="shared" si="4"/>
        <v>0</v>
      </c>
      <c r="T50" s="45">
        <f t="shared" si="4"/>
        <v>0</v>
      </c>
      <c r="U50" s="46">
        <f t="shared" si="2"/>
        <v>0</v>
      </c>
      <c r="V50" s="46">
        <f t="shared" si="2"/>
        <v>0</v>
      </c>
      <c r="W50" s="46">
        <f t="shared" si="2"/>
        <v>0</v>
      </c>
      <c r="X50" s="46">
        <f t="shared" si="6"/>
        <v>0</v>
      </c>
    </row>
    <row r="51" spans="1:24" ht="20" customHeight="1" x14ac:dyDescent="0.35">
      <c r="A51" s="28"/>
      <c r="B51" s="29"/>
      <c r="C51" s="30"/>
      <c r="D51" s="30"/>
      <c r="E51" s="30"/>
      <c r="F51" s="30"/>
      <c r="G51" s="30"/>
      <c r="H51" s="30"/>
      <c r="I51" s="30"/>
      <c r="J51" s="33"/>
      <c r="L51" s="45">
        <f t="shared" si="5"/>
        <v>0</v>
      </c>
      <c r="M51" s="45">
        <f t="shared" si="5"/>
        <v>0</v>
      </c>
      <c r="N51" s="45">
        <f t="shared" si="5"/>
        <v>0</v>
      </c>
      <c r="O51" s="45">
        <f t="shared" si="4"/>
        <v>0</v>
      </c>
      <c r="P51" s="45">
        <f t="shared" si="4"/>
        <v>0</v>
      </c>
      <c r="Q51" s="45">
        <f t="shared" si="4"/>
        <v>0</v>
      </c>
      <c r="R51" s="45">
        <f t="shared" si="4"/>
        <v>0</v>
      </c>
      <c r="S51" s="45">
        <f t="shared" si="4"/>
        <v>0</v>
      </c>
      <c r="T51" s="45">
        <f t="shared" si="4"/>
        <v>0</v>
      </c>
      <c r="U51" s="46">
        <f t="shared" si="2"/>
        <v>0</v>
      </c>
      <c r="V51" s="46">
        <f t="shared" si="2"/>
        <v>0</v>
      </c>
      <c r="W51" s="46">
        <f t="shared" si="2"/>
        <v>0</v>
      </c>
      <c r="X51" s="46">
        <f t="shared" si="6"/>
        <v>0</v>
      </c>
    </row>
    <row r="52" spans="1:24" ht="20" customHeight="1" x14ac:dyDescent="0.35">
      <c r="A52" s="28"/>
      <c r="B52" s="29"/>
      <c r="C52" s="30"/>
      <c r="D52" s="30"/>
      <c r="E52" s="30"/>
      <c r="F52" s="30"/>
      <c r="G52" s="30"/>
      <c r="H52" s="30"/>
      <c r="I52" s="30"/>
      <c r="J52" s="33"/>
      <c r="L52" s="45">
        <f t="shared" si="5"/>
        <v>0</v>
      </c>
      <c r="M52" s="45">
        <f t="shared" si="5"/>
        <v>0</v>
      </c>
      <c r="N52" s="45">
        <f t="shared" si="5"/>
        <v>0</v>
      </c>
      <c r="O52" s="45">
        <f t="shared" si="4"/>
        <v>0</v>
      </c>
      <c r="P52" s="45">
        <f t="shared" si="4"/>
        <v>0</v>
      </c>
      <c r="Q52" s="45">
        <f t="shared" si="4"/>
        <v>0</v>
      </c>
      <c r="R52" s="45">
        <f t="shared" si="4"/>
        <v>0</v>
      </c>
      <c r="S52" s="45">
        <f t="shared" si="4"/>
        <v>0</v>
      </c>
      <c r="T52" s="45">
        <f t="shared" si="4"/>
        <v>0</v>
      </c>
      <c r="U52" s="46">
        <f t="shared" si="2"/>
        <v>0</v>
      </c>
      <c r="V52" s="46">
        <f t="shared" si="2"/>
        <v>0</v>
      </c>
      <c r="W52" s="46">
        <f t="shared" si="2"/>
        <v>0</v>
      </c>
      <c r="X52" s="46">
        <f t="shared" si="6"/>
        <v>0</v>
      </c>
    </row>
    <row r="53" spans="1:24" ht="20" customHeight="1" x14ac:dyDescent="0.35">
      <c r="A53" s="28"/>
      <c r="B53" s="29"/>
      <c r="C53" s="30"/>
      <c r="D53" s="30"/>
      <c r="E53" s="30"/>
      <c r="F53" s="30"/>
      <c r="G53" s="30"/>
      <c r="H53" s="30"/>
      <c r="I53" s="30"/>
      <c r="J53" s="33"/>
      <c r="L53" s="45">
        <f t="shared" si="5"/>
        <v>0</v>
      </c>
      <c r="M53" s="45">
        <f t="shared" si="5"/>
        <v>0</v>
      </c>
      <c r="N53" s="45">
        <f t="shared" si="5"/>
        <v>0</v>
      </c>
      <c r="O53" s="45">
        <f t="shared" si="4"/>
        <v>0</v>
      </c>
      <c r="P53" s="45">
        <f t="shared" si="4"/>
        <v>0</v>
      </c>
      <c r="Q53" s="45">
        <f t="shared" si="4"/>
        <v>0</v>
      </c>
      <c r="R53" s="45">
        <f t="shared" si="4"/>
        <v>0</v>
      </c>
      <c r="S53" s="45">
        <f t="shared" si="4"/>
        <v>0</v>
      </c>
      <c r="T53" s="45">
        <f t="shared" si="4"/>
        <v>0</v>
      </c>
      <c r="U53" s="46">
        <f t="shared" si="2"/>
        <v>0</v>
      </c>
      <c r="V53" s="46">
        <f t="shared" si="2"/>
        <v>0</v>
      </c>
      <c r="W53" s="46">
        <f t="shared" si="2"/>
        <v>0</v>
      </c>
      <c r="X53" s="46">
        <f t="shared" si="6"/>
        <v>0</v>
      </c>
    </row>
    <row r="54" spans="1:24" ht="20" customHeight="1" x14ac:dyDescent="0.35">
      <c r="A54" s="28"/>
      <c r="B54" s="29"/>
      <c r="C54" s="30"/>
      <c r="D54" s="30"/>
      <c r="E54" s="30"/>
      <c r="F54" s="30"/>
      <c r="G54" s="30"/>
      <c r="H54" s="30"/>
      <c r="I54" s="30"/>
      <c r="J54" s="33"/>
      <c r="L54" s="45">
        <f t="shared" si="5"/>
        <v>0</v>
      </c>
      <c r="M54" s="45">
        <f t="shared" si="5"/>
        <v>0</v>
      </c>
      <c r="N54" s="45">
        <f t="shared" si="5"/>
        <v>0</v>
      </c>
      <c r="O54" s="45">
        <f t="shared" si="4"/>
        <v>0</v>
      </c>
      <c r="P54" s="45">
        <f t="shared" si="4"/>
        <v>0</v>
      </c>
      <c r="Q54" s="45">
        <f t="shared" si="4"/>
        <v>0</v>
      </c>
      <c r="R54" s="45">
        <f t="shared" si="4"/>
        <v>0</v>
      </c>
      <c r="S54" s="45">
        <f t="shared" si="4"/>
        <v>0</v>
      </c>
      <c r="T54" s="45">
        <f t="shared" si="4"/>
        <v>0</v>
      </c>
      <c r="U54" s="46">
        <f t="shared" si="2"/>
        <v>0</v>
      </c>
      <c r="V54" s="46">
        <f t="shared" si="2"/>
        <v>0</v>
      </c>
      <c r="W54" s="46">
        <f t="shared" si="2"/>
        <v>0</v>
      </c>
      <c r="X54" s="46">
        <f t="shared" si="6"/>
        <v>0</v>
      </c>
    </row>
    <row r="55" spans="1:24" ht="20" customHeight="1" x14ac:dyDescent="0.35">
      <c r="A55" s="28"/>
      <c r="B55" s="29"/>
      <c r="C55" s="30"/>
      <c r="D55" s="30"/>
      <c r="E55" s="30"/>
      <c r="F55" s="30"/>
      <c r="G55" s="30"/>
      <c r="H55" s="30"/>
      <c r="I55" s="30"/>
      <c r="J55" s="33"/>
      <c r="L55" s="45">
        <f t="shared" si="5"/>
        <v>0</v>
      </c>
      <c r="M55" s="45">
        <f t="shared" si="5"/>
        <v>0</v>
      </c>
      <c r="N55" s="45">
        <f t="shared" si="5"/>
        <v>0</v>
      </c>
      <c r="O55" s="45">
        <f t="shared" si="4"/>
        <v>0</v>
      </c>
      <c r="P55" s="45">
        <f t="shared" si="4"/>
        <v>0</v>
      </c>
      <c r="Q55" s="45">
        <f t="shared" si="4"/>
        <v>0</v>
      </c>
      <c r="R55" s="45">
        <f t="shared" si="4"/>
        <v>0</v>
      </c>
      <c r="S55" s="45">
        <f t="shared" si="4"/>
        <v>0</v>
      </c>
      <c r="T55" s="45">
        <f t="shared" si="4"/>
        <v>0</v>
      </c>
      <c r="U55" s="46">
        <f t="shared" si="2"/>
        <v>0</v>
      </c>
      <c r="V55" s="46">
        <f t="shared" si="2"/>
        <v>0</v>
      </c>
      <c r="W55" s="46">
        <f t="shared" si="2"/>
        <v>0</v>
      </c>
      <c r="X55" s="46">
        <f t="shared" si="6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5"/>
        <v>0</v>
      </c>
      <c r="M56" s="45">
        <f t="shared" si="5"/>
        <v>0</v>
      </c>
      <c r="N56" s="45">
        <f t="shared" si="5"/>
        <v>0</v>
      </c>
      <c r="O56" s="45">
        <f t="shared" si="4"/>
        <v>0</v>
      </c>
      <c r="P56" s="45">
        <f t="shared" si="4"/>
        <v>0</v>
      </c>
      <c r="Q56" s="45">
        <f t="shared" si="4"/>
        <v>0</v>
      </c>
      <c r="R56" s="45">
        <f t="shared" si="4"/>
        <v>0</v>
      </c>
      <c r="S56" s="45">
        <f t="shared" si="4"/>
        <v>0</v>
      </c>
      <c r="T56" s="45">
        <f t="shared" si="4"/>
        <v>0</v>
      </c>
      <c r="U56" s="46">
        <f t="shared" si="2"/>
        <v>0</v>
      </c>
      <c r="V56" s="46">
        <f t="shared" si="2"/>
        <v>0</v>
      </c>
      <c r="W56" s="46">
        <f t="shared" si="2"/>
        <v>0</v>
      </c>
      <c r="X56" s="46">
        <f t="shared" si="6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5"/>
        <v>0</v>
      </c>
      <c r="M57" s="45">
        <f t="shared" si="5"/>
        <v>0</v>
      </c>
      <c r="N57" s="45">
        <f t="shared" si="5"/>
        <v>0</v>
      </c>
      <c r="O57" s="45">
        <f t="shared" si="4"/>
        <v>0</v>
      </c>
      <c r="P57" s="45">
        <f t="shared" si="4"/>
        <v>0</v>
      </c>
      <c r="Q57" s="45">
        <f t="shared" si="4"/>
        <v>0</v>
      </c>
      <c r="R57" s="45">
        <f t="shared" si="4"/>
        <v>0</v>
      </c>
      <c r="S57" s="45">
        <f t="shared" si="4"/>
        <v>0</v>
      </c>
      <c r="T57" s="45">
        <f t="shared" si="4"/>
        <v>0</v>
      </c>
      <c r="U57" s="46">
        <f t="shared" si="2"/>
        <v>0</v>
      </c>
      <c r="V57" s="46">
        <f t="shared" si="2"/>
        <v>0</v>
      </c>
      <c r="W57" s="46">
        <f t="shared" si="2"/>
        <v>0</v>
      </c>
      <c r="X57" s="46">
        <f t="shared" si="6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5"/>
        <v>0</v>
      </c>
      <c r="M58" s="45">
        <f t="shared" si="5"/>
        <v>0</v>
      </c>
      <c r="N58" s="45">
        <f t="shared" si="5"/>
        <v>0</v>
      </c>
      <c r="O58" s="45">
        <f t="shared" si="4"/>
        <v>0</v>
      </c>
      <c r="P58" s="45">
        <f t="shared" si="4"/>
        <v>0</v>
      </c>
      <c r="Q58" s="45">
        <f t="shared" si="4"/>
        <v>0</v>
      </c>
      <c r="R58" s="45">
        <f t="shared" si="4"/>
        <v>0</v>
      </c>
      <c r="S58" s="45">
        <f t="shared" si="4"/>
        <v>0</v>
      </c>
      <c r="T58" s="45">
        <f t="shared" si="4"/>
        <v>0</v>
      </c>
      <c r="U58" s="46">
        <f t="shared" si="2"/>
        <v>0</v>
      </c>
      <c r="V58" s="46">
        <f t="shared" si="2"/>
        <v>0</v>
      </c>
      <c r="W58" s="46">
        <f t="shared" si="2"/>
        <v>0</v>
      </c>
      <c r="X58" s="46">
        <f t="shared" si="6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5"/>
        <v>0</v>
      </c>
      <c r="M59" s="45">
        <f t="shared" si="5"/>
        <v>0</v>
      </c>
      <c r="N59" s="45">
        <f t="shared" si="5"/>
        <v>0</v>
      </c>
      <c r="O59" s="45">
        <f t="shared" si="4"/>
        <v>0</v>
      </c>
      <c r="P59" s="45">
        <f t="shared" si="4"/>
        <v>0</v>
      </c>
      <c r="Q59" s="45">
        <f t="shared" si="4"/>
        <v>0</v>
      </c>
      <c r="R59" s="45">
        <f t="shared" si="4"/>
        <v>0</v>
      </c>
      <c r="S59" s="45">
        <f t="shared" si="4"/>
        <v>0</v>
      </c>
      <c r="T59" s="45">
        <f t="shared" si="4"/>
        <v>0</v>
      </c>
      <c r="U59" s="46">
        <f t="shared" si="2"/>
        <v>0</v>
      </c>
      <c r="V59" s="46">
        <f t="shared" si="2"/>
        <v>0</v>
      </c>
      <c r="W59" s="46">
        <f t="shared" si="2"/>
        <v>0</v>
      </c>
      <c r="X59" s="46">
        <f t="shared" si="6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5"/>
        <v>0</v>
      </c>
      <c r="M60" s="45">
        <f t="shared" si="5"/>
        <v>0</v>
      </c>
      <c r="N60" s="45">
        <f t="shared" si="5"/>
        <v>0</v>
      </c>
      <c r="O60" s="45">
        <f t="shared" si="4"/>
        <v>0</v>
      </c>
      <c r="P60" s="45">
        <f t="shared" si="4"/>
        <v>0</v>
      </c>
      <c r="Q60" s="45">
        <f t="shared" si="4"/>
        <v>0</v>
      </c>
      <c r="R60" s="45">
        <f t="shared" si="4"/>
        <v>0</v>
      </c>
      <c r="S60" s="45">
        <f t="shared" si="4"/>
        <v>0</v>
      </c>
      <c r="T60" s="45">
        <f t="shared" si="4"/>
        <v>0</v>
      </c>
      <c r="U60" s="46">
        <f t="shared" si="2"/>
        <v>0</v>
      </c>
      <c r="V60" s="46">
        <f t="shared" si="2"/>
        <v>0</v>
      </c>
      <c r="W60" s="46">
        <f t="shared" si="2"/>
        <v>0</v>
      </c>
      <c r="X60" s="46">
        <f t="shared" si="6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5"/>
        <v>0</v>
      </c>
      <c r="M61" s="45">
        <f t="shared" si="5"/>
        <v>0</v>
      </c>
      <c r="N61" s="45">
        <f t="shared" si="5"/>
        <v>0</v>
      </c>
      <c r="O61" s="45">
        <f t="shared" si="4"/>
        <v>0</v>
      </c>
      <c r="P61" s="45">
        <f t="shared" si="4"/>
        <v>0</v>
      </c>
      <c r="Q61" s="45">
        <f t="shared" si="4"/>
        <v>0</v>
      </c>
      <c r="R61" s="45">
        <f t="shared" si="4"/>
        <v>0</v>
      </c>
      <c r="S61" s="45">
        <f t="shared" si="4"/>
        <v>0</v>
      </c>
      <c r="T61" s="45">
        <f t="shared" si="4"/>
        <v>0</v>
      </c>
      <c r="U61" s="46">
        <f t="shared" si="2"/>
        <v>0</v>
      </c>
      <c r="V61" s="46">
        <f t="shared" si="2"/>
        <v>0</v>
      </c>
      <c r="W61" s="46">
        <f t="shared" si="2"/>
        <v>0</v>
      </c>
      <c r="X61" s="46">
        <f t="shared" si="6"/>
        <v>0</v>
      </c>
    </row>
    <row r="62" spans="1:24" ht="20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5"/>
        <v>0</v>
      </c>
      <c r="M62" s="45">
        <f t="shared" si="5"/>
        <v>0</v>
      </c>
      <c r="N62" s="45">
        <f t="shared" si="5"/>
        <v>0</v>
      </c>
      <c r="O62" s="45">
        <f t="shared" si="4"/>
        <v>0</v>
      </c>
      <c r="P62" s="45">
        <f t="shared" si="4"/>
        <v>0</v>
      </c>
      <c r="Q62" s="45">
        <f t="shared" si="4"/>
        <v>0</v>
      </c>
      <c r="R62" s="45">
        <f t="shared" si="4"/>
        <v>0</v>
      </c>
      <c r="S62" s="45">
        <f t="shared" si="4"/>
        <v>0</v>
      </c>
      <c r="T62" s="45">
        <f t="shared" si="4"/>
        <v>0</v>
      </c>
      <c r="U62" s="46">
        <f t="shared" si="2"/>
        <v>0</v>
      </c>
      <c r="V62" s="46">
        <f t="shared" si="2"/>
        <v>0</v>
      </c>
      <c r="W62" s="46">
        <f t="shared" si="2"/>
        <v>0</v>
      </c>
      <c r="X62" s="46">
        <f t="shared" si="6"/>
        <v>0</v>
      </c>
    </row>
    <row r="63" spans="1:24" ht="16.75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5"/>
        <v>0</v>
      </c>
      <c r="M63" s="45">
        <f t="shared" si="5"/>
        <v>0</v>
      </c>
      <c r="N63" s="45">
        <f t="shared" si="5"/>
        <v>0</v>
      </c>
      <c r="O63" s="45">
        <f t="shared" si="4"/>
        <v>0</v>
      </c>
      <c r="P63" s="45">
        <f t="shared" si="4"/>
        <v>0</v>
      </c>
      <c r="Q63" s="45">
        <f t="shared" si="4"/>
        <v>0</v>
      </c>
      <c r="R63" s="45">
        <f t="shared" si="4"/>
        <v>0</v>
      </c>
      <c r="S63" s="45">
        <f t="shared" si="4"/>
        <v>0</v>
      </c>
      <c r="T63" s="45">
        <f t="shared" si="4"/>
        <v>0</v>
      </c>
      <c r="U63" s="46">
        <f t="shared" si="2"/>
        <v>0</v>
      </c>
      <c r="V63" s="46">
        <f t="shared" si="2"/>
        <v>0</v>
      </c>
      <c r="W63" s="46">
        <f t="shared" si="2"/>
        <v>0</v>
      </c>
      <c r="X63" s="46">
        <f t="shared" si="6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5"/>
        <v>0</v>
      </c>
      <c r="M64" s="45">
        <f t="shared" si="5"/>
        <v>0</v>
      </c>
      <c r="N64" s="45">
        <f t="shared" si="5"/>
        <v>0</v>
      </c>
      <c r="O64" s="45">
        <f t="shared" si="4"/>
        <v>0</v>
      </c>
      <c r="P64" s="45">
        <f t="shared" si="4"/>
        <v>0</v>
      </c>
      <c r="Q64" s="45">
        <f t="shared" si="4"/>
        <v>0</v>
      </c>
      <c r="R64" s="45">
        <f t="shared" si="4"/>
        <v>0</v>
      </c>
      <c r="S64" s="45">
        <f t="shared" si="4"/>
        <v>0</v>
      </c>
      <c r="T64" s="45">
        <f t="shared" si="4"/>
        <v>0</v>
      </c>
      <c r="U64" s="46">
        <f t="shared" si="2"/>
        <v>0</v>
      </c>
      <c r="V64" s="46">
        <f t="shared" si="2"/>
        <v>0</v>
      </c>
      <c r="W64" s="46">
        <f t="shared" si="2"/>
        <v>0</v>
      </c>
      <c r="X64" s="46">
        <f t="shared" si="6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5"/>
        <v>0</v>
      </c>
      <c r="M65" s="45">
        <f t="shared" si="5"/>
        <v>0</v>
      </c>
      <c r="N65" s="45">
        <f t="shared" si="5"/>
        <v>0</v>
      </c>
      <c r="O65" s="45">
        <f t="shared" si="4"/>
        <v>0</v>
      </c>
      <c r="P65" s="45">
        <f t="shared" si="4"/>
        <v>0</v>
      </c>
      <c r="Q65" s="45">
        <f t="shared" si="4"/>
        <v>0</v>
      </c>
      <c r="R65" s="45">
        <f t="shared" si="4"/>
        <v>0</v>
      </c>
      <c r="S65" s="45">
        <f t="shared" si="4"/>
        <v>0</v>
      </c>
      <c r="T65" s="45">
        <f t="shared" si="4"/>
        <v>0</v>
      </c>
      <c r="U65" s="46">
        <f t="shared" si="2"/>
        <v>0</v>
      </c>
      <c r="V65" s="46">
        <f t="shared" si="2"/>
        <v>0</v>
      </c>
      <c r="W65" s="46">
        <f t="shared" si="2"/>
        <v>0</v>
      </c>
      <c r="X65" s="46">
        <f t="shared" si="6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5"/>
        <v>0</v>
      </c>
      <c r="M66" s="45">
        <f t="shared" si="5"/>
        <v>0</v>
      </c>
      <c r="N66" s="45">
        <f t="shared" si="5"/>
        <v>0</v>
      </c>
      <c r="O66" s="45">
        <f t="shared" si="4"/>
        <v>0</v>
      </c>
      <c r="P66" s="45">
        <f t="shared" si="4"/>
        <v>0</v>
      </c>
      <c r="Q66" s="45">
        <f t="shared" si="4"/>
        <v>0</v>
      </c>
      <c r="R66" s="45">
        <f t="shared" si="4"/>
        <v>0</v>
      </c>
      <c r="S66" s="45">
        <f t="shared" si="4"/>
        <v>0</v>
      </c>
      <c r="T66" s="45">
        <f t="shared" si="4"/>
        <v>0</v>
      </c>
      <c r="U66" s="46">
        <f t="shared" si="2"/>
        <v>0</v>
      </c>
      <c r="V66" s="46">
        <f t="shared" si="2"/>
        <v>0</v>
      </c>
      <c r="W66" s="46">
        <f t="shared" si="2"/>
        <v>0</v>
      </c>
      <c r="X66" s="46">
        <f t="shared" si="6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5"/>
        <v>0</v>
      </c>
      <c r="M67" s="45">
        <f t="shared" si="5"/>
        <v>0</v>
      </c>
      <c r="N67" s="45">
        <f t="shared" si="5"/>
        <v>0</v>
      </c>
      <c r="O67" s="45">
        <f t="shared" si="4"/>
        <v>0</v>
      </c>
      <c r="P67" s="45">
        <f t="shared" si="4"/>
        <v>0</v>
      </c>
      <c r="Q67" s="45">
        <f t="shared" si="4"/>
        <v>0</v>
      </c>
      <c r="R67" s="45">
        <f t="shared" si="4"/>
        <v>0</v>
      </c>
      <c r="S67" s="45">
        <f t="shared" si="4"/>
        <v>0</v>
      </c>
      <c r="T67" s="45">
        <f t="shared" si="4"/>
        <v>0</v>
      </c>
      <c r="U67" s="46">
        <f t="shared" si="2"/>
        <v>0</v>
      </c>
      <c r="V67" s="46">
        <f t="shared" si="2"/>
        <v>0</v>
      </c>
      <c r="W67" s="46">
        <f t="shared" si="2"/>
        <v>0</v>
      </c>
      <c r="X67" s="46">
        <f t="shared" si="6"/>
        <v>0</v>
      </c>
    </row>
    <row r="68" spans="1:24" ht="20" customHeight="1" x14ac:dyDescent="0.35">
      <c r="A68" s="28"/>
      <c r="B68" s="29"/>
      <c r="C68" s="30"/>
      <c r="D68" s="30"/>
      <c r="E68" s="30"/>
      <c r="F68" s="30"/>
      <c r="G68" s="30"/>
      <c r="H68" s="30"/>
      <c r="I68" s="30"/>
      <c r="J68" s="33"/>
      <c r="L68" s="45">
        <f t="shared" si="5"/>
        <v>0</v>
      </c>
      <c r="M68" s="45">
        <f t="shared" si="5"/>
        <v>0</v>
      </c>
      <c r="N68" s="45">
        <f t="shared" si="5"/>
        <v>0</v>
      </c>
      <c r="O68" s="45">
        <f t="shared" si="4"/>
        <v>0</v>
      </c>
      <c r="P68" s="45">
        <f t="shared" si="4"/>
        <v>0</v>
      </c>
      <c r="Q68" s="45">
        <f t="shared" si="4"/>
        <v>0</v>
      </c>
      <c r="R68" s="45">
        <f t="shared" si="4"/>
        <v>0</v>
      </c>
      <c r="S68" s="45">
        <f t="shared" si="4"/>
        <v>0</v>
      </c>
      <c r="T68" s="45">
        <f t="shared" si="4"/>
        <v>0</v>
      </c>
      <c r="U68" s="46">
        <f t="shared" si="2"/>
        <v>0</v>
      </c>
      <c r="V68" s="46">
        <f t="shared" si="2"/>
        <v>0</v>
      </c>
      <c r="W68" s="46">
        <f t="shared" si="2"/>
        <v>0</v>
      </c>
      <c r="X68" s="46">
        <f t="shared" si="6"/>
        <v>0</v>
      </c>
    </row>
    <row r="69" spans="1:24" ht="20" customHeight="1" x14ac:dyDescent="0.35">
      <c r="A69" s="28"/>
      <c r="B69" s="29"/>
      <c r="C69" s="30"/>
      <c r="D69" s="30"/>
      <c r="E69" s="30"/>
      <c r="F69" s="30"/>
      <c r="G69" s="30"/>
      <c r="H69" s="30"/>
      <c r="I69" s="30"/>
      <c r="J69" s="33"/>
      <c r="L69" s="45">
        <f t="shared" si="5"/>
        <v>0</v>
      </c>
      <c r="M69" s="45">
        <f t="shared" si="5"/>
        <v>0</v>
      </c>
      <c r="N69" s="45">
        <f t="shared" si="5"/>
        <v>0</v>
      </c>
      <c r="O69" s="45">
        <f t="shared" si="4"/>
        <v>0</v>
      </c>
      <c r="P69" s="45">
        <f t="shared" si="4"/>
        <v>0</v>
      </c>
      <c r="Q69" s="45">
        <f t="shared" si="4"/>
        <v>0</v>
      </c>
      <c r="R69" s="45">
        <f t="shared" si="4"/>
        <v>0</v>
      </c>
      <c r="S69" s="45">
        <f t="shared" si="4"/>
        <v>0</v>
      </c>
      <c r="T69" s="45">
        <f t="shared" si="4"/>
        <v>0</v>
      </c>
      <c r="U69" s="46">
        <f t="shared" si="2"/>
        <v>0</v>
      </c>
      <c r="V69" s="46">
        <f t="shared" si="2"/>
        <v>0</v>
      </c>
      <c r="W69" s="46">
        <f t="shared" si="2"/>
        <v>0</v>
      </c>
      <c r="X69" s="46">
        <f t="shared" si="6"/>
        <v>0</v>
      </c>
    </row>
    <row r="70" spans="1:24" ht="20" customHeight="1" x14ac:dyDescent="0.35">
      <c r="A70" s="28"/>
      <c r="B70" s="29"/>
      <c r="C70" s="30"/>
      <c r="D70" s="30"/>
      <c r="E70" s="30"/>
      <c r="F70" s="30"/>
      <c r="G70" s="30"/>
      <c r="H70" s="30"/>
      <c r="I70" s="30"/>
      <c r="J70" s="33"/>
      <c r="L70" s="45">
        <f t="shared" si="5"/>
        <v>0</v>
      </c>
      <c r="M70" s="45">
        <f t="shared" si="5"/>
        <v>0</v>
      </c>
      <c r="N70" s="45">
        <f t="shared" si="5"/>
        <v>0</v>
      </c>
      <c r="O70" s="45">
        <f t="shared" si="4"/>
        <v>0</v>
      </c>
      <c r="P70" s="45">
        <f t="shared" si="4"/>
        <v>0</v>
      </c>
      <c r="Q70" s="45">
        <f t="shared" si="4"/>
        <v>0</v>
      </c>
      <c r="R70" s="45">
        <f t="shared" si="4"/>
        <v>0</v>
      </c>
      <c r="S70" s="45">
        <f t="shared" si="4"/>
        <v>0</v>
      </c>
      <c r="T70" s="45">
        <f t="shared" si="4"/>
        <v>0</v>
      </c>
      <c r="U70" s="46">
        <f t="shared" si="2"/>
        <v>0</v>
      </c>
      <c r="V70" s="46">
        <f t="shared" si="2"/>
        <v>0</v>
      </c>
      <c r="W70" s="46">
        <f t="shared" si="2"/>
        <v>0</v>
      </c>
      <c r="X70" s="46">
        <f t="shared" ref="X70:X101" si="7">O70+P70+T70</f>
        <v>0</v>
      </c>
    </row>
    <row r="71" spans="1:24" ht="20" customHeight="1" x14ac:dyDescent="0.35">
      <c r="A71" s="28"/>
      <c r="B71" s="29"/>
      <c r="C71" s="30"/>
      <c r="D71" s="30"/>
      <c r="E71" s="30"/>
      <c r="F71" s="30"/>
      <c r="G71" s="30"/>
      <c r="H71" s="30"/>
      <c r="I71" s="30"/>
      <c r="J71" s="33"/>
      <c r="L71" s="45">
        <f t="shared" si="5"/>
        <v>0</v>
      </c>
      <c r="M71" s="45">
        <f t="shared" si="5"/>
        <v>0</v>
      </c>
      <c r="N71" s="45">
        <f t="shared" si="5"/>
        <v>0</v>
      </c>
      <c r="O71" s="45">
        <f t="shared" si="4"/>
        <v>0</v>
      </c>
      <c r="P71" s="45">
        <f t="shared" si="4"/>
        <v>0</v>
      </c>
      <c r="Q71" s="45">
        <f t="shared" si="4"/>
        <v>0</v>
      </c>
      <c r="R71" s="45">
        <f t="shared" si="4"/>
        <v>0</v>
      </c>
      <c r="S71" s="45">
        <f t="shared" si="4"/>
        <v>0</v>
      </c>
      <c r="T71" s="45">
        <f t="shared" si="4"/>
        <v>0</v>
      </c>
      <c r="U71" s="46">
        <f t="shared" si="2"/>
        <v>0</v>
      </c>
      <c r="V71" s="46">
        <f t="shared" si="2"/>
        <v>0</v>
      </c>
      <c r="W71" s="46">
        <f t="shared" si="2"/>
        <v>0</v>
      </c>
      <c r="X71" s="46">
        <f t="shared" si="7"/>
        <v>0</v>
      </c>
    </row>
    <row r="72" spans="1:24" ht="20" customHeight="1" x14ac:dyDescent="0.35">
      <c r="A72" s="28"/>
      <c r="B72" s="29"/>
      <c r="C72" s="30"/>
      <c r="D72" s="30"/>
      <c r="E72" s="30"/>
      <c r="F72" s="30"/>
      <c r="G72" s="30"/>
      <c r="H72" s="30"/>
      <c r="I72" s="30"/>
      <c r="J72" s="33"/>
      <c r="L72" s="45">
        <f t="shared" si="5"/>
        <v>0</v>
      </c>
      <c r="M72" s="45">
        <f t="shared" si="5"/>
        <v>0</v>
      </c>
      <c r="N72" s="45">
        <f t="shared" si="5"/>
        <v>0</v>
      </c>
      <c r="O72" s="45">
        <f t="shared" si="4"/>
        <v>0</v>
      </c>
      <c r="P72" s="45">
        <f t="shared" si="4"/>
        <v>0</v>
      </c>
      <c r="Q72" s="45">
        <f t="shared" si="4"/>
        <v>0</v>
      </c>
      <c r="R72" s="45">
        <f t="shared" si="4"/>
        <v>0</v>
      </c>
      <c r="S72" s="45">
        <f t="shared" si="4"/>
        <v>0</v>
      </c>
      <c r="T72" s="45">
        <f t="shared" si="4"/>
        <v>0</v>
      </c>
      <c r="U72" s="46">
        <f t="shared" si="2"/>
        <v>0</v>
      </c>
      <c r="V72" s="46">
        <f t="shared" si="2"/>
        <v>0</v>
      </c>
      <c r="W72" s="46">
        <f t="shared" si="2"/>
        <v>0</v>
      </c>
      <c r="X72" s="46">
        <f t="shared" si="7"/>
        <v>0</v>
      </c>
    </row>
    <row r="73" spans="1:24" ht="20" customHeight="1" x14ac:dyDescent="0.35">
      <c r="A73" s="28"/>
      <c r="B73" s="29"/>
      <c r="C73" s="30"/>
      <c r="D73" s="30"/>
      <c r="E73" s="30"/>
      <c r="F73" s="30"/>
      <c r="G73" s="30"/>
      <c r="H73" s="30"/>
      <c r="I73" s="30"/>
      <c r="J73" s="33"/>
      <c r="L73" s="45">
        <f t="shared" si="5"/>
        <v>0</v>
      </c>
      <c r="M73" s="45">
        <f t="shared" si="5"/>
        <v>0</v>
      </c>
      <c r="N73" s="45">
        <f t="shared" si="5"/>
        <v>0</v>
      </c>
      <c r="O73" s="45">
        <f t="shared" si="4"/>
        <v>0</v>
      </c>
      <c r="P73" s="45">
        <f t="shared" si="4"/>
        <v>0</v>
      </c>
      <c r="Q73" s="45">
        <f t="shared" si="4"/>
        <v>0</v>
      </c>
      <c r="R73" s="45">
        <f t="shared" si="4"/>
        <v>0</v>
      </c>
      <c r="S73" s="45">
        <f t="shared" si="4"/>
        <v>0</v>
      </c>
      <c r="T73" s="45">
        <f t="shared" si="4"/>
        <v>0</v>
      </c>
      <c r="U73" s="46">
        <f t="shared" ref="U73:W116" si="8">L73+Q73</f>
        <v>0</v>
      </c>
      <c r="V73" s="46">
        <f t="shared" si="8"/>
        <v>0</v>
      </c>
      <c r="W73" s="46">
        <f t="shared" si="8"/>
        <v>0</v>
      </c>
      <c r="X73" s="46">
        <f t="shared" si="7"/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5"/>
        <v>0</v>
      </c>
      <c r="M74" s="45">
        <f t="shared" si="5"/>
        <v>0</v>
      </c>
      <c r="N74" s="45">
        <f t="shared" si="5"/>
        <v>0</v>
      </c>
      <c r="O74" s="45">
        <f t="shared" si="4"/>
        <v>0</v>
      </c>
      <c r="P74" s="45">
        <f t="shared" si="4"/>
        <v>0</v>
      </c>
      <c r="Q74" s="45">
        <f t="shared" si="4"/>
        <v>0</v>
      </c>
      <c r="R74" s="45">
        <f t="shared" si="4"/>
        <v>0</v>
      </c>
      <c r="S74" s="45">
        <f t="shared" si="4"/>
        <v>0</v>
      </c>
      <c r="T74" s="45">
        <f t="shared" si="4"/>
        <v>0</v>
      </c>
      <c r="U74" s="46">
        <f t="shared" si="8"/>
        <v>0</v>
      </c>
      <c r="V74" s="46">
        <f t="shared" si="8"/>
        <v>0</v>
      </c>
      <c r="W74" s="46">
        <f t="shared" si="8"/>
        <v>0</v>
      </c>
      <c r="X74" s="46">
        <f t="shared" si="7"/>
        <v>0</v>
      </c>
    </row>
    <row r="75" spans="1:24" ht="20" customHeight="1" x14ac:dyDescent="0.35">
      <c r="A75" s="28"/>
      <c r="B75" s="29"/>
      <c r="C75" s="30"/>
      <c r="D75" s="30"/>
      <c r="E75" s="30"/>
      <c r="F75" s="30"/>
      <c r="G75" s="30"/>
      <c r="H75" s="30"/>
      <c r="I75" s="30"/>
      <c r="J75" s="33"/>
      <c r="L75" s="45">
        <f t="shared" si="5"/>
        <v>0</v>
      </c>
      <c r="M75" s="45">
        <f t="shared" si="5"/>
        <v>0</v>
      </c>
      <c r="N75" s="45">
        <f t="shared" si="5"/>
        <v>0</v>
      </c>
      <c r="O75" s="45">
        <f t="shared" si="4"/>
        <v>0</v>
      </c>
      <c r="P75" s="45">
        <f t="shared" si="4"/>
        <v>0</v>
      </c>
      <c r="Q75" s="45">
        <f t="shared" si="4"/>
        <v>0</v>
      </c>
      <c r="R75" s="45">
        <f t="shared" si="4"/>
        <v>0</v>
      </c>
      <c r="S75" s="45">
        <f t="shared" si="4"/>
        <v>0</v>
      </c>
      <c r="T75" s="45">
        <f t="shared" si="4"/>
        <v>0</v>
      </c>
      <c r="U75" s="46">
        <f t="shared" si="8"/>
        <v>0</v>
      </c>
      <c r="V75" s="46">
        <f t="shared" si="8"/>
        <v>0</v>
      </c>
      <c r="W75" s="46">
        <f t="shared" si="8"/>
        <v>0</v>
      </c>
      <c r="X75" s="46">
        <f t="shared" si="7"/>
        <v>0</v>
      </c>
    </row>
    <row r="76" spans="1:24" ht="20" customHeight="1" x14ac:dyDescent="0.35">
      <c r="A76" s="28"/>
      <c r="B76" s="29"/>
      <c r="C76" s="30"/>
      <c r="D76" s="30"/>
      <c r="E76" s="30"/>
      <c r="F76" s="30"/>
      <c r="G76" s="30"/>
      <c r="H76" s="30"/>
      <c r="I76" s="30"/>
      <c r="J76" s="33"/>
      <c r="L76" s="45">
        <f t="shared" si="5"/>
        <v>0</v>
      </c>
      <c r="M76" s="45">
        <f t="shared" si="5"/>
        <v>0</v>
      </c>
      <c r="N76" s="45">
        <f t="shared" si="5"/>
        <v>0</v>
      </c>
      <c r="O76" s="45">
        <f t="shared" si="4"/>
        <v>0</v>
      </c>
      <c r="P76" s="45">
        <f t="shared" si="4"/>
        <v>0</v>
      </c>
      <c r="Q76" s="45">
        <f t="shared" si="4"/>
        <v>0</v>
      </c>
      <c r="R76" s="45">
        <f t="shared" si="4"/>
        <v>0</v>
      </c>
      <c r="S76" s="45">
        <f t="shared" si="4"/>
        <v>0</v>
      </c>
      <c r="T76" s="45">
        <f t="shared" si="4"/>
        <v>0</v>
      </c>
      <c r="U76" s="46">
        <f t="shared" si="8"/>
        <v>0</v>
      </c>
      <c r="V76" s="46">
        <f t="shared" si="8"/>
        <v>0</v>
      </c>
      <c r="W76" s="46">
        <f t="shared" si="8"/>
        <v>0</v>
      </c>
      <c r="X76" s="46">
        <f t="shared" si="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5"/>
        <v>0</v>
      </c>
      <c r="M77" s="45">
        <f t="shared" si="5"/>
        <v>0</v>
      </c>
      <c r="N77" s="45">
        <f t="shared" si="5"/>
        <v>0</v>
      </c>
      <c r="O77" s="45">
        <f t="shared" si="4"/>
        <v>0</v>
      </c>
      <c r="P77" s="45">
        <f t="shared" si="4"/>
        <v>0</v>
      </c>
      <c r="Q77" s="45">
        <f t="shared" si="4"/>
        <v>0</v>
      </c>
      <c r="R77" s="45">
        <f t="shared" si="4"/>
        <v>0</v>
      </c>
      <c r="S77" s="45">
        <f t="shared" si="4"/>
        <v>0</v>
      </c>
      <c r="T77" s="45">
        <f t="shared" si="4"/>
        <v>0</v>
      </c>
      <c r="U77" s="46">
        <f t="shared" si="8"/>
        <v>0</v>
      </c>
      <c r="V77" s="46">
        <f t="shared" si="8"/>
        <v>0</v>
      </c>
      <c r="W77" s="46">
        <f t="shared" si="8"/>
        <v>0</v>
      </c>
      <c r="X77" s="46">
        <f t="shared" si="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5"/>
        <v>0</v>
      </c>
      <c r="M78" s="45">
        <f t="shared" si="5"/>
        <v>0</v>
      </c>
      <c r="N78" s="45">
        <f t="shared" si="5"/>
        <v>0</v>
      </c>
      <c r="O78" s="45">
        <f t="shared" si="4"/>
        <v>0</v>
      </c>
      <c r="P78" s="45">
        <f t="shared" si="4"/>
        <v>0</v>
      </c>
      <c r="Q78" s="45">
        <f t="shared" si="4"/>
        <v>0</v>
      </c>
      <c r="R78" s="45">
        <f t="shared" si="4"/>
        <v>0</v>
      </c>
      <c r="S78" s="45">
        <f t="shared" si="4"/>
        <v>0</v>
      </c>
      <c r="T78" s="45">
        <f t="shared" si="4"/>
        <v>0</v>
      </c>
      <c r="U78" s="46">
        <f t="shared" si="8"/>
        <v>0</v>
      </c>
      <c r="V78" s="46">
        <f t="shared" si="8"/>
        <v>0</v>
      </c>
      <c r="W78" s="46">
        <f t="shared" si="8"/>
        <v>0</v>
      </c>
      <c r="X78" s="46">
        <f t="shared" si="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5"/>
        <v>0</v>
      </c>
      <c r="M79" s="45">
        <f t="shared" si="5"/>
        <v>0</v>
      </c>
      <c r="N79" s="45">
        <f t="shared" si="5"/>
        <v>0</v>
      </c>
      <c r="O79" s="45">
        <f t="shared" si="4"/>
        <v>0</v>
      </c>
      <c r="P79" s="45">
        <f t="shared" si="4"/>
        <v>0</v>
      </c>
      <c r="Q79" s="45">
        <f t="shared" si="4"/>
        <v>0</v>
      </c>
      <c r="R79" s="45">
        <f t="shared" ref="R79:T116" si="9">IFERROR(H80-H79,0)</f>
        <v>0</v>
      </c>
      <c r="S79" s="45">
        <f t="shared" si="9"/>
        <v>0</v>
      </c>
      <c r="T79" s="45">
        <f t="shared" si="9"/>
        <v>0</v>
      </c>
      <c r="U79" s="46">
        <f t="shared" si="8"/>
        <v>0</v>
      </c>
      <c r="V79" s="46">
        <f t="shared" si="8"/>
        <v>0</v>
      </c>
      <c r="W79" s="46">
        <f t="shared" si="8"/>
        <v>0</v>
      </c>
      <c r="X79" s="46">
        <f t="shared" si="7"/>
        <v>0</v>
      </c>
    </row>
    <row r="80" spans="1:24" ht="20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5"/>
        <v>0</v>
      </c>
      <c r="M80" s="45">
        <f t="shared" si="5"/>
        <v>0</v>
      </c>
      <c r="N80" s="45">
        <f t="shared" si="5"/>
        <v>0</v>
      </c>
      <c r="O80" s="45">
        <f t="shared" si="5"/>
        <v>0</v>
      </c>
      <c r="P80" s="45">
        <f t="shared" si="5"/>
        <v>0</v>
      </c>
      <c r="Q80" s="45">
        <f t="shared" si="5"/>
        <v>0</v>
      </c>
      <c r="R80" s="45">
        <f t="shared" si="9"/>
        <v>0</v>
      </c>
      <c r="S80" s="45">
        <f t="shared" si="9"/>
        <v>0</v>
      </c>
      <c r="T80" s="45">
        <f t="shared" si="9"/>
        <v>0</v>
      </c>
      <c r="U80" s="46">
        <f t="shared" si="8"/>
        <v>0</v>
      </c>
      <c r="V80" s="46">
        <f t="shared" si="8"/>
        <v>0</v>
      </c>
      <c r="W80" s="46">
        <f t="shared" si="8"/>
        <v>0</v>
      </c>
      <c r="X80" s="46">
        <f t="shared" si="7"/>
        <v>0</v>
      </c>
    </row>
    <row r="81" spans="1:24" ht="16.75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5"/>
        <v>0</v>
      </c>
      <c r="M81" s="45">
        <f t="shared" si="5"/>
        <v>0</v>
      </c>
      <c r="N81" s="45">
        <f t="shared" si="5"/>
        <v>0</v>
      </c>
      <c r="O81" s="45">
        <f t="shared" si="5"/>
        <v>0</v>
      </c>
      <c r="P81" s="45">
        <f t="shared" si="5"/>
        <v>0</v>
      </c>
      <c r="Q81" s="45">
        <f t="shared" si="5"/>
        <v>0</v>
      </c>
      <c r="R81" s="45">
        <f t="shared" si="9"/>
        <v>0</v>
      </c>
      <c r="S81" s="45">
        <f t="shared" si="9"/>
        <v>0</v>
      </c>
      <c r="T81" s="45">
        <f t="shared" si="9"/>
        <v>0</v>
      </c>
      <c r="U81" s="46">
        <f t="shared" si="8"/>
        <v>0</v>
      </c>
      <c r="V81" s="46">
        <f t="shared" si="8"/>
        <v>0</v>
      </c>
      <c r="W81" s="46">
        <f t="shared" si="8"/>
        <v>0</v>
      </c>
      <c r="X81" s="46">
        <f t="shared" si="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5"/>
        <v>0</v>
      </c>
      <c r="M82" s="45">
        <f t="shared" si="5"/>
        <v>0</v>
      </c>
      <c r="N82" s="45">
        <f t="shared" si="5"/>
        <v>0</v>
      </c>
      <c r="O82" s="45">
        <f t="shared" si="5"/>
        <v>0</v>
      </c>
      <c r="P82" s="45">
        <f t="shared" si="5"/>
        <v>0</v>
      </c>
      <c r="Q82" s="45">
        <f t="shared" si="5"/>
        <v>0</v>
      </c>
      <c r="R82" s="45">
        <f t="shared" si="9"/>
        <v>0</v>
      </c>
      <c r="S82" s="45">
        <f t="shared" si="9"/>
        <v>0</v>
      </c>
      <c r="T82" s="45">
        <f t="shared" si="9"/>
        <v>0</v>
      </c>
      <c r="U82" s="46">
        <f t="shared" si="8"/>
        <v>0</v>
      </c>
      <c r="V82" s="46">
        <f t="shared" si="8"/>
        <v>0</v>
      </c>
      <c r="W82" s="46">
        <f t="shared" si="8"/>
        <v>0</v>
      </c>
      <c r="X82" s="46">
        <f t="shared" si="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5"/>
        <v>0</v>
      </c>
      <c r="M83" s="45">
        <f t="shared" si="5"/>
        <v>0</v>
      </c>
      <c r="N83" s="45">
        <f t="shared" si="5"/>
        <v>0</v>
      </c>
      <c r="O83" s="45">
        <f t="shared" si="5"/>
        <v>0</v>
      </c>
      <c r="P83" s="45">
        <f t="shared" si="5"/>
        <v>0</v>
      </c>
      <c r="Q83" s="45">
        <f t="shared" si="5"/>
        <v>0</v>
      </c>
      <c r="R83" s="45">
        <f t="shared" si="9"/>
        <v>0</v>
      </c>
      <c r="S83" s="45">
        <f t="shared" si="9"/>
        <v>0</v>
      </c>
      <c r="T83" s="45">
        <f t="shared" si="9"/>
        <v>0</v>
      </c>
      <c r="U83" s="46">
        <f t="shared" si="8"/>
        <v>0</v>
      </c>
      <c r="V83" s="46">
        <f t="shared" si="8"/>
        <v>0</v>
      </c>
      <c r="W83" s="46">
        <f t="shared" si="8"/>
        <v>0</v>
      </c>
      <c r="X83" s="46">
        <f t="shared" si="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5"/>
        <v>0</v>
      </c>
      <c r="M84" s="45">
        <f t="shared" si="5"/>
        <v>0</v>
      </c>
      <c r="N84" s="45">
        <f t="shared" si="5"/>
        <v>0</v>
      </c>
      <c r="O84" s="45">
        <f t="shared" si="5"/>
        <v>0</v>
      </c>
      <c r="P84" s="45">
        <f t="shared" si="5"/>
        <v>0</v>
      </c>
      <c r="Q84" s="45">
        <f t="shared" si="5"/>
        <v>0</v>
      </c>
      <c r="R84" s="45">
        <f t="shared" si="9"/>
        <v>0</v>
      </c>
      <c r="S84" s="45">
        <f t="shared" si="9"/>
        <v>0</v>
      </c>
      <c r="T84" s="45">
        <f t="shared" si="9"/>
        <v>0</v>
      </c>
      <c r="U84" s="46">
        <f t="shared" si="8"/>
        <v>0</v>
      </c>
      <c r="V84" s="46">
        <f t="shared" si="8"/>
        <v>0</v>
      </c>
      <c r="W84" s="46">
        <f t="shared" si="8"/>
        <v>0</v>
      </c>
      <c r="X84" s="46">
        <f t="shared" si="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5"/>
        <v>0</v>
      </c>
      <c r="M85" s="45">
        <f t="shared" si="5"/>
        <v>0</v>
      </c>
      <c r="N85" s="45">
        <f t="shared" si="5"/>
        <v>0</v>
      </c>
      <c r="O85" s="45">
        <f t="shared" si="5"/>
        <v>0</v>
      </c>
      <c r="P85" s="45">
        <f t="shared" si="5"/>
        <v>0</v>
      </c>
      <c r="Q85" s="45">
        <f t="shared" si="5"/>
        <v>0</v>
      </c>
      <c r="R85" s="45">
        <f t="shared" si="9"/>
        <v>0</v>
      </c>
      <c r="S85" s="45">
        <f t="shared" si="9"/>
        <v>0</v>
      </c>
      <c r="T85" s="45">
        <f t="shared" si="9"/>
        <v>0</v>
      </c>
      <c r="U85" s="46">
        <f t="shared" si="8"/>
        <v>0</v>
      </c>
      <c r="V85" s="46">
        <f t="shared" si="8"/>
        <v>0</v>
      </c>
      <c r="W85" s="46">
        <f t="shared" si="8"/>
        <v>0</v>
      </c>
      <c r="X85" s="46">
        <f t="shared" si="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5"/>
        <v>0</v>
      </c>
      <c r="M86" s="45">
        <f t="shared" si="5"/>
        <v>0</v>
      </c>
      <c r="N86" s="45">
        <f t="shared" si="5"/>
        <v>0</v>
      </c>
      <c r="O86" s="45">
        <f t="shared" si="5"/>
        <v>0</v>
      </c>
      <c r="P86" s="45">
        <f t="shared" si="5"/>
        <v>0</v>
      </c>
      <c r="Q86" s="45">
        <f t="shared" si="5"/>
        <v>0</v>
      </c>
      <c r="R86" s="45">
        <f t="shared" si="9"/>
        <v>0</v>
      </c>
      <c r="S86" s="45">
        <f t="shared" si="9"/>
        <v>0</v>
      </c>
      <c r="T86" s="45">
        <f t="shared" si="9"/>
        <v>0</v>
      </c>
      <c r="U86" s="46">
        <f t="shared" si="8"/>
        <v>0</v>
      </c>
      <c r="V86" s="46">
        <f t="shared" si="8"/>
        <v>0</v>
      </c>
      <c r="W86" s="46">
        <f t="shared" si="8"/>
        <v>0</v>
      </c>
      <c r="X86" s="46">
        <f t="shared" si="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5"/>
        <v>0</v>
      </c>
      <c r="M87" s="45">
        <f t="shared" si="5"/>
        <v>0</v>
      </c>
      <c r="N87" s="45">
        <f t="shared" si="5"/>
        <v>0</v>
      </c>
      <c r="O87" s="45">
        <f t="shared" si="5"/>
        <v>0</v>
      </c>
      <c r="P87" s="45">
        <f t="shared" si="5"/>
        <v>0</v>
      </c>
      <c r="Q87" s="45">
        <f t="shared" si="5"/>
        <v>0</v>
      </c>
      <c r="R87" s="45">
        <f t="shared" si="9"/>
        <v>0</v>
      </c>
      <c r="S87" s="45">
        <f t="shared" si="9"/>
        <v>0</v>
      </c>
      <c r="T87" s="45">
        <f t="shared" si="9"/>
        <v>0</v>
      </c>
      <c r="U87" s="46">
        <f t="shared" si="8"/>
        <v>0</v>
      </c>
      <c r="V87" s="46">
        <f t="shared" si="8"/>
        <v>0</v>
      </c>
      <c r="W87" s="46">
        <f t="shared" si="8"/>
        <v>0</v>
      </c>
      <c r="X87" s="46">
        <f t="shared" si="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5"/>
        <v>0</v>
      </c>
      <c r="M88" s="45">
        <f t="shared" si="5"/>
        <v>0</v>
      </c>
      <c r="N88" s="45">
        <f t="shared" si="5"/>
        <v>0</v>
      </c>
      <c r="O88" s="45">
        <f t="shared" si="5"/>
        <v>0</v>
      </c>
      <c r="P88" s="45">
        <f t="shared" si="5"/>
        <v>0</v>
      </c>
      <c r="Q88" s="45">
        <f t="shared" si="5"/>
        <v>0</v>
      </c>
      <c r="R88" s="45">
        <f t="shared" si="9"/>
        <v>0</v>
      </c>
      <c r="S88" s="45">
        <f t="shared" si="9"/>
        <v>0</v>
      </c>
      <c r="T88" s="45">
        <f t="shared" si="9"/>
        <v>0</v>
      </c>
      <c r="U88" s="46">
        <f t="shared" si="8"/>
        <v>0</v>
      </c>
      <c r="V88" s="46">
        <f t="shared" si="8"/>
        <v>0</v>
      </c>
      <c r="W88" s="46">
        <f t="shared" si="8"/>
        <v>0</v>
      </c>
      <c r="X88" s="46">
        <f t="shared" si="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5"/>
        <v>0</v>
      </c>
      <c r="M89" s="45">
        <f t="shared" si="5"/>
        <v>0</v>
      </c>
      <c r="N89" s="45">
        <f t="shared" si="5"/>
        <v>0</v>
      </c>
      <c r="O89" s="45">
        <f t="shared" si="5"/>
        <v>0</v>
      </c>
      <c r="P89" s="45">
        <f t="shared" si="5"/>
        <v>0</v>
      </c>
      <c r="Q89" s="45">
        <f t="shared" si="5"/>
        <v>0</v>
      </c>
      <c r="R89" s="45">
        <f t="shared" si="9"/>
        <v>0</v>
      </c>
      <c r="S89" s="45">
        <f t="shared" si="9"/>
        <v>0</v>
      </c>
      <c r="T89" s="45">
        <f t="shared" si="9"/>
        <v>0</v>
      </c>
      <c r="U89" s="46">
        <f t="shared" si="8"/>
        <v>0</v>
      </c>
      <c r="V89" s="46">
        <f t="shared" si="8"/>
        <v>0</v>
      </c>
      <c r="W89" s="46">
        <f t="shared" si="8"/>
        <v>0</v>
      </c>
      <c r="X89" s="46">
        <f t="shared" si="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5"/>
        <v>0</v>
      </c>
      <c r="M90" s="45">
        <f t="shared" si="5"/>
        <v>0</v>
      </c>
      <c r="N90" s="45">
        <f t="shared" si="5"/>
        <v>0</v>
      </c>
      <c r="O90" s="45">
        <f t="shared" si="5"/>
        <v>0</v>
      </c>
      <c r="P90" s="45">
        <f t="shared" si="5"/>
        <v>0</v>
      </c>
      <c r="Q90" s="45">
        <f t="shared" si="5"/>
        <v>0</v>
      </c>
      <c r="R90" s="45">
        <f t="shared" si="9"/>
        <v>0</v>
      </c>
      <c r="S90" s="45">
        <f t="shared" si="9"/>
        <v>0</v>
      </c>
      <c r="T90" s="45">
        <f t="shared" si="9"/>
        <v>0</v>
      </c>
      <c r="U90" s="46">
        <f t="shared" si="8"/>
        <v>0</v>
      </c>
      <c r="V90" s="46">
        <f t="shared" si="8"/>
        <v>0</v>
      </c>
      <c r="W90" s="46">
        <f t="shared" si="8"/>
        <v>0</v>
      </c>
      <c r="X90" s="46">
        <f t="shared" si="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5"/>
        <v>0</v>
      </c>
      <c r="M91" s="45">
        <f t="shared" si="5"/>
        <v>0</v>
      </c>
      <c r="N91" s="45">
        <f t="shared" si="5"/>
        <v>0</v>
      </c>
      <c r="O91" s="45">
        <f t="shared" si="5"/>
        <v>0</v>
      </c>
      <c r="P91" s="45">
        <f t="shared" si="5"/>
        <v>0</v>
      </c>
      <c r="Q91" s="45">
        <f t="shared" si="5"/>
        <v>0</v>
      </c>
      <c r="R91" s="45">
        <f t="shared" si="9"/>
        <v>0</v>
      </c>
      <c r="S91" s="45">
        <f t="shared" si="9"/>
        <v>0</v>
      </c>
      <c r="T91" s="45">
        <f t="shared" si="9"/>
        <v>0</v>
      </c>
      <c r="U91" s="46">
        <f t="shared" si="8"/>
        <v>0</v>
      </c>
      <c r="V91" s="46">
        <f t="shared" si="8"/>
        <v>0</v>
      </c>
      <c r="W91" s="46">
        <f t="shared" si="8"/>
        <v>0</v>
      </c>
      <c r="X91" s="46">
        <f t="shared" si="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5"/>
        <v>0</v>
      </c>
      <c r="M92" s="45">
        <f t="shared" si="5"/>
        <v>0</v>
      </c>
      <c r="N92" s="45">
        <f t="shared" si="5"/>
        <v>0</v>
      </c>
      <c r="O92" s="45">
        <f t="shared" si="5"/>
        <v>0</v>
      </c>
      <c r="P92" s="45">
        <f t="shared" si="5"/>
        <v>0</v>
      </c>
      <c r="Q92" s="45">
        <f t="shared" si="5"/>
        <v>0</v>
      </c>
      <c r="R92" s="45">
        <f t="shared" si="9"/>
        <v>0</v>
      </c>
      <c r="S92" s="45">
        <f t="shared" si="9"/>
        <v>0</v>
      </c>
      <c r="T92" s="45">
        <f t="shared" si="9"/>
        <v>0</v>
      </c>
      <c r="U92" s="46">
        <f t="shared" si="8"/>
        <v>0</v>
      </c>
      <c r="V92" s="46">
        <f t="shared" si="8"/>
        <v>0</v>
      </c>
      <c r="W92" s="46">
        <f t="shared" si="8"/>
        <v>0</v>
      </c>
      <c r="X92" s="46">
        <f t="shared" si="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5"/>
        <v>0</v>
      </c>
      <c r="M93" s="45">
        <f t="shared" si="5"/>
        <v>0</v>
      </c>
      <c r="N93" s="45">
        <f t="shared" si="5"/>
        <v>0</v>
      </c>
      <c r="O93" s="45">
        <f t="shared" si="5"/>
        <v>0</v>
      </c>
      <c r="P93" s="45">
        <f t="shared" si="5"/>
        <v>0</v>
      </c>
      <c r="Q93" s="45">
        <f t="shared" si="5"/>
        <v>0</v>
      </c>
      <c r="R93" s="45">
        <f t="shared" si="9"/>
        <v>0</v>
      </c>
      <c r="S93" s="45">
        <f t="shared" si="9"/>
        <v>0</v>
      </c>
      <c r="T93" s="45">
        <f t="shared" si="9"/>
        <v>0</v>
      </c>
      <c r="U93" s="46">
        <f t="shared" si="8"/>
        <v>0</v>
      </c>
      <c r="V93" s="46">
        <f t="shared" si="8"/>
        <v>0</v>
      </c>
      <c r="W93" s="46">
        <f t="shared" si="8"/>
        <v>0</v>
      </c>
      <c r="X93" s="46">
        <f t="shared" si="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5"/>
        <v>0</v>
      </c>
      <c r="M94" s="45">
        <f t="shared" si="5"/>
        <v>0</v>
      </c>
      <c r="N94" s="45">
        <f t="shared" si="5"/>
        <v>0</v>
      </c>
      <c r="O94" s="45">
        <f t="shared" si="5"/>
        <v>0</v>
      </c>
      <c r="P94" s="45">
        <f t="shared" si="5"/>
        <v>0</v>
      </c>
      <c r="Q94" s="45">
        <f t="shared" si="5"/>
        <v>0</v>
      </c>
      <c r="R94" s="45">
        <f t="shared" si="9"/>
        <v>0</v>
      </c>
      <c r="S94" s="45">
        <f t="shared" si="9"/>
        <v>0</v>
      </c>
      <c r="T94" s="45">
        <f t="shared" si="9"/>
        <v>0</v>
      </c>
      <c r="U94" s="46">
        <f t="shared" si="8"/>
        <v>0</v>
      </c>
      <c r="V94" s="46">
        <f t="shared" si="8"/>
        <v>0</v>
      </c>
      <c r="W94" s="46">
        <f t="shared" si="8"/>
        <v>0</v>
      </c>
      <c r="X94" s="46">
        <f t="shared" si="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5"/>
        <v>0</v>
      </c>
      <c r="M95" s="45">
        <f t="shared" si="5"/>
        <v>0</v>
      </c>
      <c r="N95" s="45">
        <f t="shared" si="5"/>
        <v>0</v>
      </c>
      <c r="O95" s="45">
        <f t="shared" si="5"/>
        <v>0</v>
      </c>
      <c r="P95" s="45">
        <f t="shared" si="5"/>
        <v>0</v>
      </c>
      <c r="Q95" s="45">
        <f t="shared" si="5"/>
        <v>0</v>
      </c>
      <c r="R95" s="45">
        <f t="shared" si="9"/>
        <v>0</v>
      </c>
      <c r="S95" s="45">
        <f t="shared" si="9"/>
        <v>0</v>
      </c>
      <c r="T95" s="45">
        <f t="shared" si="9"/>
        <v>0</v>
      </c>
      <c r="U95" s="46">
        <f t="shared" si="8"/>
        <v>0</v>
      </c>
      <c r="V95" s="46">
        <f t="shared" si="8"/>
        <v>0</v>
      </c>
      <c r="W95" s="46">
        <f t="shared" si="8"/>
        <v>0</v>
      </c>
      <c r="X95" s="46">
        <f t="shared" si="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5"/>
        <v>0</v>
      </c>
      <c r="M96" s="45">
        <f t="shared" si="5"/>
        <v>0</v>
      </c>
      <c r="N96" s="45">
        <f t="shared" si="5"/>
        <v>0</v>
      </c>
      <c r="O96" s="45">
        <f t="shared" si="5"/>
        <v>0</v>
      </c>
      <c r="P96" s="45">
        <f t="shared" si="5"/>
        <v>0</v>
      </c>
      <c r="Q96" s="45">
        <f t="shared" si="5"/>
        <v>0</v>
      </c>
      <c r="R96" s="45">
        <f t="shared" si="9"/>
        <v>0</v>
      </c>
      <c r="S96" s="45">
        <f t="shared" si="9"/>
        <v>0</v>
      </c>
      <c r="T96" s="45">
        <f t="shared" si="9"/>
        <v>0</v>
      </c>
      <c r="U96" s="46">
        <f t="shared" si="8"/>
        <v>0</v>
      </c>
      <c r="V96" s="46">
        <f t="shared" si="8"/>
        <v>0</v>
      </c>
      <c r="W96" s="46">
        <f t="shared" si="8"/>
        <v>0</v>
      </c>
      <c r="X96" s="46">
        <f t="shared" si="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5"/>
        <v>0</v>
      </c>
      <c r="M97" s="45">
        <f t="shared" si="5"/>
        <v>0</v>
      </c>
      <c r="N97" s="45">
        <f t="shared" si="5"/>
        <v>0</v>
      </c>
      <c r="O97" s="45">
        <f t="shared" si="5"/>
        <v>0</v>
      </c>
      <c r="P97" s="45">
        <f t="shared" si="5"/>
        <v>0</v>
      </c>
      <c r="Q97" s="45">
        <f t="shared" si="5"/>
        <v>0</v>
      </c>
      <c r="R97" s="45">
        <f t="shared" si="9"/>
        <v>0</v>
      </c>
      <c r="S97" s="45">
        <f t="shared" si="9"/>
        <v>0</v>
      </c>
      <c r="T97" s="45">
        <f t="shared" si="9"/>
        <v>0</v>
      </c>
      <c r="U97" s="46">
        <f t="shared" si="8"/>
        <v>0</v>
      </c>
      <c r="V97" s="46">
        <f t="shared" si="8"/>
        <v>0</v>
      </c>
      <c r="W97" s="46">
        <f t="shared" si="8"/>
        <v>0</v>
      </c>
      <c r="X97" s="46">
        <f t="shared" si="7"/>
        <v>0</v>
      </c>
    </row>
    <row r="98" spans="1:24" ht="20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5"/>
        <v>0</v>
      </c>
      <c r="M98" s="45">
        <f t="shared" si="5"/>
        <v>0</v>
      </c>
      <c r="N98" s="45">
        <f t="shared" si="5"/>
        <v>0</v>
      </c>
      <c r="O98" s="45">
        <f t="shared" si="5"/>
        <v>0</v>
      </c>
      <c r="P98" s="45">
        <f t="shared" si="5"/>
        <v>0</v>
      </c>
      <c r="Q98" s="45">
        <f t="shared" si="5"/>
        <v>0</v>
      </c>
      <c r="R98" s="45">
        <f t="shared" si="9"/>
        <v>0</v>
      </c>
      <c r="S98" s="45">
        <f t="shared" si="9"/>
        <v>0</v>
      </c>
      <c r="T98" s="45">
        <f t="shared" si="9"/>
        <v>0</v>
      </c>
      <c r="U98" s="46">
        <f t="shared" si="8"/>
        <v>0</v>
      </c>
      <c r="V98" s="46">
        <f t="shared" si="8"/>
        <v>0</v>
      </c>
      <c r="W98" s="46">
        <f t="shared" si="8"/>
        <v>0</v>
      </c>
      <c r="X98" s="46">
        <f t="shared" si="7"/>
        <v>0</v>
      </c>
    </row>
    <row r="99" spans="1:24" ht="16.75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5"/>
        <v>0</v>
      </c>
      <c r="M99" s="45">
        <f t="shared" si="5"/>
        <v>0</v>
      </c>
      <c r="N99" s="45">
        <f t="shared" si="5"/>
        <v>0</v>
      </c>
      <c r="O99" s="45">
        <f t="shared" si="5"/>
        <v>0</v>
      </c>
      <c r="P99" s="45">
        <f t="shared" si="5"/>
        <v>0</v>
      </c>
      <c r="Q99" s="45">
        <f t="shared" si="5"/>
        <v>0</v>
      </c>
      <c r="R99" s="45">
        <f t="shared" si="9"/>
        <v>0</v>
      </c>
      <c r="S99" s="45">
        <f t="shared" si="9"/>
        <v>0</v>
      </c>
      <c r="T99" s="45">
        <f t="shared" si="9"/>
        <v>0</v>
      </c>
      <c r="U99" s="46">
        <f t="shared" si="8"/>
        <v>0</v>
      </c>
      <c r="V99" s="46">
        <f t="shared" si="8"/>
        <v>0</v>
      </c>
      <c r="W99" s="46">
        <f t="shared" si="8"/>
        <v>0</v>
      </c>
      <c r="X99" s="46">
        <f t="shared" si="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5"/>
        <v>0</v>
      </c>
      <c r="M100" s="45">
        <f t="shared" si="5"/>
        <v>0</v>
      </c>
      <c r="N100" s="45">
        <f t="shared" si="5"/>
        <v>0</v>
      </c>
      <c r="O100" s="45">
        <f t="shared" si="5"/>
        <v>0</v>
      </c>
      <c r="P100" s="45">
        <f t="shared" si="5"/>
        <v>0</v>
      </c>
      <c r="Q100" s="45">
        <f t="shared" si="5"/>
        <v>0</v>
      </c>
      <c r="R100" s="45">
        <f t="shared" si="9"/>
        <v>0</v>
      </c>
      <c r="S100" s="45">
        <f t="shared" si="9"/>
        <v>0</v>
      </c>
      <c r="T100" s="45">
        <f t="shared" si="9"/>
        <v>0</v>
      </c>
      <c r="U100" s="46">
        <f t="shared" si="8"/>
        <v>0</v>
      </c>
      <c r="V100" s="46">
        <f t="shared" si="8"/>
        <v>0</v>
      </c>
      <c r="W100" s="46">
        <f t="shared" si="8"/>
        <v>0</v>
      </c>
      <c r="X100" s="46">
        <f t="shared" si="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5"/>
        <v>0</v>
      </c>
      <c r="M101" s="45">
        <f t="shared" si="5"/>
        <v>0</v>
      </c>
      <c r="N101" s="45">
        <f t="shared" si="5"/>
        <v>0</v>
      </c>
      <c r="O101" s="45">
        <f t="shared" ref="O101:Q116" si="10">IFERROR(E102-E101,0)</f>
        <v>0</v>
      </c>
      <c r="P101" s="45">
        <f t="shared" si="10"/>
        <v>0</v>
      </c>
      <c r="Q101" s="45">
        <f t="shared" si="10"/>
        <v>0</v>
      </c>
      <c r="R101" s="45">
        <f t="shared" si="9"/>
        <v>0</v>
      </c>
      <c r="S101" s="45">
        <f t="shared" si="9"/>
        <v>0</v>
      </c>
      <c r="T101" s="45">
        <f t="shared" si="9"/>
        <v>0</v>
      </c>
      <c r="U101" s="46">
        <f t="shared" si="8"/>
        <v>0</v>
      </c>
      <c r="V101" s="46">
        <f t="shared" si="8"/>
        <v>0</v>
      </c>
      <c r="W101" s="46">
        <f t="shared" si="8"/>
        <v>0</v>
      </c>
      <c r="X101" s="46">
        <f t="shared" si="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ref="L102:N116" si="11">IFERROR(B103-B102,0)</f>
        <v>0</v>
      </c>
      <c r="M102" s="45">
        <f t="shared" si="11"/>
        <v>0</v>
      </c>
      <c r="N102" s="45">
        <f t="shared" si="11"/>
        <v>0</v>
      </c>
      <c r="O102" s="45">
        <f t="shared" si="10"/>
        <v>0</v>
      </c>
      <c r="P102" s="45">
        <f t="shared" si="10"/>
        <v>0</v>
      </c>
      <c r="Q102" s="45">
        <f t="shared" si="10"/>
        <v>0</v>
      </c>
      <c r="R102" s="45">
        <f t="shared" si="9"/>
        <v>0</v>
      </c>
      <c r="S102" s="45">
        <f t="shared" si="9"/>
        <v>0</v>
      </c>
      <c r="T102" s="45">
        <f t="shared" si="9"/>
        <v>0</v>
      </c>
      <c r="U102" s="46">
        <f t="shared" si="8"/>
        <v>0</v>
      </c>
      <c r="V102" s="46">
        <f t="shared" si="8"/>
        <v>0</v>
      </c>
      <c r="W102" s="46">
        <f t="shared" si="8"/>
        <v>0</v>
      </c>
      <c r="X102" s="46">
        <f t="shared" ref="X102:X117" si="12">O102+P102+T102</f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11"/>
        <v>0</v>
      </c>
      <c r="M103" s="45">
        <f t="shared" si="11"/>
        <v>0</v>
      </c>
      <c r="N103" s="45">
        <f t="shared" si="11"/>
        <v>0</v>
      </c>
      <c r="O103" s="45">
        <f t="shared" si="10"/>
        <v>0</v>
      </c>
      <c r="P103" s="45">
        <f t="shared" si="10"/>
        <v>0</v>
      </c>
      <c r="Q103" s="45">
        <f t="shared" si="10"/>
        <v>0</v>
      </c>
      <c r="R103" s="45">
        <f t="shared" si="9"/>
        <v>0</v>
      </c>
      <c r="S103" s="45">
        <f t="shared" si="9"/>
        <v>0</v>
      </c>
      <c r="T103" s="45">
        <f t="shared" si="9"/>
        <v>0</v>
      </c>
      <c r="U103" s="46">
        <f t="shared" si="8"/>
        <v>0</v>
      </c>
      <c r="V103" s="46">
        <f t="shared" si="8"/>
        <v>0</v>
      </c>
      <c r="W103" s="46">
        <f t="shared" si="8"/>
        <v>0</v>
      </c>
      <c r="X103" s="46">
        <f t="shared" si="12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11"/>
        <v>0</v>
      </c>
      <c r="M104" s="45">
        <f t="shared" si="11"/>
        <v>0</v>
      </c>
      <c r="N104" s="45">
        <f t="shared" si="11"/>
        <v>0</v>
      </c>
      <c r="O104" s="45">
        <f t="shared" si="10"/>
        <v>0</v>
      </c>
      <c r="P104" s="45">
        <f t="shared" si="10"/>
        <v>0</v>
      </c>
      <c r="Q104" s="45">
        <f t="shared" si="10"/>
        <v>0</v>
      </c>
      <c r="R104" s="45">
        <f t="shared" si="9"/>
        <v>0</v>
      </c>
      <c r="S104" s="45">
        <f t="shared" si="9"/>
        <v>0</v>
      </c>
      <c r="T104" s="45">
        <f t="shared" si="9"/>
        <v>0</v>
      </c>
      <c r="U104" s="46">
        <f t="shared" si="8"/>
        <v>0</v>
      </c>
      <c r="V104" s="46">
        <f t="shared" si="8"/>
        <v>0</v>
      </c>
      <c r="W104" s="46">
        <f t="shared" si="8"/>
        <v>0</v>
      </c>
      <c r="X104" s="46">
        <f t="shared" si="12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11"/>
        <v>0</v>
      </c>
      <c r="M105" s="45">
        <f t="shared" si="11"/>
        <v>0</v>
      </c>
      <c r="N105" s="45">
        <f t="shared" si="11"/>
        <v>0</v>
      </c>
      <c r="O105" s="45">
        <f t="shared" si="10"/>
        <v>0</v>
      </c>
      <c r="P105" s="45">
        <f t="shared" si="10"/>
        <v>0</v>
      </c>
      <c r="Q105" s="45">
        <f t="shared" si="10"/>
        <v>0</v>
      </c>
      <c r="R105" s="45">
        <f t="shared" si="9"/>
        <v>0</v>
      </c>
      <c r="S105" s="45">
        <f t="shared" si="9"/>
        <v>0</v>
      </c>
      <c r="T105" s="45">
        <f t="shared" si="9"/>
        <v>0</v>
      </c>
      <c r="U105" s="46">
        <f t="shared" si="8"/>
        <v>0</v>
      </c>
      <c r="V105" s="46">
        <f t="shared" si="8"/>
        <v>0</v>
      </c>
      <c r="W105" s="46">
        <f t="shared" si="8"/>
        <v>0</v>
      </c>
      <c r="X105" s="46">
        <f t="shared" si="12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11"/>
        <v>0</v>
      </c>
      <c r="M106" s="45">
        <f t="shared" si="11"/>
        <v>0</v>
      </c>
      <c r="N106" s="45">
        <f t="shared" si="11"/>
        <v>0</v>
      </c>
      <c r="O106" s="45">
        <f t="shared" si="10"/>
        <v>0</v>
      </c>
      <c r="P106" s="45">
        <f t="shared" si="10"/>
        <v>0</v>
      </c>
      <c r="Q106" s="45">
        <f t="shared" si="10"/>
        <v>0</v>
      </c>
      <c r="R106" s="45">
        <f t="shared" si="9"/>
        <v>0</v>
      </c>
      <c r="S106" s="45">
        <f t="shared" si="9"/>
        <v>0</v>
      </c>
      <c r="T106" s="45">
        <f t="shared" si="9"/>
        <v>0</v>
      </c>
      <c r="U106" s="46">
        <f t="shared" si="8"/>
        <v>0</v>
      </c>
      <c r="V106" s="46">
        <f t="shared" si="8"/>
        <v>0</v>
      </c>
      <c r="W106" s="46">
        <f t="shared" si="8"/>
        <v>0</v>
      </c>
      <c r="X106" s="46">
        <f t="shared" si="12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11"/>
        <v>0</v>
      </c>
      <c r="M107" s="45">
        <f t="shared" si="11"/>
        <v>0</v>
      </c>
      <c r="N107" s="45">
        <f t="shared" si="11"/>
        <v>0</v>
      </c>
      <c r="O107" s="45">
        <f t="shared" si="10"/>
        <v>0</v>
      </c>
      <c r="P107" s="45">
        <f t="shared" si="10"/>
        <v>0</v>
      </c>
      <c r="Q107" s="45">
        <f t="shared" si="10"/>
        <v>0</v>
      </c>
      <c r="R107" s="45">
        <f t="shared" si="9"/>
        <v>0</v>
      </c>
      <c r="S107" s="45">
        <f t="shared" si="9"/>
        <v>0</v>
      </c>
      <c r="T107" s="45">
        <f t="shared" si="9"/>
        <v>0</v>
      </c>
      <c r="U107" s="46">
        <f t="shared" si="8"/>
        <v>0</v>
      </c>
      <c r="V107" s="46">
        <f t="shared" si="8"/>
        <v>0</v>
      </c>
      <c r="W107" s="46">
        <f t="shared" si="8"/>
        <v>0</v>
      </c>
      <c r="X107" s="46">
        <f t="shared" si="12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11"/>
        <v>0</v>
      </c>
      <c r="M108" s="45">
        <f t="shared" si="11"/>
        <v>0</v>
      </c>
      <c r="N108" s="45">
        <f t="shared" si="11"/>
        <v>0</v>
      </c>
      <c r="O108" s="45">
        <f t="shared" si="10"/>
        <v>0</v>
      </c>
      <c r="P108" s="45">
        <f t="shared" si="10"/>
        <v>0</v>
      </c>
      <c r="Q108" s="45">
        <f t="shared" si="10"/>
        <v>0</v>
      </c>
      <c r="R108" s="45">
        <f t="shared" si="9"/>
        <v>0</v>
      </c>
      <c r="S108" s="45">
        <f t="shared" si="9"/>
        <v>0</v>
      </c>
      <c r="T108" s="45">
        <f t="shared" si="9"/>
        <v>0</v>
      </c>
      <c r="U108" s="46">
        <f t="shared" si="8"/>
        <v>0</v>
      </c>
      <c r="V108" s="46">
        <f t="shared" si="8"/>
        <v>0</v>
      </c>
      <c r="W108" s="46">
        <f t="shared" si="8"/>
        <v>0</v>
      </c>
      <c r="X108" s="46">
        <f t="shared" si="12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11"/>
        <v>0</v>
      </c>
      <c r="M109" s="45">
        <f t="shared" si="11"/>
        <v>0</v>
      </c>
      <c r="N109" s="45">
        <f t="shared" si="11"/>
        <v>0</v>
      </c>
      <c r="O109" s="45">
        <f t="shared" si="10"/>
        <v>0</v>
      </c>
      <c r="P109" s="45">
        <f t="shared" si="10"/>
        <v>0</v>
      </c>
      <c r="Q109" s="45">
        <f t="shared" si="10"/>
        <v>0</v>
      </c>
      <c r="R109" s="45">
        <f t="shared" si="9"/>
        <v>0</v>
      </c>
      <c r="S109" s="45">
        <f t="shared" si="9"/>
        <v>0</v>
      </c>
      <c r="T109" s="45">
        <f t="shared" si="9"/>
        <v>0</v>
      </c>
      <c r="U109" s="46">
        <f t="shared" si="8"/>
        <v>0</v>
      </c>
      <c r="V109" s="46">
        <f t="shared" si="8"/>
        <v>0</v>
      </c>
      <c r="W109" s="46">
        <f t="shared" si="8"/>
        <v>0</v>
      </c>
      <c r="X109" s="46">
        <f t="shared" si="12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11"/>
        <v>0</v>
      </c>
      <c r="M110" s="45">
        <f t="shared" si="11"/>
        <v>0</v>
      </c>
      <c r="N110" s="45">
        <f t="shared" si="11"/>
        <v>0</v>
      </c>
      <c r="O110" s="45">
        <f t="shared" si="10"/>
        <v>0</v>
      </c>
      <c r="P110" s="45">
        <f t="shared" si="10"/>
        <v>0</v>
      </c>
      <c r="Q110" s="45">
        <f t="shared" si="10"/>
        <v>0</v>
      </c>
      <c r="R110" s="45">
        <f t="shared" si="9"/>
        <v>0</v>
      </c>
      <c r="S110" s="45">
        <f t="shared" si="9"/>
        <v>0</v>
      </c>
      <c r="T110" s="45">
        <f t="shared" si="9"/>
        <v>0</v>
      </c>
      <c r="U110" s="46">
        <f t="shared" si="8"/>
        <v>0</v>
      </c>
      <c r="V110" s="46">
        <f t="shared" si="8"/>
        <v>0</v>
      </c>
      <c r="W110" s="46">
        <f t="shared" si="8"/>
        <v>0</v>
      </c>
      <c r="X110" s="46">
        <f t="shared" si="12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11"/>
        <v>0</v>
      </c>
      <c r="M111" s="45">
        <f t="shared" si="11"/>
        <v>0</v>
      </c>
      <c r="N111" s="45">
        <f t="shared" si="11"/>
        <v>0</v>
      </c>
      <c r="O111" s="45">
        <f t="shared" si="10"/>
        <v>0</v>
      </c>
      <c r="P111" s="45">
        <f t="shared" si="10"/>
        <v>0</v>
      </c>
      <c r="Q111" s="45">
        <f t="shared" si="10"/>
        <v>0</v>
      </c>
      <c r="R111" s="45">
        <f t="shared" si="9"/>
        <v>0</v>
      </c>
      <c r="S111" s="45">
        <f t="shared" si="9"/>
        <v>0</v>
      </c>
      <c r="T111" s="45">
        <f t="shared" si="9"/>
        <v>0</v>
      </c>
      <c r="U111" s="46">
        <f t="shared" si="8"/>
        <v>0</v>
      </c>
      <c r="V111" s="46">
        <f t="shared" si="8"/>
        <v>0</v>
      </c>
      <c r="W111" s="46">
        <f t="shared" si="8"/>
        <v>0</v>
      </c>
      <c r="X111" s="46">
        <f t="shared" si="12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11"/>
        <v>0</v>
      </c>
      <c r="M112" s="45">
        <f t="shared" si="11"/>
        <v>0</v>
      </c>
      <c r="N112" s="45">
        <f t="shared" si="11"/>
        <v>0</v>
      </c>
      <c r="O112" s="45">
        <f t="shared" si="10"/>
        <v>0</v>
      </c>
      <c r="P112" s="45">
        <f t="shared" si="10"/>
        <v>0</v>
      </c>
      <c r="Q112" s="45">
        <f t="shared" si="10"/>
        <v>0</v>
      </c>
      <c r="R112" s="45">
        <f t="shared" si="9"/>
        <v>0</v>
      </c>
      <c r="S112" s="45">
        <f t="shared" si="9"/>
        <v>0</v>
      </c>
      <c r="T112" s="45">
        <f t="shared" si="9"/>
        <v>0</v>
      </c>
      <c r="U112" s="46">
        <f t="shared" si="8"/>
        <v>0</v>
      </c>
      <c r="V112" s="46">
        <f t="shared" si="8"/>
        <v>0</v>
      </c>
      <c r="W112" s="46">
        <f t="shared" si="8"/>
        <v>0</v>
      </c>
      <c r="X112" s="46">
        <f t="shared" si="12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11"/>
        <v>0</v>
      </c>
      <c r="M113" s="45">
        <f t="shared" si="11"/>
        <v>0</v>
      </c>
      <c r="N113" s="45">
        <f t="shared" si="11"/>
        <v>0</v>
      </c>
      <c r="O113" s="45">
        <f t="shared" si="10"/>
        <v>0</v>
      </c>
      <c r="P113" s="45">
        <f t="shared" si="10"/>
        <v>0</v>
      </c>
      <c r="Q113" s="45">
        <f t="shared" si="10"/>
        <v>0</v>
      </c>
      <c r="R113" s="45">
        <f t="shared" si="9"/>
        <v>0</v>
      </c>
      <c r="S113" s="45">
        <f t="shared" si="9"/>
        <v>0</v>
      </c>
      <c r="T113" s="45">
        <f t="shared" si="9"/>
        <v>0</v>
      </c>
      <c r="U113" s="46">
        <f t="shared" si="8"/>
        <v>0</v>
      </c>
      <c r="V113" s="46">
        <f t="shared" si="8"/>
        <v>0</v>
      </c>
      <c r="W113" s="46">
        <f t="shared" si="8"/>
        <v>0</v>
      </c>
      <c r="X113" s="46">
        <f t="shared" si="12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11"/>
        <v>0</v>
      </c>
      <c r="M114" s="45">
        <f t="shared" si="11"/>
        <v>0</v>
      </c>
      <c r="N114" s="45">
        <f t="shared" si="11"/>
        <v>0</v>
      </c>
      <c r="O114" s="45">
        <f t="shared" si="10"/>
        <v>0</v>
      </c>
      <c r="P114" s="45">
        <f t="shared" si="10"/>
        <v>0</v>
      </c>
      <c r="Q114" s="45">
        <f t="shared" si="10"/>
        <v>0</v>
      </c>
      <c r="R114" s="45">
        <f t="shared" si="9"/>
        <v>0</v>
      </c>
      <c r="S114" s="45">
        <f t="shared" si="9"/>
        <v>0</v>
      </c>
      <c r="T114" s="45">
        <f t="shared" si="9"/>
        <v>0</v>
      </c>
      <c r="U114" s="46">
        <f t="shared" si="8"/>
        <v>0</v>
      </c>
      <c r="V114" s="46">
        <f t="shared" si="8"/>
        <v>0</v>
      </c>
      <c r="W114" s="46">
        <f t="shared" si="8"/>
        <v>0</v>
      </c>
      <c r="X114" s="46">
        <f t="shared" si="12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11"/>
        <v>0</v>
      </c>
      <c r="M115" s="45">
        <f t="shared" si="11"/>
        <v>0</v>
      </c>
      <c r="N115" s="45">
        <f t="shared" si="11"/>
        <v>0</v>
      </c>
      <c r="O115" s="45">
        <f t="shared" si="10"/>
        <v>0</v>
      </c>
      <c r="P115" s="45">
        <f t="shared" si="10"/>
        <v>0</v>
      </c>
      <c r="Q115" s="45">
        <f t="shared" si="10"/>
        <v>0</v>
      </c>
      <c r="R115" s="45">
        <f t="shared" si="9"/>
        <v>0</v>
      </c>
      <c r="S115" s="45">
        <f t="shared" si="9"/>
        <v>0</v>
      </c>
      <c r="T115" s="45">
        <f t="shared" si="9"/>
        <v>0</v>
      </c>
      <c r="U115" s="46">
        <f t="shared" si="8"/>
        <v>0</v>
      </c>
      <c r="V115" s="46">
        <f t="shared" si="8"/>
        <v>0</v>
      </c>
      <c r="W115" s="46">
        <f t="shared" si="8"/>
        <v>0</v>
      </c>
      <c r="X115" s="46">
        <f t="shared" si="12"/>
        <v>0</v>
      </c>
    </row>
    <row r="116" spans="1:24" ht="20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11"/>
        <v>0</v>
      </c>
      <c r="M116" s="45">
        <f t="shared" si="11"/>
        <v>0</v>
      </c>
      <c r="N116" s="45">
        <f t="shared" si="11"/>
        <v>0</v>
      </c>
      <c r="O116" s="45">
        <f t="shared" si="10"/>
        <v>0</v>
      </c>
      <c r="P116" s="45">
        <f t="shared" si="10"/>
        <v>0</v>
      </c>
      <c r="Q116" s="45">
        <f t="shared" si="10"/>
        <v>0</v>
      </c>
      <c r="R116" s="45">
        <f t="shared" si="9"/>
        <v>0</v>
      </c>
      <c r="S116" s="45">
        <f t="shared" si="9"/>
        <v>0</v>
      </c>
      <c r="T116" s="45">
        <f t="shared" si="9"/>
        <v>0</v>
      </c>
      <c r="U116" s="46">
        <f t="shared" si="8"/>
        <v>0</v>
      </c>
      <c r="V116" s="46">
        <f t="shared" si="8"/>
        <v>0</v>
      </c>
      <c r="W116" s="46">
        <f t="shared" si="8"/>
        <v>0</v>
      </c>
      <c r="X116" s="46">
        <f t="shared" si="12"/>
        <v>0</v>
      </c>
    </row>
    <row r="117" spans="1:24" ht="16.75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34"/>
      <c r="M117" s="34"/>
      <c r="N117" s="34"/>
      <c r="O117" s="34"/>
      <c r="P117" s="34"/>
      <c r="Q117" s="34"/>
      <c r="R117" s="34"/>
      <c r="S117" s="34"/>
      <c r="T117" s="34"/>
      <c r="U117" s="35">
        <f t="shared" ref="U117:W117" si="13">L117+Q117</f>
        <v>0</v>
      </c>
      <c r="V117" s="35">
        <f t="shared" si="13"/>
        <v>0</v>
      </c>
      <c r="W117" s="35">
        <f t="shared" si="13"/>
        <v>0</v>
      </c>
      <c r="X117" s="35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0.26953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SUBTOTAL(9,L10:L11151)</f>
        <v>-395634.9</v>
      </c>
      <c r="M8" s="42">
        <f t="shared" si="0"/>
        <v>-216048.1</v>
      </c>
      <c r="N8" s="42">
        <f t="shared" si="0"/>
        <v>-34876.199999999997</v>
      </c>
      <c r="O8" s="42">
        <f t="shared" si="0"/>
        <v>-355078.5</v>
      </c>
      <c r="P8" s="42">
        <f t="shared" si="0"/>
        <v>-238362.8</v>
      </c>
      <c r="Q8" s="42">
        <f t="shared" si="0"/>
        <v>-502130.1</v>
      </c>
      <c r="R8" s="42">
        <f t="shared" si="0"/>
        <v>-303165.5</v>
      </c>
      <c r="S8" s="42">
        <f t="shared" si="0"/>
        <v>-671211.6</v>
      </c>
      <c r="T8" s="42">
        <f t="shared" si="0"/>
        <v>-1382335</v>
      </c>
      <c r="U8" s="42">
        <f t="shared" si="0"/>
        <v>-897765</v>
      </c>
      <c r="V8" s="42">
        <f t="shared" si="0"/>
        <v>-519213.6</v>
      </c>
      <c r="W8" s="42">
        <f t="shared" si="0"/>
        <v>-706087.79999999993</v>
      </c>
      <c r="X8" s="42">
        <f t="shared" si="0"/>
        <v>-1975776.2999999998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185</v>
      </c>
      <c r="B10" s="47">
        <v>395634.9</v>
      </c>
      <c r="C10" s="28" t="s">
        <v>176</v>
      </c>
      <c r="D10" s="48">
        <v>34876.199999999997</v>
      </c>
      <c r="E10" s="48">
        <v>355078.5</v>
      </c>
      <c r="F10" s="48">
        <v>238362.8</v>
      </c>
      <c r="G10" s="48">
        <v>502130.1</v>
      </c>
      <c r="H10" s="31" t="s">
        <v>176</v>
      </c>
      <c r="I10" s="48">
        <v>671211.6</v>
      </c>
      <c r="J10" s="48">
        <v>1382335</v>
      </c>
      <c r="L10" s="45">
        <f>IFERROR(B11-B10,0)</f>
        <v>501.69999999995343</v>
      </c>
      <c r="M10" s="45">
        <f t="shared" ref="M10:T25" si="1">IFERROR(C11-C10,0)</f>
        <v>0</v>
      </c>
      <c r="N10" s="45">
        <f t="shared" si="1"/>
        <v>204.90000000000146</v>
      </c>
      <c r="O10" s="45">
        <f t="shared" si="1"/>
        <v>371.59999999997672</v>
      </c>
      <c r="P10" s="45">
        <f t="shared" si="1"/>
        <v>227.20000000001164</v>
      </c>
      <c r="Q10" s="45">
        <f t="shared" si="1"/>
        <v>917.90000000002328</v>
      </c>
      <c r="R10" s="45">
        <f t="shared" si="1"/>
        <v>0</v>
      </c>
      <c r="S10" s="45">
        <f t="shared" si="1"/>
        <v>951.20000000006985</v>
      </c>
      <c r="T10" s="45">
        <f t="shared" si="1"/>
        <v>1452</v>
      </c>
      <c r="U10" s="46">
        <f>L10+Q10</f>
        <v>1419.5999999999767</v>
      </c>
      <c r="V10" s="46">
        <f>M10+R10</f>
        <v>0</v>
      </c>
      <c r="W10" s="46">
        <f>N10+S10</f>
        <v>1156.1000000000713</v>
      </c>
      <c r="X10" s="46">
        <f t="shared" ref="X10:X72" si="2">O10+P10+T10</f>
        <v>2050.7999999999884</v>
      </c>
    </row>
    <row r="11" spans="1:24" ht="20" customHeight="1" x14ac:dyDescent="0.35">
      <c r="A11" s="28" t="s">
        <v>186</v>
      </c>
      <c r="B11" s="47">
        <v>396136.6</v>
      </c>
      <c r="C11" s="28" t="s">
        <v>176</v>
      </c>
      <c r="D11" s="48">
        <v>35081.1</v>
      </c>
      <c r="E11" s="48">
        <v>355450.1</v>
      </c>
      <c r="F11" s="48">
        <v>238590</v>
      </c>
      <c r="G11" s="48">
        <v>503048</v>
      </c>
      <c r="H11" s="31" t="s">
        <v>176</v>
      </c>
      <c r="I11" s="48">
        <v>672162.8</v>
      </c>
      <c r="J11" s="48">
        <v>1383787</v>
      </c>
      <c r="L11" s="45">
        <f t="shared" ref="L11:T43" si="3">IFERROR(B12-B11,0)</f>
        <v>502.5</v>
      </c>
      <c r="M11" s="45">
        <f t="shared" si="1"/>
        <v>0</v>
      </c>
      <c r="N11" s="45">
        <f t="shared" si="1"/>
        <v>326.40000000000146</v>
      </c>
      <c r="O11" s="45">
        <f t="shared" si="1"/>
        <v>365.40000000002328</v>
      </c>
      <c r="P11" s="45">
        <f t="shared" si="1"/>
        <v>222.20000000001164</v>
      </c>
      <c r="Q11" s="45">
        <f t="shared" si="1"/>
        <v>873.29999999998836</v>
      </c>
      <c r="R11" s="45">
        <f t="shared" si="1"/>
        <v>0</v>
      </c>
      <c r="S11" s="45">
        <f t="shared" si="1"/>
        <v>1377.3999999999069</v>
      </c>
      <c r="T11" s="45">
        <f t="shared" si="1"/>
        <v>1404</v>
      </c>
      <c r="U11" s="46">
        <f t="shared" ref="U11:W43" si="4">L11+Q11</f>
        <v>1375.7999999999884</v>
      </c>
      <c r="V11" s="46">
        <f t="shared" si="4"/>
        <v>0</v>
      </c>
      <c r="W11" s="46">
        <f t="shared" si="4"/>
        <v>1703.7999999999083</v>
      </c>
      <c r="X11" s="46">
        <f t="shared" si="2"/>
        <v>1991.6000000000349</v>
      </c>
    </row>
    <row r="12" spans="1:24" ht="20" customHeight="1" x14ac:dyDescent="0.35">
      <c r="A12" s="28" t="s">
        <v>187</v>
      </c>
      <c r="B12" s="47">
        <v>396639.1</v>
      </c>
      <c r="C12" s="28" t="s">
        <v>176</v>
      </c>
      <c r="D12" s="48">
        <v>35407.5</v>
      </c>
      <c r="E12" s="48">
        <v>355815.5</v>
      </c>
      <c r="F12" s="48">
        <v>238812.2</v>
      </c>
      <c r="G12" s="48">
        <v>503921.3</v>
      </c>
      <c r="H12" s="31" t="s">
        <v>176</v>
      </c>
      <c r="I12" s="48">
        <v>673540.2</v>
      </c>
      <c r="J12" s="48">
        <v>1385191</v>
      </c>
      <c r="L12" s="45">
        <f t="shared" si="3"/>
        <v>497.40000000002328</v>
      </c>
      <c r="M12" s="45">
        <f t="shared" si="1"/>
        <v>0</v>
      </c>
      <c r="N12" s="45">
        <f t="shared" si="1"/>
        <v>334</v>
      </c>
      <c r="O12" s="45">
        <f t="shared" si="1"/>
        <v>369.70000000001164</v>
      </c>
      <c r="P12" s="45">
        <f t="shared" si="1"/>
        <v>227</v>
      </c>
      <c r="Q12" s="45">
        <f t="shared" si="1"/>
        <v>927</v>
      </c>
      <c r="R12" s="45">
        <f t="shared" si="1"/>
        <v>0</v>
      </c>
      <c r="S12" s="45">
        <f t="shared" si="1"/>
        <v>1302.8000000000466</v>
      </c>
      <c r="T12" s="45">
        <f t="shared" si="1"/>
        <v>1436</v>
      </c>
      <c r="U12" s="46">
        <f t="shared" si="4"/>
        <v>1424.4000000000233</v>
      </c>
      <c r="V12" s="46">
        <f t="shared" si="4"/>
        <v>0</v>
      </c>
      <c r="W12" s="46">
        <f t="shared" si="4"/>
        <v>1636.8000000000466</v>
      </c>
      <c r="X12" s="46">
        <f t="shared" si="2"/>
        <v>2032.7000000000116</v>
      </c>
    </row>
    <row r="13" spans="1:24" ht="20" customHeight="1" x14ac:dyDescent="0.35">
      <c r="A13" s="28" t="s">
        <v>188</v>
      </c>
      <c r="B13" s="47">
        <v>397136.5</v>
      </c>
      <c r="C13" s="28" t="s">
        <v>176</v>
      </c>
      <c r="D13" s="48">
        <v>35741.5</v>
      </c>
      <c r="E13" s="48">
        <v>356185.2</v>
      </c>
      <c r="F13" s="48">
        <v>239039.2</v>
      </c>
      <c r="G13" s="48">
        <v>504848.3</v>
      </c>
      <c r="H13" s="31" t="s">
        <v>176</v>
      </c>
      <c r="I13" s="48">
        <v>674843</v>
      </c>
      <c r="J13" s="48">
        <v>1386627</v>
      </c>
      <c r="L13" s="45">
        <f t="shared" si="3"/>
        <v>326.40000000002328</v>
      </c>
      <c r="M13" s="45">
        <f t="shared" si="1"/>
        <v>0</v>
      </c>
      <c r="N13" s="45">
        <f t="shared" si="1"/>
        <v>328.5</v>
      </c>
      <c r="O13" s="45">
        <f t="shared" si="1"/>
        <v>371.70000000001164</v>
      </c>
      <c r="P13" s="45">
        <f t="shared" si="1"/>
        <v>228.5</v>
      </c>
      <c r="Q13" s="45">
        <f t="shared" si="1"/>
        <v>568</v>
      </c>
      <c r="R13" s="45">
        <f t="shared" si="1"/>
        <v>0</v>
      </c>
      <c r="S13" s="45">
        <f t="shared" si="1"/>
        <v>1371.5999999999767</v>
      </c>
      <c r="T13" s="45">
        <f t="shared" si="1"/>
        <v>1469</v>
      </c>
      <c r="U13" s="46">
        <f t="shared" si="4"/>
        <v>894.40000000002328</v>
      </c>
      <c r="V13" s="46">
        <f t="shared" si="4"/>
        <v>0</v>
      </c>
      <c r="W13" s="46">
        <f t="shared" si="4"/>
        <v>1700.0999999999767</v>
      </c>
      <c r="X13" s="46">
        <f t="shared" si="2"/>
        <v>2069.2000000000116</v>
      </c>
    </row>
    <row r="14" spans="1:24" ht="20" customHeight="1" x14ac:dyDescent="0.35">
      <c r="A14" s="28" t="s">
        <v>189</v>
      </c>
      <c r="B14" s="47">
        <v>397462.9</v>
      </c>
      <c r="C14" s="49">
        <v>216027.3</v>
      </c>
      <c r="D14" s="48">
        <v>36070</v>
      </c>
      <c r="E14" s="48">
        <v>356556.9</v>
      </c>
      <c r="F14" s="48">
        <v>239267.7</v>
      </c>
      <c r="G14" s="48">
        <v>505416.3</v>
      </c>
      <c r="H14" s="50">
        <v>303115.90000000002</v>
      </c>
      <c r="I14" s="48">
        <v>676214.6</v>
      </c>
      <c r="J14" s="48">
        <v>1388096</v>
      </c>
      <c r="L14" s="45">
        <f t="shared" si="3"/>
        <v>0</v>
      </c>
      <c r="M14" s="45">
        <f t="shared" si="1"/>
        <v>431.60000000000582</v>
      </c>
      <c r="N14" s="45">
        <f t="shared" si="1"/>
        <v>335.59999999999854</v>
      </c>
      <c r="O14" s="45">
        <f t="shared" si="1"/>
        <v>364</v>
      </c>
      <c r="P14" s="45">
        <f t="shared" si="1"/>
        <v>246.09999999997672</v>
      </c>
      <c r="Q14" s="45">
        <f t="shared" si="1"/>
        <v>7.1000000000349246</v>
      </c>
      <c r="R14" s="45">
        <f t="shared" si="1"/>
        <v>555.5</v>
      </c>
      <c r="S14" s="45">
        <f t="shared" si="1"/>
        <v>1335.8000000000466</v>
      </c>
      <c r="T14" s="45">
        <f t="shared" si="1"/>
        <v>1297</v>
      </c>
      <c r="U14" s="46">
        <f t="shared" si="4"/>
        <v>7.1000000000349246</v>
      </c>
      <c r="V14" s="46">
        <f t="shared" si="4"/>
        <v>987.10000000000582</v>
      </c>
      <c r="W14" s="46">
        <f t="shared" si="4"/>
        <v>1671.4000000000451</v>
      </c>
      <c r="X14" s="46">
        <f t="shared" si="2"/>
        <v>1907.0999999999767</v>
      </c>
    </row>
    <row r="15" spans="1:24" ht="20" customHeight="1" x14ac:dyDescent="0.35">
      <c r="A15" s="28" t="s">
        <v>190</v>
      </c>
      <c r="B15" s="47">
        <v>397462.9</v>
      </c>
      <c r="C15" s="49">
        <v>216458.9</v>
      </c>
      <c r="D15" s="48">
        <v>36405.599999999999</v>
      </c>
      <c r="E15" s="48">
        <v>356920.9</v>
      </c>
      <c r="F15" s="48">
        <v>239513.8</v>
      </c>
      <c r="G15" s="48">
        <v>505423.4</v>
      </c>
      <c r="H15" s="50">
        <v>303671.40000000002</v>
      </c>
      <c r="I15" s="48">
        <v>677550.4</v>
      </c>
      <c r="J15" s="48">
        <v>1389393</v>
      </c>
      <c r="L15" s="45">
        <f t="shared" si="3"/>
        <v>0</v>
      </c>
      <c r="M15" s="45">
        <f t="shared" si="1"/>
        <v>430.5</v>
      </c>
      <c r="N15" s="45">
        <f t="shared" si="1"/>
        <v>329.80000000000291</v>
      </c>
      <c r="O15" s="45">
        <f t="shared" si="1"/>
        <v>250</v>
      </c>
      <c r="P15" s="45">
        <f t="shared" si="1"/>
        <v>231.90000000002328</v>
      </c>
      <c r="Q15" s="45">
        <f t="shared" si="1"/>
        <v>4.5999999999767169</v>
      </c>
      <c r="R15" s="45">
        <f t="shared" si="1"/>
        <v>553.19999999995343</v>
      </c>
      <c r="S15" s="45">
        <f t="shared" si="1"/>
        <v>1085.9000000000233</v>
      </c>
      <c r="T15" s="45">
        <f t="shared" si="1"/>
        <v>1511</v>
      </c>
      <c r="U15" s="46">
        <f t="shared" si="4"/>
        <v>4.5999999999767169</v>
      </c>
      <c r="V15" s="46">
        <f t="shared" si="4"/>
        <v>983.69999999995343</v>
      </c>
      <c r="W15" s="46">
        <f t="shared" si="4"/>
        <v>1415.7000000000262</v>
      </c>
      <c r="X15" s="46">
        <f t="shared" si="2"/>
        <v>1992.9000000000233</v>
      </c>
    </row>
    <row r="16" spans="1:24" ht="20" customHeight="1" x14ac:dyDescent="0.35">
      <c r="A16" s="28" t="s">
        <v>191</v>
      </c>
      <c r="B16" s="47">
        <v>397462.9</v>
      </c>
      <c r="C16" s="49">
        <v>216889.4</v>
      </c>
      <c r="D16" s="48">
        <v>36735.4</v>
      </c>
      <c r="E16" s="48">
        <v>357170.9</v>
      </c>
      <c r="F16" s="48">
        <v>239745.7</v>
      </c>
      <c r="G16" s="48">
        <v>505428</v>
      </c>
      <c r="H16" s="50">
        <v>304224.59999999998</v>
      </c>
      <c r="I16" s="48">
        <v>678636.3</v>
      </c>
      <c r="J16" s="48">
        <v>1390904</v>
      </c>
      <c r="L16" s="45">
        <f t="shared" si="3"/>
        <v>0</v>
      </c>
      <c r="M16" s="45">
        <f t="shared" si="1"/>
        <v>421.5</v>
      </c>
      <c r="N16" s="45">
        <f t="shared" si="1"/>
        <v>223.40000000000146</v>
      </c>
      <c r="O16" s="45">
        <f t="shared" si="1"/>
        <v>250.29999999998836</v>
      </c>
      <c r="P16" s="45">
        <f t="shared" si="1"/>
        <v>231.19999999998254</v>
      </c>
      <c r="Q16" s="45">
        <f t="shared" si="1"/>
        <v>4.2000000000116415</v>
      </c>
      <c r="R16" s="45">
        <f t="shared" si="1"/>
        <v>425.80000000004657</v>
      </c>
      <c r="S16" s="45">
        <f t="shared" si="1"/>
        <v>477</v>
      </c>
      <c r="T16" s="45">
        <f t="shared" si="1"/>
        <v>1485</v>
      </c>
      <c r="U16" s="46">
        <f t="shared" si="4"/>
        <v>4.2000000000116415</v>
      </c>
      <c r="V16" s="46">
        <f t="shared" si="4"/>
        <v>847.30000000004657</v>
      </c>
      <c r="W16" s="46">
        <f t="shared" si="4"/>
        <v>700.40000000000146</v>
      </c>
      <c r="X16" s="46">
        <f t="shared" si="2"/>
        <v>1966.4999999999709</v>
      </c>
    </row>
    <row r="17" spans="1:24" ht="20" customHeight="1" x14ac:dyDescent="0.35">
      <c r="A17" s="28" t="s">
        <v>192</v>
      </c>
      <c r="B17" s="47">
        <v>397462.9</v>
      </c>
      <c r="C17" s="49">
        <v>217310.9</v>
      </c>
      <c r="D17" s="48">
        <v>36958.800000000003</v>
      </c>
      <c r="E17" s="48">
        <v>357421.2</v>
      </c>
      <c r="F17" s="48">
        <v>239976.9</v>
      </c>
      <c r="G17" s="48">
        <v>505432.2</v>
      </c>
      <c r="H17" s="50">
        <v>304650.40000000002</v>
      </c>
      <c r="I17" s="48">
        <v>679113.3</v>
      </c>
      <c r="J17" s="48">
        <v>1392389</v>
      </c>
      <c r="L17" s="45">
        <f t="shared" si="3"/>
        <v>0</v>
      </c>
      <c r="M17" s="45">
        <f t="shared" si="1"/>
        <v>421.60000000000582</v>
      </c>
      <c r="N17" s="45">
        <f t="shared" si="1"/>
        <v>333.79999999999563</v>
      </c>
      <c r="O17" s="45">
        <f t="shared" si="1"/>
        <v>249.39999999996508</v>
      </c>
      <c r="P17" s="45">
        <f t="shared" si="1"/>
        <v>229.60000000000582</v>
      </c>
      <c r="Q17" s="45">
        <f t="shared" si="1"/>
        <v>6.2000000000116415</v>
      </c>
      <c r="R17" s="45">
        <f t="shared" si="1"/>
        <v>511.69999999995343</v>
      </c>
      <c r="S17" s="45">
        <f t="shared" si="1"/>
        <v>1523.3999999999069</v>
      </c>
      <c r="T17" s="45">
        <f t="shared" si="1"/>
        <v>1466</v>
      </c>
      <c r="U17" s="46">
        <f t="shared" si="4"/>
        <v>6.2000000000116415</v>
      </c>
      <c r="V17" s="46">
        <f t="shared" si="4"/>
        <v>933.29999999995925</v>
      </c>
      <c r="W17" s="46">
        <f t="shared" si="4"/>
        <v>1857.1999999999025</v>
      </c>
      <c r="X17" s="46">
        <f t="shared" si="2"/>
        <v>1944.9999999999709</v>
      </c>
    </row>
    <row r="18" spans="1:24" ht="20" customHeight="1" x14ac:dyDescent="0.35">
      <c r="A18" s="28" t="s">
        <v>193</v>
      </c>
      <c r="B18" s="47">
        <v>397462.9</v>
      </c>
      <c r="C18" s="49">
        <v>217732.5</v>
      </c>
      <c r="D18" s="48">
        <v>37292.6</v>
      </c>
      <c r="E18" s="48">
        <v>357670.6</v>
      </c>
      <c r="F18" s="48">
        <v>240206.5</v>
      </c>
      <c r="G18" s="48">
        <v>505438.4</v>
      </c>
      <c r="H18" s="50">
        <v>305162.09999999998</v>
      </c>
      <c r="I18" s="48">
        <v>680636.7</v>
      </c>
      <c r="J18" s="48">
        <v>1393855</v>
      </c>
      <c r="L18" s="45">
        <f t="shared" si="3"/>
        <v>0</v>
      </c>
      <c r="M18" s="45">
        <f t="shared" si="1"/>
        <v>419.89999999999418</v>
      </c>
      <c r="N18" s="45">
        <f t="shared" si="1"/>
        <v>336.80000000000291</v>
      </c>
      <c r="O18" s="45">
        <f t="shared" si="1"/>
        <v>254.90000000002328</v>
      </c>
      <c r="P18" s="45">
        <f t="shared" si="1"/>
        <v>249.10000000000582</v>
      </c>
      <c r="Q18" s="45">
        <f t="shared" si="1"/>
        <v>6.7999999999883585</v>
      </c>
      <c r="R18" s="45">
        <f t="shared" si="1"/>
        <v>442.30000000004657</v>
      </c>
      <c r="S18" s="45">
        <f t="shared" si="1"/>
        <v>1404.7000000000698</v>
      </c>
      <c r="T18" s="45">
        <f t="shared" si="1"/>
        <v>1382</v>
      </c>
      <c r="U18" s="46">
        <f t="shared" si="4"/>
        <v>6.7999999999883585</v>
      </c>
      <c r="V18" s="46">
        <f t="shared" si="4"/>
        <v>862.20000000004075</v>
      </c>
      <c r="W18" s="46">
        <f t="shared" si="4"/>
        <v>1741.5000000000728</v>
      </c>
      <c r="X18" s="46">
        <f t="shared" si="2"/>
        <v>1886.0000000000291</v>
      </c>
    </row>
    <row r="19" spans="1:24" ht="20" customHeight="1" x14ac:dyDescent="0.35">
      <c r="A19" s="28" t="s">
        <v>194</v>
      </c>
      <c r="B19" s="47">
        <v>397462.9</v>
      </c>
      <c r="C19" s="49">
        <v>218152.4</v>
      </c>
      <c r="D19" s="48">
        <v>37629.4</v>
      </c>
      <c r="E19" s="48">
        <v>357925.5</v>
      </c>
      <c r="F19" s="48">
        <v>240455.6</v>
      </c>
      <c r="G19" s="48">
        <v>505445.2</v>
      </c>
      <c r="H19" s="50">
        <v>305604.40000000002</v>
      </c>
      <c r="I19" s="48">
        <v>682041.4</v>
      </c>
      <c r="J19" s="48">
        <v>1395237</v>
      </c>
      <c r="L19" s="45">
        <f t="shared" si="3"/>
        <v>0</v>
      </c>
      <c r="M19" s="45">
        <f t="shared" si="1"/>
        <v>429</v>
      </c>
      <c r="N19" s="45">
        <f t="shared" si="1"/>
        <v>326.59999999999854</v>
      </c>
      <c r="O19" s="45">
        <f t="shared" si="1"/>
        <v>372.09999999997672</v>
      </c>
      <c r="P19" s="45">
        <f t="shared" si="1"/>
        <v>231.69999999998254</v>
      </c>
      <c r="Q19" s="45">
        <f t="shared" si="1"/>
        <v>3</v>
      </c>
      <c r="R19" s="45">
        <f t="shared" si="1"/>
        <v>481.19999999995343</v>
      </c>
      <c r="S19" s="45">
        <f t="shared" si="1"/>
        <v>1353.2999999999302</v>
      </c>
      <c r="T19" s="45">
        <f t="shared" si="1"/>
        <v>1521</v>
      </c>
      <c r="U19" s="46">
        <f t="shared" si="4"/>
        <v>3</v>
      </c>
      <c r="V19" s="46">
        <f t="shared" si="4"/>
        <v>910.19999999995343</v>
      </c>
      <c r="W19" s="46">
        <f t="shared" si="4"/>
        <v>1679.8999999999287</v>
      </c>
      <c r="X19" s="46">
        <f t="shared" si="2"/>
        <v>2124.7999999999593</v>
      </c>
    </row>
    <row r="20" spans="1:24" ht="20" customHeight="1" x14ac:dyDescent="0.35">
      <c r="A20" s="28" t="s">
        <v>195</v>
      </c>
      <c r="B20" s="47">
        <v>397462.9</v>
      </c>
      <c r="C20" s="49">
        <v>218581.4</v>
      </c>
      <c r="D20" s="48">
        <v>37956</v>
      </c>
      <c r="E20" s="48">
        <v>358297.59999999998</v>
      </c>
      <c r="F20" s="48">
        <v>240687.3</v>
      </c>
      <c r="G20" s="48">
        <v>505448.2</v>
      </c>
      <c r="H20" s="50">
        <v>306085.59999999998</v>
      </c>
      <c r="I20" s="48">
        <v>683394.7</v>
      </c>
      <c r="J20" s="48">
        <v>1396758</v>
      </c>
      <c r="L20" s="45">
        <f t="shared" si="3"/>
        <v>249.79999999998836</v>
      </c>
      <c r="M20" s="45">
        <f t="shared" si="1"/>
        <v>230</v>
      </c>
      <c r="N20" s="45">
        <f t="shared" si="1"/>
        <v>335</v>
      </c>
      <c r="O20" s="45">
        <f t="shared" si="1"/>
        <v>394.60000000003492</v>
      </c>
      <c r="P20" s="45">
        <f t="shared" si="1"/>
        <v>228.30000000001746</v>
      </c>
      <c r="Q20" s="45">
        <f t="shared" si="1"/>
        <v>496.29999999998836</v>
      </c>
      <c r="R20" s="45">
        <f t="shared" si="1"/>
        <v>244.60000000003492</v>
      </c>
      <c r="S20" s="45">
        <f t="shared" si="1"/>
        <v>1501.2000000000698</v>
      </c>
      <c r="T20" s="45">
        <f t="shared" si="1"/>
        <v>1478</v>
      </c>
      <c r="U20" s="46">
        <f t="shared" si="4"/>
        <v>746.09999999997672</v>
      </c>
      <c r="V20" s="46">
        <f t="shared" si="4"/>
        <v>474.60000000003492</v>
      </c>
      <c r="W20" s="46">
        <f t="shared" si="4"/>
        <v>1836.2000000000698</v>
      </c>
      <c r="X20" s="46">
        <f t="shared" si="2"/>
        <v>2100.9000000000524</v>
      </c>
    </row>
    <row r="21" spans="1:24" ht="20" customHeight="1" x14ac:dyDescent="0.35">
      <c r="A21" s="28" t="s">
        <v>196</v>
      </c>
      <c r="B21" s="47">
        <v>397712.7</v>
      </c>
      <c r="C21" s="49">
        <v>218811.4</v>
      </c>
      <c r="D21" s="48">
        <v>38291</v>
      </c>
      <c r="E21" s="48">
        <v>358692.2</v>
      </c>
      <c r="F21" s="48">
        <v>240915.6</v>
      </c>
      <c r="G21" s="48">
        <v>505944.5</v>
      </c>
      <c r="H21" s="50">
        <v>306330.2</v>
      </c>
      <c r="I21" s="48">
        <v>684895.9</v>
      </c>
      <c r="J21" s="48">
        <v>1398236</v>
      </c>
      <c r="L21" s="45">
        <f t="shared" si="3"/>
        <v>493.20000000001164</v>
      </c>
      <c r="M21" s="45">
        <f t="shared" si="1"/>
        <v>0</v>
      </c>
      <c r="N21" s="45">
        <f t="shared" si="1"/>
        <v>329</v>
      </c>
      <c r="O21" s="45">
        <f t="shared" si="1"/>
        <v>373.79999999998836</v>
      </c>
      <c r="P21" s="45">
        <f t="shared" si="1"/>
        <v>229.39999999999418</v>
      </c>
      <c r="Q21" s="45">
        <f t="shared" si="1"/>
        <v>968.20000000001164</v>
      </c>
      <c r="R21" s="45">
        <f t="shared" si="1"/>
        <v>0</v>
      </c>
      <c r="S21" s="45">
        <f t="shared" si="1"/>
        <v>1309.5999999999767</v>
      </c>
      <c r="T21" s="45">
        <f t="shared" si="1"/>
        <v>1499</v>
      </c>
      <c r="U21" s="46">
        <f t="shared" si="4"/>
        <v>1461.4000000000233</v>
      </c>
      <c r="V21" s="46">
        <f t="shared" si="4"/>
        <v>0</v>
      </c>
      <c r="W21" s="46">
        <f t="shared" si="4"/>
        <v>1638.5999999999767</v>
      </c>
      <c r="X21" s="46">
        <f t="shared" si="2"/>
        <v>2102.1999999999825</v>
      </c>
    </row>
    <row r="22" spans="1:24" ht="20" customHeight="1" x14ac:dyDescent="0.35">
      <c r="A22" s="28" t="s">
        <v>197</v>
      </c>
      <c r="B22" s="47">
        <v>398205.9</v>
      </c>
      <c r="C22" s="28" t="s">
        <v>176</v>
      </c>
      <c r="D22" s="48">
        <v>38620</v>
      </c>
      <c r="E22" s="48">
        <v>359066</v>
      </c>
      <c r="F22" s="48">
        <v>241145</v>
      </c>
      <c r="G22" s="48">
        <v>506912.7</v>
      </c>
      <c r="H22" s="31" t="s">
        <v>176</v>
      </c>
      <c r="I22" s="51">
        <v>686205.5</v>
      </c>
      <c r="J22" s="48">
        <v>1399735</v>
      </c>
      <c r="L22" s="45">
        <f t="shared" si="3"/>
        <v>493.59999999997672</v>
      </c>
      <c r="M22" s="45">
        <f t="shared" si="1"/>
        <v>0</v>
      </c>
      <c r="N22" s="45">
        <f t="shared" si="1"/>
        <v>335</v>
      </c>
      <c r="O22" s="45">
        <f t="shared" si="1"/>
        <v>395.20000000001164</v>
      </c>
      <c r="P22" s="45">
        <f t="shared" si="1"/>
        <v>247.79999999998836</v>
      </c>
      <c r="Q22" s="45">
        <f t="shared" si="1"/>
        <v>978.29999999998836</v>
      </c>
      <c r="R22" s="45">
        <f t="shared" si="1"/>
        <v>0</v>
      </c>
      <c r="S22" s="45">
        <f t="shared" si="1"/>
        <v>1260.5999999999767</v>
      </c>
      <c r="T22" s="45">
        <f t="shared" si="1"/>
        <v>1526</v>
      </c>
      <c r="U22" s="46">
        <f t="shared" si="4"/>
        <v>1471.8999999999651</v>
      </c>
      <c r="V22" s="46">
        <f t="shared" si="4"/>
        <v>0</v>
      </c>
      <c r="W22" s="46">
        <f t="shared" si="4"/>
        <v>1595.5999999999767</v>
      </c>
      <c r="X22" s="46">
        <f t="shared" si="2"/>
        <v>2169</v>
      </c>
    </row>
    <row r="23" spans="1:24" ht="20" customHeight="1" x14ac:dyDescent="0.35">
      <c r="A23" s="28" t="s">
        <v>198</v>
      </c>
      <c r="B23" s="47">
        <v>398699.5</v>
      </c>
      <c r="C23" s="28" t="s">
        <v>176</v>
      </c>
      <c r="D23" s="48">
        <v>38955</v>
      </c>
      <c r="E23" s="48">
        <v>359461.2</v>
      </c>
      <c r="F23" s="48">
        <v>241392.8</v>
      </c>
      <c r="G23" s="48">
        <v>507891</v>
      </c>
      <c r="H23" s="31" t="s">
        <v>176</v>
      </c>
      <c r="I23" s="51">
        <v>687466.1</v>
      </c>
      <c r="J23" s="48">
        <v>1401261</v>
      </c>
      <c r="L23" s="45">
        <f t="shared" si="3"/>
        <v>479.79999999998836</v>
      </c>
      <c r="M23" s="45">
        <f t="shared" si="1"/>
        <v>0</v>
      </c>
      <c r="N23" s="45">
        <f t="shared" si="1"/>
        <v>274.90000000000146</v>
      </c>
      <c r="O23" s="45">
        <f t="shared" si="1"/>
        <v>377.20000000001164</v>
      </c>
      <c r="P23" s="45">
        <f t="shared" si="1"/>
        <v>232.5</v>
      </c>
      <c r="Q23" s="45">
        <f t="shared" si="1"/>
        <v>668.09999999997672</v>
      </c>
      <c r="R23" s="45">
        <f t="shared" si="1"/>
        <v>0</v>
      </c>
      <c r="S23" s="45">
        <f t="shared" si="1"/>
        <v>580.80000000004657</v>
      </c>
      <c r="T23" s="45">
        <f t="shared" si="1"/>
        <v>1529</v>
      </c>
      <c r="U23" s="46">
        <f t="shared" si="4"/>
        <v>1147.8999999999651</v>
      </c>
      <c r="V23" s="46">
        <f t="shared" si="4"/>
        <v>0</v>
      </c>
      <c r="W23" s="46">
        <f t="shared" si="4"/>
        <v>855.70000000004802</v>
      </c>
      <c r="X23" s="46">
        <f t="shared" si="2"/>
        <v>2138.7000000000116</v>
      </c>
    </row>
    <row r="24" spans="1:24" ht="20" customHeight="1" x14ac:dyDescent="0.35">
      <c r="A24" s="28" t="s">
        <v>199</v>
      </c>
      <c r="B24" s="47">
        <v>399179.3</v>
      </c>
      <c r="C24" s="28" t="s">
        <v>176</v>
      </c>
      <c r="D24" s="48">
        <v>39229.9</v>
      </c>
      <c r="E24" s="48">
        <v>359838.4</v>
      </c>
      <c r="F24" s="48">
        <v>241625.3</v>
      </c>
      <c r="G24" s="48">
        <v>508559.1</v>
      </c>
      <c r="H24" s="31" t="s">
        <v>176</v>
      </c>
      <c r="I24" s="51">
        <v>688046.9</v>
      </c>
      <c r="J24" s="48">
        <v>1402790</v>
      </c>
      <c r="L24" s="45">
        <f t="shared" si="3"/>
        <v>497.29999999998836</v>
      </c>
      <c r="M24" s="45">
        <f t="shared" si="1"/>
        <v>0</v>
      </c>
      <c r="N24" s="45">
        <f t="shared" si="1"/>
        <v>328.19999999999709</v>
      </c>
      <c r="O24" s="45">
        <f t="shared" si="1"/>
        <v>376.39999999996508</v>
      </c>
      <c r="P24" s="45">
        <f t="shared" si="1"/>
        <v>231.70000000001164</v>
      </c>
      <c r="Q24" s="45">
        <f t="shared" si="1"/>
        <v>1003.2000000000116</v>
      </c>
      <c r="R24" s="45">
        <f t="shared" si="1"/>
        <v>0</v>
      </c>
      <c r="S24" s="45">
        <f t="shared" si="1"/>
        <v>1269.9000000000233</v>
      </c>
      <c r="T24" s="45">
        <f t="shared" si="1"/>
        <v>1487</v>
      </c>
      <c r="U24" s="46">
        <f t="shared" si="4"/>
        <v>1500.5</v>
      </c>
      <c r="V24" s="46">
        <f t="shared" si="4"/>
        <v>0</v>
      </c>
      <c r="W24" s="46">
        <f t="shared" si="4"/>
        <v>1598.1000000000204</v>
      </c>
      <c r="X24" s="46">
        <f t="shared" si="2"/>
        <v>2095.0999999999767</v>
      </c>
    </row>
    <row r="25" spans="1:24" ht="20" customHeight="1" x14ac:dyDescent="0.35">
      <c r="A25" s="28" t="s">
        <v>200</v>
      </c>
      <c r="B25" s="47">
        <v>399676.6</v>
      </c>
      <c r="C25" s="28" t="s">
        <v>176</v>
      </c>
      <c r="D25" s="48">
        <v>39558.1</v>
      </c>
      <c r="E25" s="48">
        <v>360214.8</v>
      </c>
      <c r="F25" s="48">
        <v>241857</v>
      </c>
      <c r="G25" s="48">
        <v>509562.3</v>
      </c>
      <c r="H25" s="31" t="s">
        <v>176</v>
      </c>
      <c r="I25" s="51">
        <v>689316.8</v>
      </c>
      <c r="J25" s="48">
        <v>1404277</v>
      </c>
      <c r="L25" s="45">
        <f t="shared" si="3"/>
        <v>495.70000000001164</v>
      </c>
      <c r="M25" s="45">
        <f t="shared" si="1"/>
        <v>0</v>
      </c>
      <c r="N25" s="45">
        <f t="shared" si="1"/>
        <v>324.20000000000437</v>
      </c>
      <c r="O25" s="45">
        <f t="shared" si="1"/>
        <v>350.60000000003492</v>
      </c>
      <c r="P25" s="45">
        <f t="shared" si="1"/>
        <v>225.29999999998836</v>
      </c>
      <c r="Q25" s="45">
        <f t="shared" si="1"/>
        <v>1020.9000000000233</v>
      </c>
      <c r="R25" s="45">
        <f t="shared" si="1"/>
        <v>0</v>
      </c>
      <c r="S25" s="45">
        <f t="shared" si="1"/>
        <v>1444</v>
      </c>
      <c r="T25" s="45">
        <f t="shared" si="1"/>
        <v>1143</v>
      </c>
      <c r="U25" s="46">
        <f t="shared" si="4"/>
        <v>1516.6000000000349</v>
      </c>
      <c r="V25" s="46">
        <f t="shared" si="4"/>
        <v>0</v>
      </c>
      <c r="W25" s="46">
        <f t="shared" si="4"/>
        <v>1768.2000000000044</v>
      </c>
      <c r="X25" s="46">
        <f t="shared" si="2"/>
        <v>1718.9000000000233</v>
      </c>
    </row>
    <row r="26" spans="1:24" ht="20" customHeight="1" x14ac:dyDescent="0.35">
      <c r="A26" s="28" t="s">
        <v>201</v>
      </c>
      <c r="B26" s="47">
        <v>400172.3</v>
      </c>
      <c r="C26" s="28" t="s">
        <v>176</v>
      </c>
      <c r="D26" s="48">
        <v>39882.300000000003</v>
      </c>
      <c r="E26" s="48">
        <v>360565.4</v>
      </c>
      <c r="F26" s="48">
        <v>242082.3</v>
      </c>
      <c r="G26" s="48">
        <v>510583.2</v>
      </c>
      <c r="H26" s="31" t="s">
        <v>176</v>
      </c>
      <c r="I26" s="51">
        <v>690760.8</v>
      </c>
      <c r="J26" s="48">
        <v>1405420</v>
      </c>
      <c r="L26" s="45">
        <f t="shared" si="3"/>
        <v>495.90000000002328</v>
      </c>
      <c r="M26" s="45">
        <f t="shared" si="3"/>
        <v>0</v>
      </c>
      <c r="N26" s="45">
        <f t="shared" si="3"/>
        <v>334</v>
      </c>
      <c r="O26" s="45">
        <f t="shared" si="3"/>
        <v>329.39999999996508</v>
      </c>
      <c r="P26" s="45">
        <f t="shared" si="3"/>
        <v>222.60000000000582</v>
      </c>
      <c r="Q26" s="45">
        <f t="shared" si="3"/>
        <v>968.09999999997672</v>
      </c>
      <c r="R26" s="45">
        <f t="shared" si="3"/>
        <v>0</v>
      </c>
      <c r="S26" s="45">
        <f t="shared" si="3"/>
        <v>1424.8999999999069</v>
      </c>
      <c r="T26" s="45">
        <f t="shared" si="3"/>
        <v>1091</v>
      </c>
      <c r="U26" s="46">
        <f t="shared" si="4"/>
        <v>1464</v>
      </c>
      <c r="V26" s="46">
        <f t="shared" si="4"/>
        <v>0</v>
      </c>
      <c r="W26" s="46">
        <f t="shared" si="4"/>
        <v>1758.8999999999069</v>
      </c>
      <c r="X26" s="46">
        <f t="shared" si="2"/>
        <v>1642.9999999999709</v>
      </c>
    </row>
    <row r="27" spans="1:24" ht="42.75" customHeight="1" x14ac:dyDescent="0.35">
      <c r="A27" s="36" t="s">
        <v>202</v>
      </c>
      <c r="B27" s="52">
        <v>400668.2</v>
      </c>
      <c r="C27" s="36" t="s">
        <v>176</v>
      </c>
      <c r="D27" s="53">
        <v>40216.300000000003</v>
      </c>
      <c r="E27" s="53">
        <v>360894.8</v>
      </c>
      <c r="F27" s="53">
        <v>242304.9</v>
      </c>
      <c r="G27" s="53">
        <v>511551.3</v>
      </c>
      <c r="H27" s="39" t="s">
        <v>176</v>
      </c>
      <c r="I27" s="54">
        <v>692185.7</v>
      </c>
      <c r="J27" s="53">
        <v>1406511</v>
      </c>
      <c r="L27" s="45">
        <f t="shared" si="3"/>
        <v>490.5</v>
      </c>
      <c r="M27" s="45">
        <f t="shared" si="3"/>
        <v>0</v>
      </c>
      <c r="N27" s="45">
        <f t="shared" si="3"/>
        <v>327.59999999999854</v>
      </c>
      <c r="O27" s="45">
        <f t="shared" si="3"/>
        <v>299.10000000003492</v>
      </c>
      <c r="P27" s="45">
        <f t="shared" si="3"/>
        <v>230.10000000000582</v>
      </c>
      <c r="Q27" s="45">
        <f t="shared" si="3"/>
        <v>1075.4000000000233</v>
      </c>
      <c r="R27" s="45">
        <f t="shared" si="3"/>
        <v>0</v>
      </c>
      <c r="S27" s="45">
        <f t="shared" si="3"/>
        <v>1316.2000000000698</v>
      </c>
      <c r="T27" s="45">
        <f t="shared" si="3"/>
        <v>1294</v>
      </c>
      <c r="U27" s="46">
        <f t="shared" si="4"/>
        <v>1565.9000000000233</v>
      </c>
      <c r="V27" s="46">
        <f t="shared" si="4"/>
        <v>0</v>
      </c>
      <c r="W27" s="46">
        <f t="shared" si="4"/>
        <v>1643.8000000000684</v>
      </c>
      <c r="X27" s="46">
        <f t="shared" si="2"/>
        <v>1823.2000000000407</v>
      </c>
    </row>
    <row r="28" spans="1:24" ht="20" customHeight="1" x14ac:dyDescent="0.35">
      <c r="A28" s="28" t="s">
        <v>203</v>
      </c>
      <c r="B28" s="47">
        <v>401158.7</v>
      </c>
      <c r="C28" s="28" t="s">
        <v>176</v>
      </c>
      <c r="D28" s="48">
        <v>40543.9</v>
      </c>
      <c r="E28" s="48">
        <v>361193.9</v>
      </c>
      <c r="F28" s="48">
        <v>242535</v>
      </c>
      <c r="G28" s="48">
        <v>512626.7</v>
      </c>
      <c r="H28" s="31" t="s">
        <v>176</v>
      </c>
      <c r="I28" s="51">
        <v>693501.9</v>
      </c>
      <c r="J28" s="48">
        <v>1407805</v>
      </c>
      <c r="L28" s="45">
        <f t="shared" si="3"/>
        <v>481.29999999998836</v>
      </c>
      <c r="M28" s="45">
        <f t="shared" si="3"/>
        <v>0</v>
      </c>
      <c r="N28" s="45">
        <f t="shared" si="3"/>
        <v>325.79999999999563</v>
      </c>
      <c r="O28" s="45">
        <f t="shared" si="3"/>
        <v>257.59999999997672</v>
      </c>
      <c r="P28" s="45">
        <f t="shared" si="3"/>
        <v>223.39999999999418</v>
      </c>
      <c r="Q28" s="45">
        <f t="shared" si="3"/>
        <v>890</v>
      </c>
      <c r="R28" s="45">
        <f t="shared" si="3"/>
        <v>0</v>
      </c>
      <c r="S28" s="45">
        <f t="shared" si="3"/>
        <v>1287.0999999999767</v>
      </c>
      <c r="T28" s="45">
        <f t="shared" si="3"/>
        <v>1528</v>
      </c>
      <c r="U28" s="46">
        <f t="shared" si="4"/>
        <v>1371.2999999999884</v>
      </c>
      <c r="V28" s="46">
        <f t="shared" si="4"/>
        <v>0</v>
      </c>
      <c r="W28" s="46">
        <f t="shared" si="4"/>
        <v>1612.8999999999724</v>
      </c>
      <c r="X28" s="46">
        <f t="shared" si="2"/>
        <v>2008.9999999999709</v>
      </c>
    </row>
    <row r="29" spans="1:24" ht="20" customHeight="1" x14ac:dyDescent="0.35">
      <c r="A29" s="28" t="s">
        <v>204</v>
      </c>
      <c r="B29" s="47">
        <v>401640</v>
      </c>
      <c r="C29" s="28" t="s">
        <v>176</v>
      </c>
      <c r="D29" s="48">
        <v>40869.699999999997</v>
      </c>
      <c r="E29" s="48">
        <v>361451.5</v>
      </c>
      <c r="F29" s="48">
        <v>242758.39999999999</v>
      </c>
      <c r="G29" s="48">
        <v>513516.7</v>
      </c>
      <c r="H29" s="31" t="s">
        <v>176</v>
      </c>
      <c r="I29" s="51">
        <v>694789</v>
      </c>
      <c r="J29" s="48">
        <v>1409333</v>
      </c>
      <c r="L29" s="45">
        <f t="shared" si="3"/>
        <v>475.40000000002328</v>
      </c>
      <c r="M29" s="45">
        <f t="shared" si="3"/>
        <v>0</v>
      </c>
      <c r="N29" s="45">
        <f t="shared" si="3"/>
        <v>312.30000000000291</v>
      </c>
      <c r="O29" s="45">
        <f t="shared" si="3"/>
        <v>331.5</v>
      </c>
      <c r="P29" s="45">
        <f t="shared" si="3"/>
        <v>239.39999999999418</v>
      </c>
      <c r="Q29" s="45">
        <f t="shared" si="3"/>
        <v>821.79999999998836</v>
      </c>
      <c r="R29" s="45">
        <f t="shared" si="3"/>
        <v>0</v>
      </c>
      <c r="S29" s="45">
        <f t="shared" si="3"/>
        <v>1092</v>
      </c>
      <c r="T29" s="45">
        <f t="shared" si="3"/>
        <v>1423</v>
      </c>
      <c r="U29" s="46">
        <f t="shared" si="4"/>
        <v>1297.2000000000116</v>
      </c>
      <c r="V29" s="46">
        <f t="shared" si="4"/>
        <v>0</v>
      </c>
      <c r="W29" s="46">
        <f t="shared" si="4"/>
        <v>1404.3000000000029</v>
      </c>
      <c r="X29" s="46">
        <f t="shared" si="2"/>
        <v>1993.8999999999942</v>
      </c>
    </row>
    <row r="30" spans="1:24" ht="20" customHeight="1" x14ac:dyDescent="0.35">
      <c r="A30" s="28" t="s">
        <v>205</v>
      </c>
      <c r="B30" s="47">
        <v>402115.4</v>
      </c>
      <c r="C30" s="28" t="s">
        <v>176</v>
      </c>
      <c r="D30" s="48">
        <v>41182</v>
      </c>
      <c r="E30" s="48">
        <v>361783</v>
      </c>
      <c r="F30" s="48">
        <v>242997.8</v>
      </c>
      <c r="G30" s="48">
        <v>514338.5</v>
      </c>
      <c r="H30" s="31" t="s">
        <v>176</v>
      </c>
      <c r="I30" s="51">
        <v>695881</v>
      </c>
      <c r="J30" s="48">
        <v>1410756</v>
      </c>
      <c r="L30" s="45">
        <f t="shared" si="3"/>
        <v>470.19999999995343</v>
      </c>
      <c r="M30" s="45">
        <f t="shared" si="3"/>
        <v>0</v>
      </c>
      <c r="N30" s="45">
        <f t="shared" si="3"/>
        <v>243.5</v>
      </c>
      <c r="O30" s="45">
        <f t="shared" si="3"/>
        <v>369.40000000002328</v>
      </c>
      <c r="P30" s="45">
        <f t="shared" si="3"/>
        <v>215.80000000001746</v>
      </c>
      <c r="Q30" s="45">
        <f t="shared" si="3"/>
        <v>608.90000000002328</v>
      </c>
      <c r="R30" s="45">
        <f t="shared" si="3"/>
        <v>0</v>
      </c>
      <c r="S30" s="45">
        <f t="shared" si="3"/>
        <v>603.40000000002328</v>
      </c>
      <c r="T30" s="45">
        <f t="shared" si="3"/>
        <v>1515</v>
      </c>
      <c r="U30" s="46">
        <f t="shared" si="4"/>
        <v>1079.0999999999767</v>
      </c>
      <c r="V30" s="46">
        <f t="shared" si="4"/>
        <v>0</v>
      </c>
      <c r="W30" s="46">
        <f t="shared" si="4"/>
        <v>846.90000000002328</v>
      </c>
      <c r="X30" s="46">
        <f t="shared" si="2"/>
        <v>2100.2000000000407</v>
      </c>
    </row>
    <row r="31" spans="1:24" ht="20" customHeight="1" x14ac:dyDescent="0.35">
      <c r="A31" s="28" t="s">
        <v>206</v>
      </c>
      <c r="B31" s="47">
        <v>402585.59999999998</v>
      </c>
      <c r="C31" s="28" t="s">
        <v>176</v>
      </c>
      <c r="D31" s="48">
        <v>41425.5</v>
      </c>
      <c r="E31" s="48">
        <v>362152.4</v>
      </c>
      <c r="F31" s="48">
        <v>243213.6</v>
      </c>
      <c r="G31" s="48">
        <v>514947.4</v>
      </c>
      <c r="H31" s="31" t="s">
        <v>176</v>
      </c>
      <c r="I31" s="51">
        <v>696484.4</v>
      </c>
      <c r="J31" s="48">
        <v>1412271</v>
      </c>
      <c r="L31" s="45">
        <f t="shared" si="3"/>
        <v>471.5</v>
      </c>
      <c r="M31" s="45">
        <f t="shared" si="3"/>
        <v>0</v>
      </c>
      <c r="N31" s="45">
        <f t="shared" si="3"/>
        <v>220.5</v>
      </c>
      <c r="O31" s="45">
        <f t="shared" si="3"/>
        <v>331.5</v>
      </c>
      <c r="P31" s="45">
        <f t="shared" si="3"/>
        <v>224.19999999998254</v>
      </c>
      <c r="Q31" s="45">
        <f t="shared" si="3"/>
        <v>772.59999999997672</v>
      </c>
      <c r="R31" s="45">
        <f t="shared" si="3"/>
        <v>0</v>
      </c>
      <c r="S31" s="45">
        <f t="shared" si="3"/>
        <v>999.19999999995343</v>
      </c>
      <c r="T31" s="45">
        <f t="shared" si="3"/>
        <v>1519</v>
      </c>
      <c r="U31" s="46">
        <f t="shared" si="4"/>
        <v>1244.0999999999767</v>
      </c>
      <c r="V31" s="46">
        <f t="shared" si="4"/>
        <v>0</v>
      </c>
      <c r="W31" s="46">
        <f t="shared" si="4"/>
        <v>1219.6999999999534</v>
      </c>
      <c r="X31" s="46">
        <f t="shared" si="2"/>
        <v>2074.6999999999825</v>
      </c>
    </row>
    <row r="32" spans="1:24" ht="20" customHeight="1" x14ac:dyDescent="0.35">
      <c r="A32" s="28" t="s">
        <v>207</v>
      </c>
      <c r="B32" s="47">
        <v>403057.1</v>
      </c>
      <c r="C32" s="28" t="s">
        <v>176</v>
      </c>
      <c r="D32" s="48">
        <v>41646</v>
      </c>
      <c r="E32" s="48">
        <v>362483.9</v>
      </c>
      <c r="F32" s="48">
        <v>243437.8</v>
      </c>
      <c r="G32" s="48">
        <v>515720</v>
      </c>
      <c r="H32" s="31" t="s">
        <v>176</v>
      </c>
      <c r="I32" s="51">
        <v>697483.6</v>
      </c>
      <c r="J32" s="48">
        <v>1413790</v>
      </c>
      <c r="L32" s="45">
        <f t="shared" si="3"/>
        <v>498.5</v>
      </c>
      <c r="M32" s="45">
        <f t="shared" si="3"/>
        <v>0</v>
      </c>
      <c r="N32" s="45">
        <f t="shared" si="3"/>
        <v>324.30000000000291</v>
      </c>
      <c r="O32" s="45">
        <f t="shared" si="3"/>
        <v>331.09999999997672</v>
      </c>
      <c r="P32" s="45">
        <f t="shared" si="3"/>
        <v>222.60000000000582</v>
      </c>
      <c r="Q32" s="45">
        <f t="shared" si="3"/>
        <v>872.90000000002328</v>
      </c>
      <c r="R32" s="45">
        <f t="shared" si="3"/>
        <v>0</v>
      </c>
      <c r="S32" s="45">
        <f t="shared" si="3"/>
        <v>1403.5</v>
      </c>
      <c r="T32" s="45">
        <f t="shared" si="3"/>
        <v>1508</v>
      </c>
      <c r="U32" s="46">
        <f t="shared" si="4"/>
        <v>1371.4000000000233</v>
      </c>
      <c r="V32" s="46">
        <f t="shared" si="4"/>
        <v>0</v>
      </c>
      <c r="W32" s="46">
        <f t="shared" si="4"/>
        <v>1727.8000000000029</v>
      </c>
      <c r="X32" s="46">
        <f t="shared" si="2"/>
        <v>2061.6999999999825</v>
      </c>
    </row>
    <row r="33" spans="1:24" ht="20" customHeight="1" x14ac:dyDescent="0.35">
      <c r="A33" s="28" t="s">
        <v>208</v>
      </c>
      <c r="B33" s="47">
        <v>403555.6</v>
      </c>
      <c r="C33" s="28" t="s">
        <v>176</v>
      </c>
      <c r="D33" s="48">
        <v>41970.3</v>
      </c>
      <c r="E33" s="48">
        <v>362815</v>
      </c>
      <c r="F33" s="48">
        <v>243660.4</v>
      </c>
      <c r="G33" s="48">
        <v>516592.9</v>
      </c>
      <c r="H33" s="31" t="s">
        <v>176</v>
      </c>
      <c r="I33" s="51">
        <v>698887.1</v>
      </c>
      <c r="J33" s="48">
        <v>1415298</v>
      </c>
      <c r="L33" s="45">
        <f t="shared" ref="L33:T34" si="5">IFERROR(B34-B33,0)</f>
        <v>478</v>
      </c>
      <c r="M33" s="45">
        <f t="shared" si="5"/>
        <v>0</v>
      </c>
      <c r="N33" s="45">
        <f t="shared" si="5"/>
        <v>329.09999999999854</v>
      </c>
      <c r="O33" s="45">
        <f t="shared" si="5"/>
        <v>307.70000000001164</v>
      </c>
      <c r="P33" s="45">
        <f t="shared" si="5"/>
        <v>274.89999999999418</v>
      </c>
      <c r="Q33" s="45">
        <f t="shared" si="5"/>
        <v>806.29999999998836</v>
      </c>
      <c r="R33" s="45">
        <f t="shared" si="5"/>
        <v>0</v>
      </c>
      <c r="S33" s="45">
        <f t="shared" si="5"/>
        <v>1477.3000000000466</v>
      </c>
      <c r="T33" s="45">
        <f t="shared" si="5"/>
        <v>1346</v>
      </c>
      <c r="U33" s="46">
        <f t="shared" si="4"/>
        <v>1284.2999999999884</v>
      </c>
      <c r="V33" s="46">
        <f t="shared" si="4"/>
        <v>0</v>
      </c>
      <c r="W33" s="46">
        <f t="shared" si="4"/>
        <v>1806.4000000000451</v>
      </c>
      <c r="X33" s="46">
        <f t="shared" si="2"/>
        <v>1928.6000000000058</v>
      </c>
    </row>
    <row r="34" spans="1:24" ht="20" customHeight="1" x14ac:dyDescent="0.35">
      <c r="A34" s="28" t="s">
        <v>175</v>
      </c>
      <c r="B34" s="47">
        <v>404033.6</v>
      </c>
      <c r="C34" s="28" t="s">
        <v>176</v>
      </c>
      <c r="D34" s="48">
        <v>42299.4</v>
      </c>
      <c r="E34" s="48">
        <v>363122.7</v>
      </c>
      <c r="F34" s="48">
        <v>243935.3</v>
      </c>
      <c r="G34" s="48">
        <v>517399.2</v>
      </c>
      <c r="H34" s="31" t="s">
        <v>176</v>
      </c>
      <c r="I34" s="51">
        <v>700364.4</v>
      </c>
      <c r="J34" s="48">
        <v>1416644</v>
      </c>
      <c r="L34" s="45">
        <f t="shared" si="5"/>
        <v>294.10000000003492</v>
      </c>
      <c r="M34" s="45">
        <f t="shared" si="5"/>
        <v>0</v>
      </c>
      <c r="N34" s="45">
        <f t="shared" si="5"/>
        <v>328.5</v>
      </c>
      <c r="O34" s="45">
        <f t="shared" si="5"/>
        <v>347.70000000001164</v>
      </c>
      <c r="P34" s="45">
        <f t="shared" si="5"/>
        <v>222.20000000001164</v>
      </c>
      <c r="Q34" s="45">
        <f t="shared" si="5"/>
        <v>556.09999999997672</v>
      </c>
      <c r="R34" s="45">
        <f t="shared" si="5"/>
        <v>0</v>
      </c>
      <c r="S34" s="45">
        <f t="shared" si="5"/>
        <v>1472.1999999999534</v>
      </c>
      <c r="T34" s="45">
        <f t="shared" si="5"/>
        <v>1284</v>
      </c>
      <c r="U34" s="46">
        <f t="shared" ref="U34" si="6">L34+Q34</f>
        <v>850.20000000001164</v>
      </c>
      <c r="V34" s="46">
        <f t="shared" ref="V34" si="7">M34+R34</f>
        <v>0</v>
      </c>
      <c r="W34" s="46">
        <f t="shared" ref="W34" si="8">N34+S34</f>
        <v>1800.6999999999534</v>
      </c>
      <c r="X34" s="46">
        <f t="shared" ref="X34" si="9">O34+P34+T34</f>
        <v>1853.9000000000233</v>
      </c>
    </row>
    <row r="35" spans="1:24" ht="20" customHeight="1" x14ac:dyDescent="0.35">
      <c r="A35" s="28" t="s">
        <v>177</v>
      </c>
      <c r="B35" s="29">
        <v>404327.7</v>
      </c>
      <c r="C35" s="28" t="s">
        <v>176</v>
      </c>
      <c r="D35" s="30">
        <v>42627.9</v>
      </c>
      <c r="E35" s="30">
        <v>363470.4</v>
      </c>
      <c r="F35" s="30">
        <v>244157.5</v>
      </c>
      <c r="G35" s="30">
        <v>517955.3</v>
      </c>
      <c r="H35" s="31" t="s">
        <v>176</v>
      </c>
      <c r="I35" s="32">
        <v>701836.6</v>
      </c>
      <c r="J35" s="33">
        <v>1417928</v>
      </c>
      <c r="L35" s="45">
        <f t="shared" si="3"/>
        <v>0</v>
      </c>
      <c r="M35" s="45">
        <f t="shared" si="3"/>
        <v>0</v>
      </c>
      <c r="N35" s="45">
        <f t="shared" si="3"/>
        <v>318.09999999999854</v>
      </c>
      <c r="O35" s="45">
        <f t="shared" si="3"/>
        <v>349.29999999998836</v>
      </c>
      <c r="P35" s="45">
        <f t="shared" si="3"/>
        <v>240.60000000000582</v>
      </c>
      <c r="Q35" s="45">
        <f t="shared" si="3"/>
        <v>3.2000000000116415</v>
      </c>
      <c r="R35" s="45">
        <f t="shared" si="3"/>
        <v>0</v>
      </c>
      <c r="S35" s="45">
        <f t="shared" si="3"/>
        <v>1238.2000000000698</v>
      </c>
      <c r="T35" s="45">
        <f t="shared" si="3"/>
        <v>1432</v>
      </c>
      <c r="U35" s="46">
        <f t="shared" si="4"/>
        <v>3.2000000000116415</v>
      </c>
      <c r="V35" s="46">
        <f t="shared" si="4"/>
        <v>0</v>
      </c>
      <c r="W35" s="46">
        <f t="shared" si="4"/>
        <v>1556.3000000000684</v>
      </c>
      <c r="X35" s="46">
        <f t="shared" si="2"/>
        <v>2021.8999999999942</v>
      </c>
    </row>
    <row r="36" spans="1:24" ht="20" customHeight="1" x14ac:dyDescent="0.35">
      <c r="A36" s="28" t="s">
        <v>178</v>
      </c>
      <c r="B36" s="29">
        <v>404327.7</v>
      </c>
      <c r="C36" s="28">
        <v>218832.2</v>
      </c>
      <c r="D36" s="30">
        <v>42946</v>
      </c>
      <c r="E36" s="30">
        <v>363819.7</v>
      </c>
      <c r="F36" s="30">
        <v>244398.1</v>
      </c>
      <c r="G36" s="30">
        <v>517958.5</v>
      </c>
      <c r="H36" s="31">
        <v>306379.8</v>
      </c>
      <c r="I36" s="32">
        <v>703074.8</v>
      </c>
      <c r="J36" s="33">
        <v>1419360</v>
      </c>
      <c r="L36" s="45">
        <f t="shared" si="3"/>
        <v>181.5</v>
      </c>
      <c r="M36" s="45">
        <f t="shared" si="3"/>
        <v>374</v>
      </c>
      <c r="N36" s="45">
        <f t="shared" si="3"/>
        <v>96.099999999998545</v>
      </c>
      <c r="O36" s="45">
        <f t="shared" si="3"/>
        <v>384.5</v>
      </c>
      <c r="P36" s="45">
        <f t="shared" si="3"/>
        <v>273.5</v>
      </c>
      <c r="Q36" s="45">
        <f t="shared" si="3"/>
        <v>485.59999999997672</v>
      </c>
      <c r="R36" s="45">
        <f t="shared" si="3"/>
        <v>618.70000000001164</v>
      </c>
      <c r="S36" s="45">
        <f t="shared" si="3"/>
        <v>321</v>
      </c>
      <c r="T36" s="45">
        <f t="shared" si="3"/>
        <v>1467</v>
      </c>
      <c r="U36" s="46">
        <f t="shared" si="4"/>
        <v>667.09999999997672</v>
      </c>
      <c r="V36" s="46">
        <f t="shared" si="4"/>
        <v>992.70000000001164</v>
      </c>
      <c r="W36" s="46">
        <f t="shared" si="4"/>
        <v>417.09999999999854</v>
      </c>
      <c r="X36" s="46">
        <f t="shared" si="2"/>
        <v>2125</v>
      </c>
    </row>
    <row r="37" spans="1:24" ht="20" customHeight="1" x14ac:dyDescent="0.35">
      <c r="A37" s="28" t="s">
        <v>179</v>
      </c>
      <c r="B37" s="29">
        <v>404509.2</v>
      </c>
      <c r="C37" s="28">
        <v>219206.2</v>
      </c>
      <c r="D37" s="30">
        <v>43042.1</v>
      </c>
      <c r="E37" s="30">
        <v>364204.2</v>
      </c>
      <c r="F37" s="30">
        <v>244671.6</v>
      </c>
      <c r="G37" s="30">
        <v>518444.1</v>
      </c>
      <c r="H37" s="31">
        <v>306998.5</v>
      </c>
      <c r="I37" s="32">
        <v>703395.8</v>
      </c>
      <c r="J37" s="33">
        <v>1420827</v>
      </c>
      <c r="L37" s="45">
        <f t="shared" si="3"/>
        <v>0</v>
      </c>
      <c r="M37" s="45">
        <f t="shared" si="3"/>
        <v>0</v>
      </c>
      <c r="N37" s="45">
        <f t="shared" si="3"/>
        <v>144.90000000000146</v>
      </c>
      <c r="O37" s="45">
        <f t="shared" si="3"/>
        <v>267.59999999997672</v>
      </c>
      <c r="P37" s="45">
        <f t="shared" si="3"/>
        <v>224.79999999998836</v>
      </c>
      <c r="Q37" s="45">
        <f t="shared" si="3"/>
        <v>5.3000000000465661</v>
      </c>
      <c r="R37" s="45">
        <f t="shared" si="3"/>
        <v>17.099999999976717</v>
      </c>
      <c r="S37" s="45">
        <f t="shared" si="3"/>
        <v>296.5</v>
      </c>
      <c r="T37" s="45">
        <f t="shared" si="3"/>
        <v>1425</v>
      </c>
      <c r="U37" s="46">
        <f t="shared" si="4"/>
        <v>5.3000000000465661</v>
      </c>
      <c r="V37" s="46">
        <f t="shared" si="4"/>
        <v>17.099999999976717</v>
      </c>
      <c r="W37" s="46">
        <f t="shared" si="4"/>
        <v>441.40000000000146</v>
      </c>
      <c r="X37" s="46">
        <f t="shared" si="2"/>
        <v>1917.3999999999651</v>
      </c>
    </row>
    <row r="38" spans="1:24" ht="20" customHeight="1" x14ac:dyDescent="0.35">
      <c r="A38" s="28" t="s">
        <v>180</v>
      </c>
      <c r="B38" s="29">
        <v>404509.2</v>
      </c>
      <c r="C38" s="28">
        <v>219206.2</v>
      </c>
      <c r="D38" s="30">
        <v>43187</v>
      </c>
      <c r="E38" s="30">
        <v>364471.8</v>
      </c>
      <c r="F38" s="30">
        <v>244896.4</v>
      </c>
      <c r="G38" s="30">
        <v>518449.4</v>
      </c>
      <c r="H38" s="31">
        <v>307015.59999999998</v>
      </c>
      <c r="I38" s="32">
        <v>703692.3</v>
      </c>
      <c r="J38" s="33">
        <v>1422252</v>
      </c>
      <c r="L38" s="45">
        <f t="shared" si="3"/>
        <v>0</v>
      </c>
      <c r="M38" s="45">
        <f t="shared" si="3"/>
        <v>0</v>
      </c>
      <c r="N38" s="45">
        <f t="shared" si="3"/>
        <v>197.80000000000291</v>
      </c>
      <c r="O38" s="45">
        <f t="shared" si="3"/>
        <v>357.40000000002328</v>
      </c>
      <c r="P38" s="45">
        <f t="shared" si="3"/>
        <v>224.70000000001164</v>
      </c>
      <c r="Q38" s="45">
        <f t="shared" si="3"/>
        <v>1.5999999999767169</v>
      </c>
      <c r="R38" s="45">
        <f t="shared" si="3"/>
        <v>17.300000000046566</v>
      </c>
      <c r="S38" s="45">
        <f t="shared" si="3"/>
        <v>1034</v>
      </c>
      <c r="T38" s="45">
        <f t="shared" si="3"/>
        <v>1375</v>
      </c>
      <c r="U38" s="46">
        <f t="shared" si="4"/>
        <v>1.5999999999767169</v>
      </c>
      <c r="V38" s="46">
        <f t="shared" si="4"/>
        <v>17.300000000046566</v>
      </c>
      <c r="W38" s="46">
        <f t="shared" si="4"/>
        <v>1231.8000000000029</v>
      </c>
      <c r="X38" s="46">
        <f t="shared" si="2"/>
        <v>1957.1000000000349</v>
      </c>
    </row>
    <row r="39" spans="1:24" ht="20" customHeight="1" x14ac:dyDescent="0.35">
      <c r="A39" s="28" t="s">
        <v>181</v>
      </c>
      <c r="B39" s="29">
        <v>404509.2</v>
      </c>
      <c r="C39" s="28">
        <v>219206.2</v>
      </c>
      <c r="D39" s="30">
        <v>43384.800000000003</v>
      </c>
      <c r="E39" s="30">
        <v>364829.2</v>
      </c>
      <c r="F39" s="30">
        <v>245121.1</v>
      </c>
      <c r="G39" s="30">
        <v>518451</v>
      </c>
      <c r="H39" s="31">
        <v>307032.90000000002</v>
      </c>
      <c r="I39" s="32">
        <v>704726.3</v>
      </c>
      <c r="J39" s="33">
        <v>1423627</v>
      </c>
      <c r="L39" s="45">
        <f t="shared" ref="L39" si="10">IFERROR(B40-B39,0)</f>
        <v>0</v>
      </c>
      <c r="M39" s="45">
        <f t="shared" ref="M39" si="11">IFERROR(C40-C39,0)</f>
        <v>0</v>
      </c>
      <c r="N39" s="45">
        <f t="shared" ref="N39" si="12">IFERROR(D40-D39,0)</f>
        <v>289.79999999999563</v>
      </c>
      <c r="O39" s="45">
        <f t="shared" ref="O39" si="13">IFERROR(E40-E39,0)</f>
        <v>358.59999999997672</v>
      </c>
      <c r="P39" s="45">
        <f t="shared" ref="P39" si="14">IFERROR(F40-F39,0)</f>
        <v>250</v>
      </c>
      <c r="Q39" s="45">
        <f t="shared" ref="Q39" si="15">IFERROR(G40-G39,0)</f>
        <v>2.5999999999767169</v>
      </c>
      <c r="R39" s="45">
        <f t="shared" ref="R39" si="16">IFERROR(H40-H39,0)</f>
        <v>17.599999999976717</v>
      </c>
      <c r="S39" s="45">
        <f t="shared" ref="S39" si="17">IFERROR(I40-I39,0)</f>
        <v>1156.5</v>
      </c>
      <c r="T39" s="45">
        <f t="shared" ref="T39" si="18">IFERROR(J40-J39,0)</f>
        <v>1512</v>
      </c>
      <c r="U39" s="46">
        <f t="shared" ref="U39" si="19">L39+Q39</f>
        <v>2.5999999999767169</v>
      </c>
      <c r="V39" s="46">
        <f t="shared" ref="V39" si="20">M39+R39</f>
        <v>17.599999999976717</v>
      </c>
      <c r="W39" s="46">
        <f t="shared" ref="W39" si="21">N39+S39</f>
        <v>1446.2999999999956</v>
      </c>
      <c r="X39" s="46">
        <f t="shared" ref="X39" si="22">O39+P39+T39</f>
        <v>2120.5999999999767</v>
      </c>
    </row>
    <row r="40" spans="1:24" ht="20" customHeight="1" x14ac:dyDescent="0.35">
      <c r="A40" s="55" t="s">
        <v>184</v>
      </c>
      <c r="B40" s="29">
        <v>404509.2</v>
      </c>
      <c r="C40" s="28">
        <v>219206.2</v>
      </c>
      <c r="D40" s="30">
        <v>43674.6</v>
      </c>
      <c r="E40" s="30">
        <v>365187.8</v>
      </c>
      <c r="F40" s="30">
        <v>245371.1</v>
      </c>
      <c r="G40" s="30">
        <v>518453.6</v>
      </c>
      <c r="H40" s="31">
        <v>307050.5</v>
      </c>
      <c r="I40" s="32">
        <v>705882.8</v>
      </c>
      <c r="J40" s="33">
        <v>1425139</v>
      </c>
      <c r="L40" s="45">
        <f t="shared" si="3"/>
        <v>-404509.2</v>
      </c>
      <c r="M40" s="45">
        <f t="shared" si="3"/>
        <v>-219206.2</v>
      </c>
      <c r="N40" s="45">
        <f t="shared" si="3"/>
        <v>-43674.6</v>
      </c>
      <c r="O40" s="45">
        <f t="shared" si="3"/>
        <v>-365187.8</v>
      </c>
      <c r="P40" s="45">
        <f t="shared" si="3"/>
        <v>-245371.1</v>
      </c>
      <c r="Q40" s="45">
        <f t="shared" si="3"/>
        <v>-518453.6</v>
      </c>
      <c r="R40" s="45">
        <f t="shared" si="3"/>
        <v>-307050.5</v>
      </c>
      <c r="S40" s="45">
        <f t="shared" si="3"/>
        <v>-705882.8</v>
      </c>
      <c r="T40" s="45">
        <f t="shared" si="3"/>
        <v>-1425139</v>
      </c>
      <c r="U40" s="46">
        <f t="shared" si="4"/>
        <v>-922962.8</v>
      </c>
      <c r="V40" s="46">
        <f t="shared" si="4"/>
        <v>-526256.69999999995</v>
      </c>
      <c r="W40" s="46">
        <f t="shared" si="4"/>
        <v>-749557.4</v>
      </c>
      <c r="X40" s="46">
        <f t="shared" si="2"/>
        <v>-2035697.9</v>
      </c>
    </row>
    <row r="41" spans="1:24" ht="20" customHeight="1" x14ac:dyDescent="0.35">
      <c r="A41" s="28"/>
      <c r="B41" s="29"/>
      <c r="C41" s="28"/>
      <c r="D41" s="30"/>
      <c r="E41" s="30"/>
      <c r="F41" s="30"/>
      <c r="G41" s="30"/>
      <c r="H41" s="31"/>
      <c r="I41" s="32"/>
      <c r="J41" s="33"/>
      <c r="L41" s="45">
        <f t="shared" si="3"/>
        <v>0</v>
      </c>
      <c r="M41" s="45">
        <f t="shared" si="3"/>
        <v>0</v>
      </c>
      <c r="N41" s="45">
        <f t="shared" si="3"/>
        <v>0</v>
      </c>
      <c r="O41" s="45">
        <f t="shared" si="3"/>
        <v>0</v>
      </c>
      <c r="P41" s="45">
        <f t="shared" si="3"/>
        <v>0</v>
      </c>
      <c r="Q41" s="45">
        <f t="shared" si="3"/>
        <v>0</v>
      </c>
      <c r="R41" s="45">
        <f t="shared" si="3"/>
        <v>0</v>
      </c>
      <c r="S41" s="45">
        <f t="shared" si="3"/>
        <v>0</v>
      </c>
      <c r="T41" s="45">
        <f t="shared" si="3"/>
        <v>0</v>
      </c>
      <c r="U41" s="46">
        <f t="shared" si="4"/>
        <v>0</v>
      </c>
      <c r="V41" s="46">
        <f t="shared" si="4"/>
        <v>0</v>
      </c>
      <c r="W41" s="46">
        <f t="shared" si="4"/>
        <v>0</v>
      </c>
      <c r="X41" s="46">
        <f t="shared" si="2"/>
        <v>0</v>
      </c>
    </row>
    <row r="42" spans="1:24" ht="20" customHeight="1" x14ac:dyDescent="0.35">
      <c r="A42" s="28"/>
      <c r="B42" s="29"/>
      <c r="C42" s="28"/>
      <c r="D42" s="30"/>
      <c r="E42" s="30"/>
      <c r="F42" s="30"/>
      <c r="G42" s="30"/>
      <c r="H42" s="31"/>
      <c r="I42" s="32"/>
      <c r="J42" s="33"/>
      <c r="L42" s="45">
        <f t="shared" si="3"/>
        <v>0</v>
      </c>
      <c r="M42" s="45">
        <f t="shared" si="3"/>
        <v>0</v>
      </c>
      <c r="N42" s="45">
        <f t="shared" si="3"/>
        <v>0</v>
      </c>
      <c r="O42" s="45">
        <f t="shared" si="3"/>
        <v>0</v>
      </c>
      <c r="P42" s="45">
        <f t="shared" si="3"/>
        <v>0</v>
      </c>
      <c r="Q42" s="45">
        <f t="shared" si="3"/>
        <v>0</v>
      </c>
      <c r="R42" s="45">
        <f t="shared" si="3"/>
        <v>0</v>
      </c>
      <c r="S42" s="45">
        <f t="shared" si="3"/>
        <v>0</v>
      </c>
      <c r="T42" s="45">
        <f t="shared" si="3"/>
        <v>0</v>
      </c>
      <c r="U42" s="46">
        <f t="shared" si="4"/>
        <v>0</v>
      </c>
      <c r="V42" s="46">
        <f t="shared" si="4"/>
        <v>0</v>
      </c>
      <c r="W42" s="46">
        <f t="shared" si="4"/>
        <v>0</v>
      </c>
      <c r="X42" s="46">
        <f t="shared" si="2"/>
        <v>0</v>
      </c>
    </row>
    <row r="43" spans="1:24" ht="20" customHeight="1" x14ac:dyDescent="0.35">
      <c r="A43" s="28"/>
      <c r="B43" s="29"/>
      <c r="C43" s="28"/>
      <c r="D43" s="30"/>
      <c r="E43" s="30"/>
      <c r="F43" s="30"/>
      <c r="G43" s="30"/>
      <c r="H43" s="31"/>
      <c r="I43" s="32"/>
      <c r="J43" s="33"/>
      <c r="L43" s="45">
        <f t="shared" si="3"/>
        <v>0</v>
      </c>
      <c r="M43" s="45">
        <f t="shared" si="3"/>
        <v>0</v>
      </c>
      <c r="N43" s="45">
        <f t="shared" si="3"/>
        <v>0</v>
      </c>
      <c r="O43" s="45">
        <f t="shared" si="3"/>
        <v>0</v>
      </c>
      <c r="P43" s="45">
        <f t="shared" si="3"/>
        <v>0</v>
      </c>
      <c r="Q43" s="45">
        <f t="shared" si="3"/>
        <v>0</v>
      </c>
      <c r="R43" s="45">
        <f t="shared" si="3"/>
        <v>0</v>
      </c>
      <c r="S43" s="45">
        <f t="shared" si="3"/>
        <v>0</v>
      </c>
      <c r="T43" s="45">
        <f t="shared" si="3"/>
        <v>0</v>
      </c>
      <c r="U43" s="46">
        <f t="shared" si="4"/>
        <v>0</v>
      </c>
      <c r="V43" s="46">
        <f t="shared" si="4"/>
        <v>0</v>
      </c>
      <c r="W43" s="46">
        <f t="shared" si="4"/>
        <v>0</v>
      </c>
      <c r="X43" s="46">
        <f t="shared" si="2"/>
        <v>0</v>
      </c>
    </row>
    <row r="44" spans="1:24" ht="42.75" customHeight="1" x14ac:dyDescent="0.35">
      <c r="A44" s="36"/>
      <c r="B44" s="37"/>
      <c r="C44" s="36"/>
      <c r="D44" s="38"/>
      <c r="E44" s="38"/>
      <c r="F44" s="38"/>
      <c r="G44" s="38"/>
      <c r="H44" s="39"/>
      <c r="I44" s="40"/>
      <c r="J44" s="41"/>
      <c r="L44" s="45">
        <f t="shared" ref="L44:T72" si="23">IFERROR(B45-B44,0)</f>
        <v>0</v>
      </c>
      <c r="M44" s="45">
        <f t="shared" si="23"/>
        <v>0</v>
      </c>
      <c r="N44" s="45">
        <f t="shared" si="23"/>
        <v>0</v>
      </c>
      <c r="O44" s="45">
        <f t="shared" si="23"/>
        <v>0</v>
      </c>
      <c r="P44" s="45">
        <f t="shared" si="23"/>
        <v>0</v>
      </c>
      <c r="Q44" s="45">
        <f t="shared" si="23"/>
        <v>0</v>
      </c>
      <c r="R44" s="45">
        <f t="shared" si="23"/>
        <v>0</v>
      </c>
      <c r="S44" s="45">
        <f t="shared" si="23"/>
        <v>0</v>
      </c>
      <c r="T44" s="45">
        <f t="shared" si="23"/>
        <v>0</v>
      </c>
      <c r="U44" s="46">
        <f t="shared" ref="U44:W107" si="24">L44+Q44</f>
        <v>0</v>
      </c>
      <c r="V44" s="46">
        <f t="shared" si="24"/>
        <v>0</v>
      </c>
      <c r="W44" s="46">
        <f t="shared" si="24"/>
        <v>0</v>
      </c>
      <c r="X44" s="46">
        <f t="shared" si="2"/>
        <v>0</v>
      </c>
    </row>
    <row r="45" spans="1:24" ht="20" customHeight="1" x14ac:dyDescent="0.35">
      <c r="A45" s="28"/>
      <c r="B45" s="29"/>
      <c r="C45" s="28"/>
      <c r="D45" s="30"/>
      <c r="E45" s="30"/>
      <c r="F45" s="30"/>
      <c r="G45" s="30"/>
      <c r="H45" s="28"/>
      <c r="I45" s="30"/>
      <c r="J45" s="33"/>
      <c r="L45" s="45">
        <f t="shared" si="23"/>
        <v>0</v>
      </c>
      <c r="M45" s="45">
        <f t="shared" si="23"/>
        <v>0</v>
      </c>
      <c r="N45" s="45">
        <f t="shared" si="23"/>
        <v>0</v>
      </c>
      <c r="O45" s="45">
        <f t="shared" si="23"/>
        <v>0</v>
      </c>
      <c r="P45" s="45">
        <f t="shared" si="23"/>
        <v>0</v>
      </c>
      <c r="Q45" s="45">
        <f t="shared" si="23"/>
        <v>0</v>
      </c>
      <c r="R45" s="45">
        <f t="shared" si="23"/>
        <v>0</v>
      </c>
      <c r="S45" s="45">
        <f t="shared" si="23"/>
        <v>0</v>
      </c>
      <c r="T45" s="45">
        <f t="shared" si="23"/>
        <v>0</v>
      </c>
      <c r="U45" s="46">
        <f t="shared" si="24"/>
        <v>0</v>
      </c>
      <c r="V45" s="46">
        <f t="shared" si="24"/>
        <v>0</v>
      </c>
      <c r="W45" s="46">
        <f t="shared" si="24"/>
        <v>0</v>
      </c>
      <c r="X45" s="46">
        <f t="shared" si="2"/>
        <v>0</v>
      </c>
    </row>
    <row r="46" spans="1:24" ht="20" customHeight="1" x14ac:dyDescent="0.35">
      <c r="A46" s="28"/>
      <c r="B46" s="29"/>
      <c r="C46" s="28"/>
      <c r="D46" s="30"/>
      <c r="E46" s="30"/>
      <c r="F46" s="30"/>
      <c r="G46" s="30"/>
      <c r="H46" s="28"/>
      <c r="I46" s="30"/>
      <c r="J46" s="33"/>
      <c r="L46" s="45">
        <f t="shared" si="23"/>
        <v>0</v>
      </c>
      <c r="M46" s="45">
        <f t="shared" si="23"/>
        <v>0</v>
      </c>
      <c r="N46" s="45">
        <f t="shared" si="23"/>
        <v>0</v>
      </c>
      <c r="O46" s="45">
        <f t="shared" si="23"/>
        <v>0</v>
      </c>
      <c r="P46" s="45">
        <f t="shared" si="23"/>
        <v>0</v>
      </c>
      <c r="Q46" s="45">
        <f t="shared" si="23"/>
        <v>0</v>
      </c>
      <c r="R46" s="45">
        <f t="shared" si="23"/>
        <v>0</v>
      </c>
      <c r="S46" s="45">
        <f t="shared" si="23"/>
        <v>0</v>
      </c>
      <c r="T46" s="45">
        <f t="shared" si="23"/>
        <v>0</v>
      </c>
      <c r="U46" s="46">
        <f t="shared" si="24"/>
        <v>0</v>
      </c>
      <c r="V46" s="46">
        <f t="shared" si="24"/>
        <v>0</v>
      </c>
      <c r="W46" s="46">
        <f t="shared" si="24"/>
        <v>0</v>
      </c>
      <c r="X46" s="46">
        <f t="shared" si="2"/>
        <v>0</v>
      </c>
    </row>
    <row r="47" spans="1:24" ht="20" customHeight="1" x14ac:dyDescent="0.35">
      <c r="A47" s="28"/>
      <c r="B47" s="29"/>
      <c r="C47" s="28"/>
      <c r="D47" s="30"/>
      <c r="E47" s="30"/>
      <c r="F47" s="30"/>
      <c r="G47" s="30"/>
      <c r="H47" s="28"/>
      <c r="I47" s="30"/>
      <c r="J47" s="33"/>
      <c r="L47" s="45">
        <f t="shared" si="23"/>
        <v>0</v>
      </c>
      <c r="M47" s="45">
        <f t="shared" si="23"/>
        <v>0</v>
      </c>
      <c r="N47" s="45">
        <f t="shared" si="23"/>
        <v>0</v>
      </c>
      <c r="O47" s="45">
        <f t="shared" si="23"/>
        <v>0</v>
      </c>
      <c r="P47" s="45">
        <f t="shared" si="23"/>
        <v>0</v>
      </c>
      <c r="Q47" s="45">
        <f t="shared" si="23"/>
        <v>0</v>
      </c>
      <c r="R47" s="45">
        <f t="shared" si="23"/>
        <v>0</v>
      </c>
      <c r="S47" s="45">
        <f t="shared" si="23"/>
        <v>0</v>
      </c>
      <c r="T47" s="45">
        <f t="shared" si="23"/>
        <v>0</v>
      </c>
      <c r="U47" s="46">
        <f t="shared" si="24"/>
        <v>0</v>
      </c>
      <c r="V47" s="46">
        <f t="shared" si="24"/>
        <v>0</v>
      </c>
      <c r="W47" s="46">
        <f t="shared" si="24"/>
        <v>0</v>
      </c>
      <c r="X47" s="46">
        <f t="shared" si="2"/>
        <v>0</v>
      </c>
    </row>
    <row r="48" spans="1:24" ht="20" customHeight="1" x14ac:dyDescent="0.35">
      <c r="A48" s="28"/>
      <c r="B48" s="29"/>
      <c r="C48" s="28"/>
      <c r="D48" s="30"/>
      <c r="E48" s="30"/>
      <c r="F48" s="30"/>
      <c r="G48" s="30"/>
      <c r="H48" s="28"/>
      <c r="I48" s="30"/>
      <c r="J48" s="33"/>
      <c r="L48" s="45">
        <f t="shared" si="23"/>
        <v>0</v>
      </c>
      <c r="M48" s="45">
        <f t="shared" si="23"/>
        <v>0</v>
      </c>
      <c r="N48" s="45">
        <f t="shared" si="23"/>
        <v>0</v>
      </c>
      <c r="O48" s="45">
        <f t="shared" si="23"/>
        <v>0</v>
      </c>
      <c r="P48" s="45">
        <f t="shared" si="23"/>
        <v>0</v>
      </c>
      <c r="Q48" s="45">
        <f t="shared" si="23"/>
        <v>0</v>
      </c>
      <c r="R48" s="45">
        <f t="shared" si="23"/>
        <v>0</v>
      </c>
      <c r="S48" s="45">
        <f t="shared" si="23"/>
        <v>0</v>
      </c>
      <c r="T48" s="45">
        <f t="shared" si="23"/>
        <v>0</v>
      </c>
      <c r="U48" s="46">
        <f t="shared" si="24"/>
        <v>0</v>
      </c>
      <c r="V48" s="46">
        <f t="shared" si="24"/>
        <v>0</v>
      </c>
      <c r="W48" s="46">
        <f t="shared" si="24"/>
        <v>0</v>
      </c>
      <c r="X48" s="46">
        <f t="shared" si="2"/>
        <v>0</v>
      </c>
    </row>
    <row r="49" spans="1:24" ht="20" customHeight="1" x14ac:dyDescent="0.35">
      <c r="A49" s="28"/>
      <c r="B49" s="29"/>
      <c r="C49" s="28"/>
      <c r="D49" s="30"/>
      <c r="E49" s="30"/>
      <c r="F49" s="30"/>
      <c r="G49" s="30"/>
      <c r="H49" s="28"/>
      <c r="I49" s="30"/>
      <c r="J49" s="33"/>
      <c r="L49" s="45">
        <f t="shared" si="23"/>
        <v>0</v>
      </c>
      <c r="M49" s="45">
        <f t="shared" si="23"/>
        <v>0</v>
      </c>
      <c r="N49" s="45">
        <f t="shared" si="23"/>
        <v>0</v>
      </c>
      <c r="O49" s="45">
        <f t="shared" si="23"/>
        <v>0</v>
      </c>
      <c r="P49" s="45">
        <f t="shared" si="23"/>
        <v>0</v>
      </c>
      <c r="Q49" s="45">
        <f t="shared" si="23"/>
        <v>0</v>
      </c>
      <c r="R49" s="45">
        <f t="shared" si="23"/>
        <v>0</v>
      </c>
      <c r="S49" s="45">
        <f t="shared" si="23"/>
        <v>0</v>
      </c>
      <c r="T49" s="45">
        <f t="shared" si="23"/>
        <v>0</v>
      </c>
      <c r="U49" s="46">
        <f t="shared" si="24"/>
        <v>0</v>
      </c>
      <c r="V49" s="46">
        <f t="shared" si="24"/>
        <v>0</v>
      </c>
      <c r="W49" s="46">
        <f t="shared" si="24"/>
        <v>0</v>
      </c>
      <c r="X49" s="46">
        <f t="shared" si="2"/>
        <v>0</v>
      </c>
    </row>
    <row r="50" spans="1:24" ht="20" customHeight="1" x14ac:dyDescent="0.35">
      <c r="A50" s="28"/>
      <c r="B50" s="29"/>
      <c r="C50" s="28"/>
      <c r="D50" s="30"/>
      <c r="E50" s="30"/>
      <c r="F50" s="30"/>
      <c r="G50" s="30"/>
      <c r="H50" s="28"/>
      <c r="I50" s="30"/>
      <c r="J50" s="33"/>
      <c r="L50" s="45">
        <f t="shared" si="23"/>
        <v>0</v>
      </c>
      <c r="M50" s="45">
        <f t="shared" si="23"/>
        <v>0</v>
      </c>
      <c r="N50" s="45">
        <f t="shared" si="23"/>
        <v>0</v>
      </c>
      <c r="O50" s="45">
        <f t="shared" si="23"/>
        <v>0</v>
      </c>
      <c r="P50" s="45">
        <f t="shared" si="23"/>
        <v>0</v>
      </c>
      <c r="Q50" s="45">
        <f t="shared" si="23"/>
        <v>0</v>
      </c>
      <c r="R50" s="45">
        <f t="shared" si="23"/>
        <v>0</v>
      </c>
      <c r="S50" s="45">
        <f t="shared" si="23"/>
        <v>0</v>
      </c>
      <c r="T50" s="45">
        <f t="shared" si="23"/>
        <v>0</v>
      </c>
      <c r="U50" s="46">
        <f t="shared" si="24"/>
        <v>0</v>
      </c>
      <c r="V50" s="46">
        <f t="shared" si="24"/>
        <v>0</v>
      </c>
      <c r="W50" s="46">
        <f t="shared" si="24"/>
        <v>0</v>
      </c>
      <c r="X50" s="46">
        <f t="shared" si="2"/>
        <v>0</v>
      </c>
    </row>
    <row r="51" spans="1:24" ht="20" customHeight="1" x14ac:dyDescent="0.35">
      <c r="A51" s="28"/>
      <c r="B51" s="29"/>
      <c r="C51" s="28"/>
      <c r="D51" s="30"/>
      <c r="E51" s="30"/>
      <c r="F51" s="30"/>
      <c r="G51" s="30"/>
      <c r="H51" s="28"/>
      <c r="I51" s="30"/>
      <c r="J51" s="33"/>
      <c r="L51" s="45">
        <f t="shared" si="23"/>
        <v>0</v>
      </c>
      <c r="M51" s="45">
        <f t="shared" si="23"/>
        <v>0</v>
      </c>
      <c r="N51" s="45">
        <f t="shared" si="23"/>
        <v>0</v>
      </c>
      <c r="O51" s="45">
        <f t="shared" si="23"/>
        <v>0</v>
      </c>
      <c r="P51" s="45">
        <f t="shared" si="23"/>
        <v>0</v>
      </c>
      <c r="Q51" s="45">
        <f t="shared" si="23"/>
        <v>0</v>
      </c>
      <c r="R51" s="45">
        <f t="shared" si="23"/>
        <v>0</v>
      </c>
      <c r="S51" s="45">
        <f t="shared" si="23"/>
        <v>0</v>
      </c>
      <c r="T51" s="45">
        <f t="shared" si="23"/>
        <v>0</v>
      </c>
      <c r="U51" s="46">
        <f t="shared" si="24"/>
        <v>0</v>
      </c>
      <c r="V51" s="46">
        <f t="shared" si="24"/>
        <v>0</v>
      </c>
      <c r="W51" s="46">
        <f t="shared" si="24"/>
        <v>0</v>
      </c>
      <c r="X51" s="46">
        <f t="shared" si="2"/>
        <v>0</v>
      </c>
    </row>
    <row r="52" spans="1:24" ht="20" customHeight="1" x14ac:dyDescent="0.35">
      <c r="A52" s="28"/>
      <c r="B52" s="29"/>
      <c r="C52" s="28"/>
      <c r="D52" s="30"/>
      <c r="E52" s="30"/>
      <c r="F52" s="30"/>
      <c r="G52" s="30"/>
      <c r="H52" s="28"/>
      <c r="I52" s="30"/>
      <c r="J52" s="33"/>
      <c r="L52" s="45">
        <f t="shared" si="23"/>
        <v>0</v>
      </c>
      <c r="M52" s="45">
        <f t="shared" si="23"/>
        <v>0</v>
      </c>
      <c r="N52" s="45">
        <f t="shared" si="23"/>
        <v>0</v>
      </c>
      <c r="O52" s="45">
        <f t="shared" si="23"/>
        <v>0</v>
      </c>
      <c r="P52" s="45">
        <f t="shared" si="23"/>
        <v>0</v>
      </c>
      <c r="Q52" s="45">
        <f t="shared" si="23"/>
        <v>0</v>
      </c>
      <c r="R52" s="45">
        <f t="shared" si="23"/>
        <v>0</v>
      </c>
      <c r="S52" s="45">
        <f t="shared" si="23"/>
        <v>0</v>
      </c>
      <c r="T52" s="45">
        <f t="shared" si="23"/>
        <v>0</v>
      </c>
      <c r="U52" s="46">
        <f t="shared" si="24"/>
        <v>0</v>
      </c>
      <c r="V52" s="46">
        <f t="shared" si="24"/>
        <v>0</v>
      </c>
      <c r="W52" s="46">
        <f t="shared" si="24"/>
        <v>0</v>
      </c>
      <c r="X52" s="46">
        <f t="shared" si="2"/>
        <v>0</v>
      </c>
    </row>
    <row r="53" spans="1:24" ht="20" customHeight="1" x14ac:dyDescent="0.35">
      <c r="A53" s="28"/>
      <c r="B53" s="29"/>
      <c r="C53" s="28"/>
      <c r="D53" s="30"/>
      <c r="E53" s="30"/>
      <c r="F53" s="30"/>
      <c r="G53" s="30"/>
      <c r="H53" s="28"/>
      <c r="I53" s="30"/>
      <c r="J53" s="33"/>
      <c r="L53" s="45">
        <f t="shared" si="23"/>
        <v>0</v>
      </c>
      <c r="M53" s="45">
        <f t="shared" si="23"/>
        <v>0</v>
      </c>
      <c r="N53" s="45">
        <f t="shared" si="23"/>
        <v>0</v>
      </c>
      <c r="O53" s="45">
        <f t="shared" si="23"/>
        <v>0</v>
      </c>
      <c r="P53" s="45">
        <f t="shared" si="23"/>
        <v>0</v>
      </c>
      <c r="Q53" s="45">
        <f t="shared" si="23"/>
        <v>0</v>
      </c>
      <c r="R53" s="45">
        <f t="shared" si="23"/>
        <v>0</v>
      </c>
      <c r="S53" s="45">
        <f t="shared" si="23"/>
        <v>0</v>
      </c>
      <c r="T53" s="45">
        <f t="shared" si="23"/>
        <v>0</v>
      </c>
      <c r="U53" s="46">
        <f t="shared" si="24"/>
        <v>0</v>
      </c>
      <c r="V53" s="46">
        <f t="shared" si="24"/>
        <v>0</v>
      </c>
      <c r="W53" s="46">
        <f t="shared" si="24"/>
        <v>0</v>
      </c>
      <c r="X53" s="46">
        <f t="shared" si="2"/>
        <v>0</v>
      </c>
    </row>
    <row r="54" spans="1:24" ht="20" customHeight="1" x14ac:dyDescent="0.35">
      <c r="A54" s="28"/>
      <c r="B54" s="29"/>
      <c r="C54" s="28"/>
      <c r="D54" s="30"/>
      <c r="E54" s="30"/>
      <c r="F54" s="30"/>
      <c r="G54" s="30"/>
      <c r="H54" s="28"/>
      <c r="I54" s="30"/>
      <c r="J54" s="33"/>
      <c r="L54" s="45">
        <f t="shared" si="23"/>
        <v>0</v>
      </c>
      <c r="M54" s="45">
        <f t="shared" si="23"/>
        <v>0</v>
      </c>
      <c r="N54" s="45">
        <f t="shared" si="23"/>
        <v>0</v>
      </c>
      <c r="O54" s="45">
        <f t="shared" si="23"/>
        <v>0</v>
      </c>
      <c r="P54" s="45">
        <f t="shared" si="23"/>
        <v>0</v>
      </c>
      <c r="Q54" s="45">
        <f t="shared" si="23"/>
        <v>0</v>
      </c>
      <c r="R54" s="45">
        <f t="shared" si="23"/>
        <v>0</v>
      </c>
      <c r="S54" s="45">
        <f t="shared" si="23"/>
        <v>0</v>
      </c>
      <c r="T54" s="45">
        <f t="shared" si="23"/>
        <v>0</v>
      </c>
      <c r="U54" s="46">
        <f t="shared" si="24"/>
        <v>0</v>
      </c>
      <c r="V54" s="46">
        <f t="shared" si="24"/>
        <v>0</v>
      </c>
      <c r="W54" s="46">
        <f t="shared" si="24"/>
        <v>0</v>
      </c>
      <c r="X54" s="46">
        <f t="shared" si="2"/>
        <v>0</v>
      </c>
    </row>
    <row r="55" spans="1:24" ht="20" customHeight="1" x14ac:dyDescent="0.35">
      <c r="A55" s="28"/>
      <c r="B55" s="29"/>
      <c r="C55" s="28"/>
      <c r="D55" s="30"/>
      <c r="E55" s="30"/>
      <c r="F55" s="30"/>
      <c r="G55" s="30"/>
      <c r="H55" s="28"/>
      <c r="I55" s="30"/>
      <c r="J55" s="33"/>
      <c r="L55" s="45">
        <f t="shared" si="23"/>
        <v>0</v>
      </c>
      <c r="M55" s="45">
        <f t="shared" si="23"/>
        <v>0</v>
      </c>
      <c r="N55" s="45">
        <f t="shared" si="23"/>
        <v>0</v>
      </c>
      <c r="O55" s="45">
        <f t="shared" si="23"/>
        <v>0</v>
      </c>
      <c r="P55" s="45">
        <f t="shared" si="23"/>
        <v>0</v>
      </c>
      <c r="Q55" s="45">
        <f t="shared" si="23"/>
        <v>0</v>
      </c>
      <c r="R55" s="45">
        <f t="shared" si="23"/>
        <v>0</v>
      </c>
      <c r="S55" s="45">
        <f t="shared" si="23"/>
        <v>0</v>
      </c>
      <c r="T55" s="45">
        <f t="shared" si="23"/>
        <v>0</v>
      </c>
      <c r="U55" s="46">
        <f t="shared" si="24"/>
        <v>0</v>
      </c>
      <c r="V55" s="46">
        <f t="shared" si="24"/>
        <v>0</v>
      </c>
      <c r="W55" s="46">
        <f t="shared" si="24"/>
        <v>0</v>
      </c>
      <c r="X55" s="46">
        <f t="shared" si="2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23"/>
        <v>0</v>
      </c>
      <c r="M56" s="45">
        <f t="shared" si="23"/>
        <v>0</v>
      </c>
      <c r="N56" s="45">
        <f t="shared" si="23"/>
        <v>0</v>
      </c>
      <c r="O56" s="45">
        <f t="shared" si="23"/>
        <v>0</v>
      </c>
      <c r="P56" s="45">
        <f t="shared" si="23"/>
        <v>0</v>
      </c>
      <c r="Q56" s="45">
        <f t="shared" si="23"/>
        <v>0</v>
      </c>
      <c r="R56" s="45">
        <f t="shared" si="23"/>
        <v>0</v>
      </c>
      <c r="S56" s="45">
        <f t="shared" si="23"/>
        <v>0</v>
      </c>
      <c r="T56" s="45">
        <f t="shared" si="23"/>
        <v>0</v>
      </c>
      <c r="U56" s="46">
        <f t="shared" si="24"/>
        <v>0</v>
      </c>
      <c r="V56" s="46">
        <f t="shared" si="24"/>
        <v>0</v>
      </c>
      <c r="W56" s="46">
        <f t="shared" si="24"/>
        <v>0</v>
      </c>
      <c r="X56" s="46">
        <f t="shared" si="2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23"/>
        <v>0</v>
      </c>
      <c r="M57" s="45">
        <f t="shared" si="23"/>
        <v>0</v>
      </c>
      <c r="N57" s="45">
        <f t="shared" si="23"/>
        <v>0</v>
      </c>
      <c r="O57" s="45">
        <f t="shared" si="23"/>
        <v>0</v>
      </c>
      <c r="P57" s="45">
        <f t="shared" si="23"/>
        <v>0</v>
      </c>
      <c r="Q57" s="45">
        <f t="shared" si="23"/>
        <v>0</v>
      </c>
      <c r="R57" s="45">
        <f t="shared" si="23"/>
        <v>0</v>
      </c>
      <c r="S57" s="45">
        <f t="shared" si="23"/>
        <v>0</v>
      </c>
      <c r="T57" s="45">
        <f t="shared" si="23"/>
        <v>0</v>
      </c>
      <c r="U57" s="46">
        <f t="shared" si="24"/>
        <v>0</v>
      </c>
      <c r="V57" s="46">
        <f t="shared" si="24"/>
        <v>0</v>
      </c>
      <c r="W57" s="46">
        <f t="shared" si="24"/>
        <v>0</v>
      </c>
      <c r="X57" s="46">
        <f t="shared" si="2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23"/>
        <v>0</v>
      </c>
      <c r="M58" s="45">
        <f t="shared" si="23"/>
        <v>0</v>
      </c>
      <c r="N58" s="45">
        <f t="shared" si="23"/>
        <v>0</v>
      </c>
      <c r="O58" s="45">
        <f t="shared" si="23"/>
        <v>0</v>
      </c>
      <c r="P58" s="45">
        <f t="shared" si="23"/>
        <v>0</v>
      </c>
      <c r="Q58" s="45">
        <f t="shared" si="23"/>
        <v>0</v>
      </c>
      <c r="R58" s="45">
        <f t="shared" si="23"/>
        <v>0</v>
      </c>
      <c r="S58" s="45">
        <f t="shared" si="23"/>
        <v>0</v>
      </c>
      <c r="T58" s="45">
        <f t="shared" si="23"/>
        <v>0</v>
      </c>
      <c r="U58" s="46">
        <f t="shared" si="24"/>
        <v>0</v>
      </c>
      <c r="V58" s="46">
        <f t="shared" si="24"/>
        <v>0</v>
      </c>
      <c r="W58" s="46">
        <f t="shared" si="24"/>
        <v>0</v>
      </c>
      <c r="X58" s="46">
        <f t="shared" si="2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23"/>
        <v>0</v>
      </c>
      <c r="M59" s="45">
        <f t="shared" si="23"/>
        <v>0</v>
      </c>
      <c r="N59" s="45">
        <f t="shared" si="23"/>
        <v>0</v>
      </c>
      <c r="O59" s="45">
        <f t="shared" si="23"/>
        <v>0</v>
      </c>
      <c r="P59" s="45">
        <f t="shared" si="23"/>
        <v>0</v>
      </c>
      <c r="Q59" s="45">
        <f t="shared" si="23"/>
        <v>0</v>
      </c>
      <c r="R59" s="45">
        <f t="shared" si="23"/>
        <v>0</v>
      </c>
      <c r="S59" s="45">
        <f t="shared" si="23"/>
        <v>0</v>
      </c>
      <c r="T59" s="45">
        <f t="shared" si="23"/>
        <v>0</v>
      </c>
      <c r="U59" s="46">
        <f t="shared" si="24"/>
        <v>0</v>
      </c>
      <c r="V59" s="46">
        <f t="shared" si="24"/>
        <v>0</v>
      </c>
      <c r="W59" s="46">
        <f t="shared" si="24"/>
        <v>0</v>
      </c>
      <c r="X59" s="46">
        <f t="shared" si="2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23"/>
        <v>0</v>
      </c>
      <c r="M60" s="45">
        <f t="shared" si="23"/>
        <v>0</v>
      </c>
      <c r="N60" s="45">
        <f t="shared" si="23"/>
        <v>0</v>
      </c>
      <c r="O60" s="45">
        <f t="shared" si="23"/>
        <v>0</v>
      </c>
      <c r="P60" s="45">
        <f t="shared" si="23"/>
        <v>0</v>
      </c>
      <c r="Q60" s="45">
        <f t="shared" si="23"/>
        <v>0</v>
      </c>
      <c r="R60" s="45">
        <f t="shared" si="23"/>
        <v>0</v>
      </c>
      <c r="S60" s="45">
        <f t="shared" si="23"/>
        <v>0</v>
      </c>
      <c r="T60" s="45">
        <f t="shared" si="23"/>
        <v>0</v>
      </c>
      <c r="U60" s="46">
        <f t="shared" si="24"/>
        <v>0</v>
      </c>
      <c r="V60" s="46">
        <f t="shared" si="24"/>
        <v>0</v>
      </c>
      <c r="W60" s="46">
        <f t="shared" si="24"/>
        <v>0</v>
      </c>
      <c r="X60" s="46">
        <f t="shared" si="2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23"/>
        <v>0</v>
      </c>
      <c r="M61" s="45">
        <f t="shared" si="23"/>
        <v>0</v>
      </c>
      <c r="N61" s="45">
        <f t="shared" si="23"/>
        <v>0</v>
      </c>
      <c r="O61" s="45">
        <f t="shared" si="23"/>
        <v>0</v>
      </c>
      <c r="P61" s="45">
        <f t="shared" si="23"/>
        <v>0</v>
      </c>
      <c r="Q61" s="45">
        <f t="shared" si="23"/>
        <v>0</v>
      </c>
      <c r="R61" s="45">
        <f t="shared" si="23"/>
        <v>0</v>
      </c>
      <c r="S61" s="45">
        <f t="shared" si="23"/>
        <v>0</v>
      </c>
      <c r="T61" s="45">
        <f t="shared" si="23"/>
        <v>0</v>
      </c>
      <c r="U61" s="46">
        <f t="shared" si="24"/>
        <v>0</v>
      </c>
      <c r="V61" s="46">
        <f t="shared" si="24"/>
        <v>0</v>
      </c>
      <c r="W61" s="46">
        <f t="shared" si="24"/>
        <v>0</v>
      </c>
      <c r="X61" s="46">
        <f t="shared" si="2"/>
        <v>0</v>
      </c>
    </row>
    <row r="62" spans="1:24" ht="16.75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23"/>
        <v>0</v>
      </c>
      <c r="M62" s="45">
        <f t="shared" si="23"/>
        <v>0</v>
      </c>
      <c r="N62" s="45">
        <f t="shared" si="23"/>
        <v>0</v>
      </c>
      <c r="O62" s="45">
        <f t="shared" si="23"/>
        <v>0</v>
      </c>
      <c r="P62" s="45">
        <f t="shared" si="23"/>
        <v>0</v>
      </c>
      <c r="Q62" s="45">
        <f t="shared" si="23"/>
        <v>0</v>
      </c>
      <c r="R62" s="45">
        <f t="shared" si="23"/>
        <v>0</v>
      </c>
      <c r="S62" s="45">
        <f t="shared" si="23"/>
        <v>0</v>
      </c>
      <c r="T62" s="45">
        <f t="shared" si="23"/>
        <v>0</v>
      </c>
      <c r="U62" s="46">
        <f t="shared" si="24"/>
        <v>0</v>
      </c>
      <c r="V62" s="46">
        <f t="shared" si="24"/>
        <v>0</v>
      </c>
      <c r="W62" s="46">
        <f t="shared" si="24"/>
        <v>0</v>
      </c>
      <c r="X62" s="46">
        <f t="shared" si="2"/>
        <v>0</v>
      </c>
    </row>
    <row r="63" spans="1:24" ht="20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23"/>
        <v>0</v>
      </c>
      <c r="M63" s="45">
        <f t="shared" si="23"/>
        <v>0</v>
      </c>
      <c r="N63" s="45">
        <f t="shared" si="23"/>
        <v>0</v>
      </c>
      <c r="O63" s="45">
        <f t="shared" si="23"/>
        <v>0</v>
      </c>
      <c r="P63" s="45">
        <f t="shared" si="23"/>
        <v>0</v>
      </c>
      <c r="Q63" s="45">
        <f t="shared" si="23"/>
        <v>0</v>
      </c>
      <c r="R63" s="45">
        <f t="shared" si="23"/>
        <v>0</v>
      </c>
      <c r="S63" s="45">
        <f t="shared" si="23"/>
        <v>0</v>
      </c>
      <c r="T63" s="45">
        <f t="shared" si="23"/>
        <v>0</v>
      </c>
      <c r="U63" s="46">
        <f t="shared" si="24"/>
        <v>0</v>
      </c>
      <c r="V63" s="46">
        <f t="shared" si="24"/>
        <v>0</v>
      </c>
      <c r="W63" s="46">
        <f t="shared" si="24"/>
        <v>0</v>
      </c>
      <c r="X63" s="46">
        <f t="shared" si="2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23"/>
        <v>0</v>
      </c>
      <c r="M64" s="45">
        <f t="shared" si="23"/>
        <v>0</v>
      </c>
      <c r="N64" s="45">
        <f t="shared" si="23"/>
        <v>0</v>
      </c>
      <c r="O64" s="45">
        <f t="shared" si="23"/>
        <v>0</v>
      </c>
      <c r="P64" s="45">
        <f t="shared" si="23"/>
        <v>0</v>
      </c>
      <c r="Q64" s="45">
        <f t="shared" si="23"/>
        <v>0</v>
      </c>
      <c r="R64" s="45">
        <f t="shared" si="23"/>
        <v>0</v>
      </c>
      <c r="S64" s="45">
        <f t="shared" si="23"/>
        <v>0</v>
      </c>
      <c r="T64" s="45">
        <f t="shared" si="23"/>
        <v>0</v>
      </c>
      <c r="U64" s="46">
        <f t="shared" si="24"/>
        <v>0</v>
      </c>
      <c r="V64" s="46">
        <f t="shared" si="24"/>
        <v>0</v>
      </c>
      <c r="W64" s="46">
        <f t="shared" si="24"/>
        <v>0</v>
      </c>
      <c r="X64" s="46">
        <f t="shared" si="2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23"/>
        <v>0</v>
      </c>
      <c r="M65" s="45">
        <f t="shared" si="23"/>
        <v>0</v>
      </c>
      <c r="N65" s="45">
        <f t="shared" si="23"/>
        <v>0</v>
      </c>
      <c r="O65" s="45">
        <f t="shared" si="23"/>
        <v>0</v>
      </c>
      <c r="P65" s="45">
        <f t="shared" si="23"/>
        <v>0</v>
      </c>
      <c r="Q65" s="45">
        <f t="shared" si="23"/>
        <v>0</v>
      </c>
      <c r="R65" s="45">
        <f t="shared" si="23"/>
        <v>0</v>
      </c>
      <c r="S65" s="45">
        <f t="shared" si="23"/>
        <v>0</v>
      </c>
      <c r="T65" s="45">
        <f t="shared" si="23"/>
        <v>0</v>
      </c>
      <c r="U65" s="46">
        <f t="shared" si="24"/>
        <v>0</v>
      </c>
      <c r="V65" s="46">
        <f t="shared" si="24"/>
        <v>0</v>
      </c>
      <c r="W65" s="46">
        <f t="shared" si="24"/>
        <v>0</v>
      </c>
      <c r="X65" s="46">
        <f t="shared" si="2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23"/>
        <v>0</v>
      </c>
      <c r="M66" s="45">
        <f t="shared" si="23"/>
        <v>0</v>
      </c>
      <c r="N66" s="45">
        <f t="shared" si="23"/>
        <v>0</v>
      </c>
      <c r="O66" s="45">
        <f t="shared" si="23"/>
        <v>0</v>
      </c>
      <c r="P66" s="45">
        <f t="shared" si="23"/>
        <v>0</v>
      </c>
      <c r="Q66" s="45">
        <f t="shared" si="23"/>
        <v>0</v>
      </c>
      <c r="R66" s="45">
        <f t="shared" si="23"/>
        <v>0</v>
      </c>
      <c r="S66" s="45">
        <f t="shared" si="23"/>
        <v>0</v>
      </c>
      <c r="T66" s="45">
        <f t="shared" si="23"/>
        <v>0</v>
      </c>
      <c r="U66" s="46">
        <f t="shared" si="24"/>
        <v>0</v>
      </c>
      <c r="V66" s="46">
        <f t="shared" si="24"/>
        <v>0</v>
      </c>
      <c r="W66" s="46">
        <f t="shared" si="24"/>
        <v>0</v>
      </c>
      <c r="X66" s="46">
        <f t="shared" si="2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23"/>
        <v>0</v>
      </c>
      <c r="M67" s="45">
        <f t="shared" si="23"/>
        <v>0</v>
      </c>
      <c r="N67" s="45">
        <f t="shared" si="23"/>
        <v>0</v>
      </c>
      <c r="O67" s="45">
        <f t="shared" si="23"/>
        <v>0</v>
      </c>
      <c r="P67" s="45">
        <f t="shared" si="23"/>
        <v>0</v>
      </c>
      <c r="Q67" s="45">
        <f t="shared" si="23"/>
        <v>0</v>
      </c>
      <c r="R67" s="45">
        <f t="shared" si="23"/>
        <v>0</v>
      </c>
      <c r="S67" s="45">
        <f t="shared" si="23"/>
        <v>0</v>
      </c>
      <c r="T67" s="45">
        <f t="shared" si="23"/>
        <v>0</v>
      </c>
      <c r="U67" s="46">
        <f t="shared" si="24"/>
        <v>0</v>
      </c>
      <c r="V67" s="46">
        <f t="shared" si="24"/>
        <v>0</v>
      </c>
      <c r="W67" s="46">
        <f t="shared" si="24"/>
        <v>0</v>
      </c>
      <c r="X67" s="46">
        <f t="shared" si="2"/>
        <v>0</v>
      </c>
    </row>
    <row r="68" spans="1:24" ht="20" customHeight="1" x14ac:dyDescent="0.35">
      <c r="A68" s="28"/>
      <c r="B68" s="29"/>
      <c r="C68" s="30"/>
      <c r="D68" s="28"/>
      <c r="E68" s="30"/>
      <c r="F68" s="30"/>
      <c r="G68" s="30"/>
      <c r="H68" s="30"/>
      <c r="I68" s="28"/>
      <c r="J68" s="33"/>
      <c r="L68" s="45">
        <f t="shared" si="23"/>
        <v>0</v>
      </c>
      <c r="M68" s="45">
        <f t="shared" si="23"/>
        <v>0</v>
      </c>
      <c r="N68" s="45">
        <f t="shared" si="23"/>
        <v>0</v>
      </c>
      <c r="O68" s="45">
        <f t="shared" si="23"/>
        <v>0</v>
      </c>
      <c r="P68" s="45">
        <f t="shared" si="23"/>
        <v>0</v>
      </c>
      <c r="Q68" s="45">
        <f t="shared" si="23"/>
        <v>0</v>
      </c>
      <c r="R68" s="45">
        <f t="shared" si="23"/>
        <v>0</v>
      </c>
      <c r="S68" s="45">
        <f t="shared" si="23"/>
        <v>0</v>
      </c>
      <c r="T68" s="45">
        <f t="shared" si="23"/>
        <v>0</v>
      </c>
      <c r="U68" s="46">
        <f t="shared" si="24"/>
        <v>0</v>
      </c>
      <c r="V68" s="46">
        <f t="shared" si="24"/>
        <v>0</v>
      </c>
      <c r="W68" s="46">
        <f t="shared" si="24"/>
        <v>0</v>
      </c>
      <c r="X68" s="46">
        <f t="shared" si="2"/>
        <v>0</v>
      </c>
    </row>
    <row r="69" spans="1:24" ht="20" customHeight="1" x14ac:dyDescent="0.35">
      <c r="A69" s="28"/>
      <c r="B69" s="29"/>
      <c r="C69" s="30"/>
      <c r="D69" s="28"/>
      <c r="E69" s="30"/>
      <c r="F69" s="30"/>
      <c r="G69" s="30"/>
      <c r="H69" s="30"/>
      <c r="I69" s="28"/>
      <c r="J69" s="33"/>
      <c r="L69" s="45">
        <f t="shared" si="23"/>
        <v>0</v>
      </c>
      <c r="M69" s="45">
        <f t="shared" si="23"/>
        <v>0</v>
      </c>
      <c r="N69" s="45">
        <f t="shared" si="23"/>
        <v>0</v>
      </c>
      <c r="O69" s="45">
        <f t="shared" si="23"/>
        <v>0</v>
      </c>
      <c r="P69" s="45">
        <f t="shared" si="23"/>
        <v>0</v>
      </c>
      <c r="Q69" s="45">
        <f t="shared" si="23"/>
        <v>0</v>
      </c>
      <c r="R69" s="45">
        <f t="shared" si="23"/>
        <v>0</v>
      </c>
      <c r="S69" s="45">
        <f t="shared" si="23"/>
        <v>0</v>
      </c>
      <c r="T69" s="45">
        <f t="shared" si="23"/>
        <v>0</v>
      </c>
      <c r="U69" s="46">
        <f t="shared" si="24"/>
        <v>0</v>
      </c>
      <c r="V69" s="46">
        <f t="shared" si="24"/>
        <v>0</v>
      </c>
      <c r="W69" s="46">
        <f t="shared" si="24"/>
        <v>0</v>
      </c>
      <c r="X69" s="46">
        <f t="shared" si="2"/>
        <v>0</v>
      </c>
    </row>
    <row r="70" spans="1:24" ht="20" customHeight="1" x14ac:dyDescent="0.35">
      <c r="A70" s="28"/>
      <c r="B70" s="29"/>
      <c r="C70" s="30"/>
      <c r="D70" s="28"/>
      <c r="E70" s="30"/>
      <c r="F70" s="30"/>
      <c r="G70" s="30"/>
      <c r="H70" s="30"/>
      <c r="I70" s="28"/>
      <c r="J70" s="33"/>
      <c r="L70" s="45">
        <f t="shared" si="23"/>
        <v>0</v>
      </c>
      <c r="M70" s="45">
        <f t="shared" si="23"/>
        <v>0</v>
      </c>
      <c r="N70" s="45">
        <f t="shared" si="23"/>
        <v>0</v>
      </c>
      <c r="O70" s="45">
        <f t="shared" si="23"/>
        <v>0</v>
      </c>
      <c r="P70" s="45">
        <f t="shared" si="23"/>
        <v>0</v>
      </c>
      <c r="Q70" s="45">
        <f t="shared" si="23"/>
        <v>0</v>
      </c>
      <c r="R70" s="45">
        <f t="shared" si="23"/>
        <v>0</v>
      </c>
      <c r="S70" s="45">
        <f t="shared" si="23"/>
        <v>0</v>
      </c>
      <c r="T70" s="45">
        <f t="shared" si="23"/>
        <v>0</v>
      </c>
      <c r="U70" s="46">
        <f t="shared" si="24"/>
        <v>0</v>
      </c>
      <c r="V70" s="46">
        <f t="shared" si="24"/>
        <v>0</v>
      </c>
      <c r="W70" s="46">
        <f t="shared" si="24"/>
        <v>0</v>
      </c>
      <c r="X70" s="46">
        <f t="shared" si="2"/>
        <v>0</v>
      </c>
    </row>
    <row r="71" spans="1:24" ht="20" customHeight="1" x14ac:dyDescent="0.35">
      <c r="A71" s="28"/>
      <c r="B71" s="29"/>
      <c r="C71" s="30"/>
      <c r="D71" s="28"/>
      <c r="E71" s="30"/>
      <c r="F71" s="30"/>
      <c r="G71" s="30"/>
      <c r="H71" s="30"/>
      <c r="I71" s="28"/>
      <c r="J71" s="33"/>
      <c r="L71" s="45">
        <f t="shared" si="23"/>
        <v>0</v>
      </c>
      <c r="M71" s="45">
        <f t="shared" si="23"/>
        <v>0</v>
      </c>
      <c r="N71" s="45">
        <f t="shared" si="23"/>
        <v>0</v>
      </c>
      <c r="O71" s="45">
        <f t="shared" si="23"/>
        <v>0</v>
      </c>
      <c r="P71" s="45">
        <f t="shared" si="23"/>
        <v>0</v>
      </c>
      <c r="Q71" s="45">
        <f t="shared" si="23"/>
        <v>0</v>
      </c>
      <c r="R71" s="45">
        <f t="shared" si="23"/>
        <v>0</v>
      </c>
      <c r="S71" s="45">
        <f t="shared" si="23"/>
        <v>0</v>
      </c>
      <c r="T71" s="45">
        <f t="shared" si="23"/>
        <v>0</v>
      </c>
      <c r="U71" s="46">
        <f t="shared" si="24"/>
        <v>0</v>
      </c>
      <c r="V71" s="46">
        <f t="shared" si="24"/>
        <v>0</v>
      </c>
      <c r="W71" s="46">
        <f t="shared" si="24"/>
        <v>0</v>
      </c>
      <c r="X71" s="46">
        <f t="shared" si="2"/>
        <v>0</v>
      </c>
    </row>
    <row r="72" spans="1:24" ht="20" customHeight="1" x14ac:dyDescent="0.35">
      <c r="A72" s="28"/>
      <c r="B72" s="29"/>
      <c r="C72" s="30"/>
      <c r="D72" s="28"/>
      <c r="E72" s="30"/>
      <c r="F72" s="30"/>
      <c r="G72" s="30"/>
      <c r="H72" s="30"/>
      <c r="I72" s="28"/>
      <c r="J72" s="33"/>
      <c r="L72" s="45">
        <f t="shared" si="23"/>
        <v>0</v>
      </c>
      <c r="M72" s="45">
        <f t="shared" si="23"/>
        <v>0</v>
      </c>
      <c r="N72" s="45">
        <f t="shared" si="23"/>
        <v>0</v>
      </c>
      <c r="O72" s="45">
        <f t="shared" ref="O72:T114" si="25">IFERROR(E73-E72,0)</f>
        <v>0</v>
      </c>
      <c r="P72" s="45">
        <f t="shared" si="25"/>
        <v>0</v>
      </c>
      <c r="Q72" s="45">
        <f t="shared" si="25"/>
        <v>0</v>
      </c>
      <c r="R72" s="45">
        <f t="shared" si="25"/>
        <v>0</v>
      </c>
      <c r="S72" s="45">
        <f t="shared" si="25"/>
        <v>0</v>
      </c>
      <c r="T72" s="45">
        <f t="shared" si="25"/>
        <v>0</v>
      </c>
      <c r="U72" s="46">
        <f t="shared" si="24"/>
        <v>0</v>
      </c>
      <c r="V72" s="46">
        <f t="shared" si="24"/>
        <v>0</v>
      </c>
      <c r="W72" s="46">
        <f t="shared" si="24"/>
        <v>0</v>
      </c>
      <c r="X72" s="46">
        <f t="shared" si="2"/>
        <v>0</v>
      </c>
    </row>
    <row r="73" spans="1:24" ht="20" customHeight="1" x14ac:dyDescent="0.35">
      <c r="A73" s="28"/>
      <c r="B73" s="29"/>
      <c r="C73" s="30"/>
      <c r="D73" s="28"/>
      <c r="E73" s="30"/>
      <c r="F73" s="30"/>
      <c r="G73" s="30"/>
      <c r="H73" s="30"/>
      <c r="I73" s="28"/>
      <c r="J73" s="33"/>
      <c r="L73" s="45">
        <f t="shared" ref="L73:Q136" si="26">IFERROR(B74-B73,0)</f>
        <v>0</v>
      </c>
      <c r="M73" s="45">
        <f t="shared" si="26"/>
        <v>0</v>
      </c>
      <c r="N73" s="45">
        <f t="shared" si="26"/>
        <v>0</v>
      </c>
      <c r="O73" s="45">
        <f t="shared" si="25"/>
        <v>0</v>
      </c>
      <c r="P73" s="45">
        <f t="shared" si="25"/>
        <v>0</v>
      </c>
      <c r="Q73" s="45">
        <f t="shared" si="25"/>
        <v>0</v>
      </c>
      <c r="R73" s="45">
        <f t="shared" si="25"/>
        <v>0</v>
      </c>
      <c r="S73" s="45">
        <f t="shared" si="25"/>
        <v>0</v>
      </c>
      <c r="T73" s="45">
        <f t="shared" si="25"/>
        <v>0</v>
      </c>
      <c r="U73" s="46">
        <f t="shared" si="24"/>
        <v>0</v>
      </c>
      <c r="V73" s="46">
        <f t="shared" si="24"/>
        <v>0</v>
      </c>
      <c r="W73" s="46">
        <f t="shared" si="24"/>
        <v>0</v>
      </c>
      <c r="X73" s="46">
        <f t="shared" ref="X73:X136" si="27">O73+P73+T73</f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26"/>
        <v>0</v>
      </c>
      <c r="M74" s="45">
        <f t="shared" si="26"/>
        <v>0</v>
      </c>
      <c r="N74" s="45">
        <f t="shared" si="26"/>
        <v>0</v>
      </c>
      <c r="O74" s="45">
        <f t="shared" si="25"/>
        <v>0</v>
      </c>
      <c r="P74" s="45">
        <f t="shared" si="25"/>
        <v>0</v>
      </c>
      <c r="Q74" s="45">
        <f t="shared" si="25"/>
        <v>0</v>
      </c>
      <c r="R74" s="45">
        <f t="shared" si="25"/>
        <v>0</v>
      </c>
      <c r="S74" s="45">
        <f t="shared" si="25"/>
        <v>0</v>
      </c>
      <c r="T74" s="45">
        <f t="shared" si="25"/>
        <v>0</v>
      </c>
      <c r="U74" s="46">
        <f t="shared" si="24"/>
        <v>0</v>
      </c>
      <c r="V74" s="46">
        <f t="shared" si="24"/>
        <v>0</v>
      </c>
      <c r="W74" s="46">
        <f t="shared" si="24"/>
        <v>0</v>
      </c>
      <c r="X74" s="46">
        <f t="shared" si="27"/>
        <v>0</v>
      </c>
    </row>
    <row r="75" spans="1:24" ht="20" customHeight="1" x14ac:dyDescent="0.35">
      <c r="A75" s="28"/>
      <c r="B75" s="29"/>
      <c r="C75" s="30"/>
      <c r="D75" s="28"/>
      <c r="E75" s="30"/>
      <c r="F75" s="30"/>
      <c r="G75" s="30"/>
      <c r="H75" s="30"/>
      <c r="I75" s="28"/>
      <c r="J75" s="33"/>
      <c r="L75" s="45">
        <f t="shared" si="26"/>
        <v>0</v>
      </c>
      <c r="M75" s="45">
        <f t="shared" si="26"/>
        <v>0</v>
      </c>
      <c r="N75" s="45">
        <f t="shared" si="26"/>
        <v>0</v>
      </c>
      <c r="O75" s="45">
        <f t="shared" si="25"/>
        <v>0</v>
      </c>
      <c r="P75" s="45">
        <f t="shared" si="25"/>
        <v>0</v>
      </c>
      <c r="Q75" s="45">
        <f t="shared" si="25"/>
        <v>0</v>
      </c>
      <c r="R75" s="45">
        <f t="shared" si="25"/>
        <v>0</v>
      </c>
      <c r="S75" s="45">
        <f t="shared" si="25"/>
        <v>0</v>
      </c>
      <c r="T75" s="45">
        <f t="shared" si="25"/>
        <v>0</v>
      </c>
      <c r="U75" s="46">
        <f t="shared" si="24"/>
        <v>0</v>
      </c>
      <c r="V75" s="46">
        <f t="shared" si="24"/>
        <v>0</v>
      </c>
      <c r="W75" s="46">
        <f t="shared" si="24"/>
        <v>0</v>
      </c>
      <c r="X75" s="46">
        <f t="shared" si="27"/>
        <v>0</v>
      </c>
    </row>
    <row r="76" spans="1:24" ht="20" customHeight="1" x14ac:dyDescent="0.35">
      <c r="A76" s="28"/>
      <c r="B76" s="29"/>
      <c r="C76" s="30"/>
      <c r="D76" s="28"/>
      <c r="E76" s="30"/>
      <c r="F76" s="30"/>
      <c r="G76" s="30"/>
      <c r="H76" s="30"/>
      <c r="I76" s="28"/>
      <c r="J76" s="33"/>
      <c r="L76" s="45">
        <f t="shared" si="26"/>
        <v>0</v>
      </c>
      <c r="M76" s="45">
        <f t="shared" si="26"/>
        <v>0</v>
      </c>
      <c r="N76" s="45">
        <f t="shared" si="26"/>
        <v>0</v>
      </c>
      <c r="O76" s="45">
        <f t="shared" si="25"/>
        <v>0</v>
      </c>
      <c r="P76" s="45">
        <f t="shared" si="25"/>
        <v>0</v>
      </c>
      <c r="Q76" s="45">
        <f t="shared" si="25"/>
        <v>0</v>
      </c>
      <c r="R76" s="45">
        <f t="shared" si="25"/>
        <v>0</v>
      </c>
      <c r="S76" s="45">
        <f t="shared" si="25"/>
        <v>0</v>
      </c>
      <c r="T76" s="45">
        <f t="shared" si="25"/>
        <v>0</v>
      </c>
      <c r="U76" s="46">
        <f t="shared" si="24"/>
        <v>0</v>
      </c>
      <c r="V76" s="46">
        <f t="shared" si="24"/>
        <v>0</v>
      </c>
      <c r="W76" s="46">
        <f t="shared" si="24"/>
        <v>0</v>
      </c>
      <c r="X76" s="46">
        <f t="shared" si="2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26"/>
        <v>0</v>
      </c>
      <c r="M77" s="45">
        <f t="shared" si="26"/>
        <v>0</v>
      </c>
      <c r="N77" s="45">
        <f t="shared" si="26"/>
        <v>0</v>
      </c>
      <c r="O77" s="45">
        <f t="shared" si="25"/>
        <v>0</v>
      </c>
      <c r="P77" s="45">
        <f t="shared" si="25"/>
        <v>0</v>
      </c>
      <c r="Q77" s="45">
        <f t="shared" si="25"/>
        <v>0</v>
      </c>
      <c r="R77" s="45">
        <f t="shared" si="25"/>
        <v>0</v>
      </c>
      <c r="S77" s="45">
        <f t="shared" si="25"/>
        <v>0</v>
      </c>
      <c r="T77" s="45">
        <f t="shared" si="25"/>
        <v>0</v>
      </c>
      <c r="U77" s="46">
        <f t="shared" si="24"/>
        <v>0</v>
      </c>
      <c r="V77" s="46">
        <f t="shared" si="24"/>
        <v>0</v>
      </c>
      <c r="W77" s="46">
        <f t="shared" si="24"/>
        <v>0</v>
      </c>
      <c r="X77" s="46">
        <f t="shared" si="2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26"/>
        <v>0</v>
      </c>
      <c r="M78" s="45">
        <f t="shared" si="26"/>
        <v>0</v>
      </c>
      <c r="N78" s="45">
        <f t="shared" si="26"/>
        <v>0</v>
      </c>
      <c r="O78" s="45">
        <f t="shared" si="25"/>
        <v>0</v>
      </c>
      <c r="P78" s="45">
        <f t="shared" si="25"/>
        <v>0</v>
      </c>
      <c r="Q78" s="45">
        <f t="shared" si="25"/>
        <v>0</v>
      </c>
      <c r="R78" s="45">
        <f t="shared" si="25"/>
        <v>0</v>
      </c>
      <c r="S78" s="45">
        <f t="shared" si="25"/>
        <v>0</v>
      </c>
      <c r="T78" s="45">
        <f t="shared" si="25"/>
        <v>0</v>
      </c>
      <c r="U78" s="46">
        <f t="shared" si="24"/>
        <v>0</v>
      </c>
      <c r="V78" s="46">
        <f t="shared" si="24"/>
        <v>0</v>
      </c>
      <c r="W78" s="46">
        <f t="shared" si="24"/>
        <v>0</v>
      </c>
      <c r="X78" s="46">
        <f t="shared" si="2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26"/>
        <v>0</v>
      </c>
      <c r="M79" s="45">
        <f t="shared" si="26"/>
        <v>0</v>
      </c>
      <c r="N79" s="45">
        <f t="shared" si="26"/>
        <v>0</v>
      </c>
      <c r="O79" s="45">
        <f t="shared" si="25"/>
        <v>0</v>
      </c>
      <c r="P79" s="45">
        <f t="shared" si="25"/>
        <v>0</v>
      </c>
      <c r="Q79" s="45">
        <f t="shared" si="25"/>
        <v>0</v>
      </c>
      <c r="R79" s="45">
        <f t="shared" si="25"/>
        <v>0</v>
      </c>
      <c r="S79" s="45">
        <f t="shared" si="25"/>
        <v>0</v>
      </c>
      <c r="T79" s="45">
        <f t="shared" si="25"/>
        <v>0</v>
      </c>
      <c r="U79" s="46">
        <f t="shared" si="24"/>
        <v>0</v>
      </c>
      <c r="V79" s="46">
        <f t="shared" si="24"/>
        <v>0</v>
      </c>
      <c r="W79" s="46">
        <f t="shared" si="24"/>
        <v>0</v>
      </c>
      <c r="X79" s="46">
        <f t="shared" si="27"/>
        <v>0</v>
      </c>
    </row>
    <row r="80" spans="1:24" ht="16.75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26"/>
        <v>0</v>
      </c>
      <c r="M80" s="45">
        <f t="shared" si="26"/>
        <v>0</v>
      </c>
      <c r="N80" s="45">
        <f t="shared" si="26"/>
        <v>0</v>
      </c>
      <c r="O80" s="45">
        <f t="shared" si="25"/>
        <v>0</v>
      </c>
      <c r="P80" s="45">
        <f t="shared" si="25"/>
        <v>0</v>
      </c>
      <c r="Q80" s="45">
        <f t="shared" si="25"/>
        <v>0</v>
      </c>
      <c r="R80" s="45">
        <f t="shared" si="25"/>
        <v>0</v>
      </c>
      <c r="S80" s="45">
        <f t="shared" si="25"/>
        <v>0</v>
      </c>
      <c r="T80" s="45">
        <f t="shared" si="25"/>
        <v>0</v>
      </c>
      <c r="U80" s="46">
        <f t="shared" si="24"/>
        <v>0</v>
      </c>
      <c r="V80" s="46">
        <f t="shared" si="24"/>
        <v>0</v>
      </c>
      <c r="W80" s="46">
        <f t="shared" si="24"/>
        <v>0</v>
      </c>
      <c r="X80" s="46">
        <f t="shared" si="27"/>
        <v>0</v>
      </c>
    </row>
    <row r="81" spans="1:24" ht="20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26"/>
        <v>0</v>
      </c>
      <c r="M81" s="45">
        <f t="shared" si="26"/>
        <v>0</v>
      </c>
      <c r="N81" s="45">
        <f t="shared" si="26"/>
        <v>0</v>
      </c>
      <c r="O81" s="45">
        <f t="shared" si="25"/>
        <v>0</v>
      </c>
      <c r="P81" s="45">
        <f t="shared" si="25"/>
        <v>0</v>
      </c>
      <c r="Q81" s="45">
        <f t="shared" si="25"/>
        <v>0</v>
      </c>
      <c r="R81" s="45">
        <f t="shared" si="25"/>
        <v>0</v>
      </c>
      <c r="S81" s="45">
        <f t="shared" si="25"/>
        <v>0</v>
      </c>
      <c r="T81" s="45">
        <f t="shared" si="25"/>
        <v>0</v>
      </c>
      <c r="U81" s="46">
        <f t="shared" si="24"/>
        <v>0</v>
      </c>
      <c r="V81" s="46">
        <f t="shared" si="24"/>
        <v>0</v>
      </c>
      <c r="W81" s="46">
        <f t="shared" si="24"/>
        <v>0</v>
      </c>
      <c r="X81" s="46">
        <f t="shared" si="2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26"/>
        <v>0</v>
      </c>
      <c r="M82" s="45">
        <f t="shared" si="26"/>
        <v>0</v>
      </c>
      <c r="N82" s="45">
        <f t="shared" si="26"/>
        <v>0</v>
      </c>
      <c r="O82" s="45">
        <f t="shared" si="25"/>
        <v>0</v>
      </c>
      <c r="P82" s="45">
        <f t="shared" si="25"/>
        <v>0</v>
      </c>
      <c r="Q82" s="45">
        <f t="shared" si="25"/>
        <v>0</v>
      </c>
      <c r="R82" s="45">
        <f t="shared" si="25"/>
        <v>0</v>
      </c>
      <c r="S82" s="45">
        <f t="shared" si="25"/>
        <v>0</v>
      </c>
      <c r="T82" s="45">
        <f t="shared" si="25"/>
        <v>0</v>
      </c>
      <c r="U82" s="46">
        <f t="shared" si="24"/>
        <v>0</v>
      </c>
      <c r="V82" s="46">
        <f t="shared" si="24"/>
        <v>0</v>
      </c>
      <c r="W82" s="46">
        <f t="shared" si="24"/>
        <v>0</v>
      </c>
      <c r="X82" s="46">
        <f t="shared" si="2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26"/>
        <v>0</v>
      </c>
      <c r="M83" s="45">
        <f t="shared" si="26"/>
        <v>0</v>
      </c>
      <c r="N83" s="45">
        <f t="shared" si="26"/>
        <v>0</v>
      </c>
      <c r="O83" s="45">
        <f t="shared" si="25"/>
        <v>0</v>
      </c>
      <c r="P83" s="45">
        <f t="shared" si="25"/>
        <v>0</v>
      </c>
      <c r="Q83" s="45">
        <f t="shared" si="25"/>
        <v>0</v>
      </c>
      <c r="R83" s="45">
        <f t="shared" si="25"/>
        <v>0</v>
      </c>
      <c r="S83" s="45">
        <f t="shared" si="25"/>
        <v>0</v>
      </c>
      <c r="T83" s="45">
        <f t="shared" si="25"/>
        <v>0</v>
      </c>
      <c r="U83" s="46">
        <f t="shared" si="24"/>
        <v>0</v>
      </c>
      <c r="V83" s="46">
        <f t="shared" si="24"/>
        <v>0</v>
      </c>
      <c r="W83" s="46">
        <f t="shared" si="24"/>
        <v>0</v>
      </c>
      <c r="X83" s="46">
        <f t="shared" si="2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26"/>
        <v>0</v>
      </c>
      <c r="M84" s="45">
        <f t="shared" si="26"/>
        <v>0</v>
      </c>
      <c r="N84" s="45">
        <f t="shared" si="26"/>
        <v>0</v>
      </c>
      <c r="O84" s="45">
        <f t="shared" si="25"/>
        <v>0</v>
      </c>
      <c r="P84" s="45">
        <f t="shared" si="25"/>
        <v>0</v>
      </c>
      <c r="Q84" s="45">
        <f t="shared" si="25"/>
        <v>0</v>
      </c>
      <c r="R84" s="45">
        <f t="shared" si="25"/>
        <v>0</v>
      </c>
      <c r="S84" s="45">
        <f t="shared" si="25"/>
        <v>0</v>
      </c>
      <c r="T84" s="45">
        <f t="shared" si="25"/>
        <v>0</v>
      </c>
      <c r="U84" s="46">
        <f t="shared" si="24"/>
        <v>0</v>
      </c>
      <c r="V84" s="46">
        <f t="shared" si="24"/>
        <v>0</v>
      </c>
      <c r="W84" s="46">
        <f t="shared" si="24"/>
        <v>0</v>
      </c>
      <c r="X84" s="46">
        <f t="shared" si="2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26"/>
        <v>0</v>
      </c>
      <c r="M85" s="45">
        <f t="shared" si="26"/>
        <v>0</v>
      </c>
      <c r="N85" s="45">
        <f t="shared" si="26"/>
        <v>0</v>
      </c>
      <c r="O85" s="45">
        <f t="shared" si="25"/>
        <v>0</v>
      </c>
      <c r="P85" s="45">
        <f t="shared" si="25"/>
        <v>0</v>
      </c>
      <c r="Q85" s="45">
        <f t="shared" si="25"/>
        <v>0</v>
      </c>
      <c r="R85" s="45">
        <f t="shared" si="25"/>
        <v>0</v>
      </c>
      <c r="S85" s="45">
        <f t="shared" si="25"/>
        <v>0</v>
      </c>
      <c r="T85" s="45">
        <f t="shared" si="25"/>
        <v>0</v>
      </c>
      <c r="U85" s="46">
        <f t="shared" si="24"/>
        <v>0</v>
      </c>
      <c r="V85" s="46">
        <f t="shared" si="24"/>
        <v>0</v>
      </c>
      <c r="W85" s="46">
        <f t="shared" si="24"/>
        <v>0</v>
      </c>
      <c r="X85" s="46">
        <f t="shared" si="2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26"/>
        <v>0</v>
      </c>
      <c r="M86" s="45">
        <f t="shared" si="26"/>
        <v>0</v>
      </c>
      <c r="N86" s="45">
        <f t="shared" si="26"/>
        <v>0</v>
      </c>
      <c r="O86" s="45">
        <f t="shared" si="25"/>
        <v>0</v>
      </c>
      <c r="P86" s="45">
        <f t="shared" si="25"/>
        <v>0</v>
      </c>
      <c r="Q86" s="45">
        <f t="shared" si="25"/>
        <v>0</v>
      </c>
      <c r="R86" s="45">
        <f t="shared" si="25"/>
        <v>0</v>
      </c>
      <c r="S86" s="45">
        <f t="shared" si="25"/>
        <v>0</v>
      </c>
      <c r="T86" s="45">
        <f t="shared" si="25"/>
        <v>0</v>
      </c>
      <c r="U86" s="46">
        <f t="shared" si="24"/>
        <v>0</v>
      </c>
      <c r="V86" s="46">
        <f t="shared" si="24"/>
        <v>0</v>
      </c>
      <c r="W86" s="46">
        <f t="shared" si="24"/>
        <v>0</v>
      </c>
      <c r="X86" s="46">
        <f t="shared" si="2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26"/>
        <v>0</v>
      </c>
      <c r="M87" s="45">
        <f t="shared" si="26"/>
        <v>0</v>
      </c>
      <c r="N87" s="45">
        <f t="shared" si="26"/>
        <v>0</v>
      </c>
      <c r="O87" s="45">
        <f t="shared" si="25"/>
        <v>0</v>
      </c>
      <c r="P87" s="45">
        <f t="shared" si="25"/>
        <v>0</v>
      </c>
      <c r="Q87" s="45">
        <f t="shared" si="25"/>
        <v>0</v>
      </c>
      <c r="R87" s="45">
        <f t="shared" si="25"/>
        <v>0</v>
      </c>
      <c r="S87" s="45">
        <f t="shared" si="25"/>
        <v>0</v>
      </c>
      <c r="T87" s="45">
        <f t="shared" si="25"/>
        <v>0</v>
      </c>
      <c r="U87" s="46">
        <f t="shared" si="24"/>
        <v>0</v>
      </c>
      <c r="V87" s="46">
        <f t="shared" si="24"/>
        <v>0</v>
      </c>
      <c r="W87" s="46">
        <f t="shared" si="24"/>
        <v>0</v>
      </c>
      <c r="X87" s="46">
        <f t="shared" si="2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26"/>
        <v>0</v>
      </c>
      <c r="M88" s="45">
        <f t="shared" si="26"/>
        <v>0</v>
      </c>
      <c r="N88" s="45">
        <f t="shared" si="26"/>
        <v>0</v>
      </c>
      <c r="O88" s="45">
        <f t="shared" si="25"/>
        <v>0</v>
      </c>
      <c r="P88" s="45">
        <f t="shared" si="25"/>
        <v>0</v>
      </c>
      <c r="Q88" s="45">
        <f t="shared" si="25"/>
        <v>0</v>
      </c>
      <c r="R88" s="45">
        <f t="shared" si="25"/>
        <v>0</v>
      </c>
      <c r="S88" s="45">
        <f t="shared" si="25"/>
        <v>0</v>
      </c>
      <c r="T88" s="45">
        <f t="shared" si="25"/>
        <v>0</v>
      </c>
      <c r="U88" s="46">
        <f t="shared" si="24"/>
        <v>0</v>
      </c>
      <c r="V88" s="46">
        <f t="shared" si="24"/>
        <v>0</v>
      </c>
      <c r="W88" s="46">
        <f t="shared" si="24"/>
        <v>0</v>
      </c>
      <c r="X88" s="46">
        <f t="shared" si="2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26"/>
        <v>0</v>
      </c>
      <c r="M89" s="45">
        <f t="shared" si="26"/>
        <v>0</v>
      </c>
      <c r="N89" s="45">
        <f t="shared" si="26"/>
        <v>0</v>
      </c>
      <c r="O89" s="45">
        <f t="shared" si="25"/>
        <v>0</v>
      </c>
      <c r="P89" s="45">
        <f t="shared" si="25"/>
        <v>0</v>
      </c>
      <c r="Q89" s="45">
        <f t="shared" si="25"/>
        <v>0</v>
      </c>
      <c r="R89" s="45">
        <f t="shared" si="25"/>
        <v>0</v>
      </c>
      <c r="S89" s="45">
        <f t="shared" si="25"/>
        <v>0</v>
      </c>
      <c r="T89" s="45">
        <f t="shared" si="25"/>
        <v>0</v>
      </c>
      <c r="U89" s="46">
        <f t="shared" si="24"/>
        <v>0</v>
      </c>
      <c r="V89" s="46">
        <f t="shared" si="24"/>
        <v>0</v>
      </c>
      <c r="W89" s="46">
        <f t="shared" si="24"/>
        <v>0</v>
      </c>
      <c r="X89" s="46">
        <f t="shared" si="2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26"/>
        <v>0</v>
      </c>
      <c r="M90" s="45">
        <f t="shared" si="26"/>
        <v>0</v>
      </c>
      <c r="N90" s="45">
        <f t="shared" si="26"/>
        <v>0</v>
      </c>
      <c r="O90" s="45">
        <f t="shared" si="25"/>
        <v>0</v>
      </c>
      <c r="P90" s="45">
        <f t="shared" si="25"/>
        <v>0</v>
      </c>
      <c r="Q90" s="45">
        <f t="shared" si="25"/>
        <v>0</v>
      </c>
      <c r="R90" s="45">
        <f t="shared" si="25"/>
        <v>0</v>
      </c>
      <c r="S90" s="45">
        <f t="shared" si="25"/>
        <v>0</v>
      </c>
      <c r="T90" s="45">
        <f t="shared" si="25"/>
        <v>0</v>
      </c>
      <c r="U90" s="46">
        <f t="shared" si="24"/>
        <v>0</v>
      </c>
      <c r="V90" s="46">
        <f t="shared" si="24"/>
        <v>0</v>
      </c>
      <c r="W90" s="46">
        <f t="shared" si="24"/>
        <v>0</v>
      </c>
      <c r="X90" s="46">
        <f t="shared" si="2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26"/>
        <v>0</v>
      </c>
      <c r="M91" s="45">
        <f t="shared" si="26"/>
        <v>0</v>
      </c>
      <c r="N91" s="45">
        <f t="shared" si="26"/>
        <v>0</v>
      </c>
      <c r="O91" s="45">
        <f t="shared" si="25"/>
        <v>0</v>
      </c>
      <c r="P91" s="45">
        <f t="shared" si="25"/>
        <v>0</v>
      </c>
      <c r="Q91" s="45">
        <f t="shared" si="25"/>
        <v>0</v>
      </c>
      <c r="R91" s="45">
        <f t="shared" si="25"/>
        <v>0</v>
      </c>
      <c r="S91" s="45">
        <f t="shared" si="25"/>
        <v>0</v>
      </c>
      <c r="T91" s="45">
        <f t="shared" si="25"/>
        <v>0</v>
      </c>
      <c r="U91" s="46">
        <f t="shared" si="24"/>
        <v>0</v>
      </c>
      <c r="V91" s="46">
        <f t="shared" si="24"/>
        <v>0</v>
      </c>
      <c r="W91" s="46">
        <f t="shared" si="24"/>
        <v>0</v>
      </c>
      <c r="X91" s="46">
        <f t="shared" si="2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26"/>
        <v>0</v>
      </c>
      <c r="M92" s="45">
        <f t="shared" si="26"/>
        <v>0</v>
      </c>
      <c r="N92" s="45">
        <f t="shared" si="26"/>
        <v>0</v>
      </c>
      <c r="O92" s="45">
        <f t="shared" si="25"/>
        <v>0</v>
      </c>
      <c r="P92" s="45">
        <f t="shared" si="25"/>
        <v>0</v>
      </c>
      <c r="Q92" s="45">
        <f t="shared" si="25"/>
        <v>0</v>
      </c>
      <c r="R92" s="45">
        <f t="shared" si="25"/>
        <v>0</v>
      </c>
      <c r="S92" s="45">
        <f t="shared" si="25"/>
        <v>0</v>
      </c>
      <c r="T92" s="45">
        <f t="shared" si="25"/>
        <v>0</v>
      </c>
      <c r="U92" s="46">
        <f t="shared" si="24"/>
        <v>0</v>
      </c>
      <c r="V92" s="46">
        <f t="shared" si="24"/>
        <v>0</v>
      </c>
      <c r="W92" s="46">
        <f t="shared" si="24"/>
        <v>0</v>
      </c>
      <c r="X92" s="46">
        <f t="shared" si="2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26"/>
        <v>0</v>
      </c>
      <c r="M93" s="45">
        <f t="shared" si="26"/>
        <v>0</v>
      </c>
      <c r="N93" s="45">
        <f t="shared" si="26"/>
        <v>0</v>
      </c>
      <c r="O93" s="45">
        <f t="shared" si="25"/>
        <v>0</v>
      </c>
      <c r="P93" s="45">
        <f t="shared" si="25"/>
        <v>0</v>
      </c>
      <c r="Q93" s="45">
        <f t="shared" si="25"/>
        <v>0</v>
      </c>
      <c r="R93" s="45">
        <f t="shared" si="25"/>
        <v>0</v>
      </c>
      <c r="S93" s="45">
        <f t="shared" si="25"/>
        <v>0</v>
      </c>
      <c r="T93" s="45">
        <f t="shared" si="25"/>
        <v>0</v>
      </c>
      <c r="U93" s="46">
        <f t="shared" si="24"/>
        <v>0</v>
      </c>
      <c r="V93" s="46">
        <f t="shared" si="24"/>
        <v>0</v>
      </c>
      <c r="W93" s="46">
        <f t="shared" si="24"/>
        <v>0</v>
      </c>
      <c r="X93" s="46">
        <f t="shared" si="2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26"/>
        <v>0</v>
      </c>
      <c r="M94" s="45">
        <f t="shared" si="26"/>
        <v>0</v>
      </c>
      <c r="N94" s="45">
        <f t="shared" si="26"/>
        <v>0</v>
      </c>
      <c r="O94" s="45">
        <f t="shared" si="25"/>
        <v>0</v>
      </c>
      <c r="P94" s="45">
        <f t="shared" si="25"/>
        <v>0</v>
      </c>
      <c r="Q94" s="45">
        <f t="shared" si="25"/>
        <v>0</v>
      </c>
      <c r="R94" s="45">
        <f t="shared" si="25"/>
        <v>0</v>
      </c>
      <c r="S94" s="45">
        <f t="shared" si="25"/>
        <v>0</v>
      </c>
      <c r="T94" s="45">
        <f t="shared" si="25"/>
        <v>0</v>
      </c>
      <c r="U94" s="46">
        <f t="shared" si="24"/>
        <v>0</v>
      </c>
      <c r="V94" s="46">
        <f t="shared" si="24"/>
        <v>0</v>
      </c>
      <c r="W94" s="46">
        <f t="shared" si="24"/>
        <v>0</v>
      </c>
      <c r="X94" s="46">
        <f t="shared" si="2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26"/>
        <v>0</v>
      </c>
      <c r="M95" s="45">
        <f t="shared" si="26"/>
        <v>0</v>
      </c>
      <c r="N95" s="45">
        <f t="shared" si="26"/>
        <v>0</v>
      </c>
      <c r="O95" s="45">
        <f t="shared" si="25"/>
        <v>0</v>
      </c>
      <c r="P95" s="45">
        <f t="shared" si="25"/>
        <v>0</v>
      </c>
      <c r="Q95" s="45">
        <f t="shared" si="25"/>
        <v>0</v>
      </c>
      <c r="R95" s="45">
        <f t="shared" si="25"/>
        <v>0</v>
      </c>
      <c r="S95" s="45">
        <f t="shared" si="25"/>
        <v>0</v>
      </c>
      <c r="T95" s="45">
        <f t="shared" si="25"/>
        <v>0</v>
      </c>
      <c r="U95" s="46">
        <f t="shared" si="24"/>
        <v>0</v>
      </c>
      <c r="V95" s="46">
        <f t="shared" si="24"/>
        <v>0</v>
      </c>
      <c r="W95" s="46">
        <f t="shared" si="24"/>
        <v>0</v>
      </c>
      <c r="X95" s="46">
        <f t="shared" si="2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26"/>
        <v>0</v>
      </c>
      <c r="M96" s="45">
        <f t="shared" si="26"/>
        <v>0</v>
      </c>
      <c r="N96" s="45">
        <f t="shared" si="26"/>
        <v>0</v>
      </c>
      <c r="O96" s="45">
        <f t="shared" si="25"/>
        <v>0</v>
      </c>
      <c r="P96" s="45">
        <f t="shared" si="25"/>
        <v>0</v>
      </c>
      <c r="Q96" s="45">
        <f t="shared" si="25"/>
        <v>0</v>
      </c>
      <c r="R96" s="45">
        <f t="shared" si="25"/>
        <v>0</v>
      </c>
      <c r="S96" s="45">
        <f t="shared" si="25"/>
        <v>0</v>
      </c>
      <c r="T96" s="45">
        <f t="shared" si="25"/>
        <v>0</v>
      </c>
      <c r="U96" s="46">
        <f t="shared" si="24"/>
        <v>0</v>
      </c>
      <c r="V96" s="46">
        <f t="shared" si="24"/>
        <v>0</v>
      </c>
      <c r="W96" s="46">
        <f t="shared" si="24"/>
        <v>0</v>
      </c>
      <c r="X96" s="46">
        <f t="shared" si="2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26"/>
        <v>0</v>
      </c>
      <c r="M97" s="45">
        <f t="shared" si="26"/>
        <v>0</v>
      </c>
      <c r="N97" s="45">
        <f t="shared" si="26"/>
        <v>0</v>
      </c>
      <c r="O97" s="45">
        <f t="shared" si="25"/>
        <v>0</v>
      </c>
      <c r="P97" s="45">
        <f t="shared" si="25"/>
        <v>0</v>
      </c>
      <c r="Q97" s="45">
        <f t="shared" si="25"/>
        <v>0</v>
      </c>
      <c r="R97" s="45">
        <f t="shared" si="25"/>
        <v>0</v>
      </c>
      <c r="S97" s="45">
        <f t="shared" si="25"/>
        <v>0</v>
      </c>
      <c r="T97" s="45">
        <f t="shared" si="25"/>
        <v>0</v>
      </c>
      <c r="U97" s="46">
        <f t="shared" si="24"/>
        <v>0</v>
      </c>
      <c r="V97" s="46">
        <f t="shared" si="24"/>
        <v>0</v>
      </c>
      <c r="W97" s="46">
        <f t="shared" si="24"/>
        <v>0</v>
      </c>
      <c r="X97" s="46">
        <f t="shared" si="27"/>
        <v>0</v>
      </c>
    </row>
    <row r="98" spans="1:24" ht="16.75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26"/>
        <v>0</v>
      </c>
      <c r="M98" s="45">
        <f t="shared" si="26"/>
        <v>0</v>
      </c>
      <c r="N98" s="45">
        <f t="shared" si="26"/>
        <v>0</v>
      </c>
      <c r="O98" s="45">
        <f t="shared" si="25"/>
        <v>0</v>
      </c>
      <c r="P98" s="45">
        <f t="shared" si="25"/>
        <v>0</v>
      </c>
      <c r="Q98" s="45">
        <f t="shared" si="25"/>
        <v>0</v>
      </c>
      <c r="R98" s="45">
        <f t="shared" si="25"/>
        <v>0</v>
      </c>
      <c r="S98" s="45">
        <f t="shared" si="25"/>
        <v>0</v>
      </c>
      <c r="T98" s="45">
        <f t="shared" si="25"/>
        <v>0</v>
      </c>
      <c r="U98" s="46">
        <f t="shared" si="24"/>
        <v>0</v>
      </c>
      <c r="V98" s="46">
        <f t="shared" si="24"/>
        <v>0</v>
      </c>
      <c r="W98" s="46">
        <f t="shared" si="24"/>
        <v>0</v>
      </c>
      <c r="X98" s="46">
        <f t="shared" si="27"/>
        <v>0</v>
      </c>
    </row>
    <row r="99" spans="1:24" ht="20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26"/>
        <v>0</v>
      </c>
      <c r="M99" s="45">
        <f t="shared" si="26"/>
        <v>0</v>
      </c>
      <c r="N99" s="45">
        <f t="shared" si="26"/>
        <v>0</v>
      </c>
      <c r="O99" s="45">
        <f t="shared" si="25"/>
        <v>0</v>
      </c>
      <c r="P99" s="45">
        <f t="shared" si="25"/>
        <v>0</v>
      </c>
      <c r="Q99" s="45">
        <f t="shared" si="25"/>
        <v>0</v>
      </c>
      <c r="R99" s="45">
        <f t="shared" si="25"/>
        <v>0</v>
      </c>
      <c r="S99" s="45">
        <f t="shared" si="25"/>
        <v>0</v>
      </c>
      <c r="T99" s="45">
        <f t="shared" si="25"/>
        <v>0</v>
      </c>
      <c r="U99" s="46">
        <f t="shared" si="24"/>
        <v>0</v>
      </c>
      <c r="V99" s="46">
        <f t="shared" si="24"/>
        <v>0</v>
      </c>
      <c r="W99" s="46">
        <f t="shared" si="24"/>
        <v>0</v>
      </c>
      <c r="X99" s="46">
        <f t="shared" si="2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26"/>
        <v>0</v>
      </c>
      <c r="M100" s="45">
        <f t="shared" si="26"/>
        <v>0</v>
      </c>
      <c r="N100" s="45">
        <f t="shared" si="26"/>
        <v>0</v>
      </c>
      <c r="O100" s="45">
        <f t="shared" si="25"/>
        <v>0</v>
      </c>
      <c r="P100" s="45">
        <f t="shared" si="25"/>
        <v>0</v>
      </c>
      <c r="Q100" s="45">
        <f t="shared" si="25"/>
        <v>0</v>
      </c>
      <c r="R100" s="45">
        <f t="shared" si="25"/>
        <v>0</v>
      </c>
      <c r="S100" s="45">
        <f t="shared" si="25"/>
        <v>0</v>
      </c>
      <c r="T100" s="45">
        <f t="shared" si="25"/>
        <v>0</v>
      </c>
      <c r="U100" s="46">
        <f t="shared" si="24"/>
        <v>0</v>
      </c>
      <c r="V100" s="46">
        <f t="shared" si="24"/>
        <v>0</v>
      </c>
      <c r="W100" s="46">
        <f t="shared" si="24"/>
        <v>0</v>
      </c>
      <c r="X100" s="46">
        <f t="shared" si="2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26"/>
        <v>0</v>
      </c>
      <c r="M101" s="45">
        <f t="shared" si="26"/>
        <v>0</v>
      </c>
      <c r="N101" s="45">
        <f t="shared" si="26"/>
        <v>0</v>
      </c>
      <c r="O101" s="45">
        <f t="shared" si="25"/>
        <v>0</v>
      </c>
      <c r="P101" s="45">
        <f t="shared" si="25"/>
        <v>0</v>
      </c>
      <c r="Q101" s="45">
        <f t="shared" si="25"/>
        <v>0</v>
      </c>
      <c r="R101" s="45">
        <f t="shared" si="25"/>
        <v>0</v>
      </c>
      <c r="S101" s="45">
        <f t="shared" si="25"/>
        <v>0</v>
      </c>
      <c r="T101" s="45">
        <f t="shared" si="25"/>
        <v>0</v>
      </c>
      <c r="U101" s="46">
        <f t="shared" si="24"/>
        <v>0</v>
      </c>
      <c r="V101" s="46">
        <f t="shared" si="24"/>
        <v>0</v>
      </c>
      <c r="W101" s="46">
        <f t="shared" si="24"/>
        <v>0</v>
      </c>
      <c r="X101" s="46">
        <f t="shared" si="2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si="26"/>
        <v>0</v>
      </c>
      <c r="M102" s="45">
        <f t="shared" si="26"/>
        <v>0</v>
      </c>
      <c r="N102" s="45">
        <f t="shared" si="26"/>
        <v>0</v>
      </c>
      <c r="O102" s="45">
        <f t="shared" si="25"/>
        <v>0</v>
      </c>
      <c r="P102" s="45">
        <f t="shared" si="25"/>
        <v>0</v>
      </c>
      <c r="Q102" s="45">
        <f t="shared" si="25"/>
        <v>0</v>
      </c>
      <c r="R102" s="45">
        <f t="shared" si="25"/>
        <v>0</v>
      </c>
      <c r="S102" s="45">
        <f t="shared" si="25"/>
        <v>0</v>
      </c>
      <c r="T102" s="45">
        <f t="shared" si="25"/>
        <v>0</v>
      </c>
      <c r="U102" s="46">
        <f t="shared" si="24"/>
        <v>0</v>
      </c>
      <c r="V102" s="46">
        <f t="shared" si="24"/>
        <v>0</v>
      </c>
      <c r="W102" s="46">
        <f t="shared" si="24"/>
        <v>0</v>
      </c>
      <c r="X102" s="46">
        <f t="shared" si="27"/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26"/>
        <v>0</v>
      </c>
      <c r="M103" s="45">
        <f t="shared" si="26"/>
        <v>0</v>
      </c>
      <c r="N103" s="45">
        <f t="shared" si="26"/>
        <v>0</v>
      </c>
      <c r="O103" s="45">
        <f t="shared" si="25"/>
        <v>0</v>
      </c>
      <c r="P103" s="45">
        <f t="shared" si="25"/>
        <v>0</v>
      </c>
      <c r="Q103" s="45">
        <f t="shared" si="25"/>
        <v>0</v>
      </c>
      <c r="R103" s="45">
        <f t="shared" si="25"/>
        <v>0</v>
      </c>
      <c r="S103" s="45">
        <f t="shared" si="25"/>
        <v>0</v>
      </c>
      <c r="T103" s="45">
        <f t="shared" si="25"/>
        <v>0</v>
      </c>
      <c r="U103" s="46">
        <f t="shared" si="24"/>
        <v>0</v>
      </c>
      <c r="V103" s="46">
        <f t="shared" si="24"/>
        <v>0</v>
      </c>
      <c r="W103" s="46">
        <f t="shared" si="24"/>
        <v>0</v>
      </c>
      <c r="X103" s="46">
        <f t="shared" si="27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26"/>
        <v>0</v>
      </c>
      <c r="M104" s="45">
        <f t="shared" si="26"/>
        <v>0</v>
      </c>
      <c r="N104" s="45">
        <f t="shared" si="26"/>
        <v>0</v>
      </c>
      <c r="O104" s="45">
        <f t="shared" si="25"/>
        <v>0</v>
      </c>
      <c r="P104" s="45">
        <f t="shared" si="25"/>
        <v>0</v>
      </c>
      <c r="Q104" s="45">
        <f t="shared" si="25"/>
        <v>0</v>
      </c>
      <c r="R104" s="45">
        <f t="shared" si="25"/>
        <v>0</v>
      </c>
      <c r="S104" s="45">
        <f t="shared" si="25"/>
        <v>0</v>
      </c>
      <c r="T104" s="45">
        <f t="shared" si="25"/>
        <v>0</v>
      </c>
      <c r="U104" s="46">
        <f t="shared" si="24"/>
        <v>0</v>
      </c>
      <c r="V104" s="46">
        <f t="shared" si="24"/>
        <v>0</v>
      </c>
      <c r="W104" s="46">
        <f t="shared" si="24"/>
        <v>0</v>
      </c>
      <c r="X104" s="46">
        <f t="shared" si="27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26"/>
        <v>0</v>
      </c>
      <c r="M105" s="45">
        <f t="shared" si="26"/>
        <v>0</v>
      </c>
      <c r="N105" s="45">
        <f t="shared" si="26"/>
        <v>0</v>
      </c>
      <c r="O105" s="45">
        <f t="shared" si="25"/>
        <v>0</v>
      </c>
      <c r="P105" s="45">
        <f t="shared" si="25"/>
        <v>0</v>
      </c>
      <c r="Q105" s="45">
        <f t="shared" si="25"/>
        <v>0</v>
      </c>
      <c r="R105" s="45">
        <f t="shared" si="25"/>
        <v>0</v>
      </c>
      <c r="S105" s="45">
        <f t="shared" si="25"/>
        <v>0</v>
      </c>
      <c r="T105" s="45">
        <f t="shared" si="25"/>
        <v>0</v>
      </c>
      <c r="U105" s="46">
        <f t="shared" si="24"/>
        <v>0</v>
      </c>
      <c r="V105" s="46">
        <f t="shared" si="24"/>
        <v>0</v>
      </c>
      <c r="W105" s="46">
        <f t="shared" si="24"/>
        <v>0</v>
      </c>
      <c r="X105" s="46">
        <f t="shared" si="27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26"/>
        <v>0</v>
      </c>
      <c r="M106" s="45">
        <f t="shared" si="26"/>
        <v>0</v>
      </c>
      <c r="N106" s="45">
        <f t="shared" si="26"/>
        <v>0</v>
      </c>
      <c r="O106" s="45">
        <f t="shared" si="25"/>
        <v>0</v>
      </c>
      <c r="P106" s="45">
        <f t="shared" si="25"/>
        <v>0</v>
      </c>
      <c r="Q106" s="45">
        <f t="shared" si="25"/>
        <v>0</v>
      </c>
      <c r="R106" s="45">
        <f t="shared" si="25"/>
        <v>0</v>
      </c>
      <c r="S106" s="45">
        <f t="shared" si="25"/>
        <v>0</v>
      </c>
      <c r="T106" s="45">
        <f t="shared" si="25"/>
        <v>0</v>
      </c>
      <c r="U106" s="46">
        <f t="shared" si="24"/>
        <v>0</v>
      </c>
      <c r="V106" s="46">
        <f t="shared" si="24"/>
        <v>0</v>
      </c>
      <c r="W106" s="46">
        <f t="shared" si="24"/>
        <v>0</v>
      </c>
      <c r="X106" s="46">
        <f t="shared" si="27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26"/>
        <v>0</v>
      </c>
      <c r="M107" s="45">
        <f t="shared" si="26"/>
        <v>0</v>
      </c>
      <c r="N107" s="45">
        <f t="shared" si="26"/>
        <v>0</v>
      </c>
      <c r="O107" s="45">
        <f t="shared" si="25"/>
        <v>0</v>
      </c>
      <c r="P107" s="45">
        <f t="shared" si="25"/>
        <v>0</v>
      </c>
      <c r="Q107" s="45">
        <f t="shared" si="25"/>
        <v>0</v>
      </c>
      <c r="R107" s="45">
        <f t="shared" si="25"/>
        <v>0</v>
      </c>
      <c r="S107" s="45">
        <f t="shared" si="25"/>
        <v>0</v>
      </c>
      <c r="T107" s="45">
        <f t="shared" si="25"/>
        <v>0</v>
      </c>
      <c r="U107" s="46">
        <f t="shared" si="24"/>
        <v>0</v>
      </c>
      <c r="V107" s="46">
        <f t="shared" si="24"/>
        <v>0</v>
      </c>
      <c r="W107" s="46">
        <f t="shared" si="24"/>
        <v>0</v>
      </c>
      <c r="X107" s="46">
        <f t="shared" si="27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26"/>
        <v>0</v>
      </c>
      <c r="M108" s="45">
        <f t="shared" si="26"/>
        <v>0</v>
      </c>
      <c r="N108" s="45">
        <f t="shared" si="26"/>
        <v>0</v>
      </c>
      <c r="O108" s="45">
        <f t="shared" si="25"/>
        <v>0</v>
      </c>
      <c r="P108" s="45">
        <f t="shared" si="25"/>
        <v>0</v>
      </c>
      <c r="Q108" s="45">
        <f t="shared" si="25"/>
        <v>0</v>
      </c>
      <c r="R108" s="45">
        <f t="shared" si="25"/>
        <v>0</v>
      </c>
      <c r="S108" s="45">
        <f t="shared" si="25"/>
        <v>0</v>
      </c>
      <c r="T108" s="45">
        <f t="shared" si="25"/>
        <v>0</v>
      </c>
      <c r="U108" s="46">
        <f t="shared" ref="U108:W151" si="28">L108+Q108</f>
        <v>0</v>
      </c>
      <c r="V108" s="46">
        <f t="shared" si="28"/>
        <v>0</v>
      </c>
      <c r="W108" s="46">
        <f t="shared" si="28"/>
        <v>0</v>
      </c>
      <c r="X108" s="46">
        <f t="shared" si="27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26"/>
        <v>0</v>
      </c>
      <c r="M109" s="45">
        <f t="shared" si="26"/>
        <v>0</v>
      </c>
      <c r="N109" s="45">
        <f t="shared" si="26"/>
        <v>0</v>
      </c>
      <c r="O109" s="45">
        <f t="shared" si="25"/>
        <v>0</v>
      </c>
      <c r="P109" s="45">
        <f t="shared" si="25"/>
        <v>0</v>
      </c>
      <c r="Q109" s="45">
        <f t="shared" si="25"/>
        <v>0</v>
      </c>
      <c r="R109" s="45">
        <f t="shared" si="25"/>
        <v>0</v>
      </c>
      <c r="S109" s="45">
        <f t="shared" si="25"/>
        <v>0</v>
      </c>
      <c r="T109" s="45">
        <f t="shared" si="25"/>
        <v>0</v>
      </c>
      <c r="U109" s="46">
        <f t="shared" si="28"/>
        <v>0</v>
      </c>
      <c r="V109" s="46">
        <f t="shared" si="28"/>
        <v>0</v>
      </c>
      <c r="W109" s="46">
        <f t="shared" si="28"/>
        <v>0</v>
      </c>
      <c r="X109" s="46">
        <f t="shared" si="27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26"/>
        <v>0</v>
      </c>
      <c r="M110" s="45">
        <f t="shared" si="26"/>
        <v>0</v>
      </c>
      <c r="N110" s="45">
        <f t="shared" si="26"/>
        <v>0</v>
      </c>
      <c r="O110" s="45">
        <f t="shared" si="25"/>
        <v>0</v>
      </c>
      <c r="P110" s="45">
        <f t="shared" si="25"/>
        <v>0</v>
      </c>
      <c r="Q110" s="45">
        <f t="shared" si="25"/>
        <v>0</v>
      </c>
      <c r="R110" s="45">
        <f t="shared" si="25"/>
        <v>0</v>
      </c>
      <c r="S110" s="45">
        <f t="shared" si="25"/>
        <v>0</v>
      </c>
      <c r="T110" s="45">
        <f t="shared" si="25"/>
        <v>0</v>
      </c>
      <c r="U110" s="46">
        <f t="shared" si="28"/>
        <v>0</v>
      </c>
      <c r="V110" s="46">
        <f t="shared" si="28"/>
        <v>0</v>
      </c>
      <c r="W110" s="46">
        <f t="shared" si="28"/>
        <v>0</v>
      </c>
      <c r="X110" s="46">
        <f t="shared" si="27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26"/>
        <v>0</v>
      </c>
      <c r="M111" s="45">
        <f t="shared" si="26"/>
        <v>0</v>
      </c>
      <c r="N111" s="45">
        <f t="shared" si="26"/>
        <v>0</v>
      </c>
      <c r="O111" s="45">
        <f t="shared" si="25"/>
        <v>0</v>
      </c>
      <c r="P111" s="45">
        <f t="shared" si="25"/>
        <v>0</v>
      </c>
      <c r="Q111" s="45">
        <f t="shared" si="25"/>
        <v>0</v>
      </c>
      <c r="R111" s="45">
        <f t="shared" si="25"/>
        <v>0</v>
      </c>
      <c r="S111" s="45">
        <f t="shared" si="25"/>
        <v>0</v>
      </c>
      <c r="T111" s="45">
        <f t="shared" si="25"/>
        <v>0</v>
      </c>
      <c r="U111" s="46">
        <f t="shared" si="28"/>
        <v>0</v>
      </c>
      <c r="V111" s="46">
        <f t="shared" si="28"/>
        <v>0</v>
      </c>
      <c r="W111" s="46">
        <f t="shared" si="28"/>
        <v>0</v>
      </c>
      <c r="X111" s="46">
        <f t="shared" si="27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26"/>
        <v>0</v>
      </c>
      <c r="M112" s="45">
        <f t="shared" si="26"/>
        <v>0</v>
      </c>
      <c r="N112" s="45">
        <f t="shared" si="26"/>
        <v>0</v>
      </c>
      <c r="O112" s="45">
        <f t="shared" si="25"/>
        <v>0</v>
      </c>
      <c r="P112" s="45">
        <f t="shared" si="25"/>
        <v>0</v>
      </c>
      <c r="Q112" s="45">
        <f t="shared" si="25"/>
        <v>0</v>
      </c>
      <c r="R112" s="45">
        <f t="shared" si="25"/>
        <v>0</v>
      </c>
      <c r="S112" s="45">
        <f t="shared" si="25"/>
        <v>0</v>
      </c>
      <c r="T112" s="45">
        <f t="shared" si="25"/>
        <v>0</v>
      </c>
      <c r="U112" s="46">
        <f t="shared" si="28"/>
        <v>0</v>
      </c>
      <c r="V112" s="46">
        <f t="shared" si="28"/>
        <v>0</v>
      </c>
      <c r="W112" s="46">
        <f t="shared" si="28"/>
        <v>0</v>
      </c>
      <c r="X112" s="46">
        <f t="shared" si="27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26"/>
        <v>0</v>
      </c>
      <c r="M113" s="45">
        <f t="shared" si="26"/>
        <v>0</v>
      </c>
      <c r="N113" s="45">
        <f t="shared" si="26"/>
        <v>0</v>
      </c>
      <c r="O113" s="45">
        <f t="shared" si="25"/>
        <v>0</v>
      </c>
      <c r="P113" s="45">
        <f t="shared" si="25"/>
        <v>0</v>
      </c>
      <c r="Q113" s="45">
        <f t="shared" si="25"/>
        <v>0</v>
      </c>
      <c r="R113" s="45">
        <f t="shared" si="25"/>
        <v>0</v>
      </c>
      <c r="S113" s="45">
        <f t="shared" si="25"/>
        <v>0</v>
      </c>
      <c r="T113" s="45">
        <f t="shared" si="25"/>
        <v>0</v>
      </c>
      <c r="U113" s="46">
        <f t="shared" si="28"/>
        <v>0</v>
      </c>
      <c r="V113" s="46">
        <f t="shared" si="28"/>
        <v>0</v>
      </c>
      <c r="W113" s="46">
        <f t="shared" si="28"/>
        <v>0</v>
      </c>
      <c r="X113" s="46">
        <f t="shared" si="27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26"/>
        <v>0</v>
      </c>
      <c r="M114" s="45">
        <f t="shared" si="26"/>
        <v>0</v>
      </c>
      <c r="N114" s="45">
        <f t="shared" si="26"/>
        <v>0</v>
      </c>
      <c r="O114" s="45">
        <f t="shared" si="25"/>
        <v>0</v>
      </c>
      <c r="P114" s="45">
        <f t="shared" si="25"/>
        <v>0</v>
      </c>
      <c r="Q114" s="45">
        <f t="shared" si="25"/>
        <v>0</v>
      </c>
      <c r="R114" s="45">
        <f t="shared" ref="R114:T151" si="29">IFERROR(H115-H114,0)</f>
        <v>0</v>
      </c>
      <c r="S114" s="45">
        <f t="shared" si="29"/>
        <v>0</v>
      </c>
      <c r="T114" s="45">
        <f t="shared" si="29"/>
        <v>0</v>
      </c>
      <c r="U114" s="46">
        <f t="shared" si="28"/>
        <v>0</v>
      </c>
      <c r="V114" s="46">
        <f t="shared" si="28"/>
        <v>0</v>
      </c>
      <c r="W114" s="46">
        <f t="shared" si="28"/>
        <v>0</v>
      </c>
      <c r="X114" s="46">
        <f t="shared" si="27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26"/>
        <v>0</v>
      </c>
      <c r="M115" s="45">
        <f t="shared" si="26"/>
        <v>0</v>
      </c>
      <c r="N115" s="45">
        <f t="shared" si="26"/>
        <v>0</v>
      </c>
      <c r="O115" s="45">
        <f t="shared" si="26"/>
        <v>0</v>
      </c>
      <c r="P115" s="45">
        <f t="shared" si="26"/>
        <v>0</v>
      </c>
      <c r="Q115" s="45">
        <f t="shared" si="26"/>
        <v>0</v>
      </c>
      <c r="R115" s="45">
        <f t="shared" si="29"/>
        <v>0</v>
      </c>
      <c r="S115" s="45">
        <f t="shared" si="29"/>
        <v>0</v>
      </c>
      <c r="T115" s="45">
        <f t="shared" si="29"/>
        <v>0</v>
      </c>
      <c r="U115" s="46">
        <f t="shared" si="28"/>
        <v>0</v>
      </c>
      <c r="V115" s="46">
        <f t="shared" si="28"/>
        <v>0</v>
      </c>
      <c r="W115" s="46">
        <f t="shared" si="28"/>
        <v>0</v>
      </c>
      <c r="X115" s="46">
        <f t="shared" si="27"/>
        <v>0</v>
      </c>
    </row>
    <row r="116" spans="1:24" ht="16.75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26"/>
        <v>0</v>
      </c>
      <c r="M116" s="45">
        <f t="shared" si="26"/>
        <v>0</v>
      </c>
      <c r="N116" s="45">
        <f t="shared" si="26"/>
        <v>0</v>
      </c>
      <c r="O116" s="45">
        <f t="shared" si="26"/>
        <v>0</v>
      </c>
      <c r="P116" s="45">
        <f t="shared" si="26"/>
        <v>0</v>
      </c>
      <c r="Q116" s="45">
        <f t="shared" si="26"/>
        <v>0</v>
      </c>
      <c r="R116" s="45">
        <f t="shared" si="29"/>
        <v>0</v>
      </c>
      <c r="S116" s="45">
        <f t="shared" si="29"/>
        <v>0</v>
      </c>
      <c r="T116" s="45">
        <f t="shared" si="29"/>
        <v>0</v>
      </c>
      <c r="U116" s="46">
        <f t="shared" si="28"/>
        <v>0</v>
      </c>
      <c r="V116" s="46">
        <f t="shared" si="28"/>
        <v>0</v>
      </c>
      <c r="W116" s="46">
        <f t="shared" si="28"/>
        <v>0</v>
      </c>
      <c r="X116" s="46">
        <f t="shared" si="27"/>
        <v>0</v>
      </c>
    </row>
    <row r="117" spans="1:24" ht="20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45">
        <f t="shared" si="26"/>
        <v>0</v>
      </c>
      <c r="M117" s="45">
        <f t="shared" si="26"/>
        <v>0</v>
      </c>
      <c r="N117" s="45">
        <f t="shared" si="26"/>
        <v>0</v>
      </c>
      <c r="O117" s="45">
        <f t="shared" si="26"/>
        <v>0</v>
      </c>
      <c r="P117" s="45">
        <f t="shared" si="26"/>
        <v>0</v>
      </c>
      <c r="Q117" s="45">
        <f t="shared" si="26"/>
        <v>0</v>
      </c>
      <c r="R117" s="45">
        <f t="shared" si="29"/>
        <v>0</v>
      </c>
      <c r="S117" s="45">
        <f t="shared" si="29"/>
        <v>0</v>
      </c>
      <c r="T117" s="45">
        <f t="shared" si="29"/>
        <v>0</v>
      </c>
      <c r="U117" s="46">
        <f t="shared" si="28"/>
        <v>0</v>
      </c>
      <c r="V117" s="46">
        <f t="shared" si="28"/>
        <v>0</v>
      </c>
      <c r="W117" s="46">
        <f t="shared" si="28"/>
        <v>0</v>
      </c>
      <c r="X117" s="46">
        <f t="shared" si="27"/>
        <v>0</v>
      </c>
    </row>
    <row r="118" spans="1:24" ht="20" customHeight="1" x14ac:dyDescent="0.35">
      <c r="A118" s="28"/>
      <c r="B118" s="29"/>
      <c r="C118" s="30"/>
      <c r="D118" s="30"/>
      <c r="E118" s="30"/>
      <c r="F118" s="30"/>
      <c r="G118" s="30"/>
      <c r="H118" s="30"/>
      <c r="I118" s="30"/>
      <c r="J118" s="33"/>
      <c r="L118" s="45">
        <f t="shared" si="26"/>
        <v>0</v>
      </c>
      <c r="M118" s="45">
        <f t="shared" si="26"/>
        <v>0</v>
      </c>
      <c r="N118" s="45">
        <f t="shared" si="26"/>
        <v>0</v>
      </c>
      <c r="O118" s="45">
        <f t="shared" si="26"/>
        <v>0</v>
      </c>
      <c r="P118" s="45">
        <f t="shared" si="26"/>
        <v>0</v>
      </c>
      <c r="Q118" s="45">
        <f t="shared" si="26"/>
        <v>0</v>
      </c>
      <c r="R118" s="45">
        <f t="shared" si="29"/>
        <v>0</v>
      </c>
      <c r="S118" s="45">
        <f t="shared" si="29"/>
        <v>0</v>
      </c>
      <c r="T118" s="45">
        <f t="shared" si="29"/>
        <v>0</v>
      </c>
      <c r="U118" s="46">
        <f t="shared" si="28"/>
        <v>0</v>
      </c>
      <c r="V118" s="46">
        <f t="shared" si="28"/>
        <v>0</v>
      </c>
      <c r="W118" s="46">
        <f t="shared" si="28"/>
        <v>0</v>
      </c>
      <c r="X118" s="46">
        <f t="shared" si="27"/>
        <v>0</v>
      </c>
    </row>
    <row r="119" spans="1:24" ht="20" customHeight="1" x14ac:dyDescent="0.35">
      <c r="A119" s="28"/>
      <c r="B119" s="29"/>
      <c r="C119" s="30"/>
      <c r="D119" s="30"/>
      <c r="E119" s="30"/>
      <c r="F119" s="30"/>
      <c r="G119" s="30"/>
      <c r="H119" s="30"/>
      <c r="I119" s="30"/>
      <c r="J119" s="33"/>
      <c r="L119" s="45">
        <f t="shared" si="26"/>
        <v>0</v>
      </c>
      <c r="M119" s="45">
        <f t="shared" si="26"/>
        <v>0</v>
      </c>
      <c r="N119" s="45">
        <f t="shared" si="26"/>
        <v>0</v>
      </c>
      <c r="O119" s="45">
        <f t="shared" si="26"/>
        <v>0</v>
      </c>
      <c r="P119" s="45">
        <f t="shared" si="26"/>
        <v>0</v>
      </c>
      <c r="Q119" s="45">
        <f t="shared" si="26"/>
        <v>0</v>
      </c>
      <c r="R119" s="45">
        <f t="shared" si="29"/>
        <v>0</v>
      </c>
      <c r="S119" s="45">
        <f t="shared" si="29"/>
        <v>0</v>
      </c>
      <c r="T119" s="45">
        <f t="shared" si="29"/>
        <v>0</v>
      </c>
      <c r="U119" s="46">
        <f t="shared" si="28"/>
        <v>0</v>
      </c>
      <c r="V119" s="46">
        <f t="shared" si="28"/>
        <v>0</v>
      </c>
      <c r="W119" s="46">
        <f t="shared" si="28"/>
        <v>0</v>
      </c>
      <c r="X119" s="46">
        <f t="shared" si="27"/>
        <v>0</v>
      </c>
    </row>
    <row r="120" spans="1:24" ht="20" customHeight="1" x14ac:dyDescent="0.35">
      <c r="A120" s="28"/>
      <c r="B120" s="29"/>
      <c r="C120" s="30"/>
      <c r="D120" s="30"/>
      <c r="E120" s="30"/>
      <c r="F120" s="30"/>
      <c r="G120" s="30"/>
      <c r="H120" s="30"/>
      <c r="I120" s="30"/>
      <c r="J120" s="33"/>
      <c r="L120" s="45">
        <f t="shared" si="26"/>
        <v>0</v>
      </c>
      <c r="M120" s="45">
        <f t="shared" si="26"/>
        <v>0</v>
      </c>
      <c r="N120" s="45">
        <f t="shared" si="26"/>
        <v>0</v>
      </c>
      <c r="O120" s="45">
        <f t="shared" si="26"/>
        <v>0</v>
      </c>
      <c r="P120" s="45">
        <f t="shared" si="26"/>
        <v>0</v>
      </c>
      <c r="Q120" s="45">
        <f t="shared" si="26"/>
        <v>0</v>
      </c>
      <c r="R120" s="45">
        <f t="shared" si="29"/>
        <v>0</v>
      </c>
      <c r="S120" s="45">
        <f t="shared" si="29"/>
        <v>0</v>
      </c>
      <c r="T120" s="45">
        <f t="shared" si="29"/>
        <v>0</v>
      </c>
      <c r="U120" s="46">
        <f t="shared" si="28"/>
        <v>0</v>
      </c>
      <c r="V120" s="46">
        <f t="shared" si="28"/>
        <v>0</v>
      </c>
      <c r="W120" s="46">
        <f t="shared" si="28"/>
        <v>0</v>
      </c>
      <c r="X120" s="46">
        <f t="shared" si="27"/>
        <v>0</v>
      </c>
    </row>
    <row r="121" spans="1:24" ht="20" customHeight="1" x14ac:dyDescent="0.35">
      <c r="A121" s="28"/>
      <c r="B121" s="29"/>
      <c r="C121" s="30"/>
      <c r="D121" s="30"/>
      <c r="E121" s="30"/>
      <c r="F121" s="30"/>
      <c r="G121" s="30"/>
      <c r="H121" s="30"/>
      <c r="I121" s="30"/>
      <c r="J121" s="33"/>
      <c r="L121" s="45">
        <f t="shared" si="26"/>
        <v>0</v>
      </c>
      <c r="M121" s="45">
        <f t="shared" si="26"/>
        <v>0</v>
      </c>
      <c r="N121" s="45">
        <f t="shared" si="26"/>
        <v>0</v>
      </c>
      <c r="O121" s="45">
        <f t="shared" si="26"/>
        <v>0</v>
      </c>
      <c r="P121" s="45">
        <f t="shared" si="26"/>
        <v>0</v>
      </c>
      <c r="Q121" s="45">
        <f t="shared" si="26"/>
        <v>0</v>
      </c>
      <c r="R121" s="45">
        <f t="shared" si="29"/>
        <v>0</v>
      </c>
      <c r="S121" s="45">
        <f t="shared" si="29"/>
        <v>0</v>
      </c>
      <c r="T121" s="45">
        <f t="shared" si="29"/>
        <v>0</v>
      </c>
      <c r="U121" s="46">
        <f t="shared" si="28"/>
        <v>0</v>
      </c>
      <c r="V121" s="46">
        <f t="shared" si="28"/>
        <v>0</v>
      </c>
      <c r="W121" s="46">
        <f t="shared" si="28"/>
        <v>0</v>
      </c>
      <c r="X121" s="46">
        <f t="shared" si="27"/>
        <v>0</v>
      </c>
    </row>
    <row r="122" spans="1:24" ht="20" customHeight="1" x14ac:dyDescent="0.35">
      <c r="A122" s="28"/>
      <c r="B122" s="29"/>
      <c r="C122" s="30"/>
      <c r="D122" s="30"/>
      <c r="E122" s="30"/>
      <c r="F122" s="30"/>
      <c r="G122" s="30"/>
      <c r="H122" s="30"/>
      <c r="I122" s="30"/>
      <c r="J122" s="33"/>
      <c r="L122" s="45">
        <f t="shared" si="26"/>
        <v>0</v>
      </c>
      <c r="M122" s="45">
        <f t="shared" si="26"/>
        <v>0</v>
      </c>
      <c r="N122" s="45">
        <f t="shared" si="26"/>
        <v>0</v>
      </c>
      <c r="O122" s="45">
        <f t="shared" si="26"/>
        <v>0</v>
      </c>
      <c r="P122" s="45">
        <f t="shared" si="26"/>
        <v>0</v>
      </c>
      <c r="Q122" s="45">
        <f t="shared" si="26"/>
        <v>0</v>
      </c>
      <c r="R122" s="45">
        <f t="shared" si="29"/>
        <v>0</v>
      </c>
      <c r="S122" s="45">
        <f t="shared" si="29"/>
        <v>0</v>
      </c>
      <c r="T122" s="45">
        <f t="shared" si="29"/>
        <v>0</v>
      </c>
      <c r="U122" s="46">
        <f t="shared" si="28"/>
        <v>0</v>
      </c>
      <c r="V122" s="46">
        <f t="shared" si="28"/>
        <v>0</v>
      </c>
      <c r="W122" s="46">
        <f t="shared" si="28"/>
        <v>0</v>
      </c>
      <c r="X122" s="46">
        <f t="shared" si="27"/>
        <v>0</v>
      </c>
    </row>
    <row r="123" spans="1:24" ht="20" customHeight="1" x14ac:dyDescent="0.35">
      <c r="A123" s="28"/>
      <c r="B123" s="29"/>
      <c r="C123" s="30"/>
      <c r="D123" s="30"/>
      <c r="E123" s="30"/>
      <c r="F123" s="30"/>
      <c r="G123" s="30"/>
      <c r="H123" s="30"/>
      <c r="I123" s="30"/>
      <c r="J123" s="33"/>
      <c r="L123" s="45">
        <f t="shared" si="26"/>
        <v>0</v>
      </c>
      <c r="M123" s="45">
        <f t="shared" si="26"/>
        <v>0</v>
      </c>
      <c r="N123" s="45">
        <f t="shared" si="26"/>
        <v>0</v>
      </c>
      <c r="O123" s="45">
        <f t="shared" si="26"/>
        <v>0</v>
      </c>
      <c r="P123" s="45">
        <f t="shared" si="26"/>
        <v>0</v>
      </c>
      <c r="Q123" s="45">
        <f t="shared" si="26"/>
        <v>0</v>
      </c>
      <c r="R123" s="45">
        <f t="shared" si="29"/>
        <v>0</v>
      </c>
      <c r="S123" s="45">
        <f t="shared" si="29"/>
        <v>0</v>
      </c>
      <c r="T123" s="45">
        <f t="shared" si="29"/>
        <v>0</v>
      </c>
      <c r="U123" s="46">
        <f t="shared" si="28"/>
        <v>0</v>
      </c>
      <c r="V123" s="46">
        <f t="shared" si="28"/>
        <v>0</v>
      </c>
      <c r="W123" s="46">
        <f t="shared" si="28"/>
        <v>0</v>
      </c>
      <c r="X123" s="46">
        <f t="shared" si="27"/>
        <v>0</v>
      </c>
    </row>
    <row r="124" spans="1:24" ht="20" customHeight="1" x14ac:dyDescent="0.35">
      <c r="A124" s="28"/>
      <c r="B124" s="29"/>
      <c r="C124" s="30"/>
      <c r="D124" s="30"/>
      <c r="E124" s="30"/>
      <c r="F124" s="30"/>
      <c r="G124" s="30"/>
      <c r="H124" s="30"/>
      <c r="I124" s="30"/>
      <c r="J124" s="33"/>
      <c r="L124" s="45">
        <f t="shared" si="26"/>
        <v>0</v>
      </c>
      <c r="M124" s="45">
        <f t="shared" si="26"/>
        <v>0</v>
      </c>
      <c r="N124" s="45">
        <f t="shared" si="26"/>
        <v>0</v>
      </c>
      <c r="O124" s="45">
        <f t="shared" si="26"/>
        <v>0</v>
      </c>
      <c r="P124" s="45">
        <f t="shared" si="26"/>
        <v>0</v>
      </c>
      <c r="Q124" s="45">
        <f t="shared" si="26"/>
        <v>0</v>
      </c>
      <c r="R124" s="45">
        <f t="shared" si="29"/>
        <v>0</v>
      </c>
      <c r="S124" s="45">
        <f t="shared" si="29"/>
        <v>0</v>
      </c>
      <c r="T124" s="45">
        <f t="shared" si="29"/>
        <v>0</v>
      </c>
      <c r="U124" s="46">
        <f t="shared" si="28"/>
        <v>0</v>
      </c>
      <c r="V124" s="46">
        <f t="shared" si="28"/>
        <v>0</v>
      </c>
      <c r="W124" s="46">
        <f t="shared" si="28"/>
        <v>0</v>
      </c>
      <c r="X124" s="46">
        <f t="shared" si="27"/>
        <v>0</v>
      </c>
    </row>
    <row r="125" spans="1:24" ht="20" customHeight="1" x14ac:dyDescent="0.35">
      <c r="A125" s="28"/>
      <c r="B125" s="29"/>
      <c r="C125" s="30"/>
      <c r="D125" s="30"/>
      <c r="E125" s="30"/>
      <c r="F125" s="30"/>
      <c r="G125" s="30"/>
      <c r="H125" s="30"/>
      <c r="I125" s="30"/>
      <c r="J125" s="33"/>
      <c r="L125" s="45">
        <f t="shared" si="26"/>
        <v>0</v>
      </c>
      <c r="M125" s="45">
        <f t="shared" si="26"/>
        <v>0</v>
      </c>
      <c r="N125" s="45">
        <f t="shared" si="26"/>
        <v>0</v>
      </c>
      <c r="O125" s="45">
        <f t="shared" si="26"/>
        <v>0</v>
      </c>
      <c r="P125" s="45">
        <f t="shared" si="26"/>
        <v>0</v>
      </c>
      <c r="Q125" s="45">
        <f t="shared" si="26"/>
        <v>0</v>
      </c>
      <c r="R125" s="45">
        <f t="shared" si="29"/>
        <v>0</v>
      </c>
      <c r="S125" s="45">
        <f t="shared" si="29"/>
        <v>0</v>
      </c>
      <c r="T125" s="45">
        <f t="shared" si="29"/>
        <v>0</v>
      </c>
      <c r="U125" s="46">
        <f t="shared" si="28"/>
        <v>0</v>
      </c>
      <c r="V125" s="46">
        <f t="shared" si="28"/>
        <v>0</v>
      </c>
      <c r="W125" s="46">
        <f t="shared" si="28"/>
        <v>0</v>
      </c>
      <c r="X125" s="46">
        <f t="shared" si="27"/>
        <v>0</v>
      </c>
    </row>
    <row r="126" spans="1:24" ht="20" customHeight="1" x14ac:dyDescent="0.35">
      <c r="A126" s="28"/>
      <c r="B126" s="29"/>
      <c r="C126" s="30"/>
      <c r="D126" s="30"/>
      <c r="E126" s="30"/>
      <c r="F126" s="30"/>
      <c r="G126" s="30"/>
      <c r="H126" s="30"/>
      <c r="I126" s="30"/>
      <c r="J126" s="33"/>
      <c r="L126" s="45">
        <f t="shared" si="26"/>
        <v>0</v>
      </c>
      <c r="M126" s="45">
        <f t="shared" si="26"/>
        <v>0</v>
      </c>
      <c r="N126" s="45">
        <f t="shared" si="26"/>
        <v>0</v>
      </c>
      <c r="O126" s="45">
        <f t="shared" si="26"/>
        <v>0</v>
      </c>
      <c r="P126" s="45">
        <f t="shared" si="26"/>
        <v>0</v>
      </c>
      <c r="Q126" s="45">
        <f t="shared" si="26"/>
        <v>0</v>
      </c>
      <c r="R126" s="45">
        <f t="shared" si="29"/>
        <v>0</v>
      </c>
      <c r="S126" s="45">
        <f t="shared" si="29"/>
        <v>0</v>
      </c>
      <c r="T126" s="45">
        <f t="shared" si="29"/>
        <v>0</v>
      </c>
      <c r="U126" s="46">
        <f t="shared" si="28"/>
        <v>0</v>
      </c>
      <c r="V126" s="46">
        <f t="shared" si="28"/>
        <v>0</v>
      </c>
      <c r="W126" s="46">
        <f t="shared" si="28"/>
        <v>0</v>
      </c>
      <c r="X126" s="46">
        <f t="shared" si="27"/>
        <v>0</v>
      </c>
    </row>
    <row r="127" spans="1:24" ht="20" customHeight="1" x14ac:dyDescent="0.35">
      <c r="A127" s="28"/>
      <c r="B127" s="29"/>
      <c r="C127" s="30"/>
      <c r="D127" s="30"/>
      <c r="E127" s="30"/>
      <c r="F127" s="30"/>
      <c r="G127" s="30"/>
      <c r="H127" s="30"/>
      <c r="I127" s="30"/>
      <c r="J127" s="33"/>
      <c r="L127" s="45">
        <f t="shared" si="26"/>
        <v>0</v>
      </c>
      <c r="M127" s="45">
        <f t="shared" si="26"/>
        <v>0</v>
      </c>
      <c r="N127" s="45">
        <f t="shared" si="26"/>
        <v>0</v>
      </c>
      <c r="O127" s="45">
        <f t="shared" si="26"/>
        <v>0</v>
      </c>
      <c r="P127" s="45">
        <f t="shared" si="26"/>
        <v>0</v>
      </c>
      <c r="Q127" s="45">
        <f t="shared" si="26"/>
        <v>0</v>
      </c>
      <c r="R127" s="45">
        <f t="shared" si="29"/>
        <v>0</v>
      </c>
      <c r="S127" s="45">
        <f t="shared" si="29"/>
        <v>0</v>
      </c>
      <c r="T127" s="45">
        <f t="shared" si="29"/>
        <v>0</v>
      </c>
      <c r="U127" s="46">
        <f t="shared" si="28"/>
        <v>0</v>
      </c>
      <c r="V127" s="46">
        <f t="shared" si="28"/>
        <v>0</v>
      </c>
      <c r="W127" s="46">
        <f t="shared" si="28"/>
        <v>0</v>
      </c>
      <c r="X127" s="46">
        <f t="shared" si="27"/>
        <v>0</v>
      </c>
    </row>
    <row r="128" spans="1:24" ht="20" customHeight="1" x14ac:dyDescent="0.35">
      <c r="A128" s="28"/>
      <c r="B128" s="29"/>
      <c r="C128" s="30"/>
      <c r="D128" s="30"/>
      <c r="E128" s="30"/>
      <c r="F128" s="30"/>
      <c r="G128" s="30"/>
      <c r="H128" s="30"/>
      <c r="I128" s="30"/>
      <c r="J128" s="33"/>
      <c r="L128" s="45">
        <f t="shared" si="26"/>
        <v>0</v>
      </c>
      <c r="M128" s="45">
        <f t="shared" si="26"/>
        <v>0</v>
      </c>
      <c r="N128" s="45">
        <f t="shared" si="26"/>
        <v>0</v>
      </c>
      <c r="O128" s="45">
        <f t="shared" si="26"/>
        <v>0</v>
      </c>
      <c r="P128" s="45">
        <f t="shared" si="26"/>
        <v>0</v>
      </c>
      <c r="Q128" s="45">
        <f t="shared" si="26"/>
        <v>0</v>
      </c>
      <c r="R128" s="45">
        <f t="shared" si="29"/>
        <v>0</v>
      </c>
      <c r="S128" s="45">
        <f t="shared" si="29"/>
        <v>0</v>
      </c>
      <c r="T128" s="45">
        <f t="shared" si="29"/>
        <v>0</v>
      </c>
      <c r="U128" s="46">
        <f t="shared" si="28"/>
        <v>0</v>
      </c>
      <c r="V128" s="46">
        <f t="shared" si="28"/>
        <v>0</v>
      </c>
      <c r="W128" s="46">
        <f t="shared" si="28"/>
        <v>0</v>
      </c>
      <c r="X128" s="46">
        <f t="shared" si="27"/>
        <v>0</v>
      </c>
    </row>
    <row r="129" spans="1:24" ht="20" customHeight="1" x14ac:dyDescent="0.35">
      <c r="A129" s="28"/>
      <c r="B129" s="29"/>
      <c r="C129" s="30"/>
      <c r="D129" s="30"/>
      <c r="E129" s="30"/>
      <c r="F129" s="30"/>
      <c r="G129" s="30"/>
      <c r="H129" s="30"/>
      <c r="I129" s="30"/>
      <c r="J129" s="33"/>
      <c r="L129" s="45">
        <f t="shared" si="26"/>
        <v>0</v>
      </c>
      <c r="M129" s="45">
        <f t="shared" si="26"/>
        <v>0</v>
      </c>
      <c r="N129" s="45">
        <f t="shared" si="26"/>
        <v>0</v>
      </c>
      <c r="O129" s="45">
        <f t="shared" si="26"/>
        <v>0</v>
      </c>
      <c r="P129" s="45">
        <f t="shared" si="26"/>
        <v>0</v>
      </c>
      <c r="Q129" s="45">
        <f t="shared" si="26"/>
        <v>0</v>
      </c>
      <c r="R129" s="45">
        <f t="shared" si="29"/>
        <v>0</v>
      </c>
      <c r="S129" s="45">
        <f t="shared" si="29"/>
        <v>0</v>
      </c>
      <c r="T129" s="45">
        <f t="shared" si="29"/>
        <v>0</v>
      </c>
      <c r="U129" s="46">
        <f t="shared" si="28"/>
        <v>0</v>
      </c>
      <c r="V129" s="46">
        <f t="shared" si="28"/>
        <v>0</v>
      </c>
      <c r="W129" s="46">
        <f t="shared" si="28"/>
        <v>0</v>
      </c>
      <c r="X129" s="46">
        <f t="shared" si="27"/>
        <v>0</v>
      </c>
    </row>
    <row r="130" spans="1:24" ht="20" customHeight="1" x14ac:dyDescent="0.35">
      <c r="A130" s="28"/>
      <c r="B130" s="29"/>
      <c r="C130" s="30"/>
      <c r="D130" s="30"/>
      <c r="E130" s="30"/>
      <c r="F130" s="30"/>
      <c r="G130" s="30"/>
      <c r="H130" s="30"/>
      <c r="I130" s="30"/>
      <c r="J130" s="33"/>
      <c r="L130" s="45">
        <f t="shared" si="26"/>
        <v>0</v>
      </c>
      <c r="M130" s="45">
        <f t="shared" si="26"/>
        <v>0</v>
      </c>
      <c r="N130" s="45">
        <f t="shared" si="26"/>
        <v>0</v>
      </c>
      <c r="O130" s="45">
        <f t="shared" si="26"/>
        <v>0</v>
      </c>
      <c r="P130" s="45">
        <f t="shared" si="26"/>
        <v>0</v>
      </c>
      <c r="Q130" s="45">
        <f t="shared" si="26"/>
        <v>0</v>
      </c>
      <c r="R130" s="45">
        <f t="shared" si="29"/>
        <v>0</v>
      </c>
      <c r="S130" s="45">
        <f t="shared" si="29"/>
        <v>0</v>
      </c>
      <c r="T130" s="45">
        <f t="shared" si="29"/>
        <v>0</v>
      </c>
      <c r="U130" s="46">
        <f t="shared" si="28"/>
        <v>0</v>
      </c>
      <c r="V130" s="46">
        <f t="shared" si="28"/>
        <v>0</v>
      </c>
      <c r="W130" s="46">
        <f t="shared" si="28"/>
        <v>0</v>
      </c>
      <c r="X130" s="46">
        <f t="shared" si="27"/>
        <v>0</v>
      </c>
    </row>
    <row r="131" spans="1:24" ht="20" customHeight="1" x14ac:dyDescent="0.35">
      <c r="A131" s="28"/>
      <c r="B131" s="29"/>
      <c r="C131" s="30"/>
      <c r="D131" s="30"/>
      <c r="E131" s="30"/>
      <c r="F131" s="30"/>
      <c r="G131" s="30"/>
      <c r="H131" s="30"/>
      <c r="I131" s="30"/>
      <c r="J131" s="33"/>
      <c r="L131" s="45">
        <f t="shared" si="26"/>
        <v>0</v>
      </c>
      <c r="M131" s="45">
        <f t="shared" si="26"/>
        <v>0</v>
      </c>
      <c r="N131" s="45">
        <f t="shared" si="26"/>
        <v>0</v>
      </c>
      <c r="O131" s="45">
        <f t="shared" si="26"/>
        <v>0</v>
      </c>
      <c r="P131" s="45">
        <f t="shared" si="26"/>
        <v>0</v>
      </c>
      <c r="Q131" s="45">
        <f t="shared" si="26"/>
        <v>0</v>
      </c>
      <c r="R131" s="45">
        <f t="shared" si="29"/>
        <v>0</v>
      </c>
      <c r="S131" s="45">
        <f t="shared" si="29"/>
        <v>0</v>
      </c>
      <c r="T131" s="45">
        <f t="shared" si="29"/>
        <v>0</v>
      </c>
      <c r="U131" s="46">
        <f t="shared" si="28"/>
        <v>0</v>
      </c>
      <c r="V131" s="46">
        <f t="shared" si="28"/>
        <v>0</v>
      </c>
      <c r="W131" s="46">
        <f t="shared" si="28"/>
        <v>0</v>
      </c>
      <c r="X131" s="46">
        <f t="shared" si="27"/>
        <v>0</v>
      </c>
    </row>
    <row r="132" spans="1:24" ht="20" customHeight="1" x14ac:dyDescent="0.35">
      <c r="A132" s="28"/>
      <c r="B132" s="29"/>
      <c r="C132" s="30"/>
      <c r="D132" s="30"/>
      <c r="E132" s="30"/>
      <c r="F132" s="30"/>
      <c r="G132" s="30"/>
      <c r="H132" s="30"/>
      <c r="I132" s="30"/>
      <c r="J132" s="33"/>
      <c r="L132" s="45">
        <f t="shared" si="26"/>
        <v>0</v>
      </c>
      <c r="M132" s="45">
        <f t="shared" si="26"/>
        <v>0</v>
      </c>
      <c r="N132" s="45">
        <f t="shared" si="26"/>
        <v>0</v>
      </c>
      <c r="O132" s="45">
        <f t="shared" si="26"/>
        <v>0</v>
      </c>
      <c r="P132" s="45">
        <f t="shared" si="26"/>
        <v>0</v>
      </c>
      <c r="Q132" s="45">
        <f t="shared" si="26"/>
        <v>0</v>
      </c>
      <c r="R132" s="45">
        <f t="shared" si="29"/>
        <v>0</v>
      </c>
      <c r="S132" s="45">
        <f t="shared" si="29"/>
        <v>0</v>
      </c>
      <c r="T132" s="45">
        <f t="shared" si="29"/>
        <v>0</v>
      </c>
      <c r="U132" s="46">
        <f t="shared" si="28"/>
        <v>0</v>
      </c>
      <c r="V132" s="46">
        <f t="shared" si="28"/>
        <v>0</v>
      </c>
      <c r="W132" s="46">
        <f t="shared" si="28"/>
        <v>0</v>
      </c>
      <c r="X132" s="46">
        <f t="shared" si="27"/>
        <v>0</v>
      </c>
    </row>
    <row r="133" spans="1:24" ht="20" customHeight="1" x14ac:dyDescent="0.35">
      <c r="A133" s="28"/>
      <c r="B133" s="29"/>
      <c r="C133" s="30"/>
      <c r="D133" s="30"/>
      <c r="E133" s="30"/>
      <c r="F133" s="30"/>
      <c r="G133" s="30"/>
      <c r="H133" s="30"/>
      <c r="I133" s="30"/>
      <c r="J133" s="33"/>
      <c r="L133" s="45">
        <f t="shared" si="26"/>
        <v>0</v>
      </c>
      <c r="M133" s="45">
        <f t="shared" si="26"/>
        <v>0</v>
      </c>
      <c r="N133" s="45">
        <f t="shared" si="26"/>
        <v>0</v>
      </c>
      <c r="O133" s="45">
        <f t="shared" si="26"/>
        <v>0</v>
      </c>
      <c r="P133" s="45">
        <f t="shared" si="26"/>
        <v>0</v>
      </c>
      <c r="Q133" s="45">
        <f t="shared" si="26"/>
        <v>0</v>
      </c>
      <c r="R133" s="45">
        <f t="shared" si="29"/>
        <v>0</v>
      </c>
      <c r="S133" s="45">
        <f t="shared" si="29"/>
        <v>0</v>
      </c>
      <c r="T133" s="45">
        <f t="shared" si="29"/>
        <v>0</v>
      </c>
      <c r="U133" s="46">
        <f t="shared" si="28"/>
        <v>0</v>
      </c>
      <c r="V133" s="46">
        <f t="shared" si="28"/>
        <v>0</v>
      </c>
      <c r="W133" s="46">
        <f t="shared" si="28"/>
        <v>0</v>
      </c>
      <c r="X133" s="46">
        <f t="shared" si="27"/>
        <v>0</v>
      </c>
    </row>
    <row r="134" spans="1:24" ht="16.75" customHeight="1" x14ac:dyDescent="0.35">
      <c r="A134" s="28"/>
      <c r="B134" s="29"/>
      <c r="C134" s="30"/>
      <c r="D134" s="30"/>
      <c r="E134" s="30"/>
      <c r="F134" s="30"/>
      <c r="G134" s="30"/>
      <c r="H134" s="30"/>
      <c r="I134" s="30"/>
      <c r="J134" s="33"/>
      <c r="L134" s="45">
        <f t="shared" si="26"/>
        <v>0</v>
      </c>
      <c r="M134" s="45">
        <f t="shared" si="26"/>
        <v>0</v>
      </c>
      <c r="N134" s="45">
        <f t="shared" si="26"/>
        <v>0</v>
      </c>
      <c r="O134" s="45">
        <f t="shared" si="26"/>
        <v>0</v>
      </c>
      <c r="P134" s="45">
        <f t="shared" si="26"/>
        <v>0</v>
      </c>
      <c r="Q134" s="45">
        <f t="shared" si="26"/>
        <v>0</v>
      </c>
      <c r="R134" s="45">
        <f t="shared" si="29"/>
        <v>0</v>
      </c>
      <c r="S134" s="45">
        <f t="shared" si="29"/>
        <v>0</v>
      </c>
      <c r="T134" s="45">
        <f t="shared" si="29"/>
        <v>0</v>
      </c>
      <c r="U134" s="46">
        <f t="shared" si="28"/>
        <v>0</v>
      </c>
      <c r="V134" s="46">
        <f t="shared" si="28"/>
        <v>0</v>
      </c>
      <c r="W134" s="46">
        <f t="shared" si="28"/>
        <v>0</v>
      </c>
      <c r="X134" s="46">
        <f t="shared" si="27"/>
        <v>0</v>
      </c>
    </row>
    <row r="135" spans="1:24" ht="20" customHeight="1" x14ac:dyDescent="0.35">
      <c r="A135" s="28"/>
      <c r="B135" s="29"/>
      <c r="C135" s="30"/>
      <c r="D135" s="30"/>
      <c r="E135" s="30"/>
      <c r="F135" s="30"/>
      <c r="G135" s="30"/>
      <c r="H135" s="30"/>
      <c r="I135" s="30"/>
      <c r="J135" s="33"/>
      <c r="L135" s="45">
        <f t="shared" si="26"/>
        <v>0</v>
      </c>
      <c r="M135" s="45">
        <f t="shared" si="26"/>
        <v>0</v>
      </c>
      <c r="N135" s="45">
        <f t="shared" si="26"/>
        <v>0</v>
      </c>
      <c r="O135" s="45">
        <f t="shared" si="26"/>
        <v>0</v>
      </c>
      <c r="P135" s="45">
        <f t="shared" si="26"/>
        <v>0</v>
      </c>
      <c r="Q135" s="45">
        <f t="shared" si="26"/>
        <v>0</v>
      </c>
      <c r="R135" s="45">
        <f t="shared" si="29"/>
        <v>0</v>
      </c>
      <c r="S135" s="45">
        <f t="shared" si="29"/>
        <v>0</v>
      </c>
      <c r="T135" s="45">
        <f t="shared" si="29"/>
        <v>0</v>
      </c>
      <c r="U135" s="46">
        <f t="shared" si="28"/>
        <v>0</v>
      </c>
      <c r="V135" s="46">
        <f t="shared" si="28"/>
        <v>0</v>
      </c>
      <c r="W135" s="46">
        <f t="shared" si="28"/>
        <v>0</v>
      </c>
      <c r="X135" s="46">
        <f t="shared" si="27"/>
        <v>0</v>
      </c>
    </row>
    <row r="136" spans="1:24" ht="20" customHeight="1" x14ac:dyDescent="0.35">
      <c r="A136" s="28"/>
      <c r="B136" s="29"/>
      <c r="C136" s="30"/>
      <c r="D136" s="30"/>
      <c r="E136" s="30"/>
      <c r="F136" s="30"/>
      <c r="G136" s="30"/>
      <c r="H136" s="30"/>
      <c r="I136" s="30"/>
      <c r="J136" s="33"/>
      <c r="L136" s="45">
        <f t="shared" si="26"/>
        <v>0</v>
      </c>
      <c r="M136" s="45">
        <f t="shared" si="26"/>
        <v>0</v>
      </c>
      <c r="N136" s="45">
        <f t="shared" si="26"/>
        <v>0</v>
      </c>
      <c r="O136" s="45">
        <f t="shared" ref="O136:Q151" si="30">IFERROR(E137-E136,0)</f>
        <v>0</v>
      </c>
      <c r="P136" s="45">
        <f t="shared" si="30"/>
        <v>0</v>
      </c>
      <c r="Q136" s="45">
        <f t="shared" si="30"/>
        <v>0</v>
      </c>
      <c r="R136" s="45">
        <f t="shared" si="29"/>
        <v>0</v>
      </c>
      <c r="S136" s="45">
        <f t="shared" si="29"/>
        <v>0</v>
      </c>
      <c r="T136" s="45">
        <f t="shared" si="29"/>
        <v>0</v>
      </c>
      <c r="U136" s="46">
        <f t="shared" si="28"/>
        <v>0</v>
      </c>
      <c r="V136" s="46">
        <f t="shared" si="28"/>
        <v>0</v>
      </c>
      <c r="W136" s="46">
        <f t="shared" si="28"/>
        <v>0</v>
      </c>
      <c r="X136" s="46">
        <f t="shared" si="27"/>
        <v>0</v>
      </c>
    </row>
    <row r="137" spans="1:24" ht="20" customHeight="1" x14ac:dyDescent="0.35">
      <c r="A137" s="28"/>
      <c r="B137" s="29"/>
      <c r="C137" s="30"/>
      <c r="D137" s="30"/>
      <c r="E137" s="30"/>
      <c r="F137" s="30"/>
      <c r="G137" s="30"/>
      <c r="H137" s="30"/>
      <c r="I137" s="30"/>
      <c r="J137" s="33"/>
      <c r="L137" s="45">
        <f t="shared" ref="L137:N151" si="31">IFERROR(B138-B137,0)</f>
        <v>0</v>
      </c>
      <c r="M137" s="45">
        <f t="shared" si="31"/>
        <v>0</v>
      </c>
      <c r="N137" s="45">
        <f t="shared" si="31"/>
        <v>0</v>
      </c>
      <c r="O137" s="45">
        <f t="shared" si="30"/>
        <v>0</v>
      </c>
      <c r="P137" s="45">
        <f t="shared" si="30"/>
        <v>0</v>
      </c>
      <c r="Q137" s="45">
        <f t="shared" si="30"/>
        <v>0</v>
      </c>
      <c r="R137" s="45">
        <f t="shared" si="29"/>
        <v>0</v>
      </c>
      <c r="S137" s="45">
        <f t="shared" si="29"/>
        <v>0</v>
      </c>
      <c r="T137" s="45">
        <f t="shared" si="29"/>
        <v>0</v>
      </c>
      <c r="U137" s="46">
        <f t="shared" si="28"/>
        <v>0</v>
      </c>
      <c r="V137" s="46">
        <f t="shared" si="28"/>
        <v>0</v>
      </c>
      <c r="W137" s="46">
        <f t="shared" si="28"/>
        <v>0</v>
      </c>
      <c r="X137" s="46">
        <f t="shared" ref="X137:X152" si="32">O137+P137+T137</f>
        <v>0</v>
      </c>
    </row>
    <row r="138" spans="1:24" ht="20" customHeight="1" x14ac:dyDescent="0.35">
      <c r="A138" s="28"/>
      <c r="B138" s="29"/>
      <c r="C138" s="30"/>
      <c r="D138" s="30"/>
      <c r="E138" s="30"/>
      <c r="F138" s="30"/>
      <c r="G138" s="30"/>
      <c r="H138" s="30"/>
      <c r="I138" s="30"/>
      <c r="J138" s="33"/>
      <c r="L138" s="45">
        <f t="shared" si="31"/>
        <v>0</v>
      </c>
      <c r="M138" s="45">
        <f t="shared" si="31"/>
        <v>0</v>
      </c>
      <c r="N138" s="45">
        <f t="shared" si="31"/>
        <v>0</v>
      </c>
      <c r="O138" s="45">
        <f t="shared" si="30"/>
        <v>0</v>
      </c>
      <c r="P138" s="45">
        <f t="shared" si="30"/>
        <v>0</v>
      </c>
      <c r="Q138" s="45">
        <f t="shared" si="30"/>
        <v>0</v>
      </c>
      <c r="R138" s="45">
        <f t="shared" si="29"/>
        <v>0</v>
      </c>
      <c r="S138" s="45">
        <f t="shared" si="29"/>
        <v>0</v>
      </c>
      <c r="T138" s="45">
        <f t="shared" si="29"/>
        <v>0</v>
      </c>
      <c r="U138" s="46">
        <f t="shared" si="28"/>
        <v>0</v>
      </c>
      <c r="V138" s="46">
        <f t="shared" si="28"/>
        <v>0</v>
      </c>
      <c r="W138" s="46">
        <f t="shared" si="28"/>
        <v>0</v>
      </c>
      <c r="X138" s="46">
        <f t="shared" si="32"/>
        <v>0</v>
      </c>
    </row>
    <row r="139" spans="1:24" ht="20" customHeight="1" x14ac:dyDescent="0.35">
      <c r="A139" s="28"/>
      <c r="B139" s="29"/>
      <c r="C139" s="30"/>
      <c r="D139" s="30"/>
      <c r="E139" s="30"/>
      <c r="F139" s="30"/>
      <c r="G139" s="30"/>
      <c r="H139" s="30"/>
      <c r="I139" s="30"/>
      <c r="J139" s="33"/>
      <c r="L139" s="45">
        <f t="shared" si="31"/>
        <v>0</v>
      </c>
      <c r="M139" s="45">
        <f t="shared" si="31"/>
        <v>0</v>
      </c>
      <c r="N139" s="45">
        <f t="shared" si="31"/>
        <v>0</v>
      </c>
      <c r="O139" s="45">
        <f t="shared" si="30"/>
        <v>0</v>
      </c>
      <c r="P139" s="45">
        <f t="shared" si="30"/>
        <v>0</v>
      </c>
      <c r="Q139" s="45">
        <f t="shared" si="30"/>
        <v>0</v>
      </c>
      <c r="R139" s="45">
        <f t="shared" si="29"/>
        <v>0</v>
      </c>
      <c r="S139" s="45">
        <f t="shared" si="29"/>
        <v>0</v>
      </c>
      <c r="T139" s="45">
        <f t="shared" si="29"/>
        <v>0</v>
      </c>
      <c r="U139" s="46">
        <f t="shared" si="28"/>
        <v>0</v>
      </c>
      <c r="V139" s="46">
        <f t="shared" si="28"/>
        <v>0</v>
      </c>
      <c r="W139" s="46">
        <f t="shared" si="28"/>
        <v>0</v>
      </c>
      <c r="X139" s="46">
        <f t="shared" si="32"/>
        <v>0</v>
      </c>
    </row>
    <row r="140" spans="1:24" ht="20" customHeight="1" x14ac:dyDescent="0.35">
      <c r="A140" s="28"/>
      <c r="B140" s="29"/>
      <c r="C140" s="30"/>
      <c r="D140" s="30"/>
      <c r="E140" s="30"/>
      <c r="F140" s="30"/>
      <c r="G140" s="30"/>
      <c r="H140" s="30"/>
      <c r="I140" s="30"/>
      <c r="J140" s="33"/>
      <c r="L140" s="45">
        <f t="shared" si="31"/>
        <v>0</v>
      </c>
      <c r="M140" s="45">
        <f t="shared" si="31"/>
        <v>0</v>
      </c>
      <c r="N140" s="45">
        <f t="shared" si="31"/>
        <v>0</v>
      </c>
      <c r="O140" s="45">
        <f t="shared" si="30"/>
        <v>0</v>
      </c>
      <c r="P140" s="45">
        <f t="shared" si="30"/>
        <v>0</v>
      </c>
      <c r="Q140" s="45">
        <f t="shared" si="30"/>
        <v>0</v>
      </c>
      <c r="R140" s="45">
        <f t="shared" si="29"/>
        <v>0</v>
      </c>
      <c r="S140" s="45">
        <f t="shared" si="29"/>
        <v>0</v>
      </c>
      <c r="T140" s="45">
        <f t="shared" si="29"/>
        <v>0</v>
      </c>
      <c r="U140" s="46">
        <f t="shared" si="28"/>
        <v>0</v>
      </c>
      <c r="V140" s="46">
        <f t="shared" si="28"/>
        <v>0</v>
      </c>
      <c r="W140" s="46">
        <f t="shared" si="28"/>
        <v>0</v>
      </c>
      <c r="X140" s="46">
        <f t="shared" si="32"/>
        <v>0</v>
      </c>
    </row>
    <row r="141" spans="1:24" ht="20" customHeight="1" x14ac:dyDescent="0.35">
      <c r="A141" s="28"/>
      <c r="B141" s="29"/>
      <c r="C141" s="30"/>
      <c r="D141" s="30"/>
      <c r="E141" s="30"/>
      <c r="F141" s="30"/>
      <c r="G141" s="30"/>
      <c r="H141" s="30"/>
      <c r="I141" s="30"/>
      <c r="J141" s="33"/>
      <c r="L141" s="45">
        <f t="shared" si="31"/>
        <v>0</v>
      </c>
      <c r="M141" s="45">
        <f t="shared" si="31"/>
        <v>0</v>
      </c>
      <c r="N141" s="45">
        <f t="shared" si="31"/>
        <v>0</v>
      </c>
      <c r="O141" s="45">
        <f t="shared" si="30"/>
        <v>0</v>
      </c>
      <c r="P141" s="45">
        <f t="shared" si="30"/>
        <v>0</v>
      </c>
      <c r="Q141" s="45">
        <f t="shared" si="30"/>
        <v>0</v>
      </c>
      <c r="R141" s="45">
        <f t="shared" si="29"/>
        <v>0</v>
      </c>
      <c r="S141" s="45">
        <f t="shared" si="29"/>
        <v>0</v>
      </c>
      <c r="T141" s="45">
        <f t="shared" si="29"/>
        <v>0</v>
      </c>
      <c r="U141" s="46">
        <f t="shared" si="28"/>
        <v>0</v>
      </c>
      <c r="V141" s="46">
        <f t="shared" si="28"/>
        <v>0</v>
      </c>
      <c r="W141" s="46">
        <f t="shared" si="28"/>
        <v>0</v>
      </c>
      <c r="X141" s="46">
        <f t="shared" si="32"/>
        <v>0</v>
      </c>
    </row>
    <row r="142" spans="1:24" ht="20" customHeight="1" x14ac:dyDescent="0.35">
      <c r="A142" s="28"/>
      <c r="B142" s="29"/>
      <c r="C142" s="30"/>
      <c r="D142" s="30"/>
      <c r="E142" s="30"/>
      <c r="F142" s="30"/>
      <c r="G142" s="30"/>
      <c r="H142" s="30"/>
      <c r="I142" s="30"/>
      <c r="J142" s="33"/>
      <c r="L142" s="45">
        <f t="shared" si="31"/>
        <v>0</v>
      </c>
      <c r="M142" s="45">
        <f t="shared" si="31"/>
        <v>0</v>
      </c>
      <c r="N142" s="45">
        <f t="shared" si="31"/>
        <v>0</v>
      </c>
      <c r="O142" s="45">
        <f t="shared" si="30"/>
        <v>0</v>
      </c>
      <c r="P142" s="45">
        <f t="shared" si="30"/>
        <v>0</v>
      </c>
      <c r="Q142" s="45">
        <f t="shared" si="30"/>
        <v>0</v>
      </c>
      <c r="R142" s="45">
        <f t="shared" si="29"/>
        <v>0</v>
      </c>
      <c r="S142" s="45">
        <f t="shared" si="29"/>
        <v>0</v>
      </c>
      <c r="T142" s="45">
        <f t="shared" si="29"/>
        <v>0</v>
      </c>
      <c r="U142" s="46">
        <f t="shared" si="28"/>
        <v>0</v>
      </c>
      <c r="V142" s="46">
        <f t="shared" si="28"/>
        <v>0</v>
      </c>
      <c r="W142" s="46">
        <f t="shared" si="28"/>
        <v>0</v>
      </c>
      <c r="X142" s="46">
        <f t="shared" si="32"/>
        <v>0</v>
      </c>
    </row>
    <row r="143" spans="1:24" ht="20" customHeight="1" x14ac:dyDescent="0.35">
      <c r="A143" s="28"/>
      <c r="B143" s="29"/>
      <c r="C143" s="30"/>
      <c r="D143" s="30"/>
      <c r="E143" s="30"/>
      <c r="F143" s="30"/>
      <c r="G143" s="30"/>
      <c r="H143" s="30"/>
      <c r="I143" s="30"/>
      <c r="J143" s="33"/>
      <c r="L143" s="45">
        <f t="shared" si="31"/>
        <v>0</v>
      </c>
      <c r="M143" s="45">
        <f t="shared" si="31"/>
        <v>0</v>
      </c>
      <c r="N143" s="45">
        <f t="shared" si="31"/>
        <v>0</v>
      </c>
      <c r="O143" s="45">
        <f t="shared" si="30"/>
        <v>0</v>
      </c>
      <c r="P143" s="45">
        <f t="shared" si="30"/>
        <v>0</v>
      </c>
      <c r="Q143" s="45">
        <f t="shared" si="30"/>
        <v>0</v>
      </c>
      <c r="R143" s="45">
        <f t="shared" si="29"/>
        <v>0</v>
      </c>
      <c r="S143" s="45">
        <f t="shared" si="29"/>
        <v>0</v>
      </c>
      <c r="T143" s="45">
        <f t="shared" si="29"/>
        <v>0</v>
      </c>
      <c r="U143" s="46">
        <f t="shared" si="28"/>
        <v>0</v>
      </c>
      <c r="V143" s="46">
        <f t="shared" si="28"/>
        <v>0</v>
      </c>
      <c r="W143" s="46">
        <f t="shared" si="28"/>
        <v>0</v>
      </c>
      <c r="X143" s="46">
        <f t="shared" si="32"/>
        <v>0</v>
      </c>
    </row>
    <row r="144" spans="1:24" ht="20" customHeight="1" x14ac:dyDescent="0.35">
      <c r="A144" s="28"/>
      <c r="B144" s="29"/>
      <c r="C144" s="30"/>
      <c r="D144" s="30"/>
      <c r="E144" s="30"/>
      <c r="F144" s="30"/>
      <c r="G144" s="30"/>
      <c r="H144" s="30"/>
      <c r="I144" s="30"/>
      <c r="J144" s="33"/>
      <c r="L144" s="45">
        <f t="shared" si="31"/>
        <v>0</v>
      </c>
      <c r="M144" s="45">
        <f t="shared" si="31"/>
        <v>0</v>
      </c>
      <c r="N144" s="45">
        <f t="shared" si="31"/>
        <v>0</v>
      </c>
      <c r="O144" s="45">
        <f t="shared" si="30"/>
        <v>0</v>
      </c>
      <c r="P144" s="45">
        <f t="shared" si="30"/>
        <v>0</v>
      </c>
      <c r="Q144" s="45">
        <f t="shared" si="30"/>
        <v>0</v>
      </c>
      <c r="R144" s="45">
        <f t="shared" si="29"/>
        <v>0</v>
      </c>
      <c r="S144" s="45">
        <f t="shared" si="29"/>
        <v>0</v>
      </c>
      <c r="T144" s="45">
        <f t="shared" si="29"/>
        <v>0</v>
      </c>
      <c r="U144" s="46">
        <f t="shared" si="28"/>
        <v>0</v>
      </c>
      <c r="V144" s="46">
        <f t="shared" si="28"/>
        <v>0</v>
      </c>
      <c r="W144" s="46">
        <f t="shared" si="28"/>
        <v>0</v>
      </c>
      <c r="X144" s="46">
        <f t="shared" si="32"/>
        <v>0</v>
      </c>
    </row>
    <row r="145" spans="1:24" ht="20" customHeight="1" x14ac:dyDescent="0.35">
      <c r="A145" s="28"/>
      <c r="B145" s="29"/>
      <c r="C145" s="30"/>
      <c r="D145" s="30"/>
      <c r="E145" s="30"/>
      <c r="F145" s="30"/>
      <c r="G145" s="30"/>
      <c r="H145" s="30"/>
      <c r="I145" s="30"/>
      <c r="J145" s="33"/>
      <c r="L145" s="45">
        <f t="shared" si="31"/>
        <v>0</v>
      </c>
      <c r="M145" s="45">
        <f t="shared" si="31"/>
        <v>0</v>
      </c>
      <c r="N145" s="45">
        <f t="shared" si="31"/>
        <v>0</v>
      </c>
      <c r="O145" s="45">
        <f t="shared" si="30"/>
        <v>0</v>
      </c>
      <c r="P145" s="45">
        <f t="shared" si="30"/>
        <v>0</v>
      </c>
      <c r="Q145" s="45">
        <f t="shared" si="30"/>
        <v>0</v>
      </c>
      <c r="R145" s="45">
        <f t="shared" si="29"/>
        <v>0</v>
      </c>
      <c r="S145" s="45">
        <f t="shared" si="29"/>
        <v>0</v>
      </c>
      <c r="T145" s="45">
        <f t="shared" si="29"/>
        <v>0</v>
      </c>
      <c r="U145" s="46">
        <f t="shared" si="28"/>
        <v>0</v>
      </c>
      <c r="V145" s="46">
        <f t="shared" si="28"/>
        <v>0</v>
      </c>
      <c r="W145" s="46">
        <f t="shared" si="28"/>
        <v>0</v>
      </c>
      <c r="X145" s="46">
        <f t="shared" si="32"/>
        <v>0</v>
      </c>
    </row>
    <row r="146" spans="1:24" ht="20" customHeight="1" x14ac:dyDescent="0.35">
      <c r="A146" s="28"/>
      <c r="B146" s="29"/>
      <c r="C146" s="30"/>
      <c r="D146" s="30"/>
      <c r="E146" s="30"/>
      <c r="F146" s="30"/>
      <c r="G146" s="30"/>
      <c r="H146" s="30"/>
      <c r="I146" s="30"/>
      <c r="J146" s="33"/>
      <c r="L146" s="45">
        <f t="shared" si="31"/>
        <v>0</v>
      </c>
      <c r="M146" s="45">
        <f t="shared" si="31"/>
        <v>0</v>
      </c>
      <c r="N146" s="45">
        <f t="shared" si="31"/>
        <v>0</v>
      </c>
      <c r="O146" s="45">
        <f t="shared" si="30"/>
        <v>0</v>
      </c>
      <c r="P146" s="45">
        <f t="shared" si="30"/>
        <v>0</v>
      </c>
      <c r="Q146" s="45">
        <f t="shared" si="30"/>
        <v>0</v>
      </c>
      <c r="R146" s="45">
        <f t="shared" si="29"/>
        <v>0</v>
      </c>
      <c r="S146" s="45">
        <f t="shared" si="29"/>
        <v>0</v>
      </c>
      <c r="T146" s="45">
        <f t="shared" si="29"/>
        <v>0</v>
      </c>
      <c r="U146" s="46">
        <f t="shared" si="28"/>
        <v>0</v>
      </c>
      <c r="V146" s="46">
        <f t="shared" si="28"/>
        <v>0</v>
      </c>
      <c r="W146" s="46">
        <f t="shared" si="28"/>
        <v>0</v>
      </c>
      <c r="X146" s="46">
        <f t="shared" si="32"/>
        <v>0</v>
      </c>
    </row>
    <row r="147" spans="1:24" ht="20" customHeight="1" x14ac:dyDescent="0.35">
      <c r="A147" s="28"/>
      <c r="B147" s="29"/>
      <c r="C147" s="30"/>
      <c r="D147" s="30"/>
      <c r="E147" s="30"/>
      <c r="F147" s="30"/>
      <c r="G147" s="30"/>
      <c r="H147" s="30"/>
      <c r="I147" s="30"/>
      <c r="J147" s="33"/>
      <c r="L147" s="45">
        <f t="shared" si="31"/>
        <v>0</v>
      </c>
      <c r="M147" s="45">
        <f t="shared" si="31"/>
        <v>0</v>
      </c>
      <c r="N147" s="45">
        <f t="shared" si="31"/>
        <v>0</v>
      </c>
      <c r="O147" s="45">
        <f t="shared" si="30"/>
        <v>0</v>
      </c>
      <c r="P147" s="45">
        <f t="shared" si="30"/>
        <v>0</v>
      </c>
      <c r="Q147" s="45">
        <f t="shared" si="30"/>
        <v>0</v>
      </c>
      <c r="R147" s="45">
        <f t="shared" si="29"/>
        <v>0</v>
      </c>
      <c r="S147" s="45">
        <f t="shared" si="29"/>
        <v>0</v>
      </c>
      <c r="T147" s="45">
        <f t="shared" si="29"/>
        <v>0</v>
      </c>
      <c r="U147" s="46">
        <f t="shared" si="28"/>
        <v>0</v>
      </c>
      <c r="V147" s="46">
        <f t="shared" si="28"/>
        <v>0</v>
      </c>
      <c r="W147" s="46">
        <f t="shared" si="28"/>
        <v>0</v>
      </c>
      <c r="X147" s="46">
        <f t="shared" si="32"/>
        <v>0</v>
      </c>
    </row>
    <row r="148" spans="1:24" ht="20" customHeight="1" x14ac:dyDescent="0.35">
      <c r="A148" s="28"/>
      <c r="B148" s="29"/>
      <c r="C148" s="30"/>
      <c r="D148" s="30"/>
      <c r="E148" s="30"/>
      <c r="F148" s="30"/>
      <c r="G148" s="30"/>
      <c r="H148" s="30"/>
      <c r="I148" s="30"/>
      <c r="J148" s="33"/>
      <c r="L148" s="45">
        <f t="shared" si="31"/>
        <v>0</v>
      </c>
      <c r="M148" s="45">
        <f t="shared" si="31"/>
        <v>0</v>
      </c>
      <c r="N148" s="45">
        <f t="shared" si="31"/>
        <v>0</v>
      </c>
      <c r="O148" s="45">
        <f t="shared" si="30"/>
        <v>0</v>
      </c>
      <c r="P148" s="45">
        <f t="shared" si="30"/>
        <v>0</v>
      </c>
      <c r="Q148" s="45">
        <f t="shared" si="30"/>
        <v>0</v>
      </c>
      <c r="R148" s="45">
        <f t="shared" si="29"/>
        <v>0</v>
      </c>
      <c r="S148" s="45">
        <f t="shared" si="29"/>
        <v>0</v>
      </c>
      <c r="T148" s="45">
        <f t="shared" si="29"/>
        <v>0</v>
      </c>
      <c r="U148" s="46">
        <f t="shared" si="28"/>
        <v>0</v>
      </c>
      <c r="V148" s="46">
        <f t="shared" si="28"/>
        <v>0</v>
      </c>
      <c r="W148" s="46">
        <f t="shared" si="28"/>
        <v>0</v>
      </c>
      <c r="X148" s="46">
        <f t="shared" si="32"/>
        <v>0</v>
      </c>
    </row>
    <row r="149" spans="1:24" ht="20" customHeight="1" x14ac:dyDescent="0.35">
      <c r="A149" s="28"/>
      <c r="B149" s="29"/>
      <c r="C149" s="30"/>
      <c r="D149" s="30"/>
      <c r="E149" s="30"/>
      <c r="F149" s="30"/>
      <c r="G149" s="30"/>
      <c r="H149" s="30"/>
      <c r="I149" s="30"/>
      <c r="J149" s="33"/>
      <c r="L149" s="45">
        <f t="shared" si="31"/>
        <v>0</v>
      </c>
      <c r="M149" s="45">
        <f t="shared" si="31"/>
        <v>0</v>
      </c>
      <c r="N149" s="45">
        <f t="shared" si="31"/>
        <v>0</v>
      </c>
      <c r="O149" s="45">
        <f t="shared" si="30"/>
        <v>0</v>
      </c>
      <c r="P149" s="45">
        <f t="shared" si="30"/>
        <v>0</v>
      </c>
      <c r="Q149" s="45">
        <f t="shared" si="30"/>
        <v>0</v>
      </c>
      <c r="R149" s="45">
        <f t="shared" si="29"/>
        <v>0</v>
      </c>
      <c r="S149" s="45">
        <f t="shared" si="29"/>
        <v>0</v>
      </c>
      <c r="T149" s="45">
        <f t="shared" si="29"/>
        <v>0</v>
      </c>
      <c r="U149" s="46">
        <f t="shared" si="28"/>
        <v>0</v>
      </c>
      <c r="V149" s="46">
        <f t="shared" si="28"/>
        <v>0</v>
      </c>
      <c r="W149" s="46">
        <f t="shared" si="28"/>
        <v>0</v>
      </c>
      <c r="X149" s="46">
        <f t="shared" si="32"/>
        <v>0</v>
      </c>
    </row>
    <row r="150" spans="1:24" ht="20" customHeight="1" x14ac:dyDescent="0.35">
      <c r="A150" s="28"/>
      <c r="B150" s="29"/>
      <c r="C150" s="30"/>
      <c r="D150" s="30"/>
      <c r="E150" s="30"/>
      <c r="F150" s="30"/>
      <c r="G150" s="30"/>
      <c r="H150" s="30"/>
      <c r="I150" s="30"/>
      <c r="J150" s="33"/>
      <c r="L150" s="45">
        <f t="shared" si="31"/>
        <v>0</v>
      </c>
      <c r="M150" s="45">
        <f t="shared" si="31"/>
        <v>0</v>
      </c>
      <c r="N150" s="45">
        <f t="shared" si="31"/>
        <v>0</v>
      </c>
      <c r="O150" s="45">
        <f t="shared" si="30"/>
        <v>0</v>
      </c>
      <c r="P150" s="45">
        <f t="shared" si="30"/>
        <v>0</v>
      </c>
      <c r="Q150" s="45">
        <f t="shared" si="30"/>
        <v>0</v>
      </c>
      <c r="R150" s="45">
        <f t="shared" si="29"/>
        <v>0</v>
      </c>
      <c r="S150" s="45">
        <f t="shared" si="29"/>
        <v>0</v>
      </c>
      <c r="T150" s="45">
        <f t="shared" si="29"/>
        <v>0</v>
      </c>
      <c r="U150" s="46">
        <f t="shared" si="28"/>
        <v>0</v>
      </c>
      <c r="V150" s="46">
        <f t="shared" si="28"/>
        <v>0</v>
      </c>
      <c r="W150" s="46">
        <f t="shared" si="28"/>
        <v>0</v>
      </c>
      <c r="X150" s="46">
        <f t="shared" si="32"/>
        <v>0</v>
      </c>
    </row>
    <row r="151" spans="1:24" ht="20" customHeight="1" x14ac:dyDescent="0.35">
      <c r="A151" s="28"/>
      <c r="B151" s="29"/>
      <c r="C151" s="30"/>
      <c r="D151" s="30"/>
      <c r="E151" s="30"/>
      <c r="F151" s="30"/>
      <c r="G151" s="30"/>
      <c r="H151" s="30"/>
      <c r="I151" s="30"/>
      <c r="J151" s="33"/>
      <c r="L151" s="45">
        <f t="shared" si="31"/>
        <v>0</v>
      </c>
      <c r="M151" s="45">
        <f t="shared" si="31"/>
        <v>0</v>
      </c>
      <c r="N151" s="45">
        <f t="shared" si="31"/>
        <v>0</v>
      </c>
      <c r="O151" s="45">
        <f t="shared" si="30"/>
        <v>0</v>
      </c>
      <c r="P151" s="45">
        <f t="shared" si="30"/>
        <v>0</v>
      </c>
      <c r="Q151" s="45">
        <f t="shared" si="30"/>
        <v>0</v>
      </c>
      <c r="R151" s="45">
        <f t="shared" si="29"/>
        <v>0</v>
      </c>
      <c r="S151" s="45">
        <f t="shared" si="29"/>
        <v>0</v>
      </c>
      <c r="T151" s="45">
        <f t="shared" si="29"/>
        <v>0</v>
      </c>
      <c r="U151" s="46">
        <f t="shared" si="28"/>
        <v>0</v>
      </c>
      <c r="V151" s="46">
        <f t="shared" si="28"/>
        <v>0</v>
      </c>
      <c r="W151" s="46">
        <f t="shared" si="28"/>
        <v>0</v>
      </c>
      <c r="X151" s="46">
        <f t="shared" si="32"/>
        <v>0</v>
      </c>
    </row>
    <row r="152" spans="1:24" ht="16.75" customHeight="1" x14ac:dyDescent="0.35">
      <c r="A152" s="28"/>
      <c r="B152" s="29"/>
      <c r="C152" s="30"/>
      <c r="D152" s="30"/>
      <c r="E152" s="30"/>
      <c r="F152" s="30"/>
      <c r="G152" s="30"/>
      <c r="H152" s="30"/>
      <c r="I152" s="30"/>
      <c r="J152" s="33"/>
      <c r="L152" s="34"/>
      <c r="M152" s="34"/>
      <c r="N152" s="34"/>
      <c r="O152" s="34"/>
      <c r="P152" s="34"/>
      <c r="Q152" s="34"/>
      <c r="R152" s="34"/>
      <c r="S152" s="34"/>
      <c r="T152" s="34"/>
      <c r="U152" s="35">
        <f t="shared" ref="U152:W152" si="33">L152+Q152</f>
        <v>0</v>
      </c>
      <c r="V152" s="35">
        <f t="shared" si="33"/>
        <v>0</v>
      </c>
      <c r="W152" s="35">
        <f t="shared" si="33"/>
        <v>0</v>
      </c>
      <c r="X152" s="35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2026-08-31T06:40:23Z</dcterms:modified>
</cp:coreProperties>
</file>