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D58" i="2" l="1"/>
  <c r="DD59" i="2" s="1"/>
  <c r="DD57" i="2"/>
  <c r="DD51" i="2"/>
  <c r="DD52" i="2" s="1"/>
  <c r="DD53" i="2" s="1"/>
  <c r="DD54" i="2" s="1"/>
  <c r="DD55" i="2" s="1"/>
  <c r="DD56" i="2" s="1"/>
  <c r="DJ57" i="2"/>
  <c r="DK57" i="2"/>
  <c r="DL57" i="2"/>
  <c r="DM57" i="2"/>
  <c r="DN57" i="2"/>
  <c r="DO57" i="2"/>
  <c r="DP57" i="2"/>
  <c r="DQ57" i="2"/>
  <c r="DR57" i="2"/>
  <c r="DS57" i="2"/>
  <c r="DT57" i="2"/>
  <c r="DU57" i="2"/>
  <c r="DV57" i="2"/>
  <c r="DW57" i="2"/>
  <c r="DX57" i="2"/>
  <c r="DY57" i="2"/>
  <c r="DZ57" i="2"/>
  <c r="EA57" i="2"/>
  <c r="EB57" i="2"/>
  <c r="EC57" i="2"/>
  <c r="ED57" i="2"/>
  <c r="EE57" i="2"/>
  <c r="EF57" i="2"/>
  <c r="EG57" i="2"/>
  <c r="EH57" i="2"/>
  <c r="EI57" i="2"/>
  <c r="EJ57" i="2"/>
  <c r="EK57" i="2"/>
  <c r="EL57" i="2"/>
  <c r="EM57" i="2"/>
  <c r="EN57" i="2"/>
  <c r="EO57" i="2"/>
  <c r="EP57" i="2"/>
  <c r="EQ57" i="2"/>
  <c r="ER57" i="2"/>
  <c r="ES57" i="2"/>
  <c r="ET57" i="2"/>
  <c r="EU57" i="2"/>
  <c r="EV57" i="2"/>
  <c r="EW57" i="2"/>
  <c r="EX57" i="2"/>
  <c r="EY57" i="2"/>
  <c r="EZ57" i="2"/>
  <c r="FA57" i="2"/>
  <c r="FB57" i="2"/>
  <c r="FC57" i="2"/>
  <c r="FD57" i="2"/>
  <c r="FE57" i="2"/>
  <c r="FF57" i="2"/>
  <c r="FG57" i="2"/>
  <c r="FH57" i="2"/>
  <c r="FI57" i="2"/>
  <c r="FJ57" i="2"/>
  <c r="FK57" i="2"/>
  <c r="FL57" i="2"/>
  <c r="FM57" i="2"/>
  <c r="FN57" i="2"/>
  <c r="FO57" i="2"/>
  <c r="FP57" i="2"/>
  <c r="FQ57" i="2"/>
  <c r="FR57" i="2"/>
  <c r="FS57" i="2"/>
  <c r="FT57" i="2"/>
  <c r="FU57" i="2"/>
  <c r="FV57" i="2"/>
  <c r="FW57" i="2"/>
  <c r="FX57" i="2"/>
  <c r="FY57" i="2"/>
  <c r="FZ57" i="2"/>
  <c r="GA57" i="2"/>
  <c r="DJ58" i="2"/>
  <c r="DK58" i="2"/>
  <c r="DL58" i="2"/>
  <c r="DM58" i="2"/>
  <c r="DN58" i="2"/>
  <c r="DO58" i="2"/>
  <c r="DP58" i="2"/>
  <c r="DQ58" i="2"/>
  <c r="DR58" i="2"/>
  <c r="DS58" i="2"/>
  <c r="DT58" i="2"/>
  <c r="DU58" i="2"/>
  <c r="DV58" i="2"/>
  <c r="DW58" i="2"/>
  <c r="DX58" i="2"/>
  <c r="DY58" i="2"/>
  <c r="DZ58" i="2"/>
  <c r="EA58" i="2"/>
  <c r="EB58" i="2"/>
  <c r="EC58" i="2"/>
  <c r="ED58" i="2"/>
  <c r="EE58" i="2"/>
  <c r="EF58" i="2"/>
  <c r="EG58" i="2"/>
  <c r="EH58" i="2"/>
  <c r="EI58" i="2"/>
  <c r="EJ58" i="2"/>
  <c r="EK58" i="2"/>
  <c r="EL58" i="2"/>
  <c r="EM58" i="2"/>
  <c r="EN58" i="2"/>
  <c r="EO58" i="2"/>
  <c r="EP58" i="2"/>
  <c r="EQ58" i="2"/>
  <c r="ER58" i="2"/>
  <c r="ES58" i="2"/>
  <c r="ET58" i="2"/>
  <c r="EU58" i="2"/>
  <c r="EV58" i="2"/>
  <c r="EW58" i="2"/>
  <c r="EX58" i="2"/>
  <c r="EY58" i="2"/>
  <c r="EZ58" i="2"/>
  <c r="FA58" i="2"/>
  <c r="FB58" i="2"/>
  <c r="FC58" i="2"/>
  <c r="FD58" i="2"/>
  <c r="FE58" i="2"/>
  <c r="FF58" i="2"/>
  <c r="FG58" i="2"/>
  <c r="FH58" i="2"/>
  <c r="FI58" i="2"/>
  <c r="FJ58" i="2"/>
  <c r="FK58" i="2"/>
  <c r="FL58" i="2"/>
  <c r="FM58" i="2"/>
  <c r="FN58" i="2"/>
  <c r="FO58" i="2"/>
  <c r="FP58" i="2"/>
  <c r="FQ58" i="2"/>
  <c r="FR58" i="2"/>
  <c r="FS58" i="2"/>
  <c r="FT58" i="2"/>
  <c r="FU58" i="2"/>
  <c r="FV58" i="2"/>
  <c r="FW58" i="2"/>
  <c r="FX58" i="2"/>
  <c r="FY58" i="2"/>
  <c r="FZ58" i="2"/>
  <c r="GA58" i="2"/>
  <c r="DJ59" i="2"/>
  <c r="DK59" i="2"/>
  <c r="DL59" i="2"/>
  <c r="DM59" i="2"/>
  <c r="DN59" i="2"/>
  <c r="DO59" i="2"/>
  <c r="DP59" i="2"/>
  <c r="DQ59" i="2"/>
  <c r="DR59" i="2"/>
  <c r="DS59" i="2"/>
  <c r="DT59" i="2"/>
  <c r="DU59" i="2"/>
  <c r="DV59" i="2"/>
  <c r="DW59" i="2"/>
  <c r="DX59" i="2"/>
  <c r="DY59" i="2"/>
  <c r="DZ59" i="2"/>
  <c r="EA59" i="2"/>
  <c r="EB59" i="2"/>
  <c r="EC59" i="2"/>
  <c r="ED59" i="2"/>
  <c r="EE59" i="2"/>
  <c r="EF59" i="2"/>
  <c r="EG59" i="2"/>
  <c r="EH59" i="2"/>
  <c r="EI59" i="2"/>
  <c r="EJ59" i="2"/>
  <c r="EK59" i="2"/>
  <c r="EL59" i="2"/>
  <c r="EM59" i="2"/>
  <c r="EN59" i="2"/>
  <c r="EO59" i="2"/>
  <c r="EP59" i="2"/>
  <c r="EQ59" i="2"/>
  <c r="ER59" i="2"/>
  <c r="ES59" i="2"/>
  <c r="ET59" i="2"/>
  <c r="EU59" i="2"/>
  <c r="EV59" i="2"/>
  <c r="EW59" i="2"/>
  <c r="EX59" i="2"/>
  <c r="EY59" i="2"/>
  <c r="EZ59" i="2"/>
  <c r="FA59" i="2"/>
  <c r="FB59" i="2"/>
  <c r="FC59" i="2"/>
  <c r="FD59" i="2"/>
  <c r="FE59" i="2"/>
  <c r="FF59" i="2"/>
  <c r="FG59" i="2"/>
  <c r="FH59" i="2"/>
  <c r="FI59" i="2"/>
  <c r="FJ59" i="2"/>
  <c r="FK59" i="2"/>
  <c r="FL59" i="2"/>
  <c r="FM59" i="2"/>
  <c r="FN59" i="2"/>
  <c r="FO59" i="2"/>
  <c r="FP59" i="2"/>
  <c r="FQ59" i="2"/>
  <c r="FR59" i="2"/>
  <c r="FS59" i="2"/>
  <c r="FT59" i="2"/>
  <c r="FU59" i="2"/>
  <c r="FV59" i="2"/>
  <c r="FW59" i="2"/>
  <c r="FX59" i="2"/>
  <c r="FY59" i="2"/>
  <c r="FZ59" i="2"/>
  <c r="GA59" i="2"/>
  <c r="DI60" i="2"/>
  <c r="DJ60" i="2"/>
  <c r="DK60" i="2"/>
  <c r="DL60" i="2"/>
  <c r="DM60" i="2"/>
  <c r="DN60" i="2"/>
  <c r="DO60" i="2"/>
  <c r="DP60" i="2"/>
  <c r="DQ60" i="2"/>
  <c r="DR60" i="2"/>
  <c r="DS60" i="2"/>
  <c r="DT60" i="2"/>
  <c r="DU60" i="2"/>
  <c r="DV60" i="2"/>
  <c r="DW60" i="2"/>
  <c r="DX60" i="2"/>
  <c r="DY60" i="2"/>
  <c r="DZ60" i="2"/>
  <c r="EA60" i="2"/>
  <c r="EB60" i="2"/>
  <c r="EC60" i="2"/>
  <c r="ED60" i="2"/>
  <c r="EE60" i="2"/>
  <c r="EF60" i="2"/>
  <c r="EG60" i="2"/>
  <c r="EH60" i="2"/>
  <c r="EI60" i="2"/>
  <c r="EJ60" i="2"/>
  <c r="EK60" i="2"/>
  <c r="EL60" i="2"/>
  <c r="EM60" i="2"/>
  <c r="EN60" i="2"/>
  <c r="EO60" i="2"/>
  <c r="EP60" i="2"/>
  <c r="EQ60" i="2"/>
  <c r="ER60" i="2"/>
  <c r="ES60" i="2"/>
  <c r="ET60" i="2"/>
  <c r="EU60" i="2"/>
  <c r="EV60" i="2"/>
  <c r="EW60" i="2"/>
  <c r="EX60" i="2"/>
  <c r="EY60" i="2"/>
  <c r="EZ60" i="2"/>
  <c r="FA60" i="2"/>
  <c r="FB60" i="2"/>
  <c r="FC60" i="2"/>
  <c r="FD60" i="2"/>
  <c r="FE60" i="2"/>
  <c r="FF60" i="2"/>
  <c r="FG60" i="2"/>
  <c r="FH60" i="2"/>
  <c r="FI60" i="2"/>
  <c r="FJ60" i="2"/>
  <c r="FK60" i="2"/>
  <c r="FL60" i="2"/>
  <c r="FM60" i="2"/>
  <c r="FN60" i="2"/>
  <c r="FO60" i="2"/>
  <c r="FP60" i="2"/>
  <c r="FQ60" i="2"/>
  <c r="FR60" i="2"/>
  <c r="FS60" i="2"/>
  <c r="FT60" i="2"/>
  <c r="FU60" i="2"/>
  <c r="FV60" i="2"/>
  <c r="FW60" i="2"/>
  <c r="FX60" i="2"/>
  <c r="FY60" i="2"/>
  <c r="FZ60" i="2"/>
  <c r="GA60" i="2"/>
  <c r="DI61" i="2"/>
  <c r="DJ61" i="2"/>
  <c r="DK61" i="2"/>
  <c r="DL61" i="2"/>
  <c r="DM61" i="2"/>
  <c r="DN61" i="2"/>
  <c r="DO61" i="2"/>
  <c r="DP61" i="2"/>
  <c r="DQ61" i="2"/>
  <c r="DR61" i="2"/>
  <c r="DS61" i="2"/>
  <c r="DT61" i="2"/>
  <c r="DU61" i="2"/>
  <c r="DV61" i="2"/>
  <c r="DW61" i="2"/>
  <c r="DX61" i="2"/>
  <c r="DY61" i="2"/>
  <c r="DZ61" i="2"/>
  <c r="EA61" i="2"/>
  <c r="EB61" i="2"/>
  <c r="EC61" i="2"/>
  <c r="ED61" i="2"/>
  <c r="EE61" i="2"/>
  <c r="EF61" i="2"/>
  <c r="EG61" i="2"/>
  <c r="EH61" i="2"/>
  <c r="EI61" i="2"/>
  <c r="EJ61" i="2"/>
  <c r="EK61" i="2"/>
  <c r="EL61" i="2"/>
  <c r="EM61" i="2"/>
  <c r="EN61" i="2"/>
  <c r="EO61" i="2"/>
  <c r="EP61" i="2"/>
  <c r="EQ61" i="2"/>
  <c r="ER61" i="2"/>
  <c r="ES61" i="2"/>
  <c r="ET61" i="2"/>
  <c r="EU61" i="2"/>
  <c r="EV61" i="2"/>
  <c r="EW61" i="2"/>
  <c r="EX61" i="2"/>
  <c r="EY61" i="2"/>
  <c r="EZ61" i="2"/>
  <c r="FA61" i="2"/>
  <c r="FB61" i="2"/>
  <c r="FC61" i="2"/>
  <c r="FD61" i="2"/>
  <c r="FE61" i="2"/>
  <c r="FF61" i="2"/>
  <c r="FG61" i="2"/>
  <c r="FH61" i="2"/>
  <c r="FI61" i="2"/>
  <c r="FJ61" i="2"/>
  <c r="FK61" i="2"/>
  <c r="FL61" i="2"/>
  <c r="FM61" i="2"/>
  <c r="FN61" i="2"/>
  <c r="FO61" i="2"/>
  <c r="FP61" i="2"/>
  <c r="FQ61" i="2"/>
  <c r="FR61" i="2"/>
  <c r="FS61" i="2"/>
  <c r="FT61" i="2"/>
  <c r="FU61" i="2"/>
  <c r="FV61" i="2"/>
  <c r="FW61" i="2"/>
  <c r="FX61" i="2"/>
  <c r="FY61" i="2"/>
  <c r="FZ61" i="2"/>
  <c r="GA61" i="2"/>
  <c r="DI62" i="2"/>
  <c r="DJ62" i="2"/>
  <c r="DK62" i="2"/>
  <c r="DL62" i="2"/>
  <c r="DM62" i="2"/>
  <c r="DN62" i="2"/>
  <c r="DO62" i="2"/>
  <c r="DP62" i="2"/>
  <c r="DQ62" i="2"/>
  <c r="DR62" i="2"/>
  <c r="DS62" i="2"/>
  <c r="DT62" i="2"/>
  <c r="DU62" i="2"/>
  <c r="DV62" i="2"/>
  <c r="DW62" i="2"/>
  <c r="DX62" i="2"/>
  <c r="DY62" i="2"/>
  <c r="DZ62" i="2"/>
  <c r="EA62" i="2"/>
  <c r="EB62" i="2"/>
  <c r="EC62" i="2"/>
  <c r="ED62" i="2"/>
  <c r="EE62" i="2"/>
  <c r="EF62" i="2"/>
  <c r="EG62" i="2"/>
  <c r="EH62" i="2"/>
  <c r="EI62" i="2"/>
  <c r="EJ62" i="2"/>
  <c r="EK62" i="2"/>
  <c r="EL62" i="2"/>
  <c r="EM62" i="2"/>
  <c r="EN62" i="2"/>
  <c r="EO62" i="2"/>
  <c r="EP62" i="2"/>
  <c r="EQ62" i="2"/>
  <c r="ER62" i="2"/>
  <c r="ES62" i="2"/>
  <c r="ET62" i="2"/>
  <c r="EU62" i="2"/>
  <c r="EV62" i="2"/>
  <c r="EW62" i="2"/>
  <c r="EX62" i="2"/>
  <c r="EY62" i="2"/>
  <c r="EZ62" i="2"/>
  <c r="FA62" i="2"/>
  <c r="FB62" i="2"/>
  <c r="FC62" i="2"/>
  <c r="FD62" i="2"/>
  <c r="FE62" i="2"/>
  <c r="FF62" i="2"/>
  <c r="FG62" i="2"/>
  <c r="FH62" i="2"/>
  <c r="FI62" i="2"/>
  <c r="FJ62" i="2"/>
  <c r="FK62" i="2"/>
  <c r="FL62" i="2"/>
  <c r="FM62" i="2"/>
  <c r="FN62" i="2"/>
  <c r="FO62" i="2"/>
  <c r="FP62" i="2"/>
  <c r="FQ62" i="2"/>
  <c r="FR62" i="2"/>
  <c r="FS62" i="2"/>
  <c r="FT62" i="2"/>
  <c r="FU62" i="2"/>
  <c r="FV62" i="2"/>
  <c r="FW62" i="2"/>
  <c r="FX62" i="2"/>
  <c r="FY62" i="2"/>
  <c r="FZ62" i="2"/>
  <c r="GA62" i="2"/>
  <c r="DI63" i="2"/>
  <c r="DJ63" i="2"/>
  <c r="DK63" i="2"/>
  <c r="DL63" i="2"/>
  <c r="DM63" i="2"/>
  <c r="DN63" i="2"/>
  <c r="DO63" i="2"/>
  <c r="DP63" i="2"/>
  <c r="DQ63" i="2"/>
  <c r="DR63" i="2"/>
  <c r="DS63" i="2"/>
  <c r="DT63" i="2"/>
  <c r="DU63" i="2"/>
  <c r="DV63" i="2"/>
  <c r="DW63" i="2"/>
  <c r="DX63" i="2"/>
  <c r="DY63" i="2"/>
  <c r="DZ63" i="2"/>
  <c r="EA63" i="2"/>
  <c r="EB63" i="2"/>
  <c r="EC63" i="2"/>
  <c r="ED63" i="2"/>
  <c r="EE63" i="2"/>
  <c r="EF63" i="2"/>
  <c r="EG63" i="2"/>
  <c r="EH63" i="2"/>
  <c r="EI63" i="2"/>
  <c r="EJ63" i="2"/>
  <c r="EK63" i="2"/>
  <c r="EL63" i="2"/>
  <c r="EM63" i="2"/>
  <c r="EN63" i="2"/>
  <c r="EO63" i="2"/>
  <c r="EP63" i="2"/>
  <c r="EQ63" i="2"/>
  <c r="ER63" i="2"/>
  <c r="ES63" i="2"/>
  <c r="ET63" i="2"/>
  <c r="EU63" i="2"/>
  <c r="EV63" i="2"/>
  <c r="EW63" i="2"/>
  <c r="EX63" i="2"/>
  <c r="EY63" i="2"/>
  <c r="EZ63" i="2"/>
  <c r="FA63" i="2"/>
  <c r="FB63" i="2"/>
  <c r="FC63" i="2"/>
  <c r="FD63" i="2"/>
  <c r="FE63" i="2"/>
  <c r="FF63" i="2"/>
  <c r="FG63" i="2"/>
  <c r="FH63" i="2"/>
  <c r="FI63" i="2"/>
  <c r="FJ63" i="2"/>
  <c r="FK63" i="2"/>
  <c r="FL63" i="2"/>
  <c r="FM63" i="2"/>
  <c r="FN63" i="2"/>
  <c r="FO63" i="2"/>
  <c r="FP63" i="2"/>
  <c r="FQ63" i="2"/>
  <c r="FR63" i="2"/>
  <c r="FS63" i="2"/>
  <c r="FT63" i="2"/>
  <c r="FU63" i="2"/>
  <c r="FV63" i="2"/>
  <c r="FW63" i="2"/>
  <c r="FX63" i="2"/>
  <c r="FY63" i="2"/>
  <c r="FZ63" i="2"/>
  <c r="GA63" i="2"/>
  <c r="DI64" i="2"/>
  <c r="DJ64" i="2"/>
  <c r="DK64" i="2"/>
  <c r="DL64" i="2"/>
  <c r="DM64" i="2"/>
  <c r="DN64" i="2"/>
  <c r="DO64" i="2"/>
  <c r="DP64" i="2"/>
  <c r="DQ64" i="2"/>
  <c r="DR64" i="2"/>
  <c r="DS64" i="2"/>
  <c r="DT64" i="2"/>
  <c r="DU64" i="2"/>
  <c r="DV64" i="2"/>
  <c r="DW64" i="2"/>
  <c r="DX64" i="2"/>
  <c r="DY64" i="2"/>
  <c r="DZ64" i="2"/>
  <c r="EA64" i="2"/>
  <c r="EB64" i="2"/>
  <c r="EC64" i="2"/>
  <c r="ED64" i="2"/>
  <c r="EE64" i="2"/>
  <c r="EF64" i="2"/>
  <c r="EG64" i="2"/>
  <c r="EH64" i="2"/>
  <c r="EI64" i="2"/>
  <c r="EJ64" i="2"/>
  <c r="EK64" i="2"/>
  <c r="EL64" i="2"/>
  <c r="EM64" i="2"/>
  <c r="EN64" i="2"/>
  <c r="EO64" i="2"/>
  <c r="EP64" i="2"/>
  <c r="EQ64" i="2"/>
  <c r="ER64" i="2"/>
  <c r="ES64" i="2"/>
  <c r="ET64" i="2"/>
  <c r="EU64" i="2"/>
  <c r="EV64" i="2"/>
  <c r="EW64" i="2"/>
  <c r="EX64" i="2"/>
  <c r="EY64" i="2"/>
  <c r="EZ64" i="2"/>
  <c r="FA64" i="2"/>
  <c r="FB64" i="2"/>
  <c r="FC64" i="2"/>
  <c r="FD64" i="2"/>
  <c r="FE64" i="2"/>
  <c r="FF64" i="2"/>
  <c r="FG64" i="2"/>
  <c r="FH64" i="2"/>
  <c r="FI64" i="2"/>
  <c r="FJ64" i="2"/>
  <c r="FK64" i="2"/>
  <c r="FL64" i="2"/>
  <c r="FM64" i="2"/>
  <c r="FN64" i="2"/>
  <c r="FO64" i="2"/>
  <c r="FP64" i="2"/>
  <c r="FQ64" i="2"/>
  <c r="FR64" i="2"/>
  <c r="FS64" i="2"/>
  <c r="FT64" i="2"/>
  <c r="FU64" i="2"/>
  <c r="FV64" i="2"/>
  <c r="FW64" i="2"/>
  <c r="FX64" i="2"/>
  <c r="FY64" i="2"/>
  <c r="FZ64" i="2"/>
  <c r="GA64" i="2"/>
  <c r="DI65" i="2"/>
  <c r="DJ65" i="2"/>
  <c r="DK65" i="2"/>
  <c r="DL65" i="2"/>
  <c r="DM65" i="2"/>
  <c r="DN65" i="2"/>
  <c r="DO65" i="2"/>
  <c r="DP65" i="2"/>
  <c r="DQ65" i="2"/>
  <c r="DR65" i="2"/>
  <c r="DS65" i="2"/>
  <c r="DT65" i="2"/>
  <c r="DU65" i="2"/>
  <c r="DV65" i="2"/>
  <c r="DW65" i="2"/>
  <c r="DX65" i="2"/>
  <c r="DY65" i="2"/>
  <c r="DZ65" i="2"/>
  <c r="EA65" i="2"/>
  <c r="EB65" i="2"/>
  <c r="EC65" i="2"/>
  <c r="ED65" i="2"/>
  <c r="EE65" i="2"/>
  <c r="EF65" i="2"/>
  <c r="EG65" i="2"/>
  <c r="EH65" i="2"/>
  <c r="EI65" i="2"/>
  <c r="EJ65" i="2"/>
  <c r="EK65" i="2"/>
  <c r="EL65" i="2"/>
  <c r="EM65" i="2"/>
  <c r="EN65" i="2"/>
  <c r="EO65" i="2"/>
  <c r="EP65" i="2"/>
  <c r="EQ65" i="2"/>
  <c r="ER65" i="2"/>
  <c r="ES65" i="2"/>
  <c r="ET65" i="2"/>
  <c r="EU65" i="2"/>
  <c r="EV65" i="2"/>
  <c r="EW65" i="2"/>
  <c r="EX65" i="2"/>
  <c r="EY65" i="2"/>
  <c r="EZ65" i="2"/>
  <c r="FA65" i="2"/>
  <c r="FB65" i="2"/>
  <c r="FC65" i="2"/>
  <c r="FD65" i="2"/>
  <c r="FE65" i="2"/>
  <c r="FF65" i="2"/>
  <c r="FG65" i="2"/>
  <c r="FH65" i="2"/>
  <c r="FI65" i="2"/>
  <c r="FJ65" i="2"/>
  <c r="FK65" i="2"/>
  <c r="FL65" i="2"/>
  <c r="FM65" i="2"/>
  <c r="FN65" i="2"/>
  <c r="FO65" i="2"/>
  <c r="FP65" i="2"/>
  <c r="FQ65" i="2"/>
  <c r="FR65" i="2"/>
  <c r="FS65" i="2"/>
  <c r="FT65" i="2"/>
  <c r="FU65" i="2"/>
  <c r="FV65" i="2"/>
  <c r="FW65" i="2"/>
  <c r="FX65" i="2"/>
  <c r="FY65" i="2"/>
  <c r="FZ65" i="2"/>
  <c r="GA65" i="2"/>
  <c r="DI66" i="2"/>
  <c r="DJ66" i="2"/>
  <c r="DK66" i="2"/>
  <c r="DL66" i="2"/>
  <c r="DM66" i="2"/>
  <c r="DN66" i="2"/>
  <c r="DO66" i="2"/>
  <c r="DP66" i="2"/>
  <c r="DQ66" i="2"/>
  <c r="DR66" i="2"/>
  <c r="DS66" i="2"/>
  <c r="DT66" i="2"/>
  <c r="DU66" i="2"/>
  <c r="DV66" i="2"/>
  <c r="DW66" i="2"/>
  <c r="DX66" i="2"/>
  <c r="DY66" i="2"/>
  <c r="DZ66" i="2"/>
  <c r="EA66" i="2"/>
  <c r="EB66" i="2"/>
  <c r="EC66" i="2"/>
  <c r="ED66" i="2"/>
  <c r="EE66" i="2"/>
  <c r="EF66" i="2"/>
  <c r="EG66" i="2"/>
  <c r="EH66" i="2"/>
  <c r="EI66" i="2"/>
  <c r="EJ66" i="2"/>
  <c r="EK66" i="2"/>
  <c r="EL66" i="2"/>
  <c r="EM66" i="2"/>
  <c r="EN66" i="2"/>
  <c r="EO66" i="2"/>
  <c r="EP66" i="2"/>
  <c r="EQ66" i="2"/>
  <c r="ER66" i="2"/>
  <c r="ES66" i="2"/>
  <c r="ET66" i="2"/>
  <c r="EU66" i="2"/>
  <c r="EV66" i="2"/>
  <c r="EW66" i="2"/>
  <c r="EX66" i="2"/>
  <c r="EY66" i="2"/>
  <c r="EZ66" i="2"/>
  <c r="FA66" i="2"/>
  <c r="FB66" i="2"/>
  <c r="FC66" i="2"/>
  <c r="FD66" i="2"/>
  <c r="FE66" i="2"/>
  <c r="FF66" i="2"/>
  <c r="FG66" i="2"/>
  <c r="FH66" i="2"/>
  <c r="FI66" i="2"/>
  <c r="FJ66" i="2"/>
  <c r="FK66" i="2"/>
  <c r="FL66" i="2"/>
  <c r="FM66" i="2"/>
  <c r="FN66" i="2"/>
  <c r="FO66" i="2"/>
  <c r="FP66" i="2"/>
  <c r="FQ66" i="2"/>
  <c r="FR66" i="2"/>
  <c r="FS66" i="2"/>
  <c r="FT66" i="2"/>
  <c r="FU66" i="2"/>
  <c r="FV66" i="2"/>
  <c r="FW66" i="2"/>
  <c r="FX66" i="2"/>
  <c r="FY66" i="2"/>
  <c r="FZ66" i="2"/>
  <c r="GA66" i="2"/>
  <c r="DI67" i="2"/>
  <c r="DJ67" i="2"/>
  <c r="DK67" i="2"/>
  <c r="DL67" i="2"/>
  <c r="DM67" i="2"/>
  <c r="DN67" i="2"/>
  <c r="DO67" i="2"/>
  <c r="DP67" i="2"/>
  <c r="DQ67" i="2"/>
  <c r="DR67" i="2"/>
  <c r="DS67" i="2"/>
  <c r="DT67" i="2"/>
  <c r="DU67" i="2"/>
  <c r="DV67" i="2"/>
  <c r="DW67" i="2"/>
  <c r="DX67" i="2"/>
  <c r="DY67" i="2"/>
  <c r="DZ67" i="2"/>
  <c r="EA67" i="2"/>
  <c r="EB67" i="2"/>
  <c r="EC67" i="2"/>
  <c r="ED67" i="2"/>
  <c r="EE67" i="2"/>
  <c r="EF67" i="2"/>
  <c r="EG67" i="2"/>
  <c r="EH67" i="2"/>
  <c r="EI67" i="2"/>
  <c r="EJ67" i="2"/>
  <c r="EK67" i="2"/>
  <c r="EL67" i="2"/>
  <c r="EM67" i="2"/>
  <c r="EN67" i="2"/>
  <c r="EO67" i="2"/>
  <c r="EP67" i="2"/>
  <c r="EQ67" i="2"/>
  <c r="ER67" i="2"/>
  <c r="ES67" i="2"/>
  <c r="ET67" i="2"/>
  <c r="EU67" i="2"/>
  <c r="EV67" i="2"/>
  <c r="EW67" i="2"/>
  <c r="EX67" i="2"/>
  <c r="EY67" i="2"/>
  <c r="EZ67" i="2"/>
  <c r="FA67" i="2"/>
  <c r="FB67" i="2"/>
  <c r="FC67" i="2"/>
  <c r="FD67" i="2"/>
  <c r="FE67" i="2"/>
  <c r="FF67" i="2"/>
  <c r="FG67" i="2"/>
  <c r="FH67" i="2"/>
  <c r="FI67" i="2"/>
  <c r="FJ67" i="2"/>
  <c r="FK67" i="2"/>
  <c r="FL67" i="2"/>
  <c r="FM67" i="2"/>
  <c r="FN67" i="2"/>
  <c r="FO67" i="2"/>
  <c r="FP67" i="2"/>
  <c r="FQ67" i="2"/>
  <c r="FR67" i="2"/>
  <c r="FS67" i="2"/>
  <c r="FT67" i="2"/>
  <c r="FU67" i="2"/>
  <c r="FV67" i="2"/>
  <c r="FW67" i="2"/>
  <c r="FX67" i="2"/>
  <c r="FY67" i="2"/>
  <c r="FZ67" i="2"/>
  <c r="GA67" i="2"/>
  <c r="DI68" i="2"/>
  <c r="DJ68" i="2"/>
  <c r="DK68" i="2"/>
  <c r="DL68" i="2"/>
  <c r="DM68" i="2"/>
  <c r="DN68" i="2"/>
  <c r="DO68" i="2"/>
  <c r="DP68" i="2"/>
  <c r="DQ68" i="2"/>
  <c r="DR68" i="2"/>
  <c r="DS68" i="2"/>
  <c r="DT68" i="2"/>
  <c r="DU68" i="2"/>
  <c r="DV68" i="2"/>
  <c r="DW68" i="2"/>
  <c r="DX68" i="2"/>
  <c r="DY68" i="2"/>
  <c r="DZ68" i="2"/>
  <c r="EA68" i="2"/>
  <c r="EB68" i="2"/>
  <c r="EC68" i="2"/>
  <c r="ED68" i="2"/>
  <c r="EE68" i="2"/>
  <c r="EF68" i="2"/>
  <c r="EG68" i="2"/>
  <c r="EH68" i="2"/>
  <c r="EI68" i="2"/>
  <c r="EJ68" i="2"/>
  <c r="EK68" i="2"/>
  <c r="EL68" i="2"/>
  <c r="EM68" i="2"/>
  <c r="EN68" i="2"/>
  <c r="EO68" i="2"/>
  <c r="EP68" i="2"/>
  <c r="EQ68" i="2"/>
  <c r="ER68" i="2"/>
  <c r="ES68" i="2"/>
  <c r="ET68" i="2"/>
  <c r="EU68" i="2"/>
  <c r="EV68" i="2"/>
  <c r="EW68" i="2"/>
  <c r="EX68" i="2"/>
  <c r="EY68" i="2"/>
  <c r="EZ68" i="2"/>
  <c r="FA68" i="2"/>
  <c r="FB68" i="2"/>
  <c r="FC68" i="2"/>
  <c r="FD68" i="2"/>
  <c r="FE68" i="2"/>
  <c r="FF68" i="2"/>
  <c r="FG68" i="2"/>
  <c r="FH68" i="2"/>
  <c r="FI68" i="2"/>
  <c r="FJ68" i="2"/>
  <c r="FK68" i="2"/>
  <c r="FL68" i="2"/>
  <c r="FM68" i="2"/>
  <c r="FN68" i="2"/>
  <c r="FO68" i="2"/>
  <c r="FP68" i="2"/>
  <c r="FQ68" i="2"/>
  <c r="FR68" i="2"/>
  <c r="FS68" i="2"/>
  <c r="FT68" i="2"/>
  <c r="FU68" i="2"/>
  <c r="FV68" i="2"/>
  <c r="FW68" i="2"/>
  <c r="FX68" i="2"/>
  <c r="FY68" i="2"/>
  <c r="FZ68" i="2"/>
  <c r="GA68" i="2"/>
  <c r="I58" i="2"/>
  <c r="DH61" i="2"/>
  <c r="DH60" i="2"/>
  <c r="DH59" i="2"/>
  <c r="DH58" i="2"/>
  <c r="DH57" i="2"/>
  <c r="I57" i="2"/>
  <c r="I56" i="2"/>
  <c r="I55" i="2"/>
  <c r="I54" i="2"/>
  <c r="I53" i="2"/>
  <c r="DI57" i="2" l="1"/>
  <c r="DI59" i="2"/>
  <c r="DI58" i="2"/>
  <c r="DH56" i="2"/>
  <c r="CV56" i="2" l="1"/>
  <c r="DU56" i="2"/>
  <c r="DW56" i="2"/>
  <c r="CV55" i="2"/>
  <c r="CV54" i="2"/>
  <c r="CV53" i="2"/>
  <c r="DJ54" i="2"/>
  <c r="DK54" i="2"/>
  <c r="DL54" i="2"/>
  <c r="DM54" i="2"/>
  <c r="DN54" i="2"/>
  <c r="DO54" i="2"/>
  <c r="DP54" i="2"/>
  <c r="DQ54" i="2"/>
  <c r="DR54" i="2"/>
  <c r="DS54" i="2"/>
  <c r="DT54" i="2"/>
  <c r="DU54" i="2"/>
  <c r="DV54" i="2"/>
  <c r="DX54" i="2"/>
  <c r="DY54" i="2"/>
  <c r="DZ54" i="2"/>
  <c r="EA54" i="2"/>
  <c r="EB54" i="2"/>
  <c r="EC54" i="2"/>
  <c r="ED54" i="2"/>
  <c r="EE54" i="2"/>
  <c r="EF54" i="2"/>
  <c r="EG54" i="2"/>
  <c r="EH54" i="2"/>
  <c r="EI54" i="2"/>
  <c r="EJ54" i="2"/>
  <c r="EK54" i="2"/>
  <c r="EL54" i="2"/>
  <c r="EM54" i="2"/>
  <c r="EN54" i="2"/>
  <c r="EO54" i="2"/>
  <c r="EP54" i="2"/>
  <c r="EQ54" i="2"/>
  <c r="ER54" i="2"/>
  <c r="ES54" i="2"/>
  <c r="ET54" i="2"/>
  <c r="EU54" i="2"/>
  <c r="EV54" i="2"/>
  <c r="EW54" i="2"/>
  <c r="EX54" i="2"/>
  <c r="EY54" i="2"/>
  <c r="EZ54" i="2"/>
  <c r="FA54" i="2"/>
  <c r="FB54" i="2"/>
  <c r="FC54" i="2"/>
  <c r="FD54" i="2"/>
  <c r="FE54" i="2"/>
  <c r="FF54" i="2"/>
  <c r="FG54" i="2"/>
  <c r="FH54" i="2"/>
  <c r="FI54" i="2"/>
  <c r="FJ54" i="2"/>
  <c r="FK54" i="2"/>
  <c r="FL54" i="2"/>
  <c r="FM54" i="2"/>
  <c r="FN54" i="2"/>
  <c r="FO54" i="2"/>
  <c r="FP54" i="2"/>
  <c r="FQ54" i="2"/>
  <c r="FR54" i="2"/>
  <c r="FS54" i="2"/>
  <c r="FT54" i="2"/>
  <c r="FU54" i="2"/>
  <c r="FV54" i="2"/>
  <c r="FW54" i="2"/>
  <c r="FX54" i="2"/>
  <c r="FY54" i="2"/>
  <c r="FZ54" i="2"/>
  <c r="GA54" i="2"/>
  <c r="DJ55" i="2"/>
  <c r="DK55" i="2"/>
  <c r="DL55" i="2"/>
  <c r="DM55" i="2"/>
  <c r="DN55" i="2"/>
  <c r="DO55" i="2"/>
  <c r="DP55" i="2"/>
  <c r="DQ55" i="2"/>
  <c r="DR55" i="2"/>
  <c r="DS55" i="2"/>
  <c r="DT55" i="2"/>
  <c r="DV55" i="2"/>
  <c r="DX55" i="2"/>
  <c r="DY55" i="2"/>
  <c r="DZ55" i="2"/>
  <c r="EA55" i="2"/>
  <c r="EB55" i="2"/>
  <c r="EC55" i="2"/>
  <c r="ED55" i="2"/>
  <c r="EE55" i="2"/>
  <c r="EF55" i="2"/>
  <c r="EG55" i="2"/>
  <c r="EH55" i="2"/>
  <c r="EI55" i="2"/>
  <c r="EJ55" i="2"/>
  <c r="EK55" i="2"/>
  <c r="EL55" i="2"/>
  <c r="EM55" i="2"/>
  <c r="EN55" i="2"/>
  <c r="EO55" i="2"/>
  <c r="EP55" i="2"/>
  <c r="EQ55" i="2"/>
  <c r="ER55" i="2"/>
  <c r="ES55" i="2"/>
  <c r="ET55" i="2"/>
  <c r="EU55" i="2"/>
  <c r="EV55" i="2"/>
  <c r="EW55" i="2"/>
  <c r="EX55" i="2"/>
  <c r="EY55" i="2"/>
  <c r="EZ55" i="2"/>
  <c r="FA55" i="2"/>
  <c r="FB55" i="2"/>
  <c r="FC55" i="2"/>
  <c r="FD55" i="2"/>
  <c r="FE55" i="2"/>
  <c r="FF55" i="2"/>
  <c r="FG55" i="2"/>
  <c r="FH55" i="2"/>
  <c r="FI55" i="2"/>
  <c r="FJ55" i="2"/>
  <c r="FK55" i="2"/>
  <c r="FL55" i="2"/>
  <c r="FM55" i="2"/>
  <c r="FN55" i="2"/>
  <c r="FO55" i="2"/>
  <c r="FP55" i="2"/>
  <c r="FQ55" i="2"/>
  <c r="FR55" i="2"/>
  <c r="FS55" i="2"/>
  <c r="FT55" i="2"/>
  <c r="FU55" i="2"/>
  <c r="FV55" i="2"/>
  <c r="FW55" i="2"/>
  <c r="FX55" i="2"/>
  <c r="FY55" i="2"/>
  <c r="FZ55" i="2"/>
  <c r="GA55" i="2"/>
  <c r="DJ56" i="2"/>
  <c r="DK56" i="2"/>
  <c r="DL56" i="2"/>
  <c r="DM56" i="2"/>
  <c r="DN56" i="2"/>
  <c r="DO56" i="2"/>
  <c r="DP56" i="2"/>
  <c r="DQ56" i="2"/>
  <c r="DR56" i="2"/>
  <c r="DS56" i="2"/>
  <c r="DT56" i="2"/>
  <c r="DV56" i="2"/>
  <c r="DX56" i="2"/>
  <c r="DY56" i="2"/>
  <c r="DZ56" i="2"/>
  <c r="EA56" i="2"/>
  <c r="EB56" i="2"/>
  <c r="EC56" i="2"/>
  <c r="ED56" i="2"/>
  <c r="EE56" i="2"/>
  <c r="EF56" i="2"/>
  <c r="EG56" i="2"/>
  <c r="EH56" i="2"/>
  <c r="EI56" i="2"/>
  <c r="EJ56" i="2"/>
  <c r="EK56" i="2"/>
  <c r="EL56" i="2"/>
  <c r="EM56" i="2"/>
  <c r="EN56" i="2"/>
  <c r="EO56" i="2"/>
  <c r="EP56" i="2"/>
  <c r="EQ56" i="2"/>
  <c r="ER56" i="2"/>
  <c r="ES56" i="2"/>
  <c r="ET56" i="2"/>
  <c r="EU56" i="2"/>
  <c r="EV56" i="2"/>
  <c r="EW56" i="2"/>
  <c r="EX56" i="2"/>
  <c r="EY56" i="2"/>
  <c r="EZ56" i="2"/>
  <c r="FA56" i="2"/>
  <c r="FB56" i="2"/>
  <c r="FC56" i="2"/>
  <c r="FD56" i="2"/>
  <c r="FE56" i="2"/>
  <c r="FF56" i="2"/>
  <c r="FG56" i="2"/>
  <c r="FH56" i="2"/>
  <c r="FI56" i="2"/>
  <c r="FJ56" i="2"/>
  <c r="FK56" i="2"/>
  <c r="FL56" i="2"/>
  <c r="FM56" i="2"/>
  <c r="FN56" i="2"/>
  <c r="FO56" i="2"/>
  <c r="FP56" i="2"/>
  <c r="FQ56" i="2"/>
  <c r="FR56" i="2"/>
  <c r="FS56" i="2"/>
  <c r="FT56" i="2"/>
  <c r="FU56" i="2"/>
  <c r="FV56" i="2"/>
  <c r="FW56" i="2"/>
  <c r="FX56" i="2"/>
  <c r="FY56" i="2"/>
  <c r="FZ56" i="2"/>
  <c r="GA56" i="2"/>
  <c r="DJ51" i="2"/>
  <c r="DK51" i="2"/>
  <c r="DL51" i="2"/>
  <c r="DM51" i="2"/>
  <c r="DN51" i="2"/>
  <c r="DO51" i="2"/>
  <c r="DP51" i="2"/>
  <c r="DQ51" i="2"/>
  <c r="DR51" i="2"/>
  <c r="DS51" i="2"/>
  <c r="DT51" i="2"/>
  <c r="DU51" i="2"/>
  <c r="DV51" i="2"/>
  <c r="DW51" i="2"/>
  <c r="DX51" i="2"/>
  <c r="DY51" i="2"/>
  <c r="DZ51" i="2"/>
  <c r="EA51" i="2"/>
  <c r="EB51" i="2"/>
  <c r="EC51" i="2"/>
  <c r="ED51" i="2"/>
  <c r="EE51" i="2"/>
  <c r="EF51" i="2"/>
  <c r="EG51" i="2"/>
  <c r="EH51" i="2"/>
  <c r="EI51" i="2"/>
  <c r="EJ51" i="2"/>
  <c r="EK51" i="2"/>
  <c r="EL51" i="2"/>
  <c r="EM51" i="2"/>
  <c r="EN51" i="2"/>
  <c r="EO51" i="2"/>
  <c r="EP51" i="2"/>
  <c r="EQ51" i="2"/>
  <c r="ER51" i="2"/>
  <c r="ES51" i="2"/>
  <c r="ET51" i="2"/>
  <c r="EU51" i="2"/>
  <c r="EV51" i="2"/>
  <c r="EW51" i="2"/>
  <c r="EX51" i="2"/>
  <c r="EY51" i="2"/>
  <c r="EZ51" i="2"/>
  <c r="FA51" i="2"/>
  <c r="FB51" i="2"/>
  <c r="FC51" i="2"/>
  <c r="FD51" i="2"/>
  <c r="FE51" i="2"/>
  <c r="FF51" i="2"/>
  <c r="FG51" i="2"/>
  <c r="FH51" i="2"/>
  <c r="FI51" i="2"/>
  <c r="FJ51" i="2"/>
  <c r="FK51" i="2"/>
  <c r="FL51" i="2"/>
  <c r="FM51" i="2"/>
  <c r="FN51" i="2"/>
  <c r="FO51" i="2"/>
  <c r="FP51" i="2"/>
  <c r="FQ51" i="2"/>
  <c r="FR51" i="2"/>
  <c r="FS51" i="2"/>
  <c r="FT51" i="2"/>
  <c r="FU51" i="2"/>
  <c r="FV51" i="2"/>
  <c r="FW51" i="2"/>
  <c r="FX51" i="2"/>
  <c r="FY51" i="2"/>
  <c r="FZ51" i="2"/>
  <c r="GA51" i="2"/>
  <c r="DJ52" i="2"/>
  <c r="DK52" i="2"/>
  <c r="DL52" i="2"/>
  <c r="DM52" i="2"/>
  <c r="DN52" i="2"/>
  <c r="DO52" i="2"/>
  <c r="DP52" i="2"/>
  <c r="DQ52" i="2"/>
  <c r="DR52" i="2"/>
  <c r="DS52" i="2"/>
  <c r="DT52" i="2"/>
  <c r="DU52" i="2"/>
  <c r="DV52" i="2"/>
  <c r="DW52" i="2"/>
  <c r="DX52" i="2"/>
  <c r="DY52" i="2"/>
  <c r="DZ52" i="2"/>
  <c r="EA52" i="2"/>
  <c r="EB52" i="2"/>
  <c r="EC52" i="2"/>
  <c r="ED52" i="2"/>
  <c r="EE52" i="2"/>
  <c r="EF52" i="2"/>
  <c r="EG52" i="2"/>
  <c r="EH52" i="2"/>
  <c r="EI52" i="2"/>
  <c r="EJ52" i="2"/>
  <c r="EK52" i="2"/>
  <c r="EL52" i="2"/>
  <c r="EM52" i="2"/>
  <c r="EN52" i="2"/>
  <c r="EO52" i="2"/>
  <c r="EP52" i="2"/>
  <c r="EQ52" i="2"/>
  <c r="ER52" i="2"/>
  <c r="ES52" i="2"/>
  <c r="ET52" i="2"/>
  <c r="EU52" i="2"/>
  <c r="EV52" i="2"/>
  <c r="EW52" i="2"/>
  <c r="EX52" i="2"/>
  <c r="EY52" i="2"/>
  <c r="EZ52" i="2"/>
  <c r="FA52" i="2"/>
  <c r="FB52" i="2"/>
  <c r="FC52" i="2"/>
  <c r="FD52" i="2"/>
  <c r="FE52" i="2"/>
  <c r="FF52" i="2"/>
  <c r="FG52" i="2"/>
  <c r="FH52" i="2"/>
  <c r="FI52" i="2"/>
  <c r="FJ52" i="2"/>
  <c r="FK52" i="2"/>
  <c r="FL52" i="2"/>
  <c r="FM52" i="2"/>
  <c r="FN52" i="2"/>
  <c r="FO52" i="2"/>
  <c r="FP52" i="2"/>
  <c r="FQ52" i="2"/>
  <c r="FR52" i="2"/>
  <c r="FS52" i="2"/>
  <c r="FT52" i="2"/>
  <c r="FU52" i="2"/>
  <c r="FV52" i="2"/>
  <c r="FW52" i="2"/>
  <c r="FX52" i="2"/>
  <c r="FY52" i="2"/>
  <c r="FZ52" i="2"/>
  <c r="GA52" i="2"/>
  <c r="DJ53" i="2"/>
  <c r="DK53" i="2"/>
  <c r="DL53" i="2"/>
  <c r="DM53" i="2"/>
  <c r="DN53" i="2"/>
  <c r="DO53" i="2"/>
  <c r="DP53" i="2"/>
  <c r="DQ53" i="2"/>
  <c r="DR53" i="2"/>
  <c r="DS53" i="2"/>
  <c r="DT53" i="2"/>
  <c r="DU53" i="2"/>
  <c r="DV53" i="2"/>
  <c r="DX53" i="2"/>
  <c r="DY53" i="2"/>
  <c r="DZ53" i="2"/>
  <c r="EA53" i="2"/>
  <c r="EB53" i="2"/>
  <c r="EC53" i="2"/>
  <c r="ED53" i="2"/>
  <c r="EE53" i="2"/>
  <c r="EF53" i="2"/>
  <c r="EG53" i="2"/>
  <c r="EH53" i="2"/>
  <c r="EI53" i="2"/>
  <c r="EJ53" i="2"/>
  <c r="EK53" i="2"/>
  <c r="EL53" i="2"/>
  <c r="EM53" i="2"/>
  <c r="EN53" i="2"/>
  <c r="EO53" i="2"/>
  <c r="EP53" i="2"/>
  <c r="EQ53" i="2"/>
  <c r="ER53" i="2"/>
  <c r="ES53" i="2"/>
  <c r="ET53" i="2"/>
  <c r="EU53" i="2"/>
  <c r="EV53" i="2"/>
  <c r="EW53" i="2"/>
  <c r="EX53" i="2"/>
  <c r="EY53" i="2"/>
  <c r="EZ53" i="2"/>
  <c r="FA53" i="2"/>
  <c r="FB53" i="2"/>
  <c r="FC53" i="2"/>
  <c r="FD53" i="2"/>
  <c r="FE53" i="2"/>
  <c r="FF53" i="2"/>
  <c r="FG53" i="2"/>
  <c r="FH53" i="2"/>
  <c r="FI53" i="2"/>
  <c r="FJ53" i="2"/>
  <c r="FK53" i="2"/>
  <c r="FL53" i="2"/>
  <c r="FM53" i="2"/>
  <c r="FN53" i="2"/>
  <c r="FO53" i="2"/>
  <c r="FP53" i="2"/>
  <c r="FQ53" i="2"/>
  <c r="FR53" i="2"/>
  <c r="FS53" i="2"/>
  <c r="FT53" i="2"/>
  <c r="FU53" i="2"/>
  <c r="FV53" i="2"/>
  <c r="FW53" i="2"/>
  <c r="FX53" i="2"/>
  <c r="FY53" i="2"/>
  <c r="FZ53" i="2"/>
  <c r="GA53" i="2"/>
  <c r="DU55" i="2" l="1"/>
  <c r="DW54" i="2"/>
  <c r="DW53" i="2"/>
  <c r="DW55" i="2"/>
  <c r="DI51" i="2"/>
  <c r="DH55" i="2"/>
  <c r="DH54" i="2"/>
  <c r="DH53" i="2"/>
  <c r="DH52" i="2"/>
  <c r="DH51" i="2"/>
  <c r="GA50" i="2"/>
  <c r="FZ50" i="2"/>
  <c r="FY50" i="2"/>
  <c r="FX50" i="2"/>
  <c r="FW50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GA49" i="2"/>
  <c r="FZ49" i="2"/>
  <c r="FY49" i="2"/>
  <c r="FX49" i="2"/>
  <c r="FW49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GA48" i="2"/>
  <c r="FZ48" i="2"/>
  <c r="FY48" i="2"/>
  <c r="FX48" i="2"/>
  <c r="FW48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GA47" i="2"/>
  <c r="FZ47" i="2"/>
  <c r="FY47" i="2"/>
  <c r="FX47" i="2"/>
  <c r="FW47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GA46" i="2"/>
  <c r="FZ46" i="2"/>
  <c r="FY46" i="2"/>
  <c r="FX46" i="2"/>
  <c r="FW46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GA45" i="2"/>
  <c r="FZ45" i="2"/>
  <c r="FY45" i="2"/>
  <c r="FX45" i="2"/>
  <c r="FW45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GA44" i="2"/>
  <c r="FZ44" i="2"/>
  <c r="FY44" i="2"/>
  <c r="FX44" i="2"/>
  <c r="FW44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GA43" i="2"/>
  <c r="FZ43" i="2"/>
  <c r="FY43" i="2"/>
  <c r="FX43" i="2"/>
  <c r="FW43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GA42" i="2"/>
  <c r="FZ42" i="2"/>
  <c r="FY42" i="2"/>
  <c r="FX42" i="2"/>
  <c r="FW42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GA41" i="2"/>
  <c r="FZ41" i="2"/>
  <c r="FY41" i="2"/>
  <c r="FX41" i="2"/>
  <c r="FW41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I54" i="2" l="1"/>
  <c r="DI52" i="2"/>
  <c r="DI53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DI55" i="2" l="1"/>
  <c r="DI56" i="2"/>
  <c r="EI19" i="2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T73" i="3"/>
  <c r="S73" i="3"/>
  <c r="R73" i="3"/>
  <c r="Q73" i="3"/>
  <c r="P73" i="3"/>
  <c r="O73" i="3"/>
  <c r="N73" i="3"/>
  <c r="W73" i="3" s="1"/>
  <c r="M73" i="3"/>
  <c r="L73" i="3"/>
  <c r="T72" i="3"/>
  <c r="S72" i="3"/>
  <c r="R72" i="3"/>
  <c r="Q72" i="3"/>
  <c r="P72" i="3"/>
  <c r="O72" i="3"/>
  <c r="N72" i="3"/>
  <c r="M72" i="3"/>
  <c r="V72" i="3" s="1"/>
  <c r="L72" i="3"/>
  <c r="U72" i="3" s="1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T68" i="3"/>
  <c r="S68" i="3"/>
  <c r="W68" i="3" s="1"/>
  <c r="R68" i="3"/>
  <c r="V68" i="3" s="1"/>
  <c r="Q68" i="3"/>
  <c r="U68" i="3" s="1"/>
  <c r="P68" i="3"/>
  <c r="O68" i="3"/>
  <c r="N68" i="3"/>
  <c r="M68" i="3"/>
  <c r="L68" i="3"/>
  <c r="T67" i="3"/>
  <c r="S67" i="3"/>
  <c r="R67" i="3"/>
  <c r="Q67" i="3"/>
  <c r="P67" i="3"/>
  <c r="O67" i="3"/>
  <c r="N67" i="3"/>
  <c r="W67" i="3" s="1"/>
  <c r="M67" i="3"/>
  <c r="V67" i="3" s="1"/>
  <c r="L67" i="3"/>
  <c r="U67" i="3" s="1"/>
  <c r="T66" i="3"/>
  <c r="S66" i="3"/>
  <c r="R66" i="3"/>
  <c r="Q66" i="3"/>
  <c r="P66" i="3"/>
  <c r="O66" i="3"/>
  <c r="N66" i="3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R64" i="3"/>
  <c r="Q64" i="3"/>
  <c r="P64" i="3"/>
  <c r="O64" i="3"/>
  <c r="N64" i="3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M60" i="3"/>
  <c r="L60" i="3"/>
  <c r="T59" i="3"/>
  <c r="S59" i="3"/>
  <c r="R59" i="3"/>
  <c r="Q59" i="3"/>
  <c r="P59" i="3"/>
  <c r="O59" i="3"/>
  <c r="N59" i="3"/>
  <c r="M59" i="3"/>
  <c r="L59" i="3"/>
  <c r="T58" i="3"/>
  <c r="S58" i="3"/>
  <c r="R58" i="3"/>
  <c r="Q58" i="3"/>
  <c r="P58" i="3"/>
  <c r="O58" i="3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L57" i="3"/>
  <c r="T56" i="3"/>
  <c r="S56" i="3"/>
  <c r="R56" i="3"/>
  <c r="Q56" i="3"/>
  <c r="P56" i="3"/>
  <c r="O56" i="3"/>
  <c r="N56" i="3"/>
  <c r="M56" i="3"/>
  <c r="L56" i="3"/>
  <c r="T55" i="3"/>
  <c r="S55" i="3"/>
  <c r="R55" i="3"/>
  <c r="Q55" i="3"/>
  <c r="P55" i="3"/>
  <c r="O55" i="3"/>
  <c r="N55" i="3"/>
  <c r="M55" i="3"/>
  <c r="V55" i="3" s="1"/>
  <c r="L55" i="3"/>
  <c r="U55" i="3" s="1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N53" i="3"/>
  <c r="M53" i="3"/>
  <c r="L53" i="3"/>
  <c r="T52" i="3"/>
  <c r="S52" i="3"/>
  <c r="R52" i="3"/>
  <c r="Q52" i="3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U73" i="3" l="1"/>
  <c r="V73" i="3"/>
  <c r="X72" i="3"/>
  <c r="W70" i="3"/>
  <c r="U66" i="3"/>
  <c r="W64" i="3"/>
  <c r="W62" i="3"/>
  <c r="X65" i="3"/>
  <c r="W60" i="3"/>
  <c r="V60" i="3"/>
  <c r="U60" i="3"/>
  <c r="X58" i="3"/>
  <c r="V58" i="3"/>
  <c r="V57" i="3"/>
  <c r="U56" i="3"/>
  <c r="W55" i="3"/>
  <c r="W54" i="3"/>
  <c r="V54" i="3"/>
  <c r="U54" i="3"/>
  <c r="X53" i="3"/>
  <c r="U52" i="3"/>
  <c r="X50" i="3"/>
  <c r="W50" i="3"/>
  <c r="W46" i="3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<sst xmlns="http://schemas.openxmlformats.org/spreadsheetml/2006/main" count="727" uniqueCount="311">
  <si>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</si>
  <si>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</si>
  <si>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</si>
  <si>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</si>
  <si>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</si>
  <si>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</si>
  <si>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</si>
  <si>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</si>
  <si>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</si>
  <si>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</si>
  <si>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</si>
  <si>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</si>
  <si>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</si>
  <si>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</si>
  <si>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</si>
  <si>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</si>
  <si>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</si>
  <si>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</si>
  <si>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</si>
  <si>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</si>
  <si>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</si>
  <si>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</si>
  <si>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</si>
  <si>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</si>
  <si>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</si>
  <si>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</si>
  <si>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</si>
  <si>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</si>
  <si>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</si>
  <si>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</si>
  <si>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</si>
  <si>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</si>
  <si>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</si>
  <si>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</si>
  <si>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</si>
  <si>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</si>
  <si>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</si>
  <si>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</si>
  <si>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</si>
  <si>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</si>
  <si>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</si>
  <si>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</si>
  <si>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</si>
  <si>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</si>
  <si>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</si>
  <si>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</si>
  <si>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</si>
  <si>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</si>
  <si>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</si>
  <si>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</si>
  <si>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</si>
  <si>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</si>
  <si>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</si>
  <si>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</si>
  <si>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</si>
  <si>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</si>
  <si>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</si>
  <si>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</si>
  <si>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</si>
  <si>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</si>
  <si>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</si>
  <si>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</si>
  <si>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</si>
  <si>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</si>
  <si>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</si>
  <si>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</si>
  <si>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</si>
  <si>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</si>
  <si>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</si>
  <si>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</si>
  <si>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</si>
  <si>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</si>
  <si>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</si>
  <si>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</si>
  <si>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</si>
  <si>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</si>
  <si>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</si>
  <si>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</si>
  <si>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</si>
  <si>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</si>
  <si>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</si>
  <si>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</si>
  <si>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</si>
  <si>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</si>
  <si>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</si>
  <si>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</si>
  <si>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</si>
  <si>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</si>
  <si>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</si>
  <si>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</si>
  <si>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</si>
  <si>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</si>
  <si>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</si>
  <si>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</si>
  <si>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</si>
  <si>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</si>
  <si>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</si>
  <si>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</si>
  <si>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</si>
  <si>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</si>
  <si>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</si>
  <si>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</si>
  <si>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</si>
  <si>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</si>
  <si>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</si>
  <si>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</si>
  <si>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</si>
  <si>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</si>
  <si>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</si>
  <si>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</si>
  <si>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</si>
  <si>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</si>
  <si>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</si>
  <si>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</si>
  <si>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</si>
  <si>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</si>
  <si>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</si>
  <si>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</si>
  <si>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</si>
  <si>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</si>
  <si>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</si>
  <si>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</si>
  <si>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</si>
  <si>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</si>
  <si>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</si>
  <si>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</si>
  <si>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</si>
  <si>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</si>
  <si>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</si>
  <si>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</si>
  <si>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</si>
  <si>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</si>
  <si>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</si>
  <si>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</si>
  <si>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</si>
  <si>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</si>
  <si>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</si>
  <si>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</si>
  <si>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</si>
  <si>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</si>
  <si>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</si>
  <si>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</si>
  <si>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</si>
  <si>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</si>
  <si>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</si>
  <si>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</si>
  <si>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</si>
  <si>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</si>
  <si>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</si>
  <si>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</si>
  <si>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</si>
  <si>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</si>
  <si>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</si>
  <si>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</si>
  <si>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</si>
  <si>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</si>
  <si>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</si>
  <si>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</si>
  <si>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</si>
  <si>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</si>
  <si>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</si>
  <si>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</si>
  <si>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</si>
  <si>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</si>
  <si>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</si>
  <si>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</si>
  <si>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</si>
  <si>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</si>
  <si>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</si>
  <si>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</si>
  <si>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</si>
  <si>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</si>
  <si>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</si>
  <si>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</si>
  <si>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</si>
  <si>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</si>
  <si>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</si>
  <si>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</si>
  <si>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</si>
  <si>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</si>
  <si>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</si>
  <si>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</si>
  <si>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</si>
  <si>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</si>
  <si>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</si>
  <si>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</si>
  <si>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</si>
  <si>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</si>
  <si>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</si>
  <si>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</si>
  <si>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</si>
  <si>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</si>
  <si>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</si>
  <si>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</si>
  <si>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</si>
  <si>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</si>
  <si>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</si>
  <si>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</si>
  <si>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</si>
  <si>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</si>
  <si>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</si>
  <si>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</si>
  <si>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</si>
  <si>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</si>
  <si>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</si>
  <si>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</si>
  <si>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</si>
  <si>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</si>
  <si>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</si>
  <si>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</si>
  <si>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</si>
  <si>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</si>
  <si>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</si>
  <si>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</si>
  <si>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</si>
  <si>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</si>
  <si>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</si>
  <si>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</si>
  <si>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</si>
  <si>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</si>
  <si>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</si>
  <si>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</si>
  <si>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</si>
  <si>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</si>
  <si>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</si>
  <si>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</si>
  <si>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</si>
  <si>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</si>
  <si>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</si>
  <si>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</si>
  <si>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</si>
  <si>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</si>
  <si>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</si>
  <si>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</si>
  <si>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</si>
  <si>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</si>
  <si>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</si>
  <si>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</si>
  <si>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</si>
  <si>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</si>
  <si>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</si>
  <si>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</si>
  <si>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</si>
  <si>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</si>
  <si>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</si>
  <si>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</si>
  <si>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</si>
  <si>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</si>
  <si>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</si>
  <si>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</si>
  <si>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</si>
  <si>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</si>
  <si>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</si>
  <si>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</si>
  <si>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</si>
  <si>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</si>
  <si>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</si>
  <si>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</si>
  <si>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</si>
  <si>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</si>
  <si>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</si>
  <si>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</si>
  <si>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</si>
  <si>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</si>
  <si>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</si>
  <si>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</si>
  <si>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</si>
  <si>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</si>
  <si>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</si>
  <si>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</si>
  <si>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</si>
  <si>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</si>
  <si>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</si>
  <si>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</si>
  <si>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</si>
  <si>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</si>
  <si>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</si>
  <si>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</si>
  <si>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</si>
  <si>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</si>
  <si>
    <t>10:40</t>
  </si>
  <si>
    <t>10:25</t>
  </si>
  <si>
    <t>11:18</t>
  </si>
  <si>
    <t>10:41</t>
  </si>
  <si>
    <t>2026/08/07 00.00</t>
  </si>
  <si>
    <t xml:space="preserve">2026/08/08 00.00 </t>
  </si>
  <si>
    <t>2026/08/09 00.00</t>
  </si>
  <si>
    <t>2026/08/10 00.00</t>
  </si>
  <si>
    <t>2026/08/11 00.00</t>
  </si>
  <si>
    <t>2026/08/12 00.00</t>
  </si>
  <si>
    <t>2026/08/13 00.00</t>
  </si>
  <si>
    <t>Prateek Chamoli</t>
  </si>
  <si>
    <t>11:32</t>
  </si>
  <si>
    <t>10:50</t>
  </si>
  <si>
    <t>5:03</t>
  </si>
  <si>
    <t>2026/08/14 00.00</t>
  </si>
  <si>
    <t>2026/08/15 00.00</t>
  </si>
  <si>
    <t xml:space="preserve">2026/08/16 00.00 </t>
  </si>
  <si>
    <t>2026/08/17 00.00</t>
  </si>
  <si>
    <t>2026/08/18 00.00</t>
  </si>
  <si>
    <t>2026/08/19 00.00</t>
  </si>
  <si>
    <t>2026/08/20 00.00</t>
  </si>
  <si>
    <t>2026/08/21 00.00</t>
  </si>
  <si>
    <t>2026/08/22 00.00</t>
  </si>
  <si>
    <t>2026/08/23 00.00</t>
  </si>
  <si>
    <t>2026/08/24 00.00</t>
  </si>
  <si>
    <t>10:28</t>
  </si>
  <si>
    <t>10:23</t>
  </si>
  <si>
    <t>2026/08/25 00.00</t>
  </si>
  <si>
    <t>2026/08/26 00.00</t>
  </si>
  <si>
    <t>2026/08/27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</si>
</sst>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70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164" fontId="0" fillId="0" borderId="0" xfId="0" applyNumberFormat="1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0" fillId="9" borderId="0" xfId="0" applyFill="1"/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9" totalsRowShown="0" headerRowDxfId="112" dataDxfId="111">
  <autoFilter ref="A2:DG59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68"/>
  <sheetViews>
    <sheetView tabSelected="1" workbookViewId="0">
      <pane xSplit="1" ySplit="2" topLeftCell="B48" activePane="bottomRight" state="frozen"/>
      <selection pane="topRight" activeCell="B1" sqref="B1"/>
      <selection pane="bottomLeft" activeCell="A3" sqref="A3"/>
      <selection pane="bottomRight" activeCell="FY58" sqref="FY58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2" t="s">
        <v>141</v>
      </c>
      <c r="DK1" s="63"/>
      <c r="DL1" s="61" t="s">
        <v>131</v>
      </c>
      <c r="DM1" s="61"/>
      <c r="DN1" s="61"/>
      <c r="DO1" s="61"/>
      <c r="DP1" s="61"/>
      <c r="DQ1" s="15" t="s">
        <v>177</v>
      </c>
      <c r="DR1" s="64" t="s">
        <v>116</v>
      </c>
      <c r="DS1" s="64"/>
      <c r="DT1" s="64"/>
      <c r="DU1" s="64"/>
      <c r="DV1" s="65"/>
      <c r="DW1" s="14" t="s">
        <v>114</v>
      </c>
      <c r="DX1" s="61" t="s">
        <v>127</v>
      </c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 t="s">
        <v>124</v>
      </c>
      <c r="EL1" s="61"/>
      <c r="EM1" s="62" t="s">
        <v>122</v>
      </c>
      <c r="EN1" s="63"/>
      <c r="EO1" s="63"/>
      <c r="EP1" s="63"/>
      <c r="EQ1" s="63"/>
      <c r="ER1" s="61" t="s">
        <v>128</v>
      </c>
      <c r="ES1" s="61"/>
      <c r="ET1" s="15" t="s">
        <v>117</v>
      </c>
      <c r="EU1" s="61" t="s">
        <v>142</v>
      </c>
      <c r="EV1" s="61"/>
      <c r="EW1" s="61"/>
      <c r="EX1" s="61"/>
      <c r="EY1" s="66" t="s">
        <v>138</v>
      </c>
      <c r="EZ1" s="67"/>
      <c r="FA1" s="61" t="s">
        <v>130</v>
      </c>
      <c r="FB1" s="61"/>
      <c r="FC1" s="61"/>
      <c r="FD1" s="61"/>
      <c r="FE1" s="14" t="s">
        <v>140</v>
      </c>
      <c r="FF1" s="61" t="s">
        <v>118</v>
      </c>
      <c r="FG1" s="61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2" t="s">
        <v>132</v>
      </c>
      <c r="FQ1" s="63"/>
      <c r="FR1" s="68"/>
      <c r="FS1" s="62" t="s">
        <v>133</v>
      </c>
      <c r="FT1" s="63"/>
      <c r="FU1" s="68"/>
      <c r="FV1" s="66" t="s">
        <v>134</v>
      </c>
      <c r="FW1" s="67"/>
      <c r="FX1" s="66" t="s">
        <v>143</v>
      </c>
      <c r="FY1" s="67"/>
      <c r="FZ1" s="61" t="s">
        <v>144</v>
      </c>
      <c r="GA1" s="61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 s="1">
        <f>BZ35-Table2[[#This Row],[8F3 ACPDB - 4 WH Dock air curtain]]</f>
        <v>0.24099999999452848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114330.12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114332.76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25760.000000000218</v>
      </c>
      <c r="DJ36">
        <f>(DA37-Table2[[#This Row],[PNG Meter (Outside)]])*2.936</f>
        <v>49.647759999999572</v>
      </c>
      <c r="DK36">
        <f>(DB37-Table2[[#This Row],[PNG Meter (Inside)]])*2.936</f>
        <v>282.07032799992618</v>
      </c>
      <c r="DL36">
        <f>(BH37-Table2[[#This Row],[3F Dough cooler - 2 ]])*1000</f>
        <v>451.00000000002183</v>
      </c>
      <c r="DM36">
        <f>(BI37-Table2[[#This Row],[3F Dough Cooler- 1]])*1000</f>
        <v>486.99999999996635</v>
      </c>
      <c r="DN36">
        <f>(BJ37-Table2[[#This Row],[4F Dough Production cooling Unit]])*1000</f>
        <v>57.999999999999829</v>
      </c>
      <c r="DO36">
        <f>(BQ37-Table2[[#This Row],[3F2 - PDB 3 - Dough Production Area]])*1000</f>
        <v>281.99999999998226</v>
      </c>
      <c r="DP36">
        <f>(BR37-Table2[[#This Row],[3F3 - PDB 4 - Dough Area]])*1000</f>
        <v>145.99999999998658</v>
      </c>
      <c r="DQ36">
        <f>AC37-Table2[[#This Row],[16F1 Tray washer Panel for Light]]</f>
        <v>778.87999999988824</v>
      </c>
      <c r="DR36">
        <f>CQ37-Table2[[#This Row],[2F1 Tray Washer - 1]]</f>
        <v>1383.0399999995716</v>
      </c>
      <c r="DS36">
        <f>CS37-Table2[[#This Row],[2F5 Destacker]]</f>
        <v>378.9440000000177</v>
      </c>
      <c r="DT36">
        <f>CU37-Table2[[#This Row],[5F1 Metering (TW-2)]]</f>
        <v>267.53899999998976</v>
      </c>
      <c r="DU36">
        <f>CV37-Table2[[#This Row],[6F1 Pre soaker Tray washer]]</f>
        <v>4.1280000000006112</v>
      </c>
      <c r="DV36">
        <f>CZ37-Table2[[#This Row],[6F5 Vent tray Storage]]</f>
        <v>69.328000000008615</v>
      </c>
      <c r="DW36">
        <f>I37-Table2[[#This Row],[Popeyes Meter ]]</f>
        <v>54.970000000000255</v>
      </c>
      <c r="DX36">
        <f>AZ37-Table2[[#This Row],[2F WH Chiller, Segregation Area]]</f>
        <v>0</v>
      </c>
      <c r="DY36">
        <f>BA37-Table2[[#This Row],[3F1 AC Unit WH dock cooling - 2 Nos]]</f>
        <v>20</v>
      </c>
      <c r="DZ36">
        <f>BB37-Table2[[#This Row],[3F2 AC Unit WH dock cooling - 3 Nos]]</f>
        <v>4.7999999999994714E-2</v>
      </c>
      <c r="EA36">
        <f>(BK37-Table2[[#This Row],[5F WH Perishable]])*1000</f>
        <v>289.99999999996362</v>
      </c>
      <c r="EB36">
        <f>BN37-Table2[[#This Row],[2F3 - PDB 9 - WH Dock Leveler Door ]]</f>
        <v>1.0904000000000451</v>
      </c>
      <c r="EC36">
        <f>BP37-Table2[[#This Row],[3F1 - PDB 5 - WH HSD]]</f>
        <v>98.720000000030268</v>
      </c>
      <c r="ED36">
        <f>BX37-Table2[[#This Row],[8F1 WH Dock AHU - Ventilation]]</f>
        <v>2349.1840000000084</v>
      </c>
      <c r="EE36">
        <f>BZ37-Table2[[#This Row],[8F3 ACPDB - 4 WH Dock air curtain]]</f>
        <v>1.2880000000004657</v>
      </c>
      <c r="EF36">
        <f>CA37-Table2[[#This Row],[8F4 WH Light]]</f>
        <v>2.8156999999998789</v>
      </c>
      <c r="EG36">
        <f>CC37-Table2[[#This Row],[9F1 - PDB 10 - WH Dock door &amp; Office]]</f>
        <v>132.54399999999441</v>
      </c>
      <c r="EH36">
        <f>CD37-Table2[[#This Row],[9F2 - PDB 11 - WH flycatchers]]</f>
        <v>273.69599999999627</v>
      </c>
      <c r="EI36">
        <f>CE37-Table2[[#This Row],[9F3 - PDB 12 - Other items]]</f>
        <v>0</v>
      </c>
      <c r="EJ36">
        <f>CR37-Table2[[#This Row],[2F3 - PDB 1 - Dock 1 to 4 ]]</f>
        <v>80.775999999983469</v>
      </c>
      <c r="EK36">
        <f>BM37-Table2[[#This Row],[2F2 - PDB 3 - WH Truck &amp; Battery Charging]]</f>
        <v>649.18400000000838</v>
      </c>
      <c r="EL36">
        <f>(CK37-Table2[[#This Row],[PDB - 11 Truck Charging]])*1000</f>
        <v>75.000000000002842</v>
      </c>
      <c r="EM36">
        <f>P37-Table2[[#This Row],[5F3 Admin Area]]</f>
        <v>403.1359999999404</v>
      </c>
      <c r="EN36">
        <f>AH37-Table2[[#This Row],[2F5 Main Gate-1 Piller -1]]</f>
        <v>123.73600000000442</v>
      </c>
      <c r="EO36">
        <f>CW37-Table2[[#This Row],[6F2 Ground Floor AC]]</f>
        <v>27.763200000001234</v>
      </c>
      <c r="EP36">
        <f>CX37-Table2[[#This Row],[6F3 ACBD -1 (First floor AC)]]</f>
        <v>3.8079999999972642</v>
      </c>
      <c r="EQ36">
        <f>CY37-Table2[[#This Row],[6F4 ACBD - 2 (Second &amp; Third floor AC)]]</f>
        <v>122.7840000000142</v>
      </c>
      <c r="ER36">
        <f>(BC37-Table2[[#This Row],[4F Old BMC cooling Unit]])</f>
        <v>0</v>
      </c>
      <c r="ES36">
        <f>BO37-Table2[[#This Row],[2F4 - Old BMC]]</f>
        <v>5.3887999999933527</v>
      </c>
      <c r="ET36">
        <f>Y37-Table2[[#This Row],[14F2 New CK]]</f>
        <v>1320.6399999998976</v>
      </c>
      <c r="EU36">
        <f>(CL37-Table2[[#This Row],[OLD Ck Panel-1]])*1000</f>
        <v>208.99999999994634</v>
      </c>
      <c r="EV36">
        <f>CM37-Table2[[#This Row],[2F4 Old CK Blast (Blue star)]]</f>
        <v>0</v>
      </c>
      <c r="EW36">
        <f>CN37-Table2[[#This Row],[3F6 Old CK Blast (Carrier)]]</f>
        <v>21.5</v>
      </c>
      <c r="EX36">
        <f>(CO37-Table2[[#This Row],[Old CK Panel -2]])*1000</f>
        <v>739.00000000003274</v>
      </c>
      <c r="EY36">
        <f>N37-Table2[[#This Row],[4F1 Main UPS 1/C -1]]</f>
        <v>947.04000000003725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34.999999999996589</v>
      </c>
      <c r="FC36">
        <f>BW37-Table2[[#This Row],[7F3 CLC Power Panel]]</f>
        <v>307.6480000000447</v>
      </c>
      <c r="FD36">
        <f>(CI37-Table2[[#This Row],[PDB - 17 CLC Section ]])*1000</f>
        <v>185.00000000000227</v>
      </c>
      <c r="FE36">
        <f>(W37-Table2[[#This Row],[13F3 Water &amp; Lift Old CK]])*1000</f>
        <v>450.69999999986976</v>
      </c>
      <c r="FF36">
        <f>AA37-Table2[[#This Row],[15F2 New ETP Panel]]</f>
        <v>258.87999999988824</v>
      </c>
      <c r="FG36">
        <f>AL37-Table2[[#This Row],[3F4 Old ETP Panel]]</f>
        <v>74.368000000016764</v>
      </c>
      <c r="FH36">
        <f>AF37-Table2[[#This Row],[2F1 RO Plant]]</f>
        <v>533.0559999999823</v>
      </c>
      <c r="FI36">
        <f>AK37-Table2[[#This Row],[3F3 Fire Hydrant Panel]]</f>
        <v>11.207999999998719</v>
      </c>
      <c r="FJ36">
        <f>R37-Table2[[#This Row],[7F1 Freon System Panel]]</f>
        <v>6675.839999999851</v>
      </c>
      <c r="FK36">
        <f>(AE37-Table2[[#This Row],[21F1 Refrigeration Ammonia]])*1000</f>
        <v>7132.7999999994063</v>
      </c>
      <c r="FL36">
        <f>(AG37-Table2[[#This Row],[2F3 Air Compressor]])*1000</f>
        <v>1271.9999999999345</v>
      </c>
      <c r="FM36">
        <f>(AX37-Table2[[#This Row],[Solar Reading Panel II]])*1000</f>
        <v>3242.0000000001892</v>
      </c>
      <c r="FN36">
        <f>AI37-Table2[[#This Row],[3F1 Maintenance Workshop]]</f>
        <v>4.7471999999997934</v>
      </c>
      <c r="FO36">
        <f>BD37-Table2[[#This Row],[4F B2B unit ]]</f>
        <v>51.647999999986496</v>
      </c>
      <c r="FP36">
        <f>BL37-Table2[[#This Row],[2F1 - PDB 6 - Bread, B2B section]]</f>
        <v>203.40119999999297</v>
      </c>
      <c r="FQ36">
        <f>(CG37-Table2[[#This Row],[9F5 - PDB 14 - Bread Lift]])</f>
        <v>0.3552000000490807</v>
      </c>
      <c r="FR36">
        <f>CJ37-Table2[[#This Row],[PDB - 16 Bread Section]]</f>
        <v>0</v>
      </c>
      <c r="FS36">
        <f>BU37-Table2[[#This Row],[7F1 Donut Production area]]</f>
        <v>211.1359999999404</v>
      </c>
      <c r="FT36">
        <f>CB37-Table2[[#This Row],[8F5 Donut Ban Bary]]</f>
        <v>44.448000000003958</v>
      </c>
      <c r="FU36">
        <f>CF37-Table2[[#This Row],[9F4 - PDB 13 - Donut Sink Geyser area]]</f>
        <v>15.263999999995576</v>
      </c>
      <c r="FV36">
        <f>BV37-Table2[[#This Row],[7F2 Flour Silo]]</f>
        <v>566.95999999996275</v>
      </c>
      <c r="FW36">
        <f>BY37-Table2[[#This Row],[8F2 ACPDB - 3 SILO Ventilation]]</f>
        <v>49.504000000015367</v>
      </c>
      <c r="FX36">
        <f>J37-Table2[[#This Row],[DG 1010KVA Running Hours]]</f>
        <v>0.3000000000001819</v>
      </c>
      <c r="FY36">
        <f>K37-Table2[[#This Row],[DG 1010 KVA Meter Reading]]</f>
        <v>124</v>
      </c>
      <c r="FZ36">
        <f>L37-Table2[[#This Row],[GG 1010 KVA Running Hours]]</f>
        <v>1</v>
      </c>
      <c r="GA36">
        <f>M37-Table2[[#This Row],[GG 1010 KVA Meter Reading]]</f>
        <v>0.12999999999999545</v>
      </c>
    </row>
    <row r="37" spans="1:183" x14ac:dyDescent="0.35">
      <c r="A37" s="1">
        <v>47</v>
      </c>
      <c r="B37" s="2">
        <v>46235.407835648148</v>
      </c>
      <c r="C37" s="2">
        <v>46235.449791666666</v>
      </c>
      <c r="D37" s="1" t="s">
        <v>111</v>
      </c>
      <c r="E37" s="1"/>
      <c r="F37" s="1"/>
      <c r="G37" s="3">
        <v>46235</v>
      </c>
      <c r="H37" s="1" t="s">
        <v>186</v>
      </c>
      <c r="I37" s="6">
        <v>6579.5020000000004</v>
      </c>
      <c r="J37" s="6">
        <v>4272.7</v>
      </c>
      <c r="K37" s="6">
        <v>1776361</v>
      </c>
      <c r="L37" s="6">
        <v>453</v>
      </c>
      <c r="M37" s="6">
        <v>190.57</v>
      </c>
      <c r="N37" s="6">
        <v>1866079.04</v>
      </c>
      <c r="O37" s="6">
        <v>4593424.6399999997</v>
      </c>
      <c r="P37" s="6">
        <v>644758.65599999996</v>
      </c>
      <c r="Q37" s="6">
        <v>8083234.5599999996</v>
      </c>
      <c r="R37" s="6">
        <v>5523598.7199999997</v>
      </c>
      <c r="S37" s="6">
        <v>7354659.8399999999</v>
      </c>
      <c r="T37" s="6">
        <v>42722957.740999997</v>
      </c>
      <c r="U37" s="6">
        <v>2100603.6800000002</v>
      </c>
      <c r="V37" s="6">
        <v>5111805.4400000004</v>
      </c>
      <c r="W37" s="6">
        <v>1590.8545999999999</v>
      </c>
      <c r="X37" s="6">
        <v>773276.03200000001</v>
      </c>
      <c r="Y37" s="6">
        <v>1089194.1599999999</v>
      </c>
      <c r="Z37" s="6">
        <v>2777.8894</v>
      </c>
      <c r="AA37" s="6">
        <v>667670.59199999995</v>
      </c>
      <c r="AB37" s="6">
        <v>421246.33600000001</v>
      </c>
      <c r="AC37" s="6">
        <v>2137185.92</v>
      </c>
      <c r="AD37" s="6">
        <v>3996975.96</v>
      </c>
      <c r="AE37" s="6">
        <v>12787.9872</v>
      </c>
      <c r="AF37" s="6">
        <v>873829.76</v>
      </c>
      <c r="AG37" s="6">
        <v>1395.537</v>
      </c>
      <c r="AH37" s="6">
        <v>133143.264</v>
      </c>
      <c r="AI37" s="6">
        <v>14612.9408</v>
      </c>
      <c r="AJ37" s="6">
        <v>145358.75200000001</v>
      </c>
      <c r="AK37" s="6">
        <v>105216.128</v>
      </c>
      <c r="AL37" s="6">
        <v>330405.28000000003</v>
      </c>
      <c r="AM37" s="6">
        <v>989.84699999999998</v>
      </c>
      <c r="AN37" s="6">
        <v>325</v>
      </c>
      <c r="AO37" s="6">
        <v>7.5</v>
      </c>
      <c r="AP37" s="6">
        <v>429888</v>
      </c>
      <c r="AQ37" s="6">
        <v>42313</v>
      </c>
      <c r="AR37" s="6">
        <v>41768</v>
      </c>
      <c r="AS37" s="6">
        <v>32332</v>
      </c>
      <c r="AT37" s="6">
        <v>22071</v>
      </c>
      <c r="AU37" s="6">
        <v>15576</v>
      </c>
      <c r="AV37" s="6">
        <v>6393</v>
      </c>
      <c r="AW37" s="6">
        <v>20.906972</v>
      </c>
      <c r="AX37" s="6">
        <v>7234.1819999999998</v>
      </c>
      <c r="AY37" s="6">
        <v>678.69056</v>
      </c>
      <c r="AZ37" s="6">
        <v>20.788</v>
      </c>
      <c r="BA37" s="6">
        <v>10349</v>
      </c>
      <c r="BB37" s="6">
        <v>44.686999999999998</v>
      </c>
      <c r="BC37" s="6">
        <v>113989.152</v>
      </c>
      <c r="BD37" s="6">
        <v>275821.18400000001</v>
      </c>
      <c r="BE37" s="6">
        <v>3723.1792</v>
      </c>
      <c r="BF37" s="6">
        <v>1712.0419999999999</v>
      </c>
      <c r="BG37" s="6">
        <v>74.965000000000003</v>
      </c>
      <c r="BH37" s="6">
        <v>364.11700000000002</v>
      </c>
      <c r="BI37" s="6">
        <v>914.35</v>
      </c>
      <c r="BJ37" s="6">
        <v>14.557</v>
      </c>
      <c r="BK37" s="6">
        <v>563.65499999999997</v>
      </c>
      <c r="BL37" s="6">
        <v>72595.967999999993</v>
      </c>
      <c r="BM37" s="6">
        <v>308572.19199999998</v>
      </c>
      <c r="BN37" s="6">
        <v>7191.1912000000002</v>
      </c>
      <c r="BO37" s="6">
        <v>53557.811199999996</v>
      </c>
      <c r="BP37" s="6">
        <v>314128.64000000001</v>
      </c>
      <c r="BQ37" s="6">
        <v>324.97699999999998</v>
      </c>
      <c r="BR37" s="6">
        <v>181.01</v>
      </c>
      <c r="BS37" s="6">
        <v>1009944.38</v>
      </c>
      <c r="BT37" s="6">
        <v>1400618.6</v>
      </c>
      <c r="BU37" s="6">
        <v>628942.14399999997</v>
      </c>
      <c r="BV37" s="6">
        <v>1021758.32</v>
      </c>
      <c r="BW37" s="6">
        <v>568228.22400000005</v>
      </c>
      <c r="BX37" s="6">
        <v>993844.67200000002</v>
      </c>
      <c r="BY37" s="6">
        <v>157668.04800000001</v>
      </c>
      <c r="BZ37" s="6">
        <v>114334.048</v>
      </c>
      <c r="CA37" s="6">
        <v>1240.6469999999999</v>
      </c>
      <c r="CB37" s="6">
        <v>108645.45600000001</v>
      </c>
      <c r="CC37" s="6">
        <v>150629.21599999999</v>
      </c>
      <c r="CD37" s="6">
        <v>446437.53600000002</v>
      </c>
      <c r="CE37" s="6">
        <v>49125.260799999996</v>
      </c>
      <c r="CF37" s="6">
        <v>155861.45600000001</v>
      </c>
      <c r="CG37" s="6">
        <v>360805.88160000002</v>
      </c>
      <c r="CH37" s="6">
        <v>2385.8710000000001</v>
      </c>
      <c r="CI37" s="6">
        <v>214.27500000000001</v>
      </c>
      <c r="CJ37" s="6">
        <v>1191.4000000000001</v>
      </c>
      <c r="CK37" s="6">
        <v>78.078000000000003</v>
      </c>
      <c r="CL37" s="6">
        <v>733.80799999999999</v>
      </c>
      <c r="CM37" s="6">
        <v>551.4</v>
      </c>
      <c r="CN37" s="6">
        <v>45170.6</v>
      </c>
      <c r="CO37" s="6">
        <v>1650.518</v>
      </c>
      <c r="CP37" s="6">
        <v>294188.05200000003</v>
      </c>
      <c r="CQ37" s="6">
        <v>3683145.28</v>
      </c>
      <c r="CR37" s="6">
        <v>131189.52799999999</v>
      </c>
      <c r="CS37" s="6">
        <v>514327.68</v>
      </c>
      <c r="CT37" s="6">
        <v>2926906.7949999999</v>
      </c>
      <c r="CU37" s="6">
        <v>298528.02399999998</v>
      </c>
      <c r="CV37" s="6">
        <v>30137.590400000001</v>
      </c>
      <c r="CW37" s="6">
        <v>62858.137600000002</v>
      </c>
      <c r="CX37" s="6">
        <v>33466.092799999999</v>
      </c>
      <c r="CY37" s="6">
        <v>167828.88</v>
      </c>
      <c r="CZ37" s="6">
        <v>217897.74400000001</v>
      </c>
      <c r="DA37" s="6">
        <v>19026.7</v>
      </c>
      <c r="DB37" s="6">
        <v>150158.21299999999</v>
      </c>
      <c r="DC37" s="6">
        <v>3023.74</v>
      </c>
      <c r="DD37" s="6">
        <v>3023.66</v>
      </c>
      <c r="DE37" s="6">
        <v>3050.16</v>
      </c>
      <c r="DF37" s="6">
        <v>0.996</v>
      </c>
      <c r="DG37" s="1" t="s">
        <v>271</v>
      </c>
      <c r="DH37" s="4">
        <f>Table2[[#This Row],[Date]]</f>
        <v>46235</v>
      </c>
      <c r="DI37">
        <f>(DD38-Table2[[#This Row],[MWH Total]])*4000</f>
        <v>27079.999999999927</v>
      </c>
      <c r="DJ37">
        <f>(DA38-Table2[[#This Row],[PNG Meter (Outside)]])*2.936</f>
        <v>7.0170399999982909</v>
      </c>
      <c r="DK37">
        <f>(DB38-Table2[[#This Row],[PNG Meter (Inside)]])*2.936</f>
        <v>129.67724800001503</v>
      </c>
      <c r="DL37">
        <f>(BH38-Table2[[#This Row],[3F Dough cooler - 2 ]])*1000</f>
        <v>195.99999999996953</v>
      </c>
      <c r="DM37">
        <f>(BI38-Table2[[#This Row],[3F Dough Cooler- 1]])*1000</f>
        <v>358.9999999999236</v>
      </c>
      <c r="DN37">
        <f>(BJ38-Table2[[#This Row],[4F Dough Production cooling Unit]])*1000</f>
        <v>28.000000000000469</v>
      </c>
      <c r="DO37">
        <f>(BQ38-Table2[[#This Row],[3F2 - PDB 3 - Dough Production Area]])*1000</f>
        <v>149.00000000000091</v>
      </c>
      <c r="DP37">
        <f>(BR38-Table2[[#This Row],[3F3 - PDB 4 - Dough Area]])*1000</f>
        <v>85.000000000007958</v>
      </c>
      <c r="DQ37">
        <f>AC38-Table2[[#This Row],[16F1 Tray washer Panel for Light]]</f>
        <v>615.52000000001863</v>
      </c>
      <c r="DR37">
        <f>CQ38-Table2[[#This Row],[2F1 Tray Washer - 1]]</f>
        <v>989.12000000011176</v>
      </c>
      <c r="DS37">
        <f>CS38-Table2[[#This Row],[2F5 Destacker]]</f>
        <v>209.56800000002841</v>
      </c>
      <c r="DT37">
        <f>CU38-Table2[[#This Row],[5F1 Metering (TW-2)]]</f>
        <v>217.15200000000186</v>
      </c>
      <c r="DU37">
        <f>CV38-Table2[[#This Row],[6F1 Pre soaker Tray washer]]</f>
        <v>2.1087999999981548</v>
      </c>
      <c r="DV37">
        <f>CZ38-Table2[[#This Row],[6F5 Vent tray Storage]]</f>
        <v>54.720000000001164</v>
      </c>
      <c r="DW37">
        <f>I38-Table2[[#This Row],[Popeyes Meter ]]</f>
        <v>4.4799999999995634</v>
      </c>
      <c r="DX37">
        <f>AZ38-Table2[[#This Row],[2F WH Chiller, Segregation Area]]</f>
        <v>0</v>
      </c>
      <c r="DY37">
        <f>BA38-Table2[[#This Row],[3F1 AC Unit WH dock cooling - 2 Nos]]</f>
        <v>16</v>
      </c>
      <c r="DZ37">
        <f>BB38-Table2[[#This Row],[3F2 AC Unit WH dock cooling - 3 Nos]]</f>
        <v>3.5000000000003695E-2</v>
      </c>
      <c r="EA37">
        <f>(BK38-Table2[[#This Row],[5F WH Perishable]])*1000</f>
        <v>214.00000000005548</v>
      </c>
      <c r="EB37">
        <f>BN38-Table2[[#This Row],[2F3 - PDB 9 - WH Dock Leveler Door ]]</f>
        <v>0.60239999999976135</v>
      </c>
      <c r="EC37">
        <f>BP38-Table2[[#This Row],[3F1 - PDB 5 - WH HSD]]</f>
        <v>79.776000000012573</v>
      </c>
      <c r="ED37">
        <f>BX38-Table2[[#This Row],[8F1 WH Dock AHU - Ventilation]]</f>
        <v>1715.5200000000186</v>
      </c>
      <c r="EE37">
        <f>BZ38-Table2[[#This Row],[8F3 ACPDB - 4 WH Dock air curtain]]</f>
        <v>0.71199999999953434</v>
      </c>
      <c r="EF37">
        <f>CA38-Table2[[#This Row],[8F4 WH Light]]</f>
        <v>2.0540000000000873</v>
      </c>
      <c r="EG37">
        <f>CC38-Table2[[#This Row],[9F1 - PDB 10 - WH Dock door &amp; Office]]</f>
        <v>112.13600000002771</v>
      </c>
      <c r="EH37">
        <f>CD38-Table2[[#This Row],[9F2 - PDB 11 - WH flycatchers]]</f>
        <v>222.07999999995809</v>
      </c>
      <c r="EI37">
        <f>CE38-Table2[[#This Row],[9F3 - PDB 12 - Other items]]</f>
        <v>0</v>
      </c>
      <c r="EJ37">
        <f>CR38-Table2[[#This Row],[2F3 - PDB 1 - Dock 1 to 4 ]]</f>
        <v>59.847999999998137</v>
      </c>
      <c r="EK37">
        <f>BM38-Table2[[#This Row],[2F2 - PDB 3 - WH Truck &amp; Battery Charging]]</f>
        <v>513.08800000004703</v>
      </c>
      <c r="EL37">
        <f>(CK38-Table2[[#This Row],[PDB - 11 Truck Charging]])*1000</f>
        <v>69.000000000002615</v>
      </c>
      <c r="EM37">
        <f>P38-Table2[[#This Row],[5F3 Admin Area]]</f>
        <v>305.08799999998882</v>
      </c>
      <c r="EN37">
        <f>AH38-Table2[[#This Row],[2F5 Main Gate-1 Piller -1]]</f>
        <v>98.208000000013271</v>
      </c>
      <c r="EO37">
        <f>CW38-Table2[[#This Row],[6F2 Ground Floor AC]]</f>
        <v>24.435199999999895</v>
      </c>
      <c r="EP37">
        <f>CX38-Table2[[#This Row],[6F3 ACBD -1 (First floor AC)]]</f>
        <v>0</v>
      </c>
      <c r="EQ37">
        <f>CY38-Table2[[#This Row],[6F4 ACBD - 2 (Second &amp; Third floor AC)]]</f>
        <v>104.67199999999139</v>
      </c>
      <c r="ER37">
        <f>(BC38-Table2[[#This Row],[4F Old BMC cooling Unit]])</f>
        <v>0</v>
      </c>
      <c r="ES37">
        <f>BO38-Table2[[#This Row],[2F4 - Old BMC]]</f>
        <v>3.9744000000064261</v>
      </c>
      <c r="ET37">
        <f>Y38-Table2[[#This Row],[14F2 New CK]]</f>
        <v>1008.4799999999814</v>
      </c>
      <c r="EU37">
        <f>(CL38-Table2[[#This Row],[OLD Ck Panel-1]])*1000</f>
        <v>120.00000000000455</v>
      </c>
      <c r="EV37">
        <f>CM38-Table2[[#This Row],[2F4 Old CK Blast (Blue star)]]</f>
        <v>0</v>
      </c>
      <c r="EW37">
        <f>CN38-Table2[[#This Row],[3F6 Old CK Blast (Carrier)]]</f>
        <v>0.20000000000436557</v>
      </c>
      <c r="EX37">
        <f>(CO38-Table2[[#This Row],[Old CK Panel -2]])*1000</f>
        <v>643.0000000000291</v>
      </c>
      <c r="EY37">
        <f>N38-Table2[[#This Row],[4F1 Main UPS 1/C -1]]</f>
        <v>724.95999999996275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36.000000000001364</v>
      </c>
      <c r="FC37">
        <f>BW38-Table2[[#This Row],[7F3 CLC Power Panel]]</f>
        <v>225.85599999991246</v>
      </c>
      <c r="FD37">
        <f>(CI38-Table2[[#This Row],[PDB - 17 CLC Section ]])*1000</f>
        <v>125</v>
      </c>
      <c r="FE37">
        <f>(W38-Table2[[#This Row],[13F3 Water &amp; Lift Old CK]])*1000</f>
        <v>759.30000000016662</v>
      </c>
      <c r="FF37">
        <f>AA38-Table2[[#This Row],[15F2 New ETP Panel]]</f>
        <v>227.84000000008382</v>
      </c>
      <c r="FG37">
        <f>AL38-Table2[[#This Row],[3F4 Old ETP Panel]]</f>
        <v>64.991999999969266</v>
      </c>
      <c r="FH37">
        <f>AF38-Table2[[#This Row],[2F1 RO Plant]]</f>
        <v>432.06400000001304</v>
      </c>
      <c r="FI37">
        <f>AK38-Table2[[#This Row],[3F3 Fire Hydrant Panel]]</f>
        <v>8.7200000000011642</v>
      </c>
      <c r="FJ37">
        <f>R38-Table2[[#This Row],[7F1 Freon System Panel]]</f>
        <v>5112.320000000298</v>
      </c>
      <c r="FK37">
        <f>(AE38-Table2[[#This Row],[21F1 Refrigeration Ammonia]])*1000</f>
        <v>5821.6000000011263</v>
      </c>
      <c r="FL37">
        <f>(AG38-Table2[[#This Row],[2F3 Air Compressor]])*1000</f>
        <v>995.99999999986721</v>
      </c>
      <c r="FM37">
        <f>(AX38-Table2[[#This Row],[Solar Reading Panel II]])*1000</f>
        <v>2274.000000000342</v>
      </c>
      <c r="FN37">
        <f>AI38-Table2[[#This Row],[3F1 Maintenance Workshop]]</f>
        <v>3.1055999999989581</v>
      </c>
      <c r="FO37">
        <f>BD38-Table2[[#This Row],[4F B2B unit ]]</f>
        <v>27.135999999998603</v>
      </c>
      <c r="FP37">
        <f>BL38-Table2[[#This Row],[2F1 - PDB 6 - Bread, B2B section]]</f>
        <v>89.63200000001234</v>
      </c>
      <c r="FQ37">
        <f>(CG38-Table2[[#This Row],[9F5 - PDB 14 - Bread Lift]])</f>
        <v>0.22079999995185062</v>
      </c>
      <c r="FR37">
        <f>CJ38-Table2[[#This Row],[PDB - 16 Bread Section]]</f>
        <v>0</v>
      </c>
      <c r="FS37">
        <f>BU38-Table2[[#This Row],[7F1 Donut Production area]]</f>
        <v>146.75199999997858</v>
      </c>
      <c r="FT37">
        <f>CB38-Table2[[#This Row],[8F5 Donut Ban Bary]]</f>
        <v>21.711999999999534</v>
      </c>
      <c r="FU37">
        <f>CF38-Table2[[#This Row],[9F4 - PDB 13 - Donut Sink Geyser area]]</f>
        <v>60.799999999988358</v>
      </c>
      <c r="FV37">
        <f>BV38-Table2[[#This Row],[7F2 Flour Silo]]</f>
        <v>495.11999999999534</v>
      </c>
      <c r="FW37">
        <f>BY38-Table2[[#This Row],[8F2 ACPDB - 3 SILO Ventilation]]</f>
        <v>58.623999999981606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>
        <v>48</v>
      </c>
      <c r="B38" s="2">
        <v>46237.395636574074</v>
      </c>
      <c r="C38" s="2">
        <v>46237.415659722225</v>
      </c>
      <c r="D38" s="1" t="s">
        <v>111</v>
      </c>
      <c r="E38" s="1"/>
      <c r="F38" s="1"/>
      <c r="G38" s="3">
        <v>46236</v>
      </c>
      <c r="H38" s="1" t="s">
        <v>186</v>
      </c>
      <c r="I38" s="6">
        <v>6583.982</v>
      </c>
      <c r="J38" s="6">
        <v>4272.7</v>
      </c>
      <c r="K38" s="6">
        <v>1776361</v>
      </c>
      <c r="L38" s="6">
        <v>453</v>
      </c>
      <c r="M38" s="6">
        <v>190.57</v>
      </c>
      <c r="N38" s="6">
        <v>1866804</v>
      </c>
      <c r="O38" s="6">
        <v>4594966.4000000004</v>
      </c>
      <c r="P38" s="6">
        <v>645063.74399999995</v>
      </c>
      <c r="Q38" s="6">
        <v>8085854.7199999997</v>
      </c>
      <c r="R38" s="6">
        <v>5528711.04</v>
      </c>
      <c r="S38" s="6">
        <v>7357372.1600000001</v>
      </c>
      <c r="T38" s="6">
        <v>42733071.033</v>
      </c>
      <c r="U38" s="6">
        <v>2101688.48</v>
      </c>
      <c r="V38" s="6">
        <v>5113104</v>
      </c>
      <c r="W38" s="6">
        <v>1591.6139000000001</v>
      </c>
      <c r="X38" s="6">
        <v>773512.70400000003</v>
      </c>
      <c r="Y38" s="6">
        <v>1090202.6399999999</v>
      </c>
      <c r="Z38" s="6">
        <v>2777.8894</v>
      </c>
      <c r="AA38" s="6">
        <v>667898.43200000003</v>
      </c>
      <c r="AB38" s="6">
        <v>421257.82400000002</v>
      </c>
      <c r="AC38" s="6">
        <v>2137801.44</v>
      </c>
      <c r="AD38" s="6">
        <v>2634762.892</v>
      </c>
      <c r="AE38" s="6">
        <v>12793.808800000001</v>
      </c>
      <c r="AF38" s="6">
        <v>874261.82400000002</v>
      </c>
      <c r="AG38" s="6">
        <v>1396.5329999999999</v>
      </c>
      <c r="AH38" s="6">
        <v>133241.47200000001</v>
      </c>
      <c r="AI38" s="6">
        <v>14616.046399999999</v>
      </c>
      <c r="AJ38" s="6">
        <v>145360.89600000001</v>
      </c>
      <c r="AK38" s="6">
        <v>105224.848</v>
      </c>
      <c r="AL38" s="6">
        <v>330470.272</v>
      </c>
      <c r="AM38" s="6">
        <v>990.81500000000005</v>
      </c>
      <c r="AN38" s="6">
        <v>250.6</v>
      </c>
      <c r="AO38" s="6">
        <v>6.9</v>
      </c>
      <c r="AP38" s="6">
        <v>437585</v>
      </c>
      <c r="AQ38" s="6">
        <v>42313</v>
      </c>
      <c r="AR38" s="6">
        <v>41768</v>
      </c>
      <c r="AS38" s="6">
        <v>32351</v>
      </c>
      <c r="AT38" s="6">
        <v>22082</v>
      </c>
      <c r="AU38" s="6">
        <v>15595</v>
      </c>
      <c r="AV38" s="6">
        <v>6404</v>
      </c>
      <c r="AW38" s="6">
        <v>20.912520000000001</v>
      </c>
      <c r="AX38" s="6">
        <v>7236.4560000000001</v>
      </c>
      <c r="AY38" s="6">
        <v>678.79920000000004</v>
      </c>
      <c r="AZ38" s="6">
        <v>20.788</v>
      </c>
      <c r="BA38" s="6">
        <v>10365</v>
      </c>
      <c r="BB38" s="6">
        <v>44.722000000000001</v>
      </c>
      <c r="BC38" s="6">
        <v>113989.152</v>
      </c>
      <c r="BD38" s="6">
        <v>275848.32000000001</v>
      </c>
      <c r="BE38" s="6">
        <v>3724.0544</v>
      </c>
      <c r="BF38" s="6">
        <v>1712.0419999999999</v>
      </c>
      <c r="BG38" s="6">
        <v>75.001000000000005</v>
      </c>
      <c r="BH38" s="6">
        <v>364.31299999999999</v>
      </c>
      <c r="BI38" s="6">
        <v>914.70899999999995</v>
      </c>
      <c r="BJ38" s="6">
        <v>14.585000000000001</v>
      </c>
      <c r="BK38" s="6">
        <v>563.86900000000003</v>
      </c>
      <c r="BL38" s="6">
        <v>72685.600000000006</v>
      </c>
      <c r="BM38" s="6">
        <v>309085.28000000003</v>
      </c>
      <c r="BN38" s="6">
        <v>7191.7936</v>
      </c>
      <c r="BO38" s="6">
        <v>53561.785600000003</v>
      </c>
      <c r="BP38" s="6">
        <v>314208.41600000003</v>
      </c>
      <c r="BQ38" s="6">
        <v>325.12599999999998</v>
      </c>
      <c r="BR38" s="6">
        <v>181.095</v>
      </c>
      <c r="BS38" s="6">
        <v>1010924.719</v>
      </c>
      <c r="BT38" s="6">
        <v>1400618.6529999999</v>
      </c>
      <c r="BU38" s="6">
        <v>629088.89599999995</v>
      </c>
      <c r="BV38" s="6">
        <v>1022253.44</v>
      </c>
      <c r="BW38" s="6">
        <v>568454.07999999996</v>
      </c>
      <c r="BX38" s="6">
        <v>995560.19200000004</v>
      </c>
      <c r="BY38" s="6">
        <v>157726.67199999999</v>
      </c>
      <c r="BZ38" s="6">
        <v>114334.76</v>
      </c>
      <c r="CA38" s="6">
        <v>1242.701</v>
      </c>
      <c r="CB38" s="6">
        <v>108667.16800000001</v>
      </c>
      <c r="CC38" s="6">
        <v>150741.35200000001</v>
      </c>
      <c r="CD38" s="6">
        <v>446659.61599999998</v>
      </c>
      <c r="CE38" s="6">
        <v>49125.260799999996</v>
      </c>
      <c r="CF38" s="6">
        <v>155922.25599999999</v>
      </c>
      <c r="CG38" s="6">
        <v>360806.10239999997</v>
      </c>
      <c r="CH38" s="6">
        <v>2385.8710000000001</v>
      </c>
      <c r="CI38" s="6">
        <v>214.4</v>
      </c>
      <c r="CJ38" s="6">
        <v>1191.4000000000001</v>
      </c>
      <c r="CK38" s="6">
        <v>78.147000000000006</v>
      </c>
      <c r="CL38" s="6">
        <v>733.928</v>
      </c>
      <c r="CM38" s="6">
        <v>551.4</v>
      </c>
      <c r="CN38" s="6">
        <v>45170.8</v>
      </c>
      <c r="CO38" s="6">
        <v>1651.1610000000001</v>
      </c>
      <c r="CP38" s="6">
        <v>294291.31199999998</v>
      </c>
      <c r="CQ38" s="6">
        <v>3684134.4</v>
      </c>
      <c r="CR38" s="6">
        <v>131249.37599999999</v>
      </c>
      <c r="CS38" s="6">
        <v>514537.24800000002</v>
      </c>
      <c r="CT38" s="6">
        <v>2929366.0240000002</v>
      </c>
      <c r="CU38" s="6">
        <v>298745.17599999998</v>
      </c>
      <c r="CV38" s="6">
        <v>30139.699199999999</v>
      </c>
      <c r="CW38" s="6">
        <v>62882.572800000002</v>
      </c>
      <c r="CX38" s="6">
        <v>33466.092799999999</v>
      </c>
      <c r="CY38" s="6">
        <v>167933.552</v>
      </c>
      <c r="CZ38" s="6">
        <v>217952.46400000001</v>
      </c>
      <c r="DA38" s="6">
        <v>19029.09</v>
      </c>
      <c r="DB38" s="6">
        <v>150202.38099999999</v>
      </c>
      <c r="DC38" s="6">
        <v>3030.57</v>
      </c>
      <c r="DD38" s="6">
        <v>3030.43</v>
      </c>
      <c r="DE38" s="6">
        <v>3057.11</v>
      </c>
      <c r="DF38" s="6">
        <v>0.99299999999999999</v>
      </c>
      <c r="DG38" s="1" t="s">
        <v>257</v>
      </c>
      <c r="DH38" s="4">
        <f>Table2[[#This Row],[Date]]</f>
        <v>46236</v>
      </c>
      <c r="DI38">
        <f>(DD39-Table2[[#This Row],[MWH Total]])*4000</f>
        <v>20960.000000000946</v>
      </c>
      <c r="DJ38">
        <f>(DA39-Table2[[#This Row],[PNG Meter (Outside)]])*2.936</f>
        <v>2.113920000003418</v>
      </c>
      <c r="DK38">
        <f>(DB39-Table2[[#This Row],[PNG Meter (Inside)]])*2.936</f>
        <v>248.90820800005946</v>
      </c>
      <c r="DL38">
        <f>(BH39-Table2[[#This Row],[3F Dough cooler - 2 ]])*1000</f>
        <v>306.00000000004002</v>
      </c>
      <c r="DM38">
        <f>(BI39-Table2[[#This Row],[3F Dough Cooler- 1]])*1000</f>
        <v>605.00000000001819</v>
      </c>
      <c r="DN38">
        <f>(BJ39-Table2[[#This Row],[4F Dough Production cooling Unit]])*1000</f>
        <v>46.99999999999882</v>
      </c>
      <c r="DO38">
        <f>(BQ39-Table2[[#This Row],[3F2 - PDB 3 - Dough Production Area]])*1000</f>
        <v>236.00000000004684</v>
      </c>
      <c r="DP38">
        <f>(BR39-Table2[[#This Row],[3F3 - PDB 4 - Dough Area]])*1000</f>
        <v>125</v>
      </c>
      <c r="DQ38">
        <f>AC39-Table2[[#This Row],[16F1 Tray washer Panel for Light]]</f>
        <v>878.87999999988824</v>
      </c>
      <c r="DR38">
        <f>CQ39-Table2[[#This Row],[2F1 Tray Washer - 1]]</f>
        <v>1441.6000000000931</v>
      </c>
      <c r="DS38">
        <f>CS39-Table2[[#This Row],[2F5 Destacker]]</f>
        <v>309.5679999999702</v>
      </c>
      <c r="DT38">
        <f>CU39-Table2[[#This Row],[5F1 Metering (TW-2)]]</f>
        <v>325.09500000003027</v>
      </c>
      <c r="DU38">
        <f>CV39-Table2[[#This Row],[6F1 Pre soaker Tray washer]]</f>
        <v>3.1999999991967343E-3</v>
      </c>
      <c r="DV38">
        <f>CZ39-Table2[[#This Row],[6F5 Vent tray Storage]]</f>
        <v>65.199999999982538</v>
      </c>
      <c r="DW38">
        <f>I39-Table2[[#This Row],[Popeyes Meter ]]</f>
        <v>103.94999999999982</v>
      </c>
      <c r="DX38">
        <f>AZ39-Table2[[#This Row],[2F WH Chiller, Segregation Area]]</f>
        <v>0</v>
      </c>
      <c r="DY38">
        <f>BA39-Table2[[#This Row],[3F1 AC Unit WH dock cooling - 2 Nos]]</f>
        <v>23</v>
      </c>
      <c r="DZ38">
        <f>BB39-Table2[[#This Row],[3F2 AC Unit WH dock cooling - 3 Nos]]</f>
        <v>5.8999999999997499E-2</v>
      </c>
      <c r="EA38">
        <f>(BK39-Table2[[#This Row],[5F WH Perishable]])*1000</f>
        <v>365.00000000000909</v>
      </c>
      <c r="EB38">
        <f>BN39-Table2[[#This Row],[2F3 - PDB 9 - WH Dock Leveler Door ]]</f>
        <v>1.8815999999997075</v>
      </c>
      <c r="EC38">
        <f>BP39-Table2[[#This Row],[3F1 - PDB 5 - WH HSD]]</f>
        <v>132.19199999998091</v>
      </c>
      <c r="ED38">
        <f>BX39-Table2[[#This Row],[8F1 WH Dock AHU - Ventilation]]</f>
        <v>2925.0559999999823</v>
      </c>
      <c r="EE38">
        <f>BZ39-Table2[[#This Row],[8F3 ACPDB - 4 WH Dock air curtain]]</f>
        <v>19.896000000007916</v>
      </c>
      <c r="EF38">
        <f>CA39-Table2[[#This Row],[8F4 WH Light]]</f>
        <v>1.6060999999999694</v>
      </c>
      <c r="EG38">
        <f>CC39-Table2[[#This Row],[9F1 - PDB 10 - WH Dock door &amp; Office]]</f>
        <v>135.84799999999814</v>
      </c>
      <c r="EH38">
        <f>CD39-Table2[[#This Row],[9F2 - PDB 11 - WH flycatchers]]</f>
        <v>87.232000000018161</v>
      </c>
      <c r="EI38">
        <f>CE39-Table2[[#This Row],[9F3 - PDB 12 - Other items]]</f>
        <v>0</v>
      </c>
      <c r="EJ38">
        <f>CR39-Table2[[#This Row],[2F3 - PDB 1 - Dock 1 to 4 ]]</f>
        <v>93.168000000005122</v>
      </c>
      <c r="EK38">
        <f>BM39-Table2[[#This Row],[2F2 - PDB 3 - WH Truck &amp; Battery Charging]]</f>
        <v>331.71199999999953</v>
      </c>
      <c r="EL38">
        <f>(CK39-Table2[[#This Row],[PDB - 11 Truck Charging]])*1000</f>
        <v>12.000000000000455</v>
      </c>
      <c r="EM38">
        <f>P39-Table2[[#This Row],[5F3 Admin Area]]</f>
        <v>531.13600000005681</v>
      </c>
      <c r="EN38">
        <f>AH39-Table2[[#This Row],[2F5 Main Gate-1 Piller -1]]</f>
        <v>117.18399999997928</v>
      </c>
      <c r="EO38">
        <f>CW39-Table2[[#This Row],[6F2 Ground Floor AC]]</f>
        <v>40.300799999997253</v>
      </c>
      <c r="EP38">
        <f>CX39-Table2[[#This Row],[6F3 ACBD -1 (First floor AC)]]</f>
        <v>0</v>
      </c>
      <c r="EQ38">
        <f>CY39-Table2[[#This Row],[6F4 ACBD - 2 (Second &amp; Third floor AC)]]</f>
        <v>180.55999999999767</v>
      </c>
      <c r="ER38">
        <f>(BC39-Table2[[#This Row],[4F Old BMC cooling Unit]])</f>
        <v>0</v>
      </c>
      <c r="ES38">
        <f>BO39-Table2[[#This Row],[2F4 - Old BMC]]</f>
        <v>6.7999999999956344</v>
      </c>
      <c r="ET38">
        <f>Y39-Table2[[#This Row],[14F2 New CK]]</f>
        <v>1064.2399999999907</v>
      </c>
      <c r="EU38">
        <f>(CL39-Table2[[#This Row],[OLD Ck Panel-1]])*1000</f>
        <v>154.99999999997272</v>
      </c>
      <c r="EV38">
        <f>CM39-Table2[[#This Row],[2F4 Old CK Blast (Blue star)]]</f>
        <v>0</v>
      </c>
      <c r="EW38">
        <f>CN39-Table2[[#This Row],[3F6 Old CK Blast (Carrier)]]</f>
        <v>0.29999999999563443</v>
      </c>
      <c r="EX38">
        <f>(CO39-Table2[[#This Row],[Old CK Panel -2]])*1000</f>
        <v>706.99999999987995</v>
      </c>
      <c r="EY38">
        <f>N39-Table2[[#This Row],[4F1 Main UPS 1/C -1]]</f>
        <v>959.84000000008382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18.999999999991246</v>
      </c>
      <c r="FC38">
        <f>BW39-Table2[[#This Row],[7F3 CLC Power Panel]]</f>
        <v>194.4320000000298</v>
      </c>
      <c r="FD38">
        <f>(CI39-Table2[[#This Row],[PDB - 17 CLC Section ]])*1000</f>
        <v>122.99999999999045</v>
      </c>
      <c r="FE38">
        <f>(W39-Table2[[#This Row],[13F3 Water &amp; Lift Old CK]])*1000</f>
        <v>486.79999999990287</v>
      </c>
      <c r="FF38">
        <f>AA39-Table2[[#This Row],[15F2 New ETP Panel]]</f>
        <v>456.89599999994971</v>
      </c>
      <c r="FG38">
        <f>AL39-Table2[[#This Row],[3F4 Old ETP Panel]]</f>
        <v>73.184000000008382</v>
      </c>
      <c r="FH38">
        <f>AF39-Table2[[#This Row],[2F1 RO Plant]]</f>
        <v>683.39199999999255</v>
      </c>
      <c r="FI38">
        <f>AK39-Table2[[#This Row],[3F3 Fire Hydrant Panel]]</f>
        <v>16.576000000000931</v>
      </c>
      <c r="FJ38">
        <f>R39-Table2[[#This Row],[7F1 Freon System Panel]]</f>
        <v>6142.7199999997392</v>
      </c>
      <c r="FK38">
        <f>(AE39-Table2[[#This Row],[21F1 Refrigeration Ammonia]])*1000</f>
        <v>7730.3999999985535</v>
      </c>
      <c r="FL38">
        <f>(AG39-Table2[[#This Row],[2F3 Air Compressor]])*1000</f>
        <v>1447.0000000001164</v>
      </c>
      <c r="FM38">
        <f>(AX39-Table2[[#This Row],[Solar Reading Panel II]])*1000</f>
        <v>3994.9999999998909</v>
      </c>
      <c r="FN38">
        <f>AI39-Table2[[#This Row],[3F1 Maintenance Workshop]]</f>
        <v>4.3328000000001339</v>
      </c>
      <c r="FO38">
        <f>BD39-Table2[[#This Row],[4F B2B unit ]]</f>
        <v>78.656000000017229</v>
      </c>
      <c r="FP38">
        <f>BL39-Table2[[#This Row],[2F1 - PDB 6 - Bread, B2B section]]</f>
        <v>122.32319999999891</v>
      </c>
      <c r="FQ38">
        <f>(CG39-Table2[[#This Row],[9F5 - PDB 14 - Bread Lift]])</f>
        <v>0.44800000003306195</v>
      </c>
      <c r="FR38">
        <f>CJ39-Table2[[#This Row],[PDB - 16 Bread Section]]</f>
        <v>0</v>
      </c>
      <c r="FS38">
        <f>BU39-Table2[[#This Row],[7F1 Donut Production area]]</f>
        <v>215.10400000005029</v>
      </c>
      <c r="FT38">
        <f>CB39-Table2[[#This Row],[8F5 Donut Ban Bary]]</f>
        <v>51.679999999993015</v>
      </c>
      <c r="FU38">
        <f>CF39-Table2[[#This Row],[9F4 - PDB 13 - Donut Sink Geyser area]]</f>
        <v>46.512000000016997</v>
      </c>
      <c r="FV38">
        <f>BV39-Table2[[#This Row],[7F2 Flour Silo]]</f>
        <v>476</v>
      </c>
      <c r="FW38">
        <f>BY39-Table2[[#This Row],[8F2 ACPDB - 3 SILO Ventilation]]</f>
        <v>68.032000000006519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>
        <v>49</v>
      </c>
      <c r="B39" s="2">
        <v>46237.415902777779</v>
      </c>
      <c r="C39" s="2">
        <v>46237.455925925926</v>
      </c>
      <c r="D39" s="1" t="s">
        <v>111</v>
      </c>
      <c r="E39" s="1"/>
      <c r="F39" s="1"/>
      <c r="G39" s="3">
        <v>46237</v>
      </c>
      <c r="H39" s="1" t="s">
        <v>186</v>
      </c>
      <c r="I39" s="6">
        <v>6687.9319999999998</v>
      </c>
      <c r="J39" s="6">
        <v>4272.7</v>
      </c>
      <c r="K39" s="6">
        <v>1776361</v>
      </c>
      <c r="L39" s="6">
        <v>453</v>
      </c>
      <c r="M39" s="6">
        <v>190.57</v>
      </c>
      <c r="N39" s="6">
        <v>1867763.84</v>
      </c>
      <c r="O39" s="6">
        <v>4597175.3600000003</v>
      </c>
      <c r="P39" s="6">
        <v>645594.88</v>
      </c>
      <c r="Q39" s="6">
        <v>8089822.7199999997</v>
      </c>
      <c r="R39" s="6">
        <v>5534853.7599999998</v>
      </c>
      <c r="S39" s="6">
        <v>7360382.7199999997</v>
      </c>
      <c r="T39" s="6">
        <v>42744304.789999999</v>
      </c>
      <c r="U39" s="6">
        <v>2102692.96</v>
      </c>
      <c r="V39" s="6">
        <v>5114972.4800000004</v>
      </c>
      <c r="W39" s="6">
        <v>1592.1007</v>
      </c>
      <c r="X39" s="6">
        <v>773820.48</v>
      </c>
      <c r="Y39" s="6">
        <v>1091266.8799999999</v>
      </c>
      <c r="Z39" s="6">
        <v>2777.8894</v>
      </c>
      <c r="AA39" s="6">
        <v>668355.32799999998</v>
      </c>
      <c r="AB39" s="6">
        <v>421272.44799999997</v>
      </c>
      <c r="AC39" s="6">
        <v>2138680.3199999998</v>
      </c>
      <c r="AD39" s="6">
        <v>4021998.2990000001</v>
      </c>
      <c r="AE39" s="6">
        <v>12801.539199999999</v>
      </c>
      <c r="AF39" s="6">
        <v>874945.21600000001</v>
      </c>
      <c r="AG39" s="6">
        <v>1397.98</v>
      </c>
      <c r="AH39" s="6">
        <v>133358.65599999999</v>
      </c>
      <c r="AI39" s="6">
        <v>14620.379199999999</v>
      </c>
      <c r="AJ39" s="6">
        <v>145365.408</v>
      </c>
      <c r="AK39" s="6">
        <v>105241.424</v>
      </c>
      <c r="AL39" s="6">
        <v>330543.45600000001</v>
      </c>
      <c r="AM39" s="6">
        <v>990.91399999999999</v>
      </c>
      <c r="AN39" s="6">
        <v>292.60000000000002</v>
      </c>
      <c r="AO39" s="6">
        <v>7.8</v>
      </c>
      <c r="AP39" s="6">
        <v>448953</v>
      </c>
      <c r="AQ39" s="6">
        <v>42313</v>
      </c>
      <c r="AR39" s="6">
        <v>41768</v>
      </c>
      <c r="AS39" s="6">
        <v>32380</v>
      </c>
      <c r="AT39" s="6">
        <v>22100</v>
      </c>
      <c r="AU39" s="6">
        <v>15624</v>
      </c>
      <c r="AV39" s="6">
        <v>6419</v>
      </c>
      <c r="AW39" s="6">
        <v>20.920206</v>
      </c>
      <c r="AX39" s="6">
        <v>7240.451</v>
      </c>
      <c r="AY39" s="6">
        <v>678.96024</v>
      </c>
      <c r="AZ39" s="6">
        <v>20.788</v>
      </c>
      <c r="BA39" s="6">
        <v>10388</v>
      </c>
      <c r="BB39" s="6">
        <v>44.780999999999999</v>
      </c>
      <c r="BC39" s="6">
        <v>113989.152</v>
      </c>
      <c r="BD39" s="6">
        <v>275926.97600000002</v>
      </c>
      <c r="BE39" s="6">
        <v>3725.4756000000002</v>
      </c>
      <c r="BF39" s="6">
        <v>1712.0419999999999</v>
      </c>
      <c r="BG39" s="6">
        <v>75.02</v>
      </c>
      <c r="BH39" s="6">
        <v>364.61900000000003</v>
      </c>
      <c r="BI39" s="6">
        <v>915.31399999999996</v>
      </c>
      <c r="BJ39" s="6">
        <v>14.632</v>
      </c>
      <c r="BK39" s="6">
        <v>564.23400000000004</v>
      </c>
      <c r="BL39" s="6">
        <v>72807.923200000005</v>
      </c>
      <c r="BM39" s="6">
        <v>309416.99200000003</v>
      </c>
      <c r="BN39" s="6">
        <v>7193.6751999999997</v>
      </c>
      <c r="BO39" s="6">
        <v>53568.585599999999</v>
      </c>
      <c r="BP39" s="6">
        <v>314340.60800000001</v>
      </c>
      <c r="BQ39" s="6">
        <v>325.36200000000002</v>
      </c>
      <c r="BR39" s="6">
        <v>181.22</v>
      </c>
      <c r="BS39" s="6">
        <v>1011958.5820000001</v>
      </c>
      <c r="BT39" s="6">
        <v>1400619.6850000001</v>
      </c>
      <c r="BU39" s="6">
        <v>629304</v>
      </c>
      <c r="BV39" s="6">
        <v>1022729.44</v>
      </c>
      <c r="BW39" s="6">
        <v>568648.51199999999</v>
      </c>
      <c r="BX39" s="6">
        <v>998485.24800000002</v>
      </c>
      <c r="BY39" s="6">
        <v>157794.704</v>
      </c>
      <c r="BZ39" s="6">
        <v>114354.656</v>
      </c>
      <c r="CA39" s="6">
        <v>1244.3071</v>
      </c>
      <c r="CB39" s="6">
        <v>108718.848</v>
      </c>
      <c r="CC39" s="6">
        <v>150877.20000000001</v>
      </c>
      <c r="CD39" s="6">
        <v>446746.848</v>
      </c>
      <c r="CE39" s="6">
        <v>49125.260799999996</v>
      </c>
      <c r="CF39" s="6">
        <v>155968.76800000001</v>
      </c>
      <c r="CG39" s="6">
        <v>360806.55040000001</v>
      </c>
      <c r="CH39" s="6">
        <v>2385.8710000000001</v>
      </c>
      <c r="CI39" s="6">
        <v>214.523</v>
      </c>
      <c r="CJ39" s="6">
        <v>1191.4000000000001</v>
      </c>
      <c r="CK39" s="6">
        <v>78.159000000000006</v>
      </c>
      <c r="CL39" s="6">
        <v>734.08299999999997</v>
      </c>
      <c r="CM39" s="6">
        <v>551.4</v>
      </c>
      <c r="CN39" s="6">
        <v>45171.1</v>
      </c>
      <c r="CO39" s="6">
        <v>1651.8679999999999</v>
      </c>
      <c r="CP39" s="6">
        <v>294479.12199999997</v>
      </c>
      <c r="CQ39" s="6">
        <v>3685576</v>
      </c>
      <c r="CR39" s="6">
        <v>131342.54399999999</v>
      </c>
      <c r="CS39" s="6">
        <v>514846.81599999999</v>
      </c>
      <c r="CT39" s="6">
        <v>2932735.83</v>
      </c>
      <c r="CU39" s="6">
        <v>299070.27100000001</v>
      </c>
      <c r="CV39" s="6">
        <v>30139.702399999998</v>
      </c>
      <c r="CW39" s="6">
        <v>62922.873599999999</v>
      </c>
      <c r="CX39" s="6">
        <v>33466.092799999999</v>
      </c>
      <c r="CY39" s="6">
        <v>168114.11199999999</v>
      </c>
      <c r="CZ39" s="6">
        <v>218017.66399999999</v>
      </c>
      <c r="DA39" s="6">
        <v>19029.810000000001</v>
      </c>
      <c r="DB39" s="6">
        <v>150287.15900000001</v>
      </c>
      <c r="DC39" s="6">
        <v>3035.87</v>
      </c>
      <c r="DD39" s="6">
        <v>3035.67</v>
      </c>
      <c r="DE39" s="6">
        <v>3062.58</v>
      </c>
      <c r="DF39" s="6">
        <v>0.97899999999999998</v>
      </c>
      <c r="DG39" s="1" t="s">
        <v>272</v>
      </c>
      <c r="DH39" s="4">
        <f>Table2[[#This Row],[Date]]</f>
        <v>46237</v>
      </c>
      <c r="DI39">
        <f>(DD40-Table2[[#This Row],[MWH Total]])*4000</f>
        <v>25799.999999999272</v>
      </c>
      <c r="DJ39">
        <f>(DA40-Table2[[#This Row],[PNG Meter (Outside)]])*2.936</f>
        <v>19.14272000000128</v>
      </c>
      <c r="DK39">
        <f>(DB40-Table2[[#This Row],[PNG Meter (Inside)]])*2.936</f>
        <v>333.41509599996169</v>
      </c>
      <c r="DL39">
        <f>(BH40-Table2[[#This Row],[3F Dough cooler - 2 ]])*1000</f>
        <v>285.99999999994452</v>
      </c>
      <c r="DM39">
        <f>(BI40-Table2[[#This Row],[3F Dough Cooler- 1]])*1000</f>
        <v>479.00000000004184</v>
      </c>
      <c r="DN39">
        <f>(BJ40-Table2[[#This Row],[4F Dough Production cooling Unit]])*1000</f>
        <v>56.000000000000938</v>
      </c>
      <c r="DO39">
        <f>(BQ40-Table2[[#This Row],[3F2 - PDB 3 - Dough Production Area]])*1000</f>
        <v>240.99999999998545</v>
      </c>
      <c r="DP39">
        <f>(BR40-Table2[[#This Row],[3F3 - PDB 4 - Dough Area]])*1000</f>
        <v>120.00000000000455</v>
      </c>
      <c r="DQ39">
        <f>AC40-Table2[[#This Row],[16F1 Tray washer Panel for Light]]</f>
        <v>719.68000000016764</v>
      </c>
      <c r="DR39">
        <f>CQ40-Table2[[#This Row],[2F1 Tray Washer - 1]]</f>
        <v>1308.7999999998137</v>
      </c>
      <c r="DS39">
        <f>CS40-Table2[[#This Row],[2F5 Destacker]]</f>
        <v>286.62400000001071</v>
      </c>
      <c r="DT39">
        <f>CU40-Table2[[#This Row],[5F1 Metering (TW-2)]]</f>
        <v>296.88500000000931</v>
      </c>
      <c r="DU39">
        <f>CV40-Table2[[#This Row],[6F1 Pre soaker Tray washer]]</f>
        <v>3.2000000028347131E-3</v>
      </c>
      <c r="DV39">
        <f>CZ40-Table2[[#This Row],[6F5 Vent tray Storage]]</f>
        <v>98.768000000010943</v>
      </c>
      <c r="DW39">
        <f>I40-Table2[[#This Row],[Popeyes Meter ]]</f>
        <v>67.75</v>
      </c>
      <c r="DX39">
        <f>AZ40-Table2[[#This Row],[2F WH Chiller, Segregation Area]]</f>
        <v>0</v>
      </c>
      <c r="DY39">
        <f>BA40-Table2[[#This Row],[3F1 AC Unit WH dock cooling - 2 Nos]]</f>
        <v>19</v>
      </c>
      <c r="DZ39">
        <f>BB40-Table2[[#This Row],[3F2 AC Unit WH dock cooling - 3 Nos]]</f>
        <v>4.5999999999999375E-2</v>
      </c>
      <c r="EA39">
        <f>(BK40-Table2[[#This Row],[5F WH Perishable]])*1000</f>
        <v>285.99999999994452</v>
      </c>
      <c r="EB39">
        <f>BN40-Table2[[#This Row],[2F3 - PDB 9 - WH Dock Leveler Door ]]</f>
        <v>1.9832000000005792</v>
      </c>
      <c r="EC39">
        <f>BP40-Table2[[#This Row],[3F1 - PDB 5 - WH HSD]]</f>
        <v>119.58399999997346</v>
      </c>
      <c r="ED39">
        <f>BX40-Table2[[#This Row],[8F1 WH Dock AHU - Ventilation]]</f>
        <v>2295.951999999932</v>
      </c>
      <c r="EE39">
        <f>BZ40-Table2[[#This Row],[8F3 ACPDB - 4 WH Dock air curtain]]</f>
        <v>18.207999999998719</v>
      </c>
      <c r="EF39">
        <f>CA40-Table2[[#This Row],[8F4 WH Light]]</f>
        <v>2.1999999999934516E-2</v>
      </c>
      <c r="EG39">
        <f>CC40-Table2[[#This Row],[9F1 - PDB 10 - WH Dock door &amp; Office]]</f>
        <v>152.8640000000014</v>
      </c>
      <c r="EH39">
        <f>CD40-Table2[[#This Row],[9F2 - PDB 11 - WH flycatchers]]</f>
        <v>258.14400000002934</v>
      </c>
      <c r="EI39">
        <f>CE40-Table2[[#This Row],[9F3 - PDB 12 - Other items]]</f>
        <v>0</v>
      </c>
      <c r="EJ39">
        <f>CR40-Table2[[#This Row],[2F3 - PDB 1 - Dock 1 to 4 ]]</f>
        <v>76.535999999992782</v>
      </c>
      <c r="EK39">
        <f>BM40-Table2[[#This Row],[2F2 - PDB 3 - WH Truck &amp; Battery Charging]]</f>
        <v>535.4879999999539</v>
      </c>
      <c r="EL39">
        <f>(CK40-Table2[[#This Row],[PDB - 11 Truck Charging]])*1000</f>
        <v>62.999999999988177</v>
      </c>
      <c r="EM39">
        <f>P40-Table2[[#This Row],[5F3 Admin Area]]</f>
        <v>381.69599999999627</v>
      </c>
      <c r="EN39">
        <f>AH40-Table2[[#This Row],[2F5 Main Gate-1 Piller -1]]</f>
        <v>105.57600000000093</v>
      </c>
      <c r="EO39">
        <f>CW40-Table2[[#This Row],[6F2 Ground Floor AC]]</f>
        <v>30.604800000000978</v>
      </c>
      <c r="EP39">
        <f>CX40-Table2[[#This Row],[6F3 ACBD -1 (First floor AC)]]</f>
        <v>0</v>
      </c>
      <c r="EQ39">
        <f>CY40-Table2[[#This Row],[6F4 ACBD - 2 (Second &amp; Third floor AC)]]</f>
        <v>136</v>
      </c>
      <c r="ER39">
        <f>(BC40-Table2[[#This Row],[4F Old BMC cooling Unit]])</f>
        <v>0</v>
      </c>
      <c r="ES39">
        <f>BO40-Table2[[#This Row],[2F4 - Old BMC]]</f>
        <v>2.3680000000022119</v>
      </c>
      <c r="ET39">
        <f>Y40-Table2[[#This Row],[14F2 New CK]]</f>
        <v>1538.2400000002235</v>
      </c>
      <c r="EU39">
        <f>(CL40-Table2[[#This Row],[OLD Ck Panel-1]])*1000</f>
        <v>176.00000000004457</v>
      </c>
      <c r="EV39">
        <f>CM40-Table2[[#This Row],[2F4 Old CK Blast (Blue star)]]</f>
        <v>0</v>
      </c>
      <c r="EW39">
        <f>CN40-Table2[[#This Row],[3F6 Old CK Blast (Carrier)]]</f>
        <v>8</v>
      </c>
      <c r="EX39">
        <f>(CO40-Table2[[#This Row],[Old CK Panel -2]])*1000</f>
        <v>878.00000000015643</v>
      </c>
      <c r="EY39">
        <f>N40-Table2[[#This Row],[4F1 Main UPS 1/C -1]]</f>
        <v>924.95999999996275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32.000000000010687</v>
      </c>
      <c r="FC39">
        <f>BW40-Table2[[#This Row],[7F3 CLC Power Panel]]</f>
        <v>326.46400000003632</v>
      </c>
      <c r="FD39">
        <f>(CI40-Table2[[#This Row],[PDB - 17 CLC Section ]])*1000</f>
        <v>227.00000000000387</v>
      </c>
      <c r="FE39">
        <f>(W40-Table2[[#This Row],[13F3 Water &amp; Lift Old CK]])*1000</f>
        <v>412.00000000003456</v>
      </c>
      <c r="FF39">
        <f>AA40-Table2[[#This Row],[15F2 New ETP Panel]]</f>
        <v>364.54399999999441</v>
      </c>
      <c r="FG39">
        <f>AL40-Table2[[#This Row],[3F4 Old ETP Panel]]</f>
        <v>64.415999999968335</v>
      </c>
      <c r="FH39">
        <f>AF40-Table2[[#This Row],[2F1 RO Plant]]</f>
        <v>534.01599999994505</v>
      </c>
      <c r="FI39">
        <f>AK40-Table2[[#This Row],[3F3 Fire Hydrant Panel]]</f>
        <v>10.576000000000931</v>
      </c>
      <c r="FJ39">
        <f>R40-Table2[[#This Row],[7F1 Freon System Panel]]</f>
        <v>5775.3600000003353</v>
      </c>
      <c r="FK39">
        <f>(AE40-Table2[[#This Row],[21F1 Refrigeration Ammonia]])*1000</f>
        <v>6941.6000000001077</v>
      </c>
      <c r="FL39">
        <f>(AG40-Table2[[#This Row],[2F3 Air Compressor]])*1000</f>
        <v>1009.9999999999909</v>
      </c>
      <c r="FM39">
        <f>(AX40-Table2[[#This Row],[Solar Reading Panel II]])*1000</f>
        <v>2028.9999999995416</v>
      </c>
      <c r="FN39">
        <f>AI40-Table2[[#This Row],[3F1 Maintenance Workshop]]</f>
        <v>4.3712000000014086</v>
      </c>
      <c r="FO39">
        <f>BD40-Table2[[#This Row],[4F B2B unit ]]</f>
        <v>66.783999999985099</v>
      </c>
      <c r="FP39">
        <f>BL40-Table2[[#This Row],[2F1 - PDB 6 - Bread, B2B section]]</f>
        <v>135.46880000000237</v>
      </c>
      <c r="FQ39">
        <f>(CG40-Table2[[#This Row],[9F5 - PDB 14 - Bread Lift]])</f>
        <v>0.59840000001713634</v>
      </c>
      <c r="FR39">
        <f>CJ40-Table2[[#This Row],[PDB - 16 Bread Section]]</f>
        <v>0</v>
      </c>
      <c r="FS39">
        <f>BU40-Table2[[#This Row],[7F1 Donut Production area]]</f>
        <v>250.68799999996554</v>
      </c>
      <c r="FT39">
        <f>CB40-Table2[[#This Row],[8F5 Donut Ban Bary]]</f>
        <v>64.487999999997555</v>
      </c>
      <c r="FU39">
        <f>CF40-Table2[[#This Row],[9F4 - PDB 13 - Donut Sink Geyser area]]</f>
        <v>26.095999999990454</v>
      </c>
      <c r="FV39">
        <f>BV40-Table2[[#This Row],[7F2 Flour Silo]]</f>
        <v>484.64000000001397</v>
      </c>
      <c r="FW39">
        <f>BY40-Table2[[#This Row],[8F2 ACPDB - 3 SILO Ventilation]]</f>
        <v>48.144000000000233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>
        <v>50</v>
      </c>
      <c r="B40" s="2">
        <v>46238.395335648151</v>
      </c>
      <c r="C40" s="2">
        <v>46238.441006944442</v>
      </c>
      <c r="D40" s="1" t="s">
        <v>111</v>
      </c>
      <c r="E40" s="1"/>
      <c r="F40" s="1"/>
      <c r="G40" s="3">
        <v>46238</v>
      </c>
      <c r="H40" s="1" t="s">
        <v>186</v>
      </c>
      <c r="I40" s="6">
        <v>6755.6819999999998</v>
      </c>
      <c r="J40" s="6">
        <v>4272.7</v>
      </c>
      <c r="K40" s="6">
        <v>1776361</v>
      </c>
      <c r="L40" s="6">
        <v>453</v>
      </c>
      <c r="M40" s="6">
        <v>190.57</v>
      </c>
      <c r="N40" s="6">
        <v>1868688.8</v>
      </c>
      <c r="O40" s="6">
        <v>4598792.96</v>
      </c>
      <c r="P40" s="6">
        <v>645976.576</v>
      </c>
      <c r="Q40" s="6">
        <v>8091911.04</v>
      </c>
      <c r="R40" s="6">
        <v>5540629.1200000001</v>
      </c>
      <c r="S40" s="6">
        <v>7363605.7599999998</v>
      </c>
      <c r="T40" s="6">
        <v>43200508.241999999</v>
      </c>
      <c r="U40" s="6">
        <v>2103936.96</v>
      </c>
      <c r="V40" s="6">
        <v>5116617.5999999996</v>
      </c>
      <c r="W40" s="6">
        <v>1592.5127</v>
      </c>
      <c r="X40" s="6">
        <v>774116.16</v>
      </c>
      <c r="Y40" s="6">
        <v>1092805.1200000001</v>
      </c>
      <c r="Z40" s="6">
        <v>2777.8894</v>
      </c>
      <c r="AA40" s="6">
        <v>668719.87199999997</v>
      </c>
      <c r="AB40" s="6">
        <v>421285.21600000001</v>
      </c>
      <c r="AC40" s="6">
        <v>2139400</v>
      </c>
      <c r="AD40" s="6">
        <v>2653008.0950000002</v>
      </c>
      <c r="AE40" s="6">
        <v>12808.480799999999</v>
      </c>
      <c r="AF40" s="6">
        <v>875479.23199999996</v>
      </c>
      <c r="AG40" s="6">
        <v>1398.99</v>
      </c>
      <c r="AH40" s="6">
        <v>133464.23199999999</v>
      </c>
      <c r="AI40" s="6">
        <v>14624.750400000001</v>
      </c>
      <c r="AJ40" s="6">
        <v>145369.424</v>
      </c>
      <c r="AK40" s="6">
        <v>105252</v>
      </c>
      <c r="AL40" s="6">
        <v>330607.87199999997</v>
      </c>
      <c r="AM40" s="6">
        <v>991.45299999999997</v>
      </c>
      <c r="AN40" s="6">
        <v>284.2</v>
      </c>
      <c r="AO40" s="6">
        <v>7.7</v>
      </c>
      <c r="AP40" s="6">
        <v>456787</v>
      </c>
      <c r="AQ40" s="6">
        <v>42313</v>
      </c>
      <c r="AR40" s="6">
        <v>41768</v>
      </c>
      <c r="AS40" s="6">
        <v>32390</v>
      </c>
      <c r="AT40" s="6">
        <v>22105</v>
      </c>
      <c r="AU40" s="6">
        <v>15647</v>
      </c>
      <c r="AV40" s="6">
        <v>6432</v>
      </c>
      <c r="AW40" s="6">
        <v>20.926932000000001</v>
      </c>
      <c r="AX40" s="6">
        <v>7242.48</v>
      </c>
      <c r="AY40" s="6">
        <v>679.10303999999996</v>
      </c>
      <c r="AZ40" s="6">
        <v>20.788</v>
      </c>
      <c r="BA40" s="6">
        <v>10407</v>
      </c>
      <c r="BB40" s="6">
        <v>44.826999999999998</v>
      </c>
      <c r="BC40" s="6">
        <v>113989.152</v>
      </c>
      <c r="BD40" s="6">
        <v>275993.76</v>
      </c>
      <c r="BE40" s="6">
        <v>3726.6747999999998</v>
      </c>
      <c r="BF40" s="6">
        <v>1712.0419999999999</v>
      </c>
      <c r="BG40" s="6">
        <v>75.052000000000007</v>
      </c>
      <c r="BH40" s="6">
        <v>364.90499999999997</v>
      </c>
      <c r="BI40" s="6">
        <v>915.79300000000001</v>
      </c>
      <c r="BJ40" s="6">
        <v>14.688000000000001</v>
      </c>
      <c r="BK40" s="6">
        <v>564.52</v>
      </c>
      <c r="BL40" s="6">
        <v>72943.392000000007</v>
      </c>
      <c r="BM40" s="6">
        <v>309952.48</v>
      </c>
      <c r="BN40" s="6">
        <v>7195.6584000000003</v>
      </c>
      <c r="BO40" s="6">
        <v>53570.953600000001</v>
      </c>
      <c r="BP40" s="6">
        <v>314460.19199999998</v>
      </c>
      <c r="BQ40" s="6">
        <v>325.60300000000001</v>
      </c>
      <c r="BR40" s="6">
        <v>181.34</v>
      </c>
      <c r="BS40" s="6">
        <v>1013192.048</v>
      </c>
      <c r="BT40" s="6">
        <v>1400620.507</v>
      </c>
      <c r="BU40" s="6">
        <v>629554.68799999997</v>
      </c>
      <c r="BV40" s="6">
        <v>1023214.08</v>
      </c>
      <c r="BW40" s="6">
        <v>568974.97600000002</v>
      </c>
      <c r="BX40" s="6">
        <v>1000781.2</v>
      </c>
      <c r="BY40" s="6">
        <v>157842.848</v>
      </c>
      <c r="BZ40" s="6">
        <v>114372.864</v>
      </c>
      <c r="CA40" s="6">
        <v>1244.3290999999999</v>
      </c>
      <c r="CB40" s="6">
        <v>108783.336</v>
      </c>
      <c r="CC40" s="6">
        <v>151030.06400000001</v>
      </c>
      <c r="CD40" s="6">
        <v>447004.99200000003</v>
      </c>
      <c r="CE40" s="6">
        <v>49125.260799999996</v>
      </c>
      <c r="CF40" s="6">
        <v>155994.864</v>
      </c>
      <c r="CG40" s="6">
        <v>360807.14880000002</v>
      </c>
      <c r="CH40" s="6">
        <v>2385.8710000000001</v>
      </c>
      <c r="CI40" s="6">
        <v>214.75</v>
      </c>
      <c r="CJ40" s="6">
        <v>1191.4000000000001</v>
      </c>
      <c r="CK40" s="6">
        <v>78.221999999999994</v>
      </c>
      <c r="CL40" s="6">
        <v>734.25900000000001</v>
      </c>
      <c r="CM40" s="6">
        <v>551.4</v>
      </c>
      <c r="CN40" s="6">
        <v>45179.1</v>
      </c>
      <c r="CO40" s="6">
        <v>1652.7460000000001</v>
      </c>
      <c r="CP40" s="6">
        <v>294629.06400000001</v>
      </c>
      <c r="CQ40" s="6">
        <v>3686884.8</v>
      </c>
      <c r="CR40" s="6">
        <v>131419.07999999999</v>
      </c>
      <c r="CS40" s="6">
        <v>515133.44</v>
      </c>
      <c r="CT40" s="6">
        <v>2936032.1779999998</v>
      </c>
      <c r="CU40" s="6">
        <v>299367.15600000002</v>
      </c>
      <c r="CV40" s="6">
        <v>30139.705600000001</v>
      </c>
      <c r="CW40" s="6">
        <v>62953.4784</v>
      </c>
      <c r="CX40" s="6">
        <v>33466.092799999999</v>
      </c>
      <c r="CY40" s="6">
        <v>168250.11199999999</v>
      </c>
      <c r="CZ40" s="6">
        <v>218116.432</v>
      </c>
      <c r="DA40" s="6">
        <v>19036.330000000002</v>
      </c>
      <c r="DB40" s="6">
        <v>150400.72</v>
      </c>
      <c r="DC40" s="6">
        <v>3042.25</v>
      </c>
      <c r="DD40" s="6">
        <v>3042.12</v>
      </c>
      <c r="DE40" s="6">
        <v>3069.26</v>
      </c>
      <c r="DF40" s="6">
        <v>0.97799999999999998</v>
      </c>
      <c r="DG40" s="1" t="s">
        <v>245</v>
      </c>
      <c r="DH40" s="4">
        <f>Table2[[#This Row],[Date]]</f>
        <v>46238</v>
      </c>
      <c r="DI40">
        <f>(DD41-Table2[[#This Row],[MWH Total]])*4000</f>
        <v>25040.000000000873</v>
      </c>
      <c r="DJ40">
        <f>(DA41-Table2[[#This Row],[PNG Meter (Outside)]])*2.936</f>
        <v>19.14272000000128</v>
      </c>
      <c r="DK40">
        <f>(DB41-Table2[[#This Row],[PNG Meter (Inside)]])*2.936</f>
        <v>371.6095200000205</v>
      </c>
      <c r="DL40">
        <f>(BH41-Table2[[#This Row],[3F Dough cooler - 2 ]])*1000</f>
        <v>429.00000000003047</v>
      </c>
      <c r="DM40">
        <f>(BI41-Table2[[#This Row],[3F Dough Cooler- 1]])*1000</f>
        <v>462.99999999996544</v>
      </c>
      <c r="DN40">
        <f>(BJ41-Table2[[#This Row],[4F Dough Production cooling Unit]])*1000</f>
        <v>54.00000000000027</v>
      </c>
      <c r="DO40">
        <f>(BQ41-Table2[[#This Row],[3F2 - PDB 3 - Dough Production Area]])*1000</f>
        <v>211.99999999998909</v>
      </c>
      <c r="DP40">
        <f>(BR41-Table2[[#This Row],[3F3 - PDB 4 - Dough Area]])*1000</f>
        <v>106.99999999999932</v>
      </c>
      <c r="DQ40">
        <f>AC41-Table2[[#This Row],[16F1 Tray washer Panel for Light]]</f>
        <v>712.31999999983236</v>
      </c>
      <c r="DR40">
        <f>CQ41-Table2[[#This Row],[2F1 Tray Washer - 1]]</f>
        <v>1233.9200000003912</v>
      </c>
      <c r="DS40">
        <f>CS41-Table2[[#This Row],[2F5 Destacker]]</f>
        <v>267.58399999997346</v>
      </c>
      <c r="DT40">
        <f>CU41-Table2[[#This Row],[5F1 Metering (TW-2)]]</f>
        <v>255.01899999997113</v>
      </c>
      <c r="DU40">
        <f>CV41-Table2[[#This Row],[6F1 Pre soaker Tray washer]]</f>
        <v>6.3999999983934686E-3</v>
      </c>
      <c r="DV40">
        <f>CZ41-Table2[[#This Row],[6F5 Vent tray Storage]]</f>
        <v>76.896000000007916</v>
      </c>
      <c r="DW40">
        <f>I41-Table2[[#This Row],[Popeyes Meter ]]</f>
        <v>41.159999999999854</v>
      </c>
      <c r="DX40">
        <f>AZ41-Table2[[#This Row],[2F WH Chiller, Segregation Area]]</f>
        <v>0</v>
      </c>
      <c r="DY40">
        <f>BA41-Table2[[#This Row],[3F1 AC Unit WH dock cooling - 2 Nos]]</f>
        <v>19</v>
      </c>
      <c r="DZ40">
        <f>BB41-Table2[[#This Row],[3F2 AC Unit WH dock cooling - 3 Nos]]</f>
        <v>4.8999999999999488E-2</v>
      </c>
      <c r="EA40">
        <f>(BK41-Table2[[#This Row],[5F WH Perishable]])*1000</f>
        <v>274.99999999997726</v>
      </c>
      <c r="EB40">
        <f>BN41-Table2[[#This Row],[2F3 - PDB 9 - WH Dock Leveler Door ]]</f>
        <v>1.1279999999997017</v>
      </c>
      <c r="EC40">
        <f>BP41-Table2[[#This Row],[3F1 - PDB 5 - WH HSD]]</f>
        <v>119.52000000001863</v>
      </c>
      <c r="ED40">
        <f>BX41-Table2[[#This Row],[8F1 WH Dock AHU - Ventilation]]</f>
        <v>2308.4000000000233</v>
      </c>
      <c r="EE40">
        <f>BZ41-Table2[[#This Row],[8F3 ACPDB - 4 WH Dock air curtain]]</f>
        <v>1.6879999999946449</v>
      </c>
      <c r="EF40">
        <f>CA41-Table2[[#This Row],[8F4 WH Light]]</f>
        <v>9.3000000001666194E-3</v>
      </c>
      <c r="EG40">
        <f>CC41-Table2[[#This Row],[9F1 - PDB 10 - WH Dock door &amp; Office]]</f>
        <v>137.59999999997672</v>
      </c>
      <c r="EH40">
        <f>CD41-Table2[[#This Row],[9F2 - PDB 11 - WH flycatchers]]</f>
        <v>164.31999999994878</v>
      </c>
      <c r="EI40">
        <f>CE41-Table2[[#This Row],[9F3 - PDB 12 - Other items]]</f>
        <v>0</v>
      </c>
      <c r="EJ40">
        <f>CR41-Table2[[#This Row],[2F3 - PDB 1 - Dock 1 to 4 ]]</f>
        <v>66.080000000016298</v>
      </c>
      <c r="EK40">
        <f>BM41-Table2[[#This Row],[2F2 - PDB 3 - WH Truck &amp; Battery Charging]]</f>
        <v>365.76000000000931</v>
      </c>
      <c r="EL40">
        <f>(CK41-Table2[[#This Row],[PDB - 11 Truck Charging]])*1000</f>
        <v>27.000000000001023</v>
      </c>
      <c r="EM40">
        <f>P41-Table2[[#This Row],[5F3 Admin Area]]</f>
        <v>385.40800000005402</v>
      </c>
      <c r="EN40">
        <f>AH41-Table2[[#This Row],[2F5 Main Gate-1 Piller -1]]</f>
        <v>104.16000000000349</v>
      </c>
      <c r="EO40">
        <f>CW41-Table2[[#This Row],[6F2 Ground Floor AC]]</f>
        <v>25.247999999999593</v>
      </c>
      <c r="EP40">
        <f>CX41-Table2[[#This Row],[6F3 ACBD -1 (First floor AC)]]</f>
        <v>0</v>
      </c>
      <c r="EQ40">
        <f>CY41-Table2[[#This Row],[6F4 ACBD - 2 (Second &amp; Third floor AC)]]</f>
        <v>126.84799999999814</v>
      </c>
      <c r="ER40">
        <f>(BC41-Table2[[#This Row],[4F Old BMC cooling Unit]])</f>
        <v>0</v>
      </c>
      <c r="ES40">
        <f>BO41-Table2[[#This Row],[2F4 - Old BMC]]</f>
        <v>3.6416000000026543</v>
      </c>
      <c r="ET40">
        <f>Y41-Table2[[#This Row],[14F2 New CK]]</f>
        <v>1641.9199999999255</v>
      </c>
      <c r="EU40">
        <f>(CL41-Table2[[#This Row],[OLD Ck Panel-1]])*1000</f>
        <v>662.00000000003456</v>
      </c>
      <c r="EV40">
        <f>CM41-Table2[[#This Row],[2F4 Old CK Blast (Blue star)]]</f>
        <v>0</v>
      </c>
      <c r="EW40">
        <f>CN41-Table2[[#This Row],[3F6 Old CK Blast (Carrier)]]</f>
        <v>518.70000000000437</v>
      </c>
      <c r="EX40">
        <f>(CO41-Table2[[#This Row],[Old CK Panel -2]])*1000</f>
        <v>833.99999999983265</v>
      </c>
      <c r="EY40">
        <f>N41-Table2[[#This Row],[4F1 Main UPS 1/C -1]]</f>
        <v>941.76000000000931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32.99999999998704</v>
      </c>
      <c r="FC40">
        <f>BW41-Table2[[#This Row],[7F3 CLC Power Panel]]</f>
        <v>261.31199999991804</v>
      </c>
      <c r="FD40">
        <f>(CI41-Table2[[#This Row],[PDB - 17 CLC Section ]])*1000</f>
        <v>168.00000000000637</v>
      </c>
      <c r="FE40">
        <f>(W41-Table2[[#This Row],[13F3 Water &amp; Lift Old CK]])*1000</f>
        <v>553.49999999998545</v>
      </c>
      <c r="FF40">
        <f>AA41-Table2[[#This Row],[15F2 New ETP Panel]]</f>
        <v>332.28800000005867</v>
      </c>
      <c r="FG40">
        <f>AL41-Table2[[#This Row],[3F4 Old ETP Panel]]</f>
        <v>76.672000000020489</v>
      </c>
      <c r="FH40">
        <f>AF41-Table2[[#This Row],[2F1 RO Plant]]</f>
        <v>562.36800000001676</v>
      </c>
      <c r="FI40">
        <f>AK41-Table2[[#This Row],[3F3 Fire Hydrant Panel]]</f>
        <v>10.639999999999418</v>
      </c>
      <c r="FJ40">
        <f>R41-Table2[[#This Row],[7F1 Freon System Panel]]</f>
        <v>5783.679999999702</v>
      </c>
      <c r="FK40">
        <f>(AE41-Table2[[#This Row],[21F1 Refrigeration Ammonia]])*1000</f>
        <v>6905.6000000000495</v>
      </c>
      <c r="FL40">
        <f>(AG41-Table2[[#This Row],[2F3 Air Compressor]])*1000</f>
        <v>1257.0000000000618</v>
      </c>
      <c r="FM40">
        <f>(AX41-Table2[[#This Row],[Solar Reading Panel II]])*1000</f>
        <v>1737.00000000008</v>
      </c>
      <c r="FN40">
        <f>AI41-Table2[[#This Row],[3F1 Maintenance Workshop]]</f>
        <v>6.3663999999989755</v>
      </c>
      <c r="FO40">
        <f>BD41-Table2[[#This Row],[4F B2B unit ]]</f>
        <v>70.399999999965075</v>
      </c>
      <c r="FP40">
        <f>BL41-Table2[[#This Row],[2F1 - PDB 6 - Bread, B2B section]]</f>
        <v>181.56159999998636</v>
      </c>
      <c r="FQ40">
        <f>(CG41-Table2[[#This Row],[9F5 - PDB 14 - Bread Lift]])</f>
        <v>0.56959999998798594</v>
      </c>
      <c r="FR40">
        <f>CJ41-Table2[[#This Row],[PDB - 16 Bread Section]]</f>
        <v>9.9999999999909051E-2</v>
      </c>
      <c r="FS40">
        <f>BU41-Table2[[#This Row],[7F1 Donut Production area]]</f>
        <v>201.40800000005402</v>
      </c>
      <c r="FT40">
        <f>CB41-Table2[[#This Row],[8F5 Donut Ban Bary]]</f>
        <v>44.648000000001048</v>
      </c>
      <c r="FU40">
        <f>CF41-Table2[[#This Row],[9F4 - PDB 13 - Donut Sink Geyser area]]</f>
        <v>25.215999999985797</v>
      </c>
      <c r="FV40">
        <f>BV41-Table2[[#This Row],[7F2 Flour Silo]]</f>
        <v>647.11999999999534</v>
      </c>
      <c r="FW40">
        <f>BY41-Table2[[#This Row],[8F2 ACPDB - 3 SILO Ventilation]]</f>
        <v>48.511999999987893</v>
      </c>
      <c r="FX40">
        <f>J41-Table2[[#This Row],[DG 1010KVA Running Hours]]</f>
        <v>1.5</v>
      </c>
      <c r="FY40">
        <f>K41-Table2[[#This Row],[DG 1010 KVA Meter Reading]]</f>
        <v>512</v>
      </c>
      <c r="FZ40">
        <f>L41-Table2[[#This Row],[GG 1010 KVA Running Hours]]</f>
        <v>1</v>
      </c>
      <c r="GA40">
        <f>M41-Table2[[#This Row],[GG 1010 KVA Meter Reading]]</f>
        <v>0.56000000000000227</v>
      </c>
    </row>
    <row r="41" spans="1:183" x14ac:dyDescent="0.35">
      <c r="A41" s="1">
        <v>51</v>
      </c>
      <c r="B41" s="2">
        <v>46239.397199074076</v>
      </c>
      <c r="C41" s="2">
        <v>46239.457268518519</v>
      </c>
      <c r="D41" s="1" t="s">
        <v>111</v>
      </c>
      <c r="E41" s="1"/>
      <c r="F41" s="1"/>
      <c r="G41" s="3">
        <v>46239</v>
      </c>
      <c r="H41" s="1" t="s">
        <v>186</v>
      </c>
      <c r="I41" s="6">
        <v>6796.8419999999996</v>
      </c>
      <c r="J41" s="6">
        <v>4274.2</v>
      </c>
      <c r="K41" s="6">
        <v>1776873</v>
      </c>
      <c r="L41" s="6">
        <v>454</v>
      </c>
      <c r="M41" s="6">
        <v>191.13</v>
      </c>
      <c r="N41" s="6">
        <v>1869630.56</v>
      </c>
      <c r="O41" s="6">
        <v>4600708.4800000004</v>
      </c>
      <c r="P41" s="6">
        <v>646361.98400000005</v>
      </c>
      <c r="Q41" s="6">
        <v>8094778.2400000002</v>
      </c>
      <c r="R41" s="6">
        <v>5546412.7999999998</v>
      </c>
      <c r="S41" s="6">
        <v>7366694.4000000004</v>
      </c>
      <c r="T41" s="6">
        <v>370483.43599999999</v>
      </c>
      <c r="U41" s="6">
        <v>2105089.7599999998</v>
      </c>
      <c r="V41" s="6">
        <v>5118390.08</v>
      </c>
      <c r="W41" s="6">
        <v>1593.0662</v>
      </c>
      <c r="X41" s="6">
        <v>774375.74399999995</v>
      </c>
      <c r="Y41" s="6">
        <v>1094447.04</v>
      </c>
      <c r="Z41" s="6">
        <v>2777.8894</v>
      </c>
      <c r="AA41" s="6">
        <v>669052.16000000003</v>
      </c>
      <c r="AB41" s="6">
        <v>421297.53600000002</v>
      </c>
      <c r="AC41" s="6">
        <v>2140112.3199999998</v>
      </c>
      <c r="AD41" s="6">
        <v>4050811.96</v>
      </c>
      <c r="AE41" s="6">
        <v>12815.386399999999</v>
      </c>
      <c r="AF41" s="6">
        <v>876041.6</v>
      </c>
      <c r="AG41" s="6">
        <v>1400.2470000000001</v>
      </c>
      <c r="AH41" s="6">
        <v>133568.39199999999</v>
      </c>
      <c r="AI41" s="6">
        <v>14631.1168</v>
      </c>
      <c r="AJ41" s="6">
        <v>145371.05600000001</v>
      </c>
      <c r="AK41" s="6">
        <v>105262.64</v>
      </c>
      <c r="AL41" s="6">
        <v>330684.54399999999</v>
      </c>
      <c r="AM41" s="6">
        <v>992.03300000000002</v>
      </c>
      <c r="AN41" s="6">
        <v>287.60000000000002</v>
      </c>
      <c r="AO41" s="6">
        <v>7.2</v>
      </c>
      <c r="AP41" s="6">
        <v>467276</v>
      </c>
      <c r="AQ41" s="6">
        <v>42329</v>
      </c>
      <c r="AR41" s="6">
        <v>41785</v>
      </c>
      <c r="AS41" s="6">
        <v>32390</v>
      </c>
      <c r="AT41" s="6">
        <v>22105</v>
      </c>
      <c r="AU41" s="6">
        <v>15671</v>
      </c>
      <c r="AV41" s="6">
        <v>6447</v>
      </c>
      <c r="AW41" s="6">
        <v>20.933603999999999</v>
      </c>
      <c r="AX41" s="6">
        <v>7244.2169999999996</v>
      </c>
      <c r="AY41" s="6">
        <v>679.25216</v>
      </c>
      <c r="AZ41" s="6">
        <v>20.788</v>
      </c>
      <c r="BA41" s="6">
        <v>10426</v>
      </c>
      <c r="BB41" s="6">
        <v>44.875999999999998</v>
      </c>
      <c r="BC41" s="6">
        <v>113989.152</v>
      </c>
      <c r="BD41" s="6">
        <v>276064.15999999997</v>
      </c>
      <c r="BE41" s="6">
        <v>3727.9828000000002</v>
      </c>
      <c r="BF41" s="6">
        <v>1712.0419999999999</v>
      </c>
      <c r="BG41" s="6">
        <v>75.084999999999994</v>
      </c>
      <c r="BH41" s="6">
        <v>365.334</v>
      </c>
      <c r="BI41" s="6">
        <v>916.25599999999997</v>
      </c>
      <c r="BJ41" s="6">
        <v>14.742000000000001</v>
      </c>
      <c r="BK41" s="6">
        <v>564.79499999999996</v>
      </c>
      <c r="BL41" s="6">
        <v>73124.953599999993</v>
      </c>
      <c r="BM41" s="6">
        <v>310318.24</v>
      </c>
      <c r="BN41" s="6">
        <v>7196.7864</v>
      </c>
      <c r="BO41" s="6">
        <v>53574.595200000003</v>
      </c>
      <c r="BP41" s="6">
        <v>314579.712</v>
      </c>
      <c r="BQ41" s="6">
        <v>325.815</v>
      </c>
      <c r="BR41" s="6">
        <v>181.447</v>
      </c>
      <c r="BS41" s="6">
        <v>1014306.808</v>
      </c>
      <c r="BT41" s="6">
        <v>1400620.5379999999</v>
      </c>
      <c r="BU41" s="6">
        <v>629756.09600000002</v>
      </c>
      <c r="BV41" s="6">
        <v>1023861.2</v>
      </c>
      <c r="BW41" s="6">
        <v>569236.28799999994</v>
      </c>
      <c r="BX41" s="6">
        <v>1003089.6</v>
      </c>
      <c r="BY41" s="6">
        <v>157891.35999999999</v>
      </c>
      <c r="BZ41" s="6">
        <v>114374.552</v>
      </c>
      <c r="CA41" s="6">
        <v>1244.3384000000001</v>
      </c>
      <c r="CB41" s="6">
        <v>108827.984</v>
      </c>
      <c r="CC41" s="6">
        <v>151167.66399999999</v>
      </c>
      <c r="CD41" s="6">
        <v>447169.31199999998</v>
      </c>
      <c r="CE41" s="6">
        <v>49125.260799999996</v>
      </c>
      <c r="CF41" s="6">
        <v>156020.07999999999</v>
      </c>
      <c r="CG41" s="6">
        <v>360807.71840000001</v>
      </c>
      <c r="CH41" s="6">
        <v>2385.8710000000001</v>
      </c>
      <c r="CI41" s="6">
        <v>214.91800000000001</v>
      </c>
      <c r="CJ41" s="6">
        <v>1191.5</v>
      </c>
      <c r="CK41" s="6">
        <v>78.248999999999995</v>
      </c>
      <c r="CL41" s="6">
        <v>734.92100000000005</v>
      </c>
      <c r="CM41" s="6">
        <v>551.4</v>
      </c>
      <c r="CN41" s="6">
        <v>45697.8</v>
      </c>
      <c r="CO41" s="6">
        <v>1653.58</v>
      </c>
      <c r="CP41" s="6">
        <v>294770.81400000001</v>
      </c>
      <c r="CQ41" s="6">
        <v>3688118.72</v>
      </c>
      <c r="CR41" s="6">
        <v>131485.16</v>
      </c>
      <c r="CS41" s="6">
        <v>515401.02399999998</v>
      </c>
      <c r="CT41" s="6">
        <v>2939149.6609999998</v>
      </c>
      <c r="CU41" s="6">
        <v>299622.17499999999</v>
      </c>
      <c r="CV41" s="6">
        <v>30139.712</v>
      </c>
      <c r="CW41" s="6">
        <v>62978.7264</v>
      </c>
      <c r="CX41" s="6">
        <v>33466.092799999999</v>
      </c>
      <c r="CY41" s="6">
        <v>168376.95999999999</v>
      </c>
      <c r="CZ41" s="6">
        <v>218193.32800000001</v>
      </c>
      <c r="DA41" s="6">
        <v>19042.850000000002</v>
      </c>
      <c r="DB41" s="6">
        <v>150527.29</v>
      </c>
      <c r="DC41" s="6">
        <v>3048.48</v>
      </c>
      <c r="DD41" s="6">
        <v>3048.38</v>
      </c>
      <c r="DE41" s="6">
        <v>3075.6</v>
      </c>
      <c r="DF41" s="6">
        <v>0.99199999999999999</v>
      </c>
      <c r="DG41" s="1" t="s">
        <v>273</v>
      </c>
      <c r="DH41" s="4">
        <f>Table2[[#This Row],[Date]]</f>
        <v>46239</v>
      </c>
      <c r="DI41">
        <f>(DD42-Table2[[#This Row],[MWH Total]])*4000</f>
        <v>25159.999999999854</v>
      </c>
      <c r="DJ41">
        <f>(DA42-Table2[[#This Row],[PNG Meter (Outside)]])*2.936</f>
        <v>235.20295999999104</v>
      </c>
      <c r="DK41">
        <f>(DB42-Table2[[#This Row],[PNG Meter (Inside)]])*2.936</f>
        <v>379.00823999998971</v>
      </c>
      <c r="DL41">
        <f>(BH42-Table2[[#This Row],[3F Dough cooler - 2 ]])*1000</f>
        <v>314.00000000002137</v>
      </c>
      <c r="DM41">
        <f>(BI42-Table2[[#This Row],[3F Dough Cooler- 1]])*1000</f>
        <v>498.00000000004729</v>
      </c>
      <c r="DN41">
        <f>(BJ42-Table2[[#This Row],[4F Dough Production cooling Unit]])*1000</f>
        <v>57.999999999999829</v>
      </c>
      <c r="DO41">
        <f>(BQ42-Table2[[#This Row],[3F2 - PDB 3 - Dough Production Area]])*1000</f>
        <v>242.00000000001864</v>
      </c>
      <c r="DP41">
        <f>(BR42-Table2[[#This Row],[3F3 - PDB 4 - Dough Area]])*1000</f>
        <v>133.00000000000978</v>
      </c>
      <c r="DQ41">
        <f>AC42-Table2[[#This Row],[16F1 Tray washer Panel for Light]]</f>
        <v>754.72000000020489</v>
      </c>
      <c r="DR41">
        <f>CQ42-Table2[[#This Row],[2F1 Tray Washer - 1]]</f>
        <v>1449.9199999999255</v>
      </c>
      <c r="DS41">
        <f>CS42-Table2[[#This Row],[2F5 Destacker]]</f>
        <v>320.54400000005262</v>
      </c>
      <c r="DT41">
        <f>CU42-Table2[[#This Row],[5F1 Metering (TW-2)]]</f>
        <v>223.23200000001816</v>
      </c>
      <c r="DU41">
        <f>CV42-Table2[[#This Row],[6F1 Pre soaker Tray washer]]</f>
        <v>9.6000000012281816E-3</v>
      </c>
      <c r="DV41" s="1">
        <f>CZ42-Table2[[#This Row],[6F5 Vent tray Storage]]</f>
        <v>68.831999999994878</v>
      </c>
      <c r="DW41">
        <f>I42-Table2[[#This Row],[Popeyes Meter ]]</f>
        <v>59.3100000000004</v>
      </c>
      <c r="DX41">
        <f>AZ42-Table2[[#This Row],[2F WH Chiller, Segregation Area]]</f>
        <v>0</v>
      </c>
      <c r="DY41">
        <f>BA42-Table2[[#This Row],[3F1 AC Unit WH dock cooling - 2 Nos]]</f>
        <v>16</v>
      </c>
      <c r="DZ41">
        <f>BB42-Table2[[#This Row],[3F2 AC Unit WH dock cooling - 3 Nos]]</f>
        <v>4.2999999999999261E-2</v>
      </c>
      <c r="EA41">
        <f>(BK42-Table2[[#This Row],[5F WH Perishable]])*1000</f>
        <v>295.00000000007276</v>
      </c>
      <c r="EB41">
        <f>BN42-Table2[[#This Row],[2F3 - PDB 9 - WH Dock Leveler Door ]]</f>
        <v>1.5976000000000568</v>
      </c>
      <c r="EC41">
        <f>BP42-Table2[[#This Row],[3F1 - PDB 5 - WH HSD]]</f>
        <v>127.71199999999953</v>
      </c>
      <c r="ED41">
        <f>BX42-Table2[[#This Row],[8F1 WH Dock AHU - Ventilation]]</f>
        <v>2410</v>
      </c>
      <c r="EE41">
        <f>BZ42-Table2[[#This Row],[8F3 ACPDB - 4 WH Dock air curtain]]</f>
        <v>4.8880000000062864</v>
      </c>
      <c r="EF41">
        <f>CA42-Table2[[#This Row],[8F4 WH Light]]</f>
        <v>2.9999999992469384E-4</v>
      </c>
      <c r="EG41">
        <f>CC42-Table2[[#This Row],[9F1 - PDB 10 - WH Dock door &amp; Office]]</f>
        <v>112.7039999999979</v>
      </c>
      <c r="EH41">
        <f>CD42-Table2[[#This Row],[9F2 - PDB 11 - WH flycatchers]]</f>
        <v>194.91200000001118</v>
      </c>
      <c r="EI41">
        <f>CE42-Table2[[#This Row],[9F3 - PDB 12 - Other items]]</f>
        <v>0</v>
      </c>
      <c r="EJ41">
        <f>CR42-Table2[[#This Row],[2F3 - PDB 1 - Dock 1 to 4 ]]</f>
        <v>63.62400000001071</v>
      </c>
      <c r="EK41">
        <f>BM42-Table2[[#This Row],[2F2 - PDB 3 - WH Truck &amp; Battery Charging]]</f>
        <v>454.40000000002328</v>
      </c>
      <c r="EL41">
        <f>(CK42-Table2[[#This Row],[PDB - 11 Truck Charging]])*1000</f>
        <v>58.000000000006935</v>
      </c>
      <c r="EM41">
        <f>P42-Table2[[#This Row],[5F3 Admin Area]]</f>
        <v>355.71199999994133</v>
      </c>
      <c r="EN41" s="1">
        <f>AH42-Table2[[#This Row],[2F5 Main Gate-1 Piller -1]]</f>
        <v>100</v>
      </c>
      <c r="EO41">
        <f>CW42-Table2[[#This Row],[6F2 Ground Floor AC]]</f>
        <v>18.271999999997206</v>
      </c>
      <c r="EP41">
        <f>CX42-Table2[[#This Row],[6F3 ACBD -1 (First floor AC)]]</f>
        <v>0</v>
      </c>
      <c r="EQ41">
        <f>CY42-Table2[[#This Row],[6F4 ACBD - 2 (Second &amp; Third floor AC)]]</f>
        <v>115.77600000001257</v>
      </c>
      <c r="ER41">
        <f>(BC42-Table2[[#This Row],[4F Old BMC cooling Unit]])</f>
        <v>0</v>
      </c>
      <c r="ES41">
        <f>BO42-Table2[[#This Row],[2F4 - Old BMC]]</f>
        <v>4.1440000000002328</v>
      </c>
      <c r="ET41">
        <f>Y42-Table2[[#This Row],[14F2 New CK]]</f>
        <v>1546.2399999999907</v>
      </c>
      <c r="EU41">
        <f>(CL42-Table2[[#This Row],[OLD Ck Panel-1]])*1000</f>
        <v>736.99999999996635</v>
      </c>
      <c r="EV41">
        <f>CM42-Table2[[#This Row],[2F4 Old CK Blast (Blue star)]]</f>
        <v>0</v>
      </c>
      <c r="EW41">
        <f>CN42-Table2[[#This Row],[3F6 Old CK Blast (Carrier)]]</f>
        <v>593</v>
      </c>
      <c r="EX41">
        <f>(CO42-Table2[[#This Row],[Old CK Panel -2]])*1000</f>
        <v>918.00000000012005</v>
      </c>
      <c r="EY41">
        <f>N42-Table2[[#This Row],[4F1 Main UPS 1/C -1]]</f>
        <v>996.80000000004657</v>
      </c>
      <c r="EZ41">
        <f>Z42-Table2[[#This Row],[15F1 Main UPS Panel - I/C - 2]]</f>
        <v>0</v>
      </c>
      <c r="FA41">
        <f>BF42-Table2[[#This Row],[2F CLC -1 AC unit - 2]]</f>
        <v>0</v>
      </c>
      <c r="FB41">
        <f>(BG42-Table2[[#This Row],[2F CLC Anti room]])*1000</f>
        <v>35.0000000000108</v>
      </c>
      <c r="FC41">
        <f>BW42-Table2[[#This Row],[7F3 CLC Power Panel]]</f>
        <v>290.36800000001676</v>
      </c>
      <c r="FD41">
        <f>(CI42-Table2[[#This Row],[PDB - 17 CLC Section ]])*1000</f>
        <v>187.99999999998818</v>
      </c>
      <c r="FE41">
        <f>(W42-Table2[[#This Row],[13F3 Water &amp; Lift Old CK]])*1000</f>
        <v>457.49999999998181</v>
      </c>
      <c r="FF41">
        <f>AA42-Table2[[#This Row],[15F2 New ETP Panel]]</f>
        <v>275.71199999994133</v>
      </c>
      <c r="FG41">
        <f>AL42-Table2[[#This Row],[3F4 Old ETP Panel]]</f>
        <v>83.488000000012107</v>
      </c>
      <c r="FH41">
        <f>AF42-Table2[[#This Row],[2F1 RO Plant]]</f>
        <v>580.67200000002049</v>
      </c>
      <c r="FI41">
        <f>AK42-Table2[[#This Row],[3F3 Fire Hydrant Panel]]</f>
        <v>11.039999999993597</v>
      </c>
      <c r="FJ41">
        <f>R42-Table2[[#This Row],[7F1 Freon System Panel]]</f>
        <v>5855.3600000003353</v>
      </c>
      <c r="FK41">
        <f>(AE42-Table2[[#This Row],[21F1 Refrigeration Ammonia]])*1000</f>
        <v>7155.2000000010594</v>
      </c>
      <c r="FL41">
        <f>(AG42-Table2[[#This Row],[2F3 Air Compressor]])*1000</f>
        <v>1144.9999999999818</v>
      </c>
      <c r="FM41">
        <f>(AX42-Table2[[#This Row],[Solar Reading Panel II]])*1000</f>
        <v>1509.0000000000146</v>
      </c>
      <c r="FN41">
        <f>AI42-Table2[[#This Row],[3F1 Maintenance Workshop]]</f>
        <v>6.3536000000003696</v>
      </c>
      <c r="FO41">
        <f>BD42-Table2[[#This Row],[4F B2B unit ]]</f>
        <v>66.784000000043306</v>
      </c>
      <c r="FP41">
        <f>BL42-Table2[[#This Row],[2F1 - PDB 6 - Bread, B2B section]]</f>
        <v>179.63520000000426</v>
      </c>
      <c r="FQ41">
        <f>(CG42-Table2[[#This Row],[9F5 - PDB 14 - Bread Lift]])</f>
        <v>0.44479999999748543</v>
      </c>
      <c r="FR41">
        <f>CJ42-Table2[[#This Row],[PDB - 16 Bread Section]]</f>
        <v>0</v>
      </c>
      <c r="FS41">
        <f>BU42-Table2[[#This Row],[7F1 Donut Production area]]</f>
        <v>202.4320000000298</v>
      </c>
      <c r="FT41">
        <f>CB42-Table2[[#This Row],[8F5 Donut Ban Bary]]</f>
        <v>56.927999999999884</v>
      </c>
      <c r="FU41">
        <f>CF42-Table2[[#This Row],[9F4 - PDB 13 - Donut Sink Geyser area]]</f>
        <v>23.104000000021188</v>
      </c>
      <c r="FV41">
        <f>BV42-Table2[[#This Row],[7F2 Flour Silo]]</f>
        <v>679.84000000008382</v>
      </c>
      <c r="FW41">
        <f>BY42-Table2[[#This Row],[8F2 ACPDB - 3 SILO Ventilation]]</f>
        <v>50.224000000016531</v>
      </c>
      <c r="FX41">
        <f>J42-Table2[[#This Row],[DG 1010KVA Running Hours]]</f>
        <v>0.4000000000005457</v>
      </c>
      <c r="FY41">
        <f>K42-Table2[[#This Row],[DG 1010 KVA Meter Reading]]</f>
        <v>149</v>
      </c>
      <c r="FZ41">
        <f>L42-Table2[[#This Row],[GG 1010 KVA Running Hours]]</f>
        <v>0</v>
      </c>
      <c r="GA41">
        <f>M42-Table2[[#This Row],[GG 1010 KVA Meter Reading]]</f>
        <v>0.12000000000000455</v>
      </c>
    </row>
    <row r="42" spans="1:183" x14ac:dyDescent="0.35">
      <c r="A42" s="1">
        <v>52</v>
      </c>
      <c r="B42" s="2">
        <v>46240.427222222221</v>
      </c>
      <c r="C42" s="2">
        <v>46240.469618055555</v>
      </c>
      <c r="D42" s="1" t="s">
        <v>111</v>
      </c>
      <c r="E42" s="1"/>
      <c r="F42" s="1"/>
      <c r="G42" s="3">
        <v>46240</v>
      </c>
      <c r="H42" s="1" t="s">
        <v>186</v>
      </c>
      <c r="I42" s="6">
        <v>6856.152</v>
      </c>
      <c r="J42" s="6">
        <v>4274.6000000000004</v>
      </c>
      <c r="K42" s="6">
        <v>1777022</v>
      </c>
      <c r="L42" s="6">
        <v>454</v>
      </c>
      <c r="M42" s="6">
        <v>191.25</v>
      </c>
      <c r="N42" s="6">
        <v>1870627.36</v>
      </c>
      <c r="O42" s="6">
        <v>4602525.12</v>
      </c>
      <c r="P42" s="6">
        <v>646717.696</v>
      </c>
      <c r="Q42" s="6">
        <v>8097114.8799999999</v>
      </c>
      <c r="R42" s="6">
        <v>5552268.1600000001</v>
      </c>
      <c r="S42" s="6">
        <v>7370200.3200000003</v>
      </c>
      <c r="T42" s="6">
        <v>43226275.839000002</v>
      </c>
      <c r="U42" s="6">
        <v>2106364.96</v>
      </c>
      <c r="V42" s="6">
        <v>5120123.5199999996</v>
      </c>
      <c r="W42" s="6">
        <v>1593.5237</v>
      </c>
      <c r="X42" s="6">
        <v>774602.11199999996</v>
      </c>
      <c r="Y42" s="6">
        <v>1095993.28</v>
      </c>
      <c r="Z42" s="6">
        <v>2777.8894</v>
      </c>
      <c r="AA42" s="6">
        <v>669327.87199999997</v>
      </c>
      <c r="AB42" s="6">
        <v>421308.51199999999</v>
      </c>
      <c r="AC42" s="6">
        <v>2140867.04</v>
      </c>
      <c r="AD42" s="6">
        <v>2672378.2149999999</v>
      </c>
      <c r="AE42" s="6">
        <v>12822.5416</v>
      </c>
      <c r="AF42" s="6">
        <v>876622.272</v>
      </c>
      <c r="AG42" s="6">
        <v>1401.3920000000001</v>
      </c>
      <c r="AH42" s="6">
        <v>133668.39199999999</v>
      </c>
      <c r="AI42" s="6">
        <v>14637.4704</v>
      </c>
      <c r="AJ42" s="6">
        <v>145374.16</v>
      </c>
      <c r="AK42" s="6">
        <v>105273.68</v>
      </c>
      <c r="AL42" s="6">
        <v>330768.03200000001</v>
      </c>
      <c r="AM42" s="6">
        <v>992.81</v>
      </c>
      <c r="AN42" s="6">
        <v>319.60000000000002</v>
      </c>
      <c r="AO42" s="6">
        <v>7.6</v>
      </c>
      <c r="AP42" s="6">
        <v>478037</v>
      </c>
      <c r="AQ42" s="6">
        <v>42329</v>
      </c>
      <c r="AR42" s="6">
        <v>41785</v>
      </c>
      <c r="AS42" s="6">
        <v>32390</v>
      </c>
      <c r="AT42" s="6">
        <v>22105</v>
      </c>
      <c r="AU42" s="6">
        <v>15696</v>
      </c>
      <c r="AV42" s="6">
        <v>6466</v>
      </c>
      <c r="AW42" s="6">
        <v>20.940496</v>
      </c>
      <c r="AX42" s="6">
        <v>7245.7259999999997</v>
      </c>
      <c r="AY42" s="6">
        <v>679.37336000000005</v>
      </c>
      <c r="AZ42" s="6">
        <v>20.788</v>
      </c>
      <c r="BA42" s="6">
        <v>10442</v>
      </c>
      <c r="BB42" s="6">
        <v>44.918999999999997</v>
      </c>
      <c r="BC42" s="6">
        <v>113989.152</v>
      </c>
      <c r="BD42" s="6">
        <v>276130.94400000002</v>
      </c>
      <c r="BE42" s="6">
        <v>3729.2451999999998</v>
      </c>
      <c r="BF42" s="6">
        <v>1712.0419999999999</v>
      </c>
      <c r="BG42" s="6">
        <v>75.12</v>
      </c>
      <c r="BH42" s="6">
        <v>365.64800000000002</v>
      </c>
      <c r="BI42" s="6">
        <v>916.75400000000002</v>
      </c>
      <c r="BJ42" s="6">
        <v>14.8</v>
      </c>
      <c r="BK42" s="6">
        <v>565.09</v>
      </c>
      <c r="BL42" s="6">
        <v>73304.588799999998</v>
      </c>
      <c r="BM42" s="6">
        <v>310772.64</v>
      </c>
      <c r="BN42" s="6">
        <v>7198.384</v>
      </c>
      <c r="BO42" s="6">
        <v>53578.739200000004</v>
      </c>
      <c r="BP42" s="6">
        <v>314707.424</v>
      </c>
      <c r="BQ42" s="6">
        <v>326.05700000000002</v>
      </c>
      <c r="BR42" s="6">
        <v>181.58</v>
      </c>
      <c r="BS42" s="6">
        <v>101550.97</v>
      </c>
      <c r="BT42" s="6">
        <v>1400620.58</v>
      </c>
      <c r="BU42" s="6">
        <v>629958.52800000005</v>
      </c>
      <c r="BV42" s="6">
        <v>1024541.04</v>
      </c>
      <c r="BW42" s="6">
        <v>569526.65599999996</v>
      </c>
      <c r="BX42" s="6">
        <v>1005499.6</v>
      </c>
      <c r="BY42" s="6">
        <v>157941.584</v>
      </c>
      <c r="BZ42" s="6">
        <v>114379.44</v>
      </c>
      <c r="CA42" s="6">
        <v>1244.3387</v>
      </c>
      <c r="CB42" s="6">
        <v>108884.912</v>
      </c>
      <c r="CC42" s="6">
        <v>151280.36799999999</v>
      </c>
      <c r="CD42" s="6">
        <v>447364.22399999999</v>
      </c>
      <c r="CE42" s="6">
        <v>49125.260799999996</v>
      </c>
      <c r="CF42" s="6">
        <v>156043.18400000001</v>
      </c>
      <c r="CG42" s="6">
        <v>360808.16320000001</v>
      </c>
      <c r="CH42" s="6">
        <v>2385.8710000000001</v>
      </c>
      <c r="CI42" s="6">
        <v>215.10599999999999</v>
      </c>
      <c r="CJ42" s="6">
        <v>1191.5</v>
      </c>
      <c r="CK42" s="6">
        <v>78.307000000000002</v>
      </c>
      <c r="CL42" s="6">
        <v>735.65800000000002</v>
      </c>
      <c r="CM42" s="6">
        <v>551.4</v>
      </c>
      <c r="CN42" s="6">
        <v>46290.8</v>
      </c>
      <c r="CO42" s="6">
        <v>1654.498</v>
      </c>
      <c r="CP42" s="6">
        <v>294925.29599999997</v>
      </c>
      <c r="CQ42" s="6">
        <v>3689568.64</v>
      </c>
      <c r="CR42" s="6">
        <v>131548.78400000001</v>
      </c>
      <c r="CS42" s="6">
        <v>515721.56800000003</v>
      </c>
      <c r="CT42" s="6">
        <v>2942730.1919999998</v>
      </c>
      <c r="CU42" s="6">
        <v>299845.40700000001</v>
      </c>
      <c r="CV42" s="6">
        <v>30139.721600000001</v>
      </c>
      <c r="CW42" s="6">
        <v>62996.998399999997</v>
      </c>
      <c r="CX42" s="6">
        <v>33466.092799999999</v>
      </c>
      <c r="CY42" s="6">
        <v>168492.736</v>
      </c>
      <c r="CZ42" s="6">
        <v>218262.16</v>
      </c>
      <c r="DA42" s="6">
        <v>19122.96</v>
      </c>
      <c r="DB42" s="6">
        <v>150656.38</v>
      </c>
      <c r="DC42" s="6">
        <v>3054.78</v>
      </c>
      <c r="DD42" s="6">
        <v>3054.67</v>
      </c>
      <c r="DE42" s="6">
        <v>3082.22</v>
      </c>
      <c r="DF42" s="6">
        <v>0.98699999999999999</v>
      </c>
      <c r="DG42" s="1" t="s">
        <v>279</v>
      </c>
      <c r="DH42" s="4">
        <f>Table2[[#This Row],[Date]]</f>
        <v>46240</v>
      </c>
      <c r="DI42">
        <f>(DD43-Table2[[#This Row],[MWH Total]])*4000</f>
        <v>25760.000000000218</v>
      </c>
      <c r="DJ42">
        <f>(DA43-Table2[[#This Row],[PNG Meter (Outside)]])*2.936</f>
        <v>28.567279999998718</v>
      </c>
      <c r="DK42">
        <f>(DB43-Table2[[#This Row],[PNG Meter (Inside)]])*2.936</f>
        <v>369.0375839999665</v>
      </c>
      <c r="DL42">
        <f>(BH43-Table2[[#This Row],[3F Dough cooler - 2 ]])*1000</f>
        <v>435.99999999997863</v>
      </c>
      <c r="DM42">
        <f>(BI43-Table2[[#This Row],[3F Dough Cooler- 1]])*1000</f>
        <v>471.99999999997999</v>
      </c>
      <c r="DN42">
        <f>(BJ43-Table2[[#This Row],[4F Dough Production cooling Unit]])*1000</f>
        <v>55.999999999999162</v>
      </c>
      <c r="DO42">
        <f>(BQ43-Table2[[#This Row],[3F2 - PDB 3 - Dough Production Area]])*1000</f>
        <v>231.9999999999709</v>
      </c>
      <c r="DP42">
        <f>(BR43-Table2[[#This Row],[3F3 - PDB 4 - Dough Area]])*1000</f>
        <v>131.99999999997658</v>
      </c>
      <c r="DQ42">
        <f>AC43-Table2[[#This Row],[16F1 Tray washer Panel for Light]]</f>
        <v>702.23999999975786</v>
      </c>
      <c r="DR42">
        <f>CQ43-Table2[[#This Row],[2F1 Tray Washer - 1]]</f>
        <v>1463.3599999998696</v>
      </c>
      <c r="DS42">
        <f>CS43-Table2[[#This Row],[2F5 Destacker]]</f>
        <v>252.15999999997439</v>
      </c>
      <c r="DT42">
        <f>CU43-Table2[[#This Row],[5F1 Metering (TW-2)]]</f>
        <v>208.21999999997206</v>
      </c>
      <c r="DU42">
        <f>CV43-Table2[[#This Row],[6F1 Pre soaker Tray washer]]</f>
        <v>6.3999999983934686E-3</v>
      </c>
      <c r="DV42">
        <f>CZ43-Table2[[#This Row],[6F5 Vent tray Storage]]</f>
        <v>48.847999999998137</v>
      </c>
      <c r="DW42">
        <f>I43-Table2[[#This Row],[Popeyes Meter ]]</f>
        <v>36.640000000000327</v>
      </c>
      <c r="DX42">
        <f>AZ43-Table2[[#This Row],[2F WH Chiller, Segregation Area]]</f>
        <v>0</v>
      </c>
      <c r="DY42">
        <f>BA43-Table2[[#This Row],[3F1 AC Unit WH dock cooling - 2 Nos]]</f>
        <v>18</v>
      </c>
      <c r="DZ42">
        <f>BB43-Table2[[#This Row],[3F2 AC Unit WH dock cooling - 3 Nos]]</f>
        <v>3.5000000000003695E-2</v>
      </c>
      <c r="EA42">
        <f>(BK43-Table2[[#This Row],[5F WH Perishable]])*1000</f>
        <v>278.99999999999636</v>
      </c>
      <c r="EB42">
        <f>BN43-Table2[[#This Row],[2F3 - PDB 9 - WH Dock Leveler Door ]]</f>
        <v>1.677599999999984</v>
      </c>
      <c r="EC42">
        <f>BP43-Table2[[#This Row],[3F1 - PDB 5 - WH HSD]]</f>
        <v>125.2160000000149</v>
      </c>
      <c r="ED42">
        <f>BX43-Table2[[#This Row],[8F1 WH Dock AHU - Ventilation]]</f>
        <v>2288.2399999999907</v>
      </c>
      <c r="EE42">
        <f>BZ43-Table2[[#This Row],[8F3 ACPDB - 4 WH Dock air curtain]]</f>
        <v>3.3040000000037253</v>
      </c>
      <c r="EF42">
        <f>CA43-Table2[[#This Row],[8F4 WH Light]]</f>
        <v>3.9999999989959178E-4</v>
      </c>
      <c r="EG42">
        <f>CC43-Table2[[#This Row],[9F1 - PDB 10 - WH Dock door &amp; Office]]</f>
        <v>90.544000000023516</v>
      </c>
      <c r="EH42">
        <f>CD43-Table2[[#This Row],[9F2 - PDB 11 - WH flycatchers]]</f>
        <v>204.22399999998743</v>
      </c>
      <c r="EI42">
        <f>CE43-Table2[[#This Row],[9F3 - PDB 12 - Other items]]</f>
        <v>0</v>
      </c>
      <c r="EJ42">
        <f>CR43-Table2[[#This Row],[2F3 - PDB 1 - Dock 1 to 4 ]]</f>
        <v>55.495999999984633</v>
      </c>
      <c r="EK42">
        <f>BM43-Table2[[#This Row],[2F2 - PDB 3 - WH Truck &amp; Battery Charging]]</f>
        <v>339.67999999999302</v>
      </c>
      <c r="EL42">
        <f>(CK43-Table2[[#This Row],[PDB - 11 Truck Charging]])*1000</f>
        <v>51.999999999992497</v>
      </c>
      <c r="EM42">
        <f>P43-Table2[[#This Row],[5F3 Admin Area]]</f>
        <v>347.00800000003073</v>
      </c>
      <c r="EN42">
        <f>AH43-Table2[[#This Row],[2F5 Main Gate-1 Piller -1]]</f>
        <v>78.392000000021653</v>
      </c>
      <c r="EO42">
        <f>CW43-Table2[[#This Row],[6F2 Ground Floor AC]]</f>
        <v>18.899199999999837</v>
      </c>
      <c r="EP42">
        <f>CX43-Table2[[#This Row],[6F3 ACBD -1 (First floor AC)]]</f>
        <v>0</v>
      </c>
      <c r="EQ42">
        <f>CY43-Table2[[#This Row],[6F4 ACBD - 2 (Second &amp; Third floor AC)]]</f>
        <v>118.32000000000698</v>
      </c>
      <c r="ER42">
        <f>(BC43-Table2[[#This Row],[4F Old BMC cooling Unit]])</f>
        <v>0</v>
      </c>
      <c r="ES42">
        <f>BO43-Table2[[#This Row],[2F4 - Old BMC]]</f>
        <v>3.9487999999983003</v>
      </c>
      <c r="ET42">
        <f>Y43-Table2[[#This Row],[14F2 New CK]]</f>
        <v>1431.1999999999534</v>
      </c>
      <c r="EU42">
        <f>(CL43-Table2[[#This Row],[OLD Ck Panel-1]])*1000</f>
        <v>683.99999999996908</v>
      </c>
      <c r="EV42">
        <f>CM43-Table2[[#This Row],[2F4 Old CK Blast (Blue star)]]</f>
        <v>0</v>
      </c>
      <c r="EW42">
        <f>CN43-Table2[[#This Row],[3F6 Old CK Blast (Carrier)]]</f>
        <v>555.5</v>
      </c>
      <c r="EX42">
        <f>(CO43-Table2[[#This Row],[Old CK Panel -2]])*1000</f>
        <v>782.99999999990177</v>
      </c>
      <c r="EY42">
        <f>N43-Table2[[#This Row],[4F1 Main UPS 1/C -1]]</f>
        <v>940.31999999983236</v>
      </c>
      <c r="EZ42">
        <f>Z43-Table2[[#This Row],[15F1 Main UPS Panel - I/C - 2]]</f>
        <v>0</v>
      </c>
      <c r="FA42">
        <f>BF43-Table2[[#This Row],[2F CLC -1 AC unit - 2]]</f>
        <v>0</v>
      </c>
      <c r="FB42">
        <f>(BG43-Table2[[#This Row],[2F CLC Anti room]])*1000</f>
        <v>33.000000000001251</v>
      </c>
      <c r="FC42">
        <f>BW43-Table2[[#This Row],[7F3 CLC Power Panel]]</f>
        <v>315.32800000009593</v>
      </c>
      <c r="FD42">
        <f>(CI43-Table2[[#This Row],[PDB - 17 CLC Section ]])*1000</f>
        <v>212.99999999999386</v>
      </c>
      <c r="FE42">
        <f>(W43-Table2[[#This Row],[13F3 Water &amp; Lift Old CK]])*1000</f>
        <v>927.00000000013461</v>
      </c>
      <c r="FF42">
        <f>AA43-Table2[[#This Row],[15F2 New ETP Panel]]</f>
        <v>264.57600000000093</v>
      </c>
      <c r="FG42">
        <f>AL43-Table2[[#This Row],[3F4 Old ETP Panel]]</f>
        <v>66.912000000011176</v>
      </c>
      <c r="FH42">
        <f>AF43-Table2[[#This Row],[2F1 RO Plant]]</f>
        <v>562.23999999999069</v>
      </c>
      <c r="FI42">
        <f>AK43-Table2[[#This Row],[3F3 Fire Hydrant Panel]]</f>
        <v>10.440000000002328</v>
      </c>
      <c r="FJ42">
        <f>R43-Table2[[#This Row],[7F1 Freon System Panel]]</f>
        <v>5639.0400000000373</v>
      </c>
      <c r="FK42">
        <f>(AE43-Table2[[#This Row],[21F1 Refrigeration Ammonia]])*1000</f>
        <v>6089.5999999993364</v>
      </c>
      <c r="FL42">
        <f>(AG43-Table2[[#This Row],[2F3 Air Compressor]])*1000</f>
        <v>1231.9999999999709</v>
      </c>
      <c r="FM42">
        <f>(AX43-Table2[[#This Row],[Solar Reading Panel II]])*1000</f>
        <v>883.00000000072032</v>
      </c>
      <c r="FN42">
        <f>AI43-Table2[[#This Row],[3F1 Maintenance Workshop]]</f>
        <v>4.3600000000005821</v>
      </c>
      <c r="FO42">
        <f>BD43-Table2[[#This Row],[4F B2B unit ]]</f>
        <v>56.479999999981374</v>
      </c>
      <c r="FP42">
        <f>BL43-Table2[[#This Row],[2F1 - PDB 6 - Bread, B2B section]]</f>
        <v>163.80160000000615</v>
      </c>
      <c r="FQ42" s="1">
        <f>(CG43-Table2[[#This Row],[9F5 - PDB 14 - Bread Lift]])</f>
        <v>79.964800000016112</v>
      </c>
      <c r="FR42">
        <f>CJ43-Table2[[#This Row],[PDB - 16 Bread Section]]</f>
        <v>9.9999999999909051E-2</v>
      </c>
      <c r="FS42">
        <f>BU43-Table2[[#This Row],[7F1 Donut Production area]]</f>
        <v>200.76799999992363</v>
      </c>
      <c r="FT42">
        <f>CB43-Table2[[#This Row],[8F5 Donut Ban Bary]]</f>
        <v>41.01600000000326</v>
      </c>
      <c r="FU42">
        <f>CF43-Table2[[#This Row],[9F4 - PDB 13 - Donut Sink Geyser area]]</f>
        <v>28.175999999977648</v>
      </c>
      <c r="FV42">
        <f>BV43-Table2[[#This Row],[7F2 Flour Silo]]</f>
        <v>507.11999999999534</v>
      </c>
      <c r="FW42">
        <f>BY43-Table2[[#This Row],[8F2 ACPDB - 3 SILO Ventilation]]</f>
        <v>47.919999999983702</v>
      </c>
      <c r="FX42">
        <f>J43-Table2[[#This Row],[DG 1010KVA Running Hours]]</f>
        <v>0.1999999999998181</v>
      </c>
      <c r="FY42">
        <f>K43-Table2[[#This Row],[DG 1010 KVA Meter Reading]]</f>
        <v>78</v>
      </c>
      <c r="FZ42">
        <f>L43-Table2[[#This Row],[GG 1010 KVA Running Hours]]</f>
        <v>0</v>
      </c>
      <c r="GA42">
        <f>M43-Table2[[#This Row],[GG 1010 KVA Meter Reading]]</f>
        <v>3.0000000000001137E-2</v>
      </c>
    </row>
    <row r="43" spans="1:183" x14ac:dyDescent="0.35">
      <c r="A43" s="1">
        <v>53</v>
      </c>
      <c r="B43" s="2">
        <v>46241.401805555557</v>
      </c>
      <c r="C43" s="2">
        <v>46241.444965277777</v>
      </c>
      <c r="D43" s="1" t="s">
        <v>111</v>
      </c>
      <c r="E43" s="1"/>
      <c r="F43" s="1"/>
      <c r="G43" s="3">
        <v>46241</v>
      </c>
      <c r="H43" s="1" t="s">
        <v>186</v>
      </c>
      <c r="I43" s="6">
        <v>6892.7920000000004</v>
      </c>
      <c r="J43" s="6">
        <v>4274.8</v>
      </c>
      <c r="K43" s="6">
        <v>1777100</v>
      </c>
      <c r="L43" s="6">
        <v>454</v>
      </c>
      <c r="M43" s="6">
        <v>191.28</v>
      </c>
      <c r="N43" s="6">
        <v>1871567.68</v>
      </c>
      <c r="O43" s="6">
        <v>4604417.5999999996</v>
      </c>
      <c r="P43" s="6">
        <v>647064.70400000003</v>
      </c>
      <c r="Q43" s="6">
        <v>8099036.7999999998</v>
      </c>
      <c r="R43" s="6">
        <v>5557907.2000000002</v>
      </c>
      <c r="S43" s="6">
        <v>7373492.4800000004</v>
      </c>
      <c r="T43" s="6">
        <v>43240868.734999999</v>
      </c>
      <c r="U43" s="6">
        <v>2107465.44</v>
      </c>
      <c r="V43" s="6">
        <v>5121930.88</v>
      </c>
      <c r="W43" s="6">
        <v>1594.4507000000001</v>
      </c>
      <c r="X43" s="6">
        <v>774810.56</v>
      </c>
      <c r="Y43" s="6">
        <v>1097424.48</v>
      </c>
      <c r="Z43" s="6">
        <v>2777.8894</v>
      </c>
      <c r="AA43" s="6">
        <v>669592.44799999997</v>
      </c>
      <c r="AB43" s="6">
        <v>421319.07199999999</v>
      </c>
      <c r="AC43" s="6">
        <v>2141569.2799999998</v>
      </c>
      <c r="AD43" s="6">
        <v>4076326.523</v>
      </c>
      <c r="AE43" s="6">
        <v>12828.6312</v>
      </c>
      <c r="AF43" s="6">
        <v>877184.51199999999</v>
      </c>
      <c r="AG43" s="6">
        <v>1402.624</v>
      </c>
      <c r="AH43" s="6">
        <v>133746.78400000001</v>
      </c>
      <c r="AI43" s="6">
        <v>14641.830400000001</v>
      </c>
      <c r="AJ43" s="6">
        <v>145374.52799999999</v>
      </c>
      <c r="AK43" s="6">
        <v>105284.12</v>
      </c>
      <c r="AL43" s="6">
        <v>330834.94400000002</v>
      </c>
      <c r="AM43" s="6">
        <v>993.42700000000002</v>
      </c>
      <c r="AN43" s="6">
        <v>337</v>
      </c>
      <c r="AO43" s="6">
        <v>7.7</v>
      </c>
      <c r="AP43" s="6">
        <v>487903</v>
      </c>
      <c r="AQ43" s="6">
        <v>42349</v>
      </c>
      <c r="AR43" s="6">
        <v>41804</v>
      </c>
      <c r="AS43" s="6">
        <v>32390</v>
      </c>
      <c r="AT43" s="6">
        <v>22106</v>
      </c>
      <c r="AU43" s="6">
        <v>15719</v>
      </c>
      <c r="AV43" s="6">
        <v>6479</v>
      </c>
      <c r="AW43" s="6">
        <v>20.946397999999999</v>
      </c>
      <c r="AX43" s="6">
        <v>7246.6090000000004</v>
      </c>
      <c r="AY43" s="6">
        <v>679.48599999999999</v>
      </c>
      <c r="AZ43" s="6">
        <v>20.788</v>
      </c>
      <c r="BA43" s="6">
        <v>10460</v>
      </c>
      <c r="BB43" s="6">
        <v>44.954000000000001</v>
      </c>
      <c r="BC43" s="6">
        <v>113989.152</v>
      </c>
      <c r="BD43" s="6">
        <v>276187.424</v>
      </c>
      <c r="BE43" s="6">
        <v>3730.5796</v>
      </c>
      <c r="BF43" s="6">
        <v>1712.0419999999999</v>
      </c>
      <c r="BG43" s="6">
        <v>75.153000000000006</v>
      </c>
      <c r="BH43" s="6">
        <v>366.084</v>
      </c>
      <c r="BI43" s="6">
        <v>917.226</v>
      </c>
      <c r="BJ43" s="6">
        <v>14.856</v>
      </c>
      <c r="BK43" s="6">
        <v>565.36900000000003</v>
      </c>
      <c r="BL43" s="6">
        <v>73468.390400000004</v>
      </c>
      <c r="BM43" s="6">
        <v>311112.32000000001</v>
      </c>
      <c r="BN43" s="6">
        <v>7200.0616</v>
      </c>
      <c r="BO43" s="6">
        <v>53582.688000000002</v>
      </c>
      <c r="BP43" s="6">
        <v>314832.64000000001</v>
      </c>
      <c r="BQ43" s="6">
        <v>326.28899999999999</v>
      </c>
      <c r="BR43" s="6">
        <v>181.71199999999999</v>
      </c>
      <c r="BS43" s="6">
        <v>1016634.1</v>
      </c>
      <c r="BT43" s="6">
        <v>1400620.737</v>
      </c>
      <c r="BU43" s="6">
        <v>630159.29599999997</v>
      </c>
      <c r="BV43" s="6">
        <v>1025048.16</v>
      </c>
      <c r="BW43" s="6">
        <v>569841.98400000005</v>
      </c>
      <c r="BX43" s="6">
        <v>1007787.84</v>
      </c>
      <c r="BY43" s="6">
        <v>157989.50399999999</v>
      </c>
      <c r="BZ43" s="6">
        <v>114382.74400000001</v>
      </c>
      <c r="CA43" s="6">
        <v>1244.3390999999999</v>
      </c>
      <c r="CB43" s="6">
        <v>108925.928</v>
      </c>
      <c r="CC43" s="6">
        <v>151370.91200000001</v>
      </c>
      <c r="CD43" s="6">
        <v>447568.44799999997</v>
      </c>
      <c r="CE43" s="6">
        <v>49125.260799999996</v>
      </c>
      <c r="CF43" s="6">
        <v>156071.35999999999</v>
      </c>
      <c r="CG43" s="6">
        <v>360888.12800000003</v>
      </c>
      <c r="CH43" s="6">
        <v>2385.8710000000001</v>
      </c>
      <c r="CI43" s="6">
        <v>215.31899999999999</v>
      </c>
      <c r="CJ43" s="6">
        <v>1191.5999999999999</v>
      </c>
      <c r="CK43" s="6">
        <v>78.358999999999995</v>
      </c>
      <c r="CL43" s="6">
        <v>736.34199999999998</v>
      </c>
      <c r="CM43" s="6">
        <v>551.4</v>
      </c>
      <c r="CN43" s="6">
        <v>46846.3</v>
      </c>
      <c r="CO43" s="6">
        <v>1655.2809999999999</v>
      </c>
      <c r="CP43" s="6">
        <v>295074.49099999998</v>
      </c>
      <c r="CQ43" s="6">
        <v>3691032</v>
      </c>
      <c r="CR43" s="6">
        <v>131604.28</v>
      </c>
      <c r="CS43" s="6">
        <v>515973.728</v>
      </c>
      <c r="CT43" s="6">
        <v>2946102.2859999998</v>
      </c>
      <c r="CU43" s="6">
        <v>300053.62699999998</v>
      </c>
      <c r="CV43" s="6">
        <v>30139.727999999999</v>
      </c>
      <c r="CW43" s="6">
        <v>63015.897599999997</v>
      </c>
      <c r="CX43" s="6">
        <v>33466.092799999999</v>
      </c>
      <c r="CY43" s="6">
        <v>168611.05600000001</v>
      </c>
      <c r="CZ43" s="6">
        <v>218311.008</v>
      </c>
      <c r="DA43" s="6">
        <v>19132.689999999999</v>
      </c>
      <c r="DB43" s="6">
        <v>150782.07399999999</v>
      </c>
      <c r="DC43" s="6">
        <v>3061.24</v>
      </c>
      <c r="DD43" s="6">
        <v>3061.11</v>
      </c>
      <c r="DE43" s="6">
        <v>3088.84</v>
      </c>
      <c r="DF43" s="6">
        <v>0.97399999999999998</v>
      </c>
      <c r="DG43" s="1" t="s">
        <v>280</v>
      </c>
      <c r="DH43" s="4">
        <f>Table2[[#This Row],[Date]]</f>
        <v>46241</v>
      </c>
      <c r="DI43">
        <f>(DD44-Table2[[#This Row],[MWH Total]])*4000</f>
        <v>26559.999999999491</v>
      </c>
      <c r="DJ43">
        <f>(DA44-Table2[[#This Row],[PNG Meter (Outside)]])*2.936</f>
        <v>16.676480000000854</v>
      </c>
      <c r="DK43">
        <f>(DB44-Table2[[#This Row],[PNG Meter (Inside)]])*2.936</f>
        <v>438.60904000004103</v>
      </c>
      <c r="DL43">
        <f>(BH44-Table2[[#This Row],[3F Dough cooler - 2 ]])*1000</f>
        <v>445.99999999996953</v>
      </c>
      <c r="DM43">
        <f>(BI44-Table2[[#This Row],[3F Dough Cooler- 1]])*1000</f>
        <v>481.9999999999709</v>
      </c>
      <c r="DN43">
        <f>(BJ44-Table2[[#This Row],[4F Dough Production cooling Unit]])*1000</f>
        <v>57.000000000000384</v>
      </c>
      <c r="DO43">
        <f>(BQ44-Table2[[#This Row],[3F2 - PDB 3 - Dough Production Area]])*1000</f>
        <v>197.00000000000273</v>
      </c>
      <c r="DP43">
        <f>(BR44-Table2[[#This Row],[3F3 - PDB 4 - Dough Area]])*1000</f>
        <v>116.00000000001387</v>
      </c>
      <c r="DQ43">
        <f>AC44-Table2[[#This Row],[16F1 Tray washer Panel for Light]]</f>
        <v>745.44000000040978</v>
      </c>
      <c r="DR43">
        <f>CQ44-Table2[[#This Row],[2F1 Tray Washer - 1]]</f>
        <v>1303.3599999998696</v>
      </c>
      <c r="DS43">
        <f>CS44-Table2[[#This Row],[2F5 Destacker]]</f>
        <v>254.7839999999851</v>
      </c>
      <c r="DT43">
        <f>CU44-Table2[[#This Row],[5F1 Metering (TW-2)]]</f>
        <v>224.56800000002841</v>
      </c>
      <c r="DU43">
        <f>CV44-Table2[[#This Row],[6F1 Pre soaker Tray washer]]</f>
        <v>0</v>
      </c>
      <c r="DV43">
        <f>CZ44-Table2[[#This Row],[6F5 Vent tray Storage]]</f>
        <v>60.063999999983935</v>
      </c>
      <c r="DW43">
        <f>I44-Table2[[#This Row],[Popeyes Meter ]]</f>
        <v>39.489999999999782</v>
      </c>
      <c r="DX43">
        <f>AZ44-Table2[[#This Row],[2F WH Chiller, Segregation Area]]</f>
        <v>0</v>
      </c>
      <c r="DY43">
        <f>BA44-Table2[[#This Row],[3F1 AC Unit WH dock cooling - 2 Nos]]</f>
        <v>20</v>
      </c>
      <c r="DZ43">
        <f>BB44-Table2[[#This Row],[3F2 AC Unit WH dock cooling - 3 Nos]]</f>
        <v>3.6000000000001364E-2</v>
      </c>
      <c r="EA43">
        <f>(BK44-Table2[[#This Row],[5F WH Perishable]])*1000</f>
        <v>278.99999999999636</v>
      </c>
      <c r="EB43">
        <f>BN44-Table2[[#This Row],[2F3 - PDB 9 - WH Dock Leveler Door ]]</f>
        <v>4.1791999999995824</v>
      </c>
      <c r="EC43">
        <f>BP44-Table2[[#This Row],[3F1 - PDB 5 - WH HSD]]</f>
        <v>105.69599999999627</v>
      </c>
      <c r="ED43">
        <f>BX44-Table2[[#This Row],[8F1 WH Dock AHU - Ventilation]]</f>
        <v>2313.359999999986</v>
      </c>
      <c r="EE43">
        <f>BZ44-Table2[[#This Row],[8F3 ACPDB - 4 WH Dock air curtain]]</f>
        <v>19.639999999999418</v>
      </c>
      <c r="EF43">
        <f>CA44-Table2[[#This Row],[8F4 WH Light]]</f>
        <v>0</v>
      </c>
      <c r="EG43">
        <f>CC44-Table2[[#This Row],[9F1 - PDB 10 - WH Dock door &amp; Office]]</f>
        <v>60.543999999994412</v>
      </c>
      <c r="EH43">
        <f>CD44-Table2[[#This Row],[9F2 - PDB 11 - WH flycatchers]]</f>
        <v>103.26400000002468</v>
      </c>
      <c r="EI43">
        <f>CE44-Table2[[#This Row],[9F3 - PDB 12 - Other items]]</f>
        <v>0.76160000000527361</v>
      </c>
      <c r="EJ43">
        <f>CR44-Table2[[#This Row],[2F3 - PDB 1 - Dock 1 to 4 ]]</f>
        <v>58.880000000004657</v>
      </c>
      <c r="EK43">
        <f>BM44-Table2[[#This Row],[2F2 - PDB 3 - WH Truck &amp; Battery Charging]]</f>
        <v>227.8399999999674</v>
      </c>
      <c r="EL43">
        <f>(CK44-Table2[[#This Row],[PDB - 11 Truck Charging]])*1000</f>
        <v>17.000000000010118</v>
      </c>
      <c r="EM43">
        <f>P44-Table2[[#This Row],[5F3 Admin Area]]</f>
        <v>367.48800000001211</v>
      </c>
      <c r="EN43">
        <f>AH44-Table2[[#This Row],[2F5 Main Gate-1 Piller -1]]</f>
        <v>78.639999999984866</v>
      </c>
      <c r="EO43">
        <f>CW44-Table2[[#This Row],[6F2 Ground Floor AC]]</f>
        <v>23.987200000003213</v>
      </c>
      <c r="EP43">
        <f>CX44-Table2[[#This Row],[6F3 ACBD -1 (First floor AC)]]</f>
        <v>0</v>
      </c>
      <c r="EQ43">
        <f>CY44-Table2[[#This Row],[6F4 ACBD - 2 (Second &amp; Third floor AC)]]</f>
        <v>115.2960000000021</v>
      </c>
      <c r="ER43">
        <f>(BC44-Table2[[#This Row],[4F Old BMC cooling Unit]])</f>
        <v>0</v>
      </c>
      <c r="ES43">
        <f>BO44-Table2[[#This Row],[2F4 - Old BMC]]</f>
        <v>4.7583999999988009</v>
      </c>
      <c r="ET43">
        <f>Y44-Table2[[#This Row],[14F2 New CK]]</f>
        <v>1413.3600000001024</v>
      </c>
      <c r="EU43">
        <f>(CL44-Table2[[#This Row],[OLD Ck Panel-1]])*1000</f>
        <v>682.00000000001637</v>
      </c>
      <c r="EV43">
        <f>CM44-Table2[[#This Row],[2F4 Old CK Blast (Blue star)]]</f>
        <v>0</v>
      </c>
      <c r="EW43">
        <f>CN44-Table2[[#This Row],[3F6 Old CK Blast (Carrier)]]</f>
        <v>567</v>
      </c>
      <c r="EX43">
        <f>(CO44-Table2[[#This Row],[Old CK Panel -2]])*1000</f>
        <v>899.0000000001146</v>
      </c>
      <c r="EY43">
        <f>N44-Table2[[#This Row],[4F1 Main UPS 1/C -1]]</f>
        <v>967.19999999995343</v>
      </c>
      <c r="EZ43">
        <f>Z44-Table2[[#This Row],[15F1 Main UPS Panel - I/C - 2]]</f>
        <v>0</v>
      </c>
      <c r="FA43">
        <f>BF44-Table2[[#This Row],[2F CLC -1 AC unit - 2]]</f>
        <v>0</v>
      </c>
      <c r="FB43">
        <f>(BG44-Table2[[#This Row],[2F CLC Anti room]])*1000</f>
        <v>33.999999999991815</v>
      </c>
      <c r="FC43">
        <f>BW44-Table2[[#This Row],[7F3 CLC Power Panel]]</f>
        <v>267.07199999992736</v>
      </c>
      <c r="FD43">
        <f>(CI44-Table2[[#This Row],[PDB - 17 CLC Section ]])*1000</f>
        <v>168.00000000000637</v>
      </c>
      <c r="FE43">
        <f>(W44-Table2[[#This Row],[13F3 Water &amp; Lift Old CK]])*1000</f>
        <v>919.99999999984539</v>
      </c>
      <c r="FF43">
        <f>AA44-Table2[[#This Row],[15F2 New ETP Panel]]</f>
        <v>273.92000000004191</v>
      </c>
      <c r="FG43">
        <f>AL44-Table2[[#This Row],[3F4 Old ETP Panel]]</f>
        <v>74.048000000009779</v>
      </c>
      <c r="FH43">
        <f>AF44-Table2[[#This Row],[2F1 RO Plant]]</f>
        <v>571.32799999997951</v>
      </c>
      <c r="FI43">
        <f>AK44-Table2[[#This Row],[3F3 Fire Hydrant Panel]]</f>
        <v>10.680000000007567</v>
      </c>
      <c r="FJ43">
        <f>R44-Table2[[#This Row],[7F1 Freon System Panel]]</f>
        <v>6190.7199999997392</v>
      </c>
      <c r="FK43">
        <f>(AE44-Table2[[#This Row],[21F1 Refrigeration Ammonia]])*1000</f>
        <v>5926.4000000002852</v>
      </c>
      <c r="FL43">
        <f>(AG44-Table2[[#This Row],[2F3 Air Compressor]])*1000</f>
        <v>1249.0000000000236</v>
      </c>
      <c r="FM43">
        <f>(AX44-Table2[[#This Row],[Solar Reading Panel II]])*1000</f>
        <v>944.99999999970896</v>
      </c>
      <c r="FN43">
        <f>AI44-Table2[[#This Row],[3F1 Maintenance Workshop]]</f>
        <v>5.3663999999989755</v>
      </c>
      <c r="FO43">
        <f>BD44-Table2[[#This Row],[4F B2B unit ]]</f>
        <v>61.887999999977183</v>
      </c>
      <c r="FP43">
        <f>BL44-Table2[[#This Row],[2F1 - PDB 6 - Bread, B2B section]]</f>
        <v>234.30399999998917</v>
      </c>
      <c r="FQ43">
        <f>(CG44-Table2[[#This Row],[9F5 - PDB 14 - Bread Lift]])</f>
        <v>5.5679999999701977</v>
      </c>
      <c r="FR43">
        <f>CJ44-Table2[[#This Row],[PDB - 16 Bread Section]]</f>
        <v>0</v>
      </c>
      <c r="FS43">
        <f>BU44-Table2[[#This Row],[7F1 Donut Production area]]</f>
        <v>186.4320000000298</v>
      </c>
      <c r="FT43">
        <f>CB44-Table2[[#This Row],[8F5 Donut Ban Bary]]</f>
        <v>52.495999999999185</v>
      </c>
      <c r="FU43">
        <f>CF44-Table2[[#This Row],[9F4 - PDB 13 - Donut Sink Geyser area]]</f>
        <v>21.600000000005821</v>
      </c>
      <c r="FV43">
        <f>BV44-Table2[[#This Row],[7F2 Flour Silo]]</f>
        <v>679.67999999993481</v>
      </c>
      <c r="FW43">
        <f>BY44-Table2[[#This Row],[8F2 ACPDB - 3 SILO Ventilation]]</f>
        <v>43.808000000019092</v>
      </c>
      <c r="FX43">
        <f>J44-Table2[[#This Row],[DG 1010KVA Running Hours]]</f>
        <v>0</v>
      </c>
      <c r="FY43">
        <f>K44-Table2[[#This Row],[DG 1010 KVA Meter Reading]]</f>
        <v>0</v>
      </c>
      <c r="FZ43">
        <f>L44-Table2[[#This Row],[GG 1010 KVA Running Hours]]</f>
        <v>0</v>
      </c>
      <c r="GA43">
        <f>M44-Table2[[#This Row],[GG 1010 KVA Meter Reading]]</f>
        <v>0</v>
      </c>
    </row>
    <row r="44" spans="1:183" x14ac:dyDescent="0.35">
      <c r="A44" s="1">
        <v>54</v>
      </c>
      <c r="B44" s="2">
        <v>46242.392696759256</v>
      </c>
      <c r="C44" s="2">
        <v>46242.434050925927</v>
      </c>
      <c r="D44" s="1" t="s">
        <v>111</v>
      </c>
      <c r="E44" s="1"/>
      <c r="F44" s="1"/>
      <c r="G44" s="3">
        <v>46242</v>
      </c>
      <c r="H44" s="1" t="s">
        <v>186</v>
      </c>
      <c r="I44" s="6">
        <v>6932.2820000000002</v>
      </c>
      <c r="J44" s="6">
        <v>4274.8</v>
      </c>
      <c r="K44" s="6">
        <v>1777100</v>
      </c>
      <c r="L44" s="6">
        <v>454</v>
      </c>
      <c r="M44" s="6">
        <v>191.28</v>
      </c>
      <c r="N44" s="6">
        <v>1872534.88</v>
      </c>
      <c r="O44" s="6">
        <v>4606378.5599999996</v>
      </c>
      <c r="P44" s="6">
        <v>647432.19200000004</v>
      </c>
      <c r="Q44" s="6">
        <v>8101157.1200000001</v>
      </c>
      <c r="R44" s="6">
        <v>5564097.9199999999</v>
      </c>
      <c r="S44" s="6">
        <v>7376673.9199999999</v>
      </c>
      <c r="T44" s="6">
        <v>42809081.963</v>
      </c>
      <c r="U44" s="6">
        <v>2108467.2000000002</v>
      </c>
      <c r="V44" s="6">
        <v>5123766.4000000004</v>
      </c>
      <c r="W44" s="6">
        <v>1595.3706999999999</v>
      </c>
      <c r="X44" s="6">
        <v>775034.304</v>
      </c>
      <c r="Y44" s="6">
        <v>1098837.8400000001</v>
      </c>
      <c r="Z44" s="6">
        <v>2777.8894</v>
      </c>
      <c r="AA44" s="6">
        <v>669866.36800000002</v>
      </c>
      <c r="AB44" s="6">
        <v>421329.85600000003</v>
      </c>
      <c r="AC44" s="6">
        <v>2142314.7200000002</v>
      </c>
      <c r="AD44" s="6">
        <v>2689039.625</v>
      </c>
      <c r="AE44" s="6">
        <v>12834.5576</v>
      </c>
      <c r="AF44" s="6">
        <v>877755.84</v>
      </c>
      <c r="AG44" s="6">
        <v>1403.873</v>
      </c>
      <c r="AH44" s="6">
        <v>133825.424</v>
      </c>
      <c r="AI44" s="6">
        <v>14647.1968</v>
      </c>
      <c r="AJ44" s="6">
        <v>145375.264</v>
      </c>
      <c r="AK44" s="6">
        <v>105294.8</v>
      </c>
      <c r="AL44" s="6">
        <v>330908.99200000003</v>
      </c>
      <c r="AM44" s="6">
        <v>994.10799999999995</v>
      </c>
      <c r="AN44" s="6">
        <v>166.1</v>
      </c>
      <c r="AO44" s="6">
        <v>6.7</v>
      </c>
      <c r="AP44" s="6">
        <v>498254</v>
      </c>
      <c r="AQ44" s="6">
        <v>42366</v>
      </c>
      <c r="AR44" s="6">
        <v>41821</v>
      </c>
      <c r="AS44" s="6">
        <v>32390</v>
      </c>
      <c r="AT44" s="6">
        <v>22106</v>
      </c>
      <c r="AU44" s="6">
        <v>15742</v>
      </c>
      <c r="AV44" s="6">
        <v>6493</v>
      </c>
      <c r="AW44" s="6">
        <v>20.952145999999999</v>
      </c>
      <c r="AX44" s="6">
        <v>7247.5540000000001</v>
      </c>
      <c r="AY44" s="6">
        <v>679.60320000000002</v>
      </c>
      <c r="AZ44" s="6">
        <v>20.788</v>
      </c>
      <c r="BA44" s="6">
        <v>10480</v>
      </c>
      <c r="BB44" s="6">
        <v>44.99</v>
      </c>
      <c r="BC44" s="6">
        <v>113989.152</v>
      </c>
      <c r="BD44" s="6">
        <v>276249.31199999998</v>
      </c>
      <c r="BE44" s="6">
        <v>3731.93</v>
      </c>
      <c r="BF44" s="6">
        <v>1712.0419999999999</v>
      </c>
      <c r="BG44" s="6">
        <v>75.186999999999998</v>
      </c>
      <c r="BH44" s="6">
        <v>366.53</v>
      </c>
      <c r="BI44" s="6">
        <v>917.70799999999997</v>
      </c>
      <c r="BJ44" s="6">
        <v>14.913</v>
      </c>
      <c r="BK44" s="6">
        <v>565.64800000000002</v>
      </c>
      <c r="BL44" s="6">
        <v>73702.694399999993</v>
      </c>
      <c r="BM44" s="6">
        <v>311340.15999999997</v>
      </c>
      <c r="BN44" s="6">
        <v>7204.2407999999996</v>
      </c>
      <c r="BO44" s="6">
        <v>53587.446400000001</v>
      </c>
      <c r="BP44" s="6">
        <v>314938.33600000001</v>
      </c>
      <c r="BQ44" s="6">
        <v>326.48599999999999</v>
      </c>
      <c r="BR44" s="6">
        <v>181.828</v>
      </c>
      <c r="BS44" s="6">
        <v>1017610.986</v>
      </c>
      <c r="BT44" s="6">
        <v>1400620.74</v>
      </c>
      <c r="BU44" s="6">
        <v>630345.728</v>
      </c>
      <c r="BV44" s="6">
        <v>1025727.84</v>
      </c>
      <c r="BW44" s="6">
        <v>570109.05599999998</v>
      </c>
      <c r="BX44" s="6">
        <v>1010101.2</v>
      </c>
      <c r="BY44" s="6">
        <v>158033.31200000001</v>
      </c>
      <c r="BZ44" s="6">
        <v>114402.38400000001</v>
      </c>
      <c r="CA44" s="6">
        <v>1244.3390999999999</v>
      </c>
      <c r="CB44" s="6">
        <v>108978.424</v>
      </c>
      <c r="CC44" s="6">
        <v>151431.45600000001</v>
      </c>
      <c r="CD44" s="6">
        <v>447671.712</v>
      </c>
      <c r="CE44" s="6">
        <v>49126.022400000002</v>
      </c>
      <c r="CF44" s="6">
        <v>156092.96</v>
      </c>
      <c r="CG44" s="6">
        <v>360893.696</v>
      </c>
      <c r="CH44" s="6">
        <v>2385.8710000000001</v>
      </c>
      <c r="CI44" s="6">
        <v>215.48699999999999</v>
      </c>
      <c r="CJ44" s="6">
        <v>1191.5999999999999</v>
      </c>
      <c r="CK44" s="6">
        <v>78.376000000000005</v>
      </c>
      <c r="CL44" s="6">
        <v>737.024</v>
      </c>
      <c r="CM44" s="6">
        <v>551.4</v>
      </c>
      <c r="CN44" s="6">
        <v>47413.3</v>
      </c>
      <c r="CO44" s="6">
        <v>1656.18</v>
      </c>
      <c r="CP44" s="6">
        <v>295220.83100000001</v>
      </c>
      <c r="CQ44" s="6">
        <v>3692335.36</v>
      </c>
      <c r="CR44" s="6">
        <v>131663.16</v>
      </c>
      <c r="CS44" s="6">
        <v>516228.51199999999</v>
      </c>
      <c r="CT44" s="6">
        <v>2949332.5189999999</v>
      </c>
      <c r="CU44" s="6">
        <v>300278.19500000001</v>
      </c>
      <c r="CV44" s="6">
        <v>30139.727999999999</v>
      </c>
      <c r="CW44" s="6">
        <v>63039.8848</v>
      </c>
      <c r="CX44" s="6">
        <v>33466.092799999999</v>
      </c>
      <c r="CY44" s="6">
        <v>168726.35200000001</v>
      </c>
      <c r="CZ44" s="6">
        <v>218371.07199999999</v>
      </c>
      <c r="DA44" s="6">
        <v>19138.37</v>
      </c>
      <c r="DB44" s="6">
        <v>150931.46400000001</v>
      </c>
      <c r="DC44" s="6">
        <v>3067.84</v>
      </c>
      <c r="DD44" s="6">
        <v>3067.75</v>
      </c>
      <c r="DE44" s="6">
        <v>3095.79</v>
      </c>
      <c r="DF44" s="6">
        <v>0.97499999999999998</v>
      </c>
      <c r="DG44" s="1" t="s">
        <v>281</v>
      </c>
      <c r="DH44" s="4">
        <f>Table2[[#This Row],[Date]]</f>
        <v>46242</v>
      </c>
      <c r="DI44">
        <f>(DD45-Table2[[#This Row],[MWH Total]])*4000</f>
        <v>26600.000000000364</v>
      </c>
      <c r="DJ44">
        <f>(DA45-Table2[[#This Row],[PNG Meter (Outside)]])*2.936</f>
        <v>144.56864000000471</v>
      </c>
      <c r="DK44">
        <f>(DB45-Table2[[#This Row],[PNG Meter (Inside)]])*2.936</f>
        <v>169.42481600001639</v>
      </c>
      <c r="DL44">
        <f>(BH45-Table2[[#This Row],[3F Dough cooler - 2 ]])*1000</f>
        <v>299.00000000003502</v>
      </c>
      <c r="DM44">
        <f>(BI45-Table2[[#This Row],[3F Dough Cooler- 1]])*1000</f>
        <v>1330.0000000000409</v>
      </c>
      <c r="DN44">
        <f>(BJ45-Table2[[#This Row],[4F Dough Production cooling Unit]])*1000</f>
        <v>38.999999999999702</v>
      </c>
      <c r="DO44">
        <f>(BQ45-Table2[[#This Row],[3F2 - PDB 3 - Dough Production Area]])*1000</f>
        <v>163.00000000001091</v>
      </c>
      <c r="DP44">
        <f>(BR45-Table2[[#This Row],[3F3 - PDB 4 - Dough Area]])*1000</f>
        <v>85.999999999984311</v>
      </c>
      <c r="DQ44">
        <f>AC45-Table2[[#This Row],[16F1 Tray washer Panel for Light]]</f>
        <v>580</v>
      </c>
      <c r="DR44">
        <f>CQ45-Table2[[#This Row],[2F1 Tray Washer - 1]]</f>
        <v>1074.5600000000559</v>
      </c>
      <c r="DS44">
        <f>CS45-Table2[[#This Row],[2F5 Destacker]]</f>
        <v>173.28000000002794</v>
      </c>
      <c r="DT44">
        <f>CU45-Table2[[#This Row],[5F1 Metering (TW-2)]]</f>
        <v>165.63400000002002</v>
      </c>
      <c r="DU44">
        <f>CV45-Table2[[#This Row],[6F1 Pre soaker Tray washer]]</f>
        <v>8.9599999999336433E-2</v>
      </c>
      <c r="DV44">
        <f>CZ45-Table2[[#This Row],[6F5 Vent tray Storage]]</f>
        <v>56.352000000013504</v>
      </c>
      <c r="DW44">
        <f>I45-Table2[[#This Row],[Popeyes Meter ]]</f>
        <v>25.069999999999709</v>
      </c>
      <c r="DX44">
        <f>AZ45-Table2[[#This Row],[2F WH Chiller, Segregation Area]]</f>
        <v>0</v>
      </c>
      <c r="DY44">
        <f>BA45-Table2[[#This Row],[3F1 AC Unit WH dock cooling - 2 Nos]]</f>
        <v>15</v>
      </c>
      <c r="DZ44">
        <f>BB45-Table2[[#This Row],[3F2 AC Unit WH dock cooling - 3 Nos]]</f>
        <v>3.1999999999996476E-2</v>
      </c>
      <c r="EA44">
        <f>(BK45-Table2[[#This Row],[5F WH Perishable]])*1000</f>
        <v>197.99999999997908</v>
      </c>
      <c r="EB44">
        <f>BN45-Table2[[#This Row],[2F3 - PDB 9 - WH Dock Leveler Door ]]</f>
        <v>4.8088000000007014</v>
      </c>
      <c r="EC44">
        <f>BP45-Table2[[#This Row],[3F1 - PDB 5 - WH HSD]]</f>
        <v>99.135999999998603</v>
      </c>
      <c r="ED44">
        <f>BX45-Table2[[#This Row],[8F1 WH Dock AHU - Ventilation]]</f>
        <v>1757.2000000000698</v>
      </c>
      <c r="EE44">
        <f>BZ45-Table2[[#This Row],[8F3 ACPDB - 4 WH Dock air curtain]]</f>
        <v>24.255999999993946</v>
      </c>
      <c r="EF44">
        <f>CA45-Table2[[#This Row],[8F4 WH Light]]</f>
        <v>1.4300000000048385E-2</v>
      </c>
      <c r="EG44">
        <f>CC45-Table2[[#This Row],[9F1 - PDB 10 - WH Dock door &amp; Office]]</f>
        <v>88.111999999993714</v>
      </c>
      <c r="EH44">
        <f>CD45-Table2[[#This Row],[9F2 - PDB 11 - WH flycatchers]]</f>
        <v>202.7839999999851</v>
      </c>
      <c r="EI44">
        <f>CE45-Table2[[#This Row],[9F3 - PDB 12 - Other items]]</f>
        <v>1.254399999997986</v>
      </c>
      <c r="EJ44">
        <f>CR45-Table2[[#This Row],[2F3 - PDB 1 - Dock 1 to 4 ]]</f>
        <v>49.448000000003958</v>
      </c>
      <c r="EK44">
        <f>BM45-Table2[[#This Row],[2F2 - PDB 3 - WH Truck &amp; Battery Charging]]</f>
        <v>316.22400000004563</v>
      </c>
      <c r="EL44">
        <f>(CK45-Table2[[#This Row],[PDB - 11 Truck Charging]])*1000</f>
        <v>58.999999999997499</v>
      </c>
      <c r="EM44">
        <f>P45-Table2[[#This Row],[5F3 Admin Area]]</f>
        <v>303.80799999996088</v>
      </c>
      <c r="EN44">
        <f>AH45-Table2[[#This Row],[2F5 Main Gate-1 Piller -1]]</f>
        <v>87.791999999986729</v>
      </c>
      <c r="EO44">
        <f>CW45-Table2[[#This Row],[6F2 Ground Floor AC]]</f>
        <v>14.763200000001234</v>
      </c>
      <c r="EP44">
        <f>CX45-Table2[[#This Row],[6F3 ACBD -1 (First floor AC)]]</f>
        <v>0</v>
      </c>
      <c r="EQ44">
        <f>CY45-Table2[[#This Row],[6F4 ACBD - 2 (Second &amp; Third floor AC)]]</f>
        <v>158.60799999997835</v>
      </c>
      <c r="ER44">
        <f>(BC45-Table2[[#This Row],[4F Old BMC cooling Unit]])</f>
        <v>0</v>
      </c>
      <c r="ES44">
        <f>BO45-Table2[[#This Row],[2F4 - Old BMC]]</f>
        <v>1.6863999999986845</v>
      </c>
      <c r="ET44">
        <f>Y45-Table2[[#This Row],[14F2 New CK]]</f>
        <v>1005.5200000000186</v>
      </c>
      <c r="EU44">
        <f>(CL45-Table2[[#This Row],[OLD Ck Panel-1]])*1000</f>
        <v>524.99999999997726</v>
      </c>
      <c r="EV44">
        <f>CM45-Table2[[#This Row],[2F4 Old CK Blast (Blue star)]]</f>
        <v>0</v>
      </c>
      <c r="EW44">
        <f>CN45-Table2[[#This Row],[3F6 Old CK Blast (Carrier)]]</f>
        <v>437.39999999999418</v>
      </c>
      <c r="EX44">
        <f>(CO45-Table2[[#This Row],[Old CK Panel -2]])*1000</f>
        <v>581.99999999987995</v>
      </c>
      <c r="EY44">
        <f>N45-Table2[[#This Row],[4F1 Main UPS 1/C -1]]</f>
        <v>800.32000000006519</v>
      </c>
      <c r="EZ44">
        <f>Z45-Table2[[#This Row],[15F1 Main UPS Panel - I/C - 2]]</f>
        <v>0</v>
      </c>
      <c r="FA44">
        <f>BF45-Table2[[#This Row],[2F CLC -1 AC unit - 2]]</f>
        <v>0</v>
      </c>
      <c r="FB44">
        <f>(BG45-Table2[[#This Row],[2F CLC Anti room]])*1000</f>
        <v>22.999999999996135</v>
      </c>
      <c r="FC44">
        <f>BW45-Table2[[#This Row],[7F3 CLC Power Panel]]</f>
        <v>181.63199999998324</v>
      </c>
      <c r="FD44">
        <f>(CI45-Table2[[#This Row],[PDB - 17 CLC Section ]])*1000</f>
        <v>99.999999999994316</v>
      </c>
      <c r="FE44">
        <f>(W45-Table2[[#This Row],[13F3 Water &amp; Lift Old CK]])*1000</f>
        <v>451.90000000002328</v>
      </c>
      <c r="FF44">
        <f>AA45-Table2[[#This Row],[15F2 New ETP Panel]]</f>
        <v>208.31999999994878</v>
      </c>
      <c r="FG44">
        <f>AL45-Table2[[#This Row],[3F4 Old ETP Panel]]</f>
        <v>54.399999999965075</v>
      </c>
      <c r="FH44">
        <f>AF45-Table2[[#This Row],[2F1 RO Plant]]</f>
        <v>461.11999999999534</v>
      </c>
      <c r="FI44">
        <f>AK45-Table2[[#This Row],[3F3 Fire Hydrant Panel]]</f>
        <v>9.0559999999968568</v>
      </c>
      <c r="FJ44">
        <f>R45-Table2[[#This Row],[7F1 Freon System Panel]]</f>
        <v>5023.3600000003353</v>
      </c>
      <c r="FK44">
        <f>(AE45-Table2[[#This Row],[21F1 Refrigeration Ammonia]])*1000</f>
        <v>5398.4000000000378</v>
      </c>
      <c r="FL44">
        <f>(AG45-Table2[[#This Row],[2F3 Air Compressor]])*1000</f>
        <v>1313.9999999998508</v>
      </c>
      <c r="FM44">
        <f>(AX45-Table2[[#This Row],[Solar Reading Panel II]])*1000</f>
        <v>2052.9999999998836</v>
      </c>
      <c r="FN44">
        <f>AI45-Table2[[#This Row],[3F1 Maintenance Workshop]]</f>
        <v>4.4320000000006985</v>
      </c>
      <c r="FO44">
        <f>BD45-Table2[[#This Row],[4F B2B unit ]]</f>
        <v>25.664000000047963</v>
      </c>
      <c r="FP44">
        <f>BL45-Table2[[#This Row],[2F1 - PDB 6 - Bread, B2B section]]</f>
        <v>92.87039999999979</v>
      </c>
      <c r="FQ44">
        <f>(CG45-Table2[[#This Row],[9F5 - PDB 14 - Bread Lift]])</f>
        <v>2.5599999999976717</v>
      </c>
      <c r="FR44">
        <f>CJ45-Table2[[#This Row],[PDB - 16 Bread Section]]</f>
        <v>0</v>
      </c>
      <c r="FS44">
        <f>BU45-Table2[[#This Row],[7F1 Donut Production area]]</f>
        <v>197.11999999999534</v>
      </c>
      <c r="FT44">
        <f>CB45-Table2[[#This Row],[8F5 Donut Ban Bary]]</f>
        <v>21.19199999999546</v>
      </c>
      <c r="FU44">
        <f>CF45-Table2[[#This Row],[9F4 - PDB 13 - Donut Sink Geyser area]]</f>
        <v>16.912000000011176</v>
      </c>
      <c r="FV44">
        <f>BV45-Table2[[#This Row],[7F2 Flour Silo]]</f>
        <v>381.76000000000931</v>
      </c>
      <c r="FW44">
        <f>BY45-Table2[[#This Row],[8F2 ACPDB - 3 SILO Ventilation]]</f>
        <v>32.335999999981141</v>
      </c>
      <c r="FX44">
        <f>J45-Table2[[#This Row],[DG 1010KVA Running Hours]]</f>
        <v>0.8999999999996362</v>
      </c>
      <c r="FY44">
        <f>K45-Table2[[#This Row],[DG 1010 KVA Meter Reading]]</f>
        <v>284</v>
      </c>
      <c r="FZ44">
        <f>L45-Table2[[#This Row],[GG 1010 KVA Running Hours]]</f>
        <v>1</v>
      </c>
      <c r="GA44">
        <f>M45-Table2[[#This Row],[GG 1010 KVA Meter Reading]]</f>
        <v>0.43000000000000682</v>
      </c>
    </row>
    <row r="45" spans="1:183" x14ac:dyDescent="0.35">
      <c r="A45" s="1">
        <v>55</v>
      </c>
      <c r="B45" s="2">
        <v>46244.410185185188</v>
      </c>
      <c r="C45" s="2">
        <v>46244.429814814815</v>
      </c>
      <c r="D45" s="1" t="s">
        <v>111</v>
      </c>
      <c r="E45" s="1"/>
      <c r="F45" s="1"/>
      <c r="G45" s="3">
        <v>46243</v>
      </c>
      <c r="H45" s="1" t="s">
        <v>186</v>
      </c>
      <c r="I45" s="6">
        <v>6957.3519999999999</v>
      </c>
      <c r="J45" s="6">
        <v>4275.7</v>
      </c>
      <c r="K45" s="6">
        <v>1777384</v>
      </c>
      <c r="L45" s="6">
        <v>455</v>
      </c>
      <c r="M45" s="6">
        <v>191.71</v>
      </c>
      <c r="N45" s="6">
        <v>1873335.2</v>
      </c>
      <c r="O45" s="6">
        <v>4607967.3600000003</v>
      </c>
      <c r="P45" s="6">
        <v>647736</v>
      </c>
      <c r="Q45" s="6">
        <v>8103832.96</v>
      </c>
      <c r="R45" s="6">
        <v>5569121.2800000003</v>
      </c>
      <c r="S45" s="6">
        <v>7379379.8399999999</v>
      </c>
      <c r="T45" s="6">
        <v>42819190.401000001</v>
      </c>
      <c r="U45" s="6">
        <v>2109366.08</v>
      </c>
      <c r="V45" s="6">
        <v>5125147.5199999996</v>
      </c>
      <c r="W45" s="6">
        <v>1595.8226</v>
      </c>
      <c r="X45" s="6">
        <v>775219.45600000001</v>
      </c>
      <c r="Y45" s="6">
        <v>1099843.3600000001</v>
      </c>
      <c r="Z45" s="6">
        <v>2777.8894</v>
      </c>
      <c r="AA45" s="6">
        <v>670074.68799999997</v>
      </c>
      <c r="AB45" s="6">
        <v>421339.64799999999</v>
      </c>
      <c r="AC45" s="6">
        <v>2142894.7200000002</v>
      </c>
      <c r="AD45" s="6">
        <v>2696476.36</v>
      </c>
      <c r="AE45" s="6">
        <v>12839.956</v>
      </c>
      <c r="AF45" s="6">
        <v>878216.96</v>
      </c>
      <c r="AG45" s="6">
        <v>1405.1869999999999</v>
      </c>
      <c r="AH45" s="6">
        <v>133913.21599999999</v>
      </c>
      <c r="AI45" s="6">
        <v>14651.6288</v>
      </c>
      <c r="AJ45" s="6">
        <v>145376.448</v>
      </c>
      <c r="AK45" s="6">
        <v>105303.856</v>
      </c>
      <c r="AL45" s="6">
        <v>330963.39199999999</v>
      </c>
      <c r="AM45" s="6">
        <v>994.55100000000004</v>
      </c>
      <c r="AN45" s="6">
        <v>330.5</v>
      </c>
      <c r="AO45" s="6">
        <v>7.7</v>
      </c>
      <c r="AP45" s="6">
        <v>506434</v>
      </c>
      <c r="AQ45" s="6">
        <v>42377</v>
      </c>
      <c r="AR45" s="6">
        <v>41833</v>
      </c>
      <c r="AS45" s="6">
        <v>32390</v>
      </c>
      <c r="AT45" s="6">
        <v>22105</v>
      </c>
      <c r="AU45" s="6">
        <v>15761</v>
      </c>
      <c r="AV45" s="6">
        <v>6506</v>
      </c>
      <c r="AW45" s="6">
        <v>20.957314</v>
      </c>
      <c r="AX45" s="6">
        <v>7249.607</v>
      </c>
      <c r="AY45" s="6">
        <v>679.69856000000004</v>
      </c>
      <c r="AZ45" s="6">
        <v>20.788</v>
      </c>
      <c r="BA45" s="6">
        <v>10495</v>
      </c>
      <c r="BB45" s="6">
        <v>45.021999999999998</v>
      </c>
      <c r="BC45" s="6">
        <v>113989.152</v>
      </c>
      <c r="BD45" s="6">
        <v>276274.97600000002</v>
      </c>
      <c r="BE45" s="6">
        <v>3732.8663999999999</v>
      </c>
      <c r="BF45" s="6">
        <v>1712.0419999999999</v>
      </c>
      <c r="BG45" s="6">
        <v>75.209999999999994</v>
      </c>
      <c r="BH45" s="6">
        <v>366.82900000000001</v>
      </c>
      <c r="BI45" s="6">
        <v>919.03800000000001</v>
      </c>
      <c r="BJ45" s="6">
        <v>14.952</v>
      </c>
      <c r="BK45" s="6">
        <v>565.846</v>
      </c>
      <c r="BL45" s="6">
        <v>73795.564799999993</v>
      </c>
      <c r="BM45" s="6">
        <v>311656.38400000002</v>
      </c>
      <c r="BN45" s="6">
        <v>7209.0496000000003</v>
      </c>
      <c r="BO45" s="6">
        <v>53589.132799999999</v>
      </c>
      <c r="BP45" s="6">
        <v>315037.47200000001</v>
      </c>
      <c r="BQ45" s="6">
        <v>326.649</v>
      </c>
      <c r="BR45" s="6">
        <v>181.91399999999999</v>
      </c>
      <c r="BS45" s="6">
        <v>1018424.356</v>
      </c>
      <c r="BT45" s="6">
        <v>1400620.952</v>
      </c>
      <c r="BU45" s="6">
        <v>630542.848</v>
      </c>
      <c r="BV45" s="6">
        <v>1026109.6</v>
      </c>
      <c r="BW45" s="6">
        <v>570290.68799999997</v>
      </c>
      <c r="BX45" s="6">
        <v>1011858.4</v>
      </c>
      <c r="BY45" s="6">
        <v>158065.64799999999</v>
      </c>
      <c r="BZ45" s="6">
        <v>114426.64</v>
      </c>
      <c r="CA45" s="6">
        <v>1244.3534</v>
      </c>
      <c r="CB45" s="6">
        <v>108999.61599999999</v>
      </c>
      <c r="CC45" s="6">
        <v>151519.568</v>
      </c>
      <c r="CD45" s="6">
        <v>447874.49599999998</v>
      </c>
      <c r="CE45" s="6">
        <v>49127.2768</v>
      </c>
      <c r="CF45" s="6">
        <v>156109.872</v>
      </c>
      <c r="CG45" s="6">
        <v>360896.25599999999</v>
      </c>
      <c r="CH45" s="6">
        <v>2385.8710000000001</v>
      </c>
      <c r="CI45" s="6">
        <v>215.58699999999999</v>
      </c>
      <c r="CJ45" s="6">
        <v>1191.5999999999999</v>
      </c>
      <c r="CK45" s="6">
        <v>78.435000000000002</v>
      </c>
      <c r="CL45" s="6">
        <v>737.54899999999998</v>
      </c>
      <c r="CM45" s="6">
        <v>551.4</v>
      </c>
      <c r="CN45" s="6">
        <v>47850.7</v>
      </c>
      <c r="CO45" s="6">
        <v>1656.7619999999999</v>
      </c>
      <c r="CP45" s="6">
        <v>295304.64500000002</v>
      </c>
      <c r="CQ45" s="6">
        <v>3693409.92</v>
      </c>
      <c r="CR45" s="6">
        <v>131712.60800000001</v>
      </c>
      <c r="CS45" s="6">
        <v>516401.79200000002</v>
      </c>
      <c r="CT45" s="6">
        <v>2951827.2209999999</v>
      </c>
      <c r="CU45" s="6">
        <v>300443.82900000003</v>
      </c>
      <c r="CV45" s="6">
        <v>30139.817599999998</v>
      </c>
      <c r="CW45" s="6">
        <v>63054.648000000001</v>
      </c>
      <c r="CX45" s="6">
        <v>33466.092799999999</v>
      </c>
      <c r="CY45" s="6">
        <v>168884.96</v>
      </c>
      <c r="CZ45" s="6">
        <v>218427.424</v>
      </c>
      <c r="DA45" s="6">
        <v>19187.61</v>
      </c>
      <c r="DB45" s="6">
        <v>150989.17000000001</v>
      </c>
      <c r="DC45" s="6">
        <v>3074.53</v>
      </c>
      <c r="DD45" s="6">
        <v>3074.4</v>
      </c>
      <c r="DE45" s="6">
        <v>3102.6</v>
      </c>
      <c r="DF45" s="6">
        <v>0.97799999999999998</v>
      </c>
      <c r="DG45" s="1" t="s">
        <v>257</v>
      </c>
      <c r="DH45" s="4">
        <f>Table2[[#This Row],[Date]]</f>
        <v>46243</v>
      </c>
      <c r="DI45">
        <f>(DD46-Table2[[#This Row],[MWH Total]])*4000</f>
        <v>21079.999999999927</v>
      </c>
      <c r="DJ45">
        <f>(DA46-Table2[[#This Row],[PNG Meter (Outside)]])*2.936</f>
        <v>38.872639999994021</v>
      </c>
      <c r="DK45">
        <f>(DB46-Table2[[#This Row],[PNG Meter (Inside)]])*2.936</f>
        <v>286.69452799996037</v>
      </c>
      <c r="DL45">
        <f>(BH46-Table2[[#This Row],[3F Dough cooler - 2 ]])*1000</f>
        <v>562.00000000001182</v>
      </c>
      <c r="DM45" s="1">
        <f>(BI46-Table2[[#This Row],[3F Dough Cooler- 1]])*1000</f>
        <v>606.9999999999709</v>
      </c>
      <c r="DN45">
        <f>(BJ46-Table2[[#This Row],[4F Dough Production cooling Unit]])*1000</f>
        <v>87.99999999999919</v>
      </c>
      <c r="DO45">
        <f>(BQ46-Table2[[#This Row],[3F2 - PDB 3 - Dough Production Area]])*1000</f>
        <v>283.00000000001546</v>
      </c>
      <c r="DP45">
        <f>(BR46-Table2[[#This Row],[3F3 - PDB 4 - Dough Area]])*1000</f>
        <v>160.00000000002501</v>
      </c>
      <c r="DQ45">
        <f>AC46-Table2[[#This Row],[16F1 Tray washer Panel for Light]]</f>
        <v>843.52000000001863</v>
      </c>
      <c r="DR45">
        <f>CQ46-Table2[[#This Row],[2F1 Tray Washer - 1]]</f>
        <v>1680.6400000001304</v>
      </c>
      <c r="DS45">
        <f>CS46-Table2[[#This Row],[2F5 Destacker]]</f>
        <v>381.63199999998324</v>
      </c>
      <c r="DT45">
        <f>CU46-Table2[[#This Row],[5F1 Metering (TW-2)]]</f>
        <v>305.75</v>
      </c>
      <c r="DU45">
        <f>CV46-Table2[[#This Row],[6F1 Pre soaker Tray washer]]</f>
        <v>5.5520000000033178</v>
      </c>
      <c r="DV45">
        <f>CZ46-Table2[[#This Row],[6F5 Vent tray Storage]]</f>
        <v>84.336000000010245</v>
      </c>
      <c r="DW45">
        <f>I46-Table2[[#This Row],[Popeyes Meter ]]</f>
        <v>16.75</v>
      </c>
      <c r="DX45">
        <f>AZ46-Table2[[#This Row],[2F WH Chiller, Segregation Area]]</f>
        <v>0</v>
      </c>
      <c r="DY45">
        <f>BA46-Table2[[#This Row],[3F1 AC Unit WH dock cooling - 2 Nos]]</f>
        <v>19</v>
      </c>
      <c r="DZ45">
        <f>BB46-Table2[[#This Row],[3F2 AC Unit WH dock cooling - 3 Nos]]</f>
        <v>5.4000000000002046E-2</v>
      </c>
      <c r="EA45">
        <f>(BK46-Table2[[#This Row],[5F WH Perishable]])*1000</f>
        <v>355.99999999999454</v>
      </c>
      <c r="EB45">
        <f>BN46-Table2[[#This Row],[2F3 - PDB 9 - WH Dock Leveler Door ]]</f>
        <v>2.8368000000000393</v>
      </c>
      <c r="EC45">
        <f>BP46-Table2[[#This Row],[3F1 - PDB 5 - WH HSD]]</f>
        <v>127.90399999998044</v>
      </c>
      <c r="ED45">
        <f>BX46-Table2[[#This Row],[8F1 WH Dock AHU - Ventilation]]</f>
        <v>2954.5599999999395</v>
      </c>
      <c r="EE45">
        <f>BZ46-Table2[[#This Row],[8F3 ACPDB - 4 WH Dock air curtain]]</f>
        <v>37.528000000005704</v>
      </c>
      <c r="EF45">
        <f>CA46-Table2[[#This Row],[8F4 WH Light]]</f>
        <v>7.3999999999614374E-3</v>
      </c>
      <c r="EG45">
        <f>CC46-Table2[[#This Row],[9F1 - PDB 10 - WH Dock door &amp; Office]]</f>
        <v>183.82399999999325</v>
      </c>
      <c r="EH45">
        <f>CD46-Table2[[#This Row],[9F2 - PDB 11 - WH flycatchers]]</f>
        <v>149.53600000002189</v>
      </c>
      <c r="EI45">
        <f>CE46-Table2[[#This Row],[9F3 - PDB 12 - Other items]]</f>
        <v>5.1200000001699664E-2</v>
      </c>
      <c r="EJ45">
        <f>CR46-Table2[[#This Row],[2F3 - PDB 1 - Dock 1 to 4 ]]</f>
        <v>106.45600000000559</v>
      </c>
      <c r="EK45">
        <f>BM46-Table2[[#This Row],[2F2 - PDB 3 - WH Truck &amp; Battery Charging]]</f>
        <v>460.63999999995576</v>
      </c>
      <c r="EL45">
        <f>(CK46-Table2[[#This Row],[PDB - 11 Truck Charging]])*1000</f>
        <v>42.000000000001592</v>
      </c>
      <c r="EM45">
        <f>P46-Table2[[#This Row],[5F3 Admin Area]]</f>
        <v>452.80000000004657</v>
      </c>
      <c r="EN45">
        <f>AH46-Table2[[#This Row],[2F5 Main Gate-1 Piller -1]]</f>
        <v>141.36000000001513</v>
      </c>
      <c r="EO45">
        <f>CW46-Table2[[#This Row],[6F2 Ground Floor AC]]</f>
        <v>31.995199999997567</v>
      </c>
      <c r="EP45">
        <f>CX46-Table2[[#This Row],[6F3 ACBD -1 (First floor AC)]]</f>
        <v>0</v>
      </c>
      <c r="EQ45">
        <f>CY46-Table2[[#This Row],[6F4 ACBD - 2 (Second &amp; Third floor AC)]]</f>
        <v>54.975999999995111</v>
      </c>
      <c r="ER45">
        <f>(BC46-Table2[[#This Row],[4F Old BMC cooling Unit]])</f>
        <v>0</v>
      </c>
      <c r="ES45">
        <f>BO46-Table2[[#This Row],[2F4 - Old BMC]]</f>
        <v>0</v>
      </c>
      <c r="ET45">
        <f>Y46-Table2[[#This Row],[14F2 New CK]]</f>
        <v>590.39999999990687</v>
      </c>
      <c r="EU45">
        <f>(CL46-Table2[[#This Row],[OLD Ck Panel-1]])*1000</f>
        <v>431.00000000004002</v>
      </c>
      <c r="EV45">
        <f>CM46-Table2[[#This Row],[2F4 Old CK Blast (Blue star)]]</f>
        <v>0</v>
      </c>
      <c r="EW45">
        <f>CN46-Table2[[#This Row],[3F6 Old CK Blast (Carrier)]]</f>
        <v>315.40000000000146</v>
      </c>
      <c r="EX45">
        <f>(CO46-Table2[[#This Row],[Old CK Panel -2]])*1000</f>
        <v>854.00000000004184</v>
      </c>
      <c r="EY45">
        <f>N46-Table2[[#This Row],[4F1 Main UPS 1/C -1]]</f>
        <v>1087.1999999999534</v>
      </c>
      <c r="EZ45">
        <f>Z46-Table2[[#This Row],[15F1 Main UPS Panel - I/C - 2]]</f>
        <v>0</v>
      </c>
      <c r="FA45">
        <f>BF46-Table2[[#This Row],[2F CLC -1 AC unit - 2]]</f>
        <v>0</v>
      </c>
      <c r="FB45">
        <f>(BG46-Table2[[#This Row],[2F CLC Anti room]])*1000</f>
        <v>39.000000000001478</v>
      </c>
      <c r="FC45">
        <f>BW46-Table2[[#This Row],[7F3 CLC Power Panel]]</f>
        <v>183.87200000009034</v>
      </c>
      <c r="FD45">
        <f>(CI46-Table2[[#This Row],[PDB - 17 CLC Section ]])*1000</f>
        <v>134.00000000001455</v>
      </c>
      <c r="FE45">
        <f>(W46-Table2[[#This Row],[13F3 Water &amp; Lift Old CK]])*1000</f>
        <v>860.00000000012733</v>
      </c>
      <c r="FF45">
        <f>AA46-Table2[[#This Row],[15F2 New ETP Panel]]</f>
        <v>296.89600000006612</v>
      </c>
      <c r="FG45">
        <f>AL46-Table2[[#This Row],[3F4 Old ETP Panel]]</f>
        <v>91.296000000031199</v>
      </c>
      <c r="FH45">
        <f>AF46-Table2[[#This Row],[2F1 RO Plant]]</f>
        <v>666.11200000008103</v>
      </c>
      <c r="FI45">
        <f>AK46-Table2[[#This Row],[3F3 Fire Hydrant Panel]]</f>
        <v>12.063999999998487</v>
      </c>
      <c r="FJ45">
        <f>R46-Table2[[#This Row],[7F1 Freon System Panel]]</f>
        <v>6405.7599999997765</v>
      </c>
      <c r="FK45">
        <f>(AE46-Table2[[#This Row],[21F1 Refrigeration Ammonia]])*1000</f>
        <v>7897.6000000002387</v>
      </c>
      <c r="FL45">
        <f>(AG46-Table2[[#This Row],[2F3 Air Compressor]])*1000</f>
        <v>1831.000000000131</v>
      </c>
      <c r="FM45">
        <f>(AX46-Table2[[#This Row],[Solar Reading Panel II]])*1000</f>
        <v>4386.9999999997162</v>
      </c>
      <c r="FN45">
        <f>AI46-Table2[[#This Row],[3F1 Maintenance Workshop]]</f>
        <v>8.7151999999987311</v>
      </c>
      <c r="FO45">
        <f>BD46-Table2[[#This Row],[4F B2B unit ]]</f>
        <v>81.759999999951106</v>
      </c>
      <c r="FP45">
        <f>BL46-Table2[[#This Row],[2F1 - PDB 6 - Bread, B2B section]]</f>
        <v>107.13600000001315</v>
      </c>
      <c r="FQ45">
        <f>(CG46-Table2[[#This Row],[9F5 - PDB 14 - Bread Lift]])</f>
        <v>4.0320000000065193</v>
      </c>
      <c r="FR45">
        <f>CJ46-Table2[[#This Row],[PDB - 16 Bread Section]]</f>
        <v>0</v>
      </c>
      <c r="FS45">
        <f>BU46-Table2[[#This Row],[7F1 Donut Production area]]</f>
        <v>239.35999999998603</v>
      </c>
      <c r="FT45">
        <f>CB46-Table2[[#This Row],[8F5 Donut Ban Bary]]</f>
        <v>76.264000000010128</v>
      </c>
      <c r="FU45">
        <f>CF46-Table2[[#This Row],[9F4 - PDB 13 - Donut Sink Geyser area]]</f>
        <v>29.456000000005588</v>
      </c>
      <c r="FV45">
        <f>BV46-Table2[[#This Row],[7F2 Flour Silo]]</f>
        <v>560.56000000005588</v>
      </c>
      <c r="FW45">
        <f>BY46-Table2[[#This Row],[8F2 ACPDB - 3 SILO Ventilation]]</f>
        <v>55.312000000005355</v>
      </c>
      <c r="FX45">
        <f>J46-Table2[[#This Row],[DG 1010KVA Running Hours]]</f>
        <v>0.6000000000003638</v>
      </c>
      <c r="FY45">
        <f>K46-Table2[[#This Row],[DG 1010 KVA Meter Reading]]</f>
        <v>186</v>
      </c>
      <c r="FZ45">
        <f>L46-Table2[[#This Row],[GG 1010 KVA Running Hours]]</f>
        <v>1</v>
      </c>
      <c r="GA45">
        <f>M46-Table2[[#This Row],[GG 1010 KVA Meter Reading]]</f>
        <v>9.9999999999994316E-2</v>
      </c>
    </row>
    <row r="46" spans="1:183" x14ac:dyDescent="0.35">
      <c r="A46" s="1">
        <v>56</v>
      </c>
      <c r="B46" s="2">
        <v>46244.429965277777</v>
      </c>
      <c r="C46" s="2">
        <v>46244.471388888887</v>
      </c>
      <c r="D46" s="1" t="s">
        <v>111</v>
      </c>
      <c r="E46" s="1"/>
      <c r="F46" s="1"/>
      <c r="G46" s="3">
        <v>46244</v>
      </c>
      <c r="H46" s="1" t="s">
        <v>186</v>
      </c>
      <c r="I46" s="6">
        <v>6974.1019999999999</v>
      </c>
      <c r="J46" s="6">
        <v>4276.3</v>
      </c>
      <c r="K46" s="6">
        <v>1777570</v>
      </c>
      <c r="L46" s="6">
        <v>456</v>
      </c>
      <c r="M46" s="6">
        <v>191.81</v>
      </c>
      <c r="N46" s="6">
        <v>1874422.4</v>
      </c>
      <c r="O46" s="6">
        <v>4610370.88</v>
      </c>
      <c r="P46" s="6">
        <v>648188.80000000005</v>
      </c>
      <c r="Q46" s="6">
        <v>8107994.2400000002</v>
      </c>
      <c r="R46" s="6">
        <v>5575527.04</v>
      </c>
      <c r="S46" s="6">
        <v>7383014.4000000004</v>
      </c>
      <c r="T46" s="6">
        <v>43280612.443999998</v>
      </c>
      <c r="U46" s="6">
        <v>2110534.56</v>
      </c>
      <c r="V46" s="6">
        <v>5127328.6399999997</v>
      </c>
      <c r="W46" s="6">
        <v>1596.6826000000001</v>
      </c>
      <c r="X46" s="6">
        <v>775510.72</v>
      </c>
      <c r="Y46" s="6">
        <v>1100433.76</v>
      </c>
      <c r="Z46" s="6">
        <v>2777.8894</v>
      </c>
      <c r="AA46" s="6">
        <v>670371.58400000003</v>
      </c>
      <c r="AB46" s="6">
        <v>421352.51199999999</v>
      </c>
      <c r="AC46" s="6">
        <v>2143738.2400000002</v>
      </c>
      <c r="AD46" s="6">
        <v>4114204.2519999999</v>
      </c>
      <c r="AE46" s="6">
        <v>12847.8536</v>
      </c>
      <c r="AF46" s="6">
        <v>878883.07200000004</v>
      </c>
      <c r="AG46" s="6">
        <v>1407.018</v>
      </c>
      <c r="AH46" s="6">
        <v>134054.576</v>
      </c>
      <c r="AI46" s="6">
        <v>14660.343999999999</v>
      </c>
      <c r="AJ46" s="6">
        <v>145379.696</v>
      </c>
      <c r="AK46" s="6">
        <v>105315.92</v>
      </c>
      <c r="AL46" s="6">
        <v>331054.68800000002</v>
      </c>
      <c r="AM46" s="6">
        <v>995.30200000000002</v>
      </c>
      <c r="AN46" s="6">
        <v>316</v>
      </c>
      <c r="AO46" s="6">
        <v>7.2</v>
      </c>
      <c r="AP46" s="6">
        <v>518980</v>
      </c>
      <c r="AQ46" s="6">
        <v>42407</v>
      </c>
      <c r="AR46" s="6">
        <v>41862</v>
      </c>
      <c r="AS46" s="6">
        <v>32390</v>
      </c>
      <c r="AT46" s="6">
        <v>22106</v>
      </c>
      <c r="AU46" s="6">
        <v>15790</v>
      </c>
      <c r="AV46" s="6">
        <v>6522</v>
      </c>
      <c r="AW46" s="6">
        <v>20.965074000000001</v>
      </c>
      <c r="AX46" s="6">
        <v>7253.9939999999997</v>
      </c>
      <c r="AY46" s="6">
        <v>679.84208000000001</v>
      </c>
      <c r="AZ46" s="6">
        <v>20.788</v>
      </c>
      <c r="BA46" s="6">
        <v>10514</v>
      </c>
      <c r="BB46" s="6">
        <v>45.076000000000001</v>
      </c>
      <c r="BC46" s="6">
        <v>113989.152</v>
      </c>
      <c r="BD46" s="6">
        <v>276356.73599999998</v>
      </c>
      <c r="BE46" s="6">
        <v>3734.5868</v>
      </c>
      <c r="BF46" s="6">
        <v>1712.0419999999999</v>
      </c>
      <c r="BG46" s="6">
        <v>75.248999999999995</v>
      </c>
      <c r="BH46" s="6">
        <v>367.39100000000002</v>
      </c>
      <c r="BI46" s="6">
        <v>919.64499999999998</v>
      </c>
      <c r="BJ46" s="6">
        <v>15.04</v>
      </c>
      <c r="BK46" s="6">
        <v>566.202</v>
      </c>
      <c r="BL46" s="6">
        <v>73902.700800000006</v>
      </c>
      <c r="BM46" s="6">
        <v>312117.02399999998</v>
      </c>
      <c r="BN46" s="6">
        <v>7211.8864000000003</v>
      </c>
      <c r="BO46" s="6">
        <v>53589.132799999999</v>
      </c>
      <c r="BP46" s="6">
        <v>315165.37599999999</v>
      </c>
      <c r="BQ46" s="6">
        <v>326.93200000000002</v>
      </c>
      <c r="BR46" s="6">
        <v>182.07400000000001</v>
      </c>
      <c r="BS46" s="6">
        <v>1019630.561</v>
      </c>
      <c r="BT46" s="6">
        <v>1400621.537</v>
      </c>
      <c r="BU46" s="6">
        <v>630782.20799999998</v>
      </c>
      <c r="BV46" s="6">
        <v>1026670.16</v>
      </c>
      <c r="BW46" s="6">
        <v>570474.56000000006</v>
      </c>
      <c r="BX46" s="6">
        <v>1014812.96</v>
      </c>
      <c r="BY46" s="6">
        <v>158120.95999999999</v>
      </c>
      <c r="BZ46" s="6">
        <v>114464.16800000001</v>
      </c>
      <c r="CA46" s="6">
        <v>1244.3607999999999</v>
      </c>
      <c r="CB46" s="6">
        <v>109075.88</v>
      </c>
      <c r="CC46" s="6">
        <v>151703.39199999999</v>
      </c>
      <c r="CD46" s="6">
        <v>448024.03200000001</v>
      </c>
      <c r="CE46" s="6">
        <v>49127.328000000001</v>
      </c>
      <c r="CF46" s="6">
        <v>156139.32800000001</v>
      </c>
      <c r="CG46" s="6">
        <v>360900.288</v>
      </c>
      <c r="CH46" s="6">
        <v>2385.8710000000001</v>
      </c>
      <c r="CI46" s="6">
        <v>215.721</v>
      </c>
      <c r="CJ46" s="6">
        <v>1191.5999999999999</v>
      </c>
      <c r="CK46" s="6">
        <v>78.477000000000004</v>
      </c>
      <c r="CL46" s="6">
        <v>737.98</v>
      </c>
      <c r="CM46" s="6">
        <v>551.4</v>
      </c>
      <c r="CN46" s="6">
        <v>48166.1</v>
      </c>
      <c r="CO46" s="6">
        <v>1657.616</v>
      </c>
      <c r="CP46" s="6">
        <v>295451.30900000001</v>
      </c>
      <c r="CQ46" s="6">
        <v>3695090.56</v>
      </c>
      <c r="CR46" s="6">
        <v>131819.06400000001</v>
      </c>
      <c r="CS46" s="6">
        <v>516783.424</v>
      </c>
      <c r="CT46" s="6">
        <v>2955800.4539999999</v>
      </c>
      <c r="CU46" s="6">
        <v>300749.57900000003</v>
      </c>
      <c r="CV46" s="6">
        <v>30145.369600000002</v>
      </c>
      <c r="CW46" s="6">
        <v>63086.643199999999</v>
      </c>
      <c r="CX46" s="6">
        <v>33466.092799999999</v>
      </c>
      <c r="CY46" s="6">
        <v>168939.93599999999</v>
      </c>
      <c r="CZ46" s="6">
        <v>218511.76</v>
      </c>
      <c r="DA46" s="6">
        <v>19200.849999999999</v>
      </c>
      <c r="DB46" s="6">
        <v>151086.818</v>
      </c>
      <c r="DC46" s="6">
        <v>3079.8</v>
      </c>
      <c r="DD46" s="6">
        <v>3079.67</v>
      </c>
      <c r="DE46" s="6">
        <v>3108.02</v>
      </c>
      <c r="DF46" s="6">
        <v>0.98899999999999999</v>
      </c>
      <c r="DG46" s="1" t="s">
        <v>282</v>
      </c>
      <c r="DH46" s="4">
        <f>Table2[[#This Row],[Date]]</f>
        <v>46244</v>
      </c>
      <c r="DI46">
        <f>(DD47-Table2[[#This Row],[MWH Total]])*4000</f>
        <v>26719.999999999345</v>
      </c>
      <c r="DJ46">
        <f>(DA47-Table2[[#This Row],[PNG Meter (Outside)]])*2.936</f>
        <v>8.7786400000046996</v>
      </c>
      <c r="DK46">
        <f>(DB47-Table2[[#This Row],[PNG Meter (Inside)]])*2.936</f>
        <v>321.49200000000002</v>
      </c>
      <c r="DL46">
        <f>(BH47-Table2[[#This Row],[3F Dough cooler - 2 ]])*1000</f>
        <v>430.99999999998317</v>
      </c>
      <c r="DM46">
        <f>(BI47-Table2[[#This Row],[3F Dough Cooler- 1]])*1000</f>
        <v>273.00000000002456</v>
      </c>
      <c r="DN46">
        <f>(BJ47-Table2[[#This Row],[4F Dough Production cooling Unit]])*1000</f>
        <v>57.000000000000384</v>
      </c>
      <c r="DO46">
        <f>(BQ47-Table2[[#This Row],[3F2 - PDB 3 - Dough Production Area]])*1000</f>
        <v>276.99999999998681</v>
      </c>
      <c r="DP46">
        <f>(BR47-Table2[[#This Row],[3F3 - PDB 4 - Dough Area]])*1000</f>
        <v>155.99999999997749</v>
      </c>
      <c r="DQ46">
        <f>AC47-Table2[[#This Row],[16F1 Tray washer Panel for Light]]</f>
        <v>677.27999999979511</v>
      </c>
      <c r="DR46">
        <f>CQ47-Table2[[#This Row],[2F1 Tray Washer - 1]]</f>
        <v>1414.0800000000745</v>
      </c>
      <c r="DS46">
        <f>CS47-Table2[[#This Row],[2F5 Destacker]]</f>
        <v>248.60800000000745</v>
      </c>
      <c r="DT46">
        <f>CU47-Table2[[#This Row],[5F1 Metering (TW-2)]]</f>
        <v>400.29399999999441</v>
      </c>
      <c r="DU46">
        <f>CV47-Table2[[#This Row],[6F1 Pre soaker Tray washer]]</f>
        <v>31.555199999998877</v>
      </c>
      <c r="DV46">
        <f>CZ47-Table2[[#This Row],[6F5 Vent tray Storage]]</f>
        <v>76.207999999984168</v>
      </c>
      <c r="DW46">
        <f>I47-Table2[[#This Row],[Popeyes Meter ]]</f>
        <v>60.110000000000582</v>
      </c>
      <c r="DX46">
        <f>AZ47-Table2[[#This Row],[2F WH Chiller, Segregation Area]]</f>
        <v>0</v>
      </c>
      <c r="DY46">
        <f>BA47-Table2[[#This Row],[3F1 AC Unit WH dock cooling - 2 Nos]]</f>
        <v>27</v>
      </c>
      <c r="DZ46">
        <f>BB47-Table2[[#This Row],[3F2 AC Unit WH dock cooling - 3 Nos]]</f>
        <v>4.8999999999999488E-2</v>
      </c>
      <c r="EA46">
        <f>(BK47-Table2[[#This Row],[5F WH Perishable]])*1000</f>
        <v>282.00000000003911</v>
      </c>
      <c r="EB46">
        <f>BN47-Table2[[#This Row],[2F3 - PDB 9 - WH Dock Leveler Door ]]</f>
        <v>2.2263999999995576</v>
      </c>
      <c r="EC46">
        <f>BP47-Table2[[#This Row],[3F1 - PDB 5 - WH HSD]]</f>
        <v>99.232000000018161</v>
      </c>
      <c r="ED46">
        <f>BX47-Table2[[#This Row],[8F1 WH Dock AHU - Ventilation]]</f>
        <v>2274.3200000000652</v>
      </c>
      <c r="EE46">
        <f>BZ47-Table2[[#This Row],[8F3 ACPDB - 4 WH Dock air curtain]]</f>
        <v>29.255999999993946</v>
      </c>
      <c r="EF46">
        <f>CA47-Table2[[#This Row],[8F4 WH Light]]</f>
        <v>0</v>
      </c>
      <c r="EG46">
        <f>CC47-Table2[[#This Row],[9F1 - PDB 10 - WH Dock door &amp; Office]]</f>
        <v>132.68799999999464</v>
      </c>
      <c r="EH46">
        <f>CD47-Table2[[#This Row],[9F2 - PDB 11 - WH flycatchers]]</f>
        <v>216.76799999998184</v>
      </c>
      <c r="EI46">
        <f>CE47-Table2[[#This Row],[9F3 - PDB 12 - Other items]]</f>
        <v>4.438399999999092</v>
      </c>
      <c r="EJ46">
        <f>CR47-Table2[[#This Row],[2F3 - PDB 1 - Dock 1 to 4 ]]</f>
        <v>66.015999999974156</v>
      </c>
      <c r="EK46">
        <f>BM47-Table2[[#This Row],[2F2 - PDB 3 - WH Truck &amp; Battery Charging]]</f>
        <v>351.93600000004517</v>
      </c>
      <c r="EL46">
        <f>(CK47-Table2[[#This Row],[PDB - 11 Truck Charging]])*1000</f>
        <v>46.999999999997044</v>
      </c>
      <c r="EM46">
        <f>P47-Table2[[#This Row],[5F3 Admin Area]]</f>
        <v>387.07199999992736</v>
      </c>
      <c r="EN46">
        <f>AH47-Table2[[#This Row],[2F5 Main Gate-1 Piller -1]]</f>
        <v>111.01600000000326</v>
      </c>
      <c r="EO46">
        <f>CW47-Table2[[#This Row],[6F2 Ground Floor AC]]</f>
        <v>29.024000000004889</v>
      </c>
      <c r="EP46">
        <f>CX47-Table2[[#This Row],[6F3 ACBD -1 (First floor AC)]]</f>
        <v>0</v>
      </c>
      <c r="EQ46">
        <f>CY47-Table2[[#This Row],[6F4 ACBD - 2 (Second &amp; Third floor AC)]]</f>
        <v>137.45600000000559</v>
      </c>
      <c r="ER46">
        <f>(BC47-Table2[[#This Row],[4F Old BMC cooling Unit]])</f>
        <v>0.84799999999813735</v>
      </c>
      <c r="ES46">
        <f>BO47-Table2[[#This Row],[2F4 - Old BMC]]</f>
        <v>0</v>
      </c>
      <c r="ET46">
        <f>Y47-Table2[[#This Row],[14F2 New CK]]</f>
        <v>1559.5200000000186</v>
      </c>
      <c r="EU46">
        <f>(CL47-Table2[[#This Row],[OLD Ck Panel-1]])*1000</f>
        <v>658.99999999999181</v>
      </c>
      <c r="EV46">
        <f>CM47-Table2[[#This Row],[2F4 Old CK Blast (Blue star)]]</f>
        <v>0</v>
      </c>
      <c r="EW46">
        <f>CN47-Table2[[#This Row],[3F6 Old CK Blast (Carrier)]]</f>
        <v>535.5</v>
      </c>
      <c r="EX46">
        <f>(CO47-Table2[[#This Row],[Old CK Panel -2]])*1000</f>
        <v>1066.0000000000309</v>
      </c>
      <c r="EY46">
        <f>N47-Table2[[#This Row],[4F1 Main UPS 1/C -1]]</f>
        <v>924.80000000004657</v>
      </c>
      <c r="EZ46">
        <f>Z47-Table2[[#This Row],[15F1 Main UPS Panel - I/C - 2]]</f>
        <v>0</v>
      </c>
      <c r="FA46">
        <f>BF47-Table2[[#This Row],[2F CLC -1 AC unit - 2]]</f>
        <v>0</v>
      </c>
      <c r="FB46">
        <f>(BG47-Table2[[#This Row],[2F CLC Anti room]])*1000</f>
        <v>34.000000000006025</v>
      </c>
      <c r="FC46">
        <f>BW47-Table2[[#This Row],[7F3 CLC Power Panel]]</f>
        <v>217.08799999998882</v>
      </c>
      <c r="FD46">
        <f>(CI47-Table2[[#This Row],[PDB - 17 CLC Section ]])*1000</f>
        <v>157.99999999998704</v>
      </c>
      <c r="FE46">
        <f>(W47-Table2[[#This Row],[13F3 Water &amp; Lift Old CK]])*1000</f>
        <v>573.49999999996726</v>
      </c>
      <c r="FF46">
        <f>AA47-Table2[[#This Row],[15F2 New ETP Panel]]</f>
        <v>258.30400000000373</v>
      </c>
      <c r="FG46">
        <f>AL47-Table2[[#This Row],[3F4 Old ETP Panel]]</f>
        <v>71.743999999947846</v>
      </c>
      <c r="FH46">
        <f>AF47-Table2[[#This Row],[2F1 RO Plant]]</f>
        <v>591.80799999996088</v>
      </c>
      <c r="FI46">
        <f>AK47-Table2[[#This Row],[3F3 Fire Hydrant Panel]]</f>
        <v>10.263999999995576</v>
      </c>
      <c r="FJ46">
        <f>R47-Table2[[#This Row],[7F1 Freon System Panel]]</f>
        <v>5464.320000000298</v>
      </c>
      <c r="FK46">
        <f>(AE47-Table2[[#This Row],[21F1 Refrigeration Ammonia]])*1000</f>
        <v>7925.600000000486</v>
      </c>
      <c r="FL46">
        <f>(AG47-Table2[[#This Row],[2F3 Air Compressor]])*1000</f>
        <v>1280.9999999999491</v>
      </c>
      <c r="FM46">
        <f>(AX47-Table2[[#This Row],[Solar Reading Panel II]])*1000</f>
        <v>1703.0000000004293</v>
      </c>
      <c r="FN46">
        <f>AI47-Table2[[#This Row],[3F1 Maintenance Workshop]]</f>
        <v>6.7648000000008324</v>
      </c>
      <c r="FO46">
        <f>BD47-Table2[[#This Row],[4F B2B unit ]]</f>
        <v>37.024000000033993</v>
      </c>
      <c r="FP46">
        <f>BL47-Table2[[#This Row],[2F1 - PDB 6 - Bread, B2B section]]</f>
        <v>174.29119999999239</v>
      </c>
      <c r="FQ46">
        <f>(CG47-Table2[[#This Row],[9F5 - PDB 14 - Bread Lift]])</f>
        <v>3.5520000000251457</v>
      </c>
      <c r="FR46">
        <f>CJ47-Table2[[#This Row],[PDB - 16 Bread Section]]</f>
        <v>0</v>
      </c>
      <c r="FS46">
        <f>BU47-Table2[[#This Row],[7F1 Donut Production area]]</f>
        <v>233.92000000004191</v>
      </c>
      <c r="FT46">
        <f>CB47-Table2[[#This Row],[8F5 Donut Ban Bary]]</f>
        <v>48.855999999999767</v>
      </c>
      <c r="FU46">
        <f>CF47-Table2[[#This Row],[9F4 - PDB 13 - Donut Sink Geyser area]]</f>
        <v>25.423999999999069</v>
      </c>
      <c r="FV46">
        <f>BV47-Table2[[#This Row],[7F2 Flour Silo]]</f>
        <v>463.35999999998603</v>
      </c>
      <c r="FW46">
        <f>BY47-Table2[[#This Row],[8F2 ACPDB - 3 SILO Ventilation]]</f>
        <v>42.543999999994412</v>
      </c>
      <c r="FX46">
        <f>J47-Table2[[#This Row],[DG 1010KVA Running Hours]]</f>
        <v>0</v>
      </c>
      <c r="FY46">
        <f>K47-Table2[[#This Row],[DG 1010 KVA Meter Reading]]</f>
        <v>0</v>
      </c>
      <c r="FZ46">
        <f>L47-Table2[[#This Row],[GG 1010 KVA Running Hours]]</f>
        <v>0</v>
      </c>
      <c r="GA46">
        <f>M47-Table2[[#This Row],[GG 1010 KVA Meter Reading]]</f>
        <v>0</v>
      </c>
    </row>
    <row r="47" spans="1:183" x14ac:dyDescent="0.35">
      <c r="A47" s="1">
        <v>57</v>
      </c>
      <c r="B47" s="2">
        <v>46245.406956018516</v>
      </c>
      <c r="C47" s="2">
        <v>46245.445868055554</v>
      </c>
      <c r="D47" s="1" t="s">
        <v>111</v>
      </c>
      <c r="E47" s="1"/>
      <c r="F47" s="1"/>
      <c r="G47" s="3">
        <v>46245</v>
      </c>
      <c r="H47" s="1" t="s">
        <v>186</v>
      </c>
      <c r="I47" s="6">
        <v>7034.2120000000004</v>
      </c>
      <c r="J47" s="6">
        <v>4276.3</v>
      </c>
      <c r="K47" s="6">
        <v>1777570</v>
      </c>
      <c r="L47" s="6">
        <v>456</v>
      </c>
      <c r="M47" s="6">
        <v>191.81</v>
      </c>
      <c r="N47" s="6">
        <v>1875347.2</v>
      </c>
      <c r="O47" s="6">
        <v>4612337.5999999996</v>
      </c>
      <c r="P47" s="6">
        <v>648575.87199999997</v>
      </c>
      <c r="Q47" s="6">
        <v>8110879.3600000003</v>
      </c>
      <c r="R47" s="6">
        <v>5580991.3600000003</v>
      </c>
      <c r="S47" s="6">
        <v>7386571.5199999996</v>
      </c>
      <c r="T47" s="6">
        <v>43294685.538999997</v>
      </c>
      <c r="U47" s="6">
        <v>2111687.52</v>
      </c>
      <c r="V47" s="6">
        <v>5129127.3600000003</v>
      </c>
      <c r="W47" s="6">
        <v>1597.2561000000001</v>
      </c>
      <c r="X47" s="6">
        <v>775913.66399999999</v>
      </c>
      <c r="Y47" s="6">
        <v>1101993.28</v>
      </c>
      <c r="Z47" s="6">
        <v>2777.8894</v>
      </c>
      <c r="AA47" s="6">
        <v>670629.88800000004</v>
      </c>
      <c r="AB47" s="6">
        <v>421364.09600000002</v>
      </c>
      <c r="AC47" s="6">
        <v>2144415.52</v>
      </c>
      <c r="AD47" s="6">
        <v>4130104.4389999998</v>
      </c>
      <c r="AE47" s="6">
        <v>12855.779200000001</v>
      </c>
      <c r="AF47" s="6">
        <v>879474.88</v>
      </c>
      <c r="AG47" s="6">
        <v>1408.299</v>
      </c>
      <c r="AH47" s="6">
        <v>134165.592</v>
      </c>
      <c r="AI47" s="6">
        <v>14667.1088</v>
      </c>
      <c r="AJ47" s="6">
        <v>145380.03200000001</v>
      </c>
      <c r="AK47" s="6">
        <v>105326.18399999999</v>
      </c>
      <c r="AL47" s="6">
        <v>331126.43199999997</v>
      </c>
      <c r="AM47" s="6">
        <v>995.93600000000004</v>
      </c>
      <c r="AN47" s="6">
        <v>284.8</v>
      </c>
      <c r="AO47" s="6">
        <v>7</v>
      </c>
      <c r="AP47" s="6">
        <v>529181</v>
      </c>
      <c r="AQ47" s="6">
        <v>42430</v>
      </c>
      <c r="AR47" s="6">
        <v>41885</v>
      </c>
      <c r="AS47" s="6">
        <v>32390</v>
      </c>
      <c r="AT47" s="6">
        <v>22106</v>
      </c>
      <c r="AU47" s="6">
        <v>15813</v>
      </c>
      <c r="AV47" s="6">
        <v>6534</v>
      </c>
      <c r="AW47" s="6">
        <v>20.972818</v>
      </c>
      <c r="AX47" s="6">
        <v>7255.6970000000001</v>
      </c>
      <c r="AY47" s="6">
        <v>680.00152000000003</v>
      </c>
      <c r="AZ47" s="6">
        <v>20.788</v>
      </c>
      <c r="BA47" s="6">
        <v>10541</v>
      </c>
      <c r="BB47" s="6">
        <v>45.125</v>
      </c>
      <c r="BC47" s="6">
        <v>113990</v>
      </c>
      <c r="BD47" s="6">
        <v>276393.76</v>
      </c>
      <c r="BE47" s="6">
        <v>3735.9088000000002</v>
      </c>
      <c r="BF47" s="6">
        <v>1712.0419999999999</v>
      </c>
      <c r="BG47" s="6">
        <v>75.283000000000001</v>
      </c>
      <c r="BH47" s="6">
        <v>367.822</v>
      </c>
      <c r="BI47" s="6">
        <v>919.91800000000001</v>
      </c>
      <c r="BJ47" s="6">
        <v>15.097</v>
      </c>
      <c r="BK47" s="6">
        <v>566.48400000000004</v>
      </c>
      <c r="BL47" s="6">
        <v>74076.991999999998</v>
      </c>
      <c r="BM47" s="6">
        <v>312468.96000000002</v>
      </c>
      <c r="BN47" s="6">
        <v>7214.1127999999999</v>
      </c>
      <c r="BO47" s="6">
        <v>53589.132799999999</v>
      </c>
      <c r="BP47" s="6">
        <v>315264.60800000001</v>
      </c>
      <c r="BQ47" s="6">
        <v>327.209</v>
      </c>
      <c r="BR47" s="6">
        <v>182.23</v>
      </c>
      <c r="BS47" s="6">
        <v>1020775.7169999999</v>
      </c>
      <c r="BT47" s="6">
        <v>1400621.5379999999</v>
      </c>
      <c r="BU47" s="6">
        <v>631016.12800000003</v>
      </c>
      <c r="BV47" s="6">
        <v>1027133.52</v>
      </c>
      <c r="BW47" s="6">
        <v>570691.64800000004</v>
      </c>
      <c r="BX47" s="6">
        <v>1017087.28</v>
      </c>
      <c r="BY47" s="6">
        <v>158163.50399999999</v>
      </c>
      <c r="BZ47" s="6">
        <v>114493.424</v>
      </c>
      <c r="CA47" s="6">
        <v>1244.3607999999999</v>
      </c>
      <c r="CB47" s="6">
        <v>109124.736</v>
      </c>
      <c r="CC47" s="6">
        <v>151836.07999999999</v>
      </c>
      <c r="CD47" s="6">
        <v>448240.8</v>
      </c>
      <c r="CE47" s="6">
        <v>49131.7664</v>
      </c>
      <c r="CF47" s="6">
        <v>156164.75200000001</v>
      </c>
      <c r="CG47" s="6">
        <v>360903.84</v>
      </c>
      <c r="CH47" s="6">
        <v>2385.8710000000001</v>
      </c>
      <c r="CI47" s="6">
        <v>215.87899999999999</v>
      </c>
      <c r="CJ47" s="6">
        <v>1191.5999999999999</v>
      </c>
      <c r="CK47" s="6">
        <v>78.524000000000001</v>
      </c>
      <c r="CL47" s="6">
        <v>738.63900000000001</v>
      </c>
      <c r="CM47" s="6">
        <v>551.4</v>
      </c>
      <c r="CN47" s="6">
        <v>48701.599999999999</v>
      </c>
      <c r="CO47" s="6">
        <v>1658.682</v>
      </c>
      <c r="CP47" s="6">
        <v>295663.57299999997</v>
      </c>
      <c r="CQ47" s="6">
        <v>3696504.64</v>
      </c>
      <c r="CR47" s="6">
        <v>131885.07999999999</v>
      </c>
      <c r="CS47" s="6">
        <v>517032.03200000001</v>
      </c>
      <c r="CT47" s="6">
        <v>2959431.3459999999</v>
      </c>
      <c r="CU47" s="6">
        <v>301149.87300000002</v>
      </c>
      <c r="CV47" s="6">
        <v>30176.924800000001</v>
      </c>
      <c r="CW47" s="6">
        <v>63115.667200000004</v>
      </c>
      <c r="CX47" s="6">
        <v>33466.092799999999</v>
      </c>
      <c r="CY47" s="6">
        <v>169077.39199999999</v>
      </c>
      <c r="CZ47" s="6">
        <v>218587.96799999999</v>
      </c>
      <c r="DA47" s="6">
        <v>19203.84</v>
      </c>
      <c r="DB47" s="6">
        <v>151196.318</v>
      </c>
      <c r="DC47" s="6">
        <v>3086.48</v>
      </c>
      <c r="DD47" s="6">
        <v>3086.35</v>
      </c>
      <c r="DE47" s="6">
        <v>3114.91</v>
      </c>
      <c r="DF47" s="6">
        <v>0.97899999999999998</v>
      </c>
      <c r="DG47" s="1" t="s">
        <v>283</v>
      </c>
      <c r="DH47" s="4">
        <f>Table2[[#This Row],[Date]]</f>
        <v>46245</v>
      </c>
      <c r="DI47">
        <f>(DD48-Table2[[#This Row],[MWH Total]])*4000</f>
        <v>28680.000000000291</v>
      </c>
      <c r="DJ47">
        <f>(DA48-Table2[[#This Row],[PNG Meter (Outside)]])*2.936</f>
        <v>9.5713599999953001</v>
      </c>
      <c r="DK47">
        <f>(DB48-Table2[[#This Row],[PNG Meter (Inside)]])*2.936</f>
        <v>413.26255200003624</v>
      </c>
      <c r="DL47">
        <f>(BH48-Table2[[#This Row],[3F Dough cooler - 2 ]])*1000</f>
        <v>449.00000000001228</v>
      </c>
      <c r="DM47" s="1">
        <f>(BI48-Table2[[#This Row],[3F Dough Cooler- 1]])*1000</f>
        <v>72.999999999979082</v>
      </c>
      <c r="DN47">
        <f>(BJ48-Table2[[#This Row],[4F Dough Production cooling Unit]])*1000</f>
        <v>54.00000000000027</v>
      </c>
      <c r="DO47">
        <f>(BQ48-Table2[[#This Row],[3F2 - PDB 3 - Dough Production Area]])*1000</f>
        <v>264.00000000001</v>
      </c>
      <c r="DP47">
        <f>(BR48-Table2[[#This Row],[3F3 - PDB 4 - Dough Area]])*1000</f>
        <v>159.00000000002024</v>
      </c>
      <c r="DQ47">
        <f>AC48-Table2[[#This Row],[16F1 Tray washer Panel for Light]]</f>
        <v>674.72000000020489</v>
      </c>
      <c r="DR47">
        <f>CQ48-Table2[[#This Row],[2F1 Tray Washer - 1]]</f>
        <v>1389.4399999999441</v>
      </c>
      <c r="DS47">
        <f>CS48-Table2[[#This Row],[2F5 Destacker]]</f>
        <v>364.99199999996927</v>
      </c>
      <c r="DT47">
        <f>CU48-Table2[[#This Row],[5F1 Metering (TW-2)]]</f>
        <v>284.91899999999441</v>
      </c>
      <c r="DU47">
        <f>CV48-Table2[[#This Row],[6F1 Pre soaker Tray washer]]</f>
        <v>3.0527999999976601</v>
      </c>
      <c r="DV47">
        <f>CZ48-Table2[[#This Row],[6F5 Vent tray Storage]]</f>
        <v>82.096000000019558</v>
      </c>
      <c r="DW47">
        <f>I48-Table2[[#This Row],[Popeyes Meter ]]</f>
        <v>15.149999999999636</v>
      </c>
      <c r="DX47">
        <f>AZ48-Table2[[#This Row],[2F WH Chiller, Segregation Area]]</f>
        <v>0</v>
      </c>
      <c r="DY47" s="1">
        <f>BA48-Table2[[#This Row],[3F1 AC Unit WH dock cooling - 2 Nos]]</f>
        <v>29</v>
      </c>
      <c r="DZ47">
        <f>BB48-Table2[[#This Row],[3F2 AC Unit WH dock cooling - 3 Nos]]</f>
        <v>4.2999999999999261E-2</v>
      </c>
      <c r="EA47">
        <f>(BK48-Table2[[#This Row],[5F WH Perishable]])*1000</f>
        <v>288.00000000001091</v>
      </c>
      <c r="EB47">
        <f>BN48-Table2[[#This Row],[2F3 - PDB 9 - WH Dock Leveler Door ]]</f>
        <v>2.2615999999998166</v>
      </c>
      <c r="EC47">
        <f>BP48-Table2[[#This Row],[3F1 - PDB 5 - WH HSD]]</f>
        <v>108.96000000002095</v>
      </c>
      <c r="ED47">
        <f>BX48-Table2[[#This Row],[8F1 WH Dock AHU - Ventilation]]</f>
        <v>2325.1999999999534</v>
      </c>
      <c r="EE47">
        <f>BZ48-Table2[[#This Row],[8F3 ACPDB - 4 WH Dock air curtain]]</f>
        <v>28.872000000003027</v>
      </c>
      <c r="EF47">
        <f>CA48-Table2[[#This Row],[8F4 WH Light]]</f>
        <v>0</v>
      </c>
      <c r="EG47">
        <f>CC48-Table2[[#This Row],[9F1 - PDB 10 - WH Dock door &amp; Office]]</f>
        <v>141.61600000000908</v>
      </c>
      <c r="EH47">
        <f>CD48-Table2[[#This Row],[9F2 - PDB 11 - WH flycatchers]]</f>
        <v>189.24800000002142</v>
      </c>
      <c r="EI47">
        <f>CE48-Table2[[#This Row],[9F3 - PDB 12 - Other items]]</f>
        <v>1.5904000000009546</v>
      </c>
      <c r="EJ47">
        <f>CR48-Table2[[#This Row],[2F3 - PDB 1 - Dock 1 to 4 ]]</f>
        <v>59.312000000005355</v>
      </c>
      <c r="EK47">
        <f>BM48-Table2[[#This Row],[2F2 - PDB 3 - WH Truck &amp; Battery Charging]]</f>
        <v>585.63199999998324</v>
      </c>
      <c r="EL47">
        <f>(CK48-Table2[[#This Row],[PDB - 11 Truck Charging]])*1000</f>
        <v>28.999999999996362</v>
      </c>
      <c r="EM47">
        <f>P48-Table2[[#This Row],[5F3 Admin Area]]</f>
        <v>370.56000000005588</v>
      </c>
      <c r="EN47">
        <f>AH48-Table2[[#This Row],[2F5 Main Gate-1 Piller -1]]</f>
        <v>108.67999999999302</v>
      </c>
      <c r="EO47">
        <f>CW48-Table2[[#This Row],[6F2 Ground Floor AC]]</f>
        <v>32.627199999995355</v>
      </c>
      <c r="EP47">
        <f>CX48-Table2[[#This Row],[6F3 ACBD -1 (First floor AC)]]</f>
        <v>0</v>
      </c>
      <c r="EQ47">
        <f>CY48-Table2[[#This Row],[6F4 ACBD - 2 (Second &amp; Third floor AC)]]</f>
        <v>127.26399999999558</v>
      </c>
      <c r="ER47">
        <f>(BC48-Table2[[#This Row],[4F Old BMC cooling Unit]])</f>
        <v>0</v>
      </c>
      <c r="ES47">
        <f>BO48-Table2[[#This Row],[2F4 - Old BMC]]</f>
        <v>0</v>
      </c>
      <c r="ET47">
        <f>Y48-Table2[[#This Row],[14F2 New CK]]</f>
        <v>1219.3599999998696</v>
      </c>
      <c r="EU47">
        <f>(CL48-Table2[[#This Row],[OLD Ck Panel-1]])*1000</f>
        <v>644.99999999998181</v>
      </c>
      <c r="EV47">
        <f>CM48-Table2[[#This Row],[2F4 Old CK Blast (Blue star)]]</f>
        <v>0</v>
      </c>
      <c r="EW47">
        <f>CN48-Table2[[#This Row],[3F6 Old CK Blast (Carrier)]]</f>
        <v>580.80000000000291</v>
      </c>
      <c r="EX47">
        <f>(CO48-Table2[[#This Row],[Old CK Panel -2]])*1000</f>
        <v>966.99999999987085</v>
      </c>
      <c r="EY47">
        <f>N48-Table2[[#This Row],[4F1 Main UPS 1/C -1]]</f>
        <v>967.36000000010245</v>
      </c>
      <c r="EZ47">
        <f>Z48-Table2[[#This Row],[15F1 Main UPS Panel - I/C - 2]]</f>
        <v>0</v>
      </c>
      <c r="FA47">
        <f>BF48-Table2[[#This Row],[2F CLC -1 AC unit - 2]]</f>
        <v>0</v>
      </c>
      <c r="FB47">
        <f>(BG48-Table2[[#This Row],[2F CLC Anti room]])*1000</f>
        <v>33.999999999991815</v>
      </c>
      <c r="FC47">
        <f>BW48-Table2[[#This Row],[7F3 CLC Power Panel]]</f>
        <v>284.92799999995623</v>
      </c>
      <c r="FD47">
        <f>(CI48-Table2[[#This Row],[PDB - 17 CLC Section ]])*1000</f>
        <v>183.9999999999975</v>
      </c>
      <c r="FE47">
        <f>(W48-Table2[[#This Row],[13F3 Water &amp; Lift Old CK]])*1000</f>
        <v>610.79999999992651</v>
      </c>
      <c r="FF47">
        <f>AA48-Table2[[#This Row],[15F2 New ETP Panel]]</f>
        <v>282.6239999999525</v>
      </c>
      <c r="FG47">
        <f>AL48-Table2[[#This Row],[3F4 Old ETP Panel]]</f>
        <v>58.432000000029802</v>
      </c>
      <c r="FH47">
        <f>AF48-Table2[[#This Row],[2F1 RO Plant]]</f>
        <v>630.71999999997206</v>
      </c>
      <c r="FI47">
        <f>AK48-Table2[[#This Row],[3F3 Fire Hydrant Panel]]</f>
        <v>8.3680000000022119</v>
      </c>
      <c r="FJ47">
        <f>R48-Table2[[#This Row],[7F1 Freon System Panel]]</f>
        <v>5614.0800000000745</v>
      </c>
      <c r="FK47">
        <f>(AE48-Table2[[#This Row],[21F1 Refrigeration Ammonia]])*1000</f>
        <v>7937.5999999992928</v>
      </c>
      <c r="FL47">
        <f>(AG48-Table2[[#This Row],[2F3 Air Compressor]])*1000</f>
        <v>1357.9999999999472</v>
      </c>
      <c r="FM47">
        <f>(AX48-Table2[[#This Row],[Solar Reading Panel II]])*1000</f>
        <v>1823.0000000003201</v>
      </c>
      <c r="FN47">
        <f>AI48-Table2[[#This Row],[3F1 Maintenance Workshop]]</f>
        <v>4.5807999999997264</v>
      </c>
      <c r="FO47">
        <f>BD48-Table2[[#This Row],[4F B2B unit ]]</f>
        <v>79.232000000018161</v>
      </c>
      <c r="FP47">
        <f>BL48-Table2[[#This Row],[2F1 - PDB 6 - Bread, B2B section]]</f>
        <v>301.03040000000328</v>
      </c>
      <c r="FQ47">
        <f>(CG48-Table2[[#This Row],[9F5 - PDB 14 - Bread Lift]])</f>
        <v>4.5119999999878928</v>
      </c>
      <c r="FR47">
        <f>CJ48-Table2[[#This Row],[PDB - 16 Bread Section]]</f>
        <v>0</v>
      </c>
      <c r="FS47">
        <f>BU48-Table2[[#This Row],[7F1 Donut Production area]]</f>
        <v>187.19999999995343</v>
      </c>
      <c r="FT47">
        <f>CB48-Table2[[#This Row],[8F5 Donut Ban Bary]]</f>
        <v>43.063999999998487</v>
      </c>
      <c r="FU47">
        <f>CF48-Table2[[#This Row],[9F4 - PDB 13 - Donut Sink Geyser area]]</f>
        <v>17.135999999998603</v>
      </c>
      <c r="FV47">
        <f>BV48-Table2[[#This Row],[7F2 Flour Silo]]</f>
        <v>707.43999999994412</v>
      </c>
      <c r="FW47">
        <f>BY48-Table2[[#This Row],[8F2 ACPDB - 3 SILO Ventilation]]</f>
        <v>43.216000000014901</v>
      </c>
      <c r="FX47">
        <f>J48-Table2[[#This Row],[DG 1010KVA Running Hours]]</f>
        <v>0</v>
      </c>
      <c r="FY47">
        <f>K48-Table2[[#This Row],[DG 1010 KVA Meter Reading]]</f>
        <v>0</v>
      </c>
      <c r="FZ47">
        <f>L48-Table2[[#This Row],[GG 1010 KVA Running Hours]]</f>
        <v>0</v>
      </c>
      <c r="GA47">
        <f>M48-Table2[[#This Row],[GG 1010 KVA Meter Reading]]</f>
        <v>0</v>
      </c>
    </row>
    <row r="48" spans="1:183" x14ac:dyDescent="0.35">
      <c r="A48" s="1">
        <v>58</v>
      </c>
      <c r="B48" s="2">
        <v>46246.402407407404</v>
      </c>
      <c r="C48" s="2">
        <v>46246.444722222222</v>
      </c>
      <c r="D48" s="1" t="s">
        <v>111</v>
      </c>
      <c r="E48" s="1"/>
      <c r="F48" s="1"/>
      <c r="G48" s="3">
        <v>46246</v>
      </c>
      <c r="H48" s="1" t="s">
        <v>186</v>
      </c>
      <c r="I48" s="6">
        <v>7049.3620000000001</v>
      </c>
      <c r="J48" s="6">
        <v>4276.3</v>
      </c>
      <c r="K48" s="6">
        <v>1777570</v>
      </c>
      <c r="L48" s="6">
        <v>456</v>
      </c>
      <c r="M48" s="6">
        <v>191.81</v>
      </c>
      <c r="N48" s="6">
        <v>1876314.56</v>
      </c>
      <c r="O48" s="6">
        <v>4614384</v>
      </c>
      <c r="P48" s="6">
        <v>648946.43200000003</v>
      </c>
      <c r="Q48" s="6">
        <v>8113030.4000000004</v>
      </c>
      <c r="R48" s="6">
        <v>5586605.4400000004</v>
      </c>
      <c r="S48" s="6">
        <v>7390101.1200000001</v>
      </c>
      <c r="T48" s="6">
        <v>43309149.952</v>
      </c>
      <c r="U48" s="6">
        <v>2113273.2799999998</v>
      </c>
      <c r="V48" s="6">
        <v>5130938.88</v>
      </c>
      <c r="W48" s="6">
        <v>1597.8669</v>
      </c>
      <c r="X48" s="6">
        <v>776199.36</v>
      </c>
      <c r="Y48" s="6">
        <v>1103212.6399999999</v>
      </c>
      <c r="Z48" s="6">
        <v>2777.8894</v>
      </c>
      <c r="AA48" s="6">
        <v>670912.51199999999</v>
      </c>
      <c r="AB48" s="6">
        <v>421376.06400000001</v>
      </c>
      <c r="AC48" s="6">
        <v>2145090.2400000002</v>
      </c>
      <c r="AD48" s="6">
        <v>4145955.2209999999</v>
      </c>
      <c r="AE48" s="6">
        <v>12863.7168</v>
      </c>
      <c r="AF48" s="6">
        <v>880105.6</v>
      </c>
      <c r="AG48" s="6">
        <v>1409.6569999999999</v>
      </c>
      <c r="AH48" s="6">
        <v>134274.272</v>
      </c>
      <c r="AI48" s="6">
        <v>14671.6896</v>
      </c>
      <c r="AJ48" s="6">
        <v>145380.03200000001</v>
      </c>
      <c r="AK48" s="6">
        <v>105334.552</v>
      </c>
      <c r="AL48" s="6">
        <v>331184.864</v>
      </c>
      <c r="AM48" s="6">
        <v>996.60799999999995</v>
      </c>
      <c r="AN48" s="6">
        <v>312.3</v>
      </c>
      <c r="AO48" s="6">
        <v>7.1</v>
      </c>
      <c r="AP48" s="6">
        <v>540361</v>
      </c>
      <c r="AQ48" s="6">
        <v>42454</v>
      </c>
      <c r="AR48" s="6">
        <v>41909</v>
      </c>
      <c r="AS48" s="6">
        <v>32390</v>
      </c>
      <c r="AT48" s="6">
        <v>22106</v>
      </c>
      <c r="AU48" s="6">
        <v>15837</v>
      </c>
      <c r="AV48" s="6">
        <v>6549</v>
      </c>
      <c r="AW48" s="6">
        <v>20.980551999999999</v>
      </c>
      <c r="AX48" s="6">
        <v>7257.52</v>
      </c>
      <c r="AY48" s="6">
        <v>680.17376000000002</v>
      </c>
      <c r="AZ48" s="6">
        <v>20.788</v>
      </c>
      <c r="BA48" s="6">
        <v>10570</v>
      </c>
      <c r="BB48" s="6">
        <v>45.167999999999999</v>
      </c>
      <c r="BC48" s="6">
        <v>113990</v>
      </c>
      <c r="BD48" s="6">
        <v>276472.99200000003</v>
      </c>
      <c r="BE48" s="6">
        <v>3737.2636000000002</v>
      </c>
      <c r="BF48" s="6">
        <v>1712.0419999999999</v>
      </c>
      <c r="BG48" s="6">
        <v>75.316999999999993</v>
      </c>
      <c r="BH48" s="6">
        <v>368.27100000000002</v>
      </c>
      <c r="BI48" s="6">
        <v>919.99099999999999</v>
      </c>
      <c r="BJ48" s="6">
        <v>15.151</v>
      </c>
      <c r="BK48" s="6">
        <v>566.77200000000005</v>
      </c>
      <c r="BL48" s="6">
        <v>74378.022400000002</v>
      </c>
      <c r="BM48" s="6">
        <v>313054.592</v>
      </c>
      <c r="BN48" s="6">
        <v>7216.3743999999997</v>
      </c>
      <c r="BO48" s="6">
        <v>53589.132799999999</v>
      </c>
      <c r="BP48" s="6">
        <v>315373.56800000003</v>
      </c>
      <c r="BQ48" s="6">
        <v>327.47300000000001</v>
      </c>
      <c r="BR48" s="6">
        <v>182.38900000000001</v>
      </c>
      <c r="BS48" s="6">
        <v>1022338.2610000001</v>
      </c>
      <c r="BT48" s="6">
        <v>1400621.5390000001</v>
      </c>
      <c r="BU48" s="6">
        <v>631203.32799999998</v>
      </c>
      <c r="BV48" s="6">
        <v>1027840.96</v>
      </c>
      <c r="BW48" s="6">
        <v>570976.576</v>
      </c>
      <c r="BX48" s="6">
        <v>1019412.48</v>
      </c>
      <c r="BY48" s="6">
        <v>158206.72</v>
      </c>
      <c r="BZ48" s="6">
        <v>114522.296</v>
      </c>
      <c r="CA48" s="6">
        <v>1244.3607999999999</v>
      </c>
      <c r="CB48" s="6">
        <v>109167.8</v>
      </c>
      <c r="CC48" s="6">
        <v>151977.696</v>
      </c>
      <c r="CD48" s="6">
        <v>448430.04800000001</v>
      </c>
      <c r="CE48" s="6">
        <v>49133.356800000001</v>
      </c>
      <c r="CF48" s="6">
        <v>156181.88800000001</v>
      </c>
      <c r="CG48" s="6">
        <v>360908.35200000001</v>
      </c>
      <c r="CH48" s="6">
        <v>2385.8710000000001</v>
      </c>
      <c r="CI48" s="6">
        <v>216.06299999999999</v>
      </c>
      <c r="CJ48" s="6">
        <v>1191.5999999999999</v>
      </c>
      <c r="CK48" s="6">
        <v>78.552999999999997</v>
      </c>
      <c r="CL48" s="6">
        <v>739.28399999999999</v>
      </c>
      <c r="CM48" s="6">
        <v>551.4</v>
      </c>
      <c r="CN48" s="6">
        <v>49282.400000000001</v>
      </c>
      <c r="CO48" s="6">
        <v>1659.6489999999999</v>
      </c>
      <c r="CP48" s="6">
        <v>295862.09600000002</v>
      </c>
      <c r="CQ48" s="6">
        <v>3697894.08</v>
      </c>
      <c r="CR48" s="6">
        <v>131944.39199999999</v>
      </c>
      <c r="CS48" s="6">
        <v>517397.02399999998</v>
      </c>
      <c r="CT48" s="6">
        <v>2963027.2</v>
      </c>
      <c r="CU48" s="6">
        <v>301434.79200000002</v>
      </c>
      <c r="CV48" s="6">
        <v>30179.977599999998</v>
      </c>
      <c r="CW48" s="6">
        <v>63148.294399999999</v>
      </c>
      <c r="CX48" s="6">
        <v>33466.092799999999</v>
      </c>
      <c r="CY48" s="6">
        <v>169204.65599999999</v>
      </c>
      <c r="CZ48" s="6">
        <v>218670.06400000001</v>
      </c>
      <c r="DA48" s="6">
        <v>19207.099999999999</v>
      </c>
      <c r="DB48" s="6">
        <v>151337.07500000001</v>
      </c>
      <c r="DC48" s="6">
        <v>3093.65</v>
      </c>
      <c r="DD48" s="6">
        <v>3093.52</v>
      </c>
      <c r="DE48" s="6">
        <v>3122.28</v>
      </c>
      <c r="DF48" s="6">
        <v>0.98899999999999999</v>
      </c>
      <c r="DG48" s="1" t="s">
        <v>242</v>
      </c>
      <c r="DH48" s="4">
        <f>Table2[[#This Row],[Date]]</f>
        <v>46246</v>
      </c>
      <c r="DI48">
        <f>(DD49-Table2[[#This Row],[MWH Total]])*4000</f>
        <v>27680.000000000291</v>
      </c>
      <c r="DJ48">
        <f>(DA49-Table2[[#This Row],[PNG Meter (Outside)]])*2.936</f>
        <v>11.479759999999573</v>
      </c>
      <c r="DK48">
        <f>(DB49-Table2[[#This Row],[PNG Meter (Inside)]])*2.936</f>
        <v>427.45517599995827</v>
      </c>
      <c r="DL48">
        <f>(BH49-Table2[[#This Row],[3F Dough cooler - 2 ]])*1000</f>
        <v>449.99999999998863</v>
      </c>
      <c r="DM48">
        <f>(BI49-Table2[[#This Row],[3F Dough Cooler- 1]])*1000</f>
        <v>96.000000000003638</v>
      </c>
      <c r="DN48">
        <f>(BJ49-Table2[[#This Row],[4F Dough Production cooling Unit]])*1000</f>
        <v>60.999999999999943</v>
      </c>
      <c r="DO48">
        <f>(BQ49-Table2[[#This Row],[3F2 - PDB 3 - Dough Production Area]])*1000</f>
        <v>293.99999999998272</v>
      </c>
      <c r="DP48">
        <f>(BR49-Table2[[#This Row],[3F3 - PDB 4 - Dough Area]])*1000</f>
        <v>170.99999999999227</v>
      </c>
      <c r="DQ48">
        <f>AC49-Table2[[#This Row],[16F1 Tray washer Panel for Light]]</f>
        <v>659.1999999997206</v>
      </c>
      <c r="DR48">
        <f>CQ49-Table2[[#This Row],[2F1 Tray Washer - 1]]</f>
        <v>1405.7599999997765</v>
      </c>
      <c r="DS48">
        <f>CS49-Table2[[#This Row],[2F5 Destacker]]</f>
        <v>382.4320000000298</v>
      </c>
      <c r="DT48">
        <f>CU49-Table2[[#This Row],[5F1 Metering (TW-2)]]</f>
        <v>289.1809999999823</v>
      </c>
      <c r="DU48">
        <f>CV49-Table2[[#This Row],[6F1 Pre soaker Tray washer]]</f>
        <v>3.6832000000031258</v>
      </c>
      <c r="DV48">
        <f>CZ49-Table2[[#This Row],[6F5 Vent tray Storage]]</f>
        <v>68.511999999987893</v>
      </c>
      <c r="DW48">
        <f>I49-Table2[[#This Row],[Popeyes Meter ]]</f>
        <v>58.109999999999673</v>
      </c>
      <c r="DX48">
        <f>AZ49-Table2[[#This Row],[2F WH Chiller, Segregation Area]]</f>
        <v>0</v>
      </c>
      <c r="DY48">
        <f>BA49-Table2[[#This Row],[3F1 AC Unit WH dock cooling - 2 Nos]]</f>
        <v>21</v>
      </c>
      <c r="DZ48">
        <f>BB49-Table2[[#This Row],[3F2 AC Unit WH dock cooling - 3 Nos]]</f>
        <v>4.5999999999999375E-2</v>
      </c>
      <c r="EA48">
        <f>(BK49-Table2[[#This Row],[5F WH Perishable]])*1000</f>
        <v>289.99999999996362</v>
      </c>
      <c r="EB48">
        <f>BN49-Table2[[#This Row],[2F3 - PDB 9 - WH Dock Leveler Door ]]</f>
        <v>2.3304000000007363</v>
      </c>
      <c r="EC48">
        <f>BP49-Table2[[#This Row],[3F1 - PDB 5 - WH HSD]]</f>
        <v>83.391999999992549</v>
      </c>
      <c r="ED48">
        <f>BX49-Table2[[#This Row],[8F1 WH Dock AHU - Ventilation]]</f>
        <v>2319.6800000000512</v>
      </c>
      <c r="EE48">
        <f>BZ49-Table2[[#This Row],[8F3 ACPDB - 4 WH Dock air curtain]]</f>
        <v>37.423999999999069</v>
      </c>
      <c r="EF48">
        <f>CA49-Table2[[#This Row],[8F4 WH Light]]</f>
        <v>0</v>
      </c>
      <c r="EG48">
        <f>CC49-Table2[[#This Row],[9F1 - PDB 10 - WH Dock door &amp; Office]]</f>
        <v>101.90400000000955</v>
      </c>
      <c r="EH48">
        <f>CD49-Table2[[#This Row],[9F2 - PDB 11 - WH flycatchers]]</f>
        <v>214.27199999999721</v>
      </c>
      <c r="EI48">
        <f>CE49-Table2[[#This Row],[9F3 - PDB 12 - Other items]]</f>
        <v>1.4752000000007683</v>
      </c>
      <c r="EJ48">
        <f>CR49-Table2[[#This Row],[2F3 - PDB 1 - Dock 1 to 4 ]]</f>
        <v>63.296000000002095</v>
      </c>
      <c r="EK48">
        <f>BM49-Table2[[#This Row],[2F2 - PDB 3 - WH Truck &amp; Battery Charging]]</f>
        <v>582.20799999998417</v>
      </c>
      <c r="EL48">
        <f>(CK49-Table2[[#This Row],[PDB - 11 Truck Charging]])*1000</f>
        <v>28.000000000005798</v>
      </c>
      <c r="EM48">
        <f>P49-Table2[[#This Row],[5F3 Admin Area]]</f>
        <v>389.43999999994412</v>
      </c>
      <c r="EN48">
        <f>AH49-Table2[[#This Row],[2F5 Main Gate-1 Piller -1]]</f>
        <v>115.95199999999022</v>
      </c>
      <c r="EO48">
        <f>CW49-Table2[[#This Row],[6F2 Ground Floor AC]]</f>
        <v>32.480000000003201</v>
      </c>
      <c r="EP48">
        <f>CX49-Table2[[#This Row],[6F3 ACBD -1 (First floor AC)]]</f>
        <v>0</v>
      </c>
      <c r="EQ48">
        <f>CY49-Table2[[#This Row],[6F4 ACBD - 2 (Second &amp; Third floor AC)]]</f>
        <v>144.01600000000326</v>
      </c>
      <c r="ER48">
        <f>(BC49-Table2[[#This Row],[4F Old BMC cooling Unit]])</f>
        <v>17.639999999999418</v>
      </c>
      <c r="ES48">
        <f>BO49-Table2[[#This Row],[2F4 - Old BMC]]</f>
        <v>0</v>
      </c>
      <c r="ET48">
        <f>Y49-Table2[[#This Row],[14F2 New CK]]</f>
        <v>1604.3200000000652</v>
      </c>
      <c r="EU48">
        <f>(CL49-Table2[[#This Row],[OLD Ck Panel-1]])*1000</f>
        <v>662.00000000003456</v>
      </c>
      <c r="EV48">
        <f>CM49-Table2[[#This Row],[2F4 Old CK Blast (Blue star)]]</f>
        <v>0</v>
      </c>
      <c r="EW48">
        <f>CN49-Table2[[#This Row],[3F6 Old CK Blast (Carrier)]]</f>
        <v>598.29999999999563</v>
      </c>
      <c r="EX48">
        <f>(CO49-Table2[[#This Row],[Old CK Panel -2]])*1000</f>
        <v>933.0000000002201</v>
      </c>
      <c r="EY48">
        <f>N49-Table2[[#This Row],[4F1 Main UPS 1/C -1]]</f>
        <v>993.76000000000931</v>
      </c>
      <c r="EZ48">
        <f>Z49-Table2[[#This Row],[15F1 Main UPS Panel - I/C - 2]]</f>
        <v>0</v>
      </c>
      <c r="FA48">
        <f>BF49-Table2[[#This Row],[2F CLC -1 AC unit - 2]]</f>
        <v>0</v>
      </c>
      <c r="FB48">
        <f>(BG49-Table2[[#This Row],[2F CLC Anti room]])*1000</f>
        <v>35.0000000000108</v>
      </c>
      <c r="FC48">
        <f>BW49-Table2[[#This Row],[7F3 CLC Power Panel]]</f>
        <v>221.50399999995716</v>
      </c>
      <c r="FD48">
        <f>(CI49-Table2[[#This Row],[PDB - 17 CLC Section ]])*1000</f>
        <v>142.00000000002433</v>
      </c>
      <c r="FE48">
        <f>(W49-Table2[[#This Row],[13F3 Water &amp; Lift Old CK]])*1000</f>
        <v>1305.2999999999884</v>
      </c>
      <c r="FF48">
        <f>AA49-Table2[[#This Row],[15F2 New ETP Panel]]</f>
        <v>267.90399999998044</v>
      </c>
      <c r="FG48">
        <f>AL49-Table2[[#This Row],[3F4 Old ETP Panel]]</f>
        <v>77.567999999970198</v>
      </c>
      <c r="FH48">
        <f>AF49-Table2[[#This Row],[2F1 RO Plant]]</f>
        <v>586.23999999999069</v>
      </c>
      <c r="FI48">
        <f>AK49-Table2[[#This Row],[3F3 Fire Hydrant Panel]]</f>
        <v>8.9199999999982538</v>
      </c>
      <c r="FJ48">
        <f>R49-Table2[[#This Row],[7F1 Freon System Panel]]</f>
        <v>6083.839999999851</v>
      </c>
      <c r="FK48">
        <f>(AE49-Table2[[#This Row],[21F1 Refrigeration Ammonia]])*1000</f>
        <v>8442.3999999999069</v>
      </c>
      <c r="FL48">
        <f>(AG49-Table2[[#This Row],[2F3 Air Compressor]])*1000</f>
        <v>1365.0000000000091</v>
      </c>
      <c r="FM48">
        <f>(AX49-Table2[[#This Row],[Solar Reading Panel II]])*1000</f>
        <v>3509.0000000000146</v>
      </c>
      <c r="FN48">
        <f>AI49-Table2[[#This Row],[3F1 Maintenance Workshop]]</f>
        <v>6.8256000000001222</v>
      </c>
      <c r="FO48">
        <f>BD49-Table2[[#This Row],[4F B2B unit ]]</f>
        <v>69.087999999988824</v>
      </c>
      <c r="FP48">
        <f>BL49-Table2[[#This Row],[2F1 - PDB 6 - Bread, B2B section]]</f>
        <v>283.88479999999981</v>
      </c>
      <c r="FQ48">
        <f>(CG49-Table2[[#This Row],[9F5 - PDB 14 - Bread Lift]])</f>
        <v>8.5119999999878928</v>
      </c>
      <c r="FR48">
        <f>CJ49-Table2[[#This Row],[PDB - 16 Bread Section]]</f>
        <v>0</v>
      </c>
      <c r="FS48">
        <f>BU49-Table2[[#This Row],[7F1 Donut Production area]]</f>
        <v>243.8399999999674</v>
      </c>
      <c r="FT48">
        <f>CB49-Table2[[#This Row],[8F5 Donut Ban Bary]]</f>
        <v>49</v>
      </c>
      <c r="FU48">
        <f>CF49-Table2[[#This Row],[9F4 - PDB 13 - Donut Sink Geyser area]]</f>
        <v>16.335999999981141</v>
      </c>
      <c r="FV48">
        <f>BV49-Table2[[#This Row],[7F2 Flour Silo]]</f>
        <v>848.96000000007916</v>
      </c>
      <c r="FW48">
        <f>BY49-Table2[[#This Row],[8F2 ACPDB - 3 SILO Ventilation]]</f>
        <v>43.056000000011409</v>
      </c>
      <c r="FX48">
        <f>J49-Table2[[#This Row],[DG 1010KVA Running Hours]]</f>
        <v>0</v>
      </c>
      <c r="FY48">
        <f>K49-Table2[[#This Row],[DG 1010 KVA Meter Reading]]</f>
        <v>0</v>
      </c>
      <c r="FZ48">
        <f>L49-Table2[[#This Row],[GG 1010 KVA Running Hours]]</f>
        <v>0</v>
      </c>
      <c r="GA48">
        <f>M49-Table2[[#This Row],[GG 1010 KVA Meter Reading]]</f>
        <v>0</v>
      </c>
    </row>
    <row r="49" spans="1:183" x14ac:dyDescent="0.35">
      <c r="A49" s="1">
        <v>59</v>
      </c>
      <c r="B49" s="2">
        <v>46247.399456018517</v>
      </c>
      <c r="C49" s="2">
        <v>46247.44321759259</v>
      </c>
      <c r="D49" s="1" t="s">
        <v>111</v>
      </c>
      <c r="E49" s="1"/>
      <c r="F49" s="1"/>
      <c r="G49" s="3">
        <v>46247</v>
      </c>
      <c r="H49" s="1" t="s">
        <v>186</v>
      </c>
      <c r="I49" s="6">
        <v>7107.4719999999998</v>
      </c>
      <c r="J49" s="6">
        <v>4276.3</v>
      </c>
      <c r="K49" s="6">
        <v>1777570</v>
      </c>
      <c r="L49" s="6">
        <v>456</v>
      </c>
      <c r="M49" s="6">
        <v>191.81</v>
      </c>
      <c r="N49" s="6">
        <v>1877308.32</v>
      </c>
      <c r="O49" s="6">
        <v>4616450.88</v>
      </c>
      <c r="P49" s="6">
        <v>649335.87199999997</v>
      </c>
      <c r="Q49" s="6">
        <v>8116683.5199999996</v>
      </c>
      <c r="R49" s="6">
        <v>5592689.2800000003</v>
      </c>
      <c r="S49" s="6">
        <v>7393642.2400000002</v>
      </c>
      <c r="T49" s="6">
        <v>43322384.799000002</v>
      </c>
      <c r="U49" s="6">
        <v>2114831.52</v>
      </c>
      <c r="V49" s="6">
        <v>5132800.96</v>
      </c>
      <c r="W49" s="6">
        <v>1599.1722</v>
      </c>
      <c r="X49" s="6">
        <v>776488.70400000003</v>
      </c>
      <c r="Y49" s="6">
        <v>1104816.96</v>
      </c>
      <c r="Z49" s="6">
        <v>2777.8894</v>
      </c>
      <c r="AA49" s="6">
        <v>671180.41599999997</v>
      </c>
      <c r="AB49" s="6">
        <v>421389.02399999998</v>
      </c>
      <c r="AC49" s="6">
        <v>2145749.44</v>
      </c>
      <c r="AD49" s="6">
        <v>4162481.2949999999</v>
      </c>
      <c r="AE49" s="6">
        <v>12872.1592</v>
      </c>
      <c r="AF49" s="6">
        <v>880691.84</v>
      </c>
      <c r="AG49" s="6">
        <v>1411.0219999999999</v>
      </c>
      <c r="AH49" s="6">
        <v>134390.22399999999</v>
      </c>
      <c r="AI49" s="6">
        <v>14678.5152</v>
      </c>
      <c r="AJ49" s="6">
        <v>145380.03200000001</v>
      </c>
      <c r="AK49" s="6">
        <v>105343.47199999999</v>
      </c>
      <c r="AL49" s="6">
        <v>331262.43199999997</v>
      </c>
      <c r="AM49" s="6">
        <v>997.38800000000003</v>
      </c>
      <c r="AN49" s="6">
        <v>225.8</v>
      </c>
      <c r="AO49" s="6">
        <v>7</v>
      </c>
      <c r="AP49" s="6">
        <v>551625</v>
      </c>
      <c r="AQ49" s="6">
        <v>42478</v>
      </c>
      <c r="AR49" s="6">
        <v>41933</v>
      </c>
      <c r="AS49" s="6">
        <v>32390</v>
      </c>
      <c r="AT49" s="6">
        <v>22106</v>
      </c>
      <c r="AU49" s="6">
        <v>15861</v>
      </c>
      <c r="AV49" s="6">
        <v>6563</v>
      </c>
      <c r="AW49" s="6">
        <v>20.988786000000001</v>
      </c>
      <c r="AX49" s="6">
        <v>7261.0290000000005</v>
      </c>
      <c r="AY49" s="6">
        <v>680.33911999999998</v>
      </c>
      <c r="AZ49" s="6">
        <v>20.788</v>
      </c>
      <c r="BA49" s="6">
        <v>10591</v>
      </c>
      <c r="BB49" s="6">
        <v>45.213999999999999</v>
      </c>
      <c r="BC49" s="6">
        <v>114007.64</v>
      </c>
      <c r="BD49" s="6">
        <v>276542.08000000002</v>
      </c>
      <c r="BE49" s="6">
        <v>3738.6419999999998</v>
      </c>
      <c r="BF49" s="6">
        <v>1712.0419999999999</v>
      </c>
      <c r="BG49" s="6">
        <v>75.352000000000004</v>
      </c>
      <c r="BH49" s="6">
        <v>368.721</v>
      </c>
      <c r="BI49" s="6">
        <v>920.08699999999999</v>
      </c>
      <c r="BJ49" s="6">
        <v>15.212</v>
      </c>
      <c r="BK49" s="6">
        <v>567.06200000000001</v>
      </c>
      <c r="BL49" s="6">
        <v>74661.907200000001</v>
      </c>
      <c r="BM49" s="6">
        <v>313636.8</v>
      </c>
      <c r="BN49" s="6">
        <v>7218.7048000000004</v>
      </c>
      <c r="BO49" s="6">
        <v>53589.132799999999</v>
      </c>
      <c r="BP49" s="6">
        <v>315456.96000000002</v>
      </c>
      <c r="BQ49" s="6">
        <v>327.767</v>
      </c>
      <c r="BR49" s="6">
        <v>182.56</v>
      </c>
      <c r="BS49" s="6">
        <v>1023887.942</v>
      </c>
      <c r="BT49" s="6">
        <v>1400621.5390000001</v>
      </c>
      <c r="BU49" s="6">
        <v>631447.16799999995</v>
      </c>
      <c r="BV49" s="6">
        <v>1028689.92</v>
      </c>
      <c r="BW49" s="6">
        <v>571198.07999999996</v>
      </c>
      <c r="BX49" s="6">
        <v>1021732.16</v>
      </c>
      <c r="BY49" s="6">
        <v>158249.77600000001</v>
      </c>
      <c r="BZ49" s="6">
        <v>114559.72</v>
      </c>
      <c r="CA49" s="6">
        <v>1244.3607999999999</v>
      </c>
      <c r="CB49" s="6">
        <v>109216.8</v>
      </c>
      <c r="CC49" s="6">
        <v>152079.6</v>
      </c>
      <c r="CD49" s="6">
        <v>448644.32</v>
      </c>
      <c r="CE49" s="6">
        <v>49134.832000000002</v>
      </c>
      <c r="CF49" s="6">
        <v>156198.22399999999</v>
      </c>
      <c r="CG49" s="6">
        <v>360916.864</v>
      </c>
      <c r="CH49" s="6">
        <v>2385.8710000000001</v>
      </c>
      <c r="CI49" s="6">
        <v>216.20500000000001</v>
      </c>
      <c r="CJ49" s="6">
        <v>1191.5999999999999</v>
      </c>
      <c r="CK49" s="6">
        <v>78.581000000000003</v>
      </c>
      <c r="CL49" s="6">
        <v>739.94600000000003</v>
      </c>
      <c r="CM49" s="6">
        <v>551.4</v>
      </c>
      <c r="CN49" s="6">
        <v>49880.7</v>
      </c>
      <c r="CO49" s="6">
        <v>1660.5820000000001</v>
      </c>
      <c r="CP49" s="6">
        <v>296061.45400000003</v>
      </c>
      <c r="CQ49" s="6">
        <v>3699299.84</v>
      </c>
      <c r="CR49" s="6">
        <v>132007.68799999999</v>
      </c>
      <c r="CS49" s="6">
        <v>517779.45600000001</v>
      </c>
      <c r="CT49" s="6">
        <v>2966631.73</v>
      </c>
      <c r="CU49" s="6">
        <v>301723.973</v>
      </c>
      <c r="CV49" s="6">
        <v>30183.660800000001</v>
      </c>
      <c r="CW49" s="6">
        <v>63180.774400000002</v>
      </c>
      <c r="CX49" s="6">
        <v>33466.092799999999</v>
      </c>
      <c r="CY49" s="6">
        <v>169348.67199999999</v>
      </c>
      <c r="CZ49" s="6">
        <v>218738.576</v>
      </c>
      <c r="DA49" s="6">
        <v>19211.009999999998</v>
      </c>
      <c r="DB49" s="6">
        <v>151482.666</v>
      </c>
      <c r="DC49" s="6">
        <v>3100.57</v>
      </c>
      <c r="DD49" s="6">
        <v>3100.44</v>
      </c>
      <c r="DE49" s="6">
        <v>3129.34</v>
      </c>
      <c r="DF49" s="6">
        <v>0.98099999999999998</v>
      </c>
      <c r="DG49" s="1" t="s">
        <v>189</v>
      </c>
      <c r="DH49" s="4">
        <f>Table2[[#This Row],[Date]]</f>
        <v>46247</v>
      </c>
      <c r="DI49">
        <f>(DD50-Table2[[#This Row],[MWH Total]])*4000</f>
        <v>29119.999999998981</v>
      </c>
      <c r="DJ49">
        <f>(DA50-Table2[[#This Row],[PNG Meter (Outside)]])*2.936</f>
        <v>6.7528000000085449</v>
      </c>
      <c r="DK49">
        <f>(DB50-Table2[[#This Row],[PNG Meter (Inside)]])*2.936</f>
        <v>461.1017360000198</v>
      </c>
      <c r="DL49">
        <f>(BH50-Table2[[#This Row],[3F Dough cooler - 2 ]])*1000</f>
        <v>440.99999999997408</v>
      </c>
      <c r="DM49">
        <f>(BI50-Table2[[#This Row],[3F Dough Cooler- 1]])*1000</f>
        <v>475.99999999999909</v>
      </c>
      <c r="DN49">
        <f>(BJ50-Table2[[#This Row],[4F Dough Production cooling Unit]])*1000</f>
        <v>59.000000000001052</v>
      </c>
      <c r="DO49">
        <f>(BQ50-Table2[[#This Row],[3F2 - PDB 3 - Dough Production Area]])*1000</f>
        <v>302.99999999999727</v>
      </c>
      <c r="DP49">
        <f>(BR50-Table2[[#This Row],[3F3 - PDB 4 - Dough Area]])*1000</f>
        <v>169.00000000001114</v>
      </c>
      <c r="DQ49">
        <f>AC50-Table2[[#This Row],[16F1 Tray washer Panel for Light]]</f>
        <v>637.60000000009313</v>
      </c>
      <c r="DR49">
        <f>CQ50-Table2[[#This Row],[2F1 Tray Washer - 1]]</f>
        <v>1327.0400000000373</v>
      </c>
      <c r="DS49">
        <f>CS50-Table2[[#This Row],[2F5 Destacker]]</f>
        <v>334.88000000000466</v>
      </c>
      <c r="DT49">
        <f>CU50-Table2[[#This Row],[5F1 Metering (TW-2)]]</f>
        <v>308.90700000000652</v>
      </c>
      <c r="DU49">
        <f>CV50-Table2[[#This Row],[6F1 Pre soaker Tray washer]]</f>
        <v>3.6831999999994878</v>
      </c>
      <c r="DV49">
        <f>CZ50-Table2[[#This Row],[6F5 Vent tray Storage]]</f>
        <v>104.63999999998487</v>
      </c>
      <c r="DW49">
        <f>I50-Table2[[#This Row],[Popeyes Meter ]]</f>
        <v>37.680000000000291</v>
      </c>
      <c r="DX49">
        <f>AZ50-Table2[[#This Row],[2F WH Chiller, Segregation Area]]</f>
        <v>0</v>
      </c>
      <c r="DY49">
        <f>BA50-Table2[[#This Row],[3F1 AC Unit WH dock cooling - 2 Nos]]</f>
        <v>28</v>
      </c>
      <c r="DZ49">
        <f>BB50-Table2[[#This Row],[3F2 AC Unit WH dock cooling - 3 Nos]]</f>
        <v>3.6000000000001364E-2</v>
      </c>
      <c r="EA49">
        <f>(BK50-Table2[[#This Row],[5F WH Perishable]])*1000</f>
        <v>230.99999999999454</v>
      </c>
      <c r="EB49">
        <f>BN50-Table2[[#This Row],[2F3 - PDB 9 - WH Dock Leveler Door ]]</f>
        <v>4.9183999999995649</v>
      </c>
      <c r="EC49">
        <f>BP50-Table2[[#This Row],[3F1 - PDB 5 - WH HSD]]</f>
        <v>91.807999999960884</v>
      </c>
      <c r="ED49">
        <f>BX50-Table2[[#This Row],[8F1 WH Dock AHU - Ventilation]]</f>
        <v>2271.1199999999953</v>
      </c>
      <c r="EE49">
        <f>BZ50-Table2[[#This Row],[8F3 ACPDB - 4 WH Dock air curtain]]</f>
        <v>38.263999999995576</v>
      </c>
      <c r="EF49">
        <f>CA50-Table2[[#This Row],[8F4 WH Light]]</f>
        <v>0</v>
      </c>
      <c r="EG49">
        <f>CC50-Table2[[#This Row],[9F1 - PDB 10 - WH Dock door &amp; Office]]</f>
        <v>144.14400000000023</v>
      </c>
      <c r="EH49">
        <f>CD50-Table2[[#This Row],[9F2 - PDB 11 - WH flycatchers]]</f>
        <v>295.03999999997905</v>
      </c>
      <c r="EI49">
        <f>CE50-Table2[[#This Row],[9F3 - PDB 12 - Other items]]</f>
        <v>1.5103999999992084</v>
      </c>
      <c r="EJ49">
        <f>CR50-Table2[[#This Row],[2F3 - PDB 1 - Dock 1 to 4 ]]</f>
        <v>63.391999999992549</v>
      </c>
      <c r="EK49">
        <f>BM50-Table2[[#This Row],[2F2 - PDB 3 - WH Truck &amp; Battery Charging]]</f>
        <v>488.03200000000652</v>
      </c>
      <c r="EL49">
        <f>(CK50-Table2[[#This Row],[PDB - 11 Truck Charging]])*1000</f>
        <v>51.000000000001933</v>
      </c>
      <c r="EM49">
        <f>P50-Table2[[#This Row],[5F3 Admin Area]]</f>
        <v>381.50400000007357</v>
      </c>
      <c r="EN49">
        <f>AH50-Table2[[#This Row],[2F5 Main Gate-1 Piller -1]]</f>
        <v>116.60800000000745</v>
      </c>
      <c r="EO49">
        <f>CW50-Table2[[#This Row],[6F2 Ground Floor AC]]</f>
        <v>32.089599999999336</v>
      </c>
      <c r="EP49">
        <f>CX50-Table2[[#This Row],[6F3 ACBD -1 (First floor AC)]]</f>
        <v>0.29439999999885913</v>
      </c>
      <c r="EQ49">
        <f>CY50-Table2[[#This Row],[6F4 ACBD - 2 (Second &amp; Third floor AC)]]</f>
        <v>127.10400000002119</v>
      </c>
      <c r="ER49">
        <f>(BC50-Table2[[#This Row],[4F Old BMC cooling Unit]])</f>
        <v>8.7200000000011642</v>
      </c>
      <c r="ES49">
        <f>BO50-Table2[[#This Row],[2F4 - Old BMC]]</f>
        <v>0</v>
      </c>
      <c r="ET49">
        <f>Y50-Table2[[#This Row],[14F2 New CK]]</f>
        <v>1480.160000000149</v>
      </c>
      <c r="EU49">
        <f>(CL50-Table2[[#This Row],[OLD Ck Panel-1]])*1000</f>
        <v>688.99999999996453</v>
      </c>
      <c r="EV49">
        <f>CM50-Table2[[#This Row],[2F4 Old CK Blast (Blue star)]]</f>
        <v>0</v>
      </c>
      <c r="EW49">
        <f>CN50-Table2[[#This Row],[3F6 Old CK Blast (Carrier)]]</f>
        <v>587.80000000000291</v>
      </c>
      <c r="EX49">
        <f>(CO50-Table2[[#This Row],[Old CK Panel -2]])*1000</f>
        <v>1247.9999999998199</v>
      </c>
      <c r="EY49">
        <f>N50-Table2[[#This Row],[4F1 Main UPS 1/C -1]]</f>
        <v>980.47999999998137</v>
      </c>
      <c r="EZ49">
        <f>Z50-Table2[[#This Row],[15F1 Main UPS Panel - I/C - 2]]</f>
        <v>0</v>
      </c>
      <c r="FA49">
        <f>BF50-Table2[[#This Row],[2F CLC -1 AC unit - 2]]</f>
        <v>0</v>
      </c>
      <c r="FB49">
        <f>(BG50-Table2[[#This Row],[2F CLC Anti room]])*1000</f>
        <v>33.999999999991815</v>
      </c>
      <c r="FC49">
        <f>BW50-Table2[[#This Row],[7F3 CLC Power Panel]]</f>
        <v>201.47200000006706</v>
      </c>
      <c r="FD49">
        <f>(CI50-Table2[[#This Row],[PDB - 17 CLC Section ]])*1000</f>
        <v>121.99999999998568</v>
      </c>
      <c r="FE49">
        <f>(W50-Table2[[#This Row],[13F3 Water &amp; Lift Old CK]])*1000</f>
        <v>721.99999999997999</v>
      </c>
      <c r="FF49">
        <f>AA50-Table2[[#This Row],[15F2 New ETP Panel]]</f>
        <v>282.04800000006799</v>
      </c>
      <c r="FG49">
        <f>AL50-Table2[[#This Row],[3F4 Old ETP Panel]]</f>
        <v>82.336000000010245</v>
      </c>
      <c r="FH49">
        <f>AF50-Table2[[#This Row],[2F1 RO Plant]]</f>
        <v>613.56800000008661</v>
      </c>
      <c r="FI49">
        <f>AK50-Table2[[#This Row],[3F3 Fire Hydrant Panel]]</f>
        <v>8.1440000000002328</v>
      </c>
      <c r="FJ49">
        <f>R50-Table2[[#This Row],[7F1 Freon System Panel]]</f>
        <v>6405.1200000001118</v>
      </c>
      <c r="FK49">
        <f>(AE50-Table2[[#This Row],[21F1 Refrigeration Ammonia]])*1000</f>
        <v>7978.3999999999651</v>
      </c>
      <c r="FL49">
        <f>(AG50-Table2[[#This Row],[2F3 Air Compressor]])*1000</f>
        <v>1305.0000000000637</v>
      </c>
      <c r="FM49">
        <f>(AX50-Table2[[#This Row],[Solar Reading Panel II]])*1000</f>
        <v>2444.999999999709</v>
      </c>
      <c r="FN49">
        <f>AI50-Table2[[#This Row],[3F1 Maintenance Workshop]]</f>
        <v>5.5951999999997497</v>
      </c>
      <c r="FO49">
        <f>BD50-Table2[[#This Row],[4F B2B unit ]]</f>
        <v>70.271999999997206</v>
      </c>
      <c r="FP49">
        <f>BL50-Table2[[#This Row],[2F1 - PDB 6 - Bread, B2B section]]</f>
        <v>172.84479999999166</v>
      </c>
      <c r="FQ49">
        <f>(CG50-Table2[[#This Row],[9F5 - PDB 14 - Bread Lift]])</f>
        <v>7.7760000000125729</v>
      </c>
      <c r="FR49">
        <f>CJ50-Table2[[#This Row],[PDB - 16 Bread Section]]</f>
        <v>0</v>
      </c>
      <c r="FS49">
        <f>BU50-Table2[[#This Row],[7F1 Donut Production area]]</f>
        <v>255.16800000006333</v>
      </c>
      <c r="FT49">
        <f>CB50-Table2[[#This Row],[8F5 Donut Ban Bary]]</f>
        <v>41.335999999995693</v>
      </c>
      <c r="FU49">
        <f>CF50-Table2[[#This Row],[9F4 - PDB 13 - Donut Sink Geyser area]]</f>
        <v>15.6480000000156</v>
      </c>
      <c r="FV49">
        <f>BV50-Table2[[#This Row],[7F2 Flour Silo]]</f>
        <v>649.11999999999534</v>
      </c>
      <c r="FW49">
        <f>BY50-Table2[[#This Row],[8F2 ACPDB - 3 SILO Ventilation]]</f>
        <v>42.047999999980675</v>
      </c>
      <c r="FX49">
        <f>J50-Table2[[#This Row],[DG 1010KVA Running Hours]]</f>
        <v>0</v>
      </c>
      <c r="FY49">
        <f>K50-Table2[[#This Row],[DG 1010 KVA Meter Reading]]</f>
        <v>0</v>
      </c>
      <c r="FZ49">
        <f>L50-Table2[[#This Row],[GG 1010 KVA Running Hours]]</f>
        <v>0</v>
      </c>
      <c r="GA49">
        <f>M50-Table2[[#This Row],[GG 1010 KVA Meter Reading]]</f>
        <v>0</v>
      </c>
    </row>
    <row r="50" spans="1:183" x14ac:dyDescent="0.35">
      <c r="A50" s="1">
        <v>60</v>
      </c>
      <c r="B50" s="2">
        <v>46248.386030092595</v>
      </c>
      <c r="C50" s="2">
        <v>46248.424907407411</v>
      </c>
      <c r="D50" s="1" t="s">
        <v>111</v>
      </c>
      <c r="E50" s="1"/>
      <c r="F50" s="1"/>
      <c r="G50" s="3">
        <v>46248</v>
      </c>
      <c r="H50" s="1" t="s">
        <v>186</v>
      </c>
      <c r="I50" s="6">
        <v>7145.152</v>
      </c>
      <c r="J50" s="6">
        <v>4276.3</v>
      </c>
      <c r="K50" s="6">
        <v>1777570</v>
      </c>
      <c r="L50" s="6">
        <v>456</v>
      </c>
      <c r="M50" s="6">
        <v>191.81</v>
      </c>
      <c r="N50" s="6">
        <v>1878288.8</v>
      </c>
      <c r="O50" s="6">
        <v>4618479.3600000003</v>
      </c>
      <c r="P50" s="6">
        <v>649717.37600000005</v>
      </c>
      <c r="Q50" s="6">
        <v>8119676.7999999998</v>
      </c>
      <c r="R50" s="6">
        <v>5599094.4000000004</v>
      </c>
      <c r="S50" s="6">
        <v>7397333.7599999998</v>
      </c>
      <c r="T50" s="6">
        <v>43336913.052000001</v>
      </c>
      <c r="U50" s="6">
        <v>2116179.6800000002</v>
      </c>
      <c r="V50" s="6">
        <v>5134526.4000000004</v>
      </c>
      <c r="W50" s="6">
        <v>1599.8942</v>
      </c>
      <c r="X50" s="6">
        <v>776801.66399999999</v>
      </c>
      <c r="Y50" s="6">
        <v>1106297.1200000001</v>
      </c>
      <c r="Z50" s="6">
        <v>2777.8894</v>
      </c>
      <c r="AA50" s="6">
        <v>671462.46400000004</v>
      </c>
      <c r="AB50" s="6">
        <v>421399.84</v>
      </c>
      <c r="AC50" s="6">
        <v>2146387.04</v>
      </c>
      <c r="AD50" s="6">
        <v>2754882.2749999999</v>
      </c>
      <c r="AE50" s="6">
        <v>12880.1376</v>
      </c>
      <c r="AF50" s="6">
        <v>881305.40800000005</v>
      </c>
      <c r="AG50" s="6">
        <v>1412.327</v>
      </c>
      <c r="AH50" s="6">
        <v>134506.83199999999</v>
      </c>
      <c r="AI50" s="6">
        <v>14684.1104</v>
      </c>
      <c r="AJ50" s="6">
        <v>145380.03200000001</v>
      </c>
      <c r="AK50" s="6">
        <v>105351.61599999999</v>
      </c>
      <c r="AL50" s="6">
        <v>331344.76799999998</v>
      </c>
      <c r="AM50" s="6">
        <v>998.053</v>
      </c>
      <c r="AN50" s="6">
        <v>297.39999999999998</v>
      </c>
      <c r="AO50" s="6">
        <v>7.6</v>
      </c>
      <c r="AP50" s="6">
        <v>562126</v>
      </c>
      <c r="AQ50" s="6">
        <v>42501</v>
      </c>
      <c r="AR50" s="6">
        <v>41957</v>
      </c>
      <c r="AS50" s="6">
        <v>32390</v>
      </c>
      <c r="AT50" s="6">
        <v>22106</v>
      </c>
      <c r="AU50" s="6">
        <v>15885</v>
      </c>
      <c r="AV50" s="6">
        <v>6577</v>
      </c>
      <c r="AW50" s="6">
        <v>20.996562000000001</v>
      </c>
      <c r="AX50" s="6">
        <v>7263.4740000000002</v>
      </c>
      <c r="AY50" s="6">
        <v>680.50984000000005</v>
      </c>
      <c r="AZ50" s="6">
        <v>20.788</v>
      </c>
      <c r="BA50" s="6">
        <v>10619</v>
      </c>
      <c r="BB50" s="6">
        <v>45.25</v>
      </c>
      <c r="BC50" s="6">
        <v>114016.36</v>
      </c>
      <c r="BD50" s="6">
        <v>276612.35200000001</v>
      </c>
      <c r="BE50" s="6">
        <v>3739.9276</v>
      </c>
      <c r="BF50" s="6">
        <v>1712.0419999999999</v>
      </c>
      <c r="BG50" s="6">
        <v>75.385999999999996</v>
      </c>
      <c r="BH50" s="6">
        <v>369.16199999999998</v>
      </c>
      <c r="BI50" s="6">
        <v>920.56299999999999</v>
      </c>
      <c r="BJ50" s="6">
        <v>15.271000000000001</v>
      </c>
      <c r="BK50" s="6">
        <v>567.29300000000001</v>
      </c>
      <c r="BL50" s="6">
        <v>74834.751999999993</v>
      </c>
      <c r="BM50" s="6">
        <v>314124.83199999999</v>
      </c>
      <c r="BN50" s="6">
        <v>7223.6232</v>
      </c>
      <c r="BO50" s="6">
        <v>53589.132799999999</v>
      </c>
      <c r="BP50" s="6">
        <v>315548.76799999998</v>
      </c>
      <c r="BQ50" s="6">
        <v>328.07</v>
      </c>
      <c r="BR50" s="6">
        <v>182.72900000000001</v>
      </c>
      <c r="BS50" s="6">
        <v>1025214.759</v>
      </c>
      <c r="BT50" s="6">
        <v>1400621.54</v>
      </c>
      <c r="BU50" s="6">
        <v>631702.33600000001</v>
      </c>
      <c r="BV50" s="6">
        <v>1029339.04</v>
      </c>
      <c r="BW50" s="6">
        <v>571399.55200000003</v>
      </c>
      <c r="BX50" s="6">
        <v>1024003.28</v>
      </c>
      <c r="BY50" s="6">
        <v>158291.82399999999</v>
      </c>
      <c r="BZ50" s="6">
        <v>114597.984</v>
      </c>
      <c r="CA50" s="6">
        <v>1244.3607999999999</v>
      </c>
      <c r="CB50" s="6">
        <v>109258.136</v>
      </c>
      <c r="CC50" s="6">
        <v>152223.74400000001</v>
      </c>
      <c r="CD50" s="6">
        <v>448939.36</v>
      </c>
      <c r="CE50" s="6">
        <v>49136.342400000001</v>
      </c>
      <c r="CF50" s="6">
        <v>156213.872</v>
      </c>
      <c r="CG50" s="6">
        <v>360924.64</v>
      </c>
      <c r="CH50" s="6">
        <v>2385.8710000000001</v>
      </c>
      <c r="CI50" s="6">
        <v>216.327</v>
      </c>
      <c r="CJ50" s="6">
        <v>1191.5999999999999</v>
      </c>
      <c r="CK50" s="6">
        <v>78.632000000000005</v>
      </c>
      <c r="CL50" s="6">
        <v>740.63499999999999</v>
      </c>
      <c r="CM50" s="6">
        <v>551.4</v>
      </c>
      <c r="CN50" s="6">
        <v>50468.5</v>
      </c>
      <c r="CO50" s="6">
        <v>1661.83</v>
      </c>
      <c r="CP50" s="6">
        <v>296251.69699999999</v>
      </c>
      <c r="CQ50" s="6">
        <v>3700626.88</v>
      </c>
      <c r="CR50" s="6">
        <v>132071.07999999999</v>
      </c>
      <c r="CS50" s="6">
        <v>518114.33600000001</v>
      </c>
      <c r="CT50" s="6">
        <v>2970397.6090000002</v>
      </c>
      <c r="CU50" s="6">
        <v>302032.88</v>
      </c>
      <c r="CV50" s="6">
        <v>30187.344000000001</v>
      </c>
      <c r="CW50" s="6">
        <v>63212.864000000001</v>
      </c>
      <c r="CX50" s="6">
        <v>33466.387199999997</v>
      </c>
      <c r="CY50" s="6">
        <v>169475.77600000001</v>
      </c>
      <c r="CZ50" s="6">
        <v>218843.21599999999</v>
      </c>
      <c r="DA50" s="6">
        <v>19213.310000000001</v>
      </c>
      <c r="DB50" s="6">
        <v>151639.717</v>
      </c>
      <c r="DC50" s="6">
        <v>3107.85</v>
      </c>
      <c r="DD50" s="6">
        <v>3107.72</v>
      </c>
      <c r="DE50" s="6">
        <v>3136.82</v>
      </c>
      <c r="DF50" s="6">
        <v>0.98699999999999999</v>
      </c>
      <c r="DG50" s="1" t="s">
        <v>246</v>
      </c>
      <c r="DH50" s="4">
        <f>Table2[[#This Row],[Date]]</f>
        <v>46248</v>
      </c>
      <c r="DI50">
        <f>(DD51-Table2[[#This Row],[MWH Total]])*4000</f>
        <v>24959.999999999127</v>
      </c>
      <c r="DJ50">
        <f>(DA51-Table2[[#This Row],[PNG Meter (Outside)]])*2.936</f>
        <v>41.603119999994874</v>
      </c>
      <c r="DK50">
        <f>(DB51-Table2[[#This Row],[PNG Meter (Inside)]])*2.936</f>
        <v>1413.4373759999924</v>
      </c>
      <c r="DL50">
        <f>(BH51-Table2[[#This Row],[3F Dough cooler - 2 ]])*1000</f>
        <v>1889.00000000001</v>
      </c>
      <c r="DM50">
        <f>(BI51-Table2[[#This Row],[3F Dough Cooler- 1]])*1000</f>
        <v>2191.0000000000309</v>
      </c>
      <c r="DN50">
        <f>(BJ51-Table2[[#This Row],[4F Dough Production cooling Unit]])*1000</f>
        <v>253.99999999999955</v>
      </c>
      <c r="DO50">
        <f>(BQ51-Table2[[#This Row],[3F2 - PDB 3 - Dough Production Area]])*1000</f>
        <v>1108.9999999999804</v>
      </c>
      <c r="DP50">
        <f>(BR51-Table2[[#This Row],[3F3 - PDB 4 - Dough Area]])*1000</f>
        <v>669.99999999998749</v>
      </c>
      <c r="DQ50">
        <f>AC51-Table2[[#This Row],[16F1 Tray washer Panel for Light]]</f>
        <v>3407.6800000001676</v>
      </c>
      <c r="DR50">
        <f>CQ51-Table2[[#This Row],[2F1 Tray Washer - 1]]</f>
        <v>6322.8799999998882</v>
      </c>
      <c r="DS50">
        <f>CS51-Table2[[#This Row],[2F5 Destacker]]</f>
        <v>1537.5679999999702</v>
      </c>
      <c r="DT50">
        <f>CU51-Table2[[#This Row],[5F1 Metering (TW-2)]]</f>
        <v>1376.4079999999958</v>
      </c>
      <c r="DU50">
        <f>CV51-Table2[[#This Row],[6F1 Pre soaker Tray washer]]</f>
        <v>11.683199999999488</v>
      </c>
      <c r="DV50">
        <f>CZ51-Table2[[#This Row],[6F5 Vent tray Storage]]</f>
        <v>375.2160000000149</v>
      </c>
      <c r="DW50">
        <f>I51-Table2[[#This Row],[Popeyes Meter ]]</f>
        <v>159.60999999999967</v>
      </c>
      <c r="DX50">
        <f>AZ51-Table2[[#This Row],[2F WH Chiller, Segregation Area]]</f>
        <v>0</v>
      </c>
      <c r="DY50">
        <f>BA51-Table2[[#This Row],[3F1 AC Unit WH dock cooling - 2 Nos]]</f>
        <v>96</v>
      </c>
      <c r="DZ50">
        <f>BB51-Table2[[#This Row],[3F2 AC Unit WH dock cooling - 3 Nos]]</f>
        <v>0.2120000000000033</v>
      </c>
      <c r="EA50">
        <f>(BK51-Table2[[#This Row],[5F WH Perishable]])*1000</f>
        <v>1004.9999999999955</v>
      </c>
      <c r="EB50">
        <f>BN51-Table2[[#This Row],[2F3 - PDB 9 - WH Dock Leveler Door ]]</f>
        <v>26.64639999999963</v>
      </c>
      <c r="EC50">
        <f>BP51-Table2[[#This Row],[3F1 - PDB 5 - WH HSD]]</f>
        <v>497.2160000000149</v>
      </c>
      <c r="ED50">
        <f>BX51-Table2[[#This Row],[8F1 WH Dock AHU - Ventilation]]</f>
        <v>11623.599999999977</v>
      </c>
      <c r="EE50">
        <f>BZ51-Table2[[#This Row],[8F3 ACPDB - 4 WH Dock air curtain]]</f>
        <v>151.34399999999732</v>
      </c>
      <c r="EF50">
        <f>CA51-Table2[[#This Row],[8F4 WH Light]]</f>
        <v>0</v>
      </c>
      <c r="EG50">
        <f>CC51-Table2[[#This Row],[9F1 - PDB 10 - WH Dock door &amp; Office]]</f>
        <v>522.63999999998487</v>
      </c>
      <c r="EH50">
        <f>CD51-Table2[[#This Row],[9F2 - PDB 11 - WH flycatchers]]</f>
        <v>852.19200000003912</v>
      </c>
      <c r="EI50">
        <f>CE51-Table2[[#This Row],[9F3 - PDB 12 - Other items]]</f>
        <v>2.6368000000002212</v>
      </c>
      <c r="EJ50">
        <f>CR51-Table2[[#This Row],[2F3 - PDB 1 - Dock 1 to 4 ]]</f>
        <v>305.31200000000536</v>
      </c>
      <c r="EK50">
        <f>BM51-Table2[[#This Row],[2F2 - PDB 3 - WH Truck &amp; Battery Charging]]</f>
        <v>2465.1840000000084</v>
      </c>
      <c r="EL50">
        <f>(CK51-Table2[[#This Row],[PDB - 11 Truck Charging]])*1000</f>
        <v>171.99999999999704</v>
      </c>
      <c r="EM50">
        <f>P51-Table2[[#This Row],[5F3 Admin Area]]</f>
        <v>1872.3839999999618</v>
      </c>
      <c r="EN50">
        <f>AH51-Table2[[#This Row],[2F5 Main Gate-1 Piller -1]]</f>
        <v>565.44000000000233</v>
      </c>
      <c r="EO50">
        <f>CW51-Table2[[#This Row],[6F2 Ground Floor AC]]</f>
        <v>151.96159999999509</v>
      </c>
      <c r="EP50">
        <f>CX51-Table2[[#This Row],[6F3 ACBD -1 (First floor AC)]]</f>
        <v>43.209600000001956</v>
      </c>
      <c r="EQ50">
        <f>CY51-Table2[[#This Row],[6F4 ACBD - 2 (Second &amp; Third floor AC)]]</f>
        <v>595.77599999998347</v>
      </c>
      <c r="ER50">
        <f>(BC51-Table2[[#This Row],[4F Old BMC cooling Unit]])</f>
        <v>8.2079999999987194</v>
      </c>
      <c r="ES50">
        <f>BO51-Table2[[#This Row],[2F4 - Old BMC]]</f>
        <v>0</v>
      </c>
      <c r="ET50">
        <f>Y51-Table2[[#This Row],[14F2 New CK]]</f>
        <v>6514.2399999999907</v>
      </c>
      <c r="EU50">
        <f>(CL51-Table2[[#This Row],[OLD Ck Panel-1]])*1000</f>
        <v>2839.0000000000555</v>
      </c>
      <c r="EV50">
        <f>CM51-Table2[[#This Row],[2F4 Old CK Blast (Blue star)]]</f>
        <v>0</v>
      </c>
      <c r="EW50">
        <f>CN51-Table2[[#This Row],[3F6 Old CK Blast (Carrier)]]</f>
        <v>2243.6999999999971</v>
      </c>
      <c r="EX50">
        <f>(CO51-Table2[[#This Row],[Old CK Panel -2]])*1000</f>
        <v>7418.0000000001201</v>
      </c>
      <c r="EY50">
        <f>N51-Table2[[#This Row],[4F1 Main UPS 1/C -1]]</f>
        <v>4761.1199999998789</v>
      </c>
      <c r="EZ50">
        <f>Z51-Table2[[#This Row],[15F1 Main UPS Panel - I/C - 2]]</f>
        <v>0</v>
      </c>
      <c r="FA50">
        <f>BF51-Table2[[#This Row],[2F CLC -1 AC unit - 2]]</f>
        <v>2.1400000000001</v>
      </c>
      <c r="FB50">
        <f>(BG51-Table2[[#This Row],[2F CLC Anti room]])*1000</f>
        <v>115.00000000000909</v>
      </c>
      <c r="FC50">
        <f>BW51-Table2[[#This Row],[7F3 CLC Power Panel]]</f>
        <v>1038.2719999999972</v>
      </c>
      <c r="FD50">
        <f>(CI51-Table2[[#This Row],[PDB - 17 CLC Section ]])*1000</f>
        <v>668.00000000000637</v>
      </c>
      <c r="FE50">
        <f>(W51-Table2[[#This Row],[13F3 Water &amp; Lift Old CK]])*1000</f>
        <v>3021.8999999999596</v>
      </c>
      <c r="FF50">
        <f>AA51-Table2[[#This Row],[15F2 New ETP Panel]]</f>
        <v>1367.935999999987</v>
      </c>
      <c r="FG50">
        <f>AL51-Table2[[#This Row],[3F4 Old ETP Panel]]</f>
        <v>385.60000000003492</v>
      </c>
      <c r="FH50">
        <f>AF51-Table2[[#This Row],[2F1 RO Plant]]</f>
        <v>2793.3439999999246</v>
      </c>
      <c r="FI50">
        <f>AK51-Table2[[#This Row],[3F3 Fire Hydrant Panel]]</f>
        <v>54.80000000000291</v>
      </c>
      <c r="FJ50">
        <f>R51-Table2[[#This Row],[7F1 Freon System Panel]]</f>
        <v>28860.799999999814</v>
      </c>
      <c r="FK50">
        <f>(AE51-Table2[[#This Row],[21F1 Refrigeration Ammonia]])*1000</f>
        <v>36771.199999999226</v>
      </c>
      <c r="FL50">
        <f>(AG51-Table2[[#This Row],[2F3 Air Compressor]])*1000</f>
        <v>6691.0000000000309</v>
      </c>
      <c r="FM50">
        <f>(AX51-Table2[[#This Row],[Solar Reading Panel II]])*1000</f>
        <v>12563.999999999396</v>
      </c>
      <c r="FN50">
        <f>AI51-Table2[[#This Row],[3F1 Maintenance Workshop]]</f>
        <v>23.960000000000946</v>
      </c>
      <c r="FO50">
        <f>BD51-Table2[[#This Row],[4F B2B unit ]]</f>
        <v>205.53599999996368</v>
      </c>
      <c r="FP50">
        <f>BL51-Table2[[#This Row],[2F1 - PDB 6 - Bread, B2B section]]</f>
        <v>763.78240000001097</v>
      </c>
      <c r="FQ50">
        <f>(CG51-Table2[[#This Row],[9F5 - PDB 14 - Bread Lift]])</f>
        <v>14.975999999966007</v>
      </c>
      <c r="FR50">
        <f>CJ51-Table2[[#This Row],[PDB - 16 Bread Section]]</f>
        <v>0</v>
      </c>
      <c r="FS50">
        <f>BU51-Table2[[#This Row],[7F1 Donut Production area]]</f>
        <v>1006.9760000000242</v>
      </c>
      <c r="FT50">
        <f>CB51-Table2[[#This Row],[8F5 Donut Ban Bary]]</f>
        <v>243.38400000000547</v>
      </c>
      <c r="FU50">
        <f>CF51-Table2[[#This Row],[9F4 - PDB 13 - Donut Sink Geyser area]]</f>
        <v>97.199999999982538</v>
      </c>
      <c r="FV50">
        <f>BV51-Table2[[#This Row],[7F2 Flour Silo]]</f>
        <v>3158.4799999999814</v>
      </c>
      <c r="FW50">
        <f>BY51-Table2[[#This Row],[8F2 ACPDB - 3 SILO Ventilation]]</f>
        <v>217.60000000000582</v>
      </c>
      <c r="FX50">
        <f>J51-Table2[[#This Row],[DG 1010KVA Running Hours]]</f>
        <v>0</v>
      </c>
      <c r="FY50">
        <f>K51-Table2[[#This Row],[DG 1010 KVA Meter Reading]]</f>
        <v>0</v>
      </c>
      <c r="FZ50">
        <f>L51-Table2[[#This Row],[GG 1010 KVA Running Hours]]</f>
        <v>0</v>
      </c>
      <c r="GA50">
        <f>M51-Table2[[#This Row],[GG 1010 KVA Meter Reading]]</f>
        <v>0</v>
      </c>
    </row>
    <row r="51" spans="1:183" x14ac:dyDescent="0.35">
      <c r="A51" s="1">
        <v>61</v>
      </c>
      <c r="B51" s="2">
        <v>46253.405381944445</v>
      </c>
      <c r="C51" s="2">
        <v>46253.447893518518</v>
      </c>
      <c r="D51" s="1" t="s">
        <v>111</v>
      </c>
      <c r="E51" s="1"/>
      <c r="F51" s="1"/>
      <c r="G51" s="3">
        <v>46253</v>
      </c>
      <c r="H51" s="1" t="s">
        <v>291</v>
      </c>
      <c r="I51" s="6">
        <v>7304.7619999999997</v>
      </c>
      <c r="J51" s="6">
        <v>4276.3</v>
      </c>
      <c r="K51" s="6">
        <v>1777570</v>
      </c>
      <c r="L51" s="6">
        <v>456</v>
      </c>
      <c r="M51" s="6">
        <v>191.81</v>
      </c>
      <c r="N51" s="6">
        <v>1883049.92</v>
      </c>
      <c r="O51" s="6">
        <v>4628503.3600000003</v>
      </c>
      <c r="P51" s="6">
        <v>651589.76</v>
      </c>
      <c r="Q51" s="6">
        <v>8134367.3600000003</v>
      </c>
      <c r="R51" s="6">
        <v>5627955.2000000002</v>
      </c>
      <c r="S51" s="6">
        <v>7416490.8799999999</v>
      </c>
      <c r="T51" s="6">
        <v>42951555.758000001</v>
      </c>
      <c r="U51" s="6">
        <v>2122328</v>
      </c>
      <c r="V51" s="6">
        <v>5142447.04</v>
      </c>
      <c r="W51" s="6">
        <v>1602.9160999999999</v>
      </c>
      <c r="X51" s="6">
        <v>778168.70400000003</v>
      </c>
      <c r="Y51" s="6">
        <v>1112811.3600000001</v>
      </c>
      <c r="Z51" s="6">
        <v>2777.8894</v>
      </c>
      <c r="AA51" s="6">
        <v>672830.4</v>
      </c>
      <c r="AB51" s="6">
        <v>421454.11200000002</v>
      </c>
      <c r="AC51" s="6">
        <v>2149794.7200000002</v>
      </c>
      <c r="AD51" s="6">
        <v>4249474.4210000001</v>
      </c>
      <c r="AE51" s="6">
        <v>12916.908799999999</v>
      </c>
      <c r="AF51" s="6">
        <v>884098.75199999998</v>
      </c>
      <c r="AG51" s="6">
        <v>1419.018</v>
      </c>
      <c r="AH51" s="6">
        <v>135072.272</v>
      </c>
      <c r="AI51" s="6">
        <v>14708.070400000001</v>
      </c>
      <c r="AJ51" s="6">
        <v>145388.49600000001</v>
      </c>
      <c r="AK51" s="6">
        <v>105406.416</v>
      </c>
      <c r="AL51" s="6">
        <v>331730.36800000002</v>
      </c>
      <c r="AM51" s="6">
        <v>1001.2569999999999</v>
      </c>
      <c r="AN51" s="6">
        <v>296.89999999999998</v>
      </c>
      <c r="AO51" s="6">
        <v>7.1</v>
      </c>
      <c r="AP51" s="6">
        <v>613873</v>
      </c>
      <c r="AQ51" s="6">
        <v>42617</v>
      </c>
      <c r="AR51" s="6">
        <v>42072</v>
      </c>
      <c r="AS51" s="6">
        <v>32390</v>
      </c>
      <c r="AT51" s="6">
        <v>22106</v>
      </c>
      <c r="AU51" s="6">
        <v>16001</v>
      </c>
      <c r="AV51" s="6">
        <v>6642</v>
      </c>
      <c r="AW51" s="6">
        <v>21.032212000000001</v>
      </c>
      <c r="AX51" s="6">
        <v>7276.0379999999996</v>
      </c>
      <c r="AY51" s="6">
        <v>681.14279999999997</v>
      </c>
      <c r="AZ51" s="6">
        <v>20.788</v>
      </c>
      <c r="BA51" s="6">
        <v>10715</v>
      </c>
      <c r="BB51" s="6">
        <v>45.462000000000003</v>
      </c>
      <c r="BC51" s="6">
        <v>114024.568</v>
      </c>
      <c r="BD51" s="6">
        <v>276817.88799999998</v>
      </c>
      <c r="BE51" s="6">
        <v>3745.6352000000002</v>
      </c>
      <c r="BF51" s="6">
        <v>1714.182</v>
      </c>
      <c r="BG51" s="6">
        <v>75.501000000000005</v>
      </c>
      <c r="BH51" s="6">
        <v>371.05099999999999</v>
      </c>
      <c r="BI51" s="6">
        <v>922.75400000000002</v>
      </c>
      <c r="BJ51" s="6">
        <v>15.525</v>
      </c>
      <c r="BK51" s="6">
        <v>568.298</v>
      </c>
      <c r="BL51" s="6">
        <v>75598.534400000004</v>
      </c>
      <c r="BM51" s="6">
        <v>316590.016</v>
      </c>
      <c r="BN51" s="6">
        <v>7250.2695999999996</v>
      </c>
      <c r="BO51" s="6">
        <v>53589.132799999999</v>
      </c>
      <c r="BP51" s="6">
        <v>316045.984</v>
      </c>
      <c r="BQ51" s="6">
        <v>329.17899999999997</v>
      </c>
      <c r="BR51" s="6">
        <v>183.399</v>
      </c>
      <c r="BS51" s="6">
        <v>1031232.601</v>
      </c>
      <c r="BT51" s="6">
        <v>1400623.0090000001</v>
      </c>
      <c r="BU51" s="6">
        <v>632709.31200000003</v>
      </c>
      <c r="BV51" s="6">
        <v>1032497.52</v>
      </c>
      <c r="BW51" s="6">
        <v>572437.82400000002</v>
      </c>
      <c r="BX51" s="6">
        <v>1035626.88</v>
      </c>
      <c r="BY51" s="6">
        <v>158509.424</v>
      </c>
      <c r="BZ51" s="6">
        <v>114749.32799999999</v>
      </c>
      <c r="CA51" s="6">
        <v>1244.3607999999999</v>
      </c>
      <c r="CB51" s="6">
        <v>109501.52</v>
      </c>
      <c r="CC51" s="6">
        <v>152746.38399999999</v>
      </c>
      <c r="CD51" s="6">
        <v>449791.55200000003</v>
      </c>
      <c r="CE51" s="6">
        <v>49138.979200000002</v>
      </c>
      <c r="CF51" s="6">
        <v>156311.07199999999</v>
      </c>
      <c r="CG51" s="6">
        <v>360939.61599999998</v>
      </c>
      <c r="CH51" s="6">
        <v>2385.8710000000001</v>
      </c>
      <c r="CI51" s="6">
        <v>216.995</v>
      </c>
      <c r="CJ51" s="6">
        <v>1191.5999999999999</v>
      </c>
      <c r="CK51" s="6">
        <v>78.804000000000002</v>
      </c>
      <c r="CL51" s="6">
        <v>743.47400000000005</v>
      </c>
      <c r="CM51" s="6">
        <v>551.4</v>
      </c>
      <c r="CN51" s="6">
        <v>52712.2</v>
      </c>
      <c r="CO51" s="6">
        <v>1669.248</v>
      </c>
      <c r="CP51" s="6">
        <v>297262.88799999998</v>
      </c>
      <c r="CQ51" s="6">
        <v>3706949.76</v>
      </c>
      <c r="CR51" s="6">
        <v>132376.39199999999</v>
      </c>
      <c r="CS51" s="6">
        <v>519651.90399999998</v>
      </c>
      <c r="CT51" s="6">
        <v>2989949.6639999999</v>
      </c>
      <c r="CU51" s="6">
        <v>303409.288</v>
      </c>
      <c r="CV51" s="6">
        <v>30199.0272</v>
      </c>
      <c r="CW51" s="6">
        <v>63364.825599999996</v>
      </c>
      <c r="CX51" s="6">
        <v>33509.596799999999</v>
      </c>
      <c r="CY51" s="6">
        <v>170071.552</v>
      </c>
      <c r="CZ51" s="6">
        <v>219218.432</v>
      </c>
      <c r="DA51" s="6">
        <v>19227.48</v>
      </c>
      <c r="DB51" s="6">
        <v>152121.133</v>
      </c>
      <c r="DC51" s="6">
        <v>3140.78</v>
      </c>
      <c r="DD51" s="6">
        <f>DD50+6.24</f>
        <v>3113.9599999999996</v>
      </c>
      <c r="DE51" s="6">
        <v>3170.38</v>
      </c>
      <c r="DF51" s="6">
        <v>0.98899999999999999</v>
      </c>
      <c r="DG51" s="1" t="s">
        <v>253</v>
      </c>
      <c r="DH51" s="4">
        <f>Table2[[#This Row],[Date]]</f>
        <v>46253</v>
      </c>
      <c r="DI51">
        <f>(DD52-Table2[[#This Row],[MWH Total]])*4000</f>
        <v>24920.000000000073</v>
      </c>
      <c r="DJ51">
        <f>(DA52-Table2[[#This Row],[PNG Meter (Outside)]])*2.936</f>
        <v>16.970079999996582</v>
      </c>
      <c r="DK51">
        <f>(DB52-Table2[[#This Row],[PNG Meter (Inside)]])*2.936</f>
        <v>287.04684800003213</v>
      </c>
      <c r="DL51">
        <f>(BH52-Table2[[#This Row],[3F Dough cooler - 2 ]])*1000</f>
        <v>348.00000000001319</v>
      </c>
      <c r="DM51">
        <f>(BI52-Table2[[#This Row],[3F Dough Cooler- 1]])*1000</f>
        <v>478.99999999992815</v>
      </c>
      <c r="DN51">
        <f>(BJ52-Table2[[#This Row],[4F Dough Production cooling Unit]])*1000</f>
        <v>35.999999999999588</v>
      </c>
      <c r="DO51">
        <f>(BQ52-Table2[[#This Row],[3F2 - PDB 3 - Dough Production Area]])*1000</f>
        <v>229.00000000004184</v>
      </c>
      <c r="DP51">
        <f>(BR52-Table2[[#This Row],[3F3 - PDB 4 - Dough Area]])*1000</f>
        <v>151.00000000001046</v>
      </c>
      <c r="DQ51">
        <f>AC52-Table2[[#This Row],[16F1 Tray washer Panel for Light]]</f>
        <v>693.59999999962747</v>
      </c>
      <c r="DR51">
        <f>CQ52-Table2[[#This Row],[2F1 Tray Washer - 1]]</f>
        <v>1179.8400000003166</v>
      </c>
      <c r="DS51">
        <f>CS52-Table2[[#This Row],[2F5 Destacker]]</f>
        <v>346.20800000004238</v>
      </c>
      <c r="DT51">
        <f>CU52-Table2[[#This Row],[5F1 Metering (TW-2)]]</f>
        <v>300.97499999997672</v>
      </c>
      <c r="DU51">
        <f>CV52-Table2[[#This Row],[6F1 Pre soaker Tray washer]]</f>
        <v>2.2943999999988591</v>
      </c>
      <c r="DV51">
        <f>CZ52-Table2[[#This Row],[6F5 Vent tray Storage]]</f>
        <v>97.423999999999069</v>
      </c>
      <c r="DW51">
        <f>I52-Table2[[#This Row],[Popeyes Meter ]]</f>
        <v>72.119999999999891</v>
      </c>
      <c r="DX51">
        <f>AZ52-Table2[[#This Row],[2F WH Chiller, Segregation Area]]</f>
        <v>0</v>
      </c>
      <c r="DY51">
        <f>BA52-Table2[[#This Row],[3F1 AC Unit WH dock cooling - 2 Nos]]</f>
        <v>13</v>
      </c>
      <c r="DZ51">
        <f>BB52-Table2[[#This Row],[3F2 AC Unit WH dock cooling - 3 Nos]]</f>
        <v>3.7999999999996703E-2</v>
      </c>
      <c r="EA51">
        <f>(BK52-Table2[[#This Row],[5F WH Perishable]])*1000</f>
        <v>203.99999999995089</v>
      </c>
      <c r="EB51">
        <f>BN52-Table2[[#This Row],[2F3 - PDB 9 - WH Dock Leveler Door ]]</f>
        <v>5.2120000000004438</v>
      </c>
      <c r="EC51">
        <f>BP52-Table2[[#This Row],[3F1 - PDB 5 - WH HSD]]</f>
        <v>119.84000000002561</v>
      </c>
      <c r="ED51">
        <f>BX52-Table2[[#This Row],[8F1 WH Dock AHU - Ventilation]]</f>
        <v>1469.4399999999441</v>
      </c>
      <c r="EE51">
        <f>BZ52-Table2[[#This Row],[8F3 ACPDB - 4 WH Dock air curtain]]</f>
        <v>42.048000000009779</v>
      </c>
      <c r="EF51">
        <f>CA52-Table2[[#This Row],[8F4 WH Light]]</f>
        <v>0.22870000000011714</v>
      </c>
      <c r="EG51">
        <f>CC52-Table2[[#This Row],[9F1 - PDB 10 - WH Dock door &amp; Office]]</f>
        <v>104.20800000001327</v>
      </c>
      <c r="EH51">
        <f>CD52-Table2[[#This Row],[9F2 - PDB 11 - WH flycatchers]]</f>
        <v>242.87999999994645</v>
      </c>
      <c r="EI51">
        <f>CE52-Table2[[#This Row],[9F3 - PDB 12 - Other items]]</f>
        <v>2.0095999999975902</v>
      </c>
      <c r="EJ51">
        <f>CR52-Table2[[#This Row],[2F3 - PDB 1 - Dock 1 to 4 ]]</f>
        <v>47.592000000004191</v>
      </c>
      <c r="EK51">
        <f>BM52-Table2[[#This Row],[2F2 - PDB 3 - WH Truck &amp; Battery Charging]]</f>
        <v>608.8640000000014</v>
      </c>
      <c r="EL51">
        <f>(CK52-Table2[[#This Row],[PDB - 11 Truck Charging]])*1000</f>
        <v>66.000000000002501</v>
      </c>
      <c r="EM51">
        <f>P52-Table2[[#This Row],[5F3 Admin Area]]</f>
        <v>371.1359999999404</v>
      </c>
      <c r="EN51">
        <f>AH52-Table2[[#This Row],[2F5 Main Gate-1 Piller -1]]</f>
        <v>114.36800000001676</v>
      </c>
      <c r="EO51">
        <f>CW52-Table2[[#This Row],[6F2 Ground Floor AC]]</f>
        <v>31.699200000002747</v>
      </c>
      <c r="EP51">
        <f>CX52-Table2[[#This Row],[6F3 ACBD -1 (First floor AC)]]</f>
        <v>8.4447999999974854</v>
      </c>
      <c r="EQ51">
        <f>CY52-Table2[[#This Row],[6F4 ACBD - 2 (Second &amp; Third floor AC)]]</f>
        <v>120.06400000001304</v>
      </c>
      <c r="ER51">
        <f>(BC52-Table2[[#This Row],[4F Old BMC cooling Unit]])</f>
        <v>0</v>
      </c>
      <c r="ES51">
        <f>BO52-Table2[[#This Row],[2F4 - Old BMC]]</f>
        <v>0</v>
      </c>
      <c r="ET51">
        <f>Y52-Table2[[#This Row],[14F2 New CK]]</f>
        <v>1825.7600000000093</v>
      </c>
      <c r="EU51">
        <f>(CL52-Table2[[#This Row],[OLD Ck Panel-1]])*1000</f>
        <v>704.99999999992724</v>
      </c>
      <c r="EV51">
        <f>CM52-Table2[[#This Row],[2F4 Old CK Blast (Blue star)]]</f>
        <v>0</v>
      </c>
      <c r="EW51">
        <f>CN52-Table2[[#This Row],[3F6 Old CK Blast (Carrier)]]</f>
        <v>573.60000000000582</v>
      </c>
      <c r="EX51">
        <f>(CO52-Table2[[#This Row],[Old CK Panel -2]])*1000</f>
        <v>1548.9999999999782</v>
      </c>
      <c r="EY51">
        <f>N52-Table2[[#This Row],[4F1 Main UPS 1/C -1]]</f>
        <v>1046.7199999999721</v>
      </c>
      <c r="EZ51">
        <f>Z52-Table2[[#This Row],[15F1 Main UPS Panel - I/C - 2]]</f>
        <v>0</v>
      </c>
      <c r="FA51">
        <f>BF52-Table2[[#This Row],[2F CLC -1 AC unit - 2]]</f>
        <v>0</v>
      </c>
      <c r="FB51">
        <f>(BG52-Table2[[#This Row],[2F CLC Anti room]])*1000</f>
        <v>34.999999999996589</v>
      </c>
      <c r="FC51">
        <f>BW52-Table2[[#This Row],[7F3 CLC Power Panel]]</f>
        <v>288.95999999996275</v>
      </c>
      <c r="FD51">
        <f>(CI52-Table2[[#This Row],[PDB - 17 CLC Section ]])*1000</f>
        <v>206.99999999999363</v>
      </c>
      <c r="FE51">
        <f>(W52-Table2[[#This Row],[13F3 Water &amp; Lift Old CK]])*1000</f>
        <v>740.99999999998545</v>
      </c>
      <c r="FF51">
        <f>AA52-Table2[[#This Row],[15F2 New ETP Panel]]</f>
        <v>273.15200000000186</v>
      </c>
      <c r="FG51">
        <f>AL52-Table2[[#This Row],[3F4 Old ETP Panel]]</f>
        <v>70.655999999959022</v>
      </c>
      <c r="FH51">
        <f>AF52-Table2[[#This Row],[2F1 RO Plant]]</f>
        <v>595.45600000000559</v>
      </c>
      <c r="FI51">
        <f>AK52-Table2[[#This Row],[3F3 Fire Hydrant Panel]]</f>
        <v>12.98399999999674</v>
      </c>
      <c r="FJ51">
        <f>R52-Table2[[#This Row],[7F1 Freon System Panel]]</f>
        <v>5606.3999999994412</v>
      </c>
      <c r="FK51">
        <f>(AE52-Table2[[#This Row],[21F1 Refrigeration Ammonia]])*1000</f>
        <v>7752.0000000004075</v>
      </c>
      <c r="FL51">
        <f>(AG52-Table2[[#This Row],[2F3 Air Compressor]])*1000</f>
        <v>1379.9999999998818</v>
      </c>
      <c r="FM51">
        <f>(AX52-Table2[[#This Row],[Solar Reading Panel II]])*1000</f>
        <v>2701.0000000000218</v>
      </c>
      <c r="FN51">
        <f>AI52-Table2[[#This Row],[3F1 Maintenance Workshop]]</f>
        <v>5.3135999999994965</v>
      </c>
      <c r="FO51">
        <f>BD52-Table2[[#This Row],[4F B2B unit ]]</f>
        <v>56.960000000020955</v>
      </c>
      <c r="FP51">
        <f>BL52-Table2[[#This Row],[2F1 - PDB 6 - Bread, B2B section]]</f>
        <v>94.751999999993131</v>
      </c>
      <c r="FQ51">
        <f>(CG52-Table2[[#This Row],[9F5 - PDB 14 - Bread Lift]])</f>
        <v>3.9679999999934807</v>
      </c>
      <c r="FR51">
        <f>CJ52-Table2[[#This Row],[PDB - 16 Bread Section]]</f>
        <v>0</v>
      </c>
      <c r="FS51">
        <f>BU52-Table2[[#This Row],[7F1 Donut Production area]]</f>
        <v>183.87199999997392</v>
      </c>
      <c r="FT51">
        <f>CB52-Table2[[#This Row],[8F5 Donut Ban Bary]]</f>
        <v>48.815999999991618</v>
      </c>
      <c r="FU51">
        <f>CF52-Table2[[#This Row],[9F4 - PDB 13 - Donut Sink Geyser area]]</f>
        <v>23.920000000012806</v>
      </c>
      <c r="FV51">
        <f>BV52-Table2[[#This Row],[7F2 Flour Silo]]</f>
        <v>467.76000000000931</v>
      </c>
      <c r="FW51">
        <f>BY52-Table2[[#This Row],[8F2 ACPDB - 3 SILO Ventilation]]</f>
        <v>42.880000000004657</v>
      </c>
      <c r="FX51">
        <f>J52-Table2[[#This Row],[DG 1010KVA Running Hours]]</f>
        <v>0</v>
      </c>
      <c r="FY51">
        <f>K52-Table2[[#This Row],[DG 1010 KVA Meter Reading]]</f>
        <v>0</v>
      </c>
      <c r="FZ51">
        <f>L52-Table2[[#This Row],[GG 1010 KVA Running Hours]]</f>
        <v>0</v>
      </c>
      <c r="GA51">
        <f>M52-Table2[[#This Row],[GG 1010 KVA Meter Reading]]</f>
        <v>0</v>
      </c>
    </row>
    <row r="52" spans="1:183" x14ac:dyDescent="0.35">
      <c r="A52" s="1">
        <v>62</v>
      </c>
      <c r="B52" s="60">
        <v>46254.402060185188</v>
      </c>
      <c r="C52" s="60">
        <v>46254.448622685188</v>
      </c>
      <c r="D52" s="1" t="s">
        <v>111</v>
      </c>
      <c r="E52" s="1"/>
      <c r="F52" s="1"/>
      <c r="G52" s="3">
        <v>46254</v>
      </c>
      <c r="H52" s="1" t="s">
        <v>186</v>
      </c>
      <c r="I52" s="6">
        <v>7376.8819999999996</v>
      </c>
      <c r="J52" s="6">
        <v>4276.3</v>
      </c>
      <c r="K52" s="6">
        <v>1777570</v>
      </c>
      <c r="L52" s="6">
        <v>456</v>
      </c>
      <c r="M52" s="6">
        <v>191.81</v>
      </c>
      <c r="N52" s="6">
        <v>1884096.64</v>
      </c>
      <c r="O52" s="6">
        <v>4630570.88</v>
      </c>
      <c r="P52" s="6">
        <v>651960.89599999995</v>
      </c>
      <c r="Q52" s="6">
        <v>8137201.2800000003</v>
      </c>
      <c r="R52" s="6">
        <v>5633561.5999999996</v>
      </c>
      <c r="S52" s="6">
        <v>7420307.2000000002</v>
      </c>
      <c r="T52" s="6">
        <v>43416915.423</v>
      </c>
      <c r="U52" s="6">
        <v>2123659.6800000002</v>
      </c>
      <c r="V52" s="6">
        <v>5144041.5999999996</v>
      </c>
      <c r="W52" s="6">
        <v>1603.6570999999999</v>
      </c>
      <c r="X52" s="6">
        <v>778470.52800000005</v>
      </c>
      <c r="Y52" s="6">
        <v>1114637.1200000001</v>
      </c>
      <c r="Z52" s="6">
        <v>2777.8894</v>
      </c>
      <c r="AA52" s="6">
        <v>673103.55200000003</v>
      </c>
      <c r="AB52" s="6">
        <v>421464.25599999999</v>
      </c>
      <c r="AC52" s="6">
        <v>2150488.3199999998</v>
      </c>
      <c r="AD52" s="6">
        <v>4264829.9929999998</v>
      </c>
      <c r="AE52" s="6">
        <v>12924.6608</v>
      </c>
      <c r="AF52" s="6">
        <v>884694.20799999998</v>
      </c>
      <c r="AG52" s="6">
        <v>1420.3979999999999</v>
      </c>
      <c r="AH52" s="6">
        <v>135186.64000000001</v>
      </c>
      <c r="AI52" s="6">
        <v>14713.384</v>
      </c>
      <c r="AJ52" s="6">
        <v>145390.54399999999</v>
      </c>
      <c r="AK52" s="6">
        <v>105419.4</v>
      </c>
      <c r="AL52" s="6">
        <v>331801.02399999998</v>
      </c>
      <c r="AM52" s="6">
        <v>1001.924</v>
      </c>
      <c r="AN52" s="6">
        <v>251.7</v>
      </c>
      <c r="AO52" s="6">
        <v>6.9</v>
      </c>
      <c r="AP52" s="6">
        <v>627372</v>
      </c>
      <c r="AQ52" s="6">
        <v>42646</v>
      </c>
      <c r="AR52" s="6">
        <v>42101</v>
      </c>
      <c r="AS52" s="6">
        <v>0</v>
      </c>
      <c r="AT52" s="6">
        <v>0</v>
      </c>
      <c r="AU52" s="6">
        <v>16029</v>
      </c>
      <c r="AV52" s="6">
        <v>6659</v>
      </c>
      <c r="AW52" s="6">
        <v>21.039746000000001</v>
      </c>
      <c r="AX52" s="6">
        <v>7278.7389999999996</v>
      </c>
      <c r="AY52" s="6">
        <v>681.26559999999995</v>
      </c>
      <c r="AZ52" s="6">
        <v>20.788</v>
      </c>
      <c r="BA52" s="6">
        <v>10728</v>
      </c>
      <c r="BB52" s="6">
        <v>45.5</v>
      </c>
      <c r="BC52" s="6">
        <v>114024.568</v>
      </c>
      <c r="BD52" s="6">
        <v>276874.848</v>
      </c>
      <c r="BE52" s="6">
        <v>3746.7815999999998</v>
      </c>
      <c r="BF52" s="6">
        <v>1714.182</v>
      </c>
      <c r="BG52" s="6">
        <v>75.536000000000001</v>
      </c>
      <c r="BH52" s="6">
        <v>371.399</v>
      </c>
      <c r="BI52" s="6">
        <v>923.23299999999995</v>
      </c>
      <c r="BJ52" s="6">
        <v>15.561</v>
      </c>
      <c r="BK52" s="6">
        <v>568.50199999999995</v>
      </c>
      <c r="BL52" s="6">
        <v>75693.286399999997</v>
      </c>
      <c r="BM52" s="6">
        <v>317198.88</v>
      </c>
      <c r="BN52" s="6">
        <v>7255.4816000000001</v>
      </c>
      <c r="BO52" s="6">
        <v>53589.132799999999</v>
      </c>
      <c r="BP52" s="6">
        <v>316165.82400000002</v>
      </c>
      <c r="BQ52" s="6">
        <v>329.40800000000002</v>
      </c>
      <c r="BR52" s="6">
        <v>183.55</v>
      </c>
      <c r="BS52" s="6">
        <v>1032527.591</v>
      </c>
      <c r="BT52" s="6">
        <v>1400623.4669999999</v>
      </c>
      <c r="BU52" s="6">
        <v>632893.18400000001</v>
      </c>
      <c r="BV52" s="6">
        <v>1032965.28</v>
      </c>
      <c r="BW52" s="6">
        <v>572726.78399999999</v>
      </c>
      <c r="BX52" s="6">
        <v>1037096.32</v>
      </c>
      <c r="BY52" s="6">
        <v>158552.304</v>
      </c>
      <c r="BZ52" s="6">
        <v>114791.376</v>
      </c>
      <c r="CA52" s="6">
        <v>1244.5895</v>
      </c>
      <c r="CB52" s="6">
        <v>109550.336</v>
      </c>
      <c r="CC52" s="6">
        <v>152850.592</v>
      </c>
      <c r="CD52" s="6">
        <v>450034.43199999997</v>
      </c>
      <c r="CE52" s="6">
        <v>49140.988799999999</v>
      </c>
      <c r="CF52" s="6">
        <v>156334.992</v>
      </c>
      <c r="CG52" s="6">
        <v>360943.58399999997</v>
      </c>
      <c r="CH52" s="6">
        <v>2385.8710000000001</v>
      </c>
      <c r="CI52" s="6">
        <v>217.202</v>
      </c>
      <c r="CJ52" s="6">
        <v>1191.5999999999999</v>
      </c>
      <c r="CK52" s="6">
        <v>78.87</v>
      </c>
      <c r="CL52" s="6">
        <v>744.17899999999997</v>
      </c>
      <c r="CM52" s="6">
        <v>551.4</v>
      </c>
      <c r="CN52" s="6">
        <v>53285.8</v>
      </c>
      <c r="CO52" s="6">
        <v>1670.797</v>
      </c>
      <c r="CP52" s="6">
        <v>297482.663</v>
      </c>
      <c r="CQ52" s="6">
        <v>3708129.6</v>
      </c>
      <c r="CR52" s="6">
        <v>132423.984</v>
      </c>
      <c r="CS52" s="6">
        <v>519998.11200000002</v>
      </c>
      <c r="CT52" s="6">
        <v>2993833.8859999999</v>
      </c>
      <c r="CU52" s="6">
        <v>303710.26299999998</v>
      </c>
      <c r="CV52" s="6">
        <v>30201.321599999999</v>
      </c>
      <c r="CW52" s="6">
        <v>63396.524799999999</v>
      </c>
      <c r="CX52" s="6">
        <v>33518.041599999997</v>
      </c>
      <c r="CY52" s="6">
        <v>170191.61600000001</v>
      </c>
      <c r="CZ52" s="6">
        <v>219315.856</v>
      </c>
      <c r="DA52" s="6">
        <v>19233.259999999998</v>
      </c>
      <c r="DB52" s="6">
        <v>152218.90100000001</v>
      </c>
      <c r="DC52" s="6">
        <v>3147.55</v>
      </c>
      <c r="DD52" s="6">
        <f>DD51+6.23</f>
        <v>3120.1899999999996</v>
      </c>
      <c r="DE52" s="6">
        <v>3177.06</v>
      </c>
      <c r="DF52" s="6">
        <v>0.997</v>
      </c>
      <c r="DG52" s="1" t="s">
        <v>254</v>
      </c>
      <c r="DH52" s="4">
        <f>Table2[[#This Row],[Date]]</f>
        <v>46254</v>
      </c>
      <c r="DI52">
        <f>(DD53-Table2[[#This Row],[MWH Total]])*4000</f>
        <v>23079.999999999927</v>
      </c>
      <c r="DJ52">
        <f>(DA53-Table2[[#This Row],[PNG Meter (Outside)]])*2.936</f>
        <v>92.806960000001709</v>
      </c>
      <c r="DK52">
        <f>(DB53-Table2[[#This Row],[PNG Meter (Inside)]])*2.936</f>
        <v>314.22246399992889</v>
      </c>
      <c r="DL52">
        <f>(BH53-Table2[[#This Row],[3F Dough cooler - 2 ]])*1000</f>
        <v>389.99999999998636</v>
      </c>
      <c r="DM52">
        <f>(BI53-Table2[[#This Row],[3F Dough Cooler- 1]])*1000</f>
        <v>492.00000000007549</v>
      </c>
      <c r="DN52">
        <f>(BJ53-Table2[[#This Row],[4F Dough Production cooling Unit]])*1000</f>
        <v>53.000000000000824</v>
      </c>
      <c r="DO52">
        <f>(BQ53-Table2[[#This Row],[3F2 - PDB 3 - Dough Production Area]])*1000</f>
        <v>260.99999999996726</v>
      </c>
      <c r="DP52">
        <f>(BR53-Table2[[#This Row],[3F3 - PDB 4 - Dough Area]])*1000</f>
        <v>161.00000000000136</v>
      </c>
      <c r="DQ52">
        <f>AC53-Table2[[#This Row],[16F1 Tray washer Panel for Light]]</f>
        <v>713.92000000039116</v>
      </c>
      <c r="DR52">
        <f>CQ53-Table2[[#This Row],[2F1 Tray Washer - 1]]</f>
        <v>1237.1200000001118</v>
      </c>
      <c r="DS52">
        <f>CS53-Table2[[#This Row],[2F5 Destacker]]</f>
        <v>353.34399999998277</v>
      </c>
      <c r="DT52">
        <f>CU53-Table2[[#This Row],[5F1 Metering (TW-2)]]</f>
        <v>280.41800000000512</v>
      </c>
      <c r="DU52" s="1">
        <f>CV53-Table2[[#This Row],[6F1 Pre soaker Tray washer]]</f>
        <v>2.2943999999988591</v>
      </c>
      <c r="DV52">
        <f>CZ53-Table2[[#This Row],[6F5 Vent tray Storage]]</f>
        <v>125.79199999998673</v>
      </c>
      <c r="DW52" s="1">
        <f>I53-Table2[[#This Row],[Popeyes Meter ]]</f>
        <v>72.119999999999891</v>
      </c>
      <c r="DX52">
        <f>AZ53-Table2[[#This Row],[2F WH Chiller, Segregation Area]]</f>
        <v>0</v>
      </c>
      <c r="DY52">
        <f>BA53-Table2[[#This Row],[3F1 AC Unit WH dock cooling - 2 Nos]]</f>
        <v>24</v>
      </c>
      <c r="DZ52">
        <f>BB53-Table2[[#This Row],[3F2 AC Unit WH dock cooling - 3 Nos]]</f>
        <v>5.4999999999999716E-2</v>
      </c>
      <c r="EA52">
        <f>(BK53-Table2[[#This Row],[5F WH Perishable]])*1000</f>
        <v>265.00000000010004</v>
      </c>
      <c r="EB52">
        <f>BN53-Table2[[#This Row],[2F3 - PDB 9 - WH Dock Leveler Door ]]</f>
        <v>4.7295999999996639</v>
      </c>
      <c r="EC52">
        <f>BP53-Table2[[#This Row],[3F1 - PDB 5 - WH HSD]]</f>
        <v>110.7839999999851</v>
      </c>
      <c r="ED52">
        <f>BX53-Table2[[#This Row],[8F1 WH Dock AHU - Ventilation]]</f>
        <v>1518.1600000000326</v>
      </c>
      <c r="EE52">
        <f>BZ53-Table2[[#This Row],[8F3 ACPDB - 4 WH Dock air curtain]]</f>
        <v>29.255999999993946</v>
      </c>
      <c r="EF52">
        <f>CA53-Table2[[#This Row],[8F4 WH Light]]</f>
        <v>0</v>
      </c>
      <c r="EG52">
        <f>CC53-Table2[[#This Row],[9F1 - PDB 10 - WH Dock door &amp; Office]]</f>
        <v>103.96799999999348</v>
      </c>
      <c r="EH52">
        <f>CD53-Table2[[#This Row],[9F2 - PDB 11 - WH flycatchers]]</f>
        <v>349.2160000000149</v>
      </c>
      <c r="EI52">
        <f>CE53-Table2[[#This Row],[9F3 - PDB 12 - Other items]]</f>
        <v>0</v>
      </c>
      <c r="EJ52">
        <f>CR53-Table2[[#This Row],[2F3 - PDB 1 - Dock 1 to 4 ]]</f>
        <v>64.592000000004191</v>
      </c>
      <c r="EK52">
        <f>BM53-Table2[[#This Row],[2F2 - PDB 3 - WH Truck &amp; Battery Charging]]</f>
        <v>530.88000000000466</v>
      </c>
      <c r="EL52">
        <f>(CK53-Table2[[#This Row],[PDB - 11 Truck Charging]])*1000</f>
        <v>102.99999999999443</v>
      </c>
      <c r="EM52">
        <f>P53-Table2[[#This Row],[5F3 Admin Area]]</f>
        <v>405.05600000009872</v>
      </c>
      <c r="EN52">
        <f>AH53-Table2[[#This Row],[2F5 Main Gate-1 Piller -1]]</f>
        <v>127.10399999999208</v>
      </c>
      <c r="EO52">
        <f>CW53-Table2[[#This Row],[6F2 Ground Floor AC]]</f>
        <v>17.84320000000298</v>
      </c>
      <c r="EP52">
        <f>CX53-Table2[[#This Row],[6F3 ACBD -1 (First floor AC)]]</f>
        <v>8.5536000000065542</v>
      </c>
      <c r="EQ52">
        <f>CY53-Table2[[#This Row],[6F4 ACBD - 2 (Second &amp; Third floor AC)]]</f>
        <v>98.36799999998766</v>
      </c>
      <c r="ER52">
        <f>(BC53-Table2[[#This Row],[4F Old BMC cooling Unit]])</f>
        <v>0</v>
      </c>
      <c r="ES52">
        <f>BO53-Table2[[#This Row],[2F4 - Old BMC]]</f>
        <v>0</v>
      </c>
      <c r="ET52">
        <f>Y53-Table2[[#This Row],[14F2 New CK]]</f>
        <v>1766.8799999998882</v>
      </c>
      <c r="EU52">
        <f>(CL53-Table2[[#This Row],[OLD Ck Panel-1]])*1000</f>
        <v>671.00000000004911</v>
      </c>
      <c r="EV52">
        <f>CM53-Table2[[#This Row],[2F4 Old CK Blast (Blue star)]]</f>
        <v>0</v>
      </c>
      <c r="EW52">
        <f>CN53-Table2[[#This Row],[3F6 Old CK Blast (Carrier)]]</f>
        <v>540.19999999999709</v>
      </c>
      <c r="EX52">
        <f>(CO53-Table2[[#This Row],[Old CK Panel -2]])*1000</f>
        <v>1412.0000000000346</v>
      </c>
      <c r="EY52">
        <f>N53-Table2[[#This Row],[4F1 Main UPS 1/C -1]]</f>
        <v>1066.2399999999907</v>
      </c>
      <c r="EZ52">
        <f>Z53-Table2[[#This Row],[15F1 Main UPS Panel - I/C - 2]]</f>
        <v>0</v>
      </c>
      <c r="FA52">
        <f>BF53-Table2[[#This Row],[2F CLC -1 AC unit - 2]]</f>
        <v>0</v>
      </c>
      <c r="FB52">
        <f>(BG53-Table2[[#This Row],[2F CLC Anti room]])*1000</f>
        <v>36.000000000001364</v>
      </c>
      <c r="FC52">
        <f>BW53-Table2[[#This Row],[7F3 CLC Power Panel]]</f>
        <v>295.35999999998603</v>
      </c>
      <c r="FD52">
        <f>(CI53-Table2[[#This Row],[PDB - 17 CLC Section ]])*1000</f>
        <v>210.00000000000796</v>
      </c>
      <c r="FE52">
        <f>(W53-Table2[[#This Row],[13F3 Water &amp; Lift Old CK]])*1000</f>
        <v>863.90000000005784</v>
      </c>
      <c r="FF52">
        <f>AA53-Table2[[#This Row],[15F2 New ETP Panel]]</f>
        <v>274.55999999993946</v>
      </c>
      <c r="FG52">
        <f>AL53-Table2[[#This Row],[3F4 Old ETP Panel]]</f>
        <v>73.472000000008848</v>
      </c>
      <c r="FH52">
        <f>AF53-Table2[[#This Row],[2F1 RO Plant]]</f>
        <v>590.7839999999851</v>
      </c>
      <c r="FI52">
        <f>AK53-Table2[[#This Row],[3F3 Fire Hydrant Panel]]</f>
        <v>8.2240000000019791</v>
      </c>
      <c r="FJ52">
        <f>R53-Table2[[#This Row],[7F1 Freon System Panel]]</f>
        <v>5068.160000000149</v>
      </c>
      <c r="FK52">
        <f>(AE53-Table2[[#This Row],[21F1 Refrigeration Ammonia]])*1000</f>
        <v>8312.7999999996973</v>
      </c>
      <c r="FL52">
        <f>(AG53-Table2[[#This Row],[2F3 Air Compressor]])*1000</f>
        <v>1349.0000000001601</v>
      </c>
      <c r="FM52">
        <f>(AX53-Table2[[#This Row],[Solar Reading Panel II]])*1000</f>
        <v>3304.0000000000873</v>
      </c>
      <c r="FN52">
        <f>AI53-Table2[[#This Row],[3F1 Maintenance Workshop]]</f>
        <v>6.4959999999991851</v>
      </c>
      <c r="FO52">
        <f>BD53-Table2[[#This Row],[4F B2B unit ]]</f>
        <v>29.311999999976251</v>
      </c>
      <c r="FP52">
        <f>BL53-Table2[[#This Row],[2F1 - PDB 6 - Bread, B2B section]]</f>
        <v>71.411200000002282</v>
      </c>
      <c r="FQ52">
        <f>(CG53-Table2[[#This Row],[9F5 - PDB 14 - Bread Lift]])</f>
        <v>1.0880000000470318</v>
      </c>
      <c r="FR52">
        <f>CJ53-Table2[[#This Row],[PDB - 16 Bread Section]]</f>
        <v>0</v>
      </c>
      <c r="FS52">
        <f>BU53-Table2[[#This Row],[7F1 Donut Production area]]</f>
        <v>194.4320000000298</v>
      </c>
      <c r="FT52">
        <f>CB53-Table2[[#This Row],[8F5 Donut Ban Bary]]</f>
        <v>39.8240000000078</v>
      </c>
      <c r="FU52">
        <f>CF53-Table2[[#This Row],[9F4 - PDB 13 - Donut Sink Geyser area]]</f>
        <v>17.760000000009313</v>
      </c>
      <c r="FV52">
        <f>BV53-Table2[[#This Row],[7F2 Flour Silo]]</f>
        <v>501.76000000000931</v>
      </c>
      <c r="FW52">
        <f>BY53-Table2[[#This Row],[8F2 ACPDB - 3 SILO Ventilation]]</f>
        <v>44.815999999991618</v>
      </c>
      <c r="FX52">
        <f>J53-Table2[[#This Row],[DG 1010KVA Running Hours]]</f>
        <v>0.5999999999994543</v>
      </c>
      <c r="FY52">
        <f>K53-Table2[[#This Row],[DG 1010 KVA Meter Reading]]</f>
        <v>240</v>
      </c>
      <c r="FZ52">
        <f>L53-Table2[[#This Row],[GG 1010 KVA Running Hours]]</f>
        <v>1</v>
      </c>
      <c r="GA52">
        <f>M53-Table2[[#This Row],[GG 1010 KVA Meter Reading]]</f>
        <v>0.22999999999998977</v>
      </c>
    </row>
    <row r="53" spans="1:183" x14ac:dyDescent="0.35">
      <c r="A53" s="1">
        <v>63</v>
      </c>
      <c r="B53" s="60">
        <v>46255.442013888889</v>
      </c>
      <c r="C53" s="60">
        <v>46255.480821759258</v>
      </c>
      <c r="D53" s="1" t="s">
        <v>111</v>
      </c>
      <c r="E53" s="1"/>
      <c r="F53" s="1"/>
      <c r="G53" s="3">
        <v>46255</v>
      </c>
      <c r="H53" s="1" t="s">
        <v>186</v>
      </c>
      <c r="I53" s="6">
        <f>I52-I51+I52</f>
        <v>7449.0019999999995</v>
      </c>
      <c r="J53" s="6">
        <v>4276.8999999999996</v>
      </c>
      <c r="K53" s="6">
        <v>1777810</v>
      </c>
      <c r="L53" s="6">
        <v>457</v>
      </c>
      <c r="M53" s="6">
        <v>192.04</v>
      </c>
      <c r="N53" s="6">
        <v>1885162.88</v>
      </c>
      <c r="O53" s="6">
        <v>4632618.5599999996</v>
      </c>
      <c r="P53" s="6">
        <v>652365.95200000005</v>
      </c>
      <c r="Q53" s="6">
        <v>8140754.5599999996</v>
      </c>
      <c r="R53" s="6">
        <v>5638629.7599999998</v>
      </c>
      <c r="S53" s="6">
        <v>7424080</v>
      </c>
      <c r="T53" s="6">
        <v>42976363.261</v>
      </c>
      <c r="U53" s="6">
        <v>2124872.7999999998</v>
      </c>
      <c r="V53" s="6">
        <v>5145777.5999999996</v>
      </c>
      <c r="W53" s="6">
        <v>1604.521</v>
      </c>
      <c r="X53" s="6">
        <v>778755.58400000003</v>
      </c>
      <c r="Y53" s="6">
        <v>1116404</v>
      </c>
      <c r="Z53" s="6">
        <v>2777.8894</v>
      </c>
      <c r="AA53" s="6">
        <v>673378.11199999996</v>
      </c>
      <c r="AB53" s="6">
        <v>421481.08799999999</v>
      </c>
      <c r="AC53" s="6">
        <v>2151202.2400000002</v>
      </c>
      <c r="AD53" s="6">
        <v>4280901.7529999996</v>
      </c>
      <c r="AE53" s="6">
        <v>12932.973599999999</v>
      </c>
      <c r="AF53" s="6">
        <v>885284.99199999997</v>
      </c>
      <c r="AG53" s="6">
        <v>1421.7470000000001</v>
      </c>
      <c r="AH53" s="6">
        <v>135313.74400000001</v>
      </c>
      <c r="AI53" s="6">
        <v>14719.88</v>
      </c>
      <c r="AJ53" s="6">
        <v>145393.05600000001</v>
      </c>
      <c r="AK53" s="6">
        <v>105427.624</v>
      </c>
      <c r="AL53" s="6">
        <v>331874.49599999998</v>
      </c>
      <c r="AM53" s="6">
        <v>1002.553</v>
      </c>
      <c r="AN53" s="6">
        <v>330.4</v>
      </c>
      <c r="AO53" s="6">
        <v>7.4</v>
      </c>
      <c r="AP53" s="6">
        <v>637908</v>
      </c>
      <c r="AQ53" s="6">
        <v>42670</v>
      </c>
      <c r="AR53" s="6">
        <v>42125</v>
      </c>
      <c r="AS53" s="6">
        <v>0</v>
      </c>
      <c r="AT53" s="6">
        <v>0</v>
      </c>
      <c r="AU53" s="6">
        <v>16054</v>
      </c>
      <c r="AV53" s="6">
        <v>6672</v>
      </c>
      <c r="AW53" s="6">
        <v>21.047830000000001</v>
      </c>
      <c r="AX53" s="6">
        <v>7282.0429999999997</v>
      </c>
      <c r="AY53" s="6">
        <v>681.48504000000003</v>
      </c>
      <c r="AZ53" s="6">
        <v>20.788</v>
      </c>
      <c r="BA53" s="6">
        <v>10752</v>
      </c>
      <c r="BB53" s="6">
        <v>45.555</v>
      </c>
      <c r="BC53" s="6">
        <v>114024.568</v>
      </c>
      <c r="BD53" s="6">
        <v>276904.15999999997</v>
      </c>
      <c r="BE53" s="6">
        <v>3748.0783999999999</v>
      </c>
      <c r="BF53" s="6">
        <v>1714.182</v>
      </c>
      <c r="BG53" s="6">
        <v>75.572000000000003</v>
      </c>
      <c r="BH53" s="6">
        <v>371.78899999999999</v>
      </c>
      <c r="BI53" s="6">
        <v>923.72500000000002</v>
      </c>
      <c r="BJ53" s="6">
        <v>15.614000000000001</v>
      </c>
      <c r="BK53" s="6">
        <v>568.76700000000005</v>
      </c>
      <c r="BL53" s="6">
        <v>75764.6976</v>
      </c>
      <c r="BM53" s="6">
        <v>317729.76</v>
      </c>
      <c r="BN53" s="6">
        <v>7260.2111999999997</v>
      </c>
      <c r="BO53" s="6">
        <v>53589.132799999999</v>
      </c>
      <c r="BP53" s="6">
        <v>316276.60800000001</v>
      </c>
      <c r="BQ53" s="6">
        <v>329.66899999999998</v>
      </c>
      <c r="BR53" s="6">
        <v>183.71100000000001</v>
      </c>
      <c r="BS53" s="6">
        <v>1033715.1189999999</v>
      </c>
      <c r="BT53" s="6">
        <v>1400623.4890000001</v>
      </c>
      <c r="BU53" s="6">
        <v>633087.61600000004</v>
      </c>
      <c r="BV53" s="6">
        <v>1033467.04</v>
      </c>
      <c r="BW53" s="6">
        <v>573022.14399999997</v>
      </c>
      <c r="BX53" s="6">
        <v>1038614.48</v>
      </c>
      <c r="BY53" s="6">
        <v>158597.12</v>
      </c>
      <c r="BZ53" s="6">
        <v>114820.632</v>
      </c>
      <c r="CA53" s="6">
        <v>1244.5895</v>
      </c>
      <c r="CB53" s="6">
        <v>109590.16</v>
      </c>
      <c r="CC53" s="6">
        <v>152954.56</v>
      </c>
      <c r="CD53" s="6">
        <v>450383.64799999999</v>
      </c>
      <c r="CE53" s="6">
        <v>49140.988799999999</v>
      </c>
      <c r="CF53" s="6">
        <v>156352.75200000001</v>
      </c>
      <c r="CG53" s="6">
        <v>360944.67200000002</v>
      </c>
      <c r="CH53" s="6">
        <v>2385.8710000000001</v>
      </c>
      <c r="CI53" s="6">
        <v>217.41200000000001</v>
      </c>
      <c r="CJ53" s="6">
        <v>1191.5999999999999</v>
      </c>
      <c r="CK53" s="6">
        <v>78.972999999999999</v>
      </c>
      <c r="CL53" s="6">
        <v>744.85</v>
      </c>
      <c r="CM53" s="6">
        <v>551.4</v>
      </c>
      <c r="CN53" s="6">
        <v>53826</v>
      </c>
      <c r="CO53" s="6">
        <v>1672.2090000000001</v>
      </c>
      <c r="CP53" s="6">
        <v>297727.88400000002</v>
      </c>
      <c r="CQ53" s="6">
        <v>3709366.72</v>
      </c>
      <c r="CR53" s="6">
        <v>132488.576</v>
      </c>
      <c r="CS53" s="6">
        <v>520351.45600000001</v>
      </c>
      <c r="CT53" s="6">
        <v>2997677.889</v>
      </c>
      <c r="CU53" s="6">
        <v>303990.68099999998</v>
      </c>
      <c r="CV53" s="6">
        <f>CV52+CV52-CV51</f>
        <v>30203.615999999998</v>
      </c>
      <c r="CW53" s="6">
        <v>63414.368000000002</v>
      </c>
      <c r="CX53" s="6">
        <v>33526.595200000003</v>
      </c>
      <c r="CY53" s="6">
        <v>170289.984</v>
      </c>
      <c r="CZ53" s="6">
        <v>219441.64799999999</v>
      </c>
      <c r="DA53" s="6">
        <v>19264.87</v>
      </c>
      <c r="DB53" s="6">
        <v>152325.92499999999</v>
      </c>
      <c r="DC53" s="6">
        <v>3151.44</v>
      </c>
      <c r="DD53" s="6">
        <f>DD52+5.77</f>
        <v>3125.9599999999996</v>
      </c>
      <c r="DE53" s="6">
        <v>3180.57</v>
      </c>
      <c r="DF53" s="6">
        <v>0.999</v>
      </c>
      <c r="DG53" s="1" t="s">
        <v>292</v>
      </c>
      <c r="DH53" s="4">
        <f>Table2[[#This Row],[Date]]</f>
        <v>46255</v>
      </c>
      <c r="DI53">
        <f>(DD54-Table2[[#This Row],[MWH Total]])*4000</f>
        <v>24079.999999999927</v>
      </c>
      <c r="DJ53">
        <f>(DA54-Table2[[#This Row],[PNG Meter (Outside)]])*2.936</f>
        <v>7.1638400000068359</v>
      </c>
      <c r="DK53">
        <f>(DB54-Table2[[#This Row],[PNG Meter (Inside)]])*2.936</f>
        <v>298.84369600006426</v>
      </c>
      <c r="DL53">
        <f>(BH54-Table2[[#This Row],[3F Dough cooler - 2 ]])*1000</f>
        <v>331.00000000001728</v>
      </c>
      <c r="DM53">
        <f>(BI54-Table2[[#This Row],[3F Dough Cooler- 1]])*1000</f>
        <v>466.00000000000819</v>
      </c>
      <c r="DN53">
        <f>(BJ54-Table2[[#This Row],[4F Dough Production cooling Unit]])*1000</f>
        <v>46.99999999999882</v>
      </c>
      <c r="DO53">
        <f>(BQ54-Table2[[#This Row],[3F2 - PDB 3 - Dough Production Area]])*1000</f>
        <v>228.00000000000864</v>
      </c>
      <c r="DP53">
        <f>(BR54-Table2[[#This Row],[3F3 - PDB 4 - Dough Area]])*1000</f>
        <v>127.9999999999859</v>
      </c>
      <c r="DQ53">
        <f>AC54-Table2[[#This Row],[16F1 Tray washer Panel for Light]]</f>
        <v>665.75999999977648</v>
      </c>
      <c r="DR53">
        <f>CQ54-Table2[[#This Row],[2F1 Tray Washer - 1]]</f>
        <v>1090.8799999998882</v>
      </c>
      <c r="DS53">
        <f>CS54-Table2[[#This Row],[2F5 Destacker]]</f>
        <v>359.26399999996647</v>
      </c>
      <c r="DT53">
        <f>CU54-Table2[[#This Row],[5F1 Metering (TW-2)]]</f>
        <v>272.64500000001863</v>
      </c>
      <c r="DU53">
        <f>CV54-Table2[[#This Row],[6F1 Pre soaker Tray washer]]</f>
        <v>2.8943999999974039</v>
      </c>
      <c r="DV53">
        <f>CZ54-Table2[[#This Row],[6F5 Vent tray Storage]]</f>
        <v>116.41600000002654</v>
      </c>
      <c r="DW53">
        <f>I54-Table2[[#This Row],[Popeyes Meter ]]</f>
        <v>21</v>
      </c>
      <c r="DX53">
        <f>AZ54-Table2[[#This Row],[2F WH Chiller, Segregation Area]]</f>
        <v>0</v>
      </c>
      <c r="DY53">
        <f>BA54-Table2[[#This Row],[3F1 AC Unit WH dock cooling - 2 Nos]]</f>
        <v>21</v>
      </c>
      <c r="DZ53">
        <f>BB54-Table2[[#This Row],[3F2 AC Unit WH dock cooling - 3 Nos]]</f>
        <v>4.0999999999996817E-2</v>
      </c>
      <c r="EA53">
        <f>(BK54-Table2[[#This Row],[5F WH Perishable]])*1000</f>
        <v>269.99999999998181</v>
      </c>
      <c r="EB53">
        <f>BN54-Table2[[#This Row],[2F3 - PDB 9 - WH Dock Leveler Door ]]</f>
        <v>1.4207999999998719</v>
      </c>
      <c r="EC53">
        <f>BP54-Table2[[#This Row],[3F1 - PDB 5 - WH HSD]]</f>
        <v>114.91200000001118</v>
      </c>
      <c r="ED53">
        <f>BX54-Table2[[#This Row],[8F1 WH Dock AHU - Ventilation]]</f>
        <v>1405.6800000000512</v>
      </c>
      <c r="EE53">
        <f>BZ54-Table2[[#This Row],[8F3 ACPDB - 4 WH Dock air curtain]]</f>
        <v>31.047999999995227</v>
      </c>
      <c r="EF53">
        <f>CA54-Table2[[#This Row],[8F4 WH Light]]</f>
        <v>0</v>
      </c>
      <c r="EG53">
        <f>CC54-Table2[[#This Row],[9F1 - PDB 10 - WH Dock door &amp; Office]]</f>
        <v>149.51999999998952</v>
      </c>
      <c r="EH53">
        <f>CD54-Table2[[#This Row],[9F2 - PDB 11 - WH flycatchers]]</f>
        <v>211.35999999998603</v>
      </c>
      <c r="EI53">
        <f>CE54-Table2[[#This Row],[9F3 - PDB 12 - Other items]]</f>
        <v>0</v>
      </c>
      <c r="EJ53">
        <f>CR54-Table2[[#This Row],[2F3 - PDB 1 - Dock 1 to 4 ]]</f>
        <v>58.896000000007916</v>
      </c>
      <c r="EK53">
        <f>BM54-Table2[[#This Row],[2F2 - PDB 3 - WH Truck &amp; Battery Charging]]</f>
        <v>485.47200000000885</v>
      </c>
      <c r="EL53">
        <f>(CK54-Table2[[#This Row],[PDB - 11 Truck Charging]])*1000</f>
        <v>67.000000000007276</v>
      </c>
      <c r="EM53">
        <f>P54-Table2[[#This Row],[5F3 Admin Area]]</f>
        <v>366.52799999993294</v>
      </c>
      <c r="EN53">
        <f>AH54-Table2[[#This Row],[2F5 Main Gate-1 Piller -1]]</f>
        <v>128.94399999998859</v>
      </c>
      <c r="EO53">
        <f>CW54-Table2[[#This Row],[6F2 Ground Floor AC]]</f>
        <v>11.718399999997928</v>
      </c>
      <c r="EP53">
        <f>CX54-Table2[[#This Row],[6F3 ACBD -1 (First floor AC)]]</f>
        <v>7.9775999999983469</v>
      </c>
      <c r="EQ53">
        <f>CY54-Table2[[#This Row],[6F4 ACBD - 2 (Second &amp; Third floor AC)]]</f>
        <v>114.11199999999371</v>
      </c>
      <c r="ER53">
        <f>(BC54-Table2[[#This Row],[4F Old BMC cooling Unit]])</f>
        <v>0</v>
      </c>
      <c r="ES53">
        <f>BO54-Table2[[#This Row],[2F4 - Old BMC]]</f>
        <v>0</v>
      </c>
      <c r="ET53">
        <f>Y54-Table2[[#This Row],[14F2 New CK]]</f>
        <v>1612.3999999999069</v>
      </c>
      <c r="EU53">
        <f>(CL54-Table2[[#This Row],[OLD Ck Panel-1]])*1000</f>
        <v>658.00000000001546</v>
      </c>
      <c r="EV53">
        <f>CM54-Table2[[#This Row],[2F4 Old CK Blast (Blue star)]]</f>
        <v>0</v>
      </c>
      <c r="EW53">
        <f>CN54-Table2[[#This Row],[3F6 Old CK Blast (Carrier)]]</f>
        <v>528.40000000000146</v>
      </c>
      <c r="EX53">
        <f>(CO54-Table2[[#This Row],[Old CK Panel -2]])*1000</f>
        <v>1451.0000000000218</v>
      </c>
      <c r="EY53">
        <f>N54-Table2[[#This Row],[4F1 Main UPS 1/C -1]]</f>
        <v>963.68000000016764</v>
      </c>
      <c r="EZ53">
        <f>Z54-Table2[[#This Row],[15F1 Main UPS Panel - I/C - 2]]</f>
        <v>0</v>
      </c>
      <c r="FA53">
        <f>BF54-Table2[[#This Row],[2F CLC -1 AC unit - 2]]</f>
        <v>0</v>
      </c>
      <c r="FB53">
        <f>(BG54-Table2[[#This Row],[2F CLC Anti room]])*1000</f>
        <v>31.999999999996476</v>
      </c>
      <c r="FC53">
        <f>BW54-Table2[[#This Row],[7F3 CLC Power Panel]]</f>
        <v>283.26400000008289</v>
      </c>
      <c r="FD53">
        <f>(CI54-Table2[[#This Row],[PDB - 17 CLC Section ]])*1000</f>
        <v>164.99999999999204</v>
      </c>
      <c r="FE53">
        <f>(W54-Table2[[#This Row],[13F3 Water &amp; Lift Old CK]])*1000</f>
        <v>723.60000000003311</v>
      </c>
      <c r="FF53">
        <f>AA54-Table2[[#This Row],[15F2 New ETP Panel]]</f>
        <v>273.92000000004191</v>
      </c>
      <c r="FG53">
        <f>AL54-Table2[[#This Row],[3F4 Old ETP Panel]]</f>
        <v>70.239999999990687</v>
      </c>
      <c r="FH53">
        <f>AF54-Table2[[#This Row],[2F1 RO Plant]]</f>
        <v>590.7839999999851</v>
      </c>
      <c r="FI53">
        <f>AK54-Table2[[#This Row],[3F3 Fire Hydrant Panel]]</f>
        <v>14.520000000004075</v>
      </c>
      <c r="FJ53">
        <f>R54-Table2[[#This Row],[7F1 Freon System Panel]]</f>
        <v>5217.9199999999255</v>
      </c>
      <c r="FK53">
        <f>(AE54-Table2[[#This Row],[21F1 Refrigeration Ammonia]])*1000</f>
        <v>7208.8000000003376</v>
      </c>
      <c r="FL53">
        <f>(AG54-Table2[[#This Row],[2F3 Air Compressor]])*1000</f>
        <v>1215.9999999998945</v>
      </c>
      <c r="FM53">
        <f>(AX54-Table2[[#This Row],[Solar Reading Panel II]])*1000</f>
        <v>2650.0000000005457</v>
      </c>
      <c r="FN53">
        <f>AI54-Table2[[#This Row],[3F1 Maintenance Workshop]]</f>
        <v>5.3520000000007713</v>
      </c>
      <c r="FO53">
        <f>BD54-Table2[[#This Row],[4F B2B unit ]]</f>
        <v>42.880000000004657</v>
      </c>
      <c r="FP53">
        <f>BL54-Table2[[#This Row],[2F1 - PDB 6 - Bread, B2B section]]</f>
        <v>227.05920000000333</v>
      </c>
      <c r="FQ53">
        <f>(CG54-Table2[[#This Row],[9F5 - PDB 14 - Bread Lift]])</f>
        <v>1.9199999999837019</v>
      </c>
      <c r="FR53">
        <f>CJ54-Table2[[#This Row],[PDB - 16 Bread Section]]</f>
        <v>0</v>
      </c>
      <c r="FS53">
        <f>BU54-Table2[[#This Row],[7F1 Donut Production area]]</f>
        <v>161.59999999997672</v>
      </c>
      <c r="FT53">
        <f>CB54-Table2[[#This Row],[8F5 Donut Ban Bary]]</f>
        <v>40.543999999994412</v>
      </c>
      <c r="FU53">
        <f>CF54-Table2[[#This Row],[9F4 - PDB 13 - Donut Sink Geyser area]]</f>
        <v>9.0559999999823049</v>
      </c>
      <c r="FV53">
        <f>BV54-Table2[[#This Row],[7F2 Flour Silo]]</f>
        <v>699.59999999997672</v>
      </c>
      <c r="FW53">
        <f>BY54-Table2[[#This Row],[8F2 ACPDB - 3 SILO Ventilation]]</f>
        <v>41.168000000005122</v>
      </c>
      <c r="FX53">
        <f>J54-Table2[[#This Row],[DG 1010KVA Running Hours]]</f>
        <v>0</v>
      </c>
      <c r="FY53">
        <f>K54-Table2[[#This Row],[DG 1010 KVA Meter Reading]]</f>
        <v>0</v>
      </c>
      <c r="FZ53">
        <f>L54-Table2[[#This Row],[GG 1010 KVA Running Hours]]</f>
        <v>0</v>
      </c>
      <c r="GA53">
        <f>M54-Table2[[#This Row],[GG 1010 KVA Meter Reading]]</f>
        <v>0</v>
      </c>
    </row>
    <row r="54" spans="1:183" x14ac:dyDescent="0.35">
      <c r="A54" s="1">
        <v>64</v>
      </c>
      <c r="B54" s="60">
        <v>46256.407627314817</v>
      </c>
      <c r="C54" s="60">
        <v>46256.44059027778</v>
      </c>
      <c r="D54" s="1" t="s">
        <v>111</v>
      </c>
      <c r="E54" s="1"/>
      <c r="F54" s="1"/>
      <c r="G54" s="3">
        <v>46256</v>
      </c>
      <c r="H54" s="1" t="s">
        <v>291</v>
      </c>
      <c r="I54" s="6">
        <f>I53+21</f>
        <v>7470.0019999999995</v>
      </c>
      <c r="J54" s="6">
        <v>4276.8999999999996</v>
      </c>
      <c r="K54" s="6">
        <v>1777810</v>
      </c>
      <c r="L54" s="6">
        <v>457</v>
      </c>
      <c r="M54" s="6">
        <v>192.04</v>
      </c>
      <c r="N54" s="6">
        <v>1886126.56</v>
      </c>
      <c r="O54" s="6">
        <v>4634532.4800000004</v>
      </c>
      <c r="P54" s="6">
        <v>652732.48</v>
      </c>
      <c r="Q54" s="6">
        <v>8143920</v>
      </c>
      <c r="R54" s="6">
        <v>5643847.6799999997</v>
      </c>
      <c r="S54" s="6">
        <v>7427678.7199999997</v>
      </c>
      <c r="T54" s="6">
        <v>42988560.574000001</v>
      </c>
      <c r="U54" s="6">
        <v>2126248.96</v>
      </c>
      <c r="V54" s="6">
        <v>5147369.92</v>
      </c>
      <c r="W54" s="6">
        <v>1605.2446</v>
      </c>
      <c r="X54" s="6">
        <v>779032.19200000004</v>
      </c>
      <c r="Y54" s="6">
        <v>1118016.3999999999</v>
      </c>
      <c r="Z54" s="6">
        <v>2777.8894</v>
      </c>
      <c r="AA54" s="6">
        <v>673652.03200000001</v>
      </c>
      <c r="AB54" s="6">
        <v>421498.56</v>
      </c>
      <c r="AC54" s="6">
        <v>2151868</v>
      </c>
      <c r="AD54" s="6">
        <v>4294977.4009999996</v>
      </c>
      <c r="AE54" s="6">
        <v>12940.1824</v>
      </c>
      <c r="AF54" s="6">
        <v>885875.77599999995</v>
      </c>
      <c r="AG54" s="6">
        <v>1422.963</v>
      </c>
      <c r="AH54" s="6">
        <v>135442.68799999999</v>
      </c>
      <c r="AI54" s="6">
        <v>14725.232</v>
      </c>
      <c r="AJ54" s="6">
        <v>145394.736</v>
      </c>
      <c r="AK54" s="6">
        <v>105442.144</v>
      </c>
      <c r="AL54" s="6">
        <v>331944.73599999998</v>
      </c>
      <c r="AM54" s="6">
        <v>1003.154</v>
      </c>
      <c r="AN54" s="6">
        <v>298.10000000000002</v>
      </c>
      <c r="AO54" s="6">
        <v>7.8</v>
      </c>
      <c r="AP54" s="6">
        <v>647236</v>
      </c>
      <c r="AQ54" s="6">
        <v>42693</v>
      </c>
      <c r="AR54" s="6">
        <v>42148</v>
      </c>
      <c r="AS54" s="6">
        <v>0</v>
      </c>
      <c r="AT54" s="6">
        <v>0</v>
      </c>
      <c r="AU54" s="6">
        <v>16077</v>
      </c>
      <c r="AV54" s="6">
        <v>6683</v>
      </c>
      <c r="AW54" s="6">
        <v>21.054838</v>
      </c>
      <c r="AX54" s="6">
        <v>7284.6930000000002</v>
      </c>
      <c r="AY54" s="6">
        <v>681.71032000000002</v>
      </c>
      <c r="AZ54" s="6">
        <v>20.788</v>
      </c>
      <c r="BA54" s="6">
        <v>10773</v>
      </c>
      <c r="BB54" s="6">
        <v>45.595999999999997</v>
      </c>
      <c r="BC54" s="6">
        <v>114024.568</v>
      </c>
      <c r="BD54" s="6">
        <v>276947.03999999998</v>
      </c>
      <c r="BE54" s="6">
        <v>3749.2739999999999</v>
      </c>
      <c r="BF54" s="6">
        <v>1714.182</v>
      </c>
      <c r="BG54" s="6">
        <v>75.603999999999999</v>
      </c>
      <c r="BH54" s="6">
        <v>372.12</v>
      </c>
      <c r="BI54" s="6">
        <v>924.19100000000003</v>
      </c>
      <c r="BJ54" s="6">
        <v>15.661</v>
      </c>
      <c r="BK54" s="6">
        <v>569.03700000000003</v>
      </c>
      <c r="BL54" s="6">
        <v>75991.756800000003</v>
      </c>
      <c r="BM54" s="6">
        <v>318215.23200000002</v>
      </c>
      <c r="BN54" s="6">
        <v>7261.6319999999996</v>
      </c>
      <c r="BO54" s="6">
        <v>53589.132799999999</v>
      </c>
      <c r="BP54" s="6">
        <v>316391.52</v>
      </c>
      <c r="BQ54" s="6">
        <v>329.89699999999999</v>
      </c>
      <c r="BR54" s="6">
        <v>183.839</v>
      </c>
      <c r="BS54" s="6">
        <v>1035078.682</v>
      </c>
      <c r="BT54" s="6">
        <v>1400623.4890000001</v>
      </c>
      <c r="BU54" s="6">
        <v>633249.21600000001</v>
      </c>
      <c r="BV54" s="6">
        <v>1034166.64</v>
      </c>
      <c r="BW54" s="6">
        <v>573305.40800000005</v>
      </c>
      <c r="BX54" s="6">
        <v>1040020.16</v>
      </c>
      <c r="BY54" s="6">
        <v>158638.288</v>
      </c>
      <c r="BZ54" s="6">
        <v>114851.68</v>
      </c>
      <c r="CA54" s="6">
        <v>1244.5895</v>
      </c>
      <c r="CB54" s="6">
        <v>109630.704</v>
      </c>
      <c r="CC54" s="6">
        <v>153104.07999999999</v>
      </c>
      <c r="CD54" s="6">
        <v>450595.00799999997</v>
      </c>
      <c r="CE54" s="6">
        <v>49140.988799999999</v>
      </c>
      <c r="CF54" s="6">
        <v>156361.80799999999</v>
      </c>
      <c r="CG54" s="6">
        <v>360946.592</v>
      </c>
      <c r="CH54" s="6">
        <v>2385.8710000000001</v>
      </c>
      <c r="CI54" s="6">
        <v>217.577</v>
      </c>
      <c r="CJ54" s="6">
        <v>1191.5999999999999</v>
      </c>
      <c r="CK54" s="6">
        <v>79.040000000000006</v>
      </c>
      <c r="CL54" s="6">
        <v>745.50800000000004</v>
      </c>
      <c r="CM54" s="6">
        <v>551.4</v>
      </c>
      <c r="CN54" s="6">
        <v>54354.400000000001</v>
      </c>
      <c r="CO54" s="6">
        <v>1673.66</v>
      </c>
      <c r="CP54" s="6">
        <v>297949.44900000002</v>
      </c>
      <c r="CQ54" s="6">
        <v>3710457.6</v>
      </c>
      <c r="CR54" s="6">
        <v>132547.47200000001</v>
      </c>
      <c r="CS54" s="6">
        <v>520710.72</v>
      </c>
      <c r="CT54" s="6">
        <v>3001339.355</v>
      </c>
      <c r="CU54" s="6">
        <v>304263.326</v>
      </c>
      <c r="CV54" s="6">
        <f>CV53+CV53-CV52+0.6</f>
        <v>30206.510399999996</v>
      </c>
      <c r="CW54" s="6">
        <v>63426.0864</v>
      </c>
      <c r="CX54" s="6">
        <v>33534.572800000002</v>
      </c>
      <c r="CY54" s="6">
        <v>170404.09599999999</v>
      </c>
      <c r="CZ54" s="6">
        <v>219558.06400000001</v>
      </c>
      <c r="DA54" s="6">
        <v>19267.310000000001</v>
      </c>
      <c r="DB54" s="6">
        <v>152427.71100000001</v>
      </c>
      <c r="DC54" s="6">
        <v>3157.81</v>
      </c>
      <c r="DD54" s="6">
        <f>DD53+6.02</f>
        <v>3131.9799999999996</v>
      </c>
      <c r="DE54" s="6">
        <v>3187.14</v>
      </c>
      <c r="DF54" s="6">
        <v>0.995</v>
      </c>
      <c r="DG54" s="1" t="s">
        <v>245</v>
      </c>
      <c r="DH54" s="4">
        <f>Table2[[#This Row],[Date]]</f>
        <v>46256</v>
      </c>
      <c r="DI54">
        <f>(DD55-Table2[[#This Row],[MWH Total]])*4000</f>
        <v>24360.000000000582</v>
      </c>
      <c r="DJ54">
        <f>(DA55-Table2[[#This Row],[PNG Meter (Outside)]])*2.936</f>
        <v>17.704079999996583</v>
      </c>
      <c r="DK54">
        <f>(DB55-Table2[[#This Row],[PNG Meter (Inside)]])*2.936</f>
        <v>179.65384000000682</v>
      </c>
      <c r="DL54">
        <f>(BH55-Table2[[#This Row],[3F Dough cooler - 2 ]])*1000</f>
        <v>740.99999999998545</v>
      </c>
      <c r="DM54">
        <f>(BI55-Table2[[#This Row],[3F Dough Cooler- 1]])*1000</f>
        <v>370.00000000000455</v>
      </c>
      <c r="DN54">
        <f>(BJ55-Table2[[#This Row],[4F Dough Production cooling Unit]])*1000</f>
        <v>47.000000000000597</v>
      </c>
      <c r="DO54">
        <f>(BQ55-Table2[[#This Row],[3F2 - PDB 3 - Dough Production Area]])*1000</f>
        <v>153.00000000002001</v>
      </c>
      <c r="DP54">
        <f>(BR55-Table2[[#This Row],[3F3 - PDB 4 - Dough Area]])*1000</f>
        <v>84.000000000003183</v>
      </c>
      <c r="DQ54">
        <f>AC55-Table2[[#This Row],[16F1 Tray washer Panel for Light]]</f>
        <v>549.91999999992549</v>
      </c>
      <c r="DR54">
        <f>CQ55-Table2[[#This Row],[2F1 Tray Washer - 1]]</f>
        <v>957.12000000011176</v>
      </c>
      <c r="DS54">
        <f>CS55-Table2[[#This Row],[2F5 Destacker]]</f>
        <v>231.55200000002515</v>
      </c>
      <c r="DT54">
        <f>CU55-Table2[[#This Row],[5F1 Metering (TW-2)]]</f>
        <v>170.63099999999395</v>
      </c>
      <c r="DU54">
        <f>CV55-Table2[[#This Row],[6F1 Pre soaker Tray washer]]</f>
        <v>3.0943999999981315</v>
      </c>
      <c r="DV54">
        <f>CZ55-Table2[[#This Row],[6F5 Vent tray Storage]]</f>
        <v>63.583999999973457</v>
      </c>
      <c r="DW54">
        <f>I55-Table2[[#This Row],[Popeyes Meter ]]</f>
        <v>33</v>
      </c>
      <c r="DX54">
        <f>AZ55-Table2[[#This Row],[2F WH Chiller, Segregation Area]]</f>
        <v>0</v>
      </c>
      <c r="DY54">
        <f>BA55-Table2[[#This Row],[3F1 AC Unit WH dock cooling - 2 Nos]]</f>
        <v>16</v>
      </c>
      <c r="DZ54">
        <f>BB55-Table2[[#This Row],[3F2 AC Unit WH dock cooling - 3 Nos]]</f>
        <v>2.7000000000001023E-2</v>
      </c>
      <c r="EA54">
        <f>(BK55-Table2[[#This Row],[5F WH Perishable]])*1000</f>
        <v>213.99999999994179</v>
      </c>
      <c r="EB54">
        <f>BN55-Table2[[#This Row],[2F3 - PDB 9 - WH Dock Leveler Door ]]</f>
        <v>4.2344000000002779</v>
      </c>
      <c r="EC54">
        <f>BP55-Table2[[#This Row],[3F1 - PDB 5 - WH HSD]]</f>
        <v>93.119999999995343</v>
      </c>
      <c r="ED54">
        <f>BX55-Table2[[#This Row],[8F1 WH Dock AHU - Ventilation]]</f>
        <v>1125.1199999999953</v>
      </c>
      <c r="EE54">
        <f>BZ55-Table2[[#This Row],[8F3 ACPDB - 4 WH Dock air curtain]]</f>
        <v>27.63200000001234</v>
      </c>
      <c r="EF54">
        <f>CA55-Table2[[#This Row],[8F4 WH Light]]</f>
        <v>0</v>
      </c>
      <c r="EG54">
        <f>CC55-Table2[[#This Row],[9F1 - PDB 10 - WH Dock door &amp; Office]]</f>
        <v>116.89600000000792</v>
      </c>
      <c r="EH54">
        <f>CD55-Table2[[#This Row],[9F2 - PDB 11 - WH flycatchers]]</f>
        <v>204.73600000003353</v>
      </c>
      <c r="EI54">
        <f>CE55-Table2[[#This Row],[9F3 - PDB 12 - Other items]]</f>
        <v>0</v>
      </c>
      <c r="EJ54">
        <f>CR55-Table2[[#This Row],[2F3 - PDB 1 - Dock 1 to 4 ]]</f>
        <v>42.919999999983702</v>
      </c>
      <c r="EK54">
        <f>BM55-Table2[[#This Row],[2F2 - PDB 3 - WH Truck &amp; Battery Charging]]</f>
        <v>700.12799999996787</v>
      </c>
      <c r="EL54">
        <f>(CK55-Table2[[#This Row],[PDB - 11 Truck Charging]])*1000</f>
        <v>65.99999999998829</v>
      </c>
      <c r="EM54">
        <f>P55-Table2[[#This Row],[5F3 Admin Area]]</f>
        <v>286.01600000006147</v>
      </c>
      <c r="EN54">
        <f>AH55-Table2[[#This Row],[2F5 Main Gate-1 Piller -1]]</f>
        <v>101.50400000001537</v>
      </c>
      <c r="EO54">
        <f>CW55-Table2[[#This Row],[6F2 Ground Floor AC]]</f>
        <v>8.7168000000019674</v>
      </c>
      <c r="EP54">
        <f>CX55-Table2[[#This Row],[6F3 ACBD -1 (First floor AC)]]</f>
        <v>6.591999999996915</v>
      </c>
      <c r="EQ54">
        <f>CY55-Table2[[#This Row],[6F4 ACBD - 2 (Second &amp; Third floor AC)]]</f>
        <v>77.088000000017928</v>
      </c>
      <c r="ER54">
        <f>(BC55-Table2[[#This Row],[4F Old BMC cooling Unit]])</f>
        <v>0</v>
      </c>
      <c r="ES54" s="1">
        <f>BO55-Table2[[#This Row],[2F4 - Old BMC]]</f>
        <v>0</v>
      </c>
      <c r="ET54">
        <f>Y55-Table2[[#This Row],[14F2 New CK]]</f>
        <v>1383.3600000001024</v>
      </c>
      <c r="EU54">
        <f>(CL55-Table2[[#This Row],[OLD Ck Panel-1]])*1000</f>
        <v>318.99999999995998</v>
      </c>
      <c r="EV54">
        <f>CM55-Table2[[#This Row],[2F4 Old CK Blast (Blue star)]]</f>
        <v>0</v>
      </c>
      <c r="EW54">
        <f>CN55-Table2[[#This Row],[3F6 Old CK Blast (Carrier)]]</f>
        <v>224.69999999999709</v>
      </c>
      <c r="EX54">
        <f>(CO55-Table2[[#This Row],[Old CK Panel -2]])*1000</f>
        <v>1032.9999999999018</v>
      </c>
      <c r="EY54">
        <f>N55-Table2[[#This Row],[4F1 Main UPS 1/C -1]]</f>
        <v>730.39999999990687</v>
      </c>
      <c r="EZ54">
        <f>Z55-Table2[[#This Row],[15F1 Main UPS Panel - I/C - 2]]</f>
        <v>0</v>
      </c>
      <c r="FA54">
        <f>BF55-Table2[[#This Row],[2F CLC -1 AC unit - 2]]</f>
        <v>0</v>
      </c>
      <c r="FB54">
        <f>(BG55-Table2[[#This Row],[2F CLC Anti room]])*1000</f>
        <v>28.000000000005798</v>
      </c>
      <c r="FC54">
        <f>BW55-Table2[[#This Row],[7F3 CLC Power Panel]]</f>
        <v>223.10399999993388</v>
      </c>
      <c r="FD54">
        <f>(CI55-Table2[[#This Row],[PDB - 17 CLC Section ]])*1000</f>
        <v>123.99999999999523</v>
      </c>
      <c r="FE54">
        <f>(W55-Table2[[#This Row],[13F3 Water &amp; Lift Old CK]])*1000</f>
        <v>707.40000000000691</v>
      </c>
      <c r="FF54">
        <f>AA55-Table2[[#This Row],[15F2 New ETP Panel]]</f>
        <v>204.80000000004657</v>
      </c>
      <c r="FG54">
        <f>AL55-Table2[[#This Row],[3F4 Old ETP Panel]]</f>
        <v>58.271999999997206</v>
      </c>
      <c r="FH54">
        <f>AF55-Table2[[#This Row],[2F1 RO Plant]]</f>
        <v>384.89600000006612</v>
      </c>
      <c r="FI54">
        <f>AK55-Table2[[#This Row],[3F3 Fire Hydrant Panel]]</f>
        <v>6.5359999999927823</v>
      </c>
      <c r="FJ54">
        <f>R55-Table2[[#This Row],[7F1 Freon System Panel]]</f>
        <v>4170.8799999998882</v>
      </c>
      <c r="FK54">
        <f>(AE55-Table2[[#This Row],[21F1 Refrigeration Ammonia]])*1000</f>
        <v>5659.2000000000553</v>
      </c>
      <c r="FL54">
        <f>(AG55-Table2[[#This Row],[2F3 Air Compressor]])*1000</f>
        <v>992.99999999993815</v>
      </c>
      <c r="FM54">
        <f>(AX55-Table2[[#This Row],[Solar Reading Panel II]])*1000</f>
        <v>1858.9999999994689</v>
      </c>
      <c r="FN54">
        <f>AI55-Table2[[#This Row],[3F1 Maintenance Workshop]]</f>
        <v>3.7088000000003376</v>
      </c>
      <c r="FO54">
        <f>BD55-Table2[[#This Row],[4F B2B unit ]]</f>
        <v>34.304000000003725</v>
      </c>
      <c r="FP54">
        <f>BL55-Table2[[#This Row],[2F1 - PDB 6 - Bread, B2B section]]</f>
        <v>174.9311999999918</v>
      </c>
      <c r="FQ54">
        <f>(CG55-Table2[[#This Row],[9F5 - PDB 14 - Bread Lift]])</f>
        <v>5.0879999999888241</v>
      </c>
      <c r="FR54">
        <f>CJ55-Table2[[#This Row],[PDB - 16 Bread Section]]</f>
        <v>0</v>
      </c>
      <c r="FS54">
        <f>BU55-Table2[[#This Row],[7F1 Donut Production area]]</f>
        <v>167.35999999998603</v>
      </c>
      <c r="FT54">
        <f>CB55-Table2[[#This Row],[8F5 Donut Ban Bary]]</f>
        <v>20.01600000000326</v>
      </c>
      <c r="FU54">
        <f>CF55-Table2[[#This Row],[9F4 - PDB 13 - Donut Sink Geyser area]]</f>
        <v>56.112000000022817</v>
      </c>
      <c r="FV54">
        <f>BV55-Table2[[#This Row],[7F2 Flour Silo]]</f>
        <v>372.88000000000466</v>
      </c>
      <c r="FW54">
        <f>BY55-Table2[[#This Row],[8F2 ACPDB - 3 SILO Ventilation]]</f>
        <v>55.10999999998603</v>
      </c>
      <c r="FX54">
        <f>J55-Table2[[#This Row],[DG 1010KVA Running Hours]]</f>
        <v>0</v>
      </c>
      <c r="FY54">
        <f>K55-Table2[[#This Row],[DG 1010 KVA Meter Reading]]</f>
        <v>0</v>
      </c>
      <c r="FZ54">
        <f>L55-Table2[[#This Row],[GG 1010 KVA Running Hours]]</f>
        <v>0</v>
      </c>
      <c r="GA54">
        <f>M55-Table2[[#This Row],[GG 1010 KVA Meter Reading]]</f>
        <v>0</v>
      </c>
    </row>
    <row r="55" spans="1:183" x14ac:dyDescent="0.35">
      <c r="A55" s="1">
        <v>65</v>
      </c>
      <c r="B55" s="60">
        <v>46258.457118055558</v>
      </c>
      <c r="C55" s="60">
        <v>46258.478761574072</v>
      </c>
      <c r="D55" s="1" t="s">
        <v>111</v>
      </c>
      <c r="E55" s="1"/>
      <c r="F55" s="1"/>
      <c r="G55" s="3">
        <v>46257</v>
      </c>
      <c r="H55" s="1" t="s">
        <v>186</v>
      </c>
      <c r="I55" s="6">
        <f>I54+33</f>
        <v>7503.0019999999995</v>
      </c>
      <c r="J55" s="6">
        <v>4276.8999999999996</v>
      </c>
      <c r="K55" s="6">
        <v>1777810</v>
      </c>
      <c r="L55" s="6">
        <v>457</v>
      </c>
      <c r="M55" s="6">
        <v>192.04</v>
      </c>
      <c r="N55" s="6">
        <v>1886856.96</v>
      </c>
      <c r="O55" s="6">
        <v>4635991.3600000003</v>
      </c>
      <c r="P55" s="6">
        <v>653018.49600000004</v>
      </c>
      <c r="Q55" s="6">
        <v>8146140.7999999998</v>
      </c>
      <c r="R55" s="6">
        <v>5648018.5599999996</v>
      </c>
      <c r="S55" s="6">
        <v>743394.24</v>
      </c>
      <c r="T55" s="6">
        <v>42998009.691</v>
      </c>
      <c r="U55" s="6">
        <v>2127632.96</v>
      </c>
      <c r="V55" s="6">
        <v>5148712.96</v>
      </c>
      <c r="W55" s="6">
        <v>1605.952</v>
      </c>
      <c r="X55" s="6">
        <v>779204.48</v>
      </c>
      <c r="Y55" s="6">
        <v>1119399.76</v>
      </c>
      <c r="Z55" s="6">
        <v>2777.8894</v>
      </c>
      <c r="AA55" s="6">
        <v>673856.83200000005</v>
      </c>
      <c r="AB55" s="6">
        <v>421511.29599999997</v>
      </c>
      <c r="AC55" s="6">
        <v>2152417.92</v>
      </c>
      <c r="AD55" s="6">
        <v>2847539.5890000002</v>
      </c>
      <c r="AE55" s="6">
        <v>12945.8416</v>
      </c>
      <c r="AF55" s="6">
        <v>886260.67200000002</v>
      </c>
      <c r="AG55" s="6">
        <v>1423.9559999999999</v>
      </c>
      <c r="AH55" s="6">
        <v>135544.19200000001</v>
      </c>
      <c r="AI55" s="6">
        <v>14728.9408</v>
      </c>
      <c r="AJ55" s="6">
        <v>145396.54399999999</v>
      </c>
      <c r="AK55" s="6">
        <v>105448.68</v>
      </c>
      <c r="AL55" s="6">
        <v>332003.00799999997</v>
      </c>
      <c r="AM55" s="6">
        <v>1003.605</v>
      </c>
      <c r="AN55" s="6">
        <v>272.60000000000002</v>
      </c>
      <c r="AO55" s="6">
        <v>7.1</v>
      </c>
      <c r="AP55" s="6">
        <v>655174</v>
      </c>
      <c r="AQ55" s="6">
        <v>42712</v>
      </c>
      <c r="AR55" s="6">
        <v>42167</v>
      </c>
      <c r="AS55" s="6">
        <v>32390</v>
      </c>
      <c r="AT55" s="6">
        <v>22106</v>
      </c>
      <c r="AU55" s="6">
        <v>16095</v>
      </c>
      <c r="AV55" s="6">
        <v>6693</v>
      </c>
      <c r="AW55" s="6">
        <v>21.0603318</v>
      </c>
      <c r="AX55" s="6">
        <v>7286.5519999999997</v>
      </c>
      <c r="AY55" s="6">
        <v>681.87840000000006</v>
      </c>
      <c r="AZ55" s="6">
        <v>20.788</v>
      </c>
      <c r="BA55" s="6">
        <v>10789</v>
      </c>
      <c r="BB55" s="6">
        <v>45.622999999999998</v>
      </c>
      <c r="BC55" s="6">
        <v>114024.568</v>
      </c>
      <c r="BD55" s="6">
        <v>276981.34399999998</v>
      </c>
      <c r="BE55" s="6">
        <v>3750.3036000000002</v>
      </c>
      <c r="BF55" s="6">
        <v>1714.182</v>
      </c>
      <c r="BG55" s="6">
        <v>75.632000000000005</v>
      </c>
      <c r="BH55" s="6">
        <v>372.86099999999999</v>
      </c>
      <c r="BI55" s="6">
        <v>924.56100000000004</v>
      </c>
      <c r="BJ55" s="6">
        <v>15.708</v>
      </c>
      <c r="BK55" s="6">
        <v>569.25099999999998</v>
      </c>
      <c r="BL55" s="6">
        <v>76166.687999999995</v>
      </c>
      <c r="BM55" s="6">
        <v>318915.36</v>
      </c>
      <c r="BN55" s="6">
        <v>7265.8663999999999</v>
      </c>
      <c r="BO55" s="6">
        <v>53589.132799999999</v>
      </c>
      <c r="BP55" s="6">
        <v>316484.64</v>
      </c>
      <c r="BQ55" s="6">
        <v>330.05</v>
      </c>
      <c r="BR55" s="6">
        <v>183.923</v>
      </c>
      <c r="BS55" s="6">
        <v>1036423.1949999999</v>
      </c>
      <c r="BT55" s="6">
        <v>1400623.4890000001</v>
      </c>
      <c r="BU55" s="6">
        <v>633416.576</v>
      </c>
      <c r="BV55" s="6">
        <v>1034539.52</v>
      </c>
      <c r="BW55" s="6">
        <v>573528.51199999999</v>
      </c>
      <c r="BX55" s="6">
        <v>1041145.28</v>
      </c>
      <c r="BY55" s="6">
        <v>158693.39799999999</v>
      </c>
      <c r="BZ55" s="6">
        <v>114879.31200000001</v>
      </c>
      <c r="CA55" s="6">
        <v>1244.5895</v>
      </c>
      <c r="CB55" s="6">
        <v>109650.72</v>
      </c>
      <c r="CC55" s="6">
        <v>153220.976</v>
      </c>
      <c r="CD55" s="6">
        <v>450799.74400000001</v>
      </c>
      <c r="CE55" s="6">
        <v>49140.988799999999</v>
      </c>
      <c r="CF55" s="6">
        <v>156417.92000000001</v>
      </c>
      <c r="CG55" s="6">
        <v>360951.68</v>
      </c>
      <c r="CH55" s="6">
        <v>2385.8710000000001</v>
      </c>
      <c r="CI55" s="6">
        <v>217.70099999999999</v>
      </c>
      <c r="CJ55" s="6">
        <v>1191.5999999999999</v>
      </c>
      <c r="CK55" s="6">
        <v>79.105999999999995</v>
      </c>
      <c r="CL55" s="6">
        <v>745.827</v>
      </c>
      <c r="CM55" s="6">
        <v>551.4</v>
      </c>
      <c r="CN55" s="6">
        <v>54579.1</v>
      </c>
      <c r="CO55" s="6">
        <v>1674.693</v>
      </c>
      <c r="CP55" s="6">
        <v>298133.07299999997</v>
      </c>
      <c r="CQ55" s="6">
        <v>3711414.72</v>
      </c>
      <c r="CR55" s="6">
        <v>132590.39199999999</v>
      </c>
      <c r="CS55" s="6">
        <v>520942.272</v>
      </c>
      <c r="CT55" s="6">
        <v>3004198.3059999999</v>
      </c>
      <c r="CU55" s="6">
        <v>304433.95699999999</v>
      </c>
      <c r="CV55" s="6">
        <f>CV54+CV54-CV53+0.2</f>
        <v>30209.604799999994</v>
      </c>
      <c r="CW55" s="6">
        <v>63434.803200000002</v>
      </c>
      <c r="CX55" s="6">
        <v>33541.164799999999</v>
      </c>
      <c r="CY55" s="6">
        <v>170481.18400000001</v>
      </c>
      <c r="CZ55" s="6">
        <v>219621.64799999999</v>
      </c>
      <c r="DA55" s="6">
        <v>19273.34</v>
      </c>
      <c r="DB55" s="6">
        <v>152488.90100000001</v>
      </c>
      <c r="DC55" s="6">
        <v>3164.75</v>
      </c>
      <c r="DD55" s="6">
        <f>DD54+6.09</f>
        <v>3138.0699999999997</v>
      </c>
      <c r="DE55" s="6">
        <v>3194.1</v>
      </c>
      <c r="DF55" s="6">
        <v>0.998</v>
      </c>
      <c r="DG55" s="1" t="s">
        <v>294</v>
      </c>
      <c r="DH55" s="4">
        <f>Table2[[#This Row],[Date]]</f>
        <v>46257</v>
      </c>
      <c r="DI55">
        <f>(DD56-Table2[[#This Row],[MWH Total]])*4000</f>
        <v>21280.000000000655</v>
      </c>
      <c r="DJ55">
        <f>(DA56-Table2[[#This Row],[PNG Meter (Outside)]])*2.936</f>
        <v>97.328400000004265</v>
      </c>
      <c r="DK55">
        <f>(DB56-Table2[[#This Row],[PNG Meter (Inside)]])*2.936</f>
        <v>240.33802399999041</v>
      </c>
      <c r="DL55" s="1">
        <f>(BH56-Table2[[#This Row],[3F Dough cooler - 2 ]])*1000</f>
        <v>31.999999999982265</v>
      </c>
      <c r="DM55">
        <f>(BI56-Table2[[#This Row],[3F Dough Cooler- 1]])*1000</f>
        <v>569.99999999993634</v>
      </c>
      <c r="DN55">
        <f>(BJ56-Table2[[#This Row],[4F Dough Production cooling Unit]])*1000</f>
        <v>63.000000000000611</v>
      </c>
      <c r="DO55">
        <f>(BQ56-Table2[[#This Row],[3F2 - PDB 3 - Dough Production Area]])*1000</f>
        <v>247.99999999999045</v>
      </c>
      <c r="DP55">
        <f>(BR56-Table2[[#This Row],[3F3 - PDB 4 - Dough Area]])*1000</f>
        <v>151.00000000001046</v>
      </c>
      <c r="DQ55">
        <f>AC56-Table2[[#This Row],[16F1 Tray washer Panel for Light]]</f>
        <v>866.39999999990687</v>
      </c>
      <c r="DR55">
        <f>CQ56-Table2[[#This Row],[2F1 Tray Washer - 1]]</f>
        <v>1332.1599999996834</v>
      </c>
      <c r="DS55">
        <f>CS56-Table2[[#This Row],[2F5 Destacker]]</f>
        <v>382.62400000001071</v>
      </c>
      <c r="DT55">
        <f>CU56-Table2[[#This Row],[5F1 Metering (TW-2)]]</f>
        <v>203.11300000001211</v>
      </c>
      <c r="DU55">
        <f>CV56-Table2[[#This Row],[6F1 Pre soaker Tray washer]]</f>
        <v>3.5943999999981315</v>
      </c>
      <c r="DV55">
        <f>CZ56-Table2[[#This Row],[6F5 Vent tray Storage]]</f>
        <v>55.296000000002095</v>
      </c>
      <c r="DW55">
        <f>I56-Table2[[#This Row],[Popeyes Meter ]]</f>
        <v>34</v>
      </c>
      <c r="DX55">
        <f>AZ56-Table2[[#This Row],[2F WH Chiller, Segregation Area]]</f>
        <v>0</v>
      </c>
      <c r="DY55" s="1">
        <f>BA56-Table2[[#This Row],[3F1 AC Unit WH dock cooling - 2 Nos]]</f>
        <v>19</v>
      </c>
      <c r="DZ55">
        <f>BB56-Table2[[#This Row],[3F2 AC Unit WH dock cooling - 3 Nos]]</f>
        <v>6.0000000000002274E-2</v>
      </c>
      <c r="EA55">
        <f>(BK56-Table2[[#This Row],[5F WH Perishable]])*1000</f>
        <v>345.00000000002728</v>
      </c>
      <c r="EB55">
        <f>BN56-Table2[[#This Row],[2F3 - PDB 9 - WH Dock Leveler Door ]]</f>
        <v>2.5864000000001397</v>
      </c>
      <c r="EC55">
        <f>BP56-Table2[[#This Row],[3F1 - PDB 5 - WH HSD]]</f>
        <v>122.20799999998417</v>
      </c>
      <c r="ED55">
        <f>BX56-Table2[[#This Row],[8F1 WH Dock AHU - Ventilation]]</f>
        <v>1840.8800000000047</v>
      </c>
      <c r="EE55">
        <f>BZ56-Table2[[#This Row],[8F3 ACPDB - 4 WH Dock air curtain]]</f>
        <v>25.463999999992666</v>
      </c>
      <c r="EF55">
        <f>CA56-Table2[[#This Row],[8F4 WH Light]]</f>
        <v>0</v>
      </c>
      <c r="EG55">
        <f>CC56-Table2[[#This Row],[9F1 - PDB 10 - WH Dock door &amp; Office]]</f>
        <v>110.84799999999814</v>
      </c>
      <c r="EH55">
        <f>CD56-Table2[[#This Row],[9F2 - PDB 11 - WH flycatchers]]</f>
        <v>156.64000000001397</v>
      </c>
      <c r="EI55">
        <f>CE56-Table2[[#This Row],[9F3 - PDB 12 - Other items]]</f>
        <v>4.4800000003306195E-2</v>
      </c>
      <c r="EJ55">
        <f>CR56-Table2[[#This Row],[2F3 - PDB 1 - Dock 1 to 4 ]]</f>
        <v>55.135999999998603</v>
      </c>
      <c r="EK55">
        <f>BM56-Table2[[#This Row],[2F2 - PDB 3 - WH Truck &amp; Battery Charging]]</f>
        <v>474.01600000000326</v>
      </c>
      <c r="EL55">
        <f>(CK56-Table2[[#This Row],[PDB - 11 Truck Charging]])*1000</f>
        <v>35.0000000000108</v>
      </c>
      <c r="EM55">
        <f>P56-Table2[[#This Row],[5F3 Admin Area]]</f>
        <v>415.23199999995995</v>
      </c>
      <c r="EN55">
        <f>AH56-Table2[[#This Row],[2F5 Main Gate-1 Piller -1]]</f>
        <v>143.42399999999907</v>
      </c>
      <c r="EO55">
        <f>CW56-Table2[[#This Row],[6F2 Ground Floor AC]]</f>
        <v>12.793599999997241</v>
      </c>
      <c r="EP55">
        <f>CX56-Table2[[#This Row],[6F3 ACBD -1 (First floor AC)]]</f>
        <v>11.03360000000248</v>
      </c>
      <c r="EQ55">
        <f>CY56-Table2[[#This Row],[6F4 ACBD - 2 (Second &amp; Third floor AC)]]</f>
        <v>100.14400000000023</v>
      </c>
      <c r="ER55">
        <f>(BC56-Table2[[#This Row],[4F Old BMC cooling Unit]])</f>
        <v>0</v>
      </c>
      <c r="ES55">
        <f>BO56-Table2[[#This Row],[2F4 - Old BMC]]</f>
        <v>0</v>
      </c>
      <c r="ET55">
        <f>Y56-Table2[[#This Row],[14F2 New CK]]</f>
        <v>1151.7600000000093</v>
      </c>
      <c r="EU55">
        <f>(CL56-Table2[[#This Row],[OLD Ck Panel-1]])*1000</f>
        <v>772.0000000000482</v>
      </c>
      <c r="EV55">
        <f>CM56-Table2[[#This Row],[2F4 Old CK Blast (Blue star)]]</f>
        <v>0</v>
      </c>
      <c r="EW55">
        <f>CN56-Table2[[#This Row],[3F6 Old CK Blast (Carrier)]]</f>
        <v>688.20000000000437</v>
      </c>
      <c r="EX55">
        <f>(CO56-Table2[[#This Row],[Old CK Panel -2]])*1000</f>
        <v>1159.0000000001055</v>
      </c>
      <c r="EY55">
        <f>N56-Table2[[#This Row],[4F1 Main UPS 1/C -1]]</f>
        <v>1129.1200000001118</v>
      </c>
      <c r="EZ55">
        <f>Z56-Table2[[#This Row],[15F1 Main UPS Panel - I/C - 2]]</f>
        <v>0</v>
      </c>
      <c r="FA55">
        <f>BF56-Table2[[#This Row],[2F CLC -1 AC unit - 2]]</f>
        <v>0</v>
      </c>
      <c r="FB55">
        <f>(BG56-Table2[[#This Row],[2F CLC Anti room]])*1000</f>
        <v>18.999999999991246</v>
      </c>
      <c r="FC55">
        <f>BW56-Table2[[#This Row],[7F3 CLC Power Panel]]</f>
        <v>199.16800000006333</v>
      </c>
      <c r="FD55">
        <f>(CI56-Table2[[#This Row],[PDB - 17 CLC Section ]])*1000</f>
        <v>125</v>
      </c>
      <c r="FE55">
        <f>(W56-Table2[[#This Row],[13F3 Water &amp; Lift Old CK]])*1000</f>
        <v>512.79999999997017</v>
      </c>
      <c r="FF55">
        <f>AA56-Table2[[#This Row],[15F2 New ETP Panel]]</f>
        <v>342.27199999999721</v>
      </c>
      <c r="FG55">
        <f>AL56-Table2[[#This Row],[3F4 Old ETP Panel]]</f>
        <v>85.664000000047963</v>
      </c>
      <c r="FH55">
        <f>AF56-Table2[[#This Row],[2F1 RO Plant]]</f>
        <v>741.31200000003446</v>
      </c>
      <c r="FI55">
        <f>AK56-Table2[[#This Row],[3F3 Fire Hydrant Panel]]</f>
        <v>12.768000000010943</v>
      </c>
      <c r="FJ55">
        <f>R56-Table2[[#This Row],[7F1 Freon System Panel]]</f>
        <v>5326.7200000006706</v>
      </c>
      <c r="FK55">
        <f>(AE56-Table2[[#This Row],[21F1 Refrigeration Ammonia]])*1000</f>
        <v>7944.8000000011234</v>
      </c>
      <c r="FL55">
        <f>(AG56-Table2[[#This Row],[2F3 Air Compressor]])*1000</f>
        <v>1326.0000000000218</v>
      </c>
      <c r="FM55">
        <f>(AX56-Table2[[#This Row],[Solar Reading Panel II]])*1000</f>
        <v>2416.0000000001673</v>
      </c>
      <c r="FN55">
        <f>AI56-Table2[[#This Row],[3F1 Maintenance Workshop]]</f>
        <v>8.8752000000004045</v>
      </c>
      <c r="FO55">
        <f>BD56-Table2[[#This Row],[4F B2B unit ]]</f>
        <v>25.37599999998929</v>
      </c>
      <c r="FP55">
        <f>BL56-Table2[[#This Row],[2F1 - PDB 6 - Bread, B2B section]]</f>
        <v>235.58400000000256</v>
      </c>
      <c r="FQ55" s="1">
        <f>(CG56-Table2[[#This Row],[9F5 - PDB 14 - Bread Lift]])</f>
        <v>0</v>
      </c>
      <c r="FR55">
        <f>CJ56-Table2[[#This Row],[PDB - 16 Bread Section]]</f>
        <v>0</v>
      </c>
      <c r="FS55">
        <f>BU56-Table2[[#This Row],[7F1 Donut Production area]]</f>
        <v>202.4320000000298</v>
      </c>
      <c r="FT55">
        <f>CB56-Table2[[#This Row],[8F5 Donut Ban Bary]]</f>
        <v>60.672000000005937</v>
      </c>
      <c r="FU55">
        <f>CF56-Table2[[#This Row],[9F4 - PDB 13 - Donut Sink Geyser area]]</f>
        <v>61.183999999979278</v>
      </c>
      <c r="FV55">
        <f>BV56-Table2[[#This Row],[7F2 Flour Silo]]</f>
        <v>534.07999999995809</v>
      </c>
      <c r="FW55">
        <f>BY56-Table2[[#This Row],[8F2 ACPDB - 3 SILO Ventilation]]</f>
        <v>58.202000000019325</v>
      </c>
      <c r="FX55">
        <f>J56-Table2[[#This Row],[DG 1010KVA Running Hours]]</f>
        <v>1</v>
      </c>
      <c r="FY55">
        <f>K56-Table2[[#This Row],[DG 1010 KVA Meter Reading]]</f>
        <v>254</v>
      </c>
      <c r="FZ55">
        <f>L56-Table2[[#This Row],[GG 1010 KVA Running Hours]]</f>
        <v>0</v>
      </c>
      <c r="GA55">
        <f>M56-Table2[[#This Row],[GG 1010 KVA Meter Reading]]</f>
        <v>0.27000000000001023</v>
      </c>
    </row>
    <row r="56" spans="1:183" x14ac:dyDescent="0.35">
      <c r="A56" s="1">
        <v>66</v>
      </c>
      <c r="B56" s="60">
        <v>46258.415219907409</v>
      </c>
      <c r="C56" s="60">
        <v>46258.451909722222</v>
      </c>
      <c r="D56" s="1" t="s">
        <v>111</v>
      </c>
      <c r="E56" s="1"/>
      <c r="F56" s="1"/>
      <c r="G56" s="3">
        <v>46258</v>
      </c>
      <c r="H56" s="1" t="s">
        <v>186</v>
      </c>
      <c r="I56" s="6">
        <f>I55+34</f>
        <v>7537.0019999999995</v>
      </c>
      <c r="J56" s="6">
        <v>4277.8999999999996</v>
      </c>
      <c r="K56" s="6">
        <v>1778064</v>
      </c>
      <c r="L56" s="6">
        <v>457</v>
      </c>
      <c r="M56" s="6">
        <v>192.31</v>
      </c>
      <c r="N56" s="6">
        <v>1887986.08</v>
      </c>
      <c r="O56" s="6">
        <v>4638221.4400000004</v>
      </c>
      <c r="P56" s="6">
        <v>653433.728</v>
      </c>
      <c r="Q56" s="6">
        <v>8148917.7599999998</v>
      </c>
      <c r="R56" s="6">
        <v>5653345.2800000003</v>
      </c>
      <c r="S56" s="6">
        <v>7434108.1600000001</v>
      </c>
      <c r="T56" s="6">
        <v>43011008.328000002</v>
      </c>
      <c r="U56" s="6">
        <v>2129082.2400000002</v>
      </c>
      <c r="V56" s="6">
        <v>5150664</v>
      </c>
      <c r="W56" s="6">
        <v>1606.4648</v>
      </c>
      <c r="X56" s="6">
        <v>779405.56799999997</v>
      </c>
      <c r="Y56" s="6">
        <v>1120551.52</v>
      </c>
      <c r="Z56" s="6">
        <v>2777.8894</v>
      </c>
      <c r="AA56" s="6">
        <v>674199.10400000005</v>
      </c>
      <c r="AB56" s="6">
        <v>421570.304</v>
      </c>
      <c r="AC56" s="6">
        <v>2153284.3199999998</v>
      </c>
      <c r="AD56" s="6">
        <v>4321703.8380000005</v>
      </c>
      <c r="AE56" s="6">
        <v>12953.786400000001</v>
      </c>
      <c r="AF56" s="6">
        <v>887001.98400000005</v>
      </c>
      <c r="AG56" s="6">
        <v>1425.2819999999999</v>
      </c>
      <c r="AH56" s="6">
        <v>135687.61600000001</v>
      </c>
      <c r="AI56" s="6">
        <v>14737.816000000001</v>
      </c>
      <c r="AJ56" s="6">
        <v>145399.35999999999</v>
      </c>
      <c r="AK56" s="6">
        <v>105461.448</v>
      </c>
      <c r="AL56" s="6">
        <v>332088.67200000002</v>
      </c>
      <c r="AM56" s="6">
        <v>1004.351</v>
      </c>
      <c r="AN56" s="6">
        <v>303</v>
      </c>
      <c r="AO56" s="6">
        <v>7.7</v>
      </c>
      <c r="AP56" s="6">
        <v>663423</v>
      </c>
      <c r="AQ56" s="6">
        <v>42721</v>
      </c>
      <c r="AR56" s="6">
        <v>42176</v>
      </c>
      <c r="AS56" s="6">
        <v>32390</v>
      </c>
      <c r="AT56" s="6">
        <v>22106</v>
      </c>
      <c r="AU56" s="6">
        <v>16116</v>
      </c>
      <c r="AV56" s="6">
        <v>6705</v>
      </c>
      <c r="AW56" s="6">
        <v>21.067964</v>
      </c>
      <c r="AX56" s="6">
        <v>7288.9679999999998</v>
      </c>
      <c r="AY56" s="6">
        <v>682.13552000000004</v>
      </c>
      <c r="AZ56" s="6">
        <v>20.788</v>
      </c>
      <c r="BA56" s="6">
        <v>10808</v>
      </c>
      <c r="BB56" s="6">
        <v>45.683</v>
      </c>
      <c r="BC56" s="6">
        <v>114024.568</v>
      </c>
      <c r="BD56" s="6">
        <v>277006.71999999997</v>
      </c>
      <c r="BE56" s="6">
        <v>3751.7127999999998</v>
      </c>
      <c r="BF56" s="6">
        <v>1714.182</v>
      </c>
      <c r="BG56" s="6">
        <v>75.650999999999996</v>
      </c>
      <c r="BH56" s="6">
        <v>372.89299999999997</v>
      </c>
      <c r="BI56" s="6">
        <v>925.13099999999997</v>
      </c>
      <c r="BJ56" s="6">
        <v>15.771000000000001</v>
      </c>
      <c r="BK56" s="6">
        <v>569.596</v>
      </c>
      <c r="BL56" s="6">
        <v>76402.271999999997</v>
      </c>
      <c r="BM56" s="6">
        <v>319389.37599999999</v>
      </c>
      <c r="BN56" s="6">
        <v>7268.4528</v>
      </c>
      <c r="BO56" s="6">
        <v>53589.132799999999</v>
      </c>
      <c r="BP56" s="6">
        <v>316606.848</v>
      </c>
      <c r="BQ56" s="6">
        <v>330.298</v>
      </c>
      <c r="BR56" s="6">
        <v>184.07400000000001</v>
      </c>
      <c r="BS56" s="6">
        <v>1037848.547</v>
      </c>
      <c r="BT56" s="6">
        <v>1400623.503</v>
      </c>
      <c r="BU56" s="6">
        <v>633619.00800000003</v>
      </c>
      <c r="BV56" s="6">
        <v>1035073.6</v>
      </c>
      <c r="BW56" s="6">
        <v>573727.68000000005</v>
      </c>
      <c r="BX56" s="6">
        <v>1042986.16</v>
      </c>
      <c r="BY56" s="6">
        <v>158751.6</v>
      </c>
      <c r="BZ56" s="6">
        <v>114904.776</v>
      </c>
      <c r="CA56" s="6">
        <v>1244.5895</v>
      </c>
      <c r="CB56" s="6">
        <v>109711.39200000001</v>
      </c>
      <c r="CC56" s="6">
        <v>153331.82399999999</v>
      </c>
      <c r="CD56" s="6">
        <v>450956.38400000002</v>
      </c>
      <c r="CE56" s="6">
        <v>49141.033600000002</v>
      </c>
      <c r="CF56" s="6">
        <v>156479.10399999999</v>
      </c>
      <c r="CG56" s="6">
        <v>360951.68</v>
      </c>
      <c r="CH56" s="6">
        <v>2385.8710000000001</v>
      </c>
      <c r="CI56" s="6">
        <v>217.82599999999999</v>
      </c>
      <c r="CJ56" s="6">
        <v>1191.5999999999999</v>
      </c>
      <c r="CK56" s="6">
        <v>79.141000000000005</v>
      </c>
      <c r="CL56" s="6">
        <v>746.59900000000005</v>
      </c>
      <c r="CM56" s="6">
        <v>551.4</v>
      </c>
      <c r="CN56" s="6">
        <v>55267.3</v>
      </c>
      <c r="CO56" s="6">
        <v>1675.8520000000001</v>
      </c>
      <c r="CP56" s="6">
        <v>298414.16499999998</v>
      </c>
      <c r="CQ56" s="6">
        <v>3712746.88</v>
      </c>
      <c r="CR56" s="6">
        <v>132645.52799999999</v>
      </c>
      <c r="CS56" s="6">
        <v>521324.89600000001</v>
      </c>
      <c r="CT56" s="6">
        <v>3007912.821</v>
      </c>
      <c r="CU56" s="6">
        <v>304637.07</v>
      </c>
      <c r="CV56" s="6">
        <f>CV55+CV55-CV54+0.5</f>
        <v>30213.199199999992</v>
      </c>
      <c r="CW56" s="6">
        <v>63447.596799999999</v>
      </c>
      <c r="CX56" s="6">
        <v>33552.198400000001</v>
      </c>
      <c r="CY56" s="6">
        <v>170581.32800000001</v>
      </c>
      <c r="CZ56" s="6">
        <v>219676.94399999999</v>
      </c>
      <c r="DA56" s="6">
        <v>19306.490000000002</v>
      </c>
      <c r="DB56" s="6">
        <v>152570.76</v>
      </c>
      <c r="DC56" s="6">
        <v>3172.97</v>
      </c>
      <c r="DD56" s="6">
        <f>DD55+5.32</f>
        <v>3143.39</v>
      </c>
      <c r="DE56" s="6">
        <v>3201.6</v>
      </c>
      <c r="DF56" s="6">
        <v>0.995</v>
      </c>
      <c r="DG56" s="1" t="s">
        <v>293</v>
      </c>
      <c r="DH56" s="4">
        <f>Table2[[#This Row],[Date]]</f>
        <v>46258</v>
      </c>
      <c r="DI56">
        <f>(DD57-Table2[[#This Row],[MWH Total]])*4000</f>
        <v>25280.000000000655</v>
      </c>
      <c r="DJ56">
        <f>(DA57-Table2[[#This Row],[PNG Meter (Outside)]])*2.936</f>
        <v>19.1133599999953</v>
      </c>
      <c r="DK56">
        <f>(DB57-Table2[[#This Row],[PNG Meter (Inside)]])*2.936</f>
        <v>348.80267199998838</v>
      </c>
      <c r="DL56">
        <f>(BH57-Table2[[#This Row],[3F Dough cooler - 2 ]])*1000</f>
        <v>354.00000000004184</v>
      </c>
      <c r="DM56">
        <f>(BI57-Table2[[#This Row],[3F Dough Cooler- 1]])*1000</f>
        <v>480.00000000001819</v>
      </c>
      <c r="DN56">
        <f>(BJ57-Table2[[#This Row],[4F Dough Production cooling Unit]])*1000</f>
        <v>56.999999999998607</v>
      </c>
      <c r="DO56">
        <f>(BQ57-Table2[[#This Row],[3F2 - PDB 3 - Dough Production Area]])*1000</f>
        <v>331.00000000001728</v>
      </c>
      <c r="DP56">
        <f>(BR57-Table2[[#This Row],[3F3 - PDB 4 - Dough Area]])*1000</f>
        <v>201.99999999999818</v>
      </c>
      <c r="DQ56">
        <f>AC57-Table2[[#This Row],[16F1 Tray washer Panel for Light]]</f>
        <v>705.92000000039116</v>
      </c>
      <c r="DR56">
        <f>CQ57-Table2[[#This Row],[2F1 Tray Washer - 1]]</f>
        <v>1412.4799999999814</v>
      </c>
      <c r="DS56">
        <f>CS57-Table2[[#This Row],[2F5 Destacker]]</f>
        <v>372.99199999996927</v>
      </c>
      <c r="DT56">
        <f>CU57-Table2[[#This Row],[5F1 Metering (TW-2)]]</f>
        <v>412.58600000001024</v>
      </c>
      <c r="DU56">
        <f>CV57-Table2[[#This Row],[6F1 Pre soaker Tray washer]]</f>
        <v>30.474400000006426</v>
      </c>
      <c r="DV56">
        <f>CZ57-Table2[[#This Row],[6F5 Vent tray Storage]]</f>
        <v>83.408000000024913</v>
      </c>
      <c r="DW56">
        <f>I57-Table2[[#This Row],[Popeyes Meter ]]</f>
        <v>45</v>
      </c>
      <c r="DX56">
        <f>AZ57-Table2[[#This Row],[2F WH Chiller, Segregation Area]]</f>
        <v>0</v>
      </c>
      <c r="DY56" s="1">
        <f>BA57-Table2[[#This Row],[3F1 AC Unit WH dock cooling - 2 Nos]]</f>
        <v>19</v>
      </c>
      <c r="DZ56">
        <f>BB57-Table2[[#This Row],[3F2 AC Unit WH dock cooling - 3 Nos]]</f>
        <v>3.5000000000003695E-2</v>
      </c>
      <c r="EA56">
        <f>(BK57-Table2[[#This Row],[5F WH Perishable]])*1000</f>
        <v>278.00000000002001</v>
      </c>
      <c r="EB56">
        <f>BN57-Table2[[#This Row],[2F3 - PDB 9 - WH Dock Leveler Door ]]</f>
        <v>3.1144000000003871</v>
      </c>
      <c r="EC56">
        <f>BP57-Table2[[#This Row],[3F1 - PDB 5 - WH HSD]]</f>
        <v>121.56800000002841</v>
      </c>
      <c r="ED56">
        <f>BX57-Table2[[#This Row],[8F1 WH Dock AHU - Ventilation]]</f>
        <v>1456.4799999999814</v>
      </c>
      <c r="EE56">
        <f>BZ57-Table2[[#This Row],[8F3 ACPDB - 4 WH Dock air curtain]]</f>
        <v>25.495999999999185</v>
      </c>
      <c r="EF56">
        <f>CA57-Table2[[#This Row],[8F4 WH Light]]</f>
        <v>0</v>
      </c>
      <c r="EG56">
        <f>CC57-Table2[[#This Row],[9F1 - PDB 10 - WH Dock door &amp; Office]]</f>
        <v>74.816000000020722</v>
      </c>
      <c r="EH56">
        <f>CD57-Table2[[#This Row],[9F2 - PDB 11 - WH flycatchers]]</f>
        <v>211.10399999999208</v>
      </c>
      <c r="EI56">
        <f>CE57-Table2[[#This Row],[9F3 - PDB 12 - Other items]]</f>
        <v>2.3775999999998021</v>
      </c>
      <c r="EJ56">
        <f>CR57-Table2[[#This Row],[2F3 - PDB 1 - Dock 1 to 4 ]]</f>
        <v>48.224000000016531</v>
      </c>
      <c r="EK56">
        <f>BM57-Table2[[#This Row],[2F2 - PDB 3 - WH Truck &amp; Battery Charging]]</f>
        <v>539.71199999999953</v>
      </c>
      <c r="EL56">
        <f>(CK57-Table2[[#This Row],[PDB - 11 Truck Charging]])*1000</f>
        <v>50.999999999987722</v>
      </c>
      <c r="EM56">
        <f>P57-Table2[[#This Row],[5F3 Admin Area]]</f>
        <v>360.89599999994971</v>
      </c>
      <c r="EN56">
        <f>AH57-Table2[[#This Row],[2F5 Main Gate-1 Piller -1]]</f>
        <v>111.03999999997905</v>
      </c>
      <c r="EO56">
        <f>CW57-Table2[[#This Row],[6F2 Ground Floor AC]]</f>
        <v>11.315199999997276</v>
      </c>
      <c r="EP56">
        <f>CX57-Table2[[#This Row],[6F3 ACBD -1 (First floor AC)]]</f>
        <v>8.355199999998149</v>
      </c>
      <c r="EQ56">
        <f>CY57-Table2[[#This Row],[6F4 ACBD - 2 (Second &amp; Third floor AC)]]</f>
        <v>125.31200000000536</v>
      </c>
      <c r="ER56">
        <f>(BC57-Table2[[#This Row],[4F Old BMC cooling Unit]])</f>
        <v>0</v>
      </c>
      <c r="ES56">
        <f>BO57-Table2[[#This Row],[2F4 - Old BMC]]</f>
        <v>0</v>
      </c>
      <c r="ET56">
        <f>Y57-Table2[[#This Row],[14F2 New CK]]</f>
        <v>1910.4799999999814</v>
      </c>
      <c r="EU56">
        <f>(CL57-Table2[[#This Row],[OLD Ck Panel-1]])*1000</f>
        <v>613.99999999991905</v>
      </c>
      <c r="EV56">
        <f>CM57-Table2[[#This Row],[2F4 Old CK Blast (Blue star)]]</f>
        <v>0</v>
      </c>
      <c r="EW56">
        <f>CN57-Table2[[#This Row],[3F6 Old CK Blast (Carrier)]]</f>
        <v>497.69999999999709</v>
      </c>
      <c r="EX56">
        <f>(CO57-Table2[[#This Row],[Old CK Panel -2]])*1000</f>
        <v>1094.9999999997999</v>
      </c>
      <c r="EY56">
        <f>N57-Table2[[#This Row],[4F1 Main UPS 1/C -1]]</f>
        <v>980</v>
      </c>
      <c r="EZ56">
        <f>Z57-Table2[[#This Row],[15F1 Main UPS Panel - I/C - 2]]</f>
        <v>0</v>
      </c>
      <c r="FA56">
        <f>BF57-Table2[[#This Row],[2F CLC -1 AC unit - 2]]</f>
        <v>0</v>
      </c>
      <c r="FB56">
        <f>(BG57-Table2[[#This Row],[2F CLC Anti room]])*1000</f>
        <v>34.000000000006025</v>
      </c>
      <c r="FC56">
        <f>BW57-Table2[[#This Row],[7F3 CLC Power Panel]]</f>
        <v>275.07199999992736</v>
      </c>
      <c r="FD56">
        <f>(CI57-Table2[[#This Row],[PDB - 17 CLC Section ]])*1000</f>
        <v>171.00000000002069</v>
      </c>
      <c r="FE56">
        <f>(W57-Table2[[#This Row],[13F3 Water &amp; Lift Old CK]])*1000</f>
        <v>618.89999999993961</v>
      </c>
      <c r="FF56">
        <f>AA57-Table2[[#This Row],[15F2 New ETP Panel]]</f>
        <v>273.08799999998882</v>
      </c>
      <c r="FG56">
        <f>AL57-Table2[[#This Row],[3F4 Old ETP Panel]]</f>
        <v>71.039999999979045</v>
      </c>
      <c r="FH56">
        <f>AF57-Table2[[#This Row],[2F1 RO Plant]]</f>
        <v>543.55199999990873</v>
      </c>
      <c r="FI56">
        <f>AK57-Table2[[#This Row],[3F3 Fire Hydrant Panel]]</f>
        <v>10.599999999991269</v>
      </c>
      <c r="FJ56">
        <f>R57-Table2[[#This Row],[7F1 Freon System Panel]]</f>
        <v>5034.8799999998882</v>
      </c>
      <c r="FK56">
        <f>(AE57-Table2[[#This Row],[21F1 Refrigeration Ammonia]])*1000</f>
        <v>7859.1999999989639</v>
      </c>
      <c r="FL56">
        <f>(AG57-Table2[[#This Row],[2F3 Air Compressor]])*1000</f>
        <v>1288.9999999999873</v>
      </c>
      <c r="FM56">
        <f>(AX57-Table2[[#This Row],[Solar Reading Panel II]])*1000</f>
        <v>907.0000000001528</v>
      </c>
      <c r="FN56">
        <f>AI57-Table2[[#This Row],[3F1 Maintenance Workshop]]</f>
        <v>4.4111999999986438</v>
      </c>
      <c r="FO56">
        <f>BD57-Table2[[#This Row],[4F B2B unit ]]</f>
        <v>55.872000000032131</v>
      </c>
      <c r="FP56">
        <f>BL57-Table2[[#This Row],[2F1 - PDB 6 - Bread, B2B section]]</f>
        <v>312.41599999999744</v>
      </c>
      <c r="FQ56" s="1">
        <f>(CG57-Table2[[#This Row],[9F5 - PDB 14 - Bread Lift]])</f>
        <v>4.3200000000069849</v>
      </c>
      <c r="FR56">
        <f>CJ57-Table2[[#This Row],[PDB - 16 Bread Section]]</f>
        <v>0</v>
      </c>
      <c r="FS56">
        <f>BU57-Table2[[#This Row],[7F1 Donut Production area]]</f>
        <v>154.11199999996461</v>
      </c>
      <c r="FT56">
        <f>CB57-Table2[[#This Row],[8F5 Donut Ban Bary]]</f>
        <v>39.351999999998952</v>
      </c>
      <c r="FU56">
        <f>CF57-Table2[[#This Row],[9F4 - PDB 13 - Donut Sink Geyser area]]</f>
        <v>19.936000000016065</v>
      </c>
      <c r="FV56">
        <f>BV57-Table2[[#This Row],[7F2 Flour Silo]]</f>
        <v>557.8399999999674</v>
      </c>
      <c r="FW56">
        <f>BY57-Table2[[#This Row],[8F2 ACPDB - 3 SILO Ventilation]]</f>
        <v>42.559999999997672</v>
      </c>
      <c r="FX56">
        <f>J57-Table2[[#This Row],[DG 1010KVA Running Hours]]</f>
        <v>0</v>
      </c>
      <c r="FY56">
        <f>K57-Table2[[#This Row],[DG 1010 KVA Meter Reading]]</f>
        <v>0</v>
      </c>
      <c r="FZ56">
        <f>L57-Table2[[#This Row],[GG 1010 KVA Running Hours]]</f>
        <v>0</v>
      </c>
      <c r="GA56">
        <f>M57-Table2[[#This Row],[GG 1010 KVA Meter Reading]]</f>
        <v>0</v>
      </c>
    </row>
    <row r="57" spans="1:183" x14ac:dyDescent="0.35">
      <c r="A57" s="1">
        <v>67</v>
      </c>
      <c r="B57" s="60">
        <v>46259.402233796296</v>
      </c>
      <c r="C57" s="60">
        <v>46259.436203703706</v>
      </c>
      <c r="D57" s="1" t="s">
        <v>111</v>
      </c>
      <c r="E57" s="1"/>
      <c r="F57" s="1"/>
      <c r="G57" s="3">
        <v>46259</v>
      </c>
      <c r="H57" s="1" t="s">
        <v>186</v>
      </c>
      <c r="I57" s="6">
        <f>I56+45</f>
        <v>7582.0019999999995</v>
      </c>
      <c r="J57" s="6">
        <v>4277.8999999999996</v>
      </c>
      <c r="K57" s="6">
        <v>1778064</v>
      </c>
      <c r="L57" s="6">
        <v>457</v>
      </c>
      <c r="M57" s="6">
        <v>192.31</v>
      </c>
      <c r="N57" s="6">
        <v>1888966.08</v>
      </c>
      <c r="O57" s="6">
        <v>4640198.08</v>
      </c>
      <c r="P57" s="6">
        <v>653794.62399999995</v>
      </c>
      <c r="Q57" s="6">
        <v>8150695.6799999997</v>
      </c>
      <c r="R57" s="6">
        <v>5658380.1600000001</v>
      </c>
      <c r="S57" s="6">
        <v>7437811.2000000002</v>
      </c>
      <c r="T57" s="6">
        <v>43477388.056999996</v>
      </c>
      <c r="U57" s="6">
        <v>2130884</v>
      </c>
      <c r="V57" s="6">
        <v>5152488</v>
      </c>
      <c r="W57" s="6">
        <v>1607.0836999999999</v>
      </c>
      <c r="X57" s="6">
        <v>779821.63199999998</v>
      </c>
      <c r="Y57" s="6">
        <v>1122462</v>
      </c>
      <c r="Z57" s="6">
        <v>2777.8894</v>
      </c>
      <c r="AA57" s="6">
        <v>674472.19200000004</v>
      </c>
      <c r="AB57" s="6">
        <v>421659.26400000002</v>
      </c>
      <c r="AC57" s="6">
        <v>2153990.2400000002</v>
      </c>
      <c r="AD57" s="6">
        <v>4338301.193</v>
      </c>
      <c r="AE57" s="6">
        <v>12961.6456</v>
      </c>
      <c r="AF57" s="6">
        <v>887545.53599999996</v>
      </c>
      <c r="AG57" s="6">
        <v>1426.5709999999999</v>
      </c>
      <c r="AH57" s="6">
        <v>135798.65599999999</v>
      </c>
      <c r="AI57" s="6">
        <v>14742.227199999999</v>
      </c>
      <c r="AJ57" s="6">
        <v>145399.584</v>
      </c>
      <c r="AK57" s="6">
        <v>105472.048</v>
      </c>
      <c r="AL57" s="6">
        <v>332159.712</v>
      </c>
      <c r="AM57" s="6">
        <v>1005.079</v>
      </c>
      <c r="AN57" s="6">
        <v>213.4</v>
      </c>
      <c r="AO57" s="6">
        <v>6.9</v>
      </c>
      <c r="AP57" s="6">
        <v>677519</v>
      </c>
      <c r="AQ57" s="6">
        <v>42739</v>
      </c>
      <c r="AR57" s="6">
        <v>42194</v>
      </c>
      <c r="AS57" s="6">
        <v>32390</v>
      </c>
      <c r="AT57" s="6">
        <v>22106</v>
      </c>
      <c r="AU57" s="6">
        <v>16146</v>
      </c>
      <c r="AV57" s="6">
        <v>6726</v>
      </c>
      <c r="AW57" s="6">
        <v>21.075683999999999</v>
      </c>
      <c r="AX57" s="6">
        <v>7289.875</v>
      </c>
      <c r="AY57" s="6">
        <v>682.35104000000001</v>
      </c>
      <c r="AZ57" s="6">
        <v>20.788</v>
      </c>
      <c r="BA57" s="6">
        <v>10827</v>
      </c>
      <c r="BB57" s="6">
        <v>45.718000000000004</v>
      </c>
      <c r="BC57" s="6">
        <v>114024.568</v>
      </c>
      <c r="BD57" s="6">
        <v>277062.592</v>
      </c>
      <c r="BE57" s="6">
        <v>3753.0747999999999</v>
      </c>
      <c r="BF57" s="6">
        <v>1714.182</v>
      </c>
      <c r="BG57" s="6">
        <v>75.685000000000002</v>
      </c>
      <c r="BH57" s="6">
        <v>373.24700000000001</v>
      </c>
      <c r="BI57" s="6">
        <v>925.61099999999999</v>
      </c>
      <c r="BJ57" s="6">
        <v>15.827999999999999</v>
      </c>
      <c r="BK57" s="6">
        <v>569.87400000000002</v>
      </c>
      <c r="BL57" s="6">
        <v>76714.687999999995</v>
      </c>
      <c r="BM57" s="6">
        <v>319929.08799999999</v>
      </c>
      <c r="BN57" s="6">
        <v>7271.5672000000004</v>
      </c>
      <c r="BO57" s="6">
        <v>53589.132799999999</v>
      </c>
      <c r="BP57" s="6">
        <v>316728.41600000003</v>
      </c>
      <c r="BQ57" s="6">
        <v>330.62900000000002</v>
      </c>
      <c r="BR57" s="6">
        <v>184.27600000000001</v>
      </c>
      <c r="BS57" s="6">
        <v>1039606.374</v>
      </c>
      <c r="BT57" s="6">
        <v>1400623.503</v>
      </c>
      <c r="BU57" s="6">
        <v>633773.12</v>
      </c>
      <c r="BV57" s="6">
        <v>1035631.44</v>
      </c>
      <c r="BW57" s="6">
        <v>574002.75199999998</v>
      </c>
      <c r="BX57" s="6">
        <v>1044442.64</v>
      </c>
      <c r="BY57" s="6">
        <v>158794.16</v>
      </c>
      <c r="BZ57" s="6">
        <v>114930.272</v>
      </c>
      <c r="CA57" s="6">
        <v>1244.5895</v>
      </c>
      <c r="CB57" s="6">
        <v>109750.74400000001</v>
      </c>
      <c r="CC57" s="6">
        <v>153406.64000000001</v>
      </c>
      <c r="CD57" s="6">
        <v>451167.48800000001</v>
      </c>
      <c r="CE57" s="6">
        <v>49143.411200000002</v>
      </c>
      <c r="CF57" s="6">
        <v>156499.04</v>
      </c>
      <c r="CG57" s="6">
        <v>360956</v>
      </c>
      <c r="CH57" s="6">
        <v>2385.8710000000001</v>
      </c>
      <c r="CI57" s="6">
        <v>217.99700000000001</v>
      </c>
      <c r="CJ57" s="6">
        <v>1191.5999999999999</v>
      </c>
      <c r="CK57" s="6">
        <v>79.191999999999993</v>
      </c>
      <c r="CL57" s="6">
        <v>747.21299999999997</v>
      </c>
      <c r="CM57" s="6">
        <v>551.4</v>
      </c>
      <c r="CN57" s="6">
        <v>55765</v>
      </c>
      <c r="CO57" s="6">
        <v>1676.9469999999999</v>
      </c>
      <c r="CP57" s="6">
        <v>298658.21299999999</v>
      </c>
      <c r="CQ57" s="6">
        <v>3714159.36</v>
      </c>
      <c r="CR57" s="6">
        <v>132693.75200000001</v>
      </c>
      <c r="CS57" s="6">
        <v>521697.88799999998</v>
      </c>
      <c r="CT57" s="6">
        <v>3011676.1779999998</v>
      </c>
      <c r="CU57" s="6">
        <v>305049.65600000002</v>
      </c>
      <c r="CV57" s="6">
        <v>30243.673599999998</v>
      </c>
      <c r="CW57" s="6">
        <v>63458.911999999997</v>
      </c>
      <c r="CX57" s="6">
        <v>33560.553599999999</v>
      </c>
      <c r="CY57" s="6">
        <v>170706.64</v>
      </c>
      <c r="CZ57" s="6">
        <v>219760.35200000001</v>
      </c>
      <c r="DA57" s="6">
        <v>19313</v>
      </c>
      <c r="DB57" s="6">
        <v>152689.56200000001</v>
      </c>
      <c r="DC57" s="6">
        <v>3180.35</v>
      </c>
      <c r="DD57" s="6">
        <f>DD56+6.32</f>
        <v>3149.71</v>
      </c>
      <c r="DE57" s="6">
        <v>3209.87</v>
      </c>
      <c r="DF57" s="6">
        <v>0.997</v>
      </c>
      <c r="DG57" s="1" t="s">
        <v>306</v>
      </c>
      <c r="DH57" s="4">
        <f>Table2[[#This Row],[Date]]</f>
        <v>46259</v>
      </c>
      <c r="DI57" s="69">
        <f>(DD58-Table2[[#This Row],[MWH Total]])*4000</f>
        <v>28040.000000000873</v>
      </c>
      <c r="DJ57">
        <f>(DA58-Table2[[#This Row],[PNG Meter (Outside)]])*2.936</f>
        <v>230.094319999997</v>
      </c>
      <c r="DK57">
        <f>(DB58-Table2[[#This Row],[PNG Meter (Inside)]])*2.936</f>
        <v>318.87895999995897</v>
      </c>
      <c r="DL57">
        <f>(BH58-Table2[[#This Row],[3F Dough cooler - 2 ]])*1000</f>
        <v>397.99999999996771</v>
      </c>
      <c r="DM57">
        <f>(BI58-Table2[[#This Row],[3F Dough Cooler- 1]])*1000</f>
        <v>476.99999999997544</v>
      </c>
      <c r="DN57">
        <f>(BJ58-Table2[[#This Row],[4F Dough Production cooling Unit]])*1000</f>
        <v>60.000000000000497</v>
      </c>
      <c r="DO57">
        <f>(BQ58-Table2[[#This Row],[3F2 - PDB 3 - Dough Production Area]])*1000</f>
        <v>323.99999999995543</v>
      </c>
      <c r="DP57">
        <f>(BR58-Table2[[#This Row],[3F3 - PDB 4 - Dough Area]])*1000</f>
        <v>191.99999999997885</v>
      </c>
      <c r="DQ57">
        <f>AC58-Table2[[#This Row],[16F1 Tray washer Panel for Light]]</f>
        <v>686.71999999973923</v>
      </c>
      <c r="DR57">
        <f>CQ58-Table2[[#This Row],[2F1 Tray Washer - 1]]</f>
        <v>1300.4799999999814</v>
      </c>
      <c r="DS57">
        <f>CS58-Table2[[#This Row],[2F5 Destacker]]</f>
        <v>359.52000000001863</v>
      </c>
      <c r="DT57">
        <f>CU58-Table2[[#This Row],[5F1 Metering (TW-2)]]</f>
        <v>274.61099999997532</v>
      </c>
      <c r="DU57">
        <f>CV58-Table2[[#This Row],[6F1 Pre soaker Tray washer]]</f>
        <v>5.1488000000026659</v>
      </c>
      <c r="DV57">
        <f>CZ58-Table2[[#This Row],[6F5 Vent tray Storage]]</f>
        <v>82.655999999988126</v>
      </c>
      <c r="DW57">
        <f>I58-Table2[[#This Row],[Popeyes Meter ]]</f>
        <v>56</v>
      </c>
      <c r="DX57">
        <f>AZ58-Table2[[#This Row],[2F WH Chiller, Segregation Area]]</f>
        <v>0</v>
      </c>
      <c r="DY57" s="1">
        <f>BA58-Table2[[#This Row],[3F1 AC Unit WH dock cooling - 2 Nos]]</f>
        <v>21</v>
      </c>
      <c r="DZ57">
        <f>BB58-Table2[[#This Row],[3F2 AC Unit WH dock cooling - 3 Nos]]</f>
        <v>4.6999999999997044E-2</v>
      </c>
      <c r="EA57">
        <f>(BK58-Table2[[#This Row],[5F WH Perishable]])*1000</f>
        <v>275.99999999995362</v>
      </c>
      <c r="EB57">
        <f>BN58-Table2[[#This Row],[2F3 - PDB 9 - WH Dock Leveler Door ]]</f>
        <v>2.6311999999998079</v>
      </c>
      <c r="EC57">
        <f>BP58-Table2[[#This Row],[3F1 - PDB 5 - WH HSD]]</f>
        <v>90.687999999965541</v>
      </c>
      <c r="ED57">
        <f>BX58-Table2[[#This Row],[8F1 WH Dock AHU - Ventilation]]</f>
        <v>1469.9200000000419</v>
      </c>
      <c r="EE57">
        <f>BZ58-Table2[[#This Row],[8F3 ACPDB - 4 WH Dock air curtain]]</f>
        <v>33.263999999995576</v>
      </c>
      <c r="EF57">
        <f>CA58-Table2[[#This Row],[8F4 WH Light]]</f>
        <v>0</v>
      </c>
      <c r="EG57">
        <f>CC58-Table2[[#This Row],[9F1 - PDB 10 - WH Dock door &amp; Office]]</f>
        <v>121.58399999997346</v>
      </c>
      <c r="EH57">
        <f>CD58-Table2[[#This Row],[9F2 - PDB 11 - WH flycatchers]]</f>
        <v>239.8399999999674</v>
      </c>
      <c r="EI57">
        <f>CE58-Table2[[#This Row],[9F3 - PDB 12 - Other items]]</f>
        <v>7.8783999999941443</v>
      </c>
      <c r="EJ57">
        <f>CR58-Table2[[#This Row],[2F3 - PDB 1 - Dock 1 to 4 ]]</f>
        <v>52.495999999984633</v>
      </c>
      <c r="EK57">
        <f>BM58-Table2[[#This Row],[2F2 - PDB 3 - WH Truck &amp; Battery Charging]]</f>
        <v>434.55999999999767</v>
      </c>
      <c r="EL57">
        <f>(CK58-Table2[[#This Row],[PDB - 11 Truck Charging]])*1000</f>
        <v>53.000000000011482</v>
      </c>
      <c r="EM57">
        <f>P58-Table2[[#This Row],[5F3 Admin Area]]</f>
        <v>356.1600000000326</v>
      </c>
      <c r="EN57">
        <f>AH58-Table2[[#This Row],[2F5 Main Gate-1 Piller -1]]</f>
        <v>122.97600000002421</v>
      </c>
      <c r="EO57">
        <f>CW58-Table2[[#This Row],[6F2 Ground Floor AC]]</f>
        <v>11.987200000003213</v>
      </c>
      <c r="EP57">
        <f>CX58-Table2[[#This Row],[6F3 ACBD -1 (First floor AC)]]</f>
        <v>8.7168000000019674</v>
      </c>
      <c r="EQ57">
        <f>CY58-Table2[[#This Row],[6F4 ACBD - 2 (Second &amp; Third floor AC)]]</f>
        <v>127.45599999997648</v>
      </c>
      <c r="ER57">
        <f>(BC58-Table2[[#This Row],[4F Old BMC cooling Unit]])</f>
        <v>0</v>
      </c>
      <c r="ES57">
        <f>BO58-Table2[[#This Row],[2F4 - Old BMC]]</f>
        <v>0</v>
      </c>
      <c r="ET57">
        <f>Y58-Table2[[#This Row],[14F2 New CK]]</f>
        <v>1783.1200000001118</v>
      </c>
      <c r="EU57">
        <f>(CL58-Table2[[#This Row],[OLD Ck Panel-1]])*1000</f>
        <v>697.99999999997908</v>
      </c>
      <c r="EV57">
        <f>CM58-Table2[[#This Row],[2F4 Old CK Blast (Blue star)]]</f>
        <v>0</v>
      </c>
      <c r="EW57">
        <f>CN58-Table2[[#This Row],[3F6 Old CK Blast (Carrier)]]</f>
        <v>561.40000000000146</v>
      </c>
      <c r="EX57">
        <f>(CO58-Table2[[#This Row],[Old CK Panel -2]])*1000</f>
        <v>1238.0000000000564</v>
      </c>
      <c r="EY57">
        <f>N58-Table2[[#This Row],[4F1 Main UPS 1/C -1]]</f>
        <v>1016.9599999999627</v>
      </c>
      <c r="EZ57">
        <f>Z58-Table2[[#This Row],[15F1 Main UPS Panel - I/C - 2]]</f>
        <v>0</v>
      </c>
      <c r="FA57">
        <f>BF58-Table2[[#This Row],[2F CLC -1 AC unit - 2]]</f>
        <v>0</v>
      </c>
      <c r="FB57">
        <f>(BG58-Table2[[#This Row],[2F CLC Anti room]])*1000</f>
        <v>33.000000000001251</v>
      </c>
      <c r="FC57">
        <f>BW58-Table2[[#This Row],[7F3 CLC Power Panel]]</f>
        <v>232.76800000004005</v>
      </c>
      <c r="FD57">
        <f>(CI58-Table2[[#This Row],[PDB - 17 CLC Section ]])*1000</f>
        <v>153.99999999999636</v>
      </c>
      <c r="FE57">
        <f>(W58-Table2[[#This Row],[13F3 Water &amp; Lift Old CK]])*1000</f>
        <v>706.10000000010587</v>
      </c>
      <c r="FF57">
        <f>AA58-Table2[[#This Row],[15F2 New ETP Panel]]</f>
        <v>279.74399999994785</v>
      </c>
      <c r="FG57">
        <f>AL58-Table2[[#This Row],[3F4 Old ETP Panel]]</f>
        <v>67.103999999992084</v>
      </c>
      <c r="FH57">
        <f>AF58-Table2[[#This Row],[2F1 RO Plant]]</f>
        <v>558.7839999999851</v>
      </c>
      <c r="FI57">
        <f>AK58-Table2[[#This Row],[3F3 Fire Hydrant Panel]]</f>
        <v>10.792000000001281</v>
      </c>
      <c r="FJ57">
        <f>R58-Table2[[#This Row],[7F1 Freon System Panel]]</f>
        <v>4972.160000000149</v>
      </c>
      <c r="FK57">
        <f>(AE58-Table2[[#This Row],[21F1 Refrigeration Ammonia]])*1000</f>
        <v>7797.5999999998749</v>
      </c>
      <c r="FL57">
        <f>(AG58-Table2[[#This Row],[2F3 Air Compressor]])*1000</f>
        <v>1314.0000000000782</v>
      </c>
      <c r="FM57">
        <f>(AX58-Table2[[#This Row],[Solar Reading Panel II]])*1000</f>
        <v>2688.0000000001019</v>
      </c>
      <c r="FN57">
        <f>AI58-Table2[[#This Row],[3F1 Maintenance Workshop]]</f>
        <v>3.8912000000000262</v>
      </c>
      <c r="FO57">
        <f>BD58-Table2[[#This Row],[4F B2B unit ]]</f>
        <v>35.615999999979977</v>
      </c>
      <c r="FP57">
        <f>BL58-Table2[[#This Row],[2F1 - PDB 6 - Bread, B2B section]]</f>
        <v>199.95520000001125</v>
      </c>
      <c r="FQ57" s="1">
        <f>(CG58-Table2[[#This Row],[9F5 - PDB 14 - Bread Lift]])</f>
        <v>2.2079999999841675</v>
      </c>
      <c r="FR57">
        <f>CJ58-Table2[[#This Row],[PDB - 16 Bread Section]]</f>
        <v>0</v>
      </c>
      <c r="FS57">
        <f>BU58-Table2[[#This Row],[7F1 Donut Production area]]</f>
        <v>160.38399999996182</v>
      </c>
      <c r="FT57">
        <f>CB58-Table2[[#This Row],[8F5 Donut Ban Bary]]</f>
        <v>35.239999999990687</v>
      </c>
      <c r="FU57">
        <f>CF58-Table2[[#This Row],[9F4 - PDB 13 - Donut Sink Geyser area]]</f>
        <v>9.9199999999837019</v>
      </c>
      <c r="FV57">
        <f>BV58-Table2[[#This Row],[7F2 Flour Silo]]</f>
        <v>509.76000000000931</v>
      </c>
      <c r="FW57">
        <f>BY58-Table2[[#This Row],[8F2 ACPDB - 3 SILO Ventilation]]</f>
        <v>42.592000000004191</v>
      </c>
      <c r="FX57">
        <f>J58-Table2[[#This Row],[DG 1010KVA Running Hours]]</f>
        <v>1.6000000000003638</v>
      </c>
      <c r="FY57">
        <f>K58-Table2[[#This Row],[DG 1010 KVA Meter Reading]]</f>
        <v>685</v>
      </c>
      <c r="FZ57">
        <f>L58-Table2[[#This Row],[GG 1010 KVA Running Hours]]</f>
        <v>2</v>
      </c>
      <c r="GA57">
        <f>M58-Table2[[#This Row],[GG 1010 KVA Meter Reading]]</f>
        <v>0.69999999999998863</v>
      </c>
    </row>
    <row r="58" spans="1:183" x14ac:dyDescent="0.35">
      <c r="A58" s="1">
        <v>68</v>
      </c>
      <c r="B58" s="60">
        <v>46260.393587962964</v>
      </c>
      <c r="C58" s="60">
        <v>46260.432847222219</v>
      </c>
      <c r="D58" s="1" t="s">
        <v>111</v>
      </c>
      <c r="E58" s="1"/>
      <c r="F58" s="1"/>
      <c r="G58" s="3">
        <v>46260</v>
      </c>
      <c r="H58" s="1" t="s">
        <v>186</v>
      </c>
      <c r="I58" s="6">
        <f>I57+56</f>
        <v>7638.0019999999995</v>
      </c>
      <c r="J58" s="6">
        <v>4279.5</v>
      </c>
      <c r="K58" s="6">
        <v>1778749</v>
      </c>
      <c r="L58" s="6">
        <v>459</v>
      </c>
      <c r="M58" s="6">
        <v>193.01</v>
      </c>
      <c r="N58" s="6">
        <v>1889983.04</v>
      </c>
      <c r="O58" s="6">
        <v>4642193.92</v>
      </c>
      <c r="P58" s="6">
        <v>654150.78399999999</v>
      </c>
      <c r="Q58" s="6">
        <v>8153841.2800000003</v>
      </c>
      <c r="R58" s="6">
        <v>5663352.3200000003</v>
      </c>
      <c r="S58" s="6">
        <v>7441537.2800000003</v>
      </c>
      <c r="T58" s="6">
        <v>43488826.207000002</v>
      </c>
      <c r="U58" s="6">
        <v>2132300.7999999998</v>
      </c>
      <c r="V58" s="6">
        <v>5154227.84</v>
      </c>
      <c r="W58" s="6">
        <v>1607.7898</v>
      </c>
      <c r="X58" s="6">
        <v>780096.19200000004</v>
      </c>
      <c r="Y58" s="6">
        <v>1124245.1200000001</v>
      </c>
      <c r="Z58" s="6">
        <v>2777.8894</v>
      </c>
      <c r="AA58" s="6">
        <v>674751.93599999999</v>
      </c>
      <c r="AB58" s="6">
        <v>421744.22399999999</v>
      </c>
      <c r="AC58" s="6">
        <v>2154676.96</v>
      </c>
      <c r="AD58" s="6">
        <v>4353466.7350000003</v>
      </c>
      <c r="AE58" s="6">
        <v>12969.4432</v>
      </c>
      <c r="AF58" s="6">
        <v>888104.32</v>
      </c>
      <c r="AG58" s="6">
        <v>1427.885</v>
      </c>
      <c r="AH58" s="6">
        <v>135921.63200000001</v>
      </c>
      <c r="AI58" s="6">
        <v>14746.118399999999</v>
      </c>
      <c r="AJ58" s="6">
        <v>145401.95199999999</v>
      </c>
      <c r="AK58" s="6">
        <v>105482.84</v>
      </c>
      <c r="AL58" s="6">
        <v>332226.81599999999</v>
      </c>
      <c r="AM58" s="6">
        <v>1005.684</v>
      </c>
      <c r="AN58" s="6">
        <v>280.7</v>
      </c>
      <c r="AO58" s="6">
        <v>7.3</v>
      </c>
      <c r="AP58" s="6">
        <v>685399</v>
      </c>
      <c r="AQ58" s="6">
        <v>42757</v>
      </c>
      <c r="AR58" s="6">
        <v>42212</v>
      </c>
      <c r="AS58" s="6">
        <v>32390</v>
      </c>
      <c r="AT58" s="6">
        <v>22106</v>
      </c>
      <c r="AU58" s="6">
        <v>16164</v>
      </c>
      <c r="AV58" s="6">
        <v>6736</v>
      </c>
      <c r="AW58" s="6">
        <v>21.083217999999999</v>
      </c>
      <c r="AX58" s="6">
        <v>7292.5630000000001</v>
      </c>
      <c r="AY58" s="6">
        <v>682.55016000000001</v>
      </c>
      <c r="AZ58" s="6">
        <v>20.788</v>
      </c>
      <c r="BA58" s="6">
        <v>10848</v>
      </c>
      <c r="BB58" s="6">
        <v>45.765000000000001</v>
      </c>
      <c r="BC58" s="6">
        <v>114024.568</v>
      </c>
      <c r="BD58" s="6">
        <v>277098.20799999998</v>
      </c>
      <c r="BE58" s="6">
        <v>3754.3863999999999</v>
      </c>
      <c r="BF58" s="6">
        <v>1714.182</v>
      </c>
      <c r="BG58" s="6">
        <v>75.718000000000004</v>
      </c>
      <c r="BH58" s="6">
        <v>373.64499999999998</v>
      </c>
      <c r="BI58" s="6">
        <v>926.08799999999997</v>
      </c>
      <c r="BJ58" s="6">
        <v>15.888</v>
      </c>
      <c r="BK58" s="6">
        <v>570.15</v>
      </c>
      <c r="BL58" s="6">
        <v>76914.643200000006</v>
      </c>
      <c r="BM58" s="6">
        <v>320363.64799999999</v>
      </c>
      <c r="BN58" s="6">
        <v>7274.1984000000002</v>
      </c>
      <c r="BO58" s="6">
        <v>53589.132799999999</v>
      </c>
      <c r="BP58" s="6">
        <v>316819.10399999999</v>
      </c>
      <c r="BQ58" s="6">
        <v>330.95299999999997</v>
      </c>
      <c r="BR58" s="6">
        <v>184.46799999999999</v>
      </c>
      <c r="BS58" s="6">
        <v>1040999.2070000001</v>
      </c>
      <c r="BT58" s="6">
        <v>1400623.642</v>
      </c>
      <c r="BU58" s="6">
        <v>633933.50399999996</v>
      </c>
      <c r="BV58" s="6">
        <v>1036141.2</v>
      </c>
      <c r="BW58" s="6">
        <v>574235.52</v>
      </c>
      <c r="BX58" s="6">
        <v>1045912.56</v>
      </c>
      <c r="BY58" s="6">
        <v>158836.75200000001</v>
      </c>
      <c r="BZ58" s="6">
        <v>114963.53599999999</v>
      </c>
      <c r="CA58" s="6">
        <v>1244.5895</v>
      </c>
      <c r="CB58" s="6">
        <v>109785.984</v>
      </c>
      <c r="CC58" s="6">
        <v>153528.22399999999</v>
      </c>
      <c r="CD58" s="6">
        <v>451407.32799999998</v>
      </c>
      <c r="CE58" s="6">
        <v>49151.289599999996</v>
      </c>
      <c r="CF58" s="6">
        <v>156508.96</v>
      </c>
      <c r="CG58" s="6">
        <v>360958.20799999998</v>
      </c>
      <c r="CH58" s="6">
        <v>2385.8710000000001</v>
      </c>
      <c r="CI58" s="6">
        <v>218.15100000000001</v>
      </c>
      <c r="CJ58" s="6">
        <v>1191.5999999999999</v>
      </c>
      <c r="CK58" s="6">
        <v>79.245000000000005</v>
      </c>
      <c r="CL58" s="6">
        <v>747.91099999999994</v>
      </c>
      <c r="CM58" s="6">
        <v>551.4</v>
      </c>
      <c r="CN58" s="6">
        <v>56326.400000000001</v>
      </c>
      <c r="CO58" s="6">
        <v>1678.1849999999999</v>
      </c>
      <c r="CP58" s="6">
        <v>298929.098</v>
      </c>
      <c r="CQ58" s="6">
        <v>3715459.84</v>
      </c>
      <c r="CR58" s="6">
        <v>132746.24799999999</v>
      </c>
      <c r="CS58" s="6">
        <v>522057.408</v>
      </c>
      <c r="CT58" s="6">
        <v>3015469.5660000001</v>
      </c>
      <c r="CU58" s="6">
        <v>305324.26699999999</v>
      </c>
      <c r="CV58" s="6">
        <v>30248.822400000001</v>
      </c>
      <c r="CW58" s="6">
        <v>63470.8992</v>
      </c>
      <c r="CX58" s="6">
        <v>33569.270400000001</v>
      </c>
      <c r="CY58" s="6">
        <v>170834.09599999999</v>
      </c>
      <c r="CZ58" s="6">
        <v>219843.008</v>
      </c>
      <c r="DA58" s="6">
        <v>19391.37</v>
      </c>
      <c r="DB58" s="6">
        <v>152798.17199999999</v>
      </c>
      <c r="DC58" s="6">
        <v>3186.96</v>
      </c>
      <c r="DD58" s="6">
        <f>DD57+7.01</f>
        <v>3156.7200000000003</v>
      </c>
      <c r="DE58" s="6">
        <v>3216.51</v>
      </c>
      <c r="DF58" s="6">
        <v>0.99299999999999999</v>
      </c>
      <c r="DG58" s="1" t="s">
        <v>307</v>
      </c>
      <c r="DH58" s="4">
        <f>Table2[[#This Row],[Date]]</f>
        <v>46260</v>
      </c>
      <c r="DI58">
        <f>(DD59-Table2[[#This Row],[MWH Total]])*4000</f>
        <v>28479.999999999563</v>
      </c>
      <c r="DJ58">
        <f>(DA59-Table2[[#This Row],[PNG Meter (Outside)]])*2.936</f>
        <v>66.353600000006409</v>
      </c>
      <c r="DK58">
        <f>(DB59-Table2[[#This Row],[PNG Meter (Inside)]])*2.936</f>
        <v>300.76971200002941</v>
      </c>
      <c r="DL58">
        <f>(BH59-Table2[[#This Row],[3F Dough cooler - 2 ]])*1000</f>
        <v>410.00000000002501</v>
      </c>
      <c r="DM58">
        <f>(BI59-Table2[[#This Row],[3F Dough Cooler- 1]])*1000</f>
        <v>490.99999999998545</v>
      </c>
      <c r="DN58">
        <f>(BJ59-Table2[[#This Row],[4F Dough Production cooling Unit]])*1000</f>
        <v>53.000000000000824</v>
      </c>
      <c r="DO58">
        <f>(BQ59-Table2[[#This Row],[3F2 - PDB 3 - Dough Production Area]])*1000</f>
        <v>328.00000000003138</v>
      </c>
      <c r="DP58">
        <f>(BR59-Table2[[#This Row],[3F3 - PDB 4 - Dough Area]])*1000</f>
        <v>194.00000000001683</v>
      </c>
      <c r="DQ58">
        <f>AC59-Table2[[#This Row],[16F1 Tray washer Panel for Light]]</f>
        <v>703.04000000003725</v>
      </c>
      <c r="DR58">
        <f>CQ59-Table2[[#This Row],[2F1 Tray Washer - 1]]</f>
        <v>1265.6000000000931</v>
      </c>
      <c r="DS58">
        <f>CS59-Table2[[#This Row],[2F5 Destacker]]</f>
        <v>347.03999999997905</v>
      </c>
      <c r="DT58">
        <f>CU59-Table2[[#This Row],[5F1 Metering (TW-2)]]</f>
        <v>305.58500000002095</v>
      </c>
      <c r="DU58">
        <f>CV59-Table2[[#This Row],[6F1 Pre soaker Tray washer]]</f>
        <v>6.0864000000001397</v>
      </c>
      <c r="DV58">
        <f>CZ59-Table2[[#This Row],[6F5 Vent tray Storage]]</f>
        <v>112.52799999999115</v>
      </c>
      <c r="DW58">
        <f>I59-Table2[[#This Row],[Popeyes Meter ]]</f>
        <v>53.100000000000364</v>
      </c>
      <c r="DX58">
        <f>AZ59-Table2[[#This Row],[2F WH Chiller, Segregation Area]]</f>
        <v>0</v>
      </c>
      <c r="DY58" s="1">
        <f>BA59-Table2[[#This Row],[3F1 AC Unit WH dock cooling - 2 Nos]]</f>
        <v>19</v>
      </c>
      <c r="DZ58">
        <f>BB59-Table2[[#This Row],[3F2 AC Unit WH dock cooling - 3 Nos]]</f>
        <v>4.5999999999999375E-2</v>
      </c>
      <c r="EA58">
        <f>(BK59-Table2[[#This Row],[5F WH Perishable]])*1000</f>
        <v>284.99999999996817</v>
      </c>
      <c r="EB58">
        <f>BN59-Table2[[#This Row],[2F3 - PDB 9 - WH Dock Leveler Door ]]</f>
        <v>3.221599999999853</v>
      </c>
      <c r="EC58">
        <f>BP59-Table2[[#This Row],[3F1 - PDB 5 - WH HSD]]</f>
        <v>105.28000000002794</v>
      </c>
      <c r="ED58">
        <f>BX59-Table2[[#This Row],[8F1 WH Dock AHU - Ventilation]]</f>
        <v>1485.1199999999953</v>
      </c>
      <c r="EE58">
        <f>BZ59-Table2[[#This Row],[8F3 ACPDB - 4 WH Dock air curtain]]</f>
        <v>13.768000000010943</v>
      </c>
      <c r="EF58">
        <f>CA59-Table2[[#This Row],[8F4 WH Light]]</f>
        <v>0</v>
      </c>
      <c r="EG58">
        <f>CC59-Table2[[#This Row],[9F1 - PDB 10 - WH Dock door &amp; Office]]</f>
        <v>156.88000000000466</v>
      </c>
      <c r="EH58">
        <f>CD59-Table2[[#This Row],[9F2 - PDB 11 - WH flycatchers]]</f>
        <v>260</v>
      </c>
      <c r="EI58">
        <f>CE59-Table2[[#This Row],[9F3 - PDB 12 - Other items]]</f>
        <v>3.916800000006333</v>
      </c>
      <c r="EJ58">
        <f>CR59-Table2[[#This Row],[2F3 - PDB 1 - Dock 1 to 4 ]]</f>
        <v>52.472000000008848</v>
      </c>
      <c r="EK58">
        <f>BM59-Table2[[#This Row],[2F2 - PDB 3 - WH Truck &amp; Battery Charging]]</f>
        <v>694.88000000000466</v>
      </c>
      <c r="EL58">
        <f>(CK59-Table2[[#This Row],[PDB - 11 Truck Charging]])*1000</f>
        <v>78.99999999999352</v>
      </c>
      <c r="EM58">
        <f>P59-Table2[[#This Row],[5F3 Admin Area]]</f>
        <v>389.63199999998324</v>
      </c>
      <c r="EN58">
        <f>AH59-Table2[[#This Row],[2F5 Main Gate-1 Piller -1]]</f>
        <v>131.69599999999627</v>
      </c>
      <c r="EO58">
        <f>CW59-Table2[[#This Row],[6F2 Ground Floor AC]]</f>
        <v>12.332800000003772</v>
      </c>
      <c r="EP58">
        <f>CX59-Table2[[#This Row],[6F3 ACBD -1 (First floor AC)]]</f>
        <v>8.7135999999954947</v>
      </c>
      <c r="EQ58">
        <f>CY59-Table2[[#This Row],[6F4 ACBD - 2 (Second &amp; Third floor AC)]]</f>
        <v>123.68000000002212</v>
      </c>
      <c r="ER58">
        <f>(BC59-Table2[[#This Row],[4F Old BMC cooling Unit]])</f>
        <v>0</v>
      </c>
      <c r="ES58">
        <f>BO59-Table2[[#This Row],[2F4 - Old BMC]]</f>
        <v>0</v>
      </c>
      <c r="ET58">
        <f>Y59-Table2[[#This Row],[14F2 New CK]]</f>
        <v>1741.5999999998603</v>
      </c>
      <c r="EU58">
        <f>(CL59-Table2[[#This Row],[OLD Ck Panel-1]])*1000</f>
        <v>696.00000000002638</v>
      </c>
      <c r="EV58">
        <f>CM59-Table2[[#This Row],[2F4 Old CK Blast (Blue star)]]</f>
        <v>0</v>
      </c>
      <c r="EW58">
        <f>CN59-Table2[[#This Row],[3F6 Old CK Blast (Carrier)]]</f>
        <v>561.59999999999854</v>
      </c>
      <c r="EX58">
        <f>(CO59-Table2[[#This Row],[Old CK Panel -2]])*1000</f>
        <v>1254.0000000001328</v>
      </c>
      <c r="EY58">
        <f>N59-Table2[[#This Row],[4F1 Main UPS 1/C -1]]</f>
        <v>1004.1599999999162</v>
      </c>
      <c r="EZ58">
        <f>Z59-Table2[[#This Row],[15F1 Main UPS Panel - I/C - 2]]</f>
        <v>0</v>
      </c>
      <c r="FA58">
        <f>BF59-Table2[[#This Row],[2F CLC -1 AC unit - 2]]</f>
        <v>0</v>
      </c>
      <c r="FB58">
        <f>(BG59-Table2[[#This Row],[2F CLC Anti room]])*1000</f>
        <v>33.999999999991815</v>
      </c>
      <c r="FC58">
        <f>BW59-Table2[[#This Row],[7F3 CLC Power Panel]]</f>
        <v>237.0559999999823</v>
      </c>
      <c r="FD58">
        <f>(CI59-Table2[[#This Row],[PDB - 17 CLC Section ]])*1000</f>
        <v>141.99999999999591</v>
      </c>
      <c r="FE58">
        <f>(W59-Table2[[#This Row],[13F3 Water &amp; Lift Old CK]])*1000</f>
        <v>630.49999999998363</v>
      </c>
      <c r="FF58">
        <f>AA59-Table2[[#This Row],[15F2 New ETP Panel]]</f>
        <v>289.02399999997579</v>
      </c>
      <c r="FG58">
        <f>AL59-Table2[[#This Row],[3F4 Old ETP Panel]]</f>
        <v>67.967999999993481</v>
      </c>
      <c r="FH58">
        <f>AF59-Table2[[#This Row],[2F1 RO Plant]]</f>
        <v>605.82400000002235</v>
      </c>
      <c r="FI58">
        <f>AK59-Table2[[#This Row],[3F3 Fire Hydrant Panel]]</f>
        <v>9.6160000000090804</v>
      </c>
      <c r="FJ58">
        <f>R59-Table2[[#This Row],[7F1 Freon System Panel]]</f>
        <v>5161.5999999996275</v>
      </c>
      <c r="FK58">
        <f>(AE59-Table2[[#This Row],[21F1 Refrigeration Ammonia]])*1000</f>
        <v>8308.8000000007014</v>
      </c>
      <c r="FL58">
        <f>(AG59-Table2[[#This Row],[2F3 Air Compressor]])*1000</f>
        <v>1320.9999999999127</v>
      </c>
      <c r="FM58">
        <f>(AX59-Table2[[#This Row],[Solar Reading Panel II]])*1000</f>
        <v>2494.9999999998909</v>
      </c>
      <c r="FN58">
        <f>AI59-Table2[[#This Row],[3F1 Maintenance Workshop]]</f>
        <v>4.710399999999936</v>
      </c>
      <c r="FO58">
        <f>BD59-Table2[[#This Row],[4F B2B unit ]]</f>
        <v>35.391999999992549</v>
      </c>
      <c r="FP58">
        <f>BL59-Table2[[#This Row],[2F1 - PDB 6 - Bread, B2B section]]</f>
        <v>262.99519999999029</v>
      </c>
      <c r="FQ58" s="1">
        <f>(CG59-Table2[[#This Row],[9F5 - PDB 14 - Bread Lift]])</f>
        <v>4.7680000000400469</v>
      </c>
      <c r="FR58">
        <f>CJ59-Table2[[#This Row],[PDB - 16 Bread Section]]</f>
        <v>0</v>
      </c>
      <c r="FS58">
        <f>BU59-Table2[[#This Row],[7F1 Donut Production area]]</f>
        <v>196.73600000003353</v>
      </c>
      <c r="FT58">
        <f>CB59-Table2[[#This Row],[8F5 Donut Ban Bary]]</f>
        <v>43.088000000003376</v>
      </c>
      <c r="FU58">
        <f>CF59-Table2[[#This Row],[9F4 - PDB 13 - Donut Sink Geyser area]]</f>
        <v>13.184000000008382</v>
      </c>
      <c r="FV58">
        <f>BV59-Table2[[#This Row],[7F2 Flour Silo]]</f>
        <v>806.23999999999069</v>
      </c>
      <c r="FW58">
        <f>BY59-Table2[[#This Row],[8F2 ACPDB - 3 SILO Ventilation]]</f>
        <v>42.975999999995111</v>
      </c>
      <c r="FX58">
        <f>J59-Table2[[#This Row],[DG 1010KVA Running Hours]]</f>
        <v>0.3999999999996362</v>
      </c>
      <c r="FY58">
        <f>K59-Table2[[#This Row],[DG 1010 KVA Meter Reading]]</f>
        <v>160</v>
      </c>
      <c r="FZ58">
        <f>L59-Table2[[#This Row],[GG 1010 KVA Running Hours]]</f>
        <v>0</v>
      </c>
      <c r="GA58">
        <f>M59-Table2[[#This Row],[GG 1010 KVA Meter Reading]]</f>
        <v>0.15999999999999659</v>
      </c>
    </row>
    <row r="59" spans="1:183" x14ac:dyDescent="0.35">
      <c r="A59" s="1">
        <v>69</v>
      </c>
      <c r="B59" s="60">
        <v>46261.407442129632</v>
      </c>
      <c r="C59" s="60">
        <v>46261.443761574075</v>
      </c>
      <c r="D59" s="1" t="s">
        <v>111</v>
      </c>
      <c r="E59" s="1"/>
      <c r="F59" s="1"/>
      <c r="G59" s="3">
        <v>46261</v>
      </c>
      <c r="H59" s="1" t="s">
        <v>186</v>
      </c>
      <c r="I59" s="6">
        <v>7691.1019999999999</v>
      </c>
      <c r="J59" s="6">
        <v>4279.8999999999996</v>
      </c>
      <c r="K59" s="6">
        <v>1778909</v>
      </c>
      <c r="L59" s="6">
        <v>459</v>
      </c>
      <c r="M59" s="6">
        <v>193.17</v>
      </c>
      <c r="N59" s="6">
        <v>1890987.2</v>
      </c>
      <c r="O59" s="6">
        <v>4644251.5199999996</v>
      </c>
      <c r="P59" s="6">
        <v>654540.41599999997</v>
      </c>
      <c r="Q59" s="6">
        <v>8156662.4000000004</v>
      </c>
      <c r="R59" s="6">
        <v>5668513.9199999999</v>
      </c>
      <c r="S59" s="6">
        <v>7445253.7599999998</v>
      </c>
      <c r="T59" s="6">
        <v>43048838.740999997</v>
      </c>
      <c r="U59" s="6">
        <v>2134108.7999999998</v>
      </c>
      <c r="V59" s="6">
        <v>5155974.4000000004</v>
      </c>
      <c r="W59" s="6">
        <v>1608.4203</v>
      </c>
      <c r="X59" s="6">
        <v>780401.92</v>
      </c>
      <c r="Y59" s="6">
        <v>1125986.72</v>
      </c>
      <c r="Z59" s="6">
        <v>2777.8894</v>
      </c>
      <c r="AA59" s="6">
        <v>675040.96</v>
      </c>
      <c r="AB59" s="6">
        <v>421789.05599999998</v>
      </c>
      <c r="AC59" s="6">
        <v>2155380</v>
      </c>
      <c r="AD59" s="6">
        <v>4369941.1679999996</v>
      </c>
      <c r="AE59" s="6">
        <v>12977.752</v>
      </c>
      <c r="AF59" s="6">
        <v>888710.14399999997</v>
      </c>
      <c r="AG59" s="6">
        <v>1429.2059999999999</v>
      </c>
      <c r="AH59" s="6">
        <v>136053.32800000001</v>
      </c>
      <c r="AI59" s="6">
        <v>14750.828799999999</v>
      </c>
      <c r="AJ59" s="6">
        <v>145401.95199999999</v>
      </c>
      <c r="AK59" s="6">
        <v>105492.45600000001</v>
      </c>
      <c r="AL59" s="6">
        <v>332294.78399999999</v>
      </c>
      <c r="AM59" s="6">
        <v>1006.345</v>
      </c>
      <c r="AN59" s="6">
        <v>283.2</v>
      </c>
      <c r="AO59" s="6">
        <v>6.9</v>
      </c>
      <c r="AP59" s="6">
        <v>698009</v>
      </c>
      <c r="AQ59" s="6">
        <v>42787</v>
      </c>
      <c r="AR59" s="6">
        <v>42242</v>
      </c>
      <c r="AS59" s="6">
        <v>32390</v>
      </c>
      <c r="AT59" s="6">
        <v>22106</v>
      </c>
      <c r="AU59" s="6">
        <v>16194</v>
      </c>
      <c r="AV59" s="6">
        <v>6751</v>
      </c>
      <c r="AW59" s="6">
        <v>21.091242000000001</v>
      </c>
      <c r="AX59" s="6">
        <v>7295.058</v>
      </c>
      <c r="AY59" s="6">
        <v>682.67264</v>
      </c>
      <c r="AZ59" s="6">
        <v>20.788</v>
      </c>
      <c r="BA59" s="6">
        <v>10867</v>
      </c>
      <c r="BB59" s="6">
        <v>45.811</v>
      </c>
      <c r="BC59" s="6">
        <v>114024.568</v>
      </c>
      <c r="BD59" s="6">
        <v>277133.59999999998</v>
      </c>
      <c r="BE59" s="6">
        <v>3755.7080000000001</v>
      </c>
      <c r="BF59" s="6">
        <v>1714.182</v>
      </c>
      <c r="BG59" s="6">
        <v>75.751999999999995</v>
      </c>
      <c r="BH59" s="6">
        <v>374.05500000000001</v>
      </c>
      <c r="BI59" s="6">
        <v>926.57899999999995</v>
      </c>
      <c r="BJ59" s="6">
        <v>15.941000000000001</v>
      </c>
      <c r="BK59" s="6">
        <v>570.43499999999995</v>
      </c>
      <c r="BL59" s="6">
        <v>77177.638399999996</v>
      </c>
      <c r="BM59" s="6">
        <v>321058.52799999999</v>
      </c>
      <c r="BN59" s="6">
        <v>7277.42</v>
      </c>
      <c r="BO59" s="6">
        <v>53589.132799999999</v>
      </c>
      <c r="BP59" s="6">
        <v>316924.38400000002</v>
      </c>
      <c r="BQ59" s="6">
        <v>331.28100000000001</v>
      </c>
      <c r="BR59" s="6">
        <v>184.66200000000001</v>
      </c>
      <c r="BS59" s="6">
        <v>1042785.584</v>
      </c>
      <c r="BT59" s="6">
        <v>1400623.652</v>
      </c>
      <c r="BU59" s="6">
        <v>634130.24</v>
      </c>
      <c r="BV59" s="6">
        <v>1036947.44</v>
      </c>
      <c r="BW59" s="6">
        <v>574472.576</v>
      </c>
      <c r="BX59" s="6">
        <v>1047397.68</v>
      </c>
      <c r="BY59" s="6">
        <v>158879.728</v>
      </c>
      <c r="BZ59" s="6">
        <v>114977.304</v>
      </c>
      <c r="CA59" s="6">
        <v>1244.5895</v>
      </c>
      <c r="CB59" s="6">
        <v>109829.072</v>
      </c>
      <c r="CC59" s="6">
        <v>153685.10399999999</v>
      </c>
      <c r="CD59" s="6">
        <v>451667.32799999998</v>
      </c>
      <c r="CE59" s="6">
        <v>49155.206400000003</v>
      </c>
      <c r="CF59" s="6">
        <v>156522.144</v>
      </c>
      <c r="CG59" s="6">
        <v>360962.97600000002</v>
      </c>
      <c r="CH59" s="6">
        <v>2385.8710000000001</v>
      </c>
      <c r="CI59" s="6">
        <v>218.29300000000001</v>
      </c>
      <c r="CJ59" s="6">
        <v>1191.5999999999999</v>
      </c>
      <c r="CK59" s="6">
        <v>79.323999999999998</v>
      </c>
      <c r="CL59" s="6">
        <v>748.60699999999997</v>
      </c>
      <c r="CM59" s="6">
        <v>551.4</v>
      </c>
      <c r="CN59" s="6">
        <v>56888</v>
      </c>
      <c r="CO59" s="6">
        <v>1679.4390000000001</v>
      </c>
      <c r="CP59" s="6">
        <v>299208.84399999998</v>
      </c>
      <c r="CQ59" s="6">
        <v>3716725.44</v>
      </c>
      <c r="CR59" s="6">
        <v>132798.72</v>
      </c>
      <c r="CS59" s="6">
        <v>522404.44799999997</v>
      </c>
      <c r="CT59" s="6">
        <v>3019255.95</v>
      </c>
      <c r="CU59" s="6">
        <v>305629.85200000001</v>
      </c>
      <c r="CV59" s="6">
        <v>30254.908800000001</v>
      </c>
      <c r="CW59" s="6">
        <v>63483.232000000004</v>
      </c>
      <c r="CX59" s="6">
        <v>33577.983999999997</v>
      </c>
      <c r="CY59" s="6">
        <v>170957.77600000001</v>
      </c>
      <c r="CZ59" s="6">
        <v>219955.53599999999</v>
      </c>
      <c r="DA59" s="6">
        <v>19413.97</v>
      </c>
      <c r="DB59" s="6">
        <v>152900.614</v>
      </c>
      <c r="DC59" s="6">
        <v>3193.05</v>
      </c>
      <c r="DD59" s="6">
        <f>DD58+7.12</f>
        <v>3163.84</v>
      </c>
      <c r="DE59" s="6">
        <v>3222.63</v>
      </c>
      <c r="DF59" s="6">
        <v>0.996</v>
      </c>
      <c r="DG59" s="1" t="s">
        <v>189</v>
      </c>
      <c r="DH59" s="4">
        <f>Table2[[#This Row],[Date]]</f>
        <v>46261</v>
      </c>
      <c r="DI59">
        <f>(DD60-Table2[[#This Row],[MWH Total]])*4000</f>
        <v>-12655360</v>
      </c>
      <c r="DJ59">
        <f>(DA60-Table2[[#This Row],[PNG Meter (Outside)]])*2.936</f>
        <v>-56999.415919999999</v>
      </c>
      <c r="DK59">
        <f>(DB60-Table2[[#This Row],[PNG Meter (Inside)]])*2.936</f>
        <v>-448916.202704</v>
      </c>
      <c r="DL59">
        <f>(BH60-Table2[[#This Row],[3F Dough cooler - 2 ]])*1000</f>
        <v>-374055</v>
      </c>
      <c r="DM59">
        <f>(BI60-Table2[[#This Row],[3F Dough Cooler- 1]])*1000</f>
        <v>-926579</v>
      </c>
      <c r="DN59">
        <f>(BJ60-Table2[[#This Row],[4F Dough Production cooling Unit]])*1000</f>
        <v>-15941</v>
      </c>
      <c r="DO59">
        <f>(BQ60-Table2[[#This Row],[3F2 - PDB 3 - Dough Production Area]])*1000</f>
        <v>-331281</v>
      </c>
      <c r="DP59">
        <f>(BR60-Table2[[#This Row],[3F3 - PDB 4 - Dough Area]])*1000</f>
        <v>-184662</v>
      </c>
      <c r="DQ59">
        <f>AC60-Table2[[#This Row],[16F1 Tray washer Panel for Light]]</f>
        <v>-2155380</v>
      </c>
      <c r="DR59">
        <f>CQ60-Table2[[#This Row],[2F1 Tray Washer - 1]]</f>
        <v>-3716725.44</v>
      </c>
      <c r="DS59">
        <f>CS60-Table2[[#This Row],[2F5 Destacker]]</f>
        <v>-522404.44799999997</v>
      </c>
      <c r="DT59">
        <f>CU60-Table2[[#This Row],[5F1 Metering (TW-2)]]</f>
        <v>-305629.85200000001</v>
      </c>
      <c r="DU59">
        <f>CV60-Table2[[#This Row],[6F1 Pre soaker Tray washer]]</f>
        <v>-30254.908800000001</v>
      </c>
      <c r="DV59">
        <f>CZ60-Table2[[#This Row],[6F5 Vent tray Storage]]</f>
        <v>-219955.53599999999</v>
      </c>
      <c r="DW59">
        <f>I60-Table2[[#This Row],[Popeyes Meter ]]</f>
        <v>-7691.1019999999999</v>
      </c>
      <c r="DX59">
        <f>AZ60-Table2[[#This Row],[2F WH Chiller, Segregation Area]]</f>
        <v>-20.788</v>
      </c>
      <c r="DY59" s="1">
        <f>BA60-Table2[[#This Row],[3F1 AC Unit WH dock cooling - 2 Nos]]</f>
        <v>-10867</v>
      </c>
      <c r="DZ59">
        <f>BB60-Table2[[#This Row],[3F2 AC Unit WH dock cooling - 3 Nos]]</f>
        <v>-45.811</v>
      </c>
      <c r="EA59">
        <f>(BK60-Table2[[#This Row],[5F WH Perishable]])*1000</f>
        <v>-570435</v>
      </c>
      <c r="EB59">
        <f>BN60-Table2[[#This Row],[2F3 - PDB 9 - WH Dock Leveler Door ]]</f>
        <v>-7277.42</v>
      </c>
      <c r="EC59">
        <f>BP60-Table2[[#This Row],[3F1 - PDB 5 - WH HSD]]</f>
        <v>-316924.38400000002</v>
      </c>
      <c r="ED59">
        <f>BX60-Table2[[#This Row],[8F1 WH Dock AHU - Ventilation]]</f>
        <v>-1047397.68</v>
      </c>
      <c r="EE59">
        <f>BZ60-Table2[[#This Row],[8F3 ACPDB - 4 WH Dock air curtain]]</f>
        <v>-114977.304</v>
      </c>
      <c r="EF59">
        <f>CA60-Table2[[#This Row],[8F4 WH Light]]</f>
        <v>-1244.5895</v>
      </c>
      <c r="EG59">
        <f>CC60-Table2[[#This Row],[9F1 - PDB 10 - WH Dock door &amp; Office]]</f>
        <v>-153685.10399999999</v>
      </c>
      <c r="EH59">
        <f>CD60-Table2[[#This Row],[9F2 - PDB 11 - WH flycatchers]]</f>
        <v>-451667.32799999998</v>
      </c>
      <c r="EI59">
        <f>CE60-Table2[[#This Row],[9F3 - PDB 12 - Other items]]</f>
        <v>-49155.206400000003</v>
      </c>
      <c r="EJ59">
        <f>CR60-Table2[[#This Row],[2F3 - PDB 1 - Dock 1 to 4 ]]</f>
        <v>-132798.72</v>
      </c>
      <c r="EK59">
        <f>BM60-Table2[[#This Row],[2F2 - PDB 3 - WH Truck &amp; Battery Charging]]</f>
        <v>-321058.52799999999</v>
      </c>
      <c r="EL59">
        <f>(CK60-Table2[[#This Row],[PDB - 11 Truck Charging]])*1000</f>
        <v>-79324</v>
      </c>
      <c r="EM59">
        <f>P60-Table2[[#This Row],[5F3 Admin Area]]</f>
        <v>-654540.41599999997</v>
      </c>
      <c r="EN59">
        <f>AH60-Table2[[#This Row],[2F5 Main Gate-1 Piller -1]]</f>
        <v>-136053.32800000001</v>
      </c>
      <c r="EO59">
        <f>CW60-Table2[[#This Row],[6F2 Ground Floor AC]]</f>
        <v>-63483.232000000004</v>
      </c>
      <c r="EP59">
        <f>CX60-Table2[[#This Row],[6F3 ACBD -1 (First floor AC)]]</f>
        <v>-33577.983999999997</v>
      </c>
      <c r="EQ59">
        <f>CY60-Table2[[#This Row],[6F4 ACBD - 2 (Second &amp; Third floor AC)]]</f>
        <v>-170957.77600000001</v>
      </c>
      <c r="ER59">
        <f>(BC60-Table2[[#This Row],[4F Old BMC cooling Unit]])</f>
        <v>-114024.568</v>
      </c>
      <c r="ES59">
        <f>BO60-Table2[[#This Row],[2F4 - Old BMC]]</f>
        <v>-53589.132799999999</v>
      </c>
      <c r="ET59">
        <f>Y60-Table2[[#This Row],[14F2 New CK]]</f>
        <v>-1125986.72</v>
      </c>
      <c r="EU59">
        <f>(CL60-Table2[[#This Row],[OLD Ck Panel-1]])*1000</f>
        <v>-748607</v>
      </c>
      <c r="EV59">
        <f>CM60-Table2[[#This Row],[2F4 Old CK Blast (Blue star)]]</f>
        <v>-551.4</v>
      </c>
      <c r="EW59">
        <f>CN60-Table2[[#This Row],[3F6 Old CK Blast (Carrier)]]</f>
        <v>-56888</v>
      </c>
      <c r="EX59">
        <f>(CO60-Table2[[#This Row],[Old CK Panel -2]])*1000</f>
        <v>-1679439</v>
      </c>
      <c r="EY59">
        <f>N60-Table2[[#This Row],[4F1 Main UPS 1/C -1]]</f>
        <v>-1890987.2</v>
      </c>
      <c r="EZ59">
        <f>Z60-Table2[[#This Row],[15F1 Main UPS Panel - I/C - 2]]</f>
        <v>-2777.8894</v>
      </c>
      <c r="FA59">
        <f>BF60-Table2[[#This Row],[2F CLC -1 AC unit - 2]]</f>
        <v>-1714.182</v>
      </c>
      <c r="FB59">
        <f>(BG60-Table2[[#This Row],[2F CLC Anti room]])*1000</f>
        <v>-75752</v>
      </c>
      <c r="FC59">
        <f>BW60-Table2[[#This Row],[7F3 CLC Power Panel]]</f>
        <v>-574472.576</v>
      </c>
      <c r="FD59">
        <f>(CI60-Table2[[#This Row],[PDB - 17 CLC Section ]])*1000</f>
        <v>-218293</v>
      </c>
      <c r="FE59">
        <f>(W60-Table2[[#This Row],[13F3 Water &amp; Lift Old CK]])*1000</f>
        <v>-1608420.3</v>
      </c>
      <c r="FF59">
        <f>AA60-Table2[[#This Row],[15F2 New ETP Panel]]</f>
        <v>-675040.96</v>
      </c>
      <c r="FG59">
        <f>AL60-Table2[[#This Row],[3F4 Old ETP Panel]]</f>
        <v>-332294.78399999999</v>
      </c>
      <c r="FH59">
        <f>AF60-Table2[[#This Row],[2F1 RO Plant]]</f>
        <v>-888710.14399999997</v>
      </c>
      <c r="FI59">
        <f>AK60-Table2[[#This Row],[3F3 Fire Hydrant Panel]]</f>
        <v>-105492.45600000001</v>
      </c>
      <c r="FJ59">
        <f>R60-Table2[[#This Row],[7F1 Freon System Panel]]</f>
        <v>-5668513.9199999999</v>
      </c>
      <c r="FK59">
        <f>(AE60-Table2[[#This Row],[21F1 Refrigeration Ammonia]])*1000</f>
        <v>-12977752</v>
      </c>
      <c r="FL59">
        <f>(AG60-Table2[[#This Row],[2F3 Air Compressor]])*1000</f>
        <v>-1429206</v>
      </c>
      <c r="FM59">
        <f>(AX60-Table2[[#This Row],[Solar Reading Panel II]])*1000</f>
        <v>-7295058</v>
      </c>
      <c r="FN59">
        <f>AI60-Table2[[#This Row],[3F1 Maintenance Workshop]]</f>
        <v>-14750.828799999999</v>
      </c>
      <c r="FO59">
        <f>BD60-Table2[[#This Row],[4F B2B unit ]]</f>
        <v>-277133.59999999998</v>
      </c>
      <c r="FP59">
        <f>BL60-Table2[[#This Row],[2F1 - PDB 6 - Bread, B2B section]]</f>
        <v>-77177.638399999996</v>
      </c>
      <c r="FQ59" s="1">
        <f>(CG60-Table2[[#This Row],[9F5 - PDB 14 - Bread Lift]])</f>
        <v>-360962.97600000002</v>
      </c>
      <c r="FR59">
        <f>CJ60-Table2[[#This Row],[PDB - 16 Bread Section]]</f>
        <v>-1191.5999999999999</v>
      </c>
      <c r="FS59">
        <f>BU60-Table2[[#This Row],[7F1 Donut Production area]]</f>
        <v>-634130.24</v>
      </c>
      <c r="FT59">
        <f>CB60-Table2[[#This Row],[8F5 Donut Ban Bary]]</f>
        <v>-109829.072</v>
      </c>
      <c r="FU59">
        <f>CF60-Table2[[#This Row],[9F4 - PDB 13 - Donut Sink Geyser area]]</f>
        <v>-156522.144</v>
      </c>
      <c r="FV59">
        <f>BV60-Table2[[#This Row],[7F2 Flour Silo]]</f>
        <v>-1036947.44</v>
      </c>
      <c r="FW59">
        <f>BY60-Table2[[#This Row],[8F2 ACPDB - 3 SILO Ventilation]]</f>
        <v>-158879.728</v>
      </c>
      <c r="FX59">
        <f>J60-Table2[[#This Row],[DG 1010KVA Running Hours]]</f>
        <v>-4279.8999999999996</v>
      </c>
      <c r="FY59">
        <f>K60-Table2[[#This Row],[DG 1010 KVA Meter Reading]]</f>
        <v>-1778909</v>
      </c>
      <c r="FZ59">
        <f>L60-Table2[[#This Row],[GG 1010 KVA Running Hours]]</f>
        <v>-459</v>
      </c>
      <c r="GA59">
        <f>M60-Table2[[#This Row],[GG 1010 KVA Meter Reading]]</f>
        <v>-193.17</v>
      </c>
    </row>
    <row r="60" spans="1:183" x14ac:dyDescent="0.35">
      <c r="B60" s="60"/>
      <c r="C60" s="60"/>
      <c r="G60" s="3"/>
      <c r="DH60" s="4" t="e">
        <f>Table2[[#This Row],[Date]]</f>
        <v>#VALUE!</v>
      </c>
      <c r="DI60" t="e">
        <f>(DD61-Table2[[#This Row],[MWH Total]])*4000</f>
        <v>#VALUE!</v>
      </c>
      <c r="DJ60" t="e">
        <f>(DA61-Table2[[#This Row],[PNG Meter (Outside)]])*2.936</f>
        <v>#VALUE!</v>
      </c>
      <c r="DK60" t="e">
        <f>(DB61-Table2[[#This Row],[PNG Meter (Inside)]])*2.936</f>
        <v>#VALUE!</v>
      </c>
      <c r="DL60" t="e">
        <f>(BH61-Table2[[#This Row],[3F Dough cooler - 2 ]])*1000</f>
        <v>#VALUE!</v>
      </c>
      <c r="DM60" t="e">
        <f>(BI61-Table2[[#This Row],[3F Dough Cooler- 1]])*1000</f>
        <v>#VALUE!</v>
      </c>
      <c r="DN60" t="e">
        <f>(BJ61-Table2[[#This Row],[4F Dough Production cooling Unit]])*1000</f>
        <v>#VALUE!</v>
      </c>
      <c r="DO60" t="e">
        <f>(BQ61-Table2[[#This Row],[3F2 - PDB 3 - Dough Production Area]])*1000</f>
        <v>#VALUE!</v>
      </c>
      <c r="DP60" t="e">
        <f>(BR61-Table2[[#This Row],[3F3 - PDB 4 - Dough Area]])*1000</f>
        <v>#VALUE!</v>
      </c>
      <c r="DQ60" t="e">
        <f>AC61-Table2[[#This Row],[16F1 Tray washer Panel for Light]]</f>
        <v>#VALUE!</v>
      </c>
      <c r="DR60" t="e">
        <f>CQ61-Table2[[#This Row],[2F1 Tray Washer - 1]]</f>
        <v>#VALUE!</v>
      </c>
      <c r="DS60" t="e">
        <f>CS61-Table2[[#This Row],[2F5 Destacker]]</f>
        <v>#VALUE!</v>
      </c>
      <c r="DT60" t="e">
        <f>CU61-Table2[[#This Row],[5F1 Metering (TW-2)]]</f>
        <v>#VALUE!</v>
      </c>
      <c r="DU60" t="e">
        <f>CV61-Table2[[#This Row],[6F1 Pre soaker Tray washer]]</f>
        <v>#VALUE!</v>
      </c>
      <c r="DV60" t="e">
        <f>CZ61-Table2[[#This Row],[6F5 Vent tray Storage]]</f>
        <v>#VALUE!</v>
      </c>
      <c r="DW60" t="e">
        <f>I61-Table2[[#This Row],[Popeyes Meter ]]</f>
        <v>#VALUE!</v>
      </c>
      <c r="DX60" t="e">
        <f>AZ61-Table2[[#This Row],[2F WH Chiller, Segregation Area]]</f>
        <v>#VALUE!</v>
      </c>
      <c r="DY60" s="1" t="e">
        <f>BA61-Table2[[#This Row],[3F1 AC Unit WH dock cooling - 2 Nos]]</f>
        <v>#VALUE!</v>
      </c>
      <c r="DZ60" t="e">
        <f>BB61-Table2[[#This Row],[3F2 AC Unit WH dock cooling - 3 Nos]]</f>
        <v>#VALUE!</v>
      </c>
      <c r="EA60" t="e">
        <f>(BK61-Table2[[#This Row],[5F WH Perishable]])*1000</f>
        <v>#VALUE!</v>
      </c>
      <c r="EB60" t="e">
        <f>BN61-Table2[[#This Row],[2F3 - PDB 9 - WH Dock Leveler Door ]]</f>
        <v>#VALUE!</v>
      </c>
      <c r="EC60" t="e">
        <f>BP61-Table2[[#This Row],[3F1 - PDB 5 - WH HSD]]</f>
        <v>#VALUE!</v>
      </c>
      <c r="ED60" t="e">
        <f>BX61-Table2[[#This Row],[8F1 WH Dock AHU - Ventilation]]</f>
        <v>#VALUE!</v>
      </c>
      <c r="EE60" t="e">
        <f>BZ61-Table2[[#This Row],[8F3 ACPDB - 4 WH Dock air curtain]]</f>
        <v>#VALUE!</v>
      </c>
      <c r="EF60" t="e">
        <f>CA61-Table2[[#This Row],[8F4 WH Light]]</f>
        <v>#VALUE!</v>
      </c>
      <c r="EG60" t="e">
        <f>CC61-Table2[[#This Row],[9F1 - PDB 10 - WH Dock door &amp; Office]]</f>
        <v>#VALUE!</v>
      </c>
      <c r="EH60" t="e">
        <f>CD61-Table2[[#This Row],[9F2 - PDB 11 - WH flycatchers]]</f>
        <v>#VALUE!</v>
      </c>
      <c r="EI60" t="e">
        <f>CE61-Table2[[#This Row],[9F3 - PDB 12 - Other items]]</f>
        <v>#VALUE!</v>
      </c>
      <c r="EJ60" t="e">
        <f>CR61-Table2[[#This Row],[2F3 - PDB 1 - Dock 1 to 4 ]]</f>
        <v>#VALUE!</v>
      </c>
      <c r="EK60" t="e">
        <f>BM61-Table2[[#This Row],[2F2 - PDB 3 - WH Truck &amp; Battery Charging]]</f>
        <v>#VALUE!</v>
      </c>
      <c r="EL60" t="e">
        <f>(CK61-Table2[[#This Row],[PDB - 11 Truck Charging]])*1000</f>
        <v>#VALUE!</v>
      </c>
      <c r="EM60" t="e">
        <f>P61-Table2[[#This Row],[5F3 Admin Area]]</f>
        <v>#VALUE!</v>
      </c>
      <c r="EN60" t="e">
        <f>AH61-Table2[[#This Row],[2F5 Main Gate-1 Piller -1]]</f>
        <v>#VALUE!</v>
      </c>
      <c r="EO60" t="e">
        <f>CW61-Table2[[#This Row],[6F2 Ground Floor AC]]</f>
        <v>#VALUE!</v>
      </c>
      <c r="EP60" t="e">
        <f>CX61-Table2[[#This Row],[6F3 ACBD -1 (First floor AC)]]</f>
        <v>#VALUE!</v>
      </c>
      <c r="EQ60" t="e">
        <f>CY61-Table2[[#This Row],[6F4 ACBD - 2 (Second &amp; Third floor AC)]]</f>
        <v>#VALUE!</v>
      </c>
      <c r="ER60" t="e">
        <f>(BC61-Table2[[#This Row],[4F Old BMC cooling Unit]])</f>
        <v>#VALUE!</v>
      </c>
      <c r="ES60" t="e">
        <f>BO61-Table2[[#This Row],[2F4 - Old BMC]]</f>
        <v>#VALUE!</v>
      </c>
      <c r="ET60" t="e">
        <f>Y61-Table2[[#This Row],[14F2 New CK]]</f>
        <v>#VALUE!</v>
      </c>
      <c r="EU60" t="e">
        <f>(CL61-Table2[[#This Row],[OLD Ck Panel-1]])*1000</f>
        <v>#VALUE!</v>
      </c>
      <c r="EV60" t="e">
        <f>CM61-Table2[[#This Row],[2F4 Old CK Blast (Blue star)]]</f>
        <v>#VALUE!</v>
      </c>
      <c r="EW60" t="e">
        <f>CN61-Table2[[#This Row],[3F6 Old CK Blast (Carrier)]]</f>
        <v>#VALUE!</v>
      </c>
      <c r="EX60" t="e">
        <f>(CO61-Table2[[#This Row],[Old CK Panel -2]])*1000</f>
        <v>#VALUE!</v>
      </c>
      <c r="EY60" t="e">
        <f>N61-Table2[[#This Row],[4F1 Main UPS 1/C -1]]</f>
        <v>#VALUE!</v>
      </c>
      <c r="EZ60" t="e">
        <f>Z61-Table2[[#This Row],[15F1 Main UPS Panel - I/C - 2]]</f>
        <v>#VALUE!</v>
      </c>
      <c r="FA60" t="e">
        <f>BF61-Table2[[#This Row],[2F CLC -1 AC unit - 2]]</f>
        <v>#VALUE!</v>
      </c>
      <c r="FB60" t="e">
        <f>(BG61-Table2[[#This Row],[2F CLC Anti room]])*1000</f>
        <v>#VALUE!</v>
      </c>
      <c r="FC60" t="e">
        <f>BW61-Table2[[#This Row],[7F3 CLC Power Panel]]</f>
        <v>#VALUE!</v>
      </c>
      <c r="FD60" t="e">
        <f>(CI61-Table2[[#This Row],[PDB - 17 CLC Section ]])*1000</f>
        <v>#VALUE!</v>
      </c>
      <c r="FE60" t="e">
        <f>(W61-Table2[[#This Row],[13F3 Water &amp; Lift Old CK]])*1000</f>
        <v>#VALUE!</v>
      </c>
      <c r="FF60" t="e">
        <f>AA61-Table2[[#This Row],[15F2 New ETP Panel]]</f>
        <v>#VALUE!</v>
      </c>
      <c r="FG60" t="e">
        <f>AL61-Table2[[#This Row],[3F4 Old ETP Panel]]</f>
        <v>#VALUE!</v>
      </c>
      <c r="FH60" t="e">
        <f>AF61-Table2[[#This Row],[2F1 RO Plant]]</f>
        <v>#VALUE!</v>
      </c>
      <c r="FI60" t="e">
        <f>AK61-Table2[[#This Row],[3F3 Fire Hydrant Panel]]</f>
        <v>#VALUE!</v>
      </c>
      <c r="FJ60" t="e">
        <f>R61-Table2[[#This Row],[7F1 Freon System Panel]]</f>
        <v>#VALUE!</v>
      </c>
      <c r="FK60" t="e">
        <f>(AE61-Table2[[#This Row],[21F1 Refrigeration Ammonia]])*1000</f>
        <v>#VALUE!</v>
      </c>
      <c r="FL60" t="e">
        <f>(AG61-Table2[[#This Row],[2F3 Air Compressor]])*1000</f>
        <v>#VALUE!</v>
      </c>
      <c r="FM60" t="e">
        <f>(AX61-Table2[[#This Row],[Solar Reading Panel II]])*1000</f>
        <v>#VALUE!</v>
      </c>
      <c r="FN60" t="e">
        <f>AI61-Table2[[#This Row],[3F1 Maintenance Workshop]]</f>
        <v>#VALUE!</v>
      </c>
      <c r="FO60" t="e">
        <f>BD61-Table2[[#This Row],[4F B2B unit ]]</f>
        <v>#VALUE!</v>
      </c>
      <c r="FP60" t="e">
        <f>BL61-Table2[[#This Row],[2F1 - PDB 6 - Bread, B2B section]]</f>
        <v>#VALUE!</v>
      </c>
      <c r="FQ60" s="1" t="e">
        <f>(CG61-Table2[[#This Row],[9F5 - PDB 14 - Bread Lift]])</f>
        <v>#VALUE!</v>
      </c>
      <c r="FR60" t="e">
        <f>CJ61-Table2[[#This Row],[PDB - 16 Bread Section]]</f>
        <v>#VALUE!</v>
      </c>
      <c r="FS60" t="e">
        <f>BU61-Table2[[#This Row],[7F1 Donut Production area]]</f>
        <v>#VALUE!</v>
      </c>
      <c r="FT60" t="e">
        <f>CB61-Table2[[#This Row],[8F5 Donut Ban Bary]]</f>
        <v>#VALUE!</v>
      </c>
      <c r="FU60" t="e">
        <f>CF61-Table2[[#This Row],[9F4 - PDB 13 - Donut Sink Geyser area]]</f>
        <v>#VALUE!</v>
      </c>
      <c r="FV60" t="e">
        <f>BV61-Table2[[#This Row],[7F2 Flour Silo]]</f>
        <v>#VALUE!</v>
      </c>
      <c r="FW60" t="e">
        <f>BY61-Table2[[#This Row],[8F2 ACPDB - 3 SILO Ventilation]]</f>
        <v>#VALUE!</v>
      </c>
      <c r="FX60" t="e">
        <f>J61-Table2[[#This Row],[DG 1010KVA Running Hours]]</f>
        <v>#VALUE!</v>
      </c>
      <c r="FY60" t="e">
        <f>K61-Table2[[#This Row],[DG 1010 KVA Meter Reading]]</f>
        <v>#VALUE!</v>
      </c>
      <c r="FZ60" t="e">
        <f>L61-Table2[[#This Row],[GG 1010 KVA Running Hours]]</f>
        <v>#VALUE!</v>
      </c>
      <c r="GA60" t="e">
        <f>M61-Table2[[#This Row],[GG 1010 KVA Meter Reading]]</f>
        <v>#VALUE!</v>
      </c>
    </row>
    <row r="61" spans="1:183" x14ac:dyDescent="0.35">
      <c r="B61" s="60"/>
      <c r="C61" s="60"/>
      <c r="DH61" s="4" t="e">
        <f>Table2[[#This Row],[Date]]</f>
        <v>#VALUE!</v>
      </c>
      <c r="DI61" t="e">
        <f>(DD62-Table2[[#This Row],[MWH Total]])*4000</f>
        <v>#VALUE!</v>
      </c>
      <c r="DJ61" t="e">
        <f>(DA62-Table2[[#This Row],[PNG Meter (Outside)]])*2.936</f>
        <v>#VALUE!</v>
      </c>
      <c r="DK61" t="e">
        <f>(DB62-Table2[[#This Row],[PNG Meter (Inside)]])*2.936</f>
        <v>#VALUE!</v>
      </c>
      <c r="DL61" t="e">
        <f>(BH62-Table2[[#This Row],[3F Dough cooler - 2 ]])*1000</f>
        <v>#VALUE!</v>
      </c>
      <c r="DM61" t="e">
        <f>(BI62-Table2[[#This Row],[3F Dough Cooler- 1]])*1000</f>
        <v>#VALUE!</v>
      </c>
      <c r="DN61" t="e">
        <f>(BJ62-Table2[[#This Row],[4F Dough Production cooling Unit]])*1000</f>
        <v>#VALUE!</v>
      </c>
      <c r="DO61" t="e">
        <f>(BQ62-Table2[[#This Row],[3F2 - PDB 3 - Dough Production Area]])*1000</f>
        <v>#VALUE!</v>
      </c>
      <c r="DP61" t="e">
        <f>(BR62-Table2[[#This Row],[3F3 - PDB 4 - Dough Area]])*1000</f>
        <v>#VALUE!</v>
      </c>
      <c r="DQ61" t="e">
        <f>AC62-Table2[[#This Row],[16F1 Tray washer Panel for Light]]</f>
        <v>#VALUE!</v>
      </c>
      <c r="DR61" t="e">
        <f>CQ62-Table2[[#This Row],[2F1 Tray Washer - 1]]</f>
        <v>#VALUE!</v>
      </c>
      <c r="DS61" t="e">
        <f>CS62-Table2[[#This Row],[2F5 Destacker]]</f>
        <v>#VALUE!</v>
      </c>
      <c r="DT61" t="e">
        <f>CU62-Table2[[#This Row],[5F1 Metering (TW-2)]]</f>
        <v>#VALUE!</v>
      </c>
      <c r="DU61" t="e">
        <f>CV62-Table2[[#This Row],[6F1 Pre soaker Tray washer]]</f>
        <v>#VALUE!</v>
      </c>
      <c r="DV61" t="e">
        <f>CZ62-Table2[[#This Row],[6F5 Vent tray Storage]]</f>
        <v>#VALUE!</v>
      </c>
      <c r="DW61" t="e">
        <f>I62-Table2[[#This Row],[Popeyes Meter ]]</f>
        <v>#VALUE!</v>
      </c>
      <c r="DX61" t="e">
        <f>AZ62-Table2[[#This Row],[2F WH Chiller, Segregation Area]]</f>
        <v>#VALUE!</v>
      </c>
      <c r="DY61" s="1" t="e">
        <f>BA62-Table2[[#This Row],[3F1 AC Unit WH dock cooling - 2 Nos]]</f>
        <v>#VALUE!</v>
      </c>
      <c r="DZ61" t="e">
        <f>BB62-Table2[[#This Row],[3F2 AC Unit WH dock cooling - 3 Nos]]</f>
        <v>#VALUE!</v>
      </c>
      <c r="EA61" t="e">
        <f>(BK62-Table2[[#This Row],[5F WH Perishable]])*1000</f>
        <v>#VALUE!</v>
      </c>
      <c r="EB61" t="e">
        <f>BN62-Table2[[#This Row],[2F3 - PDB 9 - WH Dock Leveler Door ]]</f>
        <v>#VALUE!</v>
      </c>
      <c r="EC61" t="e">
        <f>BP62-Table2[[#This Row],[3F1 - PDB 5 - WH HSD]]</f>
        <v>#VALUE!</v>
      </c>
      <c r="ED61" t="e">
        <f>BX62-Table2[[#This Row],[8F1 WH Dock AHU - Ventilation]]</f>
        <v>#VALUE!</v>
      </c>
      <c r="EE61" t="e">
        <f>BZ62-Table2[[#This Row],[8F3 ACPDB - 4 WH Dock air curtain]]</f>
        <v>#VALUE!</v>
      </c>
      <c r="EF61" t="e">
        <f>CA62-Table2[[#This Row],[8F4 WH Light]]</f>
        <v>#VALUE!</v>
      </c>
      <c r="EG61" t="e">
        <f>CC62-Table2[[#This Row],[9F1 - PDB 10 - WH Dock door &amp; Office]]</f>
        <v>#VALUE!</v>
      </c>
      <c r="EH61" t="e">
        <f>CD62-Table2[[#This Row],[9F2 - PDB 11 - WH flycatchers]]</f>
        <v>#VALUE!</v>
      </c>
      <c r="EI61" t="e">
        <f>CE62-Table2[[#This Row],[9F3 - PDB 12 - Other items]]</f>
        <v>#VALUE!</v>
      </c>
      <c r="EJ61" t="e">
        <f>CR62-Table2[[#This Row],[2F3 - PDB 1 - Dock 1 to 4 ]]</f>
        <v>#VALUE!</v>
      </c>
      <c r="EK61" t="e">
        <f>BM62-Table2[[#This Row],[2F2 - PDB 3 - WH Truck &amp; Battery Charging]]</f>
        <v>#VALUE!</v>
      </c>
      <c r="EL61" t="e">
        <f>(CK62-Table2[[#This Row],[PDB - 11 Truck Charging]])*1000</f>
        <v>#VALUE!</v>
      </c>
      <c r="EM61" t="e">
        <f>P62-Table2[[#This Row],[5F3 Admin Area]]</f>
        <v>#VALUE!</v>
      </c>
      <c r="EN61" t="e">
        <f>AH62-Table2[[#This Row],[2F5 Main Gate-1 Piller -1]]</f>
        <v>#VALUE!</v>
      </c>
      <c r="EO61" t="e">
        <f>CW62-Table2[[#This Row],[6F2 Ground Floor AC]]</f>
        <v>#VALUE!</v>
      </c>
      <c r="EP61" t="e">
        <f>CX62-Table2[[#This Row],[6F3 ACBD -1 (First floor AC)]]</f>
        <v>#VALUE!</v>
      </c>
      <c r="EQ61" t="e">
        <f>CY62-Table2[[#This Row],[6F4 ACBD - 2 (Second &amp; Third floor AC)]]</f>
        <v>#VALUE!</v>
      </c>
      <c r="ER61" t="e">
        <f>(BC62-Table2[[#This Row],[4F Old BMC cooling Unit]])</f>
        <v>#VALUE!</v>
      </c>
      <c r="ES61" t="e">
        <f>BO62-Table2[[#This Row],[2F4 - Old BMC]]</f>
        <v>#VALUE!</v>
      </c>
      <c r="ET61" t="e">
        <f>Y62-Table2[[#This Row],[14F2 New CK]]</f>
        <v>#VALUE!</v>
      </c>
      <c r="EU61" t="e">
        <f>(CL62-Table2[[#This Row],[OLD Ck Panel-1]])*1000</f>
        <v>#VALUE!</v>
      </c>
      <c r="EV61" t="e">
        <f>CM62-Table2[[#This Row],[2F4 Old CK Blast (Blue star)]]</f>
        <v>#VALUE!</v>
      </c>
      <c r="EW61" t="e">
        <f>CN62-Table2[[#This Row],[3F6 Old CK Blast (Carrier)]]</f>
        <v>#VALUE!</v>
      </c>
      <c r="EX61" t="e">
        <f>(CO62-Table2[[#This Row],[Old CK Panel -2]])*1000</f>
        <v>#VALUE!</v>
      </c>
      <c r="EY61" t="e">
        <f>N62-Table2[[#This Row],[4F1 Main UPS 1/C -1]]</f>
        <v>#VALUE!</v>
      </c>
      <c r="EZ61" t="e">
        <f>Z62-Table2[[#This Row],[15F1 Main UPS Panel - I/C - 2]]</f>
        <v>#VALUE!</v>
      </c>
      <c r="FA61" t="e">
        <f>BF62-Table2[[#This Row],[2F CLC -1 AC unit - 2]]</f>
        <v>#VALUE!</v>
      </c>
      <c r="FB61" t="e">
        <f>(BG62-Table2[[#This Row],[2F CLC Anti room]])*1000</f>
        <v>#VALUE!</v>
      </c>
      <c r="FC61" t="e">
        <f>BW62-Table2[[#This Row],[7F3 CLC Power Panel]]</f>
        <v>#VALUE!</v>
      </c>
      <c r="FD61" t="e">
        <f>(CI62-Table2[[#This Row],[PDB - 17 CLC Section ]])*1000</f>
        <v>#VALUE!</v>
      </c>
      <c r="FE61" t="e">
        <f>(W62-Table2[[#This Row],[13F3 Water &amp; Lift Old CK]])*1000</f>
        <v>#VALUE!</v>
      </c>
      <c r="FF61" t="e">
        <f>AA62-Table2[[#This Row],[15F2 New ETP Panel]]</f>
        <v>#VALUE!</v>
      </c>
      <c r="FG61" t="e">
        <f>AL62-Table2[[#This Row],[3F4 Old ETP Panel]]</f>
        <v>#VALUE!</v>
      </c>
      <c r="FH61" t="e">
        <f>AF62-Table2[[#This Row],[2F1 RO Plant]]</f>
        <v>#VALUE!</v>
      </c>
      <c r="FI61" t="e">
        <f>AK62-Table2[[#This Row],[3F3 Fire Hydrant Panel]]</f>
        <v>#VALUE!</v>
      </c>
      <c r="FJ61" t="e">
        <f>R62-Table2[[#This Row],[7F1 Freon System Panel]]</f>
        <v>#VALUE!</v>
      </c>
      <c r="FK61" t="e">
        <f>(AE62-Table2[[#This Row],[21F1 Refrigeration Ammonia]])*1000</f>
        <v>#VALUE!</v>
      </c>
      <c r="FL61" t="e">
        <f>(AG62-Table2[[#This Row],[2F3 Air Compressor]])*1000</f>
        <v>#VALUE!</v>
      </c>
      <c r="FM61" t="e">
        <f>(AX62-Table2[[#This Row],[Solar Reading Panel II]])*1000</f>
        <v>#VALUE!</v>
      </c>
      <c r="FN61" t="e">
        <f>AI62-Table2[[#This Row],[3F1 Maintenance Workshop]]</f>
        <v>#VALUE!</v>
      </c>
      <c r="FO61" t="e">
        <f>BD62-Table2[[#This Row],[4F B2B unit ]]</f>
        <v>#VALUE!</v>
      </c>
      <c r="FP61" t="e">
        <f>BL62-Table2[[#This Row],[2F1 - PDB 6 - Bread, B2B section]]</f>
        <v>#VALUE!</v>
      </c>
      <c r="FQ61" s="1" t="e">
        <f>(CG62-Table2[[#This Row],[9F5 - PDB 14 - Bread Lift]])</f>
        <v>#VALUE!</v>
      </c>
      <c r="FR61" t="e">
        <f>CJ62-Table2[[#This Row],[PDB - 16 Bread Section]]</f>
        <v>#VALUE!</v>
      </c>
      <c r="FS61" t="e">
        <f>BU62-Table2[[#This Row],[7F1 Donut Production area]]</f>
        <v>#VALUE!</v>
      </c>
      <c r="FT61" t="e">
        <f>CB62-Table2[[#This Row],[8F5 Donut Ban Bary]]</f>
        <v>#VALUE!</v>
      </c>
      <c r="FU61" t="e">
        <f>CF62-Table2[[#This Row],[9F4 - PDB 13 - Donut Sink Geyser area]]</f>
        <v>#VALUE!</v>
      </c>
      <c r="FV61" t="e">
        <f>BV62-Table2[[#This Row],[7F2 Flour Silo]]</f>
        <v>#VALUE!</v>
      </c>
      <c r="FW61" t="e">
        <f>BY62-Table2[[#This Row],[8F2 ACPDB - 3 SILO Ventilation]]</f>
        <v>#VALUE!</v>
      </c>
      <c r="FX61" t="e">
        <f>J62-Table2[[#This Row],[DG 1010KVA Running Hours]]</f>
        <v>#VALUE!</v>
      </c>
      <c r="FY61" t="e">
        <f>K62-Table2[[#This Row],[DG 1010 KVA Meter Reading]]</f>
        <v>#VALUE!</v>
      </c>
      <c r="FZ61" t="e">
        <f>L62-Table2[[#This Row],[GG 1010 KVA Running Hours]]</f>
        <v>#VALUE!</v>
      </c>
      <c r="GA61" t="e">
        <f>M62-Table2[[#This Row],[GG 1010 KVA Meter Reading]]</f>
        <v>#VALUE!</v>
      </c>
    </row>
    <row r="62" spans="1:183" x14ac:dyDescent="0.35">
      <c r="DI62" t="e">
        <f>(DD63-Table2[[#This Row],[MWH Total]])*4000</f>
        <v>#VALUE!</v>
      </c>
      <c r="DJ62" t="e">
        <f>(DA63-Table2[[#This Row],[PNG Meter (Outside)]])*2.936</f>
        <v>#VALUE!</v>
      </c>
      <c r="DK62" t="e">
        <f>(DB63-Table2[[#This Row],[PNG Meter (Inside)]])*2.936</f>
        <v>#VALUE!</v>
      </c>
      <c r="DL62" t="e">
        <f>(BH63-Table2[[#This Row],[3F Dough cooler - 2 ]])*1000</f>
        <v>#VALUE!</v>
      </c>
      <c r="DM62" t="e">
        <f>(BI63-Table2[[#This Row],[3F Dough Cooler- 1]])*1000</f>
        <v>#VALUE!</v>
      </c>
      <c r="DN62" t="e">
        <f>(BJ63-Table2[[#This Row],[4F Dough Production cooling Unit]])*1000</f>
        <v>#VALUE!</v>
      </c>
      <c r="DO62" t="e">
        <f>(BQ63-Table2[[#This Row],[3F2 - PDB 3 - Dough Production Area]])*1000</f>
        <v>#VALUE!</v>
      </c>
      <c r="DP62" t="e">
        <f>(BR63-Table2[[#This Row],[3F3 - PDB 4 - Dough Area]])*1000</f>
        <v>#VALUE!</v>
      </c>
      <c r="DQ62" t="e">
        <f>AC63-Table2[[#This Row],[16F1 Tray washer Panel for Light]]</f>
        <v>#VALUE!</v>
      </c>
      <c r="DR62" t="e">
        <f>CQ63-Table2[[#This Row],[2F1 Tray Washer - 1]]</f>
        <v>#VALUE!</v>
      </c>
      <c r="DS62" t="e">
        <f>CS63-Table2[[#This Row],[2F5 Destacker]]</f>
        <v>#VALUE!</v>
      </c>
      <c r="DT62" t="e">
        <f>CU63-Table2[[#This Row],[5F1 Metering (TW-2)]]</f>
        <v>#VALUE!</v>
      </c>
      <c r="DU62" t="e">
        <f>CV63-Table2[[#This Row],[6F1 Pre soaker Tray washer]]</f>
        <v>#VALUE!</v>
      </c>
      <c r="DV62" t="e">
        <f>CZ63-Table2[[#This Row],[6F5 Vent tray Storage]]</f>
        <v>#VALUE!</v>
      </c>
      <c r="DW62" t="e">
        <f>I63-Table2[[#This Row],[Popeyes Meter ]]</f>
        <v>#VALUE!</v>
      </c>
      <c r="DX62" t="e">
        <f>AZ63-Table2[[#This Row],[2F WH Chiller, Segregation Area]]</f>
        <v>#VALUE!</v>
      </c>
      <c r="DY62" s="1" t="e">
        <f>BA63-Table2[[#This Row],[3F1 AC Unit WH dock cooling - 2 Nos]]</f>
        <v>#VALUE!</v>
      </c>
      <c r="DZ62" t="e">
        <f>BB63-Table2[[#This Row],[3F2 AC Unit WH dock cooling - 3 Nos]]</f>
        <v>#VALUE!</v>
      </c>
      <c r="EA62" t="e">
        <f>(BK63-Table2[[#This Row],[5F WH Perishable]])*1000</f>
        <v>#VALUE!</v>
      </c>
      <c r="EB62" t="e">
        <f>BN63-Table2[[#This Row],[2F3 - PDB 9 - WH Dock Leveler Door ]]</f>
        <v>#VALUE!</v>
      </c>
      <c r="EC62" t="e">
        <f>BP63-Table2[[#This Row],[3F1 - PDB 5 - WH HSD]]</f>
        <v>#VALUE!</v>
      </c>
      <c r="ED62" t="e">
        <f>BX63-Table2[[#This Row],[8F1 WH Dock AHU - Ventilation]]</f>
        <v>#VALUE!</v>
      </c>
      <c r="EE62" t="e">
        <f>BZ63-Table2[[#This Row],[8F3 ACPDB - 4 WH Dock air curtain]]</f>
        <v>#VALUE!</v>
      </c>
      <c r="EF62" t="e">
        <f>CA63-Table2[[#This Row],[8F4 WH Light]]</f>
        <v>#VALUE!</v>
      </c>
      <c r="EG62" t="e">
        <f>CC63-Table2[[#This Row],[9F1 - PDB 10 - WH Dock door &amp; Office]]</f>
        <v>#VALUE!</v>
      </c>
      <c r="EH62" t="e">
        <f>CD63-Table2[[#This Row],[9F2 - PDB 11 - WH flycatchers]]</f>
        <v>#VALUE!</v>
      </c>
      <c r="EI62" t="e">
        <f>CE63-Table2[[#This Row],[9F3 - PDB 12 - Other items]]</f>
        <v>#VALUE!</v>
      </c>
      <c r="EJ62" t="e">
        <f>CR63-Table2[[#This Row],[2F3 - PDB 1 - Dock 1 to 4 ]]</f>
        <v>#VALUE!</v>
      </c>
      <c r="EK62" t="e">
        <f>BM63-Table2[[#This Row],[2F2 - PDB 3 - WH Truck &amp; Battery Charging]]</f>
        <v>#VALUE!</v>
      </c>
      <c r="EL62" t="e">
        <f>(CK63-Table2[[#This Row],[PDB - 11 Truck Charging]])*1000</f>
        <v>#VALUE!</v>
      </c>
      <c r="EM62" t="e">
        <f>P63-Table2[[#This Row],[5F3 Admin Area]]</f>
        <v>#VALUE!</v>
      </c>
      <c r="EN62" t="e">
        <f>AH63-Table2[[#This Row],[2F5 Main Gate-1 Piller -1]]</f>
        <v>#VALUE!</v>
      </c>
      <c r="EO62" t="e">
        <f>CW63-Table2[[#This Row],[6F2 Ground Floor AC]]</f>
        <v>#VALUE!</v>
      </c>
      <c r="EP62" t="e">
        <f>CX63-Table2[[#This Row],[6F3 ACBD -1 (First floor AC)]]</f>
        <v>#VALUE!</v>
      </c>
      <c r="EQ62" t="e">
        <f>CY63-Table2[[#This Row],[6F4 ACBD - 2 (Second &amp; Third floor AC)]]</f>
        <v>#VALUE!</v>
      </c>
      <c r="ER62" t="e">
        <f>(BC63-Table2[[#This Row],[4F Old BMC cooling Unit]])</f>
        <v>#VALUE!</v>
      </c>
      <c r="ES62" t="e">
        <f>BO63-Table2[[#This Row],[2F4 - Old BMC]]</f>
        <v>#VALUE!</v>
      </c>
      <c r="ET62" t="e">
        <f>Y63-Table2[[#This Row],[14F2 New CK]]</f>
        <v>#VALUE!</v>
      </c>
      <c r="EU62" t="e">
        <f>(CL63-Table2[[#This Row],[OLD Ck Panel-1]])*1000</f>
        <v>#VALUE!</v>
      </c>
      <c r="EV62" t="e">
        <f>CM63-Table2[[#This Row],[2F4 Old CK Blast (Blue star)]]</f>
        <v>#VALUE!</v>
      </c>
      <c r="EW62" t="e">
        <f>CN63-Table2[[#This Row],[3F6 Old CK Blast (Carrier)]]</f>
        <v>#VALUE!</v>
      </c>
      <c r="EX62" t="e">
        <f>(CO63-Table2[[#This Row],[Old CK Panel -2]])*1000</f>
        <v>#VALUE!</v>
      </c>
      <c r="EY62" t="e">
        <f>N63-Table2[[#This Row],[4F1 Main UPS 1/C -1]]</f>
        <v>#VALUE!</v>
      </c>
      <c r="EZ62" t="e">
        <f>Z63-Table2[[#This Row],[15F1 Main UPS Panel - I/C - 2]]</f>
        <v>#VALUE!</v>
      </c>
      <c r="FA62" t="e">
        <f>BF63-Table2[[#This Row],[2F CLC -1 AC unit - 2]]</f>
        <v>#VALUE!</v>
      </c>
      <c r="FB62" t="e">
        <f>(BG63-Table2[[#This Row],[2F CLC Anti room]])*1000</f>
        <v>#VALUE!</v>
      </c>
      <c r="FC62" t="e">
        <f>BW63-Table2[[#This Row],[7F3 CLC Power Panel]]</f>
        <v>#VALUE!</v>
      </c>
      <c r="FD62" t="e">
        <f>(CI63-Table2[[#This Row],[PDB - 17 CLC Section ]])*1000</f>
        <v>#VALUE!</v>
      </c>
      <c r="FE62" t="e">
        <f>(W63-Table2[[#This Row],[13F3 Water &amp; Lift Old CK]])*1000</f>
        <v>#VALUE!</v>
      </c>
      <c r="FF62" t="e">
        <f>AA63-Table2[[#This Row],[15F2 New ETP Panel]]</f>
        <v>#VALUE!</v>
      </c>
      <c r="FG62" t="e">
        <f>AL63-Table2[[#This Row],[3F4 Old ETP Panel]]</f>
        <v>#VALUE!</v>
      </c>
      <c r="FH62" t="e">
        <f>AF63-Table2[[#This Row],[2F1 RO Plant]]</f>
        <v>#VALUE!</v>
      </c>
      <c r="FI62" t="e">
        <f>AK63-Table2[[#This Row],[3F3 Fire Hydrant Panel]]</f>
        <v>#VALUE!</v>
      </c>
      <c r="FJ62" t="e">
        <f>R63-Table2[[#This Row],[7F1 Freon System Panel]]</f>
        <v>#VALUE!</v>
      </c>
      <c r="FK62" t="e">
        <f>(AE63-Table2[[#This Row],[21F1 Refrigeration Ammonia]])*1000</f>
        <v>#VALUE!</v>
      </c>
      <c r="FL62" t="e">
        <f>(AG63-Table2[[#This Row],[2F3 Air Compressor]])*1000</f>
        <v>#VALUE!</v>
      </c>
      <c r="FM62" t="e">
        <f>(AX63-Table2[[#This Row],[Solar Reading Panel II]])*1000</f>
        <v>#VALUE!</v>
      </c>
      <c r="FN62" t="e">
        <f>AI63-Table2[[#This Row],[3F1 Maintenance Workshop]]</f>
        <v>#VALUE!</v>
      </c>
      <c r="FO62" t="e">
        <f>BD63-Table2[[#This Row],[4F B2B unit ]]</f>
        <v>#VALUE!</v>
      </c>
      <c r="FP62" t="e">
        <f>BL63-Table2[[#This Row],[2F1 - PDB 6 - Bread, B2B section]]</f>
        <v>#VALUE!</v>
      </c>
      <c r="FQ62" s="1" t="e">
        <f>(CG63-Table2[[#This Row],[9F5 - PDB 14 - Bread Lift]])</f>
        <v>#VALUE!</v>
      </c>
      <c r="FR62" t="e">
        <f>CJ63-Table2[[#This Row],[PDB - 16 Bread Section]]</f>
        <v>#VALUE!</v>
      </c>
      <c r="FS62" t="e">
        <f>BU63-Table2[[#This Row],[7F1 Donut Production area]]</f>
        <v>#VALUE!</v>
      </c>
      <c r="FT62" t="e">
        <f>CB63-Table2[[#This Row],[8F5 Donut Ban Bary]]</f>
        <v>#VALUE!</v>
      </c>
      <c r="FU62" t="e">
        <f>CF63-Table2[[#This Row],[9F4 - PDB 13 - Donut Sink Geyser area]]</f>
        <v>#VALUE!</v>
      </c>
      <c r="FV62" t="e">
        <f>BV63-Table2[[#This Row],[7F2 Flour Silo]]</f>
        <v>#VALUE!</v>
      </c>
      <c r="FW62" t="e">
        <f>BY63-Table2[[#This Row],[8F2 ACPDB - 3 SILO Ventilation]]</f>
        <v>#VALUE!</v>
      </c>
      <c r="FX62" t="e">
        <f>J63-Table2[[#This Row],[DG 1010KVA Running Hours]]</f>
        <v>#VALUE!</v>
      </c>
      <c r="FY62" t="e">
        <f>K63-Table2[[#This Row],[DG 1010 KVA Meter Reading]]</f>
        <v>#VALUE!</v>
      </c>
      <c r="FZ62" t="e">
        <f>L63-Table2[[#This Row],[GG 1010 KVA Running Hours]]</f>
        <v>#VALUE!</v>
      </c>
      <c r="GA62" t="e">
        <f>M63-Table2[[#This Row],[GG 1010 KVA Meter Reading]]</f>
        <v>#VALUE!</v>
      </c>
    </row>
    <row r="63" spans="1:183" x14ac:dyDescent="0.35">
      <c r="DI63" t="e">
        <f>(DD64-Table2[[#This Row],[MWH Total]])*4000</f>
        <v>#VALUE!</v>
      </c>
      <c r="DJ63" t="e">
        <f>(DA64-Table2[[#This Row],[PNG Meter (Outside)]])*2.936</f>
        <v>#VALUE!</v>
      </c>
      <c r="DK63" t="e">
        <f>(DB64-Table2[[#This Row],[PNG Meter (Inside)]])*2.936</f>
        <v>#VALUE!</v>
      </c>
      <c r="DL63" t="e">
        <f>(BH64-Table2[[#This Row],[3F Dough cooler - 2 ]])*1000</f>
        <v>#VALUE!</v>
      </c>
      <c r="DM63" t="e">
        <f>(BI64-Table2[[#This Row],[3F Dough Cooler- 1]])*1000</f>
        <v>#VALUE!</v>
      </c>
      <c r="DN63" t="e">
        <f>(BJ64-Table2[[#This Row],[4F Dough Production cooling Unit]])*1000</f>
        <v>#VALUE!</v>
      </c>
      <c r="DO63" t="e">
        <f>(BQ64-Table2[[#This Row],[3F2 - PDB 3 - Dough Production Area]])*1000</f>
        <v>#VALUE!</v>
      </c>
      <c r="DP63" t="e">
        <f>(BR64-Table2[[#This Row],[3F3 - PDB 4 - Dough Area]])*1000</f>
        <v>#VALUE!</v>
      </c>
      <c r="DQ63" t="e">
        <f>AC64-Table2[[#This Row],[16F1 Tray washer Panel for Light]]</f>
        <v>#VALUE!</v>
      </c>
      <c r="DR63" t="e">
        <f>CQ64-Table2[[#This Row],[2F1 Tray Washer - 1]]</f>
        <v>#VALUE!</v>
      </c>
      <c r="DS63" t="e">
        <f>CS64-Table2[[#This Row],[2F5 Destacker]]</f>
        <v>#VALUE!</v>
      </c>
      <c r="DT63" t="e">
        <f>CU64-Table2[[#This Row],[5F1 Metering (TW-2)]]</f>
        <v>#VALUE!</v>
      </c>
      <c r="DU63" t="e">
        <f>CV64-Table2[[#This Row],[6F1 Pre soaker Tray washer]]</f>
        <v>#VALUE!</v>
      </c>
      <c r="DV63" t="e">
        <f>CZ64-Table2[[#This Row],[6F5 Vent tray Storage]]</f>
        <v>#VALUE!</v>
      </c>
      <c r="DW63" t="e">
        <f>I64-Table2[[#This Row],[Popeyes Meter ]]</f>
        <v>#VALUE!</v>
      </c>
      <c r="DX63" t="e">
        <f>AZ64-Table2[[#This Row],[2F WH Chiller, Segregation Area]]</f>
        <v>#VALUE!</v>
      </c>
      <c r="DY63" s="1" t="e">
        <f>BA64-Table2[[#This Row],[3F1 AC Unit WH dock cooling - 2 Nos]]</f>
        <v>#VALUE!</v>
      </c>
      <c r="DZ63" t="e">
        <f>BB64-Table2[[#This Row],[3F2 AC Unit WH dock cooling - 3 Nos]]</f>
        <v>#VALUE!</v>
      </c>
      <c r="EA63" t="e">
        <f>(BK64-Table2[[#This Row],[5F WH Perishable]])*1000</f>
        <v>#VALUE!</v>
      </c>
      <c r="EB63" t="e">
        <f>BN64-Table2[[#This Row],[2F3 - PDB 9 - WH Dock Leveler Door ]]</f>
        <v>#VALUE!</v>
      </c>
      <c r="EC63" t="e">
        <f>BP64-Table2[[#This Row],[3F1 - PDB 5 - WH HSD]]</f>
        <v>#VALUE!</v>
      </c>
      <c r="ED63" t="e">
        <f>BX64-Table2[[#This Row],[8F1 WH Dock AHU - Ventilation]]</f>
        <v>#VALUE!</v>
      </c>
      <c r="EE63" t="e">
        <f>BZ64-Table2[[#This Row],[8F3 ACPDB - 4 WH Dock air curtain]]</f>
        <v>#VALUE!</v>
      </c>
      <c r="EF63" t="e">
        <f>CA64-Table2[[#This Row],[8F4 WH Light]]</f>
        <v>#VALUE!</v>
      </c>
      <c r="EG63" t="e">
        <f>CC64-Table2[[#This Row],[9F1 - PDB 10 - WH Dock door &amp; Office]]</f>
        <v>#VALUE!</v>
      </c>
      <c r="EH63" t="e">
        <f>CD64-Table2[[#This Row],[9F2 - PDB 11 - WH flycatchers]]</f>
        <v>#VALUE!</v>
      </c>
      <c r="EI63" t="e">
        <f>CE64-Table2[[#This Row],[9F3 - PDB 12 - Other items]]</f>
        <v>#VALUE!</v>
      </c>
      <c r="EJ63" t="e">
        <f>CR64-Table2[[#This Row],[2F3 - PDB 1 - Dock 1 to 4 ]]</f>
        <v>#VALUE!</v>
      </c>
      <c r="EK63" t="e">
        <f>BM64-Table2[[#This Row],[2F2 - PDB 3 - WH Truck &amp; Battery Charging]]</f>
        <v>#VALUE!</v>
      </c>
      <c r="EL63" t="e">
        <f>(CK64-Table2[[#This Row],[PDB - 11 Truck Charging]])*1000</f>
        <v>#VALUE!</v>
      </c>
      <c r="EM63" t="e">
        <f>P64-Table2[[#This Row],[5F3 Admin Area]]</f>
        <v>#VALUE!</v>
      </c>
      <c r="EN63" t="e">
        <f>AH64-Table2[[#This Row],[2F5 Main Gate-1 Piller -1]]</f>
        <v>#VALUE!</v>
      </c>
      <c r="EO63" t="e">
        <f>CW64-Table2[[#This Row],[6F2 Ground Floor AC]]</f>
        <v>#VALUE!</v>
      </c>
      <c r="EP63" t="e">
        <f>CX64-Table2[[#This Row],[6F3 ACBD -1 (First floor AC)]]</f>
        <v>#VALUE!</v>
      </c>
      <c r="EQ63" t="e">
        <f>CY64-Table2[[#This Row],[6F4 ACBD - 2 (Second &amp; Third floor AC)]]</f>
        <v>#VALUE!</v>
      </c>
      <c r="ER63" t="e">
        <f>(BC64-Table2[[#This Row],[4F Old BMC cooling Unit]])</f>
        <v>#VALUE!</v>
      </c>
      <c r="ES63" t="e">
        <f>BO64-Table2[[#This Row],[2F4 - Old BMC]]</f>
        <v>#VALUE!</v>
      </c>
      <c r="ET63" t="e">
        <f>Y64-Table2[[#This Row],[14F2 New CK]]</f>
        <v>#VALUE!</v>
      </c>
      <c r="EU63" t="e">
        <f>(CL64-Table2[[#This Row],[OLD Ck Panel-1]])*1000</f>
        <v>#VALUE!</v>
      </c>
      <c r="EV63" t="e">
        <f>CM64-Table2[[#This Row],[2F4 Old CK Blast (Blue star)]]</f>
        <v>#VALUE!</v>
      </c>
      <c r="EW63" t="e">
        <f>CN64-Table2[[#This Row],[3F6 Old CK Blast (Carrier)]]</f>
        <v>#VALUE!</v>
      </c>
      <c r="EX63" t="e">
        <f>(CO64-Table2[[#This Row],[Old CK Panel -2]])*1000</f>
        <v>#VALUE!</v>
      </c>
      <c r="EY63" t="e">
        <f>N64-Table2[[#This Row],[4F1 Main UPS 1/C -1]]</f>
        <v>#VALUE!</v>
      </c>
      <c r="EZ63" t="e">
        <f>Z64-Table2[[#This Row],[15F1 Main UPS Panel - I/C - 2]]</f>
        <v>#VALUE!</v>
      </c>
      <c r="FA63" t="e">
        <f>BF64-Table2[[#This Row],[2F CLC -1 AC unit - 2]]</f>
        <v>#VALUE!</v>
      </c>
      <c r="FB63" t="e">
        <f>(BG64-Table2[[#This Row],[2F CLC Anti room]])*1000</f>
        <v>#VALUE!</v>
      </c>
      <c r="FC63" t="e">
        <f>BW64-Table2[[#This Row],[7F3 CLC Power Panel]]</f>
        <v>#VALUE!</v>
      </c>
      <c r="FD63" t="e">
        <f>(CI64-Table2[[#This Row],[PDB - 17 CLC Section ]])*1000</f>
        <v>#VALUE!</v>
      </c>
      <c r="FE63" t="e">
        <f>(W64-Table2[[#This Row],[13F3 Water &amp; Lift Old CK]])*1000</f>
        <v>#VALUE!</v>
      </c>
      <c r="FF63" t="e">
        <f>AA64-Table2[[#This Row],[15F2 New ETP Panel]]</f>
        <v>#VALUE!</v>
      </c>
      <c r="FG63" t="e">
        <f>AL64-Table2[[#This Row],[3F4 Old ETP Panel]]</f>
        <v>#VALUE!</v>
      </c>
      <c r="FH63" t="e">
        <f>AF64-Table2[[#This Row],[2F1 RO Plant]]</f>
        <v>#VALUE!</v>
      </c>
      <c r="FI63" t="e">
        <f>AK64-Table2[[#This Row],[3F3 Fire Hydrant Panel]]</f>
        <v>#VALUE!</v>
      </c>
      <c r="FJ63" t="e">
        <f>R64-Table2[[#This Row],[7F1 Freon System Panel]]</f>
        <v>#VALUE!</v>
      </c>
      <c r="FK63" t="e">
        <f>(AE64-Table2[[#This Row],[21F1 Refrigeration Ammonia]])*1000</f>
        <v>#VALUE!</v>
      </c>
      <c r="FL63" t="e">
        <f>(AG64-Table2[[#This Row],[2F3 Air Compressor]])*1000</f>
        <v>#VALUE!</v>
      </c>
      <c r="FM63" t="e">
        <f>(AX64-Table2[[#This Row],[Solar Reading Panel II]])*1000</f>
        <v>#VALUE!</v>
      </c>
      <c r="FN63" t="e">
        <f>AI64-Table2[[#This Row],[3F1 Maintenance Workshop]]</f>
        <v>#VALUE!</v>
      </c>
      <c r="FO63" t="e">
        <f>BD64-Table2[[#This Row],[4F B2B unit ]]</f>
        <v>#VALUE!</v>
      </c>
      <c r="FP63" t="e">
        <f>BL64-Table2[[#This Row],[2F1 - PDB 6 - Bread, B2B section]]</f>
        <v>#VALUE!</v>
      </c>
      <c r="FQ63" s="1" t="e">
        <f>(CG64-Table2[[#This Row],[9F5 - PDB 14 - Bread Lift]])</f>
        <v>#VALUE!</v>
      </c>
      <c r="FR63" t="e">
        <f>CJ64-Table2[[#This Row],[PDB - 16 Bread Section]]</f>
        <v>#VALUE!</v>
      </c>
      <c r="FS63" t="e">
        <f>BU64-Table2[[#This Row],[7F1 Donut Production area]]</f>
        <v>#VALUE!</v>
      </c>
      <c r="FT63" t="e">
        <f>CB64-Table2[[#This Row],[8F5 Donut Ban Bary]]</f>
        <v>#VALUE!</v>
      </c>
      <c r="FU63" t="e">
        <f>CF64-Table2[[#This Row],[9F4 - PDB 13 - Donut Sink Geyser area]]</f>
        <v>#VALUE!</v>
      </c>
      <c r="FV63" t="e">
        <f>BV64-Table2[[#This Row],[7F2 Flour Silo]]</f>
        <v>#VALUE!</v>
      </c>
      <c r="FW63" t="e">
        <f>BY64-Table2[[#This Row],[8F2 ACPDB - 3 SILO Ventilation]]</f>
        <v>#VALUE!</v>
      </c>
      <c r="FX63" t="e">
        <f>J64-Table2[[#This Row],[DG 1010KVA Running Hours]]</f>
        <v>#VALUE!</v>
      </c>
      <c r="FY63" t="e">
        <f>K64-Table2[[#This Row],[DG 1010 KVA Meter Reading]]</f>
        <v>#VALUE!</v>
      </c>
      <c r="FZ63" t="e">
        <f>L64-Table2[[#This Row],[GG 1010 KVA Running Hours]]</f>
        <v>#VALUE!</v>
      </c>
      <c r="GA63" t="e">
        <f>M64-Table2[[#This Row],[GG 1010 KVA Meter Reading]]</f>
        <v>#VALUE!</v>
      </c>
    </row>
    <row r="64" spans="1:183" x14ac:dyDescent="0.35">
      <c r="DI64" t="e">
        <f>(DD65-Table2[[#This Row],[MWH Total]])*4000</f>
        <v>#VALUE!</v>
      </c>
      <c r="DJ64" t="e">
        <f>(DA65-Table2[[#This Row],[PNG Meter (Outside)]])*2.936</f>
        <v>#VALUE!</v>
      </c>
      <c r="DK64" t="e">
        <f>(DB65-Table2[[#This Row],[PNG Meter (Inside)]])*2.936</f>
        <v>#VALUE!</v>
      </c>
      <c r="DL64" t="e">
        <f>(BH65-Table2[[#This Row],[3F Dough cooler - 2 ]])*1000</f>
        <v>#VALUE!</v>
      </c>
      <c r="DM64" t="e">
        <f>(BI65-Table2[[#This Row],[3F Dough Cooler- 1]])*1000</f>
        <v>#VALUE!</v>
      </c>
      <c r="DN64" t="e">
        <f>(BJ65-Table2[[#This Row],[4F Dough Production cooling Unit]])*1000</f>
        <v>#VALUE!</v>
      </c>
      <c r="DO64" t="e">
        <f>(BQ65-Table2[[#This Row],[3F2 - PDB 3 - Dough Production Area]])*1000</f>
        <v>#VALUE!</v>
      </c>
      <c r="DP64" t="e">
        <f>(BR65-Table2[[#This Row],[3F3 - PDB 4 - Dough Area]])*1000</f>
        <v>#VALUE!</v>
      </c>
      <c r="DQ64" t="e">
        <f>AC65-Table2[[#This Row],[16F1 Tray washer Panel for Light]]</f>
        <v>#VALUE!</v>
      </c>
      <c r="DR64" t="e">
        <f>CQ65-Table2[[#This Row],[2F1 Tray Washer - 1]]</f>
        <v>#VALUE!</v>
      </c>
      <c r="DS64" t="e">
        <f>CS65-Table2[[#This Row],[2F5 Destacker]]</f>
        <v>#VALUE!</v>
      </c>
      <c r="DT64" t="e">
        <f>CU65-Table2[[#This Row],[5F1 Metering (TW-2)]]</f>
        <v>#VALUE!</v>
      </c>
      <c r="DU64" t="e">
        <f>CV65-Table2[[#This Row],[6F1 Pre soaker Tray washer]]</f>
        <v>#VALUE!</v>
      </c>
      <c r="DV64" t="e">
        <f>CZ65-Table2[[#This Row],[6F5 Vent tray Storage]]</f>
        <v>#VALUE!</v>
      </c>
      <c r="DW64" t="e">
        <f>I65-Table2[[#This Row],[Popeyes Meter ]]</f>
        <v>#VALUE!</v>
      </c>
      <c r="DX64" t="e">
        <f>AZ65-Table2[[#This Row],[2F WH Chiller, Segregation Area]]</f>
        <v>#VALUE!</v>
      </c>
      <c r="DY64" s="1" t="e">
        <f>BA65-Table2[[#This Row],[3F1 AC Unit WH dock cooling - 2 Nos]]</f>
        <v>#VALUE!</v>
      </c>
      <c r="DZ64" t="e">
        <f>BB65-Table2[[#This Row],[3F2 AC Unit WH dock cooling - 3 Nos]]</f>
        <v>#VALUE!</v>
      </c>
      <c r="EA64" t="e">
        <f>(BK65-Table2[[#This Row],[5F WH Perishable]])*1000</f>
        <v>#VALUE!</v>
      </c>
      <c r="EB64" t="e">
        <f>BN65-Table2[[#This Row],[2F3 - PDB 9 - WH Dock Leveler Door ]]</f>
        <v>#VALUE!</v>
      </c>
      <c r="EC64" t="e">
        <f>BP65-Table2[[#This Row],[3F1 - PDB 5 - WH HSD]]</f>
        <v>#VALUE!</v>
      </c>
      <c r="ED64" t="e">
        <f>BX65-Table2[[#This Row],[8F1 WH Dock AHU - Ventilation]]</f>
        <v>#VALUE!</v>
      </c>
      <c r="EE64" t="e">
        <f>BZ65-Table2[[#This Row],[8F3 ACPDB - 4 WH Dock air curtain]]</f>
        <v>#VALUE!</v>
      </c>
      <c r="EF64" t="e">
        <f>CA65-Table2[[#This Row],[8F4 WH Light]]</f>
        <v>#VALUE!</v>
      </c>
      <c r="EG64" t="e">
        <f>CC65-Table2[[#This Row],[9F1 - PDB 10 - WH Dock door &amp; Office]]</f>
        <v>#VALUE!</v>
      </c>
      <c r="EH64" t="e">
        <f>CD65-Table2[[#This Row],[9F2 - PDB 11 - WH flycatchers]]</f>
        <v>#VALUE!</v>
      </c>
      <c r="EI64" t="e">
        <f>CE65-Table2[[#This Row],[9F3 - PDB 12 - Other items]]</f>
        <v>#VALUE!</v>
      </c>
      <c r="EJ64" t="e">
        <f>CR65-Table2[[#This Row],[2F3 - PDB 1 - Dock 1 to 4 ]]</f>
        <v>#VALUE!</v>
      </c>
      <c r="EK64" t="e">
        <f>BM65-Table2[[#This Row],[2F2 - PDB 3 - WH Truck &amp; Battery Charging]]</f>
        <v>#VALUE!</v>
      </c>
      <c r="EL64" t="e">
        <f>(CK65-Table2[[#This Row],[PDB - 11 Truck Charging]])*1000</f>
        <v>#VALUE!</v>
      </c>
      <c r="EM64" t="e">
        <f>P65-Table2[[#This Row],[5F3 Admin Area]]</f>
        <v>#VALUE!</v>
      </c>
      <c r="EN64" t="e">
        <f>AH65-Table2[[#This Row],[2F5 Main Gate-1 Piller -1]]</f>
        <v>#VALUE!</v>
      </c>
      <c r="EO64" t="e">
        <f>CW65-Table2[[#This Row],[6F2 Ground Floor AC]]</f>
        <v>#VALUE!</v>
      </c>
      <c r="EP64" t="e">
        <f>CX65-Table2[[#This Row],[6F3 ACBD -1 (First floor AC)]]</f>
        <v>#VALUE!</v>
      </c>
      <c r="EQ64" t="e">
        <f>CY65-Table2[[#This Row],[6F4 ACBD - 2 (Second &amp; Third floor AC)]]</f>
        <v>#VALUE!</v>
      </c>
      <c r="ER64" t="e">
        <f>(BC65-Table2[[#This Row],[4F Old BMC cooling Unit]])</f>
        <v>#VALUE!</v>
      </c>
      <c r="ES64" t="e">
        <f>BO65-Table2[[#This Row],[2F4 - Old BMC]]</f>
        <v>#VALUE!</v>
      </c>
      <c r="ET64" t="e">
        <f>Y65-Table2[[#This Row],[14F2 New CK]]</f>
        <v>#VALUE!</v>
      </c>
      <c r="EU64" t="e">
        <f>(CL65-Table2[[#This Row],[OLD Ck Panel-1]])*1000</f>
        <v>#VALUE!</v>
      </c>
      <c r="EV64" t="e">
        <f>CM65-Table2[[#This Row],[2F4 Old CK Blast (Blue star)]]</f>
        <v>#VALUE!</v>
      </c>
      <c r="EW64" t="e">
        <f>CN65-Table2[[#This Row],[3F6 Old CK Blast (Carrier)]]</f>
        <v>#VALUE!</v>
      </c>
      <c r="EX64" t="e">
        <f>(CO65-Table2[[#This Row],[Old CK Panel -2]])*1000</f>
        <v>#VALUE!</v>
      </c>
      <c r="EY64" t="e">
        <f>N65-Table2[[#This Row],[4F1 Main UPS 1/C -1]]</f>
        <v>#VALUE!</v>
      </c>
      <c r="EZ64" t="e">
        <f>Z65-Table2[[#This Row],[15F1 Main UPS Panel - I/C - 2]]</f>
        <v>#VALUE!</v>
      </c>
      <c r="FA64" t="e">
        <f>BF65-Table2[[#This Row],[2F CLC -1 AC unit - 2]]</f>
        <v>#VALUE!</v>
      </c>
      <c r="FB64" t="e">
        <f>(BG65-Table2[[#This Row],[2F CLC Anti room]])*1000</f>
        <v>#VALUE!</v>
      </c>
      <c r="FC64" t="e">
        <f>BW65-Table2[[#This Row],[7F3 CLC Power Panel]]</f>
        <v>#VALUE!</v>
      </c>
      <c r="FD64" t="e">
        <f>(CI65-Table2[[#This Row],[PDB - 17 CLC Section ]])*1000</f>
        <v>#VALUE!</v>
      </c>
      <c r="FE64" t="e">
        <f>(W65-Table2[[#This Row],[13F3 Water &amp; Lift Old CK]])*1000</f>
        <v>#VALUE!</v>
      </c>
      <c r="FF64" t="e">
        <f>AA65-Table2[[#This Row],[15F2 New ETP Panel]]</f>
        <v>#VALUE!</v>
      </c>
      <c r="FG64" t="e">
        <f>AL65-Table2[[#This Row],[3F4 Old ETP Panel]]</f>
        <v>#VALUE!</v>
      </c>
      <c r="FH64" t="e">
        <f>AF65-Table2[[#This Row],[2F1 RO Plant]]</f>
        <v>#VALUE!</v>
      </c>
      <c r="FI64" t="e">
        <f>AK65-Table2[[#This Row],[3F3 Fire Hydrant Panel]]</f>
        <v>#VALUE!</v>
      </c>
      <c r="FJ64" t="e">
        <f>R65-Table2[[#This Row],[7F1 Freon System Panel]]</f>
        <v>#VALUE!</v>
      </c>
      <c r="FK64" t="e">
        <f>(AE65-Table2[[#This Row],[21F1 Refrigeration Ammonia]])*1000</f>
        <v>#VALUE!</v>
      </c>
      <c r="FL64" t="e">
        <f>(AG65-Table2[[#This Row],[2F3 Air Compressor]])*1000</f>
        <v>#VALUE!</v>
      </c>
      <c r="FM64" t="e">
        <f>(AX65-Table2[[#This Row],[Solar Reading Panel II]])*1000</f>
        <v>#VALUE!</v>
      </c>
      <c r="FN64" t="e">
        <f>AI65-Table2[[#This Row],[3F1 Maintenance Workshop]]</f>
        <v>#VALUE!</v>
      </c>
      <c r="FO64" t="e">
        <f>BD65-Table2[[#This Row],[4F B2B unit ]]</f>
        <v>#VALUE!</v>
      </c>
      <c r="FP64" t="e">
        <f>BL65-Table2[[#This Row],[2F1 - PDB 6 - Bread, B2B section]]</f>
        <v>#VALUE!</v>
      </c>
      <c r="FQ64" s="1" t="e">
        <f>(CG65-Table2[[#This Row],[9F5 - PDB 14 - Bread Lift]])</f>
        <v>#VALUE!</v>
      </c>
      <c r="FR64" t="e">
        <f>CJ65-Table2[[#This Row],[PDB - 16 Bread Section]]</f>
        <v>#VALUE!</v>
      </c>
      <c r="FS64" t="e">
        <f>BU65-Table2[[#This Row],[7F1 Donut Production area]]</f>
        <v>#VALUE!</v>
      </c>
      <c r="FT64" t="e">
        <f>CB65-Table2[[#This Row],[8F5 Donut Ban Bary]]</f>
        <v>#VALUE!</v>
      </c>
      <c r="FU64" t="e">
        <f>CF65-Table2[[#This Row],[9F4 - PDB 13 - Donut Sink Geyser area]]</f>
        <v>#VALUE!</v>
      </c>
      <c r="FV64" t="e">
        <f>BV65-Table2[[#This Row],[7F2 Flour Silo]]</f>
        <v>#VALUE!</v>
      </c>
      <c r="FW64" t="e">
        <f>BY65-Table2[[#This Row],[8F2 ACPDB - 3 SILO Ventilation]]</f>
        <v>#VALUE!</v>
      </c>
      <c r="FX64" t="e">
        <f>J65-Table2[[#This Row],[DG 1010KVA Running Hours]]</f>
        <v>#VALUE!</v>
      </c>
      <c r="FY64" t="e">
        <f>K65-Table2[[#This Row],[DG 1010 KVA Meter Reading]]</f>
        <v>#VALUE!</v>
      </c>
      <c r="FZ64" t="e">
        <f>L65-Table2[[#This Row],[GG 1010 KVA Running Hours]]</f>
        <v>#VALUE!</v>
      </c>
      <c r="GA64" t="e">
        <f>M65-Table2[[#This Row],[GG 1010 KVA Meter Reading]]</f>
        <v>#VALUE!</v>
      </c>
    </row>
    <row r="65" spans="113:183" x14ac:dyDescent="0.35">
      <c r="DI65" t="e">
        <f>(DD66-Table2[[#This Row],[MWH Total]])*4000</f>
        <v>#VALUE!</v>
      </c>
      <c r="DJ65" t="e">
        <f>(DA66-Table2[[#This Row],[PNG Meter (Outside)]])*2.936</f>
        <v>#VALUE!</v>
      </c>
      <c r="DK65" t="e">
        <f>(DB66-Table2[[#This Row],[PNG Meter (Inside)]])*2.936</f>
        <v>#VALUE!</v>
      </c>
      <c r="DL65" t="e">
        <f>(BH66-Table2[[#This Row],[3F Dough cooler - 2 ]])*1000</f>
        <v>#VALUE!</v>
      </c>
      <c r="DM65" t="e">
        <f>(BI66-Table2[[#This Row],[3F Dough Cooler- 1]])*1000</f>
        <v>#VALUE!</v>
      </c>
      <c r="DN65" t="e">
        <f>(BJ66-Table2[[#This Row],[4F Dough Production cooling Unit]])*1000</f>
        <v>#VALUE!</v>
      </c>
      <c r="DO65" t="e">
        <f>(BQ66-Table2[[#This Row],[3F2 - PDB 3 - Dough Production Area]])*1000</f>
        <v>#VALUE!</v>
      </c>
      <c r="DP65" t="e">
        <f>(BR66-Table2[[#This Row],[3F3 - PDB 4 - Dough Area]])*1000</f>
        <v>#VALUE!</v>
      </c>
      <c r="DQ65" t="e">
        <f>AC66-Table2[[#This Row],[16F1 Tray washer Panel for Light]]</f>
        <v>#VALUE!</v>
      </c>
      <c r="DR65" t="e">
        <f>CQ66-Table2[[#This Row],[2F1 Tray Washer - 1]]</f>
        <v>#VALUE!</v>
      </c>
      <c r="DS65" t="e">
        <f>CS66-Table2[[#This Row],[2F5 Destacker]]</f>
        <v>#VALUE!</v>
      </c>
      <c r="DT65" t="e">
        <f>CU66-Table2[[#This Row],[5F1 Metering (TW-2)]]</f>
        <v>#VALUE!</v>
      </c>
      <c r="DU65" t="e">
        <f>CV66-Table2[[#This Row],[6F1 Pre soaker Tray washer]]</f>
        <v>#VALUE!</v>
      </c>
      <c r="DV65" t="e">
        <f>CZ66-Table2[[#This Row],[6F5 Vent tray Storage]]</f>
        <v>#VALUE!</v>
      </c>
      <c r="DW65" t="e">
        <f>I66-Table2[[#This Row],[Popeyes Meter ]]</f>
        <v>#VALUE!</v>
      </c>
      <c r="DX65" t="e">
        <f>AZ66-Table2[[#This Row],[2F WH Chiller, Segregation Area]]</f>
        <v>#VALUE!</v>
      </c>
      <c r="DY65" s="1" t="e">
        <f>BA66-Table2[[#This Row],[3F1 AC Unit WH dock cooling - 2 Nos]]</f>
        <v>#VALUE!</v>
      </c>
      <c r="DZ65" t="e">
        <f>BB66-Table2[[#This Row],[3F2 AC Unit WH dock cooling - 3 Nos]]</f>
        <v>#VALUE!</v>
      </c>
      <c r="EA65" t="e">
        <f>(BK66-Table2[[#This Row],[5F WH Perishable]])*1000</f>
        <v>#VALUE!</v>
      </c>
      <c r="EB65" t="e">
        <f>BN66-Table2[[#This Row],[2F3 - PDB 9 - WH Dock Leveler Door ]]</f>
        <v>#VALUE!</v>
      </c>
      <c r="EC65" t="e">
        <f>BP66-Table2[[#This Row],[3F1 - PDB 5 - WH HSD]]</f>
        <v>#VALUE!</v>
      </c>
      <c r="ED65" t="e">
        <f>BX66-Table2[[#This Row],[8F1 WH Dock AHU - Ventilation]]</f>
        <v>#VALUE!</v>
      </c>
      <c r="EE65" t="e">
        <f>BZ66-Table2[[#This Row],[8F3 ACPDB - 4 WH Dock air curtain]]</f>
        <v>#VALUE!</v>
      </c>
      <c r="EF65" t="e">
        <f>CA66-Table2[[#This Row],[8F4 WH Light]]</f>
        <v>#VALUE!</v>
      </c>
      <c r="EG65" t="e">
        <f>CC66-Table2[[#This Row],[9F1 - PDB 10 - WH Dock door &amp; Office]]</f>
        <v>#VALUE!</v>
      </c>
      <c r="EH65" t="e">
        <f>CD66-Table2[[#This Row],[9F2 - PDB 11 - WH flycatchers]]</f>
        <v>#VALUE!</v>
      </c>
      <c r="EI65" t="e">
        <f>CE66-Table2[[#This Row],[9F3 - PDB 12 - Other items]]</f>
        <v>#VALUE!</v>
      </c>
      <c r="EJ65" t="e">
        <f>CR66-Table2[[#This Row],[2F3 - PDB 1 - Dock 1 to 4 ]]</f>
        <v>#VALUE!</v>
      </c>
      <c r="EK65" t="e">
        <f>BM66-Table2[[#This Row],[2F2 - PDB 3 - WH Truck &amp; Battery Charging]]</f>
        <v>#VALUE!</v>
      </c>
      <c r="EL65" t="e">
        <f>(CK66-Table2[[#This Row],[PDB - 11 Truck Charging]])*1000</f>
        <v>#VALUE!</v>
      </c>
      <c r="EM65" t="e">
        <f>P66-Table2[[#This Row],[5F3 Admin Area]]</f>
        <v>#VALUE!</v>
      </c>
      <c r="EN65" t="e">
        <f>AH66-Table2[[#This Row],[2F5 Main Gate-1 Piller -1]]</f>
        <v>#VALUE!</v>
      </c>
      <c r="EO65" t="e">
        <f>CW66-Table2[[#This Row],[6F2 Ground Floor AC]]</f>
        <v>#VALUE!</v>
      </c>
      <c r="EP65" t="e">
        <f>CX66-Table2[[#This Row],[6F3 ACBD -1 (First floor AC)]]</f>
        <v>#VALUE!</v>
      </c>
      <c r="EQ65" t="e">
        <f>CY66-Table2[[#This Row],[6F4 ACBD - 2 (Second &amp; Third floor AC)]]</f>
        <v>#VALUE!</v>
      </c>
      <c r="ER65" t="e">
        <f>(BC66-Table2[[#This Row],[4F Old BMC cooling Unit]])</f>
        <v>#VALUE!</v>
      </c>
      <c r="ES65" t="e">
        <f>BO66-Table2[[#This Row],[2F4 - Old BMC]]</f>
        <v>#VALUE!</v>
      </c>
      <c r="ET65" t="e">
        <f>Y66-Table2[[#This Row],[14F2 New CK]]</f>
        <v>#VALUE!</v>
      </c>
      <c r="EU65" t="e">
        <f>(CL66-Table2[[#This Row],[OLD Ck Panel-1]])*1000</f>
        <v>#VALUE!</v>
      </c>
      <c r="EV65" t="e">
        <f>CM66-Table2[[#This Row],[2F4 Old CK Blast (Blue star)]]</f>
        <v>#VALUE!</v>
      </c>
      <c r="EW65" t="e">
        <f>CN66-Table2[[#This Row],[3F6 Old CK Blast (Carrier)]]</f>
        <v>#VALUE!</v>
      </c>
      <c r="EX65" t="e">
        <f>(CO66-Table2[[#This Row],[Old CK Panel -2]])*1000</f>
        <v>#VALUE!</v>
      </c>
      <c r="EY65" t="e">
        <f>N66-Table2[[#This Row],[4F1 Main UPS 1/C -1]]</f>
        <v>#VALUE!</v>
      </c>
      <c r="EZ65" t="e">
        <f>Z66-Table2[[#This Row],[15F1 Main UPS Panel - I/C - 2]]</f>
        <v>#VALUE!</v>
      </c>
      <c r="FA65" t="e">
        <f>BF66-Table2[[#This Row],[2F CLC -1 AC unit - 2]]</f>
        <v>#VALUE!</v>
      </c>
      <c r="FB65" t="e">
        <f>(BG66-Table2[[#This Row],[2F CLC Anti room]])*1000</f>
        <v>#VALUE!</v>
      </c>
      <c r="FC65" t="e">
        <f>BW66-Table2[[#This Row],[7F3 CLC Power Panel]]</f>
        <v>#VALUE!</v>
      </c>
      <c r="FD65" t="e">
        <f>(CI66-Table2[[#This Row],[PDB - 17 CLC Section ]])*1000</f>
        <v>#VALUE!</v>
      </c>
      <c r="FE65" t="e">
        <f>(W66-Table2[[#This Row],[13F3 Water &amp; Lift Old CK]])*1000</f>
        <v>#VALUE!</v>
      </c>
      <c r="FF65" t="e">
        <f>AA66-Table2[[#This Row],[15F2 New ETP Panel]]</f>
        <v>#VALUE!</v>
      </c>
      <c r="FG65" t="e">
        <f>AL66-Table2[[#This Row],[3F4 Old ETP Panel]]</f>
        <v>#VALUE!</v>
      </c>
      <c r="FH65" t="e">
        <f>AF66-Table2[[#This Row],[2F1 RO Plant]]</f>
        <v>#VALUE!</v>
      </c>
      <c r="FI65" t="e">
        <f>AK66-Table2[[#This Row],[3F3 Fire Hydrant Panel]]</f>
        <v>#VALUE!</v>
      </c>
      <c r="FJ65" t="e">
        <f>R66-Table2[[#This Row],[7F1 Freon System Panel]]</f>
        <v>#VALUE!</v>
      </c>
      <c r="FK65" t="e">
        <f>(AE66-Table2[[#This Row],[21F1 Refrigeration Ammonia]])*1000</f>
        <v>#VALUE!</v>
      </c>
      <c r="FL65" t="e">
        <f>(AG66-Table2[[#This Row],[2F3 Air Compressor]])*1000</f>
        <v>#VALUE!</v>
      </c>
      <c r="FM65" t="e">
        <f>(AX66-Table2[[#This Row],[Solar Reading Panel II]])*1000</f>
        <v>#VALUE!</v>
      </c>
      <c r="FN65" t="e">
        <f>AI66-Table2[[#This Row],[3F1 Maintenance Workshop]]</f>
        <v>#VALUE!</v>
      </c>
      <c r="FO65" t="e">
        <f>BD66-Table2[[#This Row],[4F B2B unit ]]</f>
        <v>#VALUE!</v>
      </c>
      <c r="FP65" t="e">
        <f>BL66-Table2[[#This Row],[2F1 - PDB 6 - Bread, B2B section]]</f>
        <v>#VALUE!</v>
      </c>
      <c r="FQ65" s="1" t="e">
        <f>(CG66-Table2[[#This Row],[9F5 - PDB 14 - Bread Lift]])</f>
        <v>#VALUE!</v>
      </c>
      <c r="FR65" t="e">
        <f>CJ66-Table2[[#This Row],[PDB - 16 Bread Section]]</f>
        <v>#VALUE!</v>
      </c>
      <c r="FS65" t="e">
        <f>BU66-Table2[[#This Row],[7F1 Donut Production area]]</f>
        <v>#VALUE!</v>
      </c>
      <c r="FT65" t="e">
        <f>CB66-Table2[[#This Row],[8F5 Donut Ban Bary]]</f>
        <v>#VALUE!</v>
      </c>
      <c r="FU65" t="e">
        <f>CF66-Table2[[#This Row],[9F4 - PDB 13 - Donut Sink Geyser area]]</f>
        <v>#VALUE!</v>
      </c>
      <c r="FV65" t="e">
        <f>BV66-Table2[[#This Row],[7F2 Flour Silo]]</f>
        <v>#VALUE!</v>
      </c>
      <c r="FW65" t="e">
        <f>BY66-Table2[[#This Row],[8F2 ACPDB - 3 SILO Ventilation]]</f>
        <v>#VALUE!</v>
      </c>
      <c r="FX65" t="e">
        <f>J66-Table2[[#This Row],[DG 1010KVA Running Hours]]</f>
        <v>#VALUE!</v>
      </c>
      <c r="FY65" t="e">
        <f>K66-Table2[[#This Row],[DG 1010 KVA Meter Reading]]</f>
        <v>#VALUE!</v>
      </c>
      <c r="FZ65" t="e">
        <f>L66-Table2[[#This Row],[GG 1010 KVA Running Hours]]</f>
        <v>#VALUE!</v>
      </c>
      <c r="GA65" t="e">
        <f>M66-Table2[[#This Row],[GG 1010 KVA Meter Reading]]</f>
        <v>#VALUE!</v>
      </c>
    </row>
    <row r="66" spans="113:183" x14ac:dyDescent="0.35">
      <c r="DI66" t="e">
        <f>(DD67-Table2[[#This Row],[MWH Total]])*4000</f>
        <v>#VALUE!</v>
      </c>
      <c r="DJ66" t="e">
        <f>(DA67-Table2[[#This Row],[PNG Meter (Outside)]])*2.936</f>
        <v>#VALUE!</v>
      </c>
      <c r="DK66" t="e">
        <f>(DB67-Table2[[#This Row],[PNG Meter (Inside)]])*2.936</f>
        <v>#VALUE!</v>
      </c>
      <c r="DL66" t="e">
        <f>(BH67-Table2[[#This Row],[3F Dough cooler - 2 ]])*1000</f>
        <v>#VALUE!</v>
      </c>
      <c r="DM66" t="e">
        <f>(BI67-Table2[[#This Row],[3F Dough Cooler- 1]])*1000</f>
        <v>#VALUE!</v>
      </c>
      <c r="DN66" t="e">
        <f>(BJ67-Table2[[#This Row],[4F Dough Production cooling Unit]])*1000</f>
        <v>#VALUE!</v>
      </c>
      <c r="DO66" t="e">
        <f>(BQ67-Table2[[#This Row],[3F2 - PDB 3 - Dough Production Area]])*1000</f>
        <v>#VALUE!</v>
      </c>
      <c r="DP66" t="e">
        <f>(BR67-Table2[[#This Row],[3F3 - PDB 4 - Dough Area]])*1000</f>
        <v>#VALUE!</v>
      </c>
      <c r="DQ66" t="e">
        <f>AC67-Table2[[#This Row],[16F1 Tray washer Panel for Light]]</f>
        <v>#VALUE!</v>
      </c>
      <c r="DR66" t="e">
        <f>CQ67-Table2[[#This Row],[2F1 Tray Washer - 1]]</f>
        <v>#VALUE!</v>
      </c>
      <c r="DS66" t="e">
        <f>CS67-Table2[[#This Row],[2F5 Destacker]]</f>
        <v>#VALUE!</v>
      </c>
      <c r="DT66" t="e">
        <f>CU67-Table2[[#This Row],[5F1 Metering (TW-2)]]</f>
        <v>#VALUE!</v>
      </c>
      <c r="DU66" t="e">
        <f>CV67-Table2[[#This Row],[6F1 Pre soaker Tray washer]]</f>
        <v>#VALUE!</v>
      </c>
      <c r="DV66" t="e">
        <f>CZ67-Table2[[#This Row],[6F5 Vent tray Storage]]</f>
        <v>#VALUE!</v>
      </c>
      <c r="DW66" t="e">
        <f>I67-Table2[[#This Row],[Popeyes Meter ]]</f>
        <v>#VALUE!</v>
      </c>
      <c r="DX66" t="e">
        <f>AZ67-Table2[[#This Row],[2F WH Chiller, Segregation Area]]</f>
        <v>#VALUE!</v>
      </c>
      <c r="DY66" s="1" t="e">
        <f>BA67-Table2[[#This Row],[3F1 AC Unit WH dock cooling - 2 Nos]]</f>
        <v>#VALUE!</v>
      </c>
      <c r="DZ66" t="e">
        <f>BB67-Table2[[#This Row],[3F2 AC Unit WH dock cooling - 3 Nos]]</f>
        <v>#VALUE!</v>
      </c>
      <c r="EA66" t="e">
        <f>(BK67-Table2[[#This Row],[5F WH Perishable]])*1000</f>
        <v>#VALUE!</v>
      </c>
      <c r="EB66" t="e">
        <f>BN67-Table2[[#This Row],[2F3 - PDB 9 - WH Dock Leveler Door ]]</f>
        <v>#VALUE!</v>
      </c>
      <c r="EC66" t="e">
        <f>BP67-Table2[[#This Row],[3F1 - PDB 5 - WH HSD]]</f>
        <v>#VALUE!</v>
      </c>
      <c r="ED66" t="e">
        <f>BX67-Table2[[#This Row],[8F1 WH Dock AHU - Ventilation]]</f>
        <v>#VALUE!</v>
      </c>
      <c r="EE66" t="e">
        <f>BZ67-Table2[[#This Row],[8F3 ACPDB - 4 WH Dock air curtain]]</f>
        <v>#VALUE!</v>
      </c>
      <c r="EF66" t="e">
        <f>CA67-Table2[[#This Row],[8F4 WH Light]]</f>
        <v>#VALUE!</v>
      </c>
      <c r="EG66" t="e">
        <f>CC67-Table2[[#This Row],[9F1 - PDB 10 - WH Dock door &amp; Office]]</f>
        <v>#VALUE!</v>
      </c>
      <c r="EH66" t="e">
        <f>CD67-Table2[[#This Row],[9F2 - PDB 11 - WH flycatchers]]</f>
        <v>#VALUE!</v>
      </c>
      <c r="EI66" t="e">
        <f>CE67-Table2[[#This Row],[9F3 - PDB 12 - Other items]]</f>
        <v>#VALUE!</v>
      </c>
      <c r="EJ66" t="e">
        <f>CR67-Table2[[#This Row],[2F3 - PDB 1 - Dock 1 to 4 ]]</f>
        <v>#VALUE!</v>
      </c>
      <c r="EK66" t="e">
        <f>BM67-Table2[[#This Row],[2F2 - PDB 3 - WH Truck &amp; Battery Charging]]</f>
        <v>#VALUE!</v>
      </c>
      <c r="EL66" t="e">
        <f>(CK67-Table2[[#This Row],[PDB - 11 Truck Charging]])*1000</f>
        <v>#VALUE!</v>
      </c>
      <c r="EM66" t="e">
        <f>P67-Table2[[#This Row],[5F3 Admin Area]]</f>
        <v>#VALUE!</v>
      </c>
      <c r="EN66" t="e">
        <f>AH67-Table2[[#This Row],[2F5 Main Gate-1 Piller -1]]</f>
        <v>#VALUE!</v>
      </c>
      <c r="EO66" t="e">
        <f>CW67-Table2[[#This Row],[6F2 Ground Floor AC]]</f>
        <v>#VALUE!</v>
      </c>
      <c r="EP66" t="e">
        <f>CX67-Table2[[#This Row],[6F3 ACBD -1 (First floor AC)]]</f>
        <v>#VALUE!</v>
      </c>
      <c r="EQ66" t="e">
        <f>CY67-Table2[[#This Row],[6F4 ACBD - 2 (Second &amp; Third floor AC)]]</f>
        <v>#VALUE!</v>
      </c>
      <c r="ER66" t="e">
        <f>(BC67-Table2[[#This Row],[4F Old BMC cooling Unit]])</f>
        <v>#VALUE!</v>
      </c>
      <c r="ES66" t="e">
        <f>BO67-Table2[[#This Row],[2F4 - Old BMC]]</f>
        <v>#VALUE!</v>
      </c>
      <c r="ET66" t="e">
        <f>Y67-Table2[[#This Row],[14F2 New CK]]</f>
        <v>#VALUE!</v>
      </c>
      <c r="EU66" t="e">
        <f>(CL67-Table2[[#This Row],[OLD Ck Panel-1]])*1000</f>
        <v>#VALUE!</v>
      </c>
      <c r="EV66" t="e">
        <f>CM67-Table2[[#This Row],[2F4 Old CK Blast (Blue star)]]</f>
        <v>#VALUE!</v>
      </c>
      <c r="EW66" t="e">
        <f>CN67-Table2[[#This Row],[3F6 Old CK Blast (Carrier)]]</f>
        <v>#VALUE!</v>
      </c>
      <c r="EX66" t="e">
        <f>(CO67-Table2[[#This Row],[Old CK Panel -2]])*1000</f>
        <v>#VALUE!</v>
      </c>
      <c r="EY66" t="e">
        <f>N67-Table2[[#This Row],[4F1 Main UPS 1/C -1]]</f>
        <v>#VALUE!</v>
      </c>
      <c r="EZ66" t="e">
        <f>Z67-Table2[[#This Row],[15F1 Main UPS Panel - I/C - 2]]</f>
        <v>#VALUE!</v>
      </c>
      <c r="FA66" t="e">
        <f>BF67-Table2[[#This Row],[2F CLC -1 AC unit - 2]]</f>
        <v>#VALUE!</v>
      </c>
      <c r="FB66" t="e">
        <f>(BG67-Table2[[#This Row],[2F CLC Anti room]])*1000</f>
        <v>#VALUE!</v>
      </c>
      <c r="FC66" t="e">
        <f>BW67-Table2[[#This Row],[7F3 CLC Power Panel]]</f>
        <v>#VALUE!</v>
      </c>
      <c r="FD66" t="e">
        <f>(CI67-Table2[[#This Row],[PDB - 17 CLC Section ]])*1000</f>
        <v>#VALUE!</v>
      </c>
      <c r="FE66" t="e">
        <f>(W67-Table2[[#This Row],[13F3 Water &amp; Lift Old CK]])*1000</f>
        <v>#VALUE!</v>
      </c>
      <c r="FF66" t="e">
        <f>AA67-Table2[[#This Row],[15F2 New ETP Panel]]</f>
        <v>#VALUE!</v>
      </c>
      <c r="FG66" t="e">
        <f>AL67-Table2[[#This Row],[3F4 Old ETP Panel]]</f>
        <v>#VALUE!</v>
      </c>
      <c r="FH66" t="e">
        <f>AF67-Table2[[#This Row],[2F1 RO Plant]]</f>
        <v>#VALUE!</v>
      </c>
      <c r="FI66" t="e">
        <f>AK67-Table2[[#This Row],[3F3 Fire Hydrant Panel]]</f>
        <v>#VALUE!</v>
      </c>
      <c r="FJ66" t="e">
        <f>R67-Table2[[#This Row],[7F1 Freon System Panel]]</f>
        <v>#VALUE!</v>
      </c>
      <c r="FK66" t="e">
        <f>(AE67-Table2[[#This Row],[21F1 Refrigeration Ammonia]])*1000</f>
        <v>#VALUE!</v>
      </c>
      <c r="FL66" t="e">
        <f>(AG67-Table2[[#This Row],[2F3 Air Compressor]])*1000</f>
        <v>#VALUE!</v>
      </c>
      <c r="FM66" t="e">
        <f>(AX67-Table2[[#This Row],[Solar Reading Panel II]])*1000</f>
        <v>#VALUE!</v>
      </c>
      <c r="FN66" t="e">
        <f>AI67-Table2[[#This Row],[3F1 Maintenance Workshop]]</f>
        <v>#VALUE!</v>
      </c>
      <c r="FO66" t="e">
        <f>BD67-Table2[[#This Row],[4F B2B unit ]]</f>
        <v>#VALUE!</v>
      </c>
      <c r="FP66" t="e">
        <f>BL67-Table2[[#This Row],[2F1 - PDB 6 - Bread, B2B section]]</f>
        <v>#VALUE!</v>
      </c>
      <c r="FQ66" s="1" t="e">
        <f>(CG67-Table2[[#This Row],[9F5 - PDB 14 - Bread Lift]])</f>
        <v>#VALUE!</v>
      </c>
      <c r="FR66" t="e">
        <f>CJ67-Table2[[#This Row],[PDB - 16 Bread Section]]</f>
        <v>#VALUE!</v>
      </c>
      <c r="FS66" t="e">
        <f>BU67-Table2[[#This Row],[7F1 Donut Production area]]</f>
        <v>#VALUE!</v>
      </c>
      <c r="FT66" t="e">
        <f>CB67-Table2[[#This Row],[8F5 Donut Ban Bary]]</f>
        <v>#VALUE!</v>
      </c>
      <c r="FU66" t="e">
        <f>CF67-Table2[[#This Row],[9F4 - PDB 13 - Donut Sink Geyser area]]</f>
        <v>#VALUE!</v>
      </c>
      <c r="FV66" t="e">
        <f>BV67-Table2[[#This Row],[7F2 Flour Silo]]</f>
        <v>#VALUE!</v>
      </c>
      <c r="FW66" t="e">
        <f>BY67-Table2[[#This Row],[8F2 ACPDB - 3 SILO Ventilation]]</f>
        <v>#VALUE!</v>
      </c>
      <c r="FX66" t="e">
        <f>J67-Table2[[#This Row],[DG 1010KVA Running Hours]]</f>
        <v>#VALUE!</v>
      </c>
      <c r="FY66" t="e">
        <f>K67-Table2[[#This Row],[DG 1010 KVA Meter Reading]]</f>
        <v>#VALUE!</v>
      </c>
      <c r="FZ66" t="e">
        <f>L67-Table2[[#This Row],[GG 1010 KVA Running Hours]]</f>
        <v>#VALUE!</v>
      </c>
      <c r="GA66" t="e">
        <f>M67-Table2[[#This Row],[GG 1010 KVA Meter Reading]]</f>
        <v>#VALUE!</v>
      </c>
    </row>
    <row r="67" spans="113:183" x14ac:dyDescent="0.35">
      <c r="DI67" t="e">
        <f>(DD68-Table2[[#This Row],[MWH Total]])*4000</f>
        <v>#VALUE!</v>
      </c>
      <c r="DJ67" t="e">
        <f>(DA68-Table2[[#This Row],[PNG Meter (Outside)]])*2.936</f>
        <v>#VALUE!</v>
      </c>
      <c r="DK67" t="e">
        <f>(DB68-Table2[[#This Row],[PNG Meter (Inside)]])*2.936</f>
        <v>#VALUE!</v>
      </c>
      <c r="DL67" t="e">
        <f>(BH68-Table2[[#This Row],[3F Dough cooler - 2 ]])*1000</f>
        <v>#VALUE!</v>
      </c>
      <c r="DM67" t="e">
        <f>(BI68-Table2[[#This Row],[3F Dough Cooler- 1]])*1000</f>
        <v>#VALUE!</v>
      </c>
      <c r="DN67" t="e">
        <f>(BJ68-Table2[[#This Row],[4F Dough Production cooling Unit]])*1000</f>
        <v>#VALUE!</v>
      </c>
      <c r="DO67" t="e">
        <f>(BQ68-Table2[[#This Row],[3F2 - PDB 3 - Dough Production Area]])*1000</f>
        <v>#VALUE!</v>
      </c>
      <c r="DP67" t="e">
        <f>(BR68-Table2[[#This Row],[3F3 - PDB 4 - Dough Area]])*1000</f>
        <v>#VALUE!</v>
      </c>
      <c r="DQ67" t="e">
        <f>AC68-Table2[[#This Row],[16F1 Tray washer Panel for Light]]</f>
        <v>#VALUE!</v>
      </c>
      <c r="DR67" t="e">
        <f>CQ68-Table2[[#This Row],[2F1 Tray Washer - 1]]</f>
        <v>#VALUE!</v>
      </c>
      <c r="DS67" t="e">
        <f>CS68-Table2[[#This Row],[2F5 Destacker]]</f>
        <v>#VALUE!</v>
      </c>
      <c r="DT67" t="e">
        <f>CU68-Table2[[#This Row],[5F1 Metering (TW-2)]]</f>
        <v>#VALUE!</v>
      </c>
      <c r="DU67" t="e">
        <f>CV68-Table2[[#This Row],[6F1 Pre soaker Tray washer]]</f>
        <v>#VALUE!</v>
      </c>
      <c r="DV67" t="e">
        <f>CZ68-Table2[[#This Row],[6F5 Vent tray Storage]]</f>
        <v>#VALUE!</v>
      </c>
      <c r="DW67" t="e">
        <f>I68-Table2[[#This Row],[Popeyes Meter ]]</f>
        <v>#VALUE!</v>
      </c>
      <c r="DX67" t="e">
        <f>AZ68-Table2[[#This Row],[2F WH Chiller, Segregation Area]]</f>
        <v>#VALUE!</v>
      </c>
      <c r="DY67" s="1" t="e">
        <f>BA68-Table2[[#This Row],[3F1 AC Unit WH dock cooling - 2 Nos]]</f>
        <v>#VALUE!</v>
      </c>
      <c r="DZ67" t="e">
        <f>BB68-Table2[[#This Row],[3F2 AC Unit WH dock cooling - 3 Nos]]</f>
        <v>#VALUE!</v>
      </c>
      <c r="EA67" t="e">
        <f>(BK68-Table2[[#This Row],[5F WH Perishable]])*1000</f>
        <v>#VALUE!</v>
      </c>
      <c r="EB67" t="e">
        <f>BN68-Table2[[#This Row],[2F3 - PDB 9 - WH Dock Leveler Door ]]</f>
        <v>#VALUE!</v>
      </c>
      <c r="EC67" t="e">
        <f>BP68-Table2[[#This Row],[3F1 - PDB 5 - WH HSD]]</f>
        <v>#VALUE!</v>
      </c>
      <c r="ED67" t="e">
        <f>BX68-Table2[[#This Row],[8F1 WH Dock AHU - Ventilation]]</f>
        <v>#VALUE!</v>
      </c>
      <c r="EE67" t="e">
        <f>BZ68-Table2[[#This Row],[8F3 ACPDB - 4 WH Dock air curtain]]</f>
        <v>#VALUE!</v>
      </c>
      <c r="EF67" t="e">
        <f>CA68-Table2[[#This Row],[8F4 WH Light]]</f>
        <v>#VALUE!</v>
      </c>
      <c r="EG67" t="e">
        <f>CC68-Table2[[#This Row],[9F1 - PDB 10 - WH Dock door &amp; Office]]</f>
        <v>#VALUE!</v>
      </c>
      <c r="EH67" t="e">
        <f>CD68-Table2[[#This Row],[9F2 - PDB 11 - WH flycatchers]]</f>
        <v>#VALUE!</v>
      </c>
      <c r="EI67" t="e">
        <f>CE68-Table2[[#This Row],[9F3 - PDB 12 - Other items]]</f>
        <v>#VALUE!</v>
      </c>
      <c r="EJ67" t="e">
        <f>CR68-Table2[[#This Row],[2F3 - PDB 1 - Dock 1 to 4 ]]</f>
        <v>#VALUE!</v>
      </c>
      <c r="EK67" t="e">
        <f>BM68-Table2[[#This Row],[2F2 - PDB 3 - WH Truck &amp; Battery Charging]]</f>
        <v>#VALUE!</v>
      </c>
      <c r="EL67" t="e">
        <f>(CK68-Table2[[#This Row],[PDB - 11 Truck Charging]])*1000</f>
        <v>#VALUE!</v>
      </c>
      <c r="EM67" t="e">
        <f>P68-Table2[[#This Row],[5F3 Admin Area]]</f>
        <v>#VALUE!</v>
      </c>
      <c r="EN67" t="e">
        <f>AH68-Table2[[#This Row],[2F5 Main Gate-1 Piller -1]]</f>
        <v>#VALUE!</v>
      </c>
      <c r="EO67" t="e">
        <f>CW68-Table2[[#This Row],[6F2 Ground Floor AC]]</f>
        <v>#VALUE!</v>
      </c>
      <c r="EP67" t="e">
        <f>CX68-Table2[[#This Row],[6F3 ACBD -1 (First floor AC)]]</f>
        <v>#VALUE!</v>
      </c>
      <c r="EQ67" t="e">
        <f>CY68-Table2[[#This Row],[6F4 ACBD - 2 (Second &amp; Third floor AC)]]</f>
        <v>#VALUE!</v>
      </c>
      <c r="ER67" t="e">
        <f>(BC68-Table2[[#This Row],[4F Old BMC cooling Unit]])</f>
        <v>#VALUE!</v>
      </c>
      <c r="ES67" t="e">
        <f>BO68-Table2[[#This Row],[2F4 - Old BMC]]</f>
        <v>#VALUE!</v>
      </c>
      <c r="ET67" t="e">
        <f>Y68-Table2[[#This Row],[14F2 New CK]]</f>
        <v>#VALUE!</v>
      </c>
      <c r="EU67" t="e">
        <f>(CL68-Table2[[#This Row],[OLD Ck Panel-1]])*1000</f>
        <v>#VALUE!</v>
      </c>
      <c r="EV67" t="e">
        <f>CM68-Table2[[#This Row],[2F4 Old CK Blast (Blue star)]]</f>
        <v>#VALUE!</v>
      </c>
      <c r="EW67" t="e">
        <f>CN68-Table2[[#This Row],[3F6 Old CK Blast (Carrier)]]</f>
        <v>#VALUE!</v>
      </c>
      <c r="EX67" t="e">
        <f>(CO68-Table2[[#This Row],[Old CK Panel -2]])*1000</f>
        <v>#VALUE!</v>
      </c>
      <c r="EY67" t="e">
        <f>N68-Table2[[#This Row],[4F1 Main UPS 1/C -1]]</f>
        <v>#VALUE!</v>
      </c>
      <c r="EZ67" t="e">
        <f>Z68-Table2[[#This Row],[15F1 Main UPS Panel - I/C - 2]]</f>
        <v>#VALUE!</v>
      </c>
      <c r="FA67" t="e">
        <f>BF68-Table2[[#This Row],[2F CLC -1 AC unit - 2]]</f>
        <v>#VALUE!</v>
      </c>
      <c r="FB67" t="e">
        <f>(BG68-Table2[[#This Row],[2F CLC Anti room]])*1000</f>
        <v>#VALUE!</v>
      </c>
      <c r="FC67" t="e">
        <f>BW68-Table2[[#This Row],[7F3 CLC Power Panel]]</f>
        <v>#VALUE!</v>
      </c>
      <c r="FD67" t="e">
        <f>(CI68-Table2[[#This Row],[PDB - 17 CLC Section ]])*1000</f>
        <v>#VALUE!</v>
      </c>
      <c r="FE67" t="e">
        <f>(W68-Table2[[#This Row],[13F3 Water &amp; Lift Old CK]])*1000</f>
        <v>#VALUE!</v>
      </c>
      <c r="FF67" t="e">
        <f>AA68-Table2[[#This Row],[15F2 New ETP Panel]]</f>
        <v>#VALUE!</v>
      </c>
      <c r="FG67" t="e">
        <f>AL68-Table2[[#This Row],[3F4 Old ETP Panel]]</f>
        <v>#VALUE!</v>
      </c>
      <c r="FH67" t="e">
        <f>AF68-Table2[[#This Row],[2F1 RO Plant]]</f>
        <v>#VALUE!</v>
      </c>
      <c r="FI67" t="e">
        <f>AK68-Table2[[#This Row],[3F3 Fire Hydrant Panel]]</f>
        <v>#VALUE!</v>
      </c>
      <c r="FJ67" t="e">
        <f>R68-Table2[[#This Row],[7F1 Freon System Panel]]</f>
        <v>#VALUE!</v>
      </c>
      <c r="FK67" t="e">
        <f>(AE68-Table2[[#This Row],[21F1 Refrigeration Ammonia]])*1000</f>
        <v>#VALUE!</v>
      </c>
      <c r="FL67" t="e">
        <f>(AG68-Table2[[#This Row],[2F3 Air Compressor]])*1000</f>
        <v>#VALUE!</v>
      </c>
      <c r="FM67" t="e">
        <f>(AX68-Table2[[#This Row],[Solar Reading Panel II]])*1000</f>
        <v>#VALUE!</v>
      </c>
      <c r="FN67" t="e">
        <f>AI68-Table2[[#This Row],[3F1 Maintenance Workshop]]</f>
        <v>#VALUE!</v>
      </c>
      <c r="FO67" t="e">
        <f>BD68-Table2[[#This Row],[4F B2B unit ]]</f>
        <v>#VALUE!</v>
      </c>
      <c r="FP67" t="e">
        <f>BL68-Table2[[#This Row],[2F1 - PDB 6 - Bread, B2B section]]</f>
        <v>#VALUE!</v>
      </c>
      <c r="FQ67" s="1" t="e">
        <f>(CG68-Table2[[#This Row],[9F5 - PDB 14 - Bread Lift]])</f>
        <v>#VALUE!</v>
      </c>
      <c r="FR67" t="e">
        <f>CJ68-Table2[[#This Row],[PDB - 16 Bread Section]]</f>
        <v>#VALUE!</v>
      </c>
      <c r="FS67" t="e">
        <f>BU68-Table2[[#This Row],[7F1 Donut Production area]]</f>
        <v>#VALUE!</v>
      </c>
      <c r="FT67" t="e">
        <f>CB68-Table2[[#This Row],[8F5 Donut Ban Bary]]</f>
        <v>#VALUE!</v>
      </c>
      <c r="FU67" t="e">
        <f>CF68-Table2[[#This Row],[9F4 - PDB 13 - Donut Sink Geyser area]]</f>
        <v>#VALUE!</v>
      </c>
      <c r="FV67" t="e">
        <f>BV68-Table2[[#This Row],[7F2 Flour Silo]]</f>
        <v>#VALUE!</v>
      </c>
      <c r="FW67" t="e">
        <f>BY68-Table2[[#This Row],[8F2 ACPDB - 3 SILO Ventilation]]</f>
        <v>#VALUE!</v>
      </c>
      <c r="FX67" t="e">
        <f>J68-Table2[[#This Row],[DG 1010KVA Running Hours]]</f>
        <v>#VALUE!</v>
      </c>
      <c r="FY67" t="e">
        <f>K68-Table2[[#This Row],[DG 1010 KVA Meter Reading]]</f>
        <v>#VALUE!</v>
      </c>
      <c r="FZ67" t="e">
        <f>L68-Table2[[#This Row],[GG 1010 KVA Running Hours]]</f>
        <v>#VALUE!</v>
      </c>
      <c r="GA67" t="e">
        <f>M68-Table2[[#This Row],[GG 1010 KVA Meter Reading]]</f>
        <v>#VALUE!</v>
      </c>
    </row>
    <row r="68" spans="113:183" x14ac:dyDescent="0.35">
      <c r="DI68" t="e">
        <f>(DD69-Table2[[#This Row],[MWH Total]])*4000</f>
        <v>#VALUE!</v>
      </c>
      <c r="DJ68" t="e">
        <f>(DA69-Table2[[#This Row],[PNG Meter (Outside)]])*2.936</f>
        <v>#VALUE!</v>
      </c>
      <c r="DK68" t="e">
        <f>(DB69-Table2[[#This Row],[PNG Meter (Inside)]])*2.936</f>
        <v>#VALUE!</v>
      </c>
      <c r="DL68" t="e">
        <f>(BH69-Table2[[#This Row],[3F Dough cooler - 2 ]])*1000</f>
        <v>#VALUE!</v>
      </c>
      <c r="DM68" t="e">
        <f>(BI69-Table2[[#This Row],[3F Dough Cooler- 1]])*1000</f>
        <v>#VALUE!</v>
      </c>
      <c r="DN68" t="e">
        <f>(BJ69-Table2[[#This Row],[4F Dough Production cooling Unit]])*1000</f>
        <v>#VALUE!</v>
      </c>
      <c r="DO68" t="e">
        <f>(BQ69-Table2[[#This Row],[3F2 - PDB 3 - Dough Production Area]])*1000</f>
        <v>#VALUE!</v>
      </c>
      <c r="DP68" t="e">
        <f>(BR69-Table2[[#This Row],[3F3 - PDB 4 - Dough Area]])*1000</f>
        <v>#VALUE!</v>
      </c>
      <c r="DQ68" t="e">
        <f>AC69-Table2[[#This Row],[16F1 Tray washer Panel for Light]]</f>
        <v>#VALUE!</v>
      </c>
      <c r="DR68" t="e">
        <f>CQ69-Table2[[#This Row],[2F1 Tray Washer - 1]]</f>
        <v>#VALUE!</v>
      </c>
      <c r="DS68" t="e">
        <f>CS69-Table2[[#This Row],[2F5 Destacker]]</f>
        <v>#VALUE!</v>
      </c>
      <c r="DT68" t="e">
        <f>CU69-Table2[[#This Row],[5F1 Metering (TW-2)]]</f>
        <v>#VALUE!</v>
      </c>
      <c r="DU68" t="e">
        <f>CV69-Table2[[#This Row],[6F1 Pre soaker Tray washer]]</f>
        <v>#VALUE!</v>
      </c>
      <c r="DV68" t="e">
        <f>CZ69-Table2[[#This Row],[6F5 Vent tray Storage]]</f>
        <v>#VALUE!</v>
      </c>
      <c r="DW68" t="e">
        <f>I69-Table2[[#This Row],[Popeyes Meter ]]</f>
        <v>#VALUE!</v>
      </c>
      <c r="DX68" t="e">
        <f>AZ69-Table2[[#This Row],[2F WH Chiller, Segregation Area]]</f>
        <v>#VALUE!</v>
      </c>
      <c r="DY68" s="1" t="e">
        <f>BA69-Table2[[#This Row],[3F1 AC Unit WH dock cooling - 2 Nos]]</f>
        <v>#VALUE!</v>
      </c>
      <c r="DZ68" t="e">
        <f>BB69-Table2[[#This Row],[3F2 AC Unit WH dock cooling - 3 Nos]]</f>
        <v>#VALUE!</v>
      </c>
      <c r="EA68" t="e">
        <f>(BK69-Table2[[#This Row],[5F WH Perishable]])*1000</f>
        <v>#VALUE!</v>
      </c>
      <c r="EB68" t="e">
        <f>BN69-Table2[[#This Row],[2F3 - PDB 9 - WH Dock Leveler Door ]]</f>
        <v>#VALUE!</v>
      </c>
      <c r="EC68" t="e">
        <f>BP69-Table2[[#This Row],[3F1 - PDB 5 - WH HSD]]</f>
        <v>#VALUE!</v>
      </c>
      <c r="ED68" t="e">
        <f>BX69-Table2[[#This Row],[8F1 WH Dock AHU - Ventilation]]</f>
        <v>#VALUE!</v>
      </c>
      <c r="EE68" t="e">
        <f>BZ69-Table2[[#This Row],[8F3 ACPDB - 4 WH Dock air curtain]]</f>
        <v>#VALUE!</v>
      </c>
      <c r="EF68" t="e">
        <f>CA69-Table2[[#This Row],[8F4 WH Light]]</f>
        <v>#VALUE!</v>
      </c>
      <c r="EG68" t="e">
        <f>CC69-Table2[[#This Row],[9F1 - PDB 10 - WH Dock door &amp; Office]]</f>
        <v>#VALUE!</v>
      </c>
      <c r="EH68" t="e">
        <f>CD69-Table2[[#This Row],[9F2 - PDB 11 - WH flycatchers]]</f>
        <v>#VALUE!</v>
      </c>
      <c r="EI68" t="e">
        <f>CE69-Table2[[#This Row],[9F3 - PDB 12 - Other items]]</f>
        <v>#VALUE!</v>
      </c>
      <c r="EJ68" t="e">
        <f>CR69-Table2[[#This Row],[2F3 - PDB 1 - Dock 1 to 4 ]]</f>
        <v>#VALUE!</v>
      </c>
      <c r="EK68" t="e">
        <f>BM69-Table2[[#This Row],[2F2 - PDB 3 - WH Truck &amp; Battery Charging]]</f>
        <v>#VALUE!</v>
      </c>
      <c r="EL68" t="e">
        <f>(CK69-Table2[[#This Row],[PDB - 11 Truck Charging]])*1000</f>
        <v>#VALUE!</v>
      </c>
      <c r="EM68" t="e">
        <f>P69-Table2[[#This Row],[5F3 Admin Area]]</f>
        <v>#VALUE!</v>
      </c>
      <c r="EN68" t="e">
        <f>AH69-Table2[[#This Row],[2F5 Main Gate-1 Piller -1]]</f>
        <v>#VALUE!</v>
      </c>
      <c r="EO68" t="e">
        <f>CW69-Table2[[#This Row],[6F2 Ground Floor AC]]</f>
        <v>#VALUE!</v>
      </c>
      <c r="EP68" t="e">
        <f>CX69-Table2[[#This Row],[6F3 ACBD -1 (First floor AC)]]</f>
        <v>#VALUE!</v>
      </c>
      <c r="EQ68" t="e">
        <f>CY69-Table2[[#This Row],[6F4 ACBD - 2 (Second &amp; Third floor AC)]]</f>
        <v>#VALUE!</v>
      </c>
      <c r="ER68" t="e">
        <f>(BC69-Table2[[#This Row],[4F Old BMC cooling Unit]])</f>
        <v>#VALUE!</v>
      </c>
      <c r="ES68" t="e">
        <f>BO69-Table2[[#This Row],[2F4 - Old BMC]]</f>
        <v>#VALUE!</v>
      </c>
      <c r="ET68" t="e">
        <f>Y69-Table2[[#This Row],[14F2 New CK]]</f>
        <v>#VALUE!</v>
      </c>
      <c r="EU68" t="e">
        <f>(CL69-Table2[[#This Row],[OLD Ck Panel-1]])*1000</f>
        <v>#VALUE!</v>
      </c>
      <c r="EV68" t="e">
        <f>CM69-Table2[[#This Row],[2F4 Old CK Blast (Blue star)]]</f>
        <v>#VALUE!</v>
      </c>
      <c r="EW68" t="e">
        <f>CN69-Table2[[#This Row],[3F6 Old CK Blast (Carrier)]]</f>
        <v>#VALUE!</v>
      </c>
      <c r="EX68" t="e">
        <f>(CO69-Table2[[#This Row],[Old CK Panel -2]])*1000</f>
        <v>#VALUE!</v>
      </c>
      <c r="EY68" t="e">
        <f>N69-Table2[[#This Row],[4F1 Main UPS 1/C -1]]</f>
        <v>#VALUE!</v>
      </c>
      <c r="EZ68" t="e">
        <f>Z69-Table2[[#This Row],[15F1 Main UPS Panel - I/C - 2]]</f>
        <v>#VALUE!</v>
      </c>
      <c r="FA68" t="e">
        <f>BF69-Table2[[#This Row],[2F CLC -1 AC unit - 2]]</f>
        <v>#VALUE!</v>
      </c>
      <c r="FB68" t="e">
        <f>(BG69-Table2[[#This Row],[2F CLC Anti room]])*1000</f>
        <v>#VALUE!</v>
      </c>
      <c r="FC68" t="e">
        <f>BW69-Table2[[#This Row],[7F3 CLC Power Panel]]</f>
        <v>#VALUE!</v>
      </c>
      <c r="FD68" t="e">
        <f>(CI69-Table2[[#This Row],[PDB - 17 CLC Section ]])*1000</f>
        <v>#VALUE!</v>
      </c>
      <c r="FE68" t="e">
        <f>(W69-Table2[[#This Row],[13F3 Water &amp; Lift Old CK]])*1000</f>
        <v>#VALUE!</v>
      </c>
      <c r="FF68" t="e">
        <f>AA69-Table2[[#This Row],[15F2 New ETP Panel]]</f>
        <v>#VALUE!</v>
      </c>
      <c r="FG68" t="e">
        <f>AL69-Table2[[#This Row],[3F4 Old ETP Panel]]</f>
        <v>#VALUE!</v>
      </c>
      <c r="FH68" t="e">
        <f>AF69-Table2[[#This Row],[2F1 RO Plant]]</f>
        <v>#VALUE!</v>
      </c>
      <c r="FI68" t="e">
        <f>AK69-Table2[[#This Row],[3F3 Fire Hydrant Panel]]</f>
        <v>#VALUE!</v>
      </c>
      <c r="FJ68" t="e">
        <f>R69-Table2[[#This Row],[7F1 Freon System Panel]]</f>
        <v>#VALUE!</v>
      </c>
      <c r="FK68" t="e">
        <f>(AE69-Table2[[#This Row],[21F1 Refrigeration Ammonia]])*1000</f>
        <v>#VALUE!</v>
      </c>
      <c r="FL68" t="e">
        <f>(AG69-Table2[[#This Row],[2F3 Air Compressor]])*1000</f>
        <v>#VALUE!</v>
      </c>
      <c r="FM68" t="e">
        <f>(AX69-Table2[[#This Row],[Solar Reading Panel II]])*1000</f>
        <v>#VALUE!</v>
      </c>
      <c r="FN68" t="e">
        <f>AI69-Table2[[#This Row],[3F1 Maintenance Workshop]]</f>
        <v>#VALUE!</v>
      </c>
      <c r="FO68" t="e">
        <f>BD69-Table2[[#This Row],[4F B2B unit ]]</f>
        <v>#VALUE!</v>
      </c>
      <c r="FP68" t="e">
        <f>BL69-Table2[[#This Row],[2F1 - PDB 6 - Bread, B2B section]]</f>
        <v>#VALUE!</v>
      </c>
      <c r="FQ68" s="1" t="e">
        <f>(CG69-Table2[[#This Row],[9F5 - PDB 14 - Bread Lift]])</f>
        <v>#VALUE!</v>
      </c>
      <c r="FR68" t="e">
        <f>CJ69-Table2[[#This Row],[PDB - 16 Bread Section]]</f>
        <v>#VALUE!</v>
      </c>
      <c r="FS68" t="e">
        <f>BU69-Table2[[#This Row],[7F1 Donut Production area]]</f>
        <v>#VALUE!</v>
      </c>
      <c r="FT68" t="e">
        <f>CB69-Table2[[#This Row],[8F5 Donut Ban Bary]]</f>
        <v>#VALUE!</v>
      </c>
      <c r="FU68" t="e">
        <f>CF69-Table2[[#This Row],[9F4 - PDB 13 - Donut Sink Geyser area]]</f>
        <v>#VALUE!</v>
      </c>
      <c r="FV68" t="e">
        <f>BV69-Table2[[#This Row],[7F2 Flour Silo]]</f>
        <v>#VALUE!</v>
      </c>
      <c r="FW68" t="e">
        <f>BY69-Table2[[#This Row],[8F2 ACPDB - 3 SILO Ventilation]]</f>
        <v>#VALUE!</v>
      </c>
      <c r="FX68" t="e">
        <f>J69-Table2[[#This Row],[DG 1010KVA Running Hours]]</f>
        <v>#VALUE!</v>
      </c>
      <c r="FY68" t="e">
        <f>K69-Table2[[#This Row],[DG 1010 KVA Meter Reading]]</f>
        <v>#VALUE!</v>
      </c>
      <c r="FZ68" t="e">
        <f>L69-Table2[[#This Row],[GG 1010 KVA Running Hours]]</f>
        <v>#VALUE!</v>
      </c>
      <c r="GA68" t="e">
        <f>M69-Table2[[#This Row],[GG 1010 KVA Meter Reading]]</f>
        <v>#VALUE!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62" activePane="bottomLeft" state="frozen"/>
      <selection pane="bottomLeft" activeCell="L72" sqref="L72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-219227.1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-306884.39999999997</v>
      </c>
      <c r="S8" s="43">
        <f t="shared" si="0"/>
        <v>-702622.9</v>
      </c>
      <c r="T8" s="43">
        <f t="shared" si="0"/>
        <v>-1418815</v>
      </c>
      <c r="U8" s="43">
        <f t="shared" si="0"/>
        <v>-924323.89999999991</v>
      </c>
      <c r="V8" s="43">
        <f t="shared" si="0"/>
        <v>-526111.5</v>
      </c>
      <c r="W8" s="43">
        <f t="shared" si="0"/>
        <v>-745656.90000000014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501.30000000004657</v>
      </c>
      <c r="M47" s="46">
        <f t="shared" si="6"/>
        <v>414.59999999997672</v>
      </c>
      <c r="N47" s="46">
        <f t="shared" si="6"/>
        <v>355</v>
      </c>
      <c r="O47" s="46">
        <f t="shared" si="6"/>
        <v>370.39999999996508</v>
      </c>
      <c r="P47" s="46">
        <f t="shared" si="6"/>
        <v>231.89999999999418</v>
      </c>
      <c r="Q47" s="46">
        <f t="shared" si="6"/>
        <v>566.69999999995343</v>
      </c>
      <c r="R47" s="46">
        <f t="shared" si="6"/>
        <v>399.79999999998836</v>
      </c>
      <c r="S47" s="46">
        <f t="shared" si="6"/>
        <v>955.90000000002328</v>
      </c>
      <c r="T47" s="46">
        <f t="shared" si="6"/>
        <v>1870</v>
      </c>
      <c r="U47" s="47">
        <f t="shared" si="7"/>
        <v>1068</v>
      </c>
      <c r="V47" s="47">
        <f t="shared" si="7"/>
        <v>814.39999999996508</v>
      </c>
      <c r="W47" s="47">
        <f t="shared" si="7"/>
        <v>1310.9000000000233</v>
      </c>
      <c r="X47" s="47">
        <f t="shared" si="5"/>
        <v>2472.2999999999593</v>
      </c>
    </row>
    <row r="48" spans="1:24" ht="20" customHeight="1" x14ac:dyDescent="0.35">
      <c r="A48" s="29" t="s">
        <v>274</v>
      </c>
      <c r="B48" s="30">
        <v>418011.9</v>
      </c>
      <c r="C48" s="29">
        <v>222191.3</v>
      </c>
      <c r="D48" s="31">
        <v>54019.1</v>
      </c>
      <c r="E48" s="31">
        <v>376907.6</v>
      </c>
      <c r="F48" s="31">
        <v>252696.9</v>
      </c>
      <c r="G48" s="31">
        <v>538011.69999999995</v>
      </c>
      <c r="H48" s="29">
        <v>310418.7</v>
      </c>
      <c r="I48" s="31">
        <v>739427.6</v>
      </c>
      <c r="J48" s="34">
        <v>1474759</v>
      </c>
      <c r="L48" s="46">
        <f t="shared" si="6"/>
        <v>481.09999999997672</v>
      </c>
      <c r="M48" s="46">
        <f t="shared" si="6"/>
        <v>0</v>
      </c>
      <c r="N48" s="46">
        <f t="shared" si="6"/>
        <v>333.09999999999854</v>
      </c>
      <c r="O48" s="46">
        <f t="shared" si="6"/>
        <v>377</v>
      </c>
      <c r="P48" s="46">
        <f t="shared" si="6"/>
        <v>232.70000000001164</v>
      </c>
      <c r="Q48" s="46">
        <f t="shared" si="6"/>
        <v>466.30000000004657</v>
      </c>
      <c r="R48" s="46">
        <f t="shared" si="6"/>
        <v>0</v>
      </c>
      <c r="S48" s="46">
        <f t="shared" si="6"/>
        <v>793.70000000006985</v>
      </c>
      <c r="T48" s="46">
        <f t="shared" si="6"/>
        <v>1835</v>
      </c>
      <c r="U48" s="47">
        <f t="shared" si="7"/>
        <v>947.40000000002328</v>
      </c>
      <c r="V48" s="47">
        <f t="shared" si="7"/>
        <v>0</v>
      </c>
      <c r="W48" s="47">
        <f t="shared" si="7"/>
        <v>1126.8000000000684</v>
      </c>
      <c r="X48" s="47">
        <f t="shared" si="5"/>
        <v>2444.7000000000116</v>
      </c>
    </row>
    <row r="49" spans="1:24" ht="20" customHeight="1" x14ac:dyDescent="0.35">
      <c r="A49" s="29" t="s">
        <v>275</v>
      </c>
      <c r="B49" s="30">
        <v>418493</v>
      </c>
      <c r="C49" s="29" t="s">
        <v>237</v>
      </c>
      <c r="D49" s="31">
        <v>54352.2</v>
      </c>
      <c r="E49" s="31">
        <v>377284.6</v>
      </c>
      <c r="F49" s="31">
        <v>252929.6</v>
      </c>
      <c r="G49" s="31">
        <v>538478</v>
      </c>
      <c r="H49" s="29" t="s">
        <v>237</v>
      </c>
      <c r="I49" s="31">
        <v>740221.3</v>
      </c>
      <c r="J49" s="34">
        <v>1476594</v>
      </c>
      <c r="L49" s="46">
        <f t="shared" si="6"/>
        <v>496</v>
      </c>
      <c r="M49" s="46">
        <f t="shared" si="6"/>
        <v>0</v>
      </c>
      <c r="N49" s="46">
        <f t="shared" si="6"/>
        <v>361</v>
      </c>
      <c r="O49" s="46">
        <f t="shared" si="6"/>
        <v>376.30000000004657</v>
      </c>
      <c r="P49" s="46">
        <f t="shared" si="6"/>
        <v>232.60000000000582</v>
      </c>
      <c r="Q49" s="46">
        <f t="shared" si="6"/>
        <v>585.5</v>
      </c>
      <c r="R49" s="46">
        <f t="shared" si="6"/>
        <v>0</v>
      </c>
      <c r="S49" s="46">
        <f t="shared" si="6"/>
        <v>1256.8999999999069</v>
      </c>
      <c r="T49" s="46">
        <f t="shared" si="6"/>
        <v>1820</v>
      </c>
      <c r="U49" s="47">
        <f t="shared" si="7"/>
        <v>1081.5</v>
      </c>
      <c r="V49" s="47">
        <f t="shared" si="7"/>
        <v>0</v>
      </c>
      <c r="W49" s="47">
        <f t="shared" si="7"/>
        <v>1617.8999999999069</v>
      </c>
      <c r="X49" s="47">
        <f t="shared" si="5"/>
        <v>2428.9000000000524</v>
      </c>
    </row>
    <row r="50" spans="1:24" ht="20" customHeight="1" x14ac:dyDescent="0.35">
      <c r="A50" s="29" t="s">
        <v>276</v>
      </c>
      <c r="B50" s="30">
        <v>418989</v>
      </c>
      <c r="C50" s="29" t="s">
        <v>237</v>
      </c>
      <c r="D50" s="31">
        <v>54713.2</v>
      </c>
      <c r="E50" s="31">
        <v>377660.9</v>
      </c>
      <c r="F50" s="31">
        <v>253162.2</v>
      </c>
      <c r="G50" s="31">
        <v>539063.5</v>
      </c>
      <c r="H50" s="29" t="s">
        <v>237</v>
      </c>
      <c r="I50" s="31">
        <v>741478.2</v>
      </c>
      <c r="J50" s="34">
        <v>1478414</v>
      </c>
      <c r="L50" s="46">
        <f t="shared" si="6"/>
        <v>511.29999999998836</v>
      </c>
      <c r="M50" s="46">
        <f t="shared" si="6"/>
        <v>0</v>
      </c>
      <c r="N50" s="46">
        <f t="shared" si="6"/>
        <v>372.40000000000146</v>
      </c>
      <c r="O50" s="46">
        <f t="shared" si="6"/>
        <v>376.19999999995343</v>
      </c>
      <c r="P50" s="46">
        <f t="shared" si="6"/>
        <v>232.29999999998836</v>
      </c>
      <c r="Q50" s="46">
        <f t="shared" si="6"/>
        <v>618</v>
      </c>
      <c r="R50" s="46">
        <f t="shared" si="6"/>
        <v>0</v>
      </c>
      <c r="S50" s="46">
        <f t="shared" si="6"/>
        <v>1353.6000000000931</v>
      </c>
      <c r="T50" s="46">
        <f t="shared" si="6"/>
        <v>1677</v>
      </c>
      <c r="U50" s="47">
        <f t="shared" si="7"/>
        <v>1129.2999999999884</v>
      </c>
      <c r="V50" s="47">
        <f t="shared" si="7"/>
        <v>0</v>
      </c>
      <c r="W50" s="47">
        <f t="shared" si="7"/>
        <v>1726.0000000000946</v>
      </c>
      <c r="X50" s="47">
        <f t="shared" si="5"/>
        <v>2285.4999999999418</v>
      </c>
    </row>
    <row r="51" spans="1:24" ht="20" customHeight="1" x14ac:dyDescent="0.35">
      <c r="A51" s="29" t="s">
        <v>277</v>
      </c>
      <c r="B51" s="30">
        <v>419500.3</v>
      </c>
      <c r="C51" s="29" t="s">
        <v>237</v>
      </c>
      <c r="D51" s="31">
        <v>55085.599999999999</v>
      </c>
      <c r="E51" s="31">
        <v>378037.1</v>
      </c>
      <c r="F51" s="31">
        <v>253394.5</v>
      </c>
      <c r="G51" s="31">
        <v>539681.5</v>
      </c>
      <c r="H51" s="29" t="s">
        <v>237</v>
      </c>
      <c r="I51" s="31">
        <v>742831.8</v>
      </c>
      <c r="J51" s="34">
        <v>1480091</v>
      </c>
      <c r="L51" s="46">
        <f t="shared" si="6"/>
        <v>501.29999999998836</v>
      </c>
      <c r="M51" s="46">
        <f t="shared" si="6"/>
        <v>0</v>
      </c>
      <c r="N51" s="46">
        <f t="shared" si="6"/>
        <v>367</v>
      </c>
      <c r="O51" s="46">
        <f t="shared" si="6"/>
        <v>370.70000000001164</v>
      </c>
      <c r="P51" s="46">
        <f t="shared" si="6"/>
        <v>228.10000000000582</v>
      </c>
      <c r="Q51" s="46">
        <f t="shared" si="6"/>
        <v>565.59999999997672</v>
      </c>
      <c r="R51" s="46">
        <f t="shared" si="6"/>
        <v>0</v>
      </c>
      <c r="S51" s="46">
        <f t="shared" si="6"/>
        <v>1378.6999999999534</v>
      </c>
      <c r="T51" s="46">
        <f t="shared" si="6"/>
        <v>1417</v>
      </c>
      <c r="U51" s="47">
        <f t="shared" si="7"/>
        <v>1066.8999999999651</v>
      </c>
      <c r="V51" s="47">
        <f t="shared" si="7"/>
        <v>0</v>
      </c>
      <c r="W51" s="47">
        <f t="shared" si="7"/>
        <v>1745.6999999999534</v>
      </c>
      <c r="X51" s="47">
        <f t="shared" si="5"/>
        <v>2015.8000000000175</v>
      </c>
    </row>
    <row r="52" spans="1:24" ht="20" customHeight="1" x14ac:dyDescent="0.35">
      <c r="A52" s="29" t="s">
        <v>278</v>
      </c>
      <c r="B52" s="30">
        <v>420001.6</v>
      </c>
      <c r="C52" s="29" t="s">
        <v>237</v>
      </c>
      <c r="D52" s="31">
        <v>55452.6</v>
      </c>
      <c r="E52" s="31">
        <v>378407.8</v>
      </c>
      <c r="F52" s="31">
        <v>253622.6</v>
      </c>
      <c r="G52" s="31">
        <v>540247.1</v>
      </c>
      <c r="H52" s="29" t="s">
        <v>237</v>
      </c>
      <c r="I52" s="31">
        <v>744210.5</v>
      </c>
      <c r="J52" s="34">
        <v>1481508</v>
      </c>
      <c r="L52" s="46">
        <f t="shared" si="6"/>
        <v>513.40000000002328</v>
      </c>
      <c r="M52" s="46">
        <f t="shared" si="6"/>
        <v>0</v>
      </c>
      <c r="N52" s="46">
        <f t="shared" si="6"/>
        <v>365</v>
      </c>
      <c r="O52" s="46">
        <f t="shared" si="6"/>
        <v>375.70000000001164</v>
      </c>
      <c r="P52" s="46">
        <f t="shared" si="6"/>
        <v>231.19999999998254</v>
      </c>
      <c r="Q52" s="46">
        <f t="shared" si="6"/>
        <v>742.20000000006985</v>
      </c>
      <c r="R52" s="46">
        <f t="shared" si="6"/>
        <v>0</v>
      </c>
      <c r="S52" s="46">
        <f t="shared" si="6"/>
        <v>1320.8000000000466</v>
      </c>
      <c r="T52" s="46">
        <f t="shared" si="6"/>
        <v>1450</v>
      </c>
      <c r="U52" s="47">
        <f t="shared" si="7"/>
        <v>1255.6000000000931</v>
      </c>
      <c r="V52" s="47">
        <f t="shared" si="7"/>
        <v>0</v>
      </c>
      <c r="W52" s="47">
        <f t="shared" si="7"/>
        <v>1685.8000000000466</v>
      </c>
      <c r="X52" s="47">
        <f t="shared" si="5"/>
        <v>2056.8999999999942</v>
      </c>
    </row>
    <row r="53" spans="1:24" ht="20" customHeight="1" x14ac:dyDescent="0.35">
      <c r="A53" s="29" t="s">
        <v>284</v>
      </c>
      <c r="B53" s="30">
        <v>420515</v>
      </c>
      <c r="C53" s="29" t="s">
        <v>237</v>
      </c>
      <c r="D53" s="31">
        <v>55817.599999999999</v>
      </c>
      <c r="E53" s="31">
        <v>378783.5</v>
      </c>
      <c r="F53" s="31">
        <v>253853.8</v>
      </c>
      <c r="G53" s="31">
        <v>540989.30000000005</v>
      </c>
      <c r="H53" s="29" t="s">
        <v>237</v>
      </c>
      <c r="I53" s="31">
        <v>745531.3</v>
      </c>
      <c r="J53" s="34">
        <v>1482958</v>
      </c>
      <c r="L53" s="46">
        <f t="shared" si="6"/>
        <v>518.5</v>
      </c>
      <c r="M53" s="46">
        <f t="shared" si="6"/>
        <v>0</v>
      </c>
      <c r="N53" s="46">
        <f t="shared" si="6"/>
        <v>371.70000000000437</v>
      </c>
      <c r="O53" s="46">
        <f t="shared" si="6"/>
        <v>375.79999999998836</v>
      </c>
      <c r="P53" s="46">
        <f t="shared" si="6"/>
        <v>231.40000000002328</v>
      </c>
      <c r="Q53" s="46">
        <f t="shared" si="6"/>
        <v>743.89999999990687</v>
      </c>
      <c r="R53" s="46">
        <f t="shared" si="6"/>
        <v>0</v>
      </c>
      <c r="S53" s="46">
        <f t="shared" si="6"/>
        <v>1378.7999999999302</v>
      </c>
      <c r="T53" s="46">
        <f t="shared" si="6"/>
        <v>1552</v>
      </c>
      <c r="U53" s="47">
        <f t="shared" si="7"/>
        <v>1262.3999999999069</v>
      </c>
      <c r="V53" s="47">
        <f t="shared" si="7"/>
        <v>0</v>
      </c>
      <c r="W53" s="47">
        <f t="shared" si="7"/>
        <v>1750.4999999999345</v>
      </c>
      <c r="X53" s="47">
        <f t="shared" si="5"/>
        <v>2159.2000000000116</v>
      </c>
    </row>
    <row r="54" spans="1:24" ht="20" customHeight="1" x14ac:dyDescent="0.35">
      <c r="A54" s="29" t="s">
        <v>285</v>
      </c>
      <c r="B54" s="30">
        <v>421033.5</v>
      </c>
      <c r="C54" s="29">
        <v>222479.8</v>
      </c>
      <c r="D54" s="31">
        <v>56189.3</v>
      </c>
      <c r="E54" s="31">
        <v>379159.3</v>
      </c>
      <c r="F54" s="31">
        <v>254085.2</v>
      </c>
      <c r="G54" s="31">
        <v>541733.19999999995</v>
      </c>
      <c r="H54" s="29">
        <v>310633.90000000002</v>
      </c>
      <c r="I54" s="31">
        <v>746910.1</v>
      </c>
      <c r="J54" s="34">
        <v>1484510</v>
      </c>
      <c r="L54" s="46">
        <f t="shared" si="6"/>
        <v>497.70000000001164</v>
      </c>
      <c r="M54" s="46">
        <f t="shared" si="6"/>
        <v>231.20000000001164</v>
      </c>
      <c r="N54" s="46">
        <f t="shared" si="6"/>
        <v>353.39999999999418</v>
      </c>
      <c r="O54" s="46">
        <f t="shared" si="6"/>
        <v>360</v>
      </c>
      <c r="P54" s="46">
        <f t="shared" si="6"/>
        <v>215.59999999997672</v>
      </c>
      <c r="Q54" s="46">
        <f t="shared" si="6"/>
        <v>622.10000000009313</v>
      </c>
      <c r="R54" s="46">
        <f t="shared" si="6"/>
        <v>142.79999999998836</v>
      </c>
      <c r="S54" s="46">
        <f t="shared" si="6"/>
        <v>1248.9000000000233</v>
      </c>
      <c r="T54" s="46">
        <f t="shared" si="6"/>
        <v>1645</v>
      </c>
      <c r="U54" s="47">
        <f t="shared" si="7"/>
        <v>1119.8000000001048</v>
      </c>
      <c r="V54" s="47">
        <f t="shared" si="7"/>
        <v>374</v>
      </c>
      <c r="W54" s="47">
        <f t="shared" si="7"/>
        <v>1602.3000000000175</v>
      </c>
      <c r="X54" s="47">
        <f t="shared" si="5"/>
        <v>2220.5999999999767</v>
      </c>
    </row>
    <row r="55" spans="1:24" ht="20" customHeight="1" x14ac:dyDescent="0.35">
      <c r="A55" s="29" t="s">
        <v>286</v>
      </c>
      <c r="B55" s="30">
        <v>421531.2</v>
      </c>
      <c r="C55" s="29">
        <v>222711</v>
      </c>
      <c r="D55" s="31">
        <v>56542.7</v>
      </c>
      <c r="E55" s="31">
        <v>379519.3</v>
      </c>
      <c r="F55" s="31">
        <v>254300.79999999999</v>
      </c>
      <c r="G55" s="31">
        <v>542355.30000000005</v>
      </c>
      <c r="H55" s="29">
        <v>310776.7</v>
      </c>
      <c r="I55" s="31">
        <v>748159</v>
      </c>
      <c r="J55" s="34">
        <v>1486155</v>
      </c>
      <c r="L55" s="46">
        <f t="shared" si="6"/>
        <v>469.39999999996508</v>
      </c>
      <c r="M55" s="46">
        <f t="shared" si="6"/>
        <v>201.89999999999418</v>
      </c>
      <c r="N55" s="46">
        <f t="shared" si="6"/>
        <v>349.20000000000437</v>
      </c>
      <c r="O55" s="46">
        <f t="shared" si="6"/>
        <v>283.29999999998836</v>
      </c>
      <c r="P55" s="46">
        <f t="shared" si="6"/>
        <v>216.40000000002328</v>
      </c>
      <c r="Q55" s="46">
        <f t="shared" si="6"/>
        <v>401.09999999997672</v>
      </c>
      <c r="R55" s="46">
        <f t="shared" si="6"/>
        <v>214.79999999998836</v>
      </c>
      <c r="S55" s="46">
        <f t="shared" si="6"/>
        <v>874.5</v>
      </c>
      <c r="T55" s="46">
        <f t="shared" si="6"/>
        <v>1554</v>
      </c>
      <c r="U55" s="47">
        <f t="shared" si="7"/>
        <v>870.49999999994179</v>
      </c>
      <c r="V55" s="47">
        <f t="shared" si="7"/>
        <v>416.69999999998254</v>
      </c>
      <c r="W55" s="47">
        <f t="shared" si="7"/>
        <v>1223.7000000000044</v>
      </c>
      <c r="X55" s="47">
        <f t="shared" si="5"/>
        <v>2053.7000000000116</v>
      </c>
    </row>
    <row r="56" spans="1:24" ht="20" customHeight="1" x14ac:dyDescent="0.35">
      <c r="A56" s="29" t="s">
        <v>287</v>
      </c>
      <c r="B56" s="30">
        <v>422000.6</v>
      </c>
      <c r="C56" s="29">
        <v>222912.9</v>
      </c>
      <c r="D56" s="31">
        <v>56891.9</v>
      </c>
      <c r="E56" s="31">
        <v>379802.6</v>
      </c>
      <c r="F56" s="31">
        <v>254517.2</v>
      </c>
      <c r="G56" s="31">
        <v>542756.4</v>
      </c>
      <c r="H56" s="29">
        <v>310991.5</v>
      </c>
      <c r="I56" s="31">
        <v>749033.5</v>
      </c>
      <c r="J56" s="34">
        <v>1487709</v>
      </c>
      <c r="L56" s="46">
        <f t="shared" si="6"/>
        <v>367.30000000004657</v>
      </c>
      <c r="M56" s="46">
        <f t="shared" si="6"/>
        <v>165.5</v>
      </c>
      <c r="N56" s="46">
        <f t="shared" si="6"/>
        <v>353.79999999999563</v>
      </c>
      <c r="O56" s="46">
        <f t="shared" si="6"/>
        <v>376.10000000003492</v>
      </c>
      <c r="P56" s="46">
        <f t="shared" si="6"/>
        <v>249.89999999999418</v>
      </c>
      <c r="Q56" s="46">
        <f t="shared" si="6"/>
        <v>471.09999999997672</v>
      </c>
      <c r="R56" s="46">
        <f t="shared" si="6"/>
        <v>281.40000000002328</v>
      </c>
      <c r="S56" s="46">
        <f t="shared" si="6"/>
        <v>1087.5999999999767</v>
      </c>
      <c r="T56" s="46">
        <f t="shared" si="6"/>
        <v>1584</v>
      </c>
      <c r="U56" s="47">
        <f t="shared" si="7"/>
        <v>838.40000000002328</v>
      </c>
      <c r="V56" s="47">
        <f t="shared" si="7"/>
        <v>446.90000000002328</v>
      </c>
      <c r="W56" s="47">
        <f t="shared" si="7"/>
        <v>1441.3999999999724</v>
      </c>
      <c r="X56" s="47">
        <f t="shared" si="5"/>
        <v>2210.0000000000291</v>
      </c>
    </row>
    <row r="57" spans="1:24" ht="20" customHeight="1" x14ac:dyDescent="0.35">
      <c r="A57" s="29" t="s">
        <v>288</v>
      </c>
      <c r="B57" s="30">
        <v>422367.9</v>
      </c>
      <c r="C57" s="31">
        <v>223078.39999999999</v>
      </c>
      <c r="D57" s="31">
        <v>57245.7</v>
      </c>
      <c r="E57" s="31">
        <v>380178.7</v>
      </c>
      <c r="F57" s="31">
        <v>254767.1</v>
      </c>
      <c r="G57" s="31">
        <v>543227.5</v>
      </c>
      <c r="H57" s="31">
        <v>311272.90000000002</v>
      </c>
      <c r="I57" s="31">
        <v>750121.1</v>
      </c>
      <c r="J57" s="34">
        <v>1489293</v>
      </c>
      <c r="L57" s="46">
        <f t="shared" si="6"/>
        <v>63</v>
      </c>
      <c r="M57" s="46">
        <f t="shared" si="6"/>
        <v>250.20000000001164</v>
      </c>
      <c r="N57" s="46">
        <f t="shared" si="6"/>
        <v>359.80000000000291</v>
      </c>
      <c r="O57" s="46">
        <f t="shared" si="6"/>
        <v>444.39999999996508</v>
      </c>
      <c r="P57" s="46">
        <f t="shared" si="6"/>
        <v>303.10000000000582</v>
      </c>
      <c r="Q57" s="46">
        <f t="shared" si="6"/>
        <v>49.300000000046566</v>
      </c>
      <c r="R57" s="46">
        <f t="shared" si="6"/>
        <v>391.19999999995343</v>
      </c>
      <c r="S57" s="46">
        <f t="shared" si="6"/>
        <v>1165.5</v>
      </c>
      <c r="T57" s="46">
        <f t="shared" si="6"/>
        <v>1665</v>
      </c>
      <c r="U57" s="47">
        <f t="shared" si="7"/>
        <v>112.30000000004657</v>
      </c>
      <c r="V57" s="47">
        <f t="shared" si="7"/>
        <v>641.39999999996508</v>
      </c>
      <c r="W57" s="47">
        <f t="shared" si="7"/>
        <v>1525.3000000000029</v>
      </c>
      <c r="X57" s="47">
        <f t="shared" si="5"/>
        <v>2412.4999999999709</v>
      </c>
    </row>
    <row r="58" spans="1:24" ht="20" customHeight="1" x14ac:dyDescent="0.35">
      <c r="A58" s="29" t="s">
        <v>289</v>
      </c>
      <c r="B58" s="30">
        <v>422430.9</v>
      </c>
      <c r="C58" s="31">
        <v>223328.6</v>
      </c>
      <c r="D58" s="31">
        <v>57605.5</v>
      </c>
      <c r="E58" s="31">
        <v>380623.1</v>
      </c>
      <c r="F58" s="31">
        <v>255070.2</v>
      </c>
      <c r="G58" s="31">
        <v>543276.80000000005</v>
      </c>
      <c r="H58" s="31">
        <v>311664.09999999998</v>
      </c>
      <c r="I58" s="31">
        <v>751286.6</v>
      </c>
      <c r="J58" s="34">
        <v>1490958</v>
      </c>
      <c r="L58" s="46">
        <f t="shared" si="6"/>
        <v>7.7999999999883585</v>
      </c>
      <c r="M58" s="46">
        <f t="shared" si="6"/>
        <v>429.19999999998254</v>
      </c>
      <c r="N58" s="46">
        <f t="shared" si="6"/>
        <v>376.5</v>
      </c>
      <c r="O58" s="46">
        <f t="shared" si="6"/>
        <v>390.70000000001164</v>
      </c>
      <c r="P58" s="46">
        <f t="shared" si="6"/>
        <v>257.19999999998254</v>
      </c>
      <c r="Q58" s="46">
        <f t="shared" si="6"/>
        <v>15.699999999953434</v>
      </c>
      <c r="R58" s="46">
        <f t="shared" si="6"/>
        <v>819.80000000004657</v>
      </c>
      <c r="S58" s="46">
        <f t="shared" si="6"/>
        <v>1243.0999999999767</v>
      </c>
      <c r="T58" s="46">
        <f t="shared" si="6"/>
        <v>1770</v>
      </c>
      <c r="U58" s="47">
        <f t="shared" si="7"/>
        <v>23.499999999941792</v>
      </c>
      <c r="V58" s="47">
        <f t="shared" si="7"/>
        <v>1249.0000000000291</v>
      </c>
      <c r="W58" s="47">
        <f t="shared" si="7"/>
        <v>1619.5999999999767</v>
      </c>
      <c r="X58" s="47">
        <f t="shared" si="5"/>
        <v>2417.8999999999942</v>
      </c>
    </row>
    <row r="59" spans="1:24" ht="20" customHeight="1" x14ac:dyDescent="0.35">
      <c r="A59" s="29" t="s">
        <v>290</v>
      </c>
      <c r="B59" s="30">
        <v>422438.7</v>
      </c>
      <c r="C59" s="31">
        <v>223757.8</v>
      </c>
      <c r="D59" s="31">
        <v>57982</v>
      </c>
      <c r="E59" s="31">
        <v>381013.8</v>
      </c>
      <c r="F59" s="31">
        <v>255327.4</v>
      </c>
      <c r="G59" s="31">
        <v>543292.5</v>
      </c>
      <c r="H59" s="31">
        <v>312483.90000000002</v>
      </c>
      <c r="I59" s="31">
        <v>752529.7</v>
      </c>
      <c r="J59" s="34">
        <v>1492728</v>
      </c>
      <c r="L59" s="46">
        <f t="shared" si="6"/>
        <v>153</v>
      </c>
      <c r="M59" s="46">
        <f t="shared" si="6"/>
        <v>443.30000000001746</v>
      </c>
      <c r="N59" s="46">
        <f t="shared" si="6"/>
        <v>383.69999999999709</v>
      </c>
      <c r="O59" s="46">
        <f t="shared" si="6"/>
        <v>373.60000000003492</v>
      </c>
      <c r="P59" s="46">
        <f t="shared" si="6"/>
        <v>240.5</v>
      </c>
      <c r="Q59" s="46">
        <f t="shared" si="6"/>
        <v>214.90000000002328</v>
      </c>
      <c r="R59" s="46">
        <f t="shared" si="6"/>
        <v>1027</v>
      </c>
      <c r="S59" s="46">
        <f t="shared" si="6"/>
        <v>1338</v>
      </c>
      <c r="T59" s="46">
        <f t="shared" si="6"/>
        <v>1698</v>
      </c>
      <c r="U59" s="47">
        <f t="shared" si="7"/>
        <v>367.90000000002328</v>
      </c>
      <c r="V59" s="47">
        <f t="shared" si="7"/>
        <v>1470.3000000000175</v>
      </c>
      <c r="W59" s="47">
        <f t="shared" si="7"/>
        <v>1721.6999999999971</v>
      </c>
      <c r="X59" s="47">
        <f t="shared" si="5"/>
        <v>2312.1000000000349</v>
      </c>
    </row>
    <row r="60" spans="1:24" ht="20" customHeight="1" x14ac:dyDescent="0.35">
      <c r="A60" s="29" t="s">
        <v>295</v>
      </c>
      <c r="B60" s="30">
        <v>422591.7</v>
      </c>
      <c r="C60" s="31">
        <v>224201.1</v>
      </c>
      <c r="D60" s="31">
        <v>58365.7</v>
      </c>
      <c r="E60" s="31">
        <v>381387.4</v>
      </c>
      <c r="F60" s="31">
        <v>255567.9</v>
      </c>
      <c r="G60" s="31">
        <v>543507.4</v>
      </c>
      <c r="H60" s="31">
        <v>313510.90000000002</v>
      </c>
      <c r="I60" s="31">
        <v>753867.7</v>
      </c>
      <c r="J60" s="34">
        <v>1494426</v>
      </c>
      <c r="L60" s="46">
        <f t="shared" si="6"/>
        <v>191.89999999996508</v>
      </c>
      <c r="M60" s="46">
        <f t="shared" si="6"/>
        <v>441.39999999999418</v>
      </c>
      <c r="N60" s="46">
        <f t="shared" si="6"/>
        <v>384.10000000000582</v>
      </c>
      <c r="O60" s="46">
        <f t="shared" si="6"/>
        <v>395.5</v>
      </c>
      <c r="P60" s="46">
        <f t="shared" si="6"/>
        <v>230</v>
      </c>
      <c r="Q60" s="46">
        <f t="shared" si="6"/>
        <v>1.2999999999301508</v>
      </c>
      <c r="R60" s="46">
        <f t="shared" si="6"/>
        <v>984.69999999995343</v>
      </c>
      <c r="S60" s="46">
        <f t="shared" si="6"/>
        <v>1262.3000000000466</v>
      </c>
      <c r="T60" s="46">
        <f t="shared" si="6"/>
        <v>1737</v>
      </c>
      <c r="U60" s="47">
        <f t="shared" si="7"/>
        <v>193.19999999989523</v>
      </c>
      <c r="V60" s="47">
        <f t="shared" si="7"/>
        <v>1426.0999999999476</v>
      </c>
      <c r="W60" s="47">
        <f t="shared" si="7"/>
        <v>1646.4000000000524</v>
      </c>
      <c r="X60" s="47">
        <f t="shared" si="5"/>
        <v>2362.5</v>
      </c>
    </row>
    <row r="61" spans="1:24" ht="20" customHeight="1" x14ac:dyDescent="0.35">
      <c r="A61" s="29" t="s">
        <v>296</v>
      </c>
      <c r="B61" s="30">
        <v>422783.6</v>
      </c>
      <c r="C61" s="31">
        <v>224642.5</v>
      </c>
      <c r="D61" s="31">
        <v>58749.8</v>
      </c>
      <c r="E61" s="31">
        <v>381782.9</v>
      </c>
      <c r="F61" s="31">
        <v>255797.9</v>
      </c>
      <c r="G61" s="31">
        <v>543508.69999999995</v>
      </c>
      <c r="H61" s="31">
        <v>314495.59999999998</v>
      </c>
      <c r="I61" s="31">
        <v>755130</v>
      </c>
      <c r="J61" s="34">
        <v>1496163</v>
      </c>
      <c r="L61" s="46">
        <f t="shared" si="6"/>
        <v>156.90000000002328</v>
      </c>
      <c r="M61" s="46">
        <f t="shared" si="6"/>
        <v>434.79999999998836</v>
      </c>
      <c r="N61" s="46">
        <f t="shared" si="6"/>
        <v>370.69999999999709</v>
      </c>
      <c r="O61" s="46">
        <f t="shared" si="6"/>
        <v>384.69999999995343</v>
      </c>
      <c r="P61" s="46">
        <f t="shared" si="6"/>
        <v>277.20000000001164</v>
      </c>
      <c r="Q61" s="46">
        <f t="shared" si="6"/>
        <v>1.4000000000232831</v>
      </c>
      <c r="R61" s="46">
        <f t="shared" si="6"/>
        <v>706.30000000004657</v>
      </c>
      <c r="S61" s="46">
        <f t="shared" si="6"/>
        <v>819.69999999995343</v>
      </c>
      <c r="T61" s="46">
        <f t="shared" si="6"/>
        <v>1885</v>
      </c>
      <c r="U61" s="47">
        <f t="shared" si="7"/>
        <v>158.30000000004657</v>
      </c>
      <c r="V61" s="47">
        <f t="shared" si="7"/>
        <v>1141.1000000000349</v>
      </c>
      <c r="W61" s="47">
        <f t="shared" si="7"/>
        <v>1190.3999999999505</v>
      </c>
      <c r="X61" s="47">
        <f t="shared" si="5"/>
        <v>2546.8999999999651</v>
      </c>
    </row>
    <row r="62" spans="1:24" ht="20" customHeight="1" x14ac:dyDescent="0.35">
      <c r="A62" s="29" t="s">
        <v>297</v>
      </c>
      <c r="B62" s="30">
        <v>422940.5</v>
      </c>
      <c r="C62" s="31">
        <v>225077.3</v>
      </c>
      <c r="D62" s="31">
        <v>59120.5</v>
      </c>
      <c r="E62" s="31">
        <v>382167.6</v>
      </c>
      <c r="F62" s="31">
        <v>256075.1</v>
      </c>
      <c r="G62" s="31">
        <v>543510.1</v>
      </c>
      <c r="H62" s="31">
        <v>315201.90000000002</v>
      </c>
      <c r="I62" s="31">
        <v>755949.7</v>
      </c>
      <c r="J62" s="34">
        <v>1498048</v>
      </c>
      <c r="L62" s="46">
        <f t="shared" si="6"/>
        <v>0</v>
      </c>
      <c r="M62" s="46">
        <f t="shared" si="6"/>
        <v>435.20000000001164</v>
      </c>
      <c r="N62" s="46">
        <f t="shared" si="6"/>
        <v>339.80000000000291</v>
      </c>
      <c r="O62" s="46">
        <f t="shared" si="6"/>
        <v>358.90000000002328</v>
      </c>
      <c r="P62" s="46">
        <f t="shared" si="6"/>
        <v>219.60000000000582</v>
      </c>
      <c r="Q62" s="46">
        <f t="shared" si="6"/>
        <v>0</v>
      </c>
      <c r="R62" s="46">
        <f t="shared" si="6"/>
        <v>628.09999999997672</v>
      </c>
      <c r="S62" s="46">
        <f t="shared" si="6"/>
        <v>886.90000000002328</v>
      </c>
      <c r="T62" s="46">
        <f t="shared" si="6"/>
        <v>1578</v>
      </c>
      <c r="U62" s="47">
        <f t="shared" si="7"/>
        <v>0</v>
      </c>
      <c r="V62" s="47">
        <f t="shared" si="7"/>
        <v>1063.2999999999884</v>
      </c>
      <c r="W62" s="47">
        <f t="shared" si="7"/>
        <v>1226.7000000000262</v>
      </c>
      <c r="X62" s="47">
        <f t="shared" si="5"/>
        <v>2156.5000000000291</v>
      </c>
    </row>
    <row r="63" spans="1:24" ht="16.75" customHeight="1" x14ac:dyDescent="0.35">
      <c r="A63" s="29" t="s">
        <v>298</v>
      </c>
      <c r="B63" s="30">
        <v>422940.5</v>
      </c>
      <c r="C63" s="31">
        <v>225512.5</v>
      </c>
      <c r="D63" s="31">
        <v>59460.3</v>
      </c>
      <c r="E63" s="31">
        <v>382526.5</v>
      </c>
      <c r="F63" s="31">
        <v>256294.7</v>
      </c>
      <c r="G63" s="31">
        <v>543510.1</v>
      </c>
      <c r="H63" s="31">
        <v>315830</v>
      </c>
      <c r="I63" s="31">
        <v>756836.6</v>
      </c>
      <c r="J63" s="34">
        <v>1499626</v>
      </c>
      <c r="L63" s="46">
        <f t="shared" si="6"/>
        <v>0</v>
      </c>
      <c r="M63" s="46">
        <f t="shared" si="6"/>
        <v>493</v>
      </c>
      <c r="N63" s="46">
        <f t="shared" si="6"/>
        <v>382.69999999999709</v>
      </c>
      <c r="O63" s="46">
        <f t="shared" si="6"/>
        <v>377.90000000002328</v>
      </c>
      <c r="P63" s="46">
        <f t="shared" si="6"/>
        <v>230.79999999998836</v>
      </c>
      <c r="Q63" s="46">
        <f t="shared" si="6"/>
        <v>2.7000000000698492</v>
      </c>
      <c r="R63" s="46">
        <f t="shared" si="6"/>
        <v>943.20000000001164</v>
      </c>
      <c r="S63" s="46">
        <f t="shared" si="6"/>
        <v>1369.8000000000466</v>
      </c>
      <c r="T63" s="46">
        <f t="shared" si="6"/>
        <v>1211</v>
      </c>
      <c r="U63" s="47">
        <f t="shared" si="7"/>
        <v>2.7000000000698492</v>
      </c>
      <c r="V63" s="47">
        <f t="shared" si="7"/>
        <v>1436.2000000000116</v>
      </c>
      <c r="W63" s="47">
        <f t="shared" si="7"/>
        <v>1752.5000000000437</v>
      </c>
      <c r="X63" s="47">
        <f t="shared" si="5"/>
        <v>1819.7000000000116</v>
      </c>
    </row>
    <row r="64" spans="1:24" ht="20" customHeight="1" x14ac:dyDescent="0.35">
      <c r="A64" s="29" t="s">
        <v>299</v>
      </c>
      <c r="B64" s="30">
        <v>422940.5</v>
      </c>
      <c r="C64" s="31">
        <v>226005.5</v>
      </c>
      <c r="D64" s="31">
        <v>59843</v>
      </c>
      <c r="E64" s="31">
        <v>382904.4</v>
      </c>
      <c r="F64" s="31">
        <v>256525.5</v>
      </c>
      <c r="G64" s="31">
        <v>543512.80000000005</v>
      </c>
      <c r="H64" s="31">
        <v>316773.2</v>
      </c>
      <c r="I64" s="31">
        <v>758206.4</v>
      </c>
      <c r="J64" s="34">
        <v>1500837</v>
      </c>
      <c r="L64" s="46">
        <f t="shared" si="6"/>
        <v>0</v>
      </c>
      <c r="M64" s="46">
        <f t="shared" si="6"/>
        <v>479.29999999998836</v>
      </c>
      <c r="N64" s="46">
        <f t="shared" si="6"/>
        <v>392.80000000000291</v>
      </c>
      <c r="O64" s="46">
        <f t="shared" si="6"/>
        <v>377.69999999995343</v>
      </c>
      <c r="P64" s="46">
        <f t="shared" si="6"/>
        <v>231.29999999998836</v>
      </c>
      <c r="Q64" s="46">
        <f t="shared" si="6"/>
        <v>2.7999999999301508</v>
      </c>
      <c r="R64" s="46">
        <f t="shared" si="6"/>
        <v>841.29999999998836</v>
      </c>
      <c r="S64" s="46">
        <f t="shared" si="6"/>
        <v>1488.1999999999534</v>
      </c>
      <c r="T64" s="46">
        <f t="shared" si="6"/>
        <v>1514</v>
      </c>
      <c r="U64" s="47">
        <f t="shared" si="7"/>
        <v>2.7999999999301508</v>
      </c>
      <c r="V64" s="47">
        <f t="shared" si="7"/>
        <v>1320.5999999999767</v>
      </c>
      <c r="W64" s="47">
        <f t="shared" si="7"/>
        <v>1880.9999999999563</v>
      </c>
      <c r="X64" s="47">
        <f t="shared" si="5"/>
        <v>2122.9999999999418</v>
      </c>
    </row>
    <row r="65" spans="1:24" ht="20" customHeight="1" x14ac:dyDescent="0.35">
      <c r="A65" s="29" t="s">
        <v>300</v>
      </c>
      <c r="B65" s="30">
        <v>422940.5</v>
      </c>
      <c r="C65" s="31">
        <v>226484.8</v>
      </c>
      <c r="D65" s="31">
        <v>60235.8</v>
      </c>
      <c r="E65" s="31">
        <v>383282.1</v>
      </c>
      <c r="F65" s="31">
        <v>256756.8</v>
      </c>
      <c r="G65" s="31">
        <v>543515.6</v>
      </c>
      <c r="H65" s="31">
        <v>317614.5</v>
      </c>
      <c r="I65" s="31">
        <v>759694.6</v>
      </c>
      <c r="J65" s="34">
        <v>1502351</v>
      </c>
      <c r="L65" s="46">
        <f t="shared" si="6"/>
        <v>0</v>
      </c>
      <c r="M65" s="46">
        <f t="shared" si="6"/>
        <v>474.10000000000582</v>
      </c>
      <c r="N65" s="46">
        <f t="shared" si="6"/>
        <v>396.5</v>
      </c>
      <c r="O65" s="46">
        <f t="shared" si="6"/>
        <v>378.20000000001164</v>
      </c>
      <c r="P65" s="46">
        <f t="shared" si="6"/>
        <v>231.70000000001164</v>
      </c>
      <c r="Q65" s="46">
        <f t="shared" si="6"/>
        <v>1.4000000000232831</v>
      </c>
      <c r="R65" s="46">
        <f t="shared" si="6"/>
        <v>762.70000000001164</v>
      </c>
      <c r="S65" s="46">
        <f t="shared" si="6"/>
        <v>1309</v>
      </c>
      <c r="T65" s="46">
        <f t="shared" si="6"/>
        <v>1515</v>
      </c>
      <c r="U65" s="47">
        <f t="shared" si="7"/>
        <v>1.4000000000232831</v>
      </c>
      <c r="V65" s="47">
        <f t="shared" si="7"/>
        <v>1236.8000000000175</v>
      </c>
      <c r="W65" s="47">
        <f t="shared" si="7"/>
        <v>1705.5</v>
      </c>
      <c r="X65" s="47">
        <f t="shared" si="5"/>
        <v>2124.9000000000233</v>
      </c>
    </row>
    <row r="66" spans="1:24" ht="20" customHeight="1" x14ac:dyDescent="0.35">
      <c r="A66" s="29" t="s">
        <v>301</v>
      </c>
      <c r="B66" s="30">
        <v>422940.5</v>
      </c>
      <c r="C66" s="31">
        <v>226958.9</v>
      </c>
      <c r="D66" s="31">
        <v>60632.3</v>
      </c>
      <c r="E66" s="31">
        <v>383660.3</v>
      </c>
      <c r="F66" s="31">
        <v>256988.5</v>
      </c>
      <c r="G66" s="31">
        <v>543517</v>
      </c>
      <c r="H66" s="31">
        <v>318377.2</v>
      </c>
      <c r="I66" s="31">
        <v>761003.6</v>
      </c>
      <c r="J66" s="34">
        <v>1503866</v>
      </c>
      <c r="L66" s="46">
        <f t="shared" si="6"/>
        <v>0</v>
      </c>
      <c r="M66" s="46">
        <f t="shared" si="6"/>
        <v>340.70000000001164</v>
      </c>
      <c r="N66" s="46">
        <f t="shared" si="6"/>
        <v>383.79999999999563</v>
      </c>
      <c r="O66" s="46">
        <f t="shared" si="6"/>
        <v>377.5</v>
      </c>
      <c r="P66" s="46">
        <f t="shared" si="6"/>
        <v>231.70000000001164</v>
      </c>
      <c r="Q66" s="46">
        <f t="shared" si="6"/>
        <v>1.3000000000465661</v>
      </c>
      <c r="R66" s="46">
        <f t="shared" si="6"/>
        <v>363.59999999997672</v>
      </c>
      <c r="S66" s="46">
        <f t="shared" si="6"/>
        <v>1435.5</v>
      </c>
      <c r="T66" s="46">
        <f t="shared" si="6"/>
        <v>1495</v>
      </c>
      <c r="U66" s="47">
        <f t="shared" si="7"/>
        <v>1.3000000000465661</v>
      </c>
      <c r="V66" s="47">
        <f t="shared" si="7"/>
        <v>704.29999999998836</v>
      </c>
      <c r="W66" s="47">
        <f t="shared" si="7"/>
        <v>1819.2999999999956</v>
      </c>
      <c r="X66" s="47">
        <f t="shared" si="5"/>
        <v>2104.2000000000116</v>
      </c>
    </row>
    <row r="67" spans="1:24" ht="20" customHeight="1" x14ac:dyDescent="0.35">
      <c r="A67" s="29" t="s">
        <v>302</v>
      </c>
      <c r="B67" s="30">
        <v>422940.5</v>
      </c>
      <c r="C67" s="31">
        <v>227299.6</v>
      </c>
      <c r="D67" s="31">
        <v>61016.1</v>
      </c>
      <c r="E67" s="31">
        <v>384037.8</v>
      </c>
      <c r="F67" s="31">
        <v>257220.2</v>
      </c>
      <c r="G67" s="31">
        <v>543518.30000000005</v>
      </c>
      <c r="H67" s="31">
        <v>318740.8</v>
      </c>
      <c r="I67" s="31">
        <v>762439.1</v>
      </c>
      <c r="J67" s="34">
        <v>1505361</v>
      </c>
      <c r="L67" s="46">
        <f t="shared" si="6"/>
        <v>0</v>
      </c>
      <c r="M67" s="46">
        <f t="shared" si="6"/>
        <v>164.5</v>
      </c>
      <c r="N67" s="46">
        <f t="shared" si="6"/>
        <v>387.90000000000146</v>
      </c>
      <c r="O67" s="46">
        <f t="shared" si="6"/>
        <v>378.70000000001164</v>
      </c>
      <c r="P67" s="46">
        <f t="shared" si="6"/>
        <v>232.5</v>
      </c>
      <c r="Q67" s="46">
        <f t="shared" si="6"/>
        <v>4.7999999999301508</v>
      </c>
      <c r="R67" s="46">
        <f t="shared" si="6"/>
        <v>136.40000000002328</v>
      </c>
      <c r="S67" s="46">
        <f t="shared" si="6"/>
        <v>1463.8000000000466</v>
      </c>
      <c r="T67" s="46">
        <f t="shared" si="6"/>
        <v>1518</v>
      </c>
      <c r="U67" s="47">
        <f t="shared" si="7"/>
        <v>4.7999999999301508</v>
      </c>
      <c r="V67" s="47">
        <f t="shared" si="7"/>
        <v>300.90000000002328</v>
      </c>
      <c r="W67" s="47">
        <f t="shared" si="7"/>
        <v>1851.700000000048</v>
      </c>
      <c r="X67" s="47">
        <f t="shared" si="5"/>
        <v>2129.2000000000116</v>
      </c>
    </row>
    <row r="68" spans="1:24" ht="20" customHeight="1" x14ac:dyDescent="0.35">
      <c r="A68" s="29" t="s">
        <v>303</v>
      </c>
      <c r="B68" s="30">
        <v>422940.5</v>
      </c>
      <c r="C68" s="31">
        <v>227464.1</v>
      </c>
      <c r="D68" s="31">
        <v>61404</v>
      </c>
      <c r="E68" s="31">
        <v>384416.5</v>
      </c>
      <c r="F68" s="31">
        <v>257452.7</v>
      </c>
      <c r="G68" s="31">
        <v>543523.1</v>
      </c>
      <c r="H68" s="31">
        <v>318877.2</v>
      </c>
      <c r="I68" s="31">
        <v>763902.9</v>
      </c>
      <c r="J68" s="34">
        <v>1506879</v>
      </c>
      <c r="L68" s="46">
        <f t="shared" si="6"/>
        <v>0</v>
      </c>
      <c r="M68" s="46">
        <f t="shared" si="6"/>
        <v>433.10000000000582</v>
      </c>
      <c r="N68" s="46">
        <f t="shared" si="6"/>
        <v>381.30000000000291</v>
      </c>
      <c r="O68" s="46">
        <f t="shared" si="6"/>
        <v>378.5</v>
      </c>
      <c r="P68" s="46">
        <f t="shared" si="6"/>
        <v>232.19999999998254</v>
      </c>
      <c r="Q68" s="46">
        <f t="shared" si="6"/>
        <v>1.4000000000232831</v>
      </c>
      <c r="R68" s="46">
        <f t="shared" si="6"/>
        <v>916.79999999998836</v>
      </c>
      <c r="S68" s="46">
        <f t="shared" si="6"/>
        <v>1110.4000000000233</v>
      </c>
      <c r="T68" s="46">
        <f t="shared" si="6"/>
        <v>1509</v>
      </c>
      <c r="U68" s="47">
        <f t="shared" si="7"/>
        <v>1.4000000000232831</v>
      </c>
      <c r="V68" s="47">
        <f t="shared" si="7"/>
        <v>1349.8999999999942</v>
      </c>
      <c r="W68" s="47">
        <f t="shared" si="7"/>
        <v>1491.7000000000262</v>
      </c>
      <c r="X68" s="47">
        <f t="shared" si="5"/>
        <v>2119.6999999999825</v>
      </c>
    </row>
    <row r="69" spans="1:24" ht="20" customHeight="1" x14ac:dyDescent="0.35">
      <c r="A69" s="29" t="s">
        <v>304</v>
      </c>
      <c r="B69" s="30">
        <v>422940.5</v>
      </c>
      <c r="C69" s="31">
        <v>227897.2</v>
      </c>
      <c r="D69" s="29">
        <v>61785.3</v>
      </c>
      <c r="E69" s="31">
        <v>384795</v>
      </c>
      <c r="F69" s="31">
        <v>257684.9</v>
      </c>
      <c r="G69" s="31">
        <v>543524.5</v>
      </c>
      <c r="H69" s="31">
        <v>319794</v>
      </c>
      <c r="I69" s="29">
        <v>765013.3</v>
      </c>
      <c r="J69" s="34">
        <v>1508388</v>
      </c>
      <c r="L69" s="46">
        <f t="shared" si="6"/>
        <v>0</v>
      </c>
      <c r="M69" s="46">
        <f t="shared" si="6"/>
        <v>457.79999999998836</v>
      </c>
      <c r="N69" s="46">
        <f t="shared" si="6"/>
        <v>299.19999999999709</v>
      </c>
      <c r="O69" s="46">
        <f t="shared" si="6"/>
        <v>379.5</v>
      </c>
      <c r="P69" s="46">
        <f t="shared" si="6"/>
        <v>232.5</v>
      </c>
      <c r="Q69" s="46">
        <f t="shared" si="6"/>
        <v>2.6999999999534339</v>
      </c>
      <c r="R69" s="46">
        <f t="shared" si="6"/>
        <v>603.40000000002328</v>
      </c>
      <c r="S69" s="46">
        <f t="shared" si="6"/>
        <v>691.69999999995343</v>
      </c>
      <c r="T69" s="46">
        <f t="shared" si="6"/>
        <v>1501</v>
      </c>
      <c r="U69" s="47">
        <f t="shared" si="7"/>
        <v>2.6999999999534339</v>
      </c>
      <c r="V69" s="47">
        <f t="shared" si="7"/>
        <v>1061.2000000000116</v>
      </c>
      <c r="W69" s="47">
        <f t="shared" si="7"/>
        <v>990.89999999995052</v>
      </c>
      <c r="X69" s="47">
        <f t="shared" si="5"/>
        <v>2113</v>
      </c>
    </row>
    <row r="70" spans="1:24" ht="20" customHeight="1" x14ac:dyDescent="0.35">
      <c r="A70" s="29" t="s">
        <v>305</v>
      </c>
      <c r="B70" s="30">
        <v>422940.5</v>
      </c>
      <c r="C70" s="31">
        <v>228355</v>
      </c>
      <c r="D70" s="29">
        <v>62084.5</v>
      </c>
      <c r="E70" s="31">
        <v>385174.5</v>
      </c>
      <c r="F70" s="31">
        <v>257917.4</v>
      </c>
      <c r="G70" s="31">
        <v>543527.19999999995</v>
      </c>
      <c r="H70" s="31">
        <v>320397.40000000002</v>
      </c>
      <c r="I70" s="29">
        <v>765705</v>
      </c>
      <c r="J70" s="34">
        <v>1509889</v>
      </c>
      <c r="L70" s="46">
        <f t="shared" si="6"/>
        <v>0</v>
      </c>
      <c r="M70" s="46">
        <f t="shared" si="6"/>
        <v>352</v>
      </c>
      <c r="N70" s="46">
        <f t="shared" si="6"/>
        <v>247.30000000000291</v>
      </c>
      <c r="O70" s="46">
        <f t="shared" si="6"/>
        <v>379.40000000002328</v>
      </c>
      <c r="P70" s="46">
        <f t="shared" si="6"/>
        <v>233.20000000001164</v>
      </c>
      <c r="Q70" s="46">
        <f t="shared" si="6"/>
        <v>1.6000000000931323</v>
      </c>
      <c r="R70" s="46">
        <f t="shared" si="6"/>
        <v>354.79999999998836</v>
      </c>
      <c r="S70" s="46">
        <f t="shared" si="6"/>
        <v>961</v>
      </c>
      <c r="T70" s="46">
        <f t="shared" si="6"/>
        <v>1511</v>
      </c>
      <c r="U70" s="47">
        <f t="shared" si="7"/>
        <v>1.6000000000931323</v>
      </c>
      <c r="V70" s="47">
        <f t="shared" si="7"/>
        <v>706.79999999998836</v>
      </c>
      <c r="W70" s="47">
        <f t="shared" si="7"/>
        <v>1208.3000000000029</v>
      </c>
      <c r="X70" s="47">
        <f t="shared" si="5"/>
        <v>2123.6000000000349</v>
      </c>
    </row>
    <row r="71" spans="1:24" ht="20" customHeight="1" x14ac:dyDescent="0.35">
      <c r="A71" s="29" t="s">
        <v>308</v>
      </c>
      <c r="B71" s="30">
        <v>422940.5</v>
      </c>
      <c r="C71" s="31">
        <v>228707</v>
      </c>
      <c r="D71" s="29">
        <v>62331.8</v>
      </c>
      <c r="E71" s="31">
        <v>385553.9</v>
      </c>
      <c r="F71" s="31">
        <v>258150.6</v>
      </c>
      <c r="G71" s="31">
        <v>543528.80000000005</v>
      </c>
      <c r="H71" s="31">
        <v>320752.2</v>
      </c>
      <c r="I71" s="29">
        <v>766666</v>
      </c>
      <c r="J71" s="34">
        <v>1511400</v>
      </c>
      <c r="L71" s="46">
        <f t="shared" si="6"/>
        <v>0</v>
      </c>
      <c r="M71" s="46">
        <f t="shared" si="6"/>
        <v>304.79999999998836</v>
      </c>
      <c r="N71" s="46">
        <f t="shared" si="6"/>
        <v>383.59999999999854</v>
      </c>
      <c r="O71" s="46">
        <f t="shared" si="6"/>
        <v>378.59999999997672</v>
      </c>
      <c r="P71" s="46">
        <f t="shared" si="6"/>
        <v>232.19999999998254</v>
      </c>
      <c r="Q71" s="46">
        <f t="shared" si="6"/>
        <v>1.5999999999767169</v>
      </c>
      <c r="R71" s="46">
        <f t="shared" si="6"/>
        <v>434.20000000001164</v>
      </c>
      <c r="S71" s="46">
        <f t="shared" si="6"/>
        <v>1159.1999999999534</v>
      </c>
      <c r="T71" s="46">
        <f t="shared" si="6"/>
        <v>1505</v>
      </c>
      <c r="U71" s="47">
        <f t="shared" si="7"/>
        <v>1.5999999999767169</v>
      </c>
      <c r="V71" s="47">
        <f t="shared" si="7"/>
        <v>739</v>
      </c>
      <c r="W71" s="47">
        <f t="shared" si="7"/>
        <v>1542.799999999952</v>
      </c>
      <c r="X71" s="47">
        <f t="shared" si="5"/>
        <v>2115.7999999999593</v>
      </c>
    </row>
    <row r="72" spans="1:24" ht="20" customHeight="1" x14ac:dyDescent="0.35">
      <c r="A72" s="29" t="s">
        <v>309</v>
      </c>
      <c r="B72" s="30">
        <v>422940.5</v>
      </c>
      <c r="C72" s="31">
        <v>229011.8</v>
      </c>
      <c r="D72" s="29">
        <v>62715.4</v>
      </c>
      <c r="E72" s="31">
        <v>385932.5</v>
      </c>
      <c r="F72" s="31">
        <v>258382.8</v>
      </c>
      <c r="G72" s="31">
        <v>543530.4</v>
      </c>
      <c r="H72" s="31">
        <v>321186.40000000002</v>
      </c>
      <c r="I72" s="29">
        <v>767825.2</v>
      </c>
      <c r="J72" s="34">
        <v>1512905</v>
      </c>
      <c r="L72" s="46">
        <f t="shared" si="6"/>
        <v>0</v>
      </c>
      <c r="M72" s="46">
        <f t="shared" si="6"/>
        <v>332.70000000001164</v>
      </c>
      <c r="N72" s="46">
        <f t="shared" si="6"/>
        <v>375.90000000000146</v>
      </c>
      <c r="O72" s="46">
        <f t="shared" si="6"/>
        <v>374.29999999998836</v>
      </c>
      <c r="P72" s="46">
        <f t="shared" si="6"/>
        <v>229.80000000001746</v>
      </c>
      <c r="Q72" s="46">
        <f t="shared" si="6"/>
        <v>2.9000000000232831</v>
      </c>
      <c r="R72" s="46">
        <f t="shared" si="6"/>
        <v>483.09999999997672</v>
      </c>
      <c r="S72" s="46">
        <f t="shared" si="6"/>
        <v>1157.8000000000466</v>
      </c>
      <c r="T72" s="46">
        <f t="shared" si="6"/>
        <v>1470</v>
      </c>
      <c r="U72" s="47">
        <f t="shared" si="7"/>
        <v>2.9000000000232831</v>
      </c>
      <c r="V72" s="47">
        <f t="shared" si="7"/>
        <v>815.79999999998836</v>
      </c>
      <c r="W72" s="47">
        <f t="shared" si="7"/>
        <v>1533.700000000048</v>
      </c>
      <c r="X72" s="47">
        <f t="shared" si="5"/>
        <v>2074.1000000000058</v>
      </c>
    </row>
    <row r="73" spans="1:24" ht="20" customHeight="1" x14ac:dyDescent="0.35">
      <c r="A73" s="29" t="s">
        <v>310</v>
      </c>
      <c r="B73" s="30">
        <v>422940.5</v>
      </c>
      <c r="C73" s="31">
        <v>229344.5</v>
      </c>
      <c r="D73" s="29">
        <v>63091.3</v>
      </c>
      <c r="E73" s="31">
        <v>386306.8</v>
      </c>
      <c r="F73" s="31">
        <v>258612.6</v>
      </c>
      <c r="G73" s="31">
        <v>543533.30000000005</v>
      </c>
      <c r="H73" s="31">
        <v>321669.5</v>
      </c>
      <c r="I73" s="29">
        <v>768983</v>
      </c>
      <c r="J73" s="34">
        <v>1514375</v>
      </c>
      <c r="L73" s="46">
        <f t="shared" si="6"/>
        <v>-422940.5</v>
      </c>
      <c r="M73" s="46">
        <f t="shared" si="6"/>
        <v>-229344.5</v>
      </c>
      <c r="N73" s="46">
        <f t="shared" si="6"/>
        <v>-63091.3</v>
      </c>
      <c r="O73" s="46">
        <f t="shared" ref="O73:T115" si="8">IFERROR(E74-E73,0)</f>
        <v>-386306.8</v>
      </c>
      <c r="P73" s="46">
        <f t="shared" si="8"/>
        <v>-258612.6</v>
      </c>
      <c r="Q73" s="46">
        <f t="shared" si="8"/>
        <v>-543533.30000000005</v>
      </c>
      <c r="R73" s="46">
        <f t="shared" si="8"/>
        <v>-321669.5</v>
      </c>
      <c r="S73" s="46">
        <f t="shared" si="8"/>
        <v>-768983</v>
      </c>
      <c r="T73" s="46">
        <f t="shared" si="8"/>
        <v>-1514375</v>
      </c>
      <c r="U73" s="47">
        <f t="shared" si="7"/>
        <v>-966473.8</v>
      </c>
      <c r="V73" s="47">
        <f t="shared" si="7"/>
        <v>-551014</v>
      </c>
      <c r="W73" s="47">
        <f t="shared" si="7"/>
        <v>-832074.3</v>
      </c>
      <c r="X73" s="47">
        <f t="shared" si="5"/>
        <v>-2159294.4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2026-08-27T07:32:36Z</dcterms:modified>
</cp:coreProperties>
</file>