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bookViews>
    <workbookView xWindow="0" yWindow="0" windowWidth="19200" windowHeight="8130" activeTab="1"/>
  </bookViews>
  <sheets>
    <sheet name="Sheet2" sheetId="2" r:id="rId1"/>
    <sheet name="Freon Meter reading" sheetId="3" r:id="rId2"/>
    <sheet name="Freon Meter reading (2)" sheetId="4" state="hidden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A24" i="2" l="1"/>
  <c r="FZ24" i="2"/>
  <c r="FY24" i="2"/>
  <c r="FX24" i="2"/>
  <c r="GA23" i="2"/>
  <c r="FZ23" i="2"/>
  <c r="FY23" i="2"/>
  <c r="FX23" i="2"/>
  <c r="GA22" i="2"/>
  <c r="FZ22" i="2"/>
  <c r="FY22" i="2"/>
  <c r="FX22" i="2"/>
  <c r="GA21" i="2"/>
  <c r="FZ21" i="2"/>
  <c r="FY21" i="2"/>
  <c r="FX21" i="2"/>
  <c r="GA20" i="2"/>
  <c r="FZ20" i="2"/>
  <c r="FY20" i="2"/>
  <c r="FX20" i="2"/>
  <c r="GA19" i="2"/>
  <c r="FZ19" i="2"/>
  <c r="FY19" i="2"/>
  <c r="FX19" i="2"/>
  <c r="GA18" i="2"/>
  <c r="FZ18" i="2"/>
  <c r="FY18" i="2"/>
  <c r="FX18" i="2"/>
  <c r="GA17" i="2"/>
  <c r="FZ17" i="2"/>
  <c r="FY17" i="2"/>
  <c r="FX17" i="2"/>
  <c r="GA16" i="2" l="1"/>
  <c r="FZ16" i="2"/>
  <c r="FY16" i="2"/>
  <c r="FX16" i="2"/>
  <c r="GA13" i="2" l="1"/>
  <c r="FZ13" i="2"/>
  <c r="FY13" i="2"/>
  <c r="FX13" i="2"/>
  <c r="FW13" i="2"/>
  <c r="FV13" i="2"/>
  <c r="FU13" i="2"/>
  <c r="FT13" i="2"/>
  <c r="FS13" i="2"/>
  <c r="FR13" i="2"/>
  <c r="FQ13" i="2"/>
  <c r="FP13" i="2"/>
  <c r="FO13" i="2"/>
  <c r="FN13" i="2"/>
  <c r="FM13" i="2"/>
  <c r="FL13" i="2"/>
  <c r="FK13" i="2"/>
  <c r="FJ13" i="2"/>
  <c r="FI13" i="2"/>
  <c r="FH13" i="2"/>
  <c r="FG13" i="2"/>
  <c r="FF13" i="2"/>
  <c r="FE13" i="2"/>
  <c r="FD13" i="2"/>
  <c r="FC13" i="2"/>
  <c r="FB13" i="2"/>
  <c r="FA13" i="2"/>
  <c r="EZ13" i="2"/>
  <c r="EY13" i="2"/>
  <c r="EX13" i="2"/>
  <c r="EW13" i="2"/>
  <c r="EV13" i="2"/>
  <c r="EU13" i="2"/>
  <c r="ET13" i="2"/>
  <c r="ES13" i="2"/>
  <c r="ER13" i="2"/>
  <c r="EQ13" i="2"/>
  <c r="EP13" i="2"/>
  <c r="EO13" i="2"/>
  <c r="EN13" i="2"/>
  <c r="EM13" i="2"/>
  <c r="EL13" i="2"/>
  <c r="EK13" i="2"/>
  <c r="EJ13" i="2"/>
  <c r="EI13" i="2"/>
  <c r="EH13" i="2"/>
  <c r="EG13" i="2"/>
  <c r="EF13" i="2"/>
  <c r="EE13" i="2"/>
  <c r="ED13" i="2"/>
  <c r="EC13" i="2"/>
  <c r="EB13" i="2"/>
  <c r="EA13" i="2"/>
  <c r="DZ13" i="2"/>
  <c r="DY13" i="2"/>
  <c r="DX13" i="2"/>
  <c r="DW13" i="2"/>
  <c r="DV13" i="2"/>
  <c r="DU13" i="2"/>
  <c r="DT13" i="2"/>
  <c r="DS13" i="2"/>
  <c r="DR13" i="2"/>
  <c r="DQ13" i="2"/>
  <c r="DP13" i="2"/>
  <c r="DO13" i="2"/>
  <c r="DN13" i="2"/>
  <c r="DM13" i="2"/>
  <c r="DL13" i="2"/>
  <c r="DK13" i="2"/>
  <c r="DJ13" i="2"/>
  <c r="DI13" i="2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L34" i="4" l="1"/>
  <c r="M34" i="4"/>
  <c r="N34" i="4"/>
  <c r="O34" i="4"/>
  <c r="P34" i="4"/>
  <c r="Q34" i="4"/>
  <c r="R34" i="4"/>
  <c r="S34" i="4"/>
  <c r="T34" i="4"/>
  <c r="X152" i="4"/>
  <c r="W152" i="4"/>
  <c r="V152" i="4"/>
  <c r="U152" i="4"/>
  <c r="T151" i="4"/>
  <c r="S151" i="4"/>
  <c r="R151" i="4"/>
  <c r="Q151" i="4"/>
  <c r="P151" i="4"/>
  <c r="O151" i="4"/>
  <c r="N151" i="4"/>
  <c r="M151" i="4"/>
  <c r="L151" i="4"/>
  <c r="T150" i="4"/>
  <c r="S150" i="4"/>
  <c r="R150" i="4"/>
  <c r="Q150" i="4"/>
  <c r="P150" i="4"/>
  <c r="O150" i="4"/>
  <c r="N150" i="4"/>
  <c r="M150" i="4"/>
  <c r="L150" i="4"/>
  <c r="T149" i="4"/>
  <c r="S149" i="4"/>
  <c r="R149" i="4"/>
  <c r="Q149" i="4"/>
  <c r="P149" i="4"/>
  <c r="O149" i="4"/>
  <c r="N149" i="4"/>
  <c r="M149" i="4"/>
  <c r="L149" i="4"/>
  <c r="T148" i="4"/>
  <c r="S148" i="4"/>
  <c r="R148" i="4"/>
  <c r="Q148" i="4"/>
  <c r="P148" i="4"/>
  <c r="O148" i="4"/>
  <c r="N148" i="4"/>
  <c r="M148" i="4"/>
  <c r="L148" i="4"/>
  <c r="T147" i="4"/>
  <c r="S147" i="4"/>
  <c r="R147" i="4"/>
  <c r="Q147" i="4"/>
  <c r="P147" i="4"/>
  <c r="O147" i="4"/>
  <c r="N147" i="4"/>
  <c r="M147" i="4"/>
  <c r="L147" i="4"/>
  <c r="T146" i="4"/>
  <c r="S146" i="4"/>
  <c r="R146" i="4"/>
  <c r="Q146" i="4"/>
  <c r="P146" i="4"/>
  <c r="O146" i="4"/>
  <c r="N146" i="4"/>
  <c r="M146" i="4"/>
  <c r="L146" i="4"/>
  <c r="T145" i="4"/>
  <c r="S145" i="4"/>
  <c r="R145" i="4"/>
  <c r="Q145" i="4"/>
  <c r="P145" i="4"/>
  <c r="O145" i="4"/>
  <c r="N145" i="4"/>
  <c r="M145" i="4"/>
  <c r="L145" i="4"/>
  <c r="T144" i="4"/>
  <c r="S144" i="4"/>
  <c r="R144" i="4"/>
  <c r="Q144" i="4"/>
  <c r="P144" i="4"/>
  <c r="O144" i="4"/>
  <c r="N144" i="4"/>
  <c r="M144" i="4"/>
  <c r="L144" i="4"/>
  <c r="T143" i="4"/>
  <c r="S143" i="4"/>
  <c r="R143" i="4"/>
  <c r="Q143" i="4"/>
  <c r="P143" i="4"/>
  <c r="O143" i="4"/>
  <c r="N143" i="4"/>
  <c r="M143" i="4"/>
  <c r="L143" i="4"/>
  <c r="T142" i="4"/>
  <c r="S142" i="4"/>
  <c r="R142" i="4"/>
  <c r="Q142" i="4"/>
  <c r="P142" i="4"/>
  <c r="O142" i="4"/>
  <c r="N142" i="4"/>
  <c r="M142" i="4"/>
  <c r="L142" i="4"/>
  <c r="T141" i="4"/>
  <c r="S141" i="4"/>
  <c r="R141" i="4"/>
  <c r="Q141" i="4"/>
  <c r="P141" i="4"/>
  <c r="O141" i="4"/>
  <c r="N141" i="4"/>
  <c r="M141" i="4"/>
  <c r="L141" i="4"/>
  <c r="T140" i="4"/>
  <c r="S140" i="4"/>
  <c r="R140" i="4"/>
  <c r="Q140" i="4"/>
  <c r="P140" i="4"/>
  <c r="O140" i="4"/>
  <c r="N140" i="4"/>
  <c r="M140" i="4"/>
  <c r="L140" i="4"/>
  <c r="T139" i="4"/>
  <c r="S139" i="4"/>
  <c r="R139" i="4"/>
  <c r="Q139" i="4"/>
  <c r="P139" i="4"/>
  <c r="O139" i="4"/>
  <c r="N139" i="4"/>
  <c r="M139" i="4"/>
  <c r="L139" i="4"/>
  <c r="T138" i="4"/>
  <c r="S138" i="4"/>
  <c r="R138" i="4"/>
  <c r="Q138" i="4"/>
  <c r="P138" i="4"/>
  <c r="O138" i="4"/>
  <c r="N138" i="4"/>
  <c r="M138" i="4"/>
  <c r="L138" i="4"/>
  <c r="T137" i="4"/>
  <c r="S137" i="4"/>
  <c r="R137" i="4"/>
  <c r="Q137" i="4"/>
  <c r="P137" i="4"/>
  <c r="O137" i="4"/>
  <c r="N137" i="4"/>
  <c r="M137" i="4"/>
  <c r="L137" i="4"/>
  <c r="T136" i="4"/>
  <c r="S136" i="4"/>
  <c r="R136" i="4"/>
  <c r="Q136" i="4"/>
  <c r="P136" i="4"/>
  <c r="O136" i="4"/>
  <c r="N136" i="4"/>
  <c r="M136" i="4"/>
  <c r="L136" i="4"/>
  <c r="T135" i="4"/>
  <c r="S135" i="4"/>
  <c r="R135" i="4"/>
  <c r="Q135" i="4"/>
  <c r="P135" i="4"/>
  <c r="O135" i="4"/>
  <c r="N135" i="4"/>
  <c r="M135" i="4"/>
  <c r="L135" i="4"/>
  <c r="T134" i="4"/>
  <c r="S134" i="4"/>
  <c r="R134" i="4"/>
  <c r="Q134" i="4"/>
  <c r="P134" i="4"/>
  <c r="O134" i="4"/>
  <c r="N134" i="4"/>
  <c r="M134" i="4"/>
  <c r="L134" i="4"/>
  <c r="T133" i="4"/>
  <c r="S133" i="4"/>
  <c r="R133" i="4"/>
  <c r="Q133" i="4"/>
  <c r="P133" i="4"/>
  <c r="O133" i="4"/>
  <c r="N133" i="4"/>
  <c r="M133" i="4"/>
  <c r="L133" i="4"/>
  <c r="T132" i="4"/>
  <c r="S132" i="4"/>
  <c r="R132" i="4"/>
  <c r="Q132" i="4"/>
  <c r="P132" i="4"/>
  <c r="O132" i="4"/>
  <c r="N132" i="4"/>
  <c r="M132" i="4"/>
  <c r="L132" i="4"/>
  <c r="T131" i="4"/>
  <c r="S131" i="4"/>
  <c r="R131" i="4"/>
  <c r="Q131" i="4"/>
  <c r="P131" i="4"/>
  <c r="O131" i="4"/>
  <c r="N131" i="4"/>
  <c r="M131" i="4"/>
  <c r="L131" i="4"/>
  <c r="T130" i="4"/>
  <c r="S130" i="4"/>
  <c r="R130" i="4"/>
  <c r="Q130" i="4"/>
  <c r="P130" i="4"/>
  <c r="O130" i="4"/>
  <c r="N130" i="4"/>
  <c r="M130" i="4"/>
  <c r="L130" i="4"/>
  <c r="T129" i="4"/>
  <c r="S129" i="4"/>
  <c r="R129" i="4"/>
  <c r="Q129" i="4"/>
  <c r="P129" i="4"/>
  <c r="O129" i="4"/>
  <c r="N129" i="4"/>
  <c r="M129" i="4"/>
  <c r="L129" i="4"/>
  <c r="T128" i="4"/>
  <c r="S128" i="4"/>
  <c r="R128" i="4"/>
  <c r="Q128" i="4"/>
  <c r="P128" i="4"/>
  <c r="O128" i="4"/>
  <c r="N128" i="4"/>
  <c r="M128" i="4"/>
  <c r="L128" i="4"/>
  <c r="T127" i="4"/>
  <c r="S127" i="4"/>
  <c r="R127" i="4"/>
  <c r="Q127" i="4"/>
  <c r="P127" i="4"/>
  <c r="O127" i="4"/>
  <c r="N127" i="4"/>
  <c r="M127" i="4"/>
  <c r="L127" i="4"/>
  <c r="T126" i="4"/>
  <c r="S126" i="4"/>
  <c r="R126" i="4"/>
  <c r="Q126" i="4"/>
  <c r="P126" i="4"/>
  <c r="O126" i="4"/>
  <c r="N126" i="4"/>
  <c r="M126" i="4"/>
  <c r="L126" i="4"/>
  <c r="T125" i="4"/>
  <c r="S125" i="4"/>
  <c r="R125" i="4"/>
  <c r="Q125" i="4"/>
  <c r="P125" i="4"/>
  <c r="O125" i="4"/>
  <c r="N125" i="4"/>
  <c r="M125" i="4"/>
  <c r="L125" i="4"/>
  <c r="T124" i="4"/>
  <c r="S124" i="4"/>
  <c r="R124" i="4"/>
  <c r="Q124" i="4"/>
  <c r="P124" i="4"/>
  <c r="O124" i="4"/>
  <c r="N124" i="4"/>
  <c r="M124" i="4"/>
  <c r="L124" i="4"/>
  <c r="T123" i="4"/>
  <c r="S123" i="4"/>
  <c r="R123" i="4"/>
  <c r="Q123" i="4"/>
  <c r="P123" i="4"/>
  <c r="O123" i="4"/>
  <c r="N123" i="4"/>
  <c r="M123" i="4"/>
  <c r="L123" i="4"/>
  <c r="T122" i="4"/>
  <c r="S122" i="4"/>
  <c r="R122" i="4"/>
  <c r="Q122" i="4"/>
  <c r="P122" i="4"/>
  <c r="O122" i="4"/>
  <c r="N122" i="4"/>
  <c r="M122" i="4"/>
  <c r="L122" i="4"/>
  <c r="T121" i="4"/>
  <c r="S121" i="4"/>
  <c r="R121" i="4"/>
  <c r="Q121" i="4"/>
  <c r="P121" i="4"/>
  <c r="O121" i="4"/>
  <c r="N121" i="4"/>
  <c r="M121" i="4"/>
  <c r="L121" i="4"/>
  <c r="T120" i="4"/>
  <c r="S120" i="4"/>
  <c r="R120" i="4"/>
  <c r="Q120" i="4"/>
  <c r="P120" i="4"/>
  <c r="O120" i="4"/>
  <c r="N120" i="4"/>
  <c r="M120" i="4"/>
  <c r="L120" i="4"/>
  <c r="T119" i="4"/>
  <c r="S119" i="4"/>
  <c r="R119" i="4"/>
  <c r="Q119" i="4"/>
  <c r="P119" i="4"/>
  <c r="O119" i="4"/>
  <c r="N119" i="4"/>
  <c r="M119" i="4"/>
  <c r="L119" i="4"/>
  <c r="T118" i="4"/>
  <c r="S118" i="4"/>
  <c r="R118" i="4"/>
  <c r="Q118" i="4"/>
  <c r="P118" i="4"/>
  <c r="O118" i="4"/>
  <c r="N118" i="4"/>
  <c r="M118" i="4"/>
  <c r="L118" i="4"/>
  <c r="T117" i="4"/>
  <c r="S117" i="4"/>
  <c r="R117" i="4"/>
  <c r="Q117" i="4"/>
  <c r="P117" i="4"/>
  <c r="O117" i="4"/>
  <c r="N117" i="4"/>
  <c r="M117" i="4"/>
  <c r="L117" i="4"/>
  <c r="T116" i="4"/>
  <c r="S116" i="4"/>
  <c r="R116" i="4"/>
  <c r="Q116" i="4"/>
  <c r="P116" i="4"/>
  <c r="O116" i="4"/>
  <c r="N116" i="4"/>
  <c r="M116" i="4"/>
  <c r="L116" i="4"/>
  <c r="T115" i="4"/>
  <c r="S115" i="4"/>
  <c r="R115" i="4"/>
  <c r="Q115" i="4"/>
  <c r="P115" i="4"/>
  <c r="O115" i="4"/>
  <c r="N115" i="4"/>
  <c r="M115" i="4"/>
  <c r="L115" i="4"/>
  <c r="T114" i="4"/>
  <c r="S114" i="4"/>
  <c r="R114" i="4"/>
  <c r="Q114" i="4"/>
  <c r="P114" i="4"/>
  <c r="O114" i="4"/>
  <c r="N114" i="4"/>
  <c r="M114" i="4"/>
  <c r="L114" i="4"/>
  <c r="T113" i="4"/>
  <c r="S113" i="4"/>
  <c r="R113" i="4"/>
  <c r="Q113" i="4"/>
  <c r="P113" i="4"/>
  <c r="O113" i="4"/>
  <c r="N113" i="4"/>
  <c r="M113" i="4"/>
  <c r="L113" i="4"/>
  <c r="T112" i="4"/>
  <c r="S112" i="4"/>
  <c r="R112" i="4"/>
  <c r="Q112" i="4"/>
  <c r="P112" i="4"/>
  <c r="O112" i="4"/>
  <c r="N112" i="4"/>
  <c r="M112" i="4"/>
  <c r="L112" i="4"/>
  <c r="T111" i="4"/>
  <c r="S111" i="4"/>
  <c r="R111" i="4"/>
  <c r="Q111" i="4"/>
  <c r="P111" i="4"/>
  <c r="O111" i="4"/>
  <c r="N111" i="4"/>
  <c r="M111" i="4"/>
  <c r="L111" i="4"/>
  <c r="T110" i="4"/>
  <c r="S110" i="4"/>
  <c r="R110" i="4"/>
  <c r="Q110" i="4"/>
  <c r="P110" i="4"/>
  <c r="O110" i="4"/>
  <c r="N110" i="4"/>
  <c r="M110" i="4"/>
  <c r="L110" i="4"/>
  <c r="T109" i="4"/>
  <c r="S109" i="4"/>
  <c r="R109" i="4"/>
  <c r="Q109" i="4"/>
  <c r="P109" i="4"/>
  <c r="O109" i="4"/>
  <c r="N109" i="4"/>
  <c r="M109" i="4"/>
  <c r="L109" i="4"/>
  <c r="T108" i="4"/>
  <c r="S108" i="4"/>
  <c r="R108" i="4"/>
  <c r="Q108" i="4"/>
  <c r="P108" i="4"/>
  <c r="O108" i="4"/>
  <c r="N108" i="4"/>
  <c r="M108" i="4"/>
  <c r="L108" i="4"/>
  <c r="T107" i="4"/>
  <c r="S107" i="4"/>
  <c r="R107" i="4"/>
  <c r="Q107" i="4"/>
  <c r="P107" i="4"/>
  <c r="O107" i="4"/>
  <c r="N107" i="4"/>
  <c r="M107" i="4"/>
  <c r="L107" i="4"/>
  <c r="T106" i="4"/>
  <c r="S106" i="4"/>
  <c r="R106" i="4"/>
  <c r="Q106" i="4"/>
  <c r="P106" i="4"/>
  <c r="O106" i="4"/>
  <c r="N106" i="4"/>
  <c r="M106" i="4"/>
  <c r="L106" i="4"/>
  <c r="T105" i="4"/>
  <c r="S105" i="4"/>
  <c r="R105" i="4"/>
  <c r="Q105" i="4"/>
  <c r="P105" i="4"/>
  <c r="O105" i="4"/>
  <c r="N105" i="4"/>
  <c r="W105" i="4" s="1"/>
  <c r="M105" i="4"/>
  <c r="L105" i="4"/>
  <c r="T104" i="4"/>
  <c r="S104" i="4"/>
  <c r="R104" i="4"/>
  <c r="Q104" i="4"/>
  <c r="P104" i="4"/>
  <c r="O104" i="4"/>
  <c r="N104" i="4"/>
  <c r="M104" i="4"/>
  <c r="L104" i="4"/>
  <c r="T103" i="4"/>
  <c r="S103" i="4"/>
  <c r="R103" i="4"/>
  <c r="Q103" i="4"/>
  <c r="P103" i="4"/>
  <c r="O103" i="4"/>
  <c r="N103" i="4"/>
  <c r="M103" i="4"/>
  <c r="L103" i="4"/>
  <c r="T102" i="4"/>
  <c r="S102" i="4"/>
  <c r="R102" i="4"/>
  <c r="Q102" i="4"/>
  <c r="P102" i="4"/>
  <c r="O102" i="4"/>
  <c r="N102" i="4"/>
  <c r="M102" i="4"/>
  <c r="L102" i="4"/>
  <c r="T101" i="4"/>
  <c r="S101" i="4"/>
  <c r="R101" i="4"/>
  <c r="Q101" i="4"/>
  <c r="P101" i="4"/>
  <c r="O101" i="4"/>
  <c r="N101" i="4"/>
  <c r="M101" i="4"/>
  <c r="L101" i="4"/>
  <c r="T100" i="4"/>
  <c r="S100" i="4"/>
  <c r="R100" i="4"/>
  <c r="Q100" i="4"/>
  <c r="P100" i="4"/>
  <c r="O100" i="4"/>
  <c r="N100" i="4"/>
  <c r="M100" i="4"/>
  <c r="L100" i="4"/>
  <c r="T99" i="4"/>
  <c r="S99" i="4"/>
  <c r="R99" i="4"/>
  <c r="Q99" i="4"/>
  <c r="P99" i="4"/>
  <c r="O99" i="4"/>
  <c r="N99" i="4"/>
  <c r="M99" i="4"/>
  <c r="L99" i="4"/>
  <c r="T98" i="4"/>
  <c r="S98" i="4"/>
  <c r="R98" i="4"/>
  <c r="Q98" i="4"/>
  <c r="P98" i="4"/>
  <c r="O98" i="4"/>
  <c r="N98" i="4"/>
  <c r="M98" i="4"/>
  <c r="L98" i="4"/>
  <c r="T97" i="4"/>
  <c r="S97" i="4"/>
  <c r="R97" i="4"/>
  <c r="Q97" i="4"/>
  <c r="P97" i="4"/>
  <c r="O97" i="4"/>
  <c r="N97" i="4"/>
  <c r="M97" i="4"/>
  <c r="L97" i="4"/>
  <c r="T96" i="4"/>
  <c r="S96" i="4"/>
  <c r="R96" i="4"/>
  <c r="Q96" i="4"/>
  <c r="P96" i="4"/>
  <c r="O96" i="4"/>
  <c r="N96" i="4"/>
  <c r="M96" i="4"/>
  <c r="L96" i="4"/>
  <c r="T95" i="4"/>
  <c r="S95" i="4"/>
  <c r="R95" i="4"/>
  <c r="Q95" i="4"/>
  <c r="P95" i="4"/>
  <c r="O95" i="4"/>
  <c r="N95" i="4"/>
  <c r="M95" i="4"/>
  <c r="L95" i="4"/>
  <c r="T94" i="4"/>
  <c r="S94" i="4"/>
  <c r="R94" i="4"/>
  <c r="Q94" i="4"/>
  <c r="P94" i="4"/>
  <c r="O94" i="4"/>
  <c r="N94" i="4"/>
  <c r="M94" i="4"/>
  <c r="L94" i="4"/>
  <c r="T93" i="4"/>
  <c r="S93" i="4"/>
  <c r="R93" i="4"/>
  <c r="Q93" i="4"/>
  <c r="P93" i="4"/>
  <c r="O93" i="4"/>
  <c r="N93" i="4"/>
  <c r="M93" i="4"/>
  <c r="L93" i="4"/>
  <c r="T92" i="4"/>
  <c r="S92" i="4"/>
  <c r="R92" i="4"/>
  <c r="Q92" i="4"/>
  <c r="P92" i="4"/>
  <c r="O92" i="4"/>
  <c r="N92" i="4"/>
  <c r="M92" i="4"/>
  <c r="L92" i="4"/>
  <c r="T91" i="4"/>
  <c r="S91" i="4"/>
  <c r="R91" i="4"/>
  <c r="Q91" i="4"/>
  <c r="P91" i="4"/>
  <c r="O91" i="4"/>
  <c r="N91" i="4"/>
  <c r="M91" i="4"/>
  <c r="L91" i="4"/>
  <c r="T90" i="4"/>
  <c r="S90" i="4"/>
  <c r="R90" i="4"/>
  <c r="Q90" i="4"/>
  <c r="P90" i="4"/>
  <c r="O90" i="4"/>
  <c r="N90" i="4"/>
  <c r="M90" i="4"/>
  <c r="L90" i="4"/>
  <c r="T89" i="4"/>
  <c r="S89" i="4"/>
  <c r="R89" i="4"/>
  <c r="Q89" i="4"/>
  <c r="P89" i="4"/>
  <c r="O89" i="4"/>
  <c r="N89" i="4"/>
  <c r="M89" i="4"/>
  <c r="L89" i="4"/>
  <c r="T88" i="4"/>
  <c r="S88" i="4"/>
  <c r="R88" i="4"/>
  <c r="Q88" i="4"/>
  <c r="P88" i="4"/>
  <c r="O88" i="4"/>
  <c r="N88" i="4"/>
  <c r="W88" i="4" s="1"/>
  <c r="M88" i="4"/>
  <c r="L88" i="4"/>
  <c r="T87" i="4"/>
  <c r="S87" i="4"/>
  <c r="R87" i="4"/>
  <c r="Q87" i="4"/>
  <c r="P87" i="4"/>
  <c r="O87" i="4"/>
  <c r="N87" i="4"/>
  <c r="M87" i="4"/>
  <c r="L87" i="4"/>
  <c r="T86" i="4"/>
  <c r="S86" i="4"/>
  <c r="R86" i="4"/>
  <c r="Q86" i="4"/>
  <c r="P86" i="4"/>
  <c r="O86" i="4"/>
  <c r="N86" i="4"/>
  <c r="M86" i="4"/>
  <c r="L86" i="4"/>
  <c r="T85" i="4"/>
  <c r="S85" i="4"/>
  <c r="R85" i="4"/>
  <c r="Q85" i="4"/>
  <c r="P85" i="4"/>
  <c r="O85" i="4"/>
  <c r="X85" i="4" s="1"/>
  <c r="N85" i="4"/>
  <c r="W85" i="4" s="1"/>
  <c r="M85" i="4"/>
  <c r="V85" i="4" s="1"/>
  <c r="L85" i="4"/>
  <c r="T84" i="4"/>
  <c r="S84" i="4"/>
  <c r="R84" i="4"/>
  <c r="Q84" i="4"/>
  <c r="P84" i="4"/>
  <c r="O84" i="4"/>
  <c r="N84" i="4"/>
  <c r="M84" i="4"/>
  <c r="L84" i="4"/>
  <c r="T83" i="4"/>
  <c r="S83" i="4"/>
  <c r="R83" i="4"/>
  <c r="Q83" i="4"/>
  <c r="P83" i="4"/>
  <c r="O83" i="4"/>
  <c r="N83" i="4"/>
  <c r="M83" i="4"/>
  <c r="L83" i="4"/>
  <c r="T82" i="4"/>
  <c r="S82" i="4"/>
  <c r="R82" i="4"/>
  <c r="Q82" i="4"/>
  <c r="P82" i="4"/>
  <c r="O82" i="4"/>
  <c r="N82" i="4"/>
  <c r="M82" i="4"/>
  <c r="L82" i="4"/>
  <c r="T81" i="4"/>
  <c r="S81" i="4"/>
  <c r="R81" i="4"/>
  <c r="Q81" i="4"/>
  <c r="P81" i="4"/>
  <c r="O81" i="4"/>
  <c r="N81" i="4"/>
  <c r="M81" i="4"/>
  <c r="L81" i="4"/>
  <c r="T80" i="4"/>
  <c r="S80" i="4"/>
  <c r="R80" i="4"/>
  <c r="Q80" i="4"/>
  <c r="P80" i="4"/>
  <c r="O80" i="4"/>
  <c r="N80" i="4"/>
  <c r="M80" i="4"/>
  <c r="L80" i="4"/>
  <c r="T79" i="4"/>
  <c r="S79" i="4"/>
  <c r="R79" i="4"/>
  <c r="Q79" i="4"/>
  <c r="P79" i="4"/>
  <c r="O79" i="4"/>
  <c r="N79" i="4"/>
  <c r="M79" i="4"/>
  <c r="V79" i="4" s="1"/>
  <c r="L79" i="4"/>
  <c r="U79" i="4" s="1"/>
  <c r="T78" i="4"/>
  <c r="S78" i="4"/>
  <c r="R78" i="4"/>
  <c r="Q78" i="4"/>
  <c r="P78" i="4"/>
  <c r="O78" i="4"/>
  <c r="N78" i="4"/>
  <c r="M78" i="4"/>
  <c r="L78" i="4"/>
  <c r="T77" i="4"/>
  <c r="S77" i="4"/>
  <c r="R77" i="4"/>
  <c r="Q77" i="4"/>
  <c r="P77" i="4"/>
  <c r="O77" i="4"/>
  <c r="N77" i="4"/>
  <c r="M77" i="4"/>
  <c r="L77" i="4"/>
  <c r="T76" i="4"/>
  <c r="S76" i="4"/>
  <c r="R76" i="4"/>
  <c r="Q76" i="4"/>
  <c r="P76" i="4"/>
  <c r="O76" i="4"/>
  <c r="N76" i="4"/>
  <c r="M76" i="4"/>
  <c r="L76" i="4"/>
  <c r="U76" i="4" s="1"/>
  <c r="T75" i="4"/>
  <c r="S75" i="4"/>
  <c r="R75" i="4"/>
  <c r="Q75" i="4"/>
  <c r="P75" i="4"/>
  <c r="O75" i="4"/>
  <c r="N75" i="4"/>
  <c r="M75" i="4"/>
  <c r="L75" i="4"/>
  <c r="T74" i="4"/>
  <c r="S74" i="4"/>
  <c r="R74" i="4"/>
  <c r="Q74" i="4"/>
  <c r="P74" i="4"/>
  <c r="O74" i="4"/>
  <c r="N74" i="4"/>
  <c r="M74" i="4"/>
  <c r="L74" i="4"/>
  <c r="T73" i="4"/>
  <c r="S73" i="4"/>
  <c r="R73" i="4"/>
  <c r="Q73" i="4"/>
  <c r="P73" i="4"/>
  <c r="O73" i="4"/>
  <c r="N73" i="4"/>
  <c r="M73" i="4"/>
  <c r="L73" i="4"/>
  <c r="T72" i="4"/>
  <c r="S72" i="4"/>
  <c r="R72" i="4"/>
  <c r="Q72" i="4"/>
  <c r="P72" i="4"/>
  <c r="O72" i="4"/>
  <c r="N72" i="4"/>
  <c r="M72" i="4"/>
  <c r="L72" i="4"/>
  <c r="T71" i="4"/>
  <c r="S71" i="4"/>
  <c r="R71" i="4"/>
  <c r="Q71" i="4"/>
  <c r="P71" i="4"/>
  <c r="O71" i="4"/>
  <c r="X71" i="4" s="1"/>
  <c r="N71" i="4"/>
  <c r="W71" i="4" s="1"/>
  <c r="M71" i="4"/>
  <c r="V71" i="4" s="1"/>
  <c r="L71" i="4"/>
  <c r="T70" i="4"/>
  <c r="S70" i="4"/>
  <c r="R70" i="4"/>
  <c r="Q70" i="4"/>
  <c r="P70" i="4"/>
  <c r="O70" i="4"/>
  <c r="N70" i="4"/>
  <c r="M70" i="4"/>
  <c r="L70" i="4"/>
  <c r="T69" i="4"/>
  <c r="S69" i="4"/>
  <c r="R69" i="4"/>
  <c r="Q69" i="4"/>
  <c r="P69" i="4"/>
  <c r="O69" i="4"/>
  <c r="N69" i="4"/>
  <c r="M69" i="4"/>
  <c r="L69" i="4"/>
  <c r="T68" i="4"/>
  <c r="S68" i="4"/>
  <c r="R68" i="4"/>
  <c r="Q68" i="4"/>
  <c r="P68" i="4"/>
  <c r="O68" i="4"/>
  <c r="X68" i="4" s="1"/>
  <c r="N68" i="4"/>
  <c r="M68" i="4"/>
  <c r="L68" i="4"/>
  <c r="T67" i="4"/>
  <c r="S67" i="4"/>
  <c r="R67" i="4"/>
  <c r="Q67" i="4"/>
  <c r="P67" i="4"/>
  <c r="O67" i="4"/>
  <c r="N67" i="4"/>
  <c r="M67" i="4"/>
  <c r="L67" i="4"/>
  <c r="T66" i="4"/>
  <c r="S66" i="4"/>
  <c r="R66" i="4"/>
  <c r="Q66" i="4"/>
  <c r="P66" i="4"/>
  <c r="O66" i="4"/>
  <c r="N66" i="4"/>
  <c r="M66" i="4"/>
  <c r="L66" i="4"/>
  <c r="T65" i="4"/>
  <c r="S65" i="4"/>
  <c r="R65" i="4"/>
  <c r="Q65" i="4"/>
  <c r="P65" i="4"/>
  <c r="O65" i="4"/>
  <c r="N65" i="4"/>
  <c r="M65" i="4"/>
  <c r="L65" i="4"/>
  <c r="T64" i="4"/>
  <c r="S64" i="4"/>
  <c r="R64" i="4"/>
  <c r="Q64" i="4"/>
  <c r="P64" i="4"/>
  <c r="O64" i="4"/>
  <c r="N64" i="4"/>
  <c r="M64" i="4"/>
  <c r="L64" i="4"/>
  <c r="T63" i="4"/>
  <c r="S63" i="4"/>
  <c r="R63" i="4"/>
  <c r="Q63" i="4"/>
  <c r="P63" i="4"/>
  <c r="O63" i="4"/>
  <c r="N63" i="4"/>
  <c r="M63" i="4"/>
  <c r="L63" i="4"/>
  <c r="T62" i="4"/>
  <c r="S62" i="4"/>
  <c r="R62" i="4"/>
  <c r="Q62" i="4"/>
  <c r="P62" i="4"/>
  <c r="O62" i="4"/>
  <c r="N62" i="4"/>
  <c r="M62" i="4"/>
  <c r="L62" i="4"/>
  <c r="T61" i="4"/>
  <c r="S61" i="4"/>
  <c r="R61" i="4"/>
  <c r="Q61" i="4"/>
  <c r="P61" i="4"/>
  <c r="O61" i="4"/>
  <c r="N61" i="4"/>
  <c r="M61" i="4"/>
  <c r="L61" i="4"/>
  <c r="T60" i="4"/>
  <c r="S60" i="4"/>
  <c r="R60" i="4"/>
  <c r="Q60" i="4"/>
  <c r="P60" i="4"/>
  <c r="O60" i="4"/>
  <c r="N60" i="4"/>
  <c r="M60" i="4"/>
  <c r="L60" i="4"/>
  <c r="T59" i="4"/>
  <c r="S59" i="4"/>
  <c r="R59" i="4"/>
  <c r="Q59" i="4"/>
  <c r="P59" i="4"/>
  <c r="O59" i="4"/>
  <c r="N59" i="4"/>
  <c r="M59" i="4"/>
  <c r="L59" i="4"/>
  <c r="T58" i="4"/>
  <c r="S58" i="4"/>
  <c r="R58" i="4"/>
  <c r="Q58" i="4"/>
  <c r="P58" i="4"/>
  <c r="O58" i="4"/>
  <c r="N58" i="4"/>
  <c r="M58" i="4"/>
  <c r="L58" i="4"/>
  <c r="T57" i="4"/>
  <c r="S57" i="4"/>
  <c r="R57" i="4"/>
  <c r="Q57" i="4"/>
  <c r="P57" i="4"/>
  <c r="O57" i="4"/>
  <c r="N57" i="4"/>
  <c r="M57" i="4"/>
  <c r="V57" i="4" s="1"/>
  <c r="L57" i="4"/>
  <c r="T56" i="4"/>
  <c r="S56" i="4"/>
  <c r="R56" i="4"/>
  <c r="Q56" i="4"/>
  <c r="P56" i="4"/>
  <c r="O56" i="4"/>
  <c r="N56" i="4"/>
  <c r="M56" i="4"/>
  <c r="L56" i="4"/>
  <c r="T55" i="4"/>
  <c r="S55" i="4"/>
  <c r="R55" i="4"/>
  <c r="Q55" i="4"/>
  <c r="P55" i="4"/>
  <c r="O55" i="4"/>
  <c r="N55" i="4"/>
  <c r="M55" i="4"/>
  <c r="L55" i="4"/>
  <c r="T54" i="4"/>
  <c r="S54" i="4"/>
  <c r="R54" i="4"/>
  <c r="Q54" i="4"/>
  <c r="P54" i="4"/>
  <c r="O54" i="4"/>
  <c r="N54" i="4"/>
  <c r="M54" i="4"/>
  <c r="V54" i="4" s="1"/>
  <c r="L54" i="4"/>
  <c r="T53" i="4"/>
  <c r="S53" i="4"/>
  <c r="R53" i="4"/>
  <c r="Q53" i="4"/>
  <c r="P53" i="4"/>
  <c r="O53" i="4"/>
  <c r="N53" i="4"/>
  <c r="M53" i="4"/>
  <c r="L53" i="4"/>
  <c r="T52" i="4"/>
  <c r="S52" i="4"/>
  <c r="R52" i="4"/>
  <c r="Q52" i="4"/>
  <c r="P52" i="4"/>
  <c r="O52" i="4"/>
  <c r="N52" i="4"/>
  <c r="M52" i="4"/>
  <c r="L52" i="4"/>
  <c r="T51" i="4"/>
  <c r="S51" i="4"/>
  <c r="R51" i="4"/>
  <c r="Q51" i="4"/>
  <c r="P51" i="4"/>
  <c r="O51" i="4"/>
  <c r="N51" i="4"/>
  <c r="W51" i="4" s="1"/>
  <c r="M51" i="4"/>
  <c r="L51" i="4"/>
  <c r="T50" i="4"/>
  <c r="S50" i="4"/>
  <c r="R50" i="4"/>
  <c r="Q50" i="4"/>
  <c r="P50" i="4"/>
  <c r="O50" i="4"/>
  <c r="N50" i="4"/>
  <c r="M50" i="4"/>
  <c r="L50" i="4"/>
  <c r="T49" i="4"/>
  <c r="S49" i="4"/>
  <c r="R49" i="4"/>
  <c r="Q49" i="4"/>
  <c r="P49" i="4"/>
  <c r="O49" i="4"/>
  <c r="X49" i="4" s="1"/>
  <c r="N49" i="4"/>
  <c r="M49" i="4"/>
  <c r="L49" i="4"/>
  <c r="T48" i="4"/>
  <c r="S48" i="4"/>
  <c r="R48" i="4"/>
  <c r="Q48" i="4"/>
  <c r="P48" i="4"/>
  <c r="O48" i="4"/>
  <c r="N48" i="4"/>
  <c r="M48" i="4"/>
  <c r="L48" i="4"/>
  <c r="T47" i="4"/>
  <c r="S47" i="4"/>
  <c r="R47" i="4"/>
  <c r="Q47" i="4"/>
  <c r="P47" i="4"/>
  <c r="O47" i="4"/>
  <c r="N47" i="4"/>
  <c r="M47" i="4"/>
  <c r="L47" i="4"/>
  <c r="T46" i="4"/>
  <c r="S46" i="4"/>
  <c r="R46" i="4"/>
  <c r="Q46" i="4"/>
  <c r="P46" i="4"/>
  <c r="O46" i="4"/>
  <c r="N46" i="4"/>
  <c r="W46" i="4" s="1"/>
  <c r="M46" i="4"/>
  <c r="L46" i="4"/>
  <c r="T45" i="4"/>
  <c r="S45" i="4"/>
  <c r="R45" i="4"/>
  <c r="Q45" i="4"/>
  <c r="P45" i="4"/>
  <c r="O45" i="4"/>
  <c r="N45" i="4"/>
  <c r="W45" i="4" s="1"/>
  <c r="M45" i="4"/>
  <c r="V45" i="4" s="1"/>
  <c r="L45" i="4"/>
  <c r="T44" i="4"/>
  <c r="S44" i="4"/>
  <c r="R44" i="4"/>
  <c r="V44" i="4" s="1"/>
  <c r="Q44" i="4"/>
  <c r="U44" i="4" s="1"/>
  <c r="P44" i="4"/>
  <c r="O44" i="4"/>
  <c r="N44" i="4"/>
  <c r="M44" i="4"/>
  <c r="L44" i="4"/>
  <c r="T43" i="4"/>
  <c r="S43" i="4"/>
  <c r="R43" i="4"/>
  <c r="Q43" i="4"/>
  <c r="P43" i="4"/>
  <c r="O43" i="4"/>
  <c r="N43" i="4"/>
  <c r="M43" i="4"/>
  <c r="L43" i="4"/>
  <c r="T42" i="4"/>
  <c r="S42" i="4"/>
  <c r="R42" i="4"/>
  <c r="Q42" i="4"/>
  <c r="P42" i="4"/>
  <c r="O42" i="4"/>
  <c r="N42" i="4"/>
  <c r="W42" i="4" s="1"/>
  <c r="M42" i="4"/>
  <c r="V42" i="4" s="1"/>
  <c r="L42" i="4"/>
  <c r="U42" i="4" s="1"/>
  <c r="T41" i="4"/>
  <c r="S41" i="4"/>
  <c r="R41" i="4"/>
  <c r="Q41" i="4"/>
  <c r="P41" i="4"/>
  <c r="O41" i="4"/>
  <c r="N41" i="4"/>
  <c r="M41" i="4"/>
  <c r="L41" i="4"/>
  <c r="T39" i="4"/>
  <c r="S39" i="4"/>
  <c r="R39" i="4"/>
  <c r="Q39" i="4"/>
  <c r="P39" i="4"/>
  <c r="O39" i="4"/>
  <c r="N39" i="4"/>
  <c r="M39" i="4"/>
  <c r="L39" i="4"/>
  <c r="T38" i="4"/>
  <c r="S38" i="4"/>
  <c r="R38" i="4"/>
  <c r="Q38" i="4"/>
  <c r="P38" i="4"/>
  <c r="O38" i="4"/>
  <c r="N38" i="4"/>
  <c r="M38" i="4"/>
  <c r="L38" i="4"/>
  <c r="T37" i="4"/>
  <c r="S37" i="4"/>
  <c r="R37" i="4"/>
  <c r="Q37" i="4"/>
  <c r="P37" i="4"/>
  <c r="O37" i="4"/>
  <c r="N37" i="4"/>
  <c r="M37" i="4"/>
  <c r="L37" i="4"/>
  <c r="T36" i="4"/>
  <c r="S36" i="4"/>
  <c r="R36" i="4"/>
  <c r="Q36" i="4"/>
  <c r="P36" i="4"/>
  <c r="O36" i="4"/>
  <c r="N36" i="4"/>
  <c r="M36" i="4"/>
  <c r="V36" i="4" s="1"/>
  <c r="L36" i="4"/>
  <c r="T35" i="4"/>
  <c r="S35" i="4"/>
  <c r="R35" i="4"/>
  <c r="Q35" i="4"/>
  <c r="P35" i="4"/>
  <c r="O35" i="4"/>
  <c r="N35" i="4"/>
  <c r="M35" i="4"/>
  <c r="L35" i="4"/>
  <c r="T33" i="4"/>
  <c r="S33" i="4"/>
  <c r="R33" i="4"/>
  <c r="Q33" i="4"/>
  <c r="P33" i="4"/>
  <c r="O33" i="4"/>
  <c r="N33" i="4"/>
  <c r="M33" i="4"/>
  <c r="L33" i="4"/>
  <c r="T32" i="4"/>
  <c r="S32" i="4"/>
  <c r="R32" i="4"/>
  <c r="Q32" i="4"/>
  <c r="P32" i="4"/>
  <c r="O32" i="4"/>
  <c r="N32" i="4"/>
  <c r="M32" i="4"/>
  <c r="L32" i="4"/>
  <c r="T31" i="4"/>
  <c r="S31" i="4"/>
  <c r="R31" i="4"/>
  <c r="Q31" i="4"/>
  <c r="P31" i="4"/>
  <c r="O31" i="4"/>
  <c r="N31" i="4"/>
  <c r="M31" i="4"/>
  <c r="L31" i="4"/>
  <c r="T30" i="4"/>
  <c r="S30" i="4"/>
  <c r="R30" i="4"/>
  <c r="Q30" i="4"/>
  <c r="P30" i="4"/>
  <c r="O30" i="4"/>
  <c r="N30" i="4"/>
  <c r="W30" i="4" s="1"/>
  <c r="M30" i="4"/>
  <c r="L30" i="4"/>
  <c r="T29" i="4"/>
  <c r="S29" i="4"/>
  <c r="R29" i="4"/>
  <c r="Q29" i="4"/>
  <c r="P29" i="4"/>
  <c r="O29" i="4"/>
  <c r="N29" i="4"/>
  <c r="M29" i="4"/>
  <c r="L29" i="4"/>
  <c r="T28" i="4"/>
  <c r="S28" i="4"/>
  <c r="R28" i="4"/>
  <c r="Q28" i="4"/>
  <c r="P28" i="4"/>
  <c r="O28" i="4"/>
  <c r="N28" i="4"/>
  <c r="M28" i="4"/>
  <c r="L28" i="4"/>
  <c r="T27" i="4"/>
  <c r="S27" i="4"/>
  <c r="R27" i="4"/>
  <c r="Q27" i="4"/>
  <c r="P27" i="4"/>
  <c r="O27" i="4"/>
  <c r="N27" i="4"/>
  <c r="M27" i="4"/>
  <c r="L27" i="4"/>
  <c r="T26" i="4"/>
  <c r="S26" i="4"/>
  <c r="R26" i="4"/>
  <c r="Q26" i="4"/>
  <c r="P26" i="4"/>
  <c r="O26" i="4"/>
  <c r="N26" i="4"/>
  <c r="M26" i="4"/>
  <c r="L26" i="4"/>
  <c r="T25" i="4"/>
  <c r="S25" i="4"/>
  <c r="R25" i="4"/>
  <c r="Q25" i="4"/>
  <c r="P25" i="4"/>
  <c r="O25" i="4"/>
  <c r="N25" i="4"/>
  <c r="M25" i="4"/>
  <c r="L25" i="4"/>
  <c r="T24" i="4"/>
  <c r="S24" i="4"/>
  <c r="R24" i="4"/>
  <c r="Q24" i="4"/>
  <c r="P24" i="4"/>
  <c r="O24" i="4"/>
  <c r="N24" i="4"/>
  <c r="M24" i="4"/>
  <c r="L24" i="4"/>
  <c r="T23" i="4"/>
  <c r="S23" i="4"/>
  <c r="R23" i="4"/>
  <c r="Q23" i="4"/>
  <c r="P23" i="4"/>
  <c r="O23" i="4"/>
  <c r="N23" i="4"/>
  <c r="M23" i="4"/>
  <c r="L23" i="4"/>
  <c r="T22" i="4"/>
  <c r="S22" i="4"/>
  <c r="R22" i="4"/>
  <c r="Q22" i="4"/>
  <c r="P22" i="4"/>
  <c r="O22" i="4"/>
  <c r="N22" i="4"/>
  <c r="M22" i="4"/>
  <c r="L22" i="4"/>
  <c r="T21" i="4"/>
  <c r="S21" i="4"/>
  <c r="R21" i="4"/>
  <c r="Q21" i="4"/>
  <c r="P21" i="4"/>
  <c r="O21" i="4"/>
  <c r="N21" i="4"/>
  <c r="M21" i="4"/>
  <c r="L21" i="4"/>
  <c r="T20" i="4"/>
  <c r="S20" i="4"/>
  <c r="R20" i="4"/>
  <c r="Q20" i="4"/>
  <c r="P20" i="4"/>
  <c r="O20" i="4"/>
  <c r="N20" i="4"/>
  <c r="M20" i="4"/>
  <c r="L20" i="4"/>
  <c r="T19" i="4"/>
  <c r="S19" i="4"/>
  <c r="R19" i="4"/>
  <c r="Q19" i="4"/>
  <c r="P19" i="4"/>
  <c r="O19" i="4"/>
  <c r="N19" i="4"/>
  <c r="M19" i="4"/>
  <c r="L19" i="4"/>
  <c r="T18" i="4"/>
  <c r="S18" i="4"/>
  <c r="R18" i="4"/>
  <c r="Q18" i="4"/>
  <c r="P18" i="4"/>
  <c r="O18" i="4"/>
  <c r="N18" i="4"/>
  <c r="M18" i="4"/>
  <c r="L18" i="4"/>
  <c r="T17" i="4"/>
  <c r="S17" i="4"/>
  <c r="R17" i="4"/>
  <c r="Q17" i="4"/>
  <c r="P17" i="4"/>
  <c r="O17" i="4"/>
  <c r="N17" i="4"/>
  <c r="M17" i="4"/>
  <c r="L17" i="4"/>
  <c r="T16" i="4"/>
  <c r="S16" i="4"/>
  <c r="R16" i="4"/>
  <c r="Q16" i="4"/>
  <c r="P16" i="4"/>
  <c r="O16" i="4"/>
  <c r="N16" i="4"/>
  <c r="W16" i="4" s="1"/>
  <c r="M16" i="4"/>
  <c r="L16" i="4"/>
  <c r="T15" i="4"/>
  <c r="S15" i="4"/>
  <c r="R15" i="4"/>
  <c r="Q15" i="4"/>
  <c r="P15" i="4"/>
  <c r="O15" i="4"/>
  <c r="N15" i="4"/>
  <c r="M15" i="4"/>
  <c r="L15" i="4"/>
  <c r="T14" i="4"/>
  <c r="S14" i="4"/>
  <c r="R14" i="4"/>
  <c r="Q14" i="4"/>
  <c r="P14" i="4"/>
  <c r="O14" i="4"/>
  <c r="N14" i="4"/>
  <c r="M14" i="4"/>
  <c r="L14" i="4"/>
  <c r="T13" i="4"/>
  <c r="S13" i="4"/>
  <c r="R13" i="4"/>
  <c r="Q13" i="4"/>
  <c r="P13" i="4"/>
  <c r="O13" i="4"/>
  <c r="N13" i="4"/>
  <c r="M13" i="4"/>
  <c r="L13" i="4"/>
  <c r="T12" i="4"/>
  <c r="S12" i="4"/>
  <c r="R12" i="4"/>
  <c r="Q12" i="4"/>
  <c r="P12" i="4"/>
  <c r="O12" i="4"/>
  <c r="N12" i="4"/>
  <c r="M12" i="4"/>
  <c r="L12" i="4"/>
  <c r="T11" i="4"/>
  <c r="S11" i="4"/>
  <c r="R11" i="4"/>
  <c r="Q11" i="4"/>
  <c r="P11" i="4"/>
  <c r="O11" i="4"/>
  <c r="N11" i="4"/>
  <c r="M11" i="4"/>
  <c r="L11" i="4"/>
  <c r="T10" i="4"/>
  <c r="S10" i="4"/>
  <c r="R10" i="4"/>
  <c r="Q10" i="4"/>
  <c r="P10" i="4"/>
  <c r="O10" i="4"/>
  <c r="N10" i="4"/>
  <c r="M10" i="4"/>
  <c r="L10" i="4"/>
  <c r="U100" i="4" l="1"/>
  <c r="U115" i="4"/>
  <c r="V117" i="4"/>
  <c r="W120" i="4"/>
  <c r="U142" i="4"/>
  <c r="W148" i="4"/>
  <c r="X151" i="4"/>
  <c r="V87" i="4"/>
  <c r="U97" i="4"/>
  <c r="V100" i="4"/>
  <c r="V114" i="4"/>
  <c r="X148" i="4"/>
  <c r="X34" i="4"/>
  <c r="W58" i="4"/>
  <c r="X61" i="4"/>
  <c r="V83" i="4"/>
  <c r="V97" i="4"/>
  <c r="W100" i="4"/>
  <c r="W114" i="4"/>
  <c r="X117" i="4"/>
  <c r="W142" i="4"/>
  <c r="X145" i="4"/>
  <c r="W34" i="4"/>
  <c r="W11" i="4"/>
  <c r="X45" i="4"/>
  <c r="U49" i="4"/>
  <c r="V52" i="4"/>
  <c r="V53" i="4"/>
  <c r="W55" i="4"/>
  <c r="X58" i="4"/>
  <c r="U78" i="4"/>
  <c r="W37" i="4"/>
  <c r="W38" i="4"/>
  <c r="V49" i="4"/>
  <c r="W52" i="4"/>
  <c r="U74" i="4"/>
  <c r="V77" i="4"/>
  <c r="V91" i="4"/>
  <c r="V105" i="4"/>
  <c r="W108" i="4"/>
  <c r="U130" i="4"/>
  <c r="U34" i="4"/>
  <c r="X42" i="4"/>
  <c r="X107" i="4"/>
  <c r="V116" i="4"/>
  <c r="U126" i="4"/>
  <c r="U127" i="4"/>
  <c r="V129" i="4"/>
  <c r="W132" i="4"/>
  <c r="X135" i="4"/>
  <c r="U140" i="4"/>
  <c r="W101" i="4"/>
  <c r="W116" i="4"/>
  <c r="U123" i="4"/>
  <c r="V126" i="4"/>
  <c r="V127" i="4"/>
  <c r="W129" i="4"/>
  <c r="U151" i="4"/>
  <c r="V11" i="4"/>
  <c r="V12" i="4"/>
  <c r="X17" i="4"/>
  <c r="V26" i="4"/>
  <c r="W98" i="4"/>
  <c r="X101" i="4"/>
  <c r="U106" i="4"/>
  <c r="X115" i="4"/>
  <c r="X116" i="4"/>
  <c r="U120" i="4"/>
  <c r="W141" i="4"/>
  <c r="U148" i="4"/>
  <c r="V151" i="4"/>
  <c r="W25" i="4"/>
  <c r="V58" i="4"/>
  <c r="X64" i="4"/>
  <c r="U69" i="4"/>
  <c r="V93" i="4"/>
  <c r="W95" i="4"/>
  <c r="V120" i="4"/>
  <c r="V148" i="4"/>
  <c r="W151" i="4"/>
  <c r="U36" i="4"/>
  <c r="W43" i="4"/>
  <c r="W49" i="4"/>
  <c r="U57" i="4"/>
  <c r="X80" i="4"/>
  <c r="U91" i="4"/>
  <c r="V94" i="4"/>
  <c r="W97" i="4"/>
  <c r="V108" i="4"/>
  <c r="W111" i="4"/>
  <c r="X114" i="4"/>
  <c r="X74" i="4"/>
  <c r="V34" i="4"/>
  <c r="W39" i="4"/>
  <c r="X75" i="4"/>
  <c r="X149" i="4"/>
  <c r="X72" i="4"/>
  <c r="V72" i="4"/>
  <c r="W115" i="4"/>
  <c r="V140" i="4"/>
  <c r="U143" i="4"/>
  <c r="W72" i="4"/>
  <c r="V109" i="4"/>
  <c r="W146" i="4"/>
  <c r="W66" i="4"/>
  <c r="X128" i="4"/>
  <c r="W102" i="4"/>
  <c r="W103" i="4"/>
  <c r="X105" i="4"/>
  <c r="X108" i="4"/>
  <c r="U113" i="4"/>
  <c r="U114" i="4"/>
  <c r="V150" i="4"/>
  <c r="V41" i="4"/>
  <c r="X56" i="4"/>
  <c r="W59" i="4"/>
  <c r="U67" i="4"/>
  <c r="U70" i="4"/>
  <c r="U71" i="4"/>
  <c r="X102" i="4"/>
  <c r="V113" i="4"/>
  <c r="W130" i="4"/>
  <c r="W131" i="4"/>
  <c r="U138" i="4"/>
  <c r="U141" i="4"/>
  <c r="V147" i="4"/>
  <c r="W150" i="4"/>
  <c r="X59" i="4"/>
  <c r="U64" i="4"/>
  <c r="V70" i="4"/>
  <c r="W113" i="4"/>
  <c r="W127" i="4"/>
  <c r="W128" i="4"/>
  <c r="X130" i="4"/>
  <c r="U135" i="4"/>
  <c r="V138" i="4"/>
  <c r="V141" i="4"/>
  <c r="U17" i="4"/>
  <c r="U18" i="4"/>
  <c r="W23" i="4"/>
  <c r="U55" i="4"/>
  <c r="U61" i="4"/>
  <c r="V64" i="4"/>
  <c r="W67" i="4"/>
  <c r="W70" i="4"/>
  <c r="W90" i="4"/>
  <c r="U99" i="4"/>
  <c r="X113" i="4"/>
  <c r="U132" i="4"/>
  <c r="V135" i="4"/>
  <c r="V17" i="4"/>
  <c r="V55" i="4"/>
  <c r="V56" i="4"/>
  <c r="V61" i="4"/>
  <c r="W64" i="4"/>
  <c r="X88" i="4"/>
  <c r="V101" i="4"/>
  <c r="X110" i="4"/>
  <c r="V132" i="4"/>
  <c r="W135" i="4"/>
  <c r="X83" i="4"/>
  <c r="X146" i="4"/>
  <c r="U59" i="4"/>
  <c r="U136" i="4"/>
  <c r="X46" i="4"/>
  <c r="V74" i="4"/>
  <c r="U98" i="4"/>
  <c r="U28" i="4"/>
  <c r="V31" i="4"/>
  <c r="W74" i="4"/>
  <c r="X89" i="4"/>
  <c r="V98" i="4"/>
  <c r="U101" i="4"/>
  <c r="X118" i="4"/>
  <c r="V142" i="4"/>
  <c r="W31" i="4"/>
  <c r="V46" i="4"/>
  <c r="W80" i="4"/>
  <c r="V95" i="4"/>
  <c r="U26" i="4"/>
  <c r="V29" i="4"/>
  <c r="V30" i="4"/>
  <c r="U47" i="4"/>
  <c r="V50" i="4"/>
  <c r="V51" i="4"/>
  <c r="W78" i="4"/>
  <c r="W81" i="4"/>
  <c r="W82" i="4"/>
  <c r="X84" i="4"/>
  <c r="W87" i="4"/>
  <c r="V96" i="4"/>
  <c r="X103" i="4"/>
  <c r="X109" i="4"/>
  <c r="U111" i="4"/>
  <c r="V115" i="4"/>
  <c r="U124" i="4"/>
  <c r="U125" i="4"/>
  <c r="V143" i="4"/>
  <c r="V47" i="4"/>
  <c r="W50" i="4"/>
  <c r="U66" i="4"/>
  <c r="X73" i="4"/>
  <c r="X78" i="4"/>
  <c r="X87" i="4"/>
  <c r="V90" i="4"/>
  <c r="W93" i="4"/>
  <c r="V111" i="4"/>
  <c r="U118" i="4"/>
  <c r="U121" i="4"/>
  <c r="U122" i="4"/>
  <c r="X131" i="4"/>
  <c r="X132" i="4"/>
  <c r="W143" i="4"/>
  <c r="X139" i="4"/>
  <c r="W124" i="4"/>
  <c r="X47" i="4"/>
  <c r="V59" i="4"/>
  <c r="W68" i="4"/>
  <c r="X90" i="4"/>
  <c r="V102" i="4"/>
  <c r="W144" i="4"/>
  <c r="W48" i="4"/>
  <c r="X54" i="4"/>
  <c r="W57" i="4"/>
  <c r="U58" i="4"/>
  <c r="V66" i="4"/>
  <c r="V69" i="4"/>
  <c r="X79" i="4"/>
  <c r="U84" i="4"/>
  <c r="X86" i="4"/>
  <c r="W91" i="4"/>
  <c r="W94" i="4"/>
  <c r="U103" i="4"/>
  <c r="V123" i="4"/>
  <c r="W125" i="4"/>
  <c r="X129" i="4"/>
  <c r="X57" i="4"/>
  <c r="W69" i="4"/>
  <c r="U81" i="4"/>
  <c r="V84" i="4"/>
  <c r="W89" i="4"/>
  <c r="W122" i="4"/>
  <c r="U128" i="4"/>
  <c r="W140" i="4"/>
  <c r="X144" i="4"/>
  <c r="U146" i="4"/>
  <c r="U29" i="4"/>
  <c r="U50" i="4"/>
  <c r="U53" i="4"/>
  <c r="U56" i="4"/>
  <c r="W60" i="4"/>
  <c r="W63" i="4"/>
  <c r="W84" i="4"/>
  <c r="U96" i="4"/>
  <c r="V99" i="4"/>
  <c r="X119" i="4"/>
  <c r="X122" i="4"/>
  <c r="W137" i="4"/>
  <c r="X140" i="4"/>
  <c r="U144" i="4"/>
  <c r="X95" i="4"/>
  <c r="X125" i="4"/>
  <c r="U16" i="4"/>
  <c r="U31" i="4"/>
  <c r="W36" i="4"/>
  <c r="X62" i="4"/>
  <c r="X76" i="4"/>
  <c r="X91" i="4"/>
  <c r="V118" i="4"/>
  <c r="V121" i="4"/>
  <c r="V124" i="4"/>
  <c r="V128" i="4"/>
  <c r="V16" i="4"/>
  <c r="W19" i="4"/>
  <c r="X36" i="4"/>
  <c r="U41" i="4"/>
  <c r="X53" i="4"/>
  <c r="U60" i="4"/>
  <c r="U77" i="4"/>
  <c r="U83" i="4"/>
  <c r="X100" i="4"/>
  <c r="V107" i="4"/>
  <c r="W118" i="4"/>
  <c r="W121" i="4"/>
  <c r="U129" i="4"/>
  <c r="U134" i="4"/>
  <c r="U147" i="4"/>
  <c r="W47" i="4"/>
  <c r="U94" i="4"/>
  <c r="W61" i="4"/>
  <c r="V67" i="4"/>
  <c r="W138" i="4"/>
  <c r="X52" i="4"/>
  <c r="X60" i="4"/>
  <c r="X63" i="4"/>
  <c r="X66" i="4"/>
  <c r="V73" i="4"/>
  <c r="U86" i="4"/>
  <c r="X93" i="4"/>
  <c r="X96" i="4"/>
  <c r="W99" i="4"/>
  <c r="X127" i="4"/>
  <c r="X134" i="4"/>
  <c r="X150" i="4"/>
  <c r="U15" i="4"/>
  <c r="X41" i="4"/>
  <c r="W44" i="4"/>
  <c r="X69" i="4"/>
  <c r="U72" i="4"/>
  <c r="W73" i="4"/>
  <c r="V86" i="4"/>
  <c r="V103" i="4"/>
  <c r="V106" i="4"/>
  <c r="U109" i="4"/>
  <c r="U112" i="4"/>
  <c r="X137" i="4"/>
  <c r="U139" i="4"/>
  <c r="X44" i="4"/>
  <c r="U62" i="4"/>
  <c r="U65" i="4"/>
  <c r="U68" i="4"/>
  <c r="U82" i="4"/>
  <c r="W86" i="4"/>
  <c r="U92" i="4"/>
  <c r="W106" i="4"/>
  <c r="V112" i="4"/>
  <c r="X120" i="4"/>
  <c r="W123" i="4"/>
  <c r="W126" i="4"/>
  <c r="U133" i="4"/>
  <c r="V139" i="4"/>
  <c r="V146" i="4"/>
  <c r="U149" i="4"/>
  <c r="X19" i="4"/>
  <c r="U23" i="4"/>
  <c r="U37" i="4"/>
  <c r="U38" i="4"/>
  <c r="U43" i="4"/>
  <c r="V60" i="4"/>
  <c r="V62" i="4"/>
  <c r="V65" i="4"/>
  <c r="V76" i="4"/>
  <c r="U80" i="4"/>
  <c r="V82" i="4"/>
  <c r="U85" i="4"/>
  <c r="U89" i="4"/>
  <c r="X106" i="4"/>
  <c r="U116" i="4"/>
  <c r="V133" i="4"/>
  <c r="V136" i="4"/>
  <c r="X143" i="4"/>
  <c r="V144" i="4"/>
  <c r="V23" i="4"/>
  <c r="V37" i="4"/>
  <c r="V43" i="4"/>
  <c r="X51" i="4"/>
  <c r="U73" i="4"/>
  <c r="W76" i="4"/>
  <c r="W79" i="4"/>
  <c r="W96" i="4"/>
  <c r="X98" i="4"/>
  <c r="U102" i="4"/>
  <c r="W133" i="4"/>
  <c r="W136" i="4"/>
  <c r="V32" i="4"/>
  <c r="X37" i="4"/>
  <c r="U45" i="4"/>
  <c r="U48" i="4"/>
  <c r="U51" i="4"/>
  <c r="X55" i="4"/>
  <c r="U63" i="4"/>
  <c r="X70" i="4"/>
  <c r="U75" i="4"/>
  <c r="X82" i="4"/>
  <c r="V88" i="4"/>
  <c r="X94" i="4"/>
  <c r="X104" i="4"/>
  <c r="W109" i="4"/>
  <c r="W110" i="4"/>
  <c r="W112" i="4"/>
  <c r="X121" i="4"/>
  <c r="X133" i="4"/>
  <c r="V137" i="4"/>
  <c r="W139" i="4"/>
  <c r="V145" i="4"/>
  <c r="V14" i="4"/>
  <c r="W18" i="4"/>
  <c r="X20" i="4"/>
  <c r="V28" i="4"/>
  <c r="U39" i="4"/>
  <c r="X43" i="4"/>
  <c r="V48" i="4"/>
  <c r="U52" i="4"/>
  <c r="U54" i="4"/>
  <c r="V63" i="4"/>
  <c r="X67" i="4"/>
  <c r="V75" i="4"/>
  <c r="V78" i="4"/>
  <c r="U87" i="4"/>
  <c r="U90" i="4"/>
  <c r="U93" i="4"/>
  <c r="X97" i="4"/>
  <c r="U105" i="4"/>
  <c r="X112" i="4"/>
  <c r="U117" i="4"/>
  <c r="X124" i="4"/>
  <c r="V130" i="4"/>
  <c r="X136" i="4"/>
  <c r="W145" i="4"/>
  <c r="W147" i="4"/>
  <c r="U150" i="4"/>
  <c r="X123" i="4"/>
  <c r="X81" i="4"/>
  <c r="V89" i="4"/>
  <c r="V92" i="4"/>
  <c r="U104" i="4"/>
  <c r="U107" i="4"/>
  <c r="X111" i="4"/>
  <c r="U119" i="4"/>
  <c r="X126" i="4"/>
  <c r="U131" i="4"/>
  <c r="X138" i="4"/>
  <c r="X142" i="4"/>
  <c r="V149" i="4"/>
  <c r="V24" i="4"/>
  <c r="W41" i="4"/>
  <c r="U46" i="4"/>
  <c r="X50" i="4"/>
  <c r="W62" i="4"/>
  <c r="W65" i="4"/>
  <c r="V68" i="4"/>
  <c r="W75" i="4"/>
  <c r="W77" i="4"/>
  <c r="V80" i="4"/>
  <c r="W92" i="4"/>
  <c r="U95" i="4"/>
  <c r="X99" i="4"/>
  <c r="V104" i="4"/>
  <c r="U108" i="4"/>
  <c r="U110" i="4"/>
  <c r="V119" i="4"/>
  <c r="V131" i="4"/>
  <c r="V134" i="4"/>
  <c r="X147" i="4"/>
  <c r="W149" i="4"/>
  <c r="W10" i="4"/>
  <c r="X13" i="4"/>
  <c r="X48" i="4"/>
  <c r="W53" i="4"/>
  <c r="W54" i="4"/>
  <c r="W56" i="4"/>
  <c r="X65" i="4"/>
  <c r="X77" i="4"/>
  <c r="V81" i="4"/>
  <c r="W83" i="4"/>
  <c r="U88" i="4"/>
  <c r="X92" i="4"/>
  <c r="W104" i="4"/>
  <c r="W107" i="4"/>
  <c r="V110" i="4"/>
  <c r="W117" i="4"/>
  <c r="W119" i="4"/>
  <c r="V122" i="4"/>
  <c r="V125" i="4"/>
  <c r="W134" i="4"/>
  <c r="U137" i="4"/>
  <c r="X141" i="4"/>
  <c r="U145" i="4"/>
  <c r="U33" i="4"/>
  <c r="X33" i="4"/>
  <c r="W33" i="4"/>
  <c r="X32" i="4"/>
  <c r="W32" i="4"/>
  <c r="U32" i="4"/>
  <c r="X31" i="4"/>
  <c r="X29" i="4"/>
  <c r="X30" i="4"/>
  <c r="U30" i="4"/>
  <c r="W29" i="4"/>
  <c r="W28" i="4"/>
  <c r="W27" i="4"/>
  <c r="U35" i="4"/>
  <c r="V35" i="4"/>
  <c r="X39" i="4"/>
  <c r="W35" i="4"/>
  <c r="V38" i="4"/>
  <c r="X35" i="4"/>
  <c r="V39" i="4"/>
  <c r="X38" i="4"/>
  <c r="X28" i="4"/>
  <c r="V33" i="4"/>
  <c r="X25" i="4"/>
  <c r="U25" i="4"/>
  <c r="X22" i="4"/>
  <c r="X21" i="4"/>
  <c r="V20" i="4"/>
  <c r="X18" i="4"/>
  <c r="V19" i="4"/>
  <c r="V18" i="4"/>
  <c r="W17" i="4"/>
  <c r="V15" i="4"/>
  <c r="U14" i="4"/>
  <c r="X14" i="4"/>
  <c r="T8" i="4"/>
  <c r="S8" i="4"/>
  <c r="X12" i="4"/>
  <c r="X10" i="4"/>
  <c r="W14" i="4"/>
  <c r="X23" i="4"/>
  <c r="X11" i="4"/>
  <c r="U22" i="4"/>
  <c r="U10" i="4"/>
  <c r="U11" i="4"/>
  <c r="U13" i="4"/>
  <c r="V22" i="4"/>
  <c r="X26" i="4"/>
  <c r="N8" i="4"/>
  <c r="U19" i="4"/>
  <c r="W26" i="4"/>
  <c r="V10" i="4"/>
  <c r="R8" i="4"/>
  <c r="V13" i="4"/>
  <c r="W20" i="4"/>
  <c r="W22" i="4"/>
  <c r="V25" i="4"/>
  <c r="P8" i="4"/>
  <c r="U21" i="4"/>
  <c r="U24" i="4"/>
  <c r="Q8" i="4"/>
  <c r="U12" i="4"/>
  <c r="X16" i="4"/>
  <c r="V21" i="4"/>
  <c r="U27" i="4"/>
  <c r="W21" i="4"/>
  <c r="W24" i="4"/>
  <c r="V27" i="4"/>
  <c r="W13" i="4"/>
  <c r="X24" i="4"/>
  <c r="M8" i="4"/>
  <c r="W12" i="4"/>
  <c r="W15" i="4"/>
  <c r="X15" i="4"/>
  <c r="U20" i="4"/>
  <c r="X27" i="4"/>
  <c r="L8" i="4"/>
  <c r="O8" i="4"/>
  <c r="X8" i="4" l="1"/>
  <c r="W8" i="4"/>
  <c r="V8" i="4"/>
  <c r="U8" i="4"/>
  <c r="DH8" i="2" l="1"/>
  <c r="DI8" i="2"/>
  <c r="DJ8" i="2"/>
  <c r="DK8" i="2"/>
  <c r="DL8" i="2"/>
  <c r="DM8" i="2"/>
  <c r="DN8" i="2"/>
  <c r="DO8" i="2"/>
  <c r="DP8" i="2"/>
  <c r="DQ8" i="2"/>
  <c r="DR8" i="2"/>
  <c r="DS8" i="2"/>
  <c r="DT8" i="2"/>
  <c r="DU8" i="2"/>
  <c r="DV8" i="2"/>
  <c r="DW8" i="2"/>
  <c r="DX8" i="2"/>
  <c r="DY8" i="2"/>
  <c r="DZ8" i="2"/>
  <c r="EA8" i="2"/>
  <c r="EB8" i="2"/>
  <c r="EC8" i="2"/>
  <c r="ED8" i="2"/>
  <c r="EE8" i="2"/>
  <c r="EF8" i="2"/>
  <c r="EG8" i="2"/>
  <c r="EH8" i="2"/>
  <c r="EI8" i="2"/>
  <c r="EJ8" i="2"/>
  <c r="EK8" i="2"/>
  <c r="EL8" i="2"/>
  <c r="EM8" i="2"/>
  <c r="EN8" i="2"/>
  <c r="EO8" i="2"/>
  <c r="EP8" i="2"/>
  <c r="EQ8" i="2"/>
  <c r="ER8" i="2"/>
  <c r="ES8" i="2"/>
  <c r="ET8" i="2"/>
  <c r="EU8" i="2"/>
  <c r="EV8" i="2"/>
  <c r="EW8" i="2"/>
  <c r="EX8" i="2"/>
  <c r="EY8" i="2"/>
  <c r="EZ8" i="2"/>
  <c r="FA8" i="2"/>
  <c r="FB8" i="2"/>
  <c r="FC8" i="2"/>
  <c r="FD8" i="2"/>
  <c r="FE8" i="2"/>
  <c r="FF8" i="2"/>
  <c r="FG8" i="2"/>
  <c r="FH8" i="2"/>
  <c r="FI8" i="2"/>
  <c r="FJ8" i="2"/>
  <c r="FK8" i="2"/>
  <c r="FL8" i="2"/>
  <c r="FN8" i="2"/>
  <c r="FO8" i="2"/>
  <c r="FP8" i="2"/>
  <c r="FQ8" i="2"/>
  <c r="FR8" i="2"/>
  <c r="FS8" i="2"/>
  <c r="FT8" i="2"/>
  <c r="FU8" i="2"/>
  <c r="FV8" i="2"/>
  <c r="FW8" i="2"/>
  <c r="FX8" i="2"/>
  <c r="FY8" i="2"/>
  <c r="FZ8" i="2"/>
  <c r="GA8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DH11" i="2"/>
  <c r="DI11" i="2"/>
  <c r="DJ11" i="2"/>
  <c r="DK11" i="2"/>
  <c r="DL11" i="2"/>
  <c r="DM11" i="2"/>
  <c r="DN11" i="2"/>
  <c r="DO11" i="2"/>
  <c r="DP11" i="2"/>
  <c r="DQ11" i="2"/>
  <c r="DR11" i="2"/>
  <c r="DS11" i="2"/>
  <c r="DT11" i="2"/>
  <c r="DU11" i="2"/>
  <c r="DV11" i="2"/>
  <c r="DW11" i="2"/>
  <c r="DX11" i="2"/>
  <c r="DY11" i="2"/>
  <c r="DZ11" i="2"/>
  <c r="EA11" i="2"/>
  <c r="EB11" i="2"/>
  <c r="EC11" i="2"/>
  <c r="ED11" i="2"/>
  <c r="EE11" i="2"/>
  <c r="EF11" i="2"/>
  <c r="EG11" i="2"/>
  <c r="EH11" i="2"/>
  <c r="EI11" i="2"/>
  <c r="EJ11" i="2"/>
  <c r="EK11" i="2"/>
  <c r="EL11" i="2"/>
  <c r="EM11" i="2"/>
  <c r="EN11" i="2"/>
  <c r="EO11" i="2"/>
  <c r="EP11" i="2"/>
  <c r="EQ11" i="2"/>
  <c r="ER11" i="2"/>
  <c r="ES11" i="2"/>
  <c r="ET11" i="2"/>
  <c r="EU11" i="2"/>
  <c r="EV11" i="2"/>
  <c r="EW11" i="2"/>
  <c r="EX11" i="2"/>
  <c r="EY11" i="2"/>
  <c r="EZ11" i="2"/>
  <c r="FA11" i="2"/>
  <c r="FB11" i="2"/>
  <c r="FC11" i="2"/>
  <c r="FD11" i="2"/>
  <c r="FE11" i="2"/>
  <c r="FF11" i="2"/>
  <c r="FG11" i="2"/>
  <c r="FH11" i="2"/>
  <c r="FI11" i="2"/>
  <c r="FJ11" i="2"/>
  <c r="FK11" i="2"/>
  <c r="FL11" i="2"/>
  <c r="FN11" i="2"/>
  <c r="FO11" i="2"/>
  <c r="FP11" i="2"/>
  <c r="FQ11" i="2"/>
  <c r="FR11" i="2"/>
  <c r="FS11" i="2"/>
  <c r="FT11" i="2"/>
  <c r="FU11" i="2"/>
  <c r="FV11" i="2"/>
  <c r="FW11" i="2"/>
  <c r="FX11" i="2"/>
  <c r="FY11" i="2"/>
  <c r="FZ11" i="2"/>
  <c r="GA11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DH13" i="2"/>
  <c r="DT3" i="2" l="1"/>
  <c r="DT4" i="2"/>
  <c r="DT5" i="2"/>
  <c r="DT6" i="2"/>
  <c r="DT7" i="2"/>
  <c r="DT14" i="2"/>
  <c r="DT15" i="2"/>
  <c r="DT16" i="2"/>
  <c r="DT17" i="2"/>
  <c r="DT18" i="2"/>
  <c r="DT19" i="2"/>
  <c r="DT20" i="2"/>
  <c r="DT21" i="2"/>
  <c r="DT22" i="2"/>
  <c r="DT23" i="2"/>
  <c r="DT24" i="2"/>
  <c r="X153" i="3" l="1"/>
  <c r="W153" i="3"/>
  <c r="V153" i="3"/>
  <c r="U153" i="3"/>
  <c r="T152" i="3"/>
  <c r="S152" i="3"/>
  <c r="R152" i="3"/>
  <c r="Q152" i="3"/>
  <c r="P152" i="3"/>
  <c r="O152" i="3"/>
  <c r="X152" i="3" s="1"/>
  <c r="N152" i="3"/>
  <c r="M152" i="3"/>
  <c r="L152" i="3"/>
  <c r="T151" i="3"/>
  <c r="S151" i="3"/>
  <c r="R151" i="3"/>
  <c r="Q151" i="3"/>
  <c r="P151" i="3"/>
  <c r="O151" i="3"/>
  <c r="N151" i="3"/>
  <c r="W151" i="3" s="1"/>
  <c r="M151" i="3"/>
  <c r="L151" i="3"/>
  <c r="T150" i="3"/>
  <c r="S150" i="3"/>
  <c r="R150" i="3"/>
  <c r="Q150" i="3"/>
  <c r="U150" i="3" s="1"/>
  <c r="P150" i="3"/>
  <c r="O150" i="3"/>
  <c r="N150" i="3"/>
  <c r="M150" i="3"/>
  <c r="L150" i="3"/>
  <c r="T149" i="3"/>
  <c r="S149" i="3"/>
  <c r="R149" i="3"/>
  <c r="Q149" i="3"/>
  <c r="P149" i="3"/>
  <c r="O149" i="3"/>
  <c r="X149" i="3" s="1"/>
  <c r="N149" i="3"/>
  <c r="M149" i="3"/>
  <c r="L149" i="3"/>
  <c r="T148" i="3"/>
  <c r="S148" i="3"/>
  <c r="R148" i="3"/>
  <c r="Q148" i="3"/>
  <c r="P148" i="3"/>
  <c r="O148" i="3"/>
  <c r="N148" i="3"/>
  <c r="W148" i="3" s="1"/>
  <c r="M148" i="3"/>
  <c r="V148" i="3" s="1"/>
  <c r="L148" i="3"/>
  <c r="U148" i="3" s="1"/>
  <c r="T147" i="3"/>
  <c r="S147" i="3"/>
  <c r="R147" i="3"/>
  <c r="Q147" i="3"/>
  <c r="P147" i="3"/>
  <c r="X147" i="3" s="1"/>
  <c r="O147" i="3"/>
  <c r="N147" i="3"/>
  <c r="M147" i="3"/>
  <c r="L147" i="3"/>
  <c r="T146" i="3"/>
  <c r="S146" i="3"/>
  <c r="R146" i="3"/>
  <c r="Q146" i="3"/>
  <c r="P146" i="3"/>
  <c r="O146" i="3"/>
  <c r="X146" i="3" s="1"/>
  <c r="N146" i="3"/>
  <c r="W146" i="3" s="1"/>
  <c r="M146" i="3"/>
  <c r="V146" i="3" s="1"/>
  <c r="L146" i="3"/>
  <c r="T145" i="3"/>
  <c r="S145" i="3"/>
  <c r="R145" i="3"/>
  <c r="Q145" i="3"/>
  <c r="P145" i="3"/>
  <c r="O145" i="3"/>
  <c r="X145" i="3" s="1"/>
  <c r="N145" i="3"/>
  <c r="W145" i="3" s="1"/>
  <c r="M145" i="3"/>
  <c r="V145" i="3" s="1"/>
  <c r="L145" i="3"/>
  <c r="U145" i="3" s="1"/>
  <c r="X144" i="3"/>
  <c r="V144" i="3"/>
  <c r="T144" i="3"/>
  <c r="S144" i="3"/>
  <c r="R144" i="3"/>
  <c r="Q144" i="3"/>
  <c r="P144" i="3"/>
  <c r="O144" i="3"/>
  <c r="N144" i="3"/>
  <c r="W144" i="3" s="1"/>
  <c r="M144" i="3"/>
  <c r="L144" i="3"/>
  <c r="U144" i="3" s="1"/>
  <c r="U143" i="3"/>
  <c r="T143" i="3"/>
  <c r="X143" i="3" s="1"/>
  <c r="S143" i="3"/>
  <c r="W143" i="3" s="1"/>
  <c r="R143" i="3"/>
  <c r="Q143" i="3"/>
  <c r="P143" i="3"/>
  <c r="O143" i="3"/>
  <c r="N143" i="3"/>
  <c r="M143" i="3"/>
  <c r="V143" i="3" s="1"/>
  <c r="L143" i="3"/>
  <c r="T142" i="3"/>
  <c r="S142" i="3"/>
  <c r="W142" i="3" s="1"/>
  <c r="R142" i="3"/>
  <c r="V142" i="3" s="1"/>
  <c r="Q142" i="3"/>
  <c r="P142" i="3"/>
  <c r="O142" i="3"/>
  <c r="N142" i="3"/>
  <c r="M142" i="3"/>
  <c r="L142" i="3"/>
  <c r="T141" i="3"/>
  <c r="S141" i="3"/>
  <c r="R141" i="3"/>
  <c r="Q141" i="3"/>
  <c r="P141" i="3"/>
  <c r="O141" i="3"/>
  <c r="N141" i="3"/>
  <c r="M141" i="3"/>
  <c r="L141" i="3"/>
  <c r="U141" i="3" s="1"/>
  <c r="X140" i="3"/>
  <c r="T140" i="3"/>
  <c r="S140" i="3"/>
  <c r="R140" i="3"/>
  <c r="Q140" i="3"/>
  <c r="P140" i="3"/>
  <c r="O140" i="3"/>
  <c r="N140" i="3"/>
  <c r="M140" i="3"/>
  <c r="L140" i="3"/>
  <c r="T139" i="3"/>
  <c r="S139" i="3"/>
  <c r="W139" i="3" s="1"/>
  <c r="R139" i="3"/>
  <c r="V139" i="3" s="1"/>
  <c r="Q139" i="3"/>
  <c r="P139" i="3"/>
  <c r="O139" i="3"/>
  <c r="N139" i="3"/>
  <c r="M139" i="3"/>
  <c r="L139" i="3"/>
  <c r="T138" i="3"/>
  <c r="S138" i="3"/>
  <c r="W138" i="3" s="1"/>
  <c r="R138" i="3"/>
  <c r="V138" i="3" s="1"/>
  <c r="Q138" i="3"/>
  <c r="U138" i="3" s="1"/>
  <c r="P138" i="3"/>
  <c r="O138" i="3"/>
  <c r="N138" i="3"/>
  <c r="M138" i="3"/>
  <c r="L138" i="3"/>
  <c r="T137" i="3"/>
  <c r="S137" i="3"/>
  <c r="R137" i="3"/>
  <c r="Q137" i="3"/>
  <c r="P137" i="3"/>
  <c r="O137" i="3"/>
  <c r="X137" i="3" s="1"/>
  <c r="N137" i="3"/>
  <c r="M137" i="3"/>
  <c r="L137" i="3"/>
  <c r="T136" i="3"/>
  <c r="S136" i="3"/>
  <c r="R136" i="3"/>
  <c r="Q136" i="3"/>
  <c r="P136" i="3"/>
  <c r="O136" i="3"/>
  <c r="N136" i="3"/>
  <c r="M136" i="3"/>
  <c r="V136" i="3" s="1"/>
  <c r="L136" i="3"/>
  <c r="T135" i="3"/>
  <c r="S135" i="3"/>
  <c r="R135" i="3"/>
  <c r="Q135" i="3"/>
  <c r="P135" i="3"/>
  <c r="O135" i="3"/>
  <c r="X135" i="3" s="1"/>
  <c r="N135" i="3"/>
  <c r="M135" i="3"/>
  <c r="L135" i="3"/>
  <c r="T134" i="3"/>
  <c r="S134" i="3"/>
  <c r="R134" i="3"/>
  <c r="Q134" i="3"/>
  <c r="P134" i="3"/>
  <c r="O134" i="3"/>
  <c r="X134" i="3" s="1"/>
  <c r="N134" i="3"/>
  <c r="W134" i="3" s="1"/>
  <c r="M134" i="3"/>
  <c r="L134" i="3"/>
  <c r="T133" i="3"/>
  <c r="S133" i="3"/>
  <c r="R133" i="3"/>
  <c r="Q133" i="3"/>
  <c r="P133" i="3"/>
  <c r="O133" i="3"/>
  <c r="N133" i="3"/>
  <c r="M133" i="3"/>
  <c r="L133" i="3"/>
  <c r="U133" i="3" s="1"/>
  <c r="T132" i="3"/>
  <c r="S132" i="3"/>
  <c r="W132" i="3" s="1"/>
  <c r="R132" i="3"/>
  <c r="Q132" i="3"/>
  <c r="P132" i="3"/>
  <c r="O132" i="3"/>
  <c r="N132" i="3"/>
  <c r="M132" i="3"/>
  <c r="L132" i="3"/>
  <c r="T131" i="3"/>
  <c r="S131" i="3"/>
  <c r="R131" i="3"/>
  <c r="Q131" i="3"/>
  <c r="P131" i="3"/>
  <c r="O131" i="3"/>
  <c r="X131" i="3" s="1"/>
  <c r="N131" i="3"/>
  <c r="W131" i="3" s="1"/>
  <c r="M131" i="3"/>
  <c r="L131" i="3"/>
  <c r="T130" i="3"/>
  <c r="S130" i="3"/>
  <c r="R130" i="3"/>
  <c r="Q130" i="3"/>
  <c r="P130" i="3"/>
  <c r="O130" i="3"/>
  <c r="X130" i="3" s="1"/>
  <c r="N130" i="3"/>
  <c r="W130" i="3" s="1"/>
  <c r="M130" i="3"/>
  <c r="V130" i="3" s="1"/>
  <c r="L130" i="3"/>
  <c r="U130" i="3" s="1"/>
  <c r="T129" i="3"/>
  <c r="X129" i="3" s="1"/>
  <c r="S129" i="3"/>
  <c r="R129" i="3"/>
  <c r="Q129" i="3"/>
  <c r="P129" i="3"/>
  <c r="O129" i="3"/>
  <c r="N129" i="3"/>
  <c r="M129" i="3"/>
  <c r="L129" i="3"/>
  <c r="T128" i="3"/>
  <c r="S128" i="3"/>
  <c r="R128" i="3"/>
  <c r="Q128" i="3"/>
  <c r="U128" i="3" s="1"/>
  <c r="P128" i="3"/>
  <c r="O128" i="3"/>
  <c r="N128" i="3"/>
  <c r="M128" i="3"/>
  <c r="L128" i="3"/>
  <c r="T127" i="3"/>
  <c r="X127" i="3" s="1"/>
  <c r="S127" i="3"/>
  <c r="R127" i="3"/>
  <c r="Q127" i="3"/>
  <c r="P127" i="3"/>
  <c r="O127" i="3"/>
  <c r="N127" i="3"/>
  <c r="M127" i="3"/>
  <c r="L127" i="3"/>
  <c r="U127" i="3" s="1"/>
  <c r="T126" i="3"/>
  <c r="X126" i="3" s="1"/>
  <c r="S126" i="3"/>
  <c r="W126" i="3" s="1"/>
  <c r="R126" i="3"/>
  <c r="V126" i="3" s="1"/>
  <c r="Q126" i="3"/>
  <c r="P126" i="3"/>
  <c r="O126" i="3"/>
  <c r="N126" i="3"/>
  <c r="M126" i="3"/>
  <c r="L126" i="3"/>
  <c r="T125" i="3"/>
  <c r="S125" i="3"/>
  <c r="R125" i="3"/>
  <c r="V125" i="3" s="1"/>
  <c r="Q125" i="3"/>
  <c r="U125" i="3" s="1"/>
  <c r="P125" i="3"/>
  <c r="O125" i="3"/>
  <c r="N125" i="3"/>
  <c r="M125" i="3"/>
  <c r="L125" i="3"/>
  <c r="T124" i="3"/>
  <c r="S124" i="3"/>
  <c r="W124" i="3" s="1"/>
  <c r="R124" i="3"/>
  <c r="Q124" i="3"/>
  <c r="P124" i="3"/>
  <c r="O124" i="3"/>
  <c r="N124" i="3"/>
  <c r="M124" i="3"/>
  <c r="L124" i="3"/>
  <c r="U123" i="3"/>
  <c r="T123" i="3"/>
  <c r="S123" i="3"/>
  <c r="R123" i="3"/>
  <c r="V123" i="3" s="1"/>
  <c r="Q123" i="3"/>
  <c r="P123" i="3"/>
  <c r="O123" i="3"/>
  <c r="N123" i="3"/>
  <c r="M123" i="3"/>
  <c r="L123" i="3"/>
  <c r="T122" i="3"/>
  <c r="S122" i="3"/>
  <c r="R122" i="3"/>
  <c r="Q122" i="3"/>
  <c r="U122" i="3" s="1"/>
  <c r="P122" i="3"/>
  <c r="O122" i="3"/>
  <c r="X122" i="3" s="1"/>
  <c r="N122" i="3"/>
  <c r="W122" i="3" s="1"/>
  <c r="M122" i="3"/>
  <c r="L122" i="3"/>
  <c r="T121" i="3"/>
  <c r="S121" i="3"/>
  <c r="R121" i="3"/>
  <c r="Q121" i="3"/>
  <c r="P121" i="3"/>
  <c r="O121" i="3"/>
  <c r="N121" i="3"/>
  <c r="M121" i="3"/>
  <c r="V121" i="3" s="1"/>
  <c r="L121" i="3"/>
  <c r="U121" i="3" s="1"/>
  <c r="T120" i="3"/>
  <c r="S120" i="3"/>
  <c r="R120" i="3"/>
  <c r="Q120" i="3"/>
  <c r="P120" i="3"/>
  <c r="O120" i="3"/>
  <c r="N120" i="3"/>
  <c r="M120" i="3"/>
  <c r="L120" i="3"/>
  <c r="T119" i="3"/>
  <c r="S119" i="3"/>
  <c r="R119" i="3"/>
  <c r="Q119" i="3"/>
  <c r="P119" i="3"/>
  <c r="O119" i="3"/>
  <c r="X119" i="3" s="1"/>
  <c r="N119" i="3"/>
  <c r="W119" i="3" s="1"/>
  <c r="M119" i="3"/>
  <c r="V119" i="3" s="1"/>
  <c r="L119" i="3"/>
  <c r="T118" i="3"/>
  <c r="S118" i="3"/>
  <c r="R118" i="3"/>
  <c r="Q118" i="3"/>
  <c r="P118" i="3"/>
  <c r="O118" i="3"/>
  <c r="X118" i="3" s="1"/>
  <c r="N118" i="3"/>
  <c r="M118" i="3"/>
  <c r="L118" i="3"/>
  <c r="U118" i="3" s="1"/>
  <c r="T117" i="3"/>
  <c r="X117" i="3" s="1"/>
  <c r="S117" i="3"/>
  <c r="R117" i="3"/>
  <c r="Q117" i="3"/>
  <c r="P117" i="3"/>
  <c r="O117" i="3"/>
  <c r="N117" i="3"/>
  <c r="M117" i="3"/>
  <c r="L117" i="3"/>
  <c r="T116" i="3"/>
  <c r="S116" i="3"/>
  <c r="R116" i="3"/>
  <c r="Q116" i="3"/>
  <c r="P116" i="3"/>
  <c r="O116" i="3"/>
  <c r="X116" i="3" s="1"/>
  <c r="N116" i="3"/>
  <c r="M116" i="3"/>
  <c r="L116" i="3"/>
  <c r="T115" i="3"/>
  <c r="S115" i="3"/>
  <c r="R115" i="3"/>
  <c r="Q115" i="3"/>
  <c r="P115" i="3"/>
  <c r="O115" i="3"/>
  <c r="X115" i="3" s="1"/>
  <c r="N115" i="3"/>
  <c r="W115" i="3" s="1"/>
  <c r="M115" i="3"/>
  <c r="V115" i="3" s="1"/>
  <c r="L115" i="3"/>
  <c r="U115" i="3" s="1"/>
  <c r="W114" i="3"/>
  <c r="T114" i="3"/>
  <c r="S114" i="3"/>
  <c r="R114" i="3"/>
  <c r="Q114" i="3"/>
  <c r="P114" i="3"/>
  <c r="O114" i="3"/>
  <c r="N114" i="3"/>
  <c r="M114" i="3"/>
  <c r="V114" i="3" s="1"/>
  <c r="L114" i="3"/>
  <c r="U114" i="3" s="1"/>
  <c r="V113" i="3"/>
  <c r="U113" i="3"/>
  <c r="T113" i="3"/>
  <c r="X113" i="3" s="1"/>
  <c r="S113" i="3"/>
  <c r="R113" i="3"/>
  <c r="Q113" i="3"/>
  <c r="P113" i="3"/>
  <c r="O113" i="3"/>
  <c r="N113" i="3"/>
  <c r="M113" i="3"/>
  <c r="L113" i="3"/>
  <c r="T112" i="3"/>
  <c r="S112" i="3"/>
  <c r="W112" i="3" s="1"/>
  <c r="R112" i="3"/>
  <c r="V112" i="3" s="1"/>
  <c r="Q112" i="3"/>
  <c r="U112" i="3" s="1"/>
  <c r="P112" i="3"/>
  <c r="O112" i="3"/>
  <c r="N112" i="3"/>
  <c r="M112" i="3"/>
  <c r="L112" i="3"/>
  <c r="T111" i="3"/>
  <c r="S111" i="3"/>
  <c r="R111" i="3"/>
  <c r="Q111" i="3"/>
  <c r="P111" i="3"/>
  <c r="O111" i="3"/>
  <c r="N111" i="3"/>
  <c r="M111" i="3"/>
  <c r="L111" i="3"/>
  <c r="T110" i="3"/>
  <c r="S110" i="3"/>
  <c r="R110" i="3"/>
  <c r="Q110" i="3"/>
  <c r="P110" i="3"/>
  <c r="O110" i="3"/>
  <c r="N110" i="3"/>
  <c r="M110" i="3"/>
  <c r="L110" i="3"/>
  <c r="T109" i="3"/>
  <c r="S109" i="3"/>
  <c r="R109" i="3"/>
  <c r="V109" i="3" s="1"/>
  <c r="Q109" i="3"/>
  <c r="U109" i="3" s="1"/>
  <c r="P109" i="3"/>
  <c r="O109" i="3"/>
  <c r="X109" i="3" s="1"/>
  <c r="N109" i="3"/>
  <c r="M109" i="3"/>
  <c r="L109" i="3"/>
  <c r="T108" i="3"/>
  <c r="S108" i="3"/>
  <c r="R108" i="3"/>
  <c r="Q108" i="3"/>
  <c r="P108" i="3"/>
  <c r="O108" i="3"/>
  <c r="N108" i="3"/>
  <c r="W108" i="3" s="1"/>
  <c r="M108" i="3"/>
  <c r="V108" i="3" s="1"/>
  <c r="L108" i="3"/>
  <c r="U108" i="3" s="1"/>
  <c r="T107" i="3"/>
  <c r="S107" i="3"/>
  <c r="R107" i="3"/>
  <c r="Q107" i="3"/>
  <c r="P107" i="3"/>
  <c r="O107" i="3"/>
  <c r="N107" i="3"/>
  <c r="M107" i="3"/>
  <c r="L107" i="3"/>
  <c r="T106" i="3"/>
  <c r="S106" i="3"/>
  <c r="R106" i="3"/>
  <c r="Q106" i="3"/>
  <c r="P106" i="3"/>
  <c r="O106" i="3"/>
  <c r="X106" i="3" s="1"/>
  <c r="N106" i="3"/>
  <c r="W106" i="3" s="1"/>
  <c r="M106" i="3"/>
  <c r="L106" i="3"/>
  <c r="T105" i="3"/>
  <c r="S105" i="3"/>
  <c r="R105" i="3"/>
  <c r="Q105" i="3"/>
  <c r="P105" i="3"/>
  <c r="O105" i="3"/>
  <c r="X105" i="3" s="1"/>
  <c r="N105" i="3"/>
  <c r="W105" i="3" s="1"/>
  <c r="M105" i="3"/>
  <c r="V105" i="3" s="1"/>
  <c r="L105" i="3"/>
  <c r="U105" i="3" s="1"/>
  <c r="W104" i="3"/>
  <c r="T104" i="3"/>
  <c r="X104" i="3" s="1"/>
  <c r="S104" i="3"/>
  <c r="R104" i="3"/>
  <c r="Q104" i="3"/>
  <c r="P104" i="3"/>
  <c r="O104" i="3"/>
  <c r="N104" i="3"/>
  <c r="M104" i="3"/>
  <c r="V104" i="3" s="1"/>
  <c r="L104" i="3"/>
  <c r="T103" i="3"/>
  <c r="S103" i="3"/>
  <c r="W103" i="3" s="1"/>
  <c r="R103" i="3"/>
  <c r="V103" i="3" s="1"/>
  <c r="Q103" i="3"/>
  <c r="P103" i="3"/>
  <c r="O103" i="3"/>
  <c r="N103" i="3"/>
  <c r="M103" i="3"/>
  <c r="L103" i="3"/>
  <c r="T102" i="3"/>
  <c r="S102" i="3"/>
  <c r="R102" i="3"/>
  <c r="V102" i="3" s="1"/>
  <c r="Q102" i="3"/>
  <c r="U102" i="3" s="1"/>
  <c r="P102" i="3"/>
  <c r="O102" i="3"/>
  <c r="X102" i="3" s="1"/>
  <c r="N102" i="3"/>
  <c r="W102" i="3" s="1"/>
  <c r="M102" i="3"/>
  <c r="L102" i="3"/>
  <c r="T101" i="3"/>
  <c r="S101" i="3"/>
  <c r="R101" i="3"/>
  <c r="Q101" i="3"/>
  <c r="P101" i="3"/>
  <c r="O101" i="3"/>
  <c r="N101" i="3"/>
  <c r="W101" i="3" s="1"/>
  <c r="M101" i="3"/>
  <c r="V101" i="3" s="1"/>
  <c r="L101" i="3"/>
  <c r="U101" i="3" s="1"/>
  <c r="T100" i="3"/>
  <c r="X100" i="3" s="1"/>
  <c r="S100" i="3"/>
  <c r="W100" i="3" s="1"/>
  <c r="R100" i="3"/>
  <c r="Q100" i="3"/>
  <c r="P100" i="3"/>
  <c r="O100" i="3"/>
  <c r="N100" i="3"/>
  <c r="M100" i="3"/>
  <c r="L100" i="3"/>
  <c r="U100" i="3" s="1"/>
  <c r="T99" i="3"/>
  <c r="S99" i="3"/>
  <c r="R99" i="3"/>
  <c r="Q99" i="3"/>
  <c r="P99" i="3"/>
  <c r="O99" i="3"/>
  <c r="N99" i="3"/>
  <c r="M99" i="3"/>
  <c r="L99" i="3"/>
  <c r="T98" i="3"/>
  <c r="S98" i="3"/>
  <c r="R98" i="3"/>
  <c r="Q98" i="3"/>
  <c r="P98" i="3"/>
  <c r="O98" i="3"/>
  <c r="X98" i="3" s="1"/>
  <c r="N98" i="3"/>
  <c r="M98" i="3"/>
  <c r="L98" i="3"/>
  <c r="W97" i="3"/>
  <c r="T97" i="3"/>
  <c r="X97" i="3" s="1"/>
  <c r="S97" i="3"/>
  <c r="R97" i="3"/>
  <c r="Q97" i="3"/>
  <c r="P97" i="3"/>
  <c r="O97" i="3"/>
  <c r="N97" i="3"/>
  <c r="M97" i="3"/>
  <c r="L97" i="3"/>
  <c r="U96" i="3"/>
  <c r="T96" i="3"/>
  <c r="S96" i="3"/>
  <c r="W96" i="3" s="1"/>
  <c r="R96" i="3"/>
  <c r="V96" i="3" s="1"/>
  <c r="Q96" i="3"/>
  <c r="P96" i="3"/>
  <c r="O96" i="3"/>
  <c r="N96" i="3"/>
  <c r="M96" i="3"/>
  <c r="L96" i="3"/>
  <c r="T95" i="3"/>
  <c r="S95" i="3"/>
  <c r="R95" i="3"/>
  <c r="V95" i="3" s="1"/>
  <c r="Q95" i="3"/>
  <c r="U95" i="3" s="1"/>
  <c r="P95" i="3"/>
  <c r="O95" i="3"/>
  <c r="N95" i="3"/>
  <c r="M95" i="3"/>
  <c r="L95" i="3"/>
  <c r="T94" i="3"/>
  <c r="S94" i="3"/>
  <c r="R94" i="3"/>
  <c r="Q94" i="3"/>
  <c r="P94" i="3"/>
  <c r="O94" i="3"/>
  <c r="X94" i="3" s="1"/>
  <c r="N94" i="3"/>
  <c r="W94" i="3" s="1"/>
  <c r="M94" i="3"/>
  <c r="L94" i="3"/>
  <c r="T93" i="3"/>
  <c r="S93" i="3"/>
  <c r="R93" i="3"/>
  <c r="Q93" i="3"/>
  <c r="P93" i="3"/>
  <c r="O93" i="3"/>
  <c r="N93" i="3"/>
  <c r="M93" i="3"/>
  <c r="L93" i="3"/>
  <c r="U93" i="3" s="1"/>
  <c r="T92" i="3"/>
  <c r="S92" i="3"/>
  <c r="R92" i="3"/>
  <c r="Q92" i="3"/>
  <c r="P92" i="3"/>
  <c r="O92" i="3"/>
  <c r="X92" i="3" s="1"/>
  <c r="N92" i="3"/>
  <c r="M92" i="3"/>
  <c r="L92" i="3"/>
  <c r="T91" i="3"/>
  <c r="S91" i="3"/>
  <c r="R91" i="3"/>
  <c r="Q91" i="3"/>
  <c r="P91" i="3"/>
  <c r="O91" i="3"/>
  <c r="X91" i="3" s="1"/>
  <c r="N91" i="3"/>
  <c r="W91" i="3" s="1"/>
  <c r="M91" i="3"/>
  <c r="L91" i="3"/>
  <c r="T90" i="3"/>
  <c r="S90" i="3"/>
  <c r="R90" i="3"/>
  <c r="Q90" i="3"/>
  <c r="P90" i="3"/>
  <c r="O90" i="3"/>
  <c r="N90" i="3"/>
  <c r="M90" i="3"/>
  <c r="L90" i="3"/>
  <c r="T89" i="3"/>
  <c r="S89" i="3"/>
  <c r="R89" i="3"/>
  <c r="Q89" i="3"/>
  <c r="P89" i="3"/>
  <c r="O89" i="3"/>
  <c r="X89" i="3" s="1"/>
  <c r="N89" i="3"/>
  <c r="W89" i="3" s="1"/>
  <c r="M89" i="3"/>
  <c r="V89" i="3" s="1"/>
  <c r="L89" i="3"/>
  <c r="T88" i="3"/>
  <c r="S88" i="3"/>
  <c r="R88" i="3"/>
  <c r="Q88" i="3"/>
  <c r="P88" i="3"/>
  <c r="O88" i="3"/>
  <c r="X88" i="3" s="1"/>
  <c r="N88" i="3"/>
  <c r="W88" i="3" s="1"/>
  <c r="M88" i="3"/>
  <c r="V88" i="3" s="1"/>
  <c r="L88" i="3"/>
  <c r="U87" i="3"/>
  <c r="T87" i="3"/>
  <c r="X87" i="3" s="1"/>
  <c r="S87" i="3"/>
  <c r="R87" i="3"/>
  <c r="Q87" i="3"/>
  <c r="P87" i="3"/>
  <c r="O87" i="3"/>
  <c r="N87" i="3"/>
  <c r="W87" i="3" s="1"/>
  <c r="M87" i="3"/>
  <c r="V87" i="3" s="1"/>
  <c r="L87" i="3"/>
  <c r="T86" i="3"/>
  <c r="S86" i="3"/>
  <c r="W86" i="3" s="1"/>
  <c r="R86" i="3"/>
  <c r="V86" i="3" s="1"/>
  <c r="Q86" i="3"/>
  <c r="P86" i="3"/>
  <c r="O86" i="3"/>
  <c r="N86" i="3"/>
  <c r="M86" i="3"/>
  <c r="L86" i="3"/>
  <c r="V85" i="3"/>
  <c r="U85" i="3"/>
  <c r="T85" i="3"/>
  <c r="S85" i="3"/>
  <c r="R85" i="3"/>
  <c r="Q85" i="3"/>
  <c r="P85" i="3"/>
  <c r="O85" i="3"/>
  <c r="N85" i="3"/>
  <c r="M85" i="3"/>
  <c r="L85" i="3"/>
  <c r="T84" i="3"/>
  <c r="S84" i="3"/>
  <c r="W84" i="3" s="1"/>
  <c r="R84" i="3"/>
  <c r="V84" i="3" s="1"/>
  <c r="Q84" i="3"/>
  <c r="P84" i="3"/>
  <c r="O84" i="3"/>
  <c r="N84" i="3"/>
  <c r="M84" i="3"/>
  <c r="L84" i="3"/>
  <c r="T83" i="3"/>
  <c r="X83" i="3" s="1"/>
  <c r="S83" i="3"/>
  <c r="W83" i="3" s="1"/>
  <c r="R83" i="3"/>
  <c r="Q83" i="3"/>
  <c r="P83" i="3"/>
  <c r="O83" i="3"/>
  <c r="N83" i="3"/>
  <c r="M83" i="3"/>
  <c r="L83" i="3"/>
  <c r="T82" i="3"/>
  <c r="S82" i="3"/>
  <c r="R82" i="3"/>
  <c r="Q82" i="3"/>
  <c r="P82" i="3"/>
  <c r="O82" i="3"/>
  <c r="X82" i="3" s="1"/>
  <c r="N82" i="3"/>
  <c r="M82" i="3"/>
  <c r="L82" i="3"/>
  <c r="T81" i="3"/>
  <c r="S81" i="3"/>
  <c r="R81" i="3"/>
  <c r="V81" i="3" s="1"/>
  <c r="Q81" i="3"/>
  <c r="U81" i="3" s="1"/>
  <c r="P81" i="3"/>
  <c r="O81" i="3"/>
  <c r="N81" i="3"/>
  <c r="W81" i="3" s="1"/>
  <c r="M81" i="3"/>
  <c r="L81" i="3"/>
  <c r="T80" i="3"/>
  <c r="S80" i="3"/>
  <c r="R80" i="3"/>
  <c r="Q80" i="3"/>
  <c r="P80" i="3"/>
  <c r="O80" i="3"/>
  <c r="N80" i="3"/>
  <c r="M80" i="3"/>
  <c r="L80" i="3"/>
  <c r="T79" i="3"/>
  <c r="S79" i="3"/>
  <c r="R79" i="3"/>
  <c r="Q79" i="3"/>
  <c r="P79" i="3"/>
  <c r="O79" i="3"/>
  <c r="N79" i="3"/>
  <c r="M79" i="3"/>
  <c r="L79" i="3"/>
  <c r="T78" i="3"/>
  <c r="S78" i="3"/>
  <c r="R78" i="3"/>
  <c r="Q78" i="3"/>
  <c r="P78" i="3"/>
  <c r="O78" i="3"/>
  <c r="X78" i="3" s="1"/>
  <c r="N78" i="3"/>
  <c r="W78" i="3" s="1"/>
  <c r="M78" i="3"/>
  <c r="V78" i="3" s="1"/>
  <c r="L78" i="3"/>
  <c r="T77" i="3"/>
  <c r="S77" i="3"/>
  <c r="R77" i="3"/>
  <c r="Q77" i="3"/>
  <c r="P77" i="3"/>
  <c r="O77" i="3"/>
  <c r="X77" i="3" s="1"/>
  <c r="N77" i="3"/>
  <c r="M77" i="3"/>
  <c r="L77" i="3"/>
  <c r="X76" i="3"/>
  <c r="W76" i="3"/>
  <c r="T76" i="3"/>
  <c r="S76" i="3"/>
  <c r="R76" i="3"/>
  <c r="Q76" i="3"/>
  <c r="P76" i="3"/>
  <c r="O76" i="3"/>
  <c r="N76" i="3"/>
  <c r="M76" i="3"/>
  <c r="V76" i="3" s="1"/>
  <c r="L76" i="3"/>
  <c r="U76" i="3" s="1"/>
  <c r="T75" i="3"/>
  <c r="X75" i="3" s="1"/>
  <c r="S75" i="3"/>
  <c r="R75" i="3"/>
  <c r="Q75" i="3"/>
  <c r="P75" i="3"/>
  <c r="O75" i="3"/>
  <c r="N75" i="3"/>
  <c r="M75" i="3"/>
  <c r="L75" i="3"/>
  <c r="T74" i="3"/>
  <c r="S74" i="3"/>
  <c r="W74" i="3" s="1"/>
  <c r="R74" i="3"/>
  <c r="Q74" i="3"/>
  <c r="P74" i="3"/>
  <c r="X74" i="3" s="1"/>
  <c r="O74" i="3"/>
  <c r="N74" i="3"/>
  <c r="M74" i="3"/>
  <c r="V74" i="3" s="1"/>
  <c r="L74" i="3"/>
  <c r="U74" i="3" s="1"/>
  <c r="W73" i="3"/>
  <c r="T73" i="3"/>
  <c r="S73" i="3"/>
  <c r="R73" i="3"/>
  <c r="V73" i="3" s="1"/>
  <c r="Q73" i="3"/>
  <c r="U73" i="3" s="1"/>
  <c r="P73" i="3"/>
  <c r="O73" i="3"/>
  <c r="N73" i="3"/>
  <c r="M73" i="3"/>
  <c r="L73" i="3"/>
  <c r="V72" i="3"/>
  <c r="U72" i="3"/>
  <c r="T72" i="3"/>
  <c r="X72" i="3" s="1"/>
  <c r="S72" i="3"/>
  <c r="R72" i="3"/>
  <c r="Q72" i="3"/>
  <c r="P72" i="3"/>
  <c r="O72" i="3"/>
  <c r="N72" i="3"/>
  <c r="M72" i="3"/>
  <c r="L72" i="3"/>
  <c r="T71" i="3"/>
  <c r="S71" i="3"/>
  <c r="R71" i="3"/>
  <c r="V71" i="3" s="1"/>
  <c r="Q71" i="3"/>
  <c r="U71" i="3" s="1"/>
  <c r="P71" i="3"/>
  <c r="O71" i="3"/>
  <c r="N71" i="3"/>
  <c r="M71" i="3"/>
  <c r="L71" i="3"/>
  <c r="T70" i="3"/>
  <c r="S70" i="3"/>
  <c r="W70" i="3" s="1"/>
  <c r="R70" i="3"/>
  <c r="Q70" i="3"/>
  <c r="P70" i="3"/>
  <c r="O70" i="3"/>
  <c r="N70" i="3"/>
  <c r="M70" i="3"/>
  <c r="L70" i="3"/>
  <c r="T69" i="3"/>
  <c r="S69" i="3"/>
  <c r="R69" i="3"/>
  <c r="Q69" i="3"/>
  <c r="P69" i="3"/>
  <c r="O69" i="3"/>
  <c r="N69" i="3"/>
  <c r="M69" i="3"/>
  <c r="L69" i="3"/>
  <c r="W68" i="3"/>
  <c r="T68" i="3"/>
  <c r="S68" i="3"/>
  <c r="R68" i="3"/>
  <c r="V68" i="3" s="1"/>
  <c r="Q68" i="3"/>
  <c r="U68" i="3" s="1"/>
  <c r="P68" i="3"/>
  <c r="O68" i="3"/>
  <c r="N68" i="3"/>
  <c r="M68" i="3"/>
  <c r="L68" i="3"/>
  <c r="U67" i="3"/>
  <c r="T67" i="3"/>
  <c r="S67" i="3"/>
  <c r="R67" i="3"/>
  <c r="Q67" i="3"/>
  <c r="P67" i="3"/>
  <c r="O67" i="3"/>
  <c r="N67" i="3"/>
  <c r="W67" i="3" s="1"/>
  <c r="M67" i="3"/>
  <c r="V67" i="3" s="1"/>
  <c r="L67" i="3"/>
  <c r="T66" i="3"/>
  <c r="S66" i="3"/>
  <c r="R66" i="3"/>
  <c r="Q66" i="3"/>
  <c r="U66" i="3" s="1"/>
  <c r="P66" i="3"/>
  <c r="O66" i="3"/>
  <c r="N66" i="3"/>
  <c r="M66" i="3"/>
  <c r="L66" i="3"/>
  <c r="T65" i="3"/>
  <c r="S65" i="3"/>
  <c r="R65" i="3"/>
  <c r="Q65" i="3"/>
  <c r="P65" i="3"/>
  <c r="O65" i="3"/>
  <c r="X65" i="3" s="1"/>
  <c r="N65" i="3"/>
  <c r="M65" i="3"/>
  <c r="L65" i="3"/>
  <c r="T64" i="3"/>
  <c r="S64" i="3"/>
  <c r="R64" i="3"/>
  <c r="Q64" i="3"/>
  <c r="P64" i="3"/>
  <c r="O64" i="3"/>
  <c r="N64" i="3"/>
  <c r="W64" i="3" s="1"/>
  <c r="M64" i="3"/>
  <c r="V64" i="3" s="1"/>
  <c r="L64" i="3"/>
  <c r="U64" i="3" s="1"/>
  <c r="T63" i="3"/>
  <c r="S63" i="3"/>
  <c r="R63" i="3"/>
  <c r="Q63" i="3"/>
  <c r="P63" i="3"/>
  <c r="O63" i="3"/>
  <c r="N63" i="3"/>
  <c r="W63" i="3" s="1"/>
  <c r="M63" i="3"/>
  <c r="L63" i="3"/>
  <c r="T62" i="3"/>
  <c r="S62" i="3"/>
  <c r="R62" i="3"/>
  <c r="Q62" i="3"/>
  <c r="P62" i="3"/>
  <c r="O62" i="3"/>
  <c r="N62" i="3"/>
  <c r="W62" i="3" s="1"/>
  <c r="M62" i="3"/>
  <c r="L62" i="3"/>
  <c r="T61" i="3"/>
  <c r="S61" i="3"/>
  <c r="R61" i="3"/>
  <c r="Q61" i="3"/>
  <c r="P61" i="3"/>
  <c r="O61" i="3"/>
  <c r="N61" i="3"/>
  <c r="M61" i="3"/>
  <c r="V61" i="3" s="1"/>
  <c r="L61" i="3"/>
  <c r="U61" i="3" s="1"/>
  <c r="X60" i="3"/>
  <c r="T60" i="3"/>
  <c r="S60" i="3"/>
  <c r="R60" i="3"/>
  <c r="Q60" i="3"/>
  <c r="P60" i="3"/>
  <c r="O60" i="3"/>
  <c r="N60" i="3"/>
  <c r="W60" i="3" s="1"/>
  <c r="M60" i="3"/>
  <c r="V60" i="3" s="1"/>
  <c r="L60" i="3"/>
  <c r="U60" i="3" s="1"/>
  <c r="T59" i="3"/>
  <c r="S59" i="3"/>
  <c r="R59" i="3"/>
  <c r="Q59" i="3"/>
  <c r="P59" i="3"/>
  <c r="O59" i="3"/>
  <c r="N59" i="3"/>
  <c r="M59" i="3"/>
  <c r="L59" i="3"/>
  <c r="T58" i="3"/>
  <c r="S58" i="3"/>
  <c r="R58" i="3"/>
  <c r="V58" i="3" s="1"/>
  <c r="Q58" i="3"/>
  <c r="P58" i="3"/>
  <c r="O58" i="3"/>
  <c r="X58" i="3" s="1"/>
  <c r="N58" i="3"/>
  <c r="W58" i="3" s="1"/>
  <c r="M58" i="3"/>
  <c r="L58" i="3"/>
  <c r="U57" i="3"/>
  <c r="T57" i="3"/>
  <c r="S57" i="3"/>
  <c r="R57" i="3"/>
  <c r="Q57" i="3"/>
  <c r="P57" i="3"/>
  <c r="O57" i="3"/>
  <c r="N57" i="3"/>
  <c r="W57" i="3" s="1"/>
  <c r="M57" i="3"/>
  <c r="V57" i="3" s="1"/>
  <c r="L57" i="3"/>
  <c r="T56" i="3"/>
  <c r="S56" i="3"/>
  <c r="R56" i="3"/>
  <c r="Q56" i="3"/>
  <c r="P56" i="3"/>
  <c r="O56" i="3"/>
  <c r="N56" i="3"/>
  <c r="M56" i="3"/>
  <c r="L56" i="3"/>
  <c r="U56" i="3" s="1"/>
  <c r="V55" i="3"/>
  <c r="T55" i="3"/>
  <c r="S55" i="3"/>
  <c r="W55" i="3" s="1"/>
  <c r="R55" i="3"/>
  <c r="Q55" i="3"/>
  <c r="P55" i="3"/>
  <c r="O55" i="3"/>
  <c r="N55" i="3"/>
  <c r="M55" i="3"/>
  <c r="L55" i="3"/>
  <c r="U55" i="3" s="1"/>
  <c r="T54" i="3"/>
  <c r="S54" i="3"/>
  <c r="W54" i="3" s="1"/>
  <c r="R54" i="3"/>
  <c r="V54" i="3" s="1"/>
  <c r="Q54" i="3"/>
  <c r="U54" i="3" s="1"/>
  <c r="P54" i="3"/>
  <c r="O54" i="3"/>
  <c r="N54" i="3"/>
  <c r="M54" i="3"/>
  <c r="L54" i="3"/>
  <c r="T53" i="3"/>
  <c r="S53" i="3"/>
  <c r="R53" i="3"/>
  <c r="Q53" i="3"/>
  <c r="P53" i="3"/>
  <c r="O53" i="3"/>
  <c r="X53" i="3" s="1"/>
  <c r="N53" i="3"/>
  <c r="M53" i="3"/>
  <c r="L53" i="3"/>
  <c r="T52" i="3"/>
  <c r="S52" i="3"/>
  <c r="R52" i="3"/>
  <c r="Q52" i="3"/>
  <c r="U52" i="3" s="1"/>
  <c r="P52" i="3"/>
  <c r="O52" i="3"/>
  <c r="X52" i="3" s="1"/>
  <c r="N52" i="3"/>
  <c r="W52" i="3" s="1"/>
  <c r="M52" i="3"/>
  <c r="L52" i="3"/>
  <c r="T51" i="3"/>
  <c r="S51" i="3"/>
  <c r="R51" i="3"/>
  <c r="Q51" i="3"/>
  <c r="P51" i="3"/>
  <c r="O51" i="3"/>
  <c r="N51" i="3"/>
  <c r="M51" i="3"/>
  <c r="L51" i="3"/>
  <c r="T50" i="3"/>
  <c r="S50" i="3"/>
  <c r="R50" i="3"/>
  <c r="Q50" i="3"/>
  <c r="P50" i="3"/>
  <c r="O50" i="3"/>
  <c r="X50" i="3" s="1"/>
  <c r="N50" i="3"/>
  <c r="W50" i="3" s="1"/>
  <c r="M50" i="3"/>
  <c r="L50" i="3"/>
  <c r="T49" i="3"/>
  <c r="S49" i="3"/>
  <c r="R49" i="3"/>
  <c r="Q49" i="3"/>
  <c r="P49" i="3"/>
  <c r="O49" i="3"/>
  <c r="N49" i="3"/>
  <c r="W49" i="3" s="1"/>
  <c r="M49" i="3"/>
  <c r="V49" i="3" s="1"/>
  <c r="L49" i="3"/>
  <c r="T48" i="3"/>
  <c r="S48" i="3"/>
  <c r="W48" i="3" s="1"/>
  <c r="R48" i="3"/>
  <c r="Q48" i="3"/>
  <c r="P48" i="3"/>
  <c r="O48" i="3"/>
  <c r="N48" i="3"/>
  <c r="M48" i="3"/>
  <c r="L48" i="3"/>
  <c r="T47" i="3"/>
  <c r="S47" i="3"/>
  <c r="W47" i="3" s="1"/>
  <c r="R47" i="3"/>
  <c r="Q47" i="3"/>
  <c r="P47" i="3"/>
  <c r="O47" i="3"/>
  <c r="X47" i="3" s="1"/>
  <c r="N47" i="3"/>
  <c r="M47" i="3"/>
  <c r="L47" i="3"/>
  <c r="T46" i="3"/>
  <c r="S46" i="3"/>
  <c r="R46" i="3"/>
  <c r="Q46" i="3"/>
  <c r="P46" i="3"/>
  <c r="O46" i="3"/>
  <c r="X46" i="3" s="1"/>
  <c r="N46" i="3"/>
  <c r="W46" i="3" s="1"/>
  <c r="M46" i="3"/>
  <c r="V46" i="3" s="1"/>
  <c r="L46" i="3"/>
  <c r="U46" i="3" s="1"/>
  <c r="T45" i="3"/>
  <c r="S45" i="3"/>
  <c r="R45" i="3"/>
  <c r="Q45" i="3"/>
  <c r="P45" i="3"/>
  <c r="O45" i="3"/>
  <c r="N45" i="3"/>
  <c r="M45" i="3"/>
  <c r="V45" i="3" s="1"/>
  <c r="L45" i="3"/>
  <c r="U45" i="3" s="1"/>
  <c r="V44" i="3"/>
  <c r="U44" i="3"/>
  <c r="T44" i="3"/>
  <c r="S44" i="3"/>
  <c r="W44" i="3" s="1"/>
  <c r="R44" i="3"/>
  <c r="Q44" i="3"/>
  <c r="P44" i="3"/>
  <c r="O44" i="3"/>
  <c r="N44" i="3"/>
  <c r="M44" i="3"/>
  <c r="L44" i="3"/>
  <c r="T43" i="3"/>
  <c r="X43" i="3" s="1"/>
  <c r="S43" i="3"/>
  <c r="W43" i="3" s="1"/>
  <c r="R43" i="3"/>
  <c r="V43" i="3" s="1"/>
  <c r="Q43" i="3"/>
  <c r="P43" i="3"/>
  <c r="O43" i="3"/>
  <c r="N43" i="3"/>
  <c r="M43" i="3"/>
  <c r="L43" i="3"/>
  <c r="U43" i="3" s="1"/>
  <c r="T42" i="3"/>
  <c r="S42" i="3"/>
  <c r="R42" i="3"/>
  <c r="Q42" i="3"/>
  <c r="P42" i="3"/>
  <c r="O42" i="3"/>
  <c r="N42" i="3"/>
  <c r="M42" i="3"/>
  <c r="L42" i="3"/>
  <c r="T41" i="3"/>
  <c r="S41" i="3"/>
  <c r="W41" i="3" s="1"/>
  <c r="R41" i="3"/>
  <c r="Q41" i="3"/>
  <c r="P41" i="3"/>
  <c r="X41" i="3" s="1"/>
  <c r="O41" i="3"/>
  <c r="N41" i="3"/>
  <c r="M41" i="3"/>
  <c r="L41" i="3"/>
  <c r="T40" i="3"/>
  <c r="S40" i="3"/>
  <c r="W40" i="3" s="1"/>
  <c r="R40" i="3"/>
  <c r="V40" i="3" s="1"/>
  <c r="Q40" i="3"/>
  <c r="U40" i="3" s="1"/>
  <c r="P40" i="3"/>
  <c r="O40" i="3"/>
  <c r="N40" i="3"/>
  <c r="M40" i="3"/>
  <c r="L40" i="3"/>
  <c r="V39" i="3"/>
  <c r="T39" i="3"/>
  <c r="S39" i="3"/>
  <c r="R39" i="3"/>
  <c r="Q39" i="3"/>
  <c r="P39" i="3"/>
  <c r="O39" i="3"/>
  <c r="X39" i="3" s="1"/>
  <c r="N39" i="3"/>
  <c r="W39" i="3" s="1"/>
  <c r="M39" i="3"/>
  <c r="L39" i="3"/>
  <c r="T38" i="3"/>
  <c r="S38" i="3"/>
  <c r="R38" i="3"/>
  <c r="Q38" i="3"/>
  <c r="P38" i="3"/>
  <c r="O38" i="3"/>
  <c r="N38" i="3"/>
  <c r="M38" i="3"/>
  <c r="L38" i="3"/>
  <c r="T37" i="3"/>
  <c r="S37" i="3"/>
  <c r="R37" i="3"/>
  <c r="Q37" i="3"/>
  <c r="P37" i="3"/>
  <c r="O37" i="3"/>
  <c r="N37" i="3"/>
  <c r="M37" i="3"/>
  <c r="L37" i="3"/>
  <c r="T36" i="3"/>
  <c r="S36" i="3"/>
  <c r="R36" i="3"/>
  <c r="Q36" i="3"/>
  <c r="P36" i="3"/>
  <c r="O36" i="3"/>
  <c r="X36" i="3" s="1"/>
  <c r="N36" i="3"/>
  <c r="W36" i="3" s="1"/>
  <c r="M36" i="3"/>
  <c r="V36" i="3" s="1"/>
  <c r="L36" i="3"/>
  <c r="U36" i="3" s="1"/>
  <c r="T35" i="3"/>
  <c r="X35" i="3" s="1"/>
  <c r="S35" i="3"/>
  <c r="R35" i="3"/>
  <c r="Q35" i="3"/>
  <c r="P35" i="3"/>
  <c r="O35" i="3"/>
  <c r="N35" i="3"/>
  <c r="W35" i="3" s="1"/>
  <c r="M35" i="3"/>
  <c r="L35" i="3"/>
  <c r="T34" i="3"/>
  <c r="S34" i="3"/>
  <c r="W34" i="3" s="1"/>
  <c r="R34" i="3"/>
  <c r="Q34" i="3"/>
  <c r="P34" i="3"/>
  <c r="O34" i="3"/>
  <c r="N34" i="3"/>
  <c r="M34" i="3"/>
  <c r="V34" i="3" s="1"/>
  <c r="L34" i="3"/>
  <c r="T33" i="3"/>
  <c r="S33" i="3"/>
  <c r="R33" i="3"/>
  <c r="Q33" i="3"/>
  <c r="P33" i="3"/>
  <c r="O33" i="3"/>
  <c r="X33" i="3" s="1"/>
  <c r="N33" i="3"/>
  <c r="W33" i="3" s="1"/>
  <c r="M33" i="3"/>
  <c r="V33" i="3" s="1"/>
  <c r="L33" i="3"/>
  <c r="T32" i="3"/>
  <c r="S32" i="3"/>
  <c r="R32" i="3"/>
  <c r="Q32" i="3"/>
  <c r="P32" i="3"/>
  <c r="O32" i="3"/>
  <c r="N32" i="3"/>
  <c r="M32" i="3"/>
  <c r="V32" i="3" s="1"/>
  <c r="L32" i="3"/>
  <c r="T31" i="3"/>
  <c r="X31" i="3" s="1"/>
  <c r="S31" i="3"/>
  <c r="R31" i="3"/>
  <c r="Q31" i="3"/>
  <c r="P31" i="3"/>
  <c r="O31" i="3"/>
  <c r="N31" i="3"/>
  <c r="M31" i="3"/>
  <c r="L31" i="3"/>
  <c r="U31" i="3" s="1"/>
  <c r="T30" i="3"/>
  <c r="S30" i="3"/>
  <c r="W30" i="3" s="1"/>
  <c r="R30" i="3"/>
  <c r="Q30" i="3"/>
  <c r="P30" i="3"/>
  <c r="O30" i="3"/>
  <c r="X30" i="3" s="1"/>
  <c r="N30" i="3"/>
  <c r="M30" i="3"/>
  <c r="V30" i="3" s="1"/>
  <c r="L30" i="3"/>
  <c r="U30" i="3" s="1"/>
  <c r="T29" i="3"/>
  <c r="S29" i="3"/>
  <c r="R29" i="3"/>
  <c r="Q29" i="3"/>
  <c r="P29" i="3"/>
  <c r="O29" i="3"/>
  <c r="X29" i="3" s="1"/>
  <c r="N29" i="3"/>
  <c r="M29" i="3"/>
  <c r="L29" i="3"/>
  <c r="U29" i="3" s="1"/>
  <c r="X28" i="3"/>
  <c r="T28" i="3"/>
  <c r="S28" i="3"/>
  <c r="R28" i="3"/>
  <c r="Q28" i="3"/>
  <c r="P28" i="3"/>
  <c r="O28" i="3"/>
  <c r="N28" i="3"/>
  <c r="M28" i="3"/>
  <c r="V28" i="3" s="1"/>
  <c r="L28" i="3"/>
  <c r="T27" i="3"/>
  <c r="S27" i="3"/>
  <c r="R27" i="3"/>
  <c r="Q27" i="3"/>
  <c r="P27" i="3"/>
  <c r="O27" i="3"/>
  <c r="N27" i="3"/>
  <c r="M27" i="3"/>
  <c r="L27" i="3"/>
  <c r="T26" i="3"/>
  <c r="S26" i="3"/>
  <c r="R26" i="3"/>
  <c r="Q26" i="3"/>
  <c r="P26" i="3"/>
  <c r="O26" i="3"/>
  <c r="N26" i="3"/>
  <c r="M26" i="3"/>
  <c r="V26" i="3" s="1"/>
  <c r="L26" i="3"/>
  <c r="T25" i="3"/>
  <c r="S25" i="3"/>
  <c r="R25" i="3"/>
  <c r="Q25" i="3"/>
  <c r="P25" i="3"/>
  <c r="O25" i="3"/>
  <c r="N25" i="3"/>
  <c r="M25" i="3"/>
  <c r="L25" i="3"/>
  <c r="T24" i="3"/>
  <c r="S24" i="3"/>
  <c r="R24" i="3"/>
  <c r="Q24" i="3"/>
  <c r="P24" i="3"/>
  <c r="O24" i="3"/>
  <c r="N24" i="3"/>
  <c r="M24" i="3"/>
  <c r="L24" i="3"/>
  <c r="T23" i="3"/>
  <c r="S23" i="3"/>
  <c r="R23" i="3"/>
  <c r="Q23" i="3"/>
  <c r="P23" i="3"/>
  <c r="O23" i="3"/>
  <c r="N23" i="3"/>
  <c r="M23" i="3"/>
  <c r="L23" i="3"/>
  <c r="T22" i="3"/>
  <c r="S22" i="3"/>
  <c r="R22" i="3"/>
  <c r="Q22" i="3"/>
  <c r="P22" i="3"/>
  <c r="O22" i="3"/>
  <c r="N22" i="3"/>
  <c r="M22" i="3"/>
  <c r="L22" i="3"/>
  <c r="T21" i="3"/>
  <c r="S21" i="3"/>
  <c r="R21" i="3"/>
  <c r="Q21" i="3"/>
  <c r="P21" i="3"/>
  <c r="O21" i="3"/>
  <c r="N21" i="3"/>
  <c r="M21" i="3"/>
  <c r="L21" i="3"/>
  <c r="T20" i="3"/>
  <c r="S20" i="3"/>
  <c r="R20" i="3"/>
  <c r="Q20" i="3"/>
  <c r="P20" i="3"/>
  <c r="O20" i="3"/>
  <c r="N20" i="3"/>
  <c r="M20" i="3"/>
  <c r="L20" i="3"/>
  <c r="T19" i="3"/>
  <c r="S19" i="3"/>
  <c r="R19" i="3"/>
  <c r="Q19" i="3"/>
  <c r="P19" i="3"/>
  <c r="O19" i="3"/>
  <c r="N19" i="3"/>
  <c r="M19" i="3"/>
  <c r="L19" i="3"/>
  <c r="T18" i="3"/>
  <c r="S18" i="3"/>
  <c r="R18" i="3"/>
  <c r="Q18" i="3"/>
  <c r="P18" i="3"/>
  <c r="O18" i="3"/>
  <c r="X18" i="3" s="1"/>
  <c r="N18" i="3"/>
  <c r="M18" i="3"/>
  <c r="L18" i="3"/>
  <c r="T17" i="3"/>
  <c r="S17" i="3"/>
  <c r="R17" i="3"/>
  <c r="Q17" i="3"/>
  <c r="P17" i="3"/>
  <c r="O17" i="3"/>
  <c r="N17" i="3"/>
  <c r="W17" i="3" s="1"/>
  <c r="M17" i="3"/>
  <c r="V17" i="3" s="1"/>
  <c r="L17" i="3"/>
  <c r="U17" i="3" s="1"/>
  <c r="V16" i="3"/>
  <c r="T16" i="3"/>
  <c r="S16" i="3"/>
  <c r="R16" i="3"/>
  <c r="Q16" i="3"/>
  <c r="P16" i="3"/>
  <c r="O16" i="3"/>
  <c r="N16" i="3"/>
  <c r="M16" i="3"/>
  <c r="L16" i="3"/>
  <c r="U16" i="3" s="1"/>
  <c r="T15" i="3"/>
  <c r="S15" i="3"/>
  <c r="W15" i="3" s="1"/>
  <c r="R15" i="3"/>
  <c r="V15" i="3" s="1"/>
  <c r="Q15" i="3"/>
  <c r="U15" i="3" s="1"/>
  <c r="P15" i="3"/>
  <c r="O15" i="3"/>
  <c r="N15" i="3"/>
  <c r="M15" i="3"/>
  <c r="L15" i="3"/>
  <c r="T14" i="3"/>
  <c r="S14" i="3"/>
  <c r="R14" i="3"/>
  <c r="Q14" i="3"/>
  <c r="P14" i="3"/>
  <c r="O14" i="3"/>
  <c r="N14" i="3"/>
  <c r="M14" i="3"/>
  <c r="L14" i="3"/>
  <c r="T13" i="3"/>
  <c r="S13" i="3"/>
  <c r="R13" i="3"/>
  <c r="Q13" i="3"/>
  <c r="P13" i="3"/>
  <c r="O13" i="3"/>
  <c r="N13" i="3"/>
  <c r="M13" i="3"/>
  <c r="L13" i="3"/>
  <c r="T12" i="3"/>
  <c r="S12" i="3"/>
  <c r="R12" i="3"/>
  <c r="V12" i="3" s="1"/>
  <c r="Q12" i="3"/>
  <c r="U12" i="3" s="1"/>
  <c r="P12" i="3"/>
  <c r="O12" i="3"/>
  <c r="N12" i="3"/>
  <c r="M12" i="3"/>
  <c r="L12" i="3"/>
  <c r="T11" i="3"/>
  <c r="S11" i="3"/>
  <c r="R11" i="3"/>
  <c r="Q11" i="3"/>
  <c r="P11" i="3"/>
  <c r="O11" i="3"/>
  <c r="N11" i="3"/>
  <c r="W11" i="3" s="1"/>
  <c r="M11" i="3"/>
  <c r="L11" i="3"/>
  <c r="U10" i="3"/>
  <c r="T10" i="3"/>
  <c r="S10" i="3"/>
  <c r="R10" i="3"/>
  <c r="Q10" i="3"/>
  <c r="P10" i="3"/>
  <c r="O10" i="3"/>
  <c r="N10" i="3"/>
  <c r="M10" i="3"/>
  <c r="V10" i="3" s="1"/>
  <c r="L10" i="3"/>
  <c r="W28" i="3" l="1"/>
  <c r="V27" i="3"/>
  <c r="U27" i="3"/>
  <c r="X27" i="3"/>
  <c r="W27" i="3"/>
  <c r="W26" i="3"/>
  <c r="V25" i="3"/>
  <c r="U26" i="3"/>
  <c r="U25" i="3"/>
  <c r="V24" i="3"/>
  <c r="W24" i="3"/>
  <c r="W32" i="3"/>
  <c r="W29" i="3"/>
  <c r="W12" i="3"/>
  <c r="X11" i="3"/>
  <c r="X19" i="3"/>
  <c r="U21" i="3"/>
  <c r="W16" i="3"/>
  <c r="U18" i="3"/>
  <c r="V21" i="3"/>
  <c r="X16" i="3"/>
  <c r="V18" i="3"/>
  <c r="W18" i="3"/>
  <c r="W13" i="3"/>
  <c r="T8" i="3"/>
  <c r="X12" i="3"/>
  <c r="P8" i="3"/>
  <c r="X125" i="3"/>
  <c r="X15" i="3"/>
  <c r="O8" i="3"/>
  <c r="U14" i="3"/>
  <c r="U152" i="3"/>
  <c r="U11" i="3"/>
  <c r="V14" i="3"/>
  <c r="X112" i="3"/>
  <c r="V152" i="3"/>
  <c r="U70" i="3"/>
  <c r="V99" i="3"/>
  <c r="X111" i="3"/>
  <c r="W152" i="3"/>
  <c r="X20" i="3"/>
  <c r="W45" i="3"/>
  <c r="X57" i="3"/>
  <c r="V70" i="3"/>
  <c r="U84" i="3"/>
  <c r="U88" i="3"/>
  <c r="W99" i="3"/>
  <c r="U111" i="3"/>
  <c r="U38" i="3"/>
  <c r="U39" i="3"/>
  <c r="U42" i="3"/>
  <c r="U75" i="3"/>
  <c r="X99" i="3"/>
  <c r="V111" i="3"/>
  <c r="X132" i="3"/>
  <c r="X142" i="3"/>
  <c r="U19" i="3"/>
  <c r="U32" i="3"/>
  <c r="U35" i="3"/>
  <c r="V42" i="3"/>
  <c r="V75" i="3"/>
  <c r="W85" i="3"/>
  <c r="W111" i="3"/>
  <c r="V128" i="3"/>
  <c r="V13" i="3"/>
  <c r="V19" i="3"/>
  <c r="V47" i="3"/>
  <c r="V56" i="3"/>
  <c r="W75" i="3"/>
  <c r="W82" i="3"/>
  <c r="X85" i="3"/>
  <c r="V116" i="3"/>
  <c r="W19" i="3"/>
  <c r="W53" i="3"/>
  <c r="W56" i="3"/>
  <c r="X81" i="3"/>
  <c r="W116" i="3"/>
  <c r="V131" i="3"/>
  <c r="X49" i="3"/>
  <c r="X56" i="3"/>
  <c r="X63" i="3"/>
  <c r="U65" i="3"/>
  <c r="X70" i="3"/>
  <c r="U77" i="3"/>
  <c r="V80" i="3"/>
  <c r="U86" i="3"/>
  <c r="U94" i="3"/>
  <c r="U98" i="3"/>
  <c r="V100" i="3"/>
  <c r="U103" i="3"/>
  <c r="U117" i="3"/>
  <c r="U120" i="3"/>
  <c r="U124" i="3"/>
  <c r="V127" i="3"/>
  <c r="X148" i="3"/>
  <c r="X151" i="3"/>
  <c r="W10" i="3"/>
  <c r="V11" i="3"/>
  <c r="W14" i="3"/>
  <c r="U23" i="3"/>
  <c r="U24" i="3"/>
  <c r="U28" i="3"/>
  <c r="V31" i="3"/>
  <c r="V37" i="3"/>
  <c r="U41" i="3"/>
  <c r="X45" i="3"/>
  <c r="U48" i="3"/>
  <c r="U51" i="3"/>
  <c r="U59" i="3"/>
  <c r="V65" i="3"/>
  <c r="X69" i="3"/>
  <c r="V77" i="3"/>
  <c r="W80" i="3"/>
  <c r="X84" i="3"/>
  <c r="U90" i="3"/>
  <c r="V93" i="3"/>
  <c r="V98" i="3"/>
  <c r="V117" i="3"/>
  <c r="V124" i="3"/>
  <c r="W127" i="3"/>
  <c r="U129" i="3"/>
  <c r="U137" i="3"/>
  <c r="V141" i="3"/>
  <c r="U147" i="3"/>
  <c r="U20" i="3"/>
  <c r="V23" i="3"/>
  <c r="W31" i="3"/>
  <c r="X34" i="3"/>
  <c r="W37" i="3"/>
  <c r="V41" i="3"/>
  <c r="V48" i="3"/>
  <c r="V51" i="3"/>
  <c r="V59" i="3"/>
  <c r="V62" i="3"/>
  <c r="W65" i="3"/>
  <c r="U69" i="3"/>
  <c r="X73" i="3"/>
  <c r="W77" i="3"/>
  <c r="X80" i="3"/>
  <c r="V90" i="3"/>
  <c r="W93" i="3"/>
  <c r="W98" i="3"/>
  <c r="X101" i="3"/>
  <c r="U110" i="3"/>
  <c r="X114" i="3"/>
  <c r="W117" i="3"/>
  <c r="W120" i="3"/>
  <c r="V129" i="3"/>
  <c r="V137" i="3"/>
  <c r="W141" i="3"/>
  <c r="V20" i="3"/>
  <c r="W23" i="3"/>
  <c r="X37" i="3"/>
  <c r="X55" i="3"/>
  <c r="U58" i="3"/>
  <c r="W59" i="3"/>
  <c r="V69" i="3"/>
  <c r="U83" i="3"/>
  <c r="W90" i="3"/>
  <c r="X93" i="3"/>
  <c r="X96" i="3"/>
  <c r="U97" i="3"/>
  <c r="U106" i="3"/>
  <c r="V110" i="3"/>
  <c r="X120" i="3"/>
  <c r="W129" i="3"/>
  <c r="V133" i="3"/>
  <c r="W136" i="3"/>
  <c r="X141" i="3"/>
  <c r="U13" i="3"/>
  <c r="X17" i="3"/>
  <c r="W20" i="3"/>
  <c r="X23" i="3"/>
  <c r="U33" i="3"/>
  <c r="X40" i="3"/>
  <c r="X44" i="3"/>
  <c r="U47" i="3"/>
  <c r="X48" i="3"/>
  <c r="X59" i="3"/>
  <c r="X62" i="3"/>
  <c r="X68" i="3"/>
  <c r="W69" i="3"/>
  <c r="W72" i="3"/>
  <c r="U80" i="3"/>
  <c r="V83" i="3"/>
  <c r="V106" i="3"/>
  <c r="W109" i="3"/>
  <c r="W110" i="3"/>
  <c r="W113" i="3"/>
  <c r="U116" i="3"/>
  <c r="U126" i="3"/>
  <c r="W133" i="3"/>
  <c r="X136" i="3"/>
  <c r="U140" i="3"/>
  <c r="U132" i="3"/>
  <c r="X133" i="3"/>
  <c r="V140" i="3"/>
  <c r="U142" i="3"/>
  <c r="V147" i="3"/>
  <c r="V150" i="3"/>
  <c r="U151" i="3"/>
  <c r="X14" i="3"/>
  <c r="W21" i="3"/>
  <c r="X24" i="3"/>
  <c r="X32" i="3"/>
  <c r="W42" i="3"/>
  <c r="U53" i="3"/>
  <c r="W61" i="3"/>
  <c r="X64" i="3"/>
  <c r="W71" i="3"/>
  <c r="U82" i="3"/>
  <c r="X86" i="3"/>
  <c r="X90" i="3"/>
  <c r="V97" i="3"/>
  <c r="X107" i="3"/>
  <c r="X110" i="3"/>
  <c r="V118" i="3"/>
  <c r="W121" i="3"/>
  <c r="W125" i="3"/>
  <c r="W128" i="3"/>
  <c r="V132" i="3"/>
  <c r="U135" i="3"/>
  <c r="U136" i="3"/>
  <c r="X139" i="3"/>
  <c r="W140" i="3"/>
  <c r="W147" i="3"/>
  <c r="W150" i="3"/>
  <c r="V151" i="3"/>
  <c r="X13" i="3"/>
  <c r="L8" i="3"/>
  <c r="X21" i="3"/>
  <c r="V29" i="3"/>
  <c r="X42" i="3"/>
  <c r="U49" i="3"/>
  <c r="V52" i="3"/>
  <c r="V53" i="3"/>
  <c r="X61" i="3"/>
  <c r="X71" i="3"/>
  <c r="U78" i="3"/>
  <c r="V82" i="3"/>
  <c r="U89" i="3"/>
  <c r="U92" i="3"/>
  <c r="U99" i="3"/>
  <c r="X103" i="3"/>
  <c r="W118" i="3"/>
  <c r="X121" i="3"/>
  <c r="X124" i="3"/>
  <c r="X128" i="3"/>
  <c r="U131" i="3"/>
  <c r="V135" i="3"/>
  <c r="U139" i="3"/>
  <c r="U146" i="3"/>
  <c r="S8" i="3"/>
  <c r="Q8" i="3"/>
  <c r="R8" i="3"/>
  <c r="X10" i="3"/>
  <c r="V35" i="3"/>
  <c r="V38" i="3"/>
  <c r="W51" i="3"/>
  <c r="X67" i="3"/>
  <c r="U79" i="3"/>
  <c r="V92" i="3"/>
  <c r="U104" i="3"/>
  <c r="X108" i="3"/>
  <c r="V120" i="3"/>
  <c r="W123" i="3"/>
  <c r="W135" i="3"/>
  <c r="U22" i="3"/>
  <c r="X26" i="3"/>
  <c r="W38" i="3"/>
  <c r="X51" i="3"/>
  <c r="U63" i="3"/>
  <c r="V79" i="3"/>
  <c r="W92" i="3"/>
  <c r="W95" i="3"/>
  <c r="X123" i="3"/>
  <c r="X138" i="3"/>
  <c r="V22" i="3"/>
  <c r="U34" i="3"/>
  <c r="X38" i="3"/>
  <c r="V63" i="3"/>
  <c r="V66" i="3"/>
  <c r="W79" i="3"/>
  <c r="X95" i="3"/>
  <c r="U107" i="3"/>
  <c r="U149" i="3"/>
  <c r="M8" i="3"/>
  <c r="W22" i="3"/>
  <c r="W25" i="3"/>
  <c r="U50" i="3"/>
  <c r="X54" i="3"/>
  <c r="W66" i="3"/>
  <c r="X79" i="3"/>
  <c r="U91" i="3"/>
  <c r="V107" i="3"/>
  <c r="U119" i="3"/>
  <c r="U134" i="3"/>
  <c r="V149" i="3"/>
  <c r="X150" i="3"/>
  <c r="N8" i="3"/>
  <c r="X22" i="3"/>
  <c r="X25" i="3"/>
  <c r="U37" i="3"/>
  <c r="V50" i="3"/>
  <c r="U62" i="3"/>
  <c r="X66" i="3"/>
  <c r="V91" i="3"/>
  <c r="V94" i="3"/>
  <c r="W107" i="3"/>
  <c r="V122" i="3"/>
  <c r="V134" i="3"/>
  <c r="W137" i="3"/>
  <c r="W149" i="3"/>
  <c r="W8" i="3" l="1"/>
  <c r="V8" i="3"/>
  <c r="U8" i="3"/>
  <c r="X8" i="3"/>
  <c r="DI4" i="2" l="1"/>
  <c r="DI5" i="2"/>
  <c r="DI6" i="2"/>
  <c r="DI7" i="2"/>
  <c r="DI14" i="2"/>
  <c r="DI15" i="2"/>
  <c r="DI16" i="2"/>
  <c r="DI17" i="2"/>
  <c r="DI18" i="2"/>
  <c r="DI19" i="2"/>
  <c r="DI20" i="2"/>
  <c r="DI21" i="2"/>
  <c r="DI22" i="2"/>
  <c r="DI23" i="2"/>
  <c r="DI24" i="2"/>
  <c r="DI3" i="2"/>
  <c r="GA4" i="2"/>
  <c r="GA5" i="2"/>
  <c r="GA6" i="2"/>
  <c r="GA7" i="2"/>
  <c r="GA14" i="2"/>
  <c r="GA15" i="2"/>
  <c r="GA3" i="2"/>
  <c r="FZ4" i="2"/>
  <c r="FZ5" i="2"/>
  <c r="FZ6" i="2"/>
  <c r="FZ7" i="2"/>
  <c r="FZ14" i="2"/>
  <c r="FZ15" i="2"/>
  <c r="FZ3" i="2"/>
  <c r="FY4" i="2"/>
  <c r="FY5" i="2"/>
  <c r="FY6" i="2"/>
  <c r="FY7" i="2"/>
  <c r="FY14" i="2"/>
  <c r="FY15" i="2"/>
  <c r="FY3" i="2"/>
  <c r="FX4" i="2"/>
  <c r="FX5" i="2"/>
  <c r="FX6" i="2"/>
  <c r="FX7" i="2"/>
  <c r="FX14" i="2"/>
  <c r="FX15" i="2"/>
  <c r="FX3" i="2"/>
  <c r="FR4" i="2"/>
  <c r="FR5" i="2"/>
  <c r="FR6" i="2"/>
  <c r="FR7" i="2"/>
  <c r="FR14" i="2"/>
  <c r="FR15" i="2"/>
  <c r="FR16" i="2"/>
  <c r="FR17" i="2"/>
  <c r="FR18" i="2"/>
  <c r="FR19" i="2"/>
  <c r="FR20" i="2"/>
  <c r="FR21" i="2"/>
  <c r="FR22" i="2"/>
  <c r="FR23" i="2"/>
  <c r="FR24" i="2"/>
  <c r="FR3" i="2"/>
  <c r="FQ4" i="2"/>
  <c r="FQ5" i="2"/>
  <c r="FQ6" i="2"/>
  <c r="FQ7" i="2"/>
  <c r="FQ14" i="2"/>
  <c r="FQ15" i="2"/>
  <c r="FQ16" i="2"/>
  <c r="FQ17" i="2"/>
  <c r="FQ18" i="2"/>
  <c r="FQ19" i="2"/>
  <c r="FQ20" i="2"/>
  <c r="FQ21" i="2"/>
  <c r="FQ22" i="2"/>
  <c r="FQ23" i="2"/>
  <c r="FQ24" i="2"/>
  <c r="FQ3" i="2"/>
  <c r="FU4" i="2"/>
  <c r="FU5" i="2"/>
  <c r="FU6" i="2"/>
  <c r="FU7" i="2"/>
  <c r="FU14" i="2"/>
  <c r="FU15" i="2"/>
  <c r="FU16" i="2"/>
  <c r="FU17" i="2"/>
  <c r="FU18" i="2"/>
  <c r="FU19" i="2"/>
  <c r="FU20" i="2"/>
  <c r="FU21" i="2"/>
  <c r="FU22" i="2"/>
  <c r="FU23" i="2"/>
  <c r="FU24" i="2"/>
  <c r="FU3" i="2"/>
  <c r="FT4" i="2"/>
  <c r="FT5" i="2"/>
  <c r="FT6" i="2"/>
  <c r="FT7" i="2"/>
  <c r="FT14" i="2"/>
  <c r="FT15" i="2"/>
  <c r="FT16" i="2"/>
  <c r="FT17" i="2"/>
  <c r="FT18" i="2"/>
  <c r="FT19" i="2"/>
  <c r="FT20" i="2"/>
  <c r="FT21" i="2"/>
  <c r="FT22" i="2"/>
  <c r="FT23" i="2"/>
  <c r="FT24" i="2"/>
  <c r="FT3" i="2"/>
  <c r="FW4" i="2"/>
  <c r="FW5" i="2"/>
  <c r="FW6" i="2"/>
  <c r="FW7" i="2"/>
  <c r="FW14" i="2"/>
  <c r="FW15" i="2"/>
  <c r="FW16" i="2"/>
  <c r="FW17" i="2"/>
  <c r="FW18" i="2"/>
  <c r="FW19" i="2"/>
  <c r="FW20" i="2"/>
  <c r="FW21" i="2"/>
  <c r="FW22" i="2"/>
  <c r="FW23" i="2"/>
  <c r="FW24" i="2"/>
  <c r="FW3" i="2"/>
  <c r="FV4" i="2"/>
  <c r="FV5" i="2"/>
  <c r="FV6" i="2"/>
  <c r="FV7" i="2"/>
  <c r="FV14" i="2"/>
  <c r="FV15" i="2"/>
  <c r="FV16" i="2"/>
  <c r="FV17" i="2"/>
  <c r="FV18" i="2"/>
  <c r="FV19" i="2"/>
  <c r="FV20" i="2"/>
  <c r="FV21" i="2"/>
  <c r="FV22" i="2"/>
  <c r="FV23" i="2"/>
  <c r="FV24" i="2"/>
  <c r="FV3" i="2"/>
  <c r="FS4" i="2"/>
  <c r="FS5" i="2"/>
  <c r="FS6" i="2"/>
  <c r="FS7" i="2"/>
  <c r="FS14" i="2"/>
  <c r="FS15" i="2"/>
  <c r="FS16" i="2"/>
  <c r="FS17" i="2"/>
  <c r="FS18" i="2"/>
  <c r="FS19" i="2"/>
  <c r="FS20" i="2"/>
  <c r="FS21" i="2"/>
  <c r="FS22" i="2"/>
  <c r="FS23" i="2"/>
  <c r="FS24" i="2"/>
  <c r="FS3" i="2"/>
  <c r="FP4" i="2"/>
  <c r="FP5" i="2"/>
  <c r="FP6" i="2"/>
  <c r="FP7" i="2"/>
  <c r="FP14" i="2"/>
  <c r="FP15" i="2"/>
  <c r="FP16" i="2"/>
  <c r="FP17" i="2"/>
  <c r="FP18" i="2"/>
  <c r="FP19" i="2"/>
  <c r="FP20" i="2"/>
  <c r="FP21" i="2"/>
  <c r="FP22" i="2"/>
  <c r="FP23" i="2"/>
  <c r="FP24" i="2"/>
  <c r="FP3" i="2"/>
  <c r="FO4" i="2"/>
  <c r="FO5" i="2"/>
  <c r="FO6" i="2"/>
  <c r="FO7" i="2"/>
  <c r="FO14" i="2"/>
  <c r="FO15" i="2"/>
  <c r="FO16" i="2"/>
  <c r="FO17" i="2"/>
  <c r="FO18" i="2"/>
  <c r="FO19" i="2"/>
  <c r="FO20" i="2"/>
  <c r="FO21" i="2"/>
  <c r="FO22" i="2"/>
  <c r="FO23" i="2"/>
  <c r="FO24" i="2"/>
  <c r="FO3" i="2"/>
  <c r="FN4" i="2"/>
  <c r="FN5" i="2"/>
  <c r="FN6" i="2"/>
  <c r="FN7" i="2"/>
  <c r="FN14" i="2"/>
  <c r="FN15" i="2"/>
  <c r="FN16" i="2"/>
  <c r="FN17" i="2"/>
  <c r="FN18" i="2"/>
  <c r="FN19" i="2"/>
  <c r="FN20" i="2"/>
  <c r="FN21" i="2"/>
  <c r="FN22" i="2"/>
  <c r="FN23" i="2"/>
  <c r="FN24" i="2"/>
  <c r="FN3" i="2"/>
  <c r="FM14" i="2"/>
  <c r="FM15" i="2"/>
  <c r="FM18" i="2"/>
  <c r="FM19" i="2"/>
  <c r="FM20" i="2"/>
  <c r="FM21" i="2"/>
  <c r="FM22" i="2"/>
  <c r="FM23" i="2"/>
  <c r="FM24" i="2"/>
  <c r="FL4" i="2"/>
  <c r="FL5" i="2"/>
  <c r="FL6" i="2"/>
  <c r="FL7" i="2"/>
  <c r="FL14" i="2"/>
  <c r="FL15" i="2"/>
  <c r="FL16" i="2"/>
  <c r="FL17" i="2"/>
  <c r="FL18" i="2"/>
  <c r="FL19" i="2"/>
  <c r="FL20" i="2"/>
  <c r="FL21" i="2"/>
  <c r="FL22" i="2"/>
  <c r="FL23" i="2"/>
  <c r="FL24" i="2"/>
  <c r="FL3" i="2"/>
  <c r="FK4" i="2"/>
  <c r="FK5" i="2"/>
  <c r="FK6" i="2"/>
  <c r="FK7" i="2"/>
  <c r="FK14" i="2"/>
  <c r="FK15" i="2"/>
  <c r="FK16" i="2"/>
  <c r="FK17" i="2"/>
  <c r="FK18" i="2"/>
  <c r="FK19" i="2"/>
  <c r="FK20" i="2"/>
  <c r="FK21" i="2"/>
  <c r="FK22" i="2"/>
  <c r="FK23" i="2"/>
  <c r="FK24" i="2"/>
  <c r="FK3" i="2"/>
  <c r="FJ4" i="2"/>
  <c r="FJ5" i="2"/>
  <c r="FJ6" i="2"/>
  <c r="FJ7" i="2"/>
  <c r="FJ14" i="2"/>
  <c r="FJ15" i="2"/>
  <c r="FJ16" i="2"/>
  <c r="FJ17" i="2"/>
  <c r="FJ18" i="2"/>
  <c r="FJ19" i="2"/>
  <c r="FJ20" i="2"/>
  <c r="FJ21" i="2"/>
  <c r="FJ22" i="2"/>
  <c r="FJ23" i="2"/>
  <c r="FJ24" i="2"/>
  <c r="FJ3" i="2"/>
  <c r="FI4" i="2"/>
  <c r="FI5" i="2"/>
  <c r="FI6" i="2"/>
  <c r="FI7" i="2"/>
  <c r="FI14" i="2"/>
  <c r="FI15" i="2"/>
  <c r="FI16" i="2"/>
  <c r="FI17" i="2"/>
  <c r="FI18" i="2"/>
  <c r="FI19" i="2"/>
  <c r="FI20" i="2"/>
  <c r="FI21" i="2"/>
  <c r="FI22" i="2"/>
  <c r="FI23" i="2"/>
  <c r="FI24" i="2"/>
  <c r="FI3" i="2"/>
  <c r="FH4" i="2"/>
  <c r="FH5" i="2"/>
  <c r="FH6" i="2"/>
  <c r="FH7" i="2"/>
  <c r="FH14" i="2"/>
  <c r="FH15" i="2"/>
  <c r="FH16" i="2"/>
  <c r="FH17" i="2"/>
  <c r="FH18" i="2"/>
  <c r="FH19" i="2"/>
  <c r="FH20" i="2"/>
  <c r="FH21" i="2"/>
  <c r="FH22" i="2"/>
  <c r="FH23" i="2"/>
  <c r="FH24" i="2"/>
  <c r="FH3" i="2"/>
  <c r="FG4" i="2"/>
  <c r="FG5" i="2"/>
  <c r="FG6" i="2"/>
  <c r="FG7" i="2"/>
  <c r="FG14" i="2"/>
  <c r="FG15" i="2"/>
  <c r="FG16" i="2"/>
  <c r="FG17" i="2"/>
  <c r="FG18" i="2"/>
  <c r="FG19" i="2"/>
  <c r="FG20" i="2"/>
  <c r="FG21" i="2"/>
  <c r="FG22" i="2"/>
  <c r="FG23" i="2"/>
  <c r="FG24" i="2"/>
  <c r="FG3" i="2"/>
  <c r="FF4" i="2"/>
  <c r="FF5" i="2"/>
  <c r="FF6" i="2"/>
  <c r="FF7" i="2"/>
  <c r="FF14" i="2"/>
  <c r="FF15" i="2"/>
  <c r="FF16" i="2"/>
  <c r="FF17" i="2"/>
  <c r="FF18" i="2"/>
  <c r="FF19" i="2"/>
  <c r="FF20" i="2"/>
  <c r="FF21" i="2"/>
  <c r="FF22" i="2"/>
  <c r="FF23" i="2"/>
  <c r="FF24" i="2"/>
  <c r="FF3" i="2"/>
  <c r="FE4" i="2"/>
  <c r="FE5" i="2"/>
  <c r="FE6" i="2"/>
  <c r="FE7" i="2"/>
  <c r="FE14" i="2"/>
  <c r="FE15" i="2"/>
  <c r="FE16" i="2"/>
  <c r="FE17" i="2"/>
  <c r="FE18" i="2"/>
  <c r="FE19" i="2"/>
  <c r="FE20" i="2"/>
  <c r="FE21" i="2"/>
  <c r="FE22" i="2"/>
  <c r="FE23" i="2"/>
  <c r="FE24" i="2"/>
  <c r="FE3" i="2"/>
  <c r="FD4" i="2"/>
  <c r="FD5" i="2"/>
  <c r="FD6" i="2"/>
  <c r="FD7" i="2"/>
  <c r="FD14" i="2"/>
  <c r="FD15" i="2"/>
  <c r="FD16" i="2"/>
  <c r="FD17" i="2"/>
  <c r="FD18" i="2"/>
  <c r="FD19" i="2"/>
  <c r="FD20" i="2"/>
  <c r="FD21" i="2"/>
  <c r="FD22" i="2"/>
  <c r="FD23" i="2"/>
  <c r="FD24" i="2"/>
  <c r="FD3" i="2"/>
  <c r="FC4" i="2"/>
  <c r="FC5" i="2"/>
  <c r="FC6" i="2"/>
  <c r="FC7" i="2"/>
  <c r="FC14" i="2"/>
  <c r="FC15" i="2"/>
  <c r="FC16" i="2"/>
  <c r="FC17" i="2"/>
  <c r="FC18" i="2"/>
  <c r="FC19" i="2"/>
  <c r="FC20" i="2"/>
  <c r="FC21" i="2"/>
  <c r="FC22" i="2"/>
  <c r="FC23" i="2"/>
  <c r="FC24" i="2"/>
  <c r="FC3" i="2"/>
  <c r="FB4" i="2"/>
  <c r="FB5" i="2"/>
  <c r="FB6" i="2"/>
  <c r="FB7" i="2"/>
  <c r="FB14" i="2"/>
  <c r="FB15" i="2"/>
  <c r="FB16" i="2"/>
  <c r="FB17" i="2"/>
  <c r="FB18" i="2"/>
  <c r="FB19" i="2"/>
  <c r="FB20" i="2"/>
  <c r="FB21" i="2"/>
  <c r="FB22" i="2"/>
  <c r="FB23" i="2"/>
  <c r="FB24" i="2"/>
  <c r="FB3" i="2"/>
  <c r="FA4" i="2"/>
  <c r="FA5" i="2"/>
  <c r="FA6" i="2"/>
  <c r="FA7" i="2"/>
  <c r="FA14" i="2"/>
  <c r="FA15" i="2"/>
  <c r="FA16" i="2"/>
  <c r="FA17" i="2"/>
  <c r="FA18" i="2"/>
  <c r="FA19" i="2"/>
  <c r="FA20" i="2"/>
  <c r="FA21" i="2"/>
  <c r="FA22" i="2"/>
  <c r="FA23" i="2"/>
  <c r="FA24" i="2"/>
  <c r="FA3" i="2"/>
  <c r="DH4" i="2"/>
  <c r="DH5" i="2"/>
  <c r="DH6" i="2"/>
  <c r="DH7" i="2"/>
  <c r="DH14" i="2"/>
  <c r="DH15" i="2"/>
  <c r="DH16" i="2"/>
  <c r="DH17" i="2"/>
  <c r="DH18" i="2"/>
  <c r="DH19" i="2"/>
  <c r="DH20" i="2"/>
  <c r="DH21" i="2"/>
  <c r="DH22" i="2"/>
  <c r="DH23" i="2"/>
  <c r="DH24" i="2"/>
  <c r="EZ4" i="2"/>
  <c r="EZ5" i="2"/>
  <c r="EZ6" i="2"/>
  <c r="EZ7" i="2"/>
  <c r="EZ14" i="2"/>
  <c r="EZ15" i="2"/>
  <c r="EZ16" i="2"/>
  <c r="EZ17" i="2"/>
  <c r="EZ18" i="2"/>
  <c r="EZ19" i="2"/>
  <c r="EZ20" i="2"/>
  <c r="EZ21" i="2"/>
  <c r="EZ22" i="2"/>
  <c r="EZ23" i="2"/>
  <c r="EZ24" i="2"/>
  <c r="EZ3" i="2"/>
  <c r="EY4" i="2"/>
  <c r="EY5" i="2"/>
  <c r="EY6" i="2"/>
  <c r="EY7" i="2"/>
  <c r="EY14" i="2"/>
  <c r="EY15" i="2"/>
  <c r="EY16" i="2"/>
  <c r="EY17" i="2"/>
  <c r="EY18" i="2"/>
  <c r="EY19" i="2"/>
  <c r="EY20" i="2"/>
  <c r="EY21" i="2"/>
  <c r="EY22" i="2"/>
  <c r="EY23" i="2"/>
  <c r="EY24" i="2"/>
  <c r="EY3" i="2"/>
  <c r="EX4" i="2"/>
  <c r="EX5" i="2"/>
  <c r="EX6" i="2"/>
  <c r="EX7" i="2"/>
  <c r="EX14" i="2"/>
  <c r="EX15" i="2"/>
  <c r="EX16" i="2"/>
  <c r="EX17" i="2"/>
  <c r="EX18" i="2"/>
  <c r="EX19" i="2"/>
  <c r="EX20" i="2"/>
  <c r="EX21" i="2"/>
  <c r="EX22" i="2"/>
  <c r="EX23" i="2"/>
  <c r="EX24" i="2"/>
  <c r="EX3" i="2"/>
  <c r="EU4" i="2"/>
  <c r="EU5" i="2"/>
  <c r="EU6" i="2"/>
  <c r="EU7" i="2"/>
  <c r="EU14" i="2"/>
  <c r="EU15" i="2"/>
  <c r="EU16" i="2"/>
  <c r="EU17" i="2"/>
  <c r="EU18" i="2"/>
  <c r="EU19" i="2"/>
  <c r="EU20" i="2"/>
  <c r="EU21" i="2"/>
  <c r="EU22" i="2"/>
  <c r="EU23" i="2"/>
  <c r="EU24" i="2"/>
  <c r="EU3" i="2"/>
  <c r="EW4" i="2"/>
  <c r="EW5" i="2"/>
  <c r="EW6" i="2"/>
  <c r="EW7" i="2"/>
  <c r="EW14" i="2"/>
  <c r="EW15" i="2"/>
  <c r="EW16" i="2"/>
  <c r="EW17" i="2"/>
  <c r="EW18" i="2"/>
  <c r="EW19" i="2"/>
  <c r="EW20" i="2"/>
  <c r="EW21" i="2"/>
  <c r="EW22" i="2"/>
  <c r="EW23" i="2"/>
  <c r="EW24" i="2"/>
  <c r="EW3" i="2"/>
  <c r="EV4" i="2"/>
  <c r="EV5" i="2"/>
  <c r="EV6" i="2"/>
  <c r="EV7" i="2"/>
  <c r="EV14" i="2"/>
  <c r="EV15" i="2"/>
  <c r="EV16" i="2"/>
  <c r="EV17" i="2"/>
  <c r="EV18" i="2"/>
  <c r="EV19" i="2"/>
  <c r="EV20" i="2"/>
  <c r="EV21" i="2"/>
  <c r="EV22" i="2"/>
  <c r="EV23" i="2"/>
  <c r="EV24" i="2"/>
  <c r="EV3" i="2"/>
  <c r="ET4" i="2"/>
  <c r="ET5" i="2"/>
  <c r="ET6" i="2"/>
  <c r="ET7" i="2"/>
  <c r="ET14" i="2"/>
  <c r="ET15" i="2"/>
  <c r="ET16" i="2"/>
  <c r="ET17" i="2"/>
  <c r="ET18" i="2"/>
  <c r="ET19" i="2"/>
  <c r="ET20" i="2"/>
  <c r="ET21" i="2"/>
  <c r="ET22" i="2"/>
  <c r="ET23" i="2"/>
  <c r="ET24" i="2"/>
  <c r="ET3" i="2"/>
  <c r="ES4" i="2"/>
  <c r="ES5" i="2"/>
  <c r="ES6" i="2"/>
  <c r="ES7" i="2"/>
  <c r="ES14" i="2"/>
  <c r="ES15" i="2"/>
  <c r="ES16" i="2"/>
  <c r="ES17" i="2"/>
  <c r="ES18" i="2"/>
  <c r="ES19" i="2"/>
  <c r="ES20" i="2"/>
  <c r="ES21" i="2"/>
  <c r="ES22" i="2"/>
  <c r="ES23" i="2"/>
  <c r="ES24" i="2"/>
  <c r="ES3" i="2"/>
  <c r="ER4" i="2"/>
  <c r="ER5" i="2"/>
  <c r="ER6" i="2"/>
  <c r="ER7" i="2"/>
  <c r="ER14" i="2"/>
  <c r="ER15" i="2"/>
  <c r="ER16" i="2"/>
  <c r="ER17" i="2"/>
  <c r="ER18" i="2"/>
  <c r="ER19" i="2"/>
  <c r="ER20" i="2"/>
  <c r="ER21" i="2"/>
  <c r="ER22" i="2"/>
  <c r="ER23" i="2"/>
  <c r="ER24" i="2"/>
  <c r="ER3" i="2"/>
  <c r="EQ4" i="2"/>
  <c r="EQ5" i="2"/>
  <c r="EQ6" i="2"/>
  <c r="EQ7" i="2"/>
  <c r="EQ14" i="2"/>
  <c r="EQ15" i="2"/>
  <c r="EQ16" i="2"/>
  <c r="EQ17" i="2"/>
  <c r="EQ18" i="2"/>
  <c r="EQ19" i="2"/>
  <c r="EQ20" i="2"/>
  <c r="EQ21" i="2"/>
  <c r="EQ22" i="2"/>
  <c r="EQ23" i="2"/>
  <c r="EQ24" i="2"/>
  <c r="EQ3" i="2"/>
  <c r="EP4" i="2"/>
  <c r="EP5" i="2"/>
  <c r="EP6" i="2"/>
  <c r="EP7" i="2"/>
  <c r="EP14" i="2"/>
  <c r="EP15" i="2"/>
  <c r="EP16" i="2"/>
  <c r="EP17" i="2"/>
  <c r="EP18" i="2"/>
  <c r="EP19" i="2"/>
  <c r="EP20" i="2"/>
  <c r="EP21" i="2"/>
  <c r="EP22" i="2"/>
  <c r="EP23" i="2"/>
  <c r="EP24" i="2"/>
  <c r="EP3" i="2"/>
  <c r="EO4" i="2"/>
  <c r="EO5" i="2"/>
  <c r="EO6" i="2"/>
  <c r="EO7" i="2"/>
  <c r="EO14" i="2"/>
  <c r="EO15" i="2"/>
  <c r="EO16" i="2"/>
  <c r="EO17" i="2"/>
  <c r="EO18" i="2"/>
  <c r="EO19" i="2"/>
  <c r="EO20" i="2"/>
  <c r="EO21" i="2"/>
  <c r="EO22" i="2"/>
  <c r="EO23" i="2"/>
  <c r="EO24" i="2"/>
  <c r="EO3" i="2"/>
  <c r="EN4" i="2"/>
  <c r="EN5" i="2"/>
  <c r="EN6" i="2"/>
  <c r="EN7" i="2"/>
  <c r="EN14" i="2"/>
  <c r="EN15" i="2"/>
  <c r="EN16" i="2"/>
  <c r="EN17" i="2"/>
  <c r="EN18" i="2"/>
  <c r="EN19" i="2"/>
  <c r="EN20" i="2"/>
  <c r="EN21" i="2"/>
  <c r="EN22" i="2"/>
  <c r="EN23" i="2"/>
  <c r="EN24" i="2"/>
  <c r="EN3" i="2"/>
  <c r="EM4" i="2"/>
  <c r="EM5" i="2"/>
  <c r="EM6" i="2"/>
  <c r="EM7" i="2"/>
  <c r="EM14" i="2"/>
  <c r="EM15" i="2"/>
  <c r="EM16" i="2"/>
  <c r="EM17" i="2"/>
  <c r="EM18" i="2"/>
  <c r="EM19" i="2"/>
  <c r="EM20" i="2"/>
  <c r="EM21" i="2"/>
  <c r="EM22" i="2"/>
  <c r="EM23" i="2"/>
  <c r="EM24" i="2"/>
  <c r="EM3" i="2"/>
  <c r="EL4" i="2"/>
  <c r="EL5" i="2"/>
  <c r="EL6" i="2"/>
  <c r="EL7" i="2"/>
  <c r="EL14" i="2"/>
  <c r="EL15" i="2"/>
  <c r="EL16" i="2"/>
  <c r="EL17" i="2"/>
  <c r="EL18" i="2"/>
  <c r="EL19" i="2"/>
  <c r="EL20" i="2"/>
  <c r="EL21" i="2"/>
  <c r="EL22" i="2"/>
  <c r="EL23" i="2"/>
  <c r="EL24" i="2"/>
  <c r="EL3" i="2"/>
  <c r="EK4" i="2"/>
  <c r="EK5" i="2"/>
  <c r="EK6" i="2"/>
  <c r="EK7" i="2"/>
  <c r="EK14" i="2"/>
  <c r="EK15" i="2"/>
  <c r="EK16" i="2"/>
  <c r="EK17" i="2"/>
  <c r="EK18" i="2"/>
  <c r="EK19" i="2"/>
  <c r="EK20" i="2"/>
  <c r="EK21" i="2"/>
  <c r="EK22" i="2"/>
  <c r="EK23" i="2"/>
  <c r="EK24" i="2"/>
  <c r="EK3" i="2"/>
  <c r="EJ4" i="2"/>
  <c r="EJ5" i="2"/>
  <c r="EJ6" i="2"/>
  <c r="EJ7" i="2"/>
  <c r="EJ14" i="2"/>
  <c r="EJ15" i="2"/>
  <c r="EJ16" i="2"/>
  <c r="EJ17" i="2"/>
  <c r="EJ18" i="2"/>
  <c r="EJ19" i="2"/>
  <c r="EJ20" i="2"/>
  <c r="EJ21" i="2"/>
  <c r="EJ22" i="2"/>
  <c r="EJ23" i="2"/>
  <c r="EJ24" i="2"/>
  <c r="EJ3" i="2"/>
  <c r="EI4" i="2"/>
  <c r="EI5" i="2"/>
  <c r="EI6" i="2"/>
  <c r="EI7" i="2"/>
  <c r="EI14" i="2"/>
  <c r="EI15" i="2"/>
  <c r="EI16" i="2"/>
  <c r="EI17" i="2"/>
  <c r="EI18" i="2"/>
  <c r="EI19" i="2"/>
  <c r="EI20" i="2"/>
  <c r="EI21" i="2"/>
  <c r="EI22" i="2"/>
  <c r="EI23" i="2"/>
  <c r="EI24" i="2"/>
  <c r="EI3" i="2"/>
  <c r="EH4" i="2"/>
  <c r="EH5" i="2"/>
  <c r="EH6" i="2"/>
  <c r="EH7" i="2"/>
  <c r="EH14" i="2"/>
  <c r="EH15" i="2"/>
  <c r="EH16" i="2"/>
  <c r="EH17" i="2"/>
  <c r="EH18" i="2"/>
  <c r="EH19" i="2"/>
  <c r="EH20" i="2"/>
  <c r="EH21" i="2"/>
  <c r="EH22" i="2"/>
  <c r="EH23" i="2"/>
  <c r="EH24" i="2"/>
  <c r="EH3" i="2"/>
  <c r="EG4" i="2"/>
  <c r="EG5" i="2"/>
  <c r="EG6" i="2"/>
  <c r="EG7" i="2"/>
  <c r="EG14" i="2"/>
  <c r="EG15" i="2"/>
  <c r="EG16" i="2"/>
  <c r="EG17" i="2"/>
  <c r="EG18" i="2"/>
  <c r="EG19" i="2"/>
  <c r="EG20" i="2"/>
  <c r="EG21" i="2"/>
  <c r="EG22" i="2"/>
  <c r="EG23" i="2"/>
  <c r="EG24" i="2"/>
  <c r="EG3" i="2"/>
  <c r="EF4" i="2"/>
  <c r="EF5" i="2"/>
  <c r="EF6" i="2"/>
  <c r="EF7" i="2"/>
  <c r="EF14" i="2"/>
  <c r="EF15" i="2"/>
  <c r="EF16" i="2"/>
  <c r="EF17" i="2"/>
  <c r="EF18" i="2"/>
  <c r="EF19" i="2"/>
  <c r="EF20" i="2"/>
  <c r="EF21" i="2"/>
  <c r="EF22" i="2"/>
  <c r="EF23" i="2"/>
  <c r="EF24" i="2"/>
  <c r="EF3" i="2"/>
  <c r="EE4" i="2"/>
  <c r="EE5" i="2"/>
  <c r="EE6" i="2"/>
  <c r="EE7" i="2"/>
  <c r="EE14" i="2"/>
  <c r="EE15" i="2"/>
  <c r="EE16" i="2"/>
  <c r="EE17" i="2"/>
  <c r="EE18" i="2"/>
  <c r="EE19" i="2"/>
  <c r="EE20" i="2"/>
  <c r="EE21" i="2"/>
  <c r="EE22" i="2"/>
  <c r="EE23" i="2"/>
  <c r="EE24" i="2"/>
  <c r="EE3" i="2"/>
  <c r="ED4" i="2"/>
  <c r="ED5" i="2"/>
  <c r="ED6" i="2"/>
  <c r="ED7" i="2"/>
  <c r="ED14" i="2"/>
  <c r="ED15" i="2"/>
  <c r="ED16" i="2"/>
  <c r="ED17" i="2"/>
  <c r="ED18" i="2"/>
  <c r="ED19" i="2"/>
  <c r="ED20" i="2"/>
  <c r="ED21" i="2"/>
  <c r="ED22" i="2"/>
  <c r="ED23" i="2"/>
  <c r="ED24" i="2"/>
  <c r="ED3" i="2"/>
  <c r="EC4" i="2"/>
  <c r="EC5" i="2"/>
  <c r="EC6" i="2"/>
  <c r="EC7" i="2"/>
  <c r="EC14" i="2"/>
  <c r="EC15" i="2"/>
  <c r="EC16" i="2"/>
  <c r="EC17" i="2"/>
  <c r="EC18" i="2"/>
  <c r="EC19" i="2"/>
  <c r="EC20" i="2"/>
  <c r="EC21" i="2"/>
  <c r="EC22" i="2"/>
  <c r="EC23" i="2"/>
  <c r="EC24" i="2"/>
  <c r="EC3" i="2"/>
  <c r="EB4" i="2"/>
  <c r="EB5" i="2"/>
  <c r="EB6" i="2"/>
  <c r="EB7" i="2"/>
  <c r="EB14" i="2"/>
  <c r="EB15" i="2"/>
  <c r="EB16" i="2"/>
  <c r="EB17" i="2"/>
  <c r="EB18" i="2"/>
  <c r="EB19" i="2"/>
  <c r="EB20" i="2"/>
  <c r="EB21" i="2"/>
  <c r="EB22" i="2"/>
  <c r="EB23" i="2"/>
  <c r="EB24" i="2"/>
  <c r="EB3" i="2"/>
  <c r="EA4" i="2"/>
  <c r="EA5" i="2"/>
  <c r="EA6" i="2"/>
  <c r="EA7" i="2"/>
  <c r="EA14" i="2"/>
  <c r="EA15" i="2"/>
  <c r="EA16" i="2"/>
  <c r="EA17" i="2"/>
  <c r="EA18" i="2"/>
  <c r="EA19" i="2"/>
  <c r="EA20" i="2"/>
  <c r="EA21" i="2"/>
  <c r="EA22" i="2"/>
  <c r="EA23" i="2"/>
  <c r="EA24" i="2"/>
  <c r="EA3" i="2"/>
  <c r="DZ4" i="2"/>
  <c r="DZ5" i="2"/>
  <c r="DZ6" i="2"/>
  <c r="DZ7" i="2"/>
  <c r="DZ14" i="2"/>
  <c r="DZ15" i="2"/>
  <c r="DZ16" i="2"/>
  <c r="DZ17" i="2"/>
  <c r="DZ18" i="2"/>
  <c r="DZ19" i="2"/>
  <c r="DZ20" i="2"/>
  <c r="DZ21" i="2"/>
  <c r="DZ22" i="2"/>
  <c r="DZ23" i="2"/>
  <c r="DZ24" i="2"/>
  <c r="DZ3" i="2"/>
  <c r="DY4" i="2"/>
  <c r="DY5" i="2"/>
  <c r="DY6" i="2"/>
  <c r="DY7" i="2"/>
  <c r="DY14" i="2"/>
  <c r="DY15" i="2"/>
  <c r="DY16" i="2"/>
  <c r="DY17" i="2"/>
  <c r="DY18" i="2"/>
  <c r="DY19" i="2"/>
  <c r="DY20" i="2"/>
  <c r="DY21" i="2"/>
  <c r="DY22" i="2"/>
  <c r="DY23" i="2"/>
  <c r="DY24" i="2"/>
  <c r="DY3" i="2"/>
  <c r="DX4" i="2"/>
  <c r="DX5" i="2"/>
  <c r="DX6" i="2"/>
  <c r="DX7" i="2"/>
  <c r="DX14" i="2"/>
  <c r="DX15" i="2"/>
  <c r="DX16" i="2"/>
  <c r="DX17" i="2"/>
  <c r="DX18" i="2"/>
  <c r="DX19" i="2"/>
  <c r="DX20" i="2"/>
  <c r="DX21" i="2"/>
  <c r="DX22" i="2"/>
  <c r="DX23" i="2"/>
  <c r="DX24" i="2"/>
  <c r="DX3" i="2"/>
  <c r="DW4" i="2"/>
  <c r="DW5" i="2"/>
  <c r="DW6" i="2"/>
  <c r="DW7" i="2"/>
  <c r="DW14" i="2"/>
  <c r="DW15" i="2"/>
  <c r="DW16" i="2"/>
  <c r="DW17" i="2"/>
  <c r="DW18" i="2"/>
  <c r="DW19" i="2"/>
  <c r="DW20" i="2"/>
  <c r="DW21" i="2"/>
  <c r="DW22" i="2"/>
  <c r="DW23" i="2"/>
  <c r="DW24" i="2"/>
  <c r="DW3" i="2"/>
  <c r="DV4" i="2"/>
  <c r="DV5" i="2"/>
  <c r="DV6" i="2"/>
  <c r="DV7" i="2"/>
  <c r="DV14" i="2"/>
  <c r="DV15" i="2"/>
  <c r="DV16" i="2"/>
  <c r="DV17" i="2"/>
  <c r="DV18" i="2"/>
  <c r="DV19" i="2"/>
  <c r="DV20" i="2"/>
  <c r="DV21" i="2"/>
  <c r="DV22" i="2"/>
  <c r="DV23" i="2"/>
  <c r="DV24" i="2"/>
  <c r="DV3" i="2"/>
  <c r="DU4" i="2"/>
  <c r="DU5" i="2"/>
  <c r="DU6" i="2"/>
  <c r="DU7" i="2"/>
  <c r="DU14" i="2"/>
  <c r="DU15" i="2"/>
  <c r="DU16" i="2"/>
  <c r="DU17" i="2"/>
  <c r="DU18" i="2"/>
  <c r="DU19" i="2"/>
  <c r="DU20" i="2"/>
  <c r="DU21" i="2"/>
  <c r="DU22" i="2"/>
  <c r="DU23" i="2"/>
  <c r="DU24" i="2"/>
  <c r="DU3" i="2"/>
  <c r="DS4" i="2"/>
  <c r="DS5" i="2"/>
  <c r="DS6" i="2"/>
  <c r="DS7" i="2"/>
  <c r="DS14" i="2"/>
  <c r="DS15" i="2"/>
  <c r="DS16" i="2"/>
  <c r="DS17" i="2"/>
  <c r="DS18" i="2"/>
  <c r="DS19" i="2"/>
  <c r="DS20" i="2"/>
  <c r="DS21" i="2"/>
  <c r="DS22" i="2"/>
  <c r="DS23" i="2"/>
  <c r="DS24" i="2"/>
  <c r="DS3" i="2"/>
  <c r="DR4" i="2"/>
  <c r="DR5" i="2"/>
  <c r="DR6" i="2"/>
  <c r="DR7" i="2"/>
  <c r="DR14" i="2"/>
  <c r="DR15" i="2"/>
  <c r="DR16" i="2"/>
  <c r="DR17" i="2"/>
  <c r="DR18" i="2"/>
  <c r="DR19" i="2"/>
  <c r="DR20" i="2"/>
  <c r="DR21" i="2"/>
  <c r="DR22" i="2"/>
  <c r="DR23" i="2"/>
  <c r="DR24" i="2"/>
  <c r="DR3" i="2"/>
  <c r="DQ4" i="2"/>
  <c r="DQ5" i="2"/>
  <c r="DQ6" i="2"/>
  <c r="DQ7" i="2"/>
  <c r="DQ14" i="2"/>
  <c r="DQ15" i="2"/>
  <c r="DQ16" i="2"/>
  <c r="DQ17" i="2"/>
  <c r="DQ18" i="2"/>
  <c r="DQ19" i="2"/>
  <c r="DQ20" i="2"/>
  <c r="DQ21" i="2"/>
  <c r="DQ22" i="2"/>
  <c r="DQ23" i="2"/>
  <c r="DQ24" i="2"/>
  <c r="DQ3" i="2"/>
  <c r="DP4" i="2"/>
  <c r="DP5" i="2"/>
  <c r="DP6" i="2"/>
  <c r="DP7" i="2"/>
  <c r="DP14" i="2"/>
  <c r="DP15" i="2"/>
  <c r="DP16" i="2"/>
  <c r="DP17" i="2"/>
  <c r="DP18" i="2"/>
  <c r="DP19" i="2"/>
  <c r="DP20" i="2"/>
  <c r="DP21" i="2"/>
  <c r="DP22" i="2"/>
  <c r="DP23" i="2"/>
  <c r="DP24" i="2"/>
  <c r="DP3" i="2"/>
  <c r="DO4" i="2"/>
  <c r="DO5" i="2"/>
  <c r="DO6" i="2"/>
  <c r="DO7" i="2"/>
  <c r="DO14" i="2"/>
  <c r="DO15" i="2"/>
  <c r="DO16" i="2"/>
  <c r="DO17" i="2"/>
  <c r="DO18" i="2"/>
  <c r="DO19" i="2"/>
  <c r="DO20" i="2"/>
  <c r="DO21" i="2"/>
  <c r="DO22" i="2"/>
  <c r="DO23" i="2"/>
  <c r="DO24" i="2"/>
  <c r="DO3" i="2"/>
  <c r="DN4" i="2"/>
  <c r="DN5" i="2"/>
  <c r="DN6" i="2"/>
  <c r="DN7" i="2"/>
  <c r="DN14" i="2"/>
  <c r="DN15" i="2"/>
  <c r="DN16" i="2"/>
  <c r="DN17" i="2"/>
  <c r="DN18" i="2"/>
  <c r="DN19" i="2"/>
  <c r="DN20" i="2"/>
  <c r="DN21" i="2"/>
  <c r="DN22" i="2"/>
  <c r="DN23" i="2"/>
  <c r="DN24" i="2"/>
  <c r="DN3" i="2"/>
  <c r="DM4" i="2"/>
  <c r="DM5" i="2"/>
  <c r="DM6" i="2"/>
  <c r="DM7" i="2"/>
  <c r="DM14" i="2"/>
  <c r="DM15" i="2"/>
  <c r="DM16" i="2"/>
  <c r="DM17" i="2"/>
  <c r="DM18" i="2"/>
  <c r="DM19" i="2"/>
  <c r="DM20" i="2"/>
  <c r="DM21" i="2"/>
  <c r="DM22" i="2"/>
  <c r="DM23" i="2"/>
  <c r="DM24" i="2"/>
  <c r="DM3" i="2"/>
  <c r="DL4" i="2"/>
  <c r="DL5" i="2"/>
  <c r="DL6" i="2"/>
  <c r="DL7" i="2"/>
  <c r="DL14" i="2"/>
  <c r="DL15" i="2"/>
  <c r="DL16" i="2"/>
  <c r="DL17" i="2"/>
  <c r="DL18" i="2"/>
  <c r="DL19" i="2"/>
  <c r="DL20" i="2"/>
  <c r="DL21" i="2"/>
  <c r="DL22" i="2"/>
  <c r="DL23" i="2"/>
  <c r="DL24" i="2"/>
  <c r="DL3" i="2"/>
  <c r="DK4" i="2"/>
  <c r="DK5" i="2"/>
  <c r="DK6" i="2"/>
  <c r="DK7" i="2"/>
  <c r="DK14" i="2"/>
  <c r="DK15" i="2"/>
  <c r="DK16" i="2"/>
  <c r="DK17" i="2"/>
  <c r="DK18" i="2"/>
  <c r="DK19" i="2"/>
  <c r="DK20" i="2"/>
  <c r="DK21" i="2"/>
  <c r="DK22" i="2"/>
  <c r="DK23" i="2"/>
  <c r="DK24" i="2"/>
  <c r="DK3" i="2"/>
  <c r="DJ4" i="2"/>
  <c r="DJ5" i="2"/>
  <c r="DJ6" i="2"/>
  <c r="DJ7" i="2"/>
  <c r="DJ14" i="2"/>
  <c r="DJ15" i="2"/>
  <c r="DJ16" i="2"/>
  <c r="DJ17" i="2"/>
  <c r="DJ18" i="2"/>
  <c r="DJ19" i="2"/>
  <c r="DJ20" i="2"/>
  <c r="DJ21" i="2"/>
  <c r="DJ22" i="2"/>
  <c r="DJ23" i="2"/>
  <c r="DJ24" i="2"/>
  <c r="DJ3" i="2"/>
  <c r="DH3" i="2"/>
  <c r="FM5" i="2" l="1"/>
  <c r="FM6" i="2"/>
  <c r="FM12" i="2"/>
  <c r="FM11" i="2"/>
  <c r="FM7" i="2"/>
  <c r="FM8" i="2"/>
  <c r="FM9" i="2"/>
  <c r="FM10" i="2"/>
  <c r="FM4" i="2" l="1"/>
  <c r="FM3" i="2"/>
  <c r="FM17" i="2"/>
  <c r="FM16" i="2"/>
</calcChain>
</file>

<file path=xl/sharedStrings.xml><?xml version="1.0" encoding="utf-8"?>
<sst xmlns="http://schemas.openxmlformats.org/spreadsheetml/2006/main" count="524" uniqueCount="239">
  <si>
    <t>ID</t>
  </si>
  <si>
    <t>Start time</t>
  </si>
  <si>
    <t>Completion time</t>
  </si>
  <si>
    <t>Email</t>
  </si>
  <si>
    <t>Name</t>
  </si>
  <si>
    <t>Last modified time</t>
  </si>
  <si>
    <t>Date</t>
  </si>
  <si>
    <t>Name2</t>
  </si>
  <si>
    <t>Popeyes Meter </t>
  </si>
  <si>
    <t>DG 1010KVA Running Hours</t>
  </si>
  <si>
    <t>DG 1010 KVA Meter Reading</t>
  </si>
  <si>
    <t>GG 1010 KVA Running Hours</t>
  </si>
  <si>
    <t>GG 1010 KVA Meter Reading</t>
  </si>
  <si>
    <t>4F1 Main UPS 1/C -1</t>
  </si>
  <si>
    <t>5F1 Utility</t>
  </si>
  <si>
    <t>5F3 Admin Area</t>
  </si>
  <si>
    <t>6F1 Power Panel - 2 (I/C-2 Production Area)</t>
  </si>
  <si>
    <t>7F1 Freon System Panel</t>
  </si>
  <si>
    <t>7F2 Traywasher Panel - 1A ( + Old Ck)</t>
  </si>
  <si>
    <t>8F1 1600KVA Transformer</t>
  </si>
  <si>
    <t>13F1 Power Panel - 2  I/C -1 </t>
  </si>
  <si>
    <t>13F2 AC Panel I/C -2</t>
  </si>
  <si>
    <t>13F3 Water &amp; Lift Old CK</t>
  </si>
  <si>
    <t>14F1 Traywasher Panel -1B</t>
  </si>
  <si>
    <t>14F2 New CK</t>
  </si>
  <si>
    <t>15F1 Main UPS Panel - I/C - 2</t>
  </si>
  <si>
    <t>15F2 New ETP Panel</t>
  </si>
  <si>
    <t>15F4 Indoor Panel -1</t>
  </si>
  <si>
    <t>16F1 Tray washer Panel for Light</t>
  </si>
  <si>
    <t>19F1 2500KVA Transformer</t>
  </si>
  <si>
    <t>21F1 Refrigeration Ammonia</t>
  </si>
  <si>
    <t>2F1 RO Plant</t>
  </si>
  <si>
    <t>2F3 Air Compressor</t>
  </si>
  <si>
    <t>2F5 Main Gate-1 Piller -1</t>
  </si>
  <si>
    <t>3F1 Maintenance Workshop</t>
  </si>
  <si>
    <t>3F2 Truck Washing Panel</t>
  </si>
  <si>
    <t>3F3 Fire Hydrant Panel</t>
  </si>
  <si>
    <t>3F4 Old ETP Panel</t>
  </si>
  <si>
    <t>4F1 Incomer -2</t>
  </si>
  <si>
    <t>Air Flow</t>
  </si>
  <si>
    <t>Pressure</t>
  </si>
  <si>
    <t>Air Consumption</t>
  </si>
  <si>
    <t>Comp 1 Running Hours</t>
  </si>
  <si>
    <t>Comp 1 Running load</t>
  </si>
  <si>
    <t>Comp 2 Running Hours</t>
  </si>
  <si>
    <t>Comp 2 Running Load</t>
  </si>
  <si>
    <t>Comp 3 Running Hours</t>
  </si>
  <si>
    <t>Comp 3 Running Load</t>
  </si>
  <si>
    <t>1F1 Ammonia Refrigeration Room Panel</t>
  </si>
  <si>
    <t>Solar Reading Panel II</t>
  </si>
  <si>
    <t>1F1 MCC Indoor-1</t>
  </si>
  <si>
    <t>2F WH Chiller, Segregation Area</t>
  </si>
  <si>
    <t>3F1 AC Unit WH dock cooling - 2 Nos</t>
  </si>
  <si>
    <t>3F2 AC Unit WH dock cooling - 3 Nos</t>
  </si>
  <si>
    <t>4F Old BMC cooling Unit</t>
  </si>
  <si>
    <t>4F B2B unit </t>
  </si>
  <si>
    <t>1F1 MCC Indoor Panel -2 </t>
  </si>
  <si>
    <t>2F CLC -1 AC unit - 2</t>
  </si>
  <si>
    <t>2F CLC Anti room</t>
  </si>
  <si>
    <t>3F Dough cooler - 2 </t>
  </si>
  <si>
    <t>3F Dough Cooler- 1</t>
  </si>
  <si>
    <t>4F Dough Production cooling Unit</t>
  </si>
  <si>
    <t>5F WH Perishable</t>
  </si>
  <si>
    <t>2F1 - PDB 6 - Bread, B2B section</t>
  </si>
  <si>
    <t>2F2 - PDB 3 - WH Truck &amp; Battery Charging</t>
  </si>
  <si>
    <t>2F3 - PDB 9 - WH Dock Leveler Door </t>
  </si>
  <si>
    <t>2F4 - Old BMC</t>
  </si>
  <si>
    <t>3F1 - PDB 5 - WH HSD</t>
  </si>
  <si>
    <t>3F2 - PDB 3 - Dough Production Area</t>
  </si>
  <si>
    <t>3F3 - PDB 4 - Dough Area</t>
  </si>
  <si>
    <t>4F1 Metering PP2 </t>
  </si>
  <si>
    <t>6F1 Metering PP2 </t>
  </si>
  <si>
    <t>7F1 Donut Production area</t>
  </si>
  <si>
    <t>7F2 Flour Silo</t>
  </si>
  <si>
    <t>7F3 CLC Power Panel</t>
  </si>
  <si>
    <t>8F1 WH Dock AHU - Ventilation</t>
  </si>
  <si>
    <t>8F2 ACPDB - 3 SILO Ventilation</t>
  </si>
  <si>
    <t>8F3 ACPDB - 4 WH Dock air curtain</t>
  </si>
  <si>
    <t>8F4 WH Light</t>
  </si>
  <si>
    <t>8F5 Donut Ban Bary</t>
  </si>
  <si>
    <t>9F1 - PDB 10 - WH Dock door &amp; Office</t>
  </si>
  <si>
    <t>9F2 - PDB 11 - WH flycatchers</t>
  </si>
  <si>
    <t>9F3 - PDB 12 - Other items</t>
  </si>
  <si>
    <t>9F4 - PDB 13 - Donut Sink Geyser area</t>
  </si>
  <si>
    <t>9F5 - PDB 14 - Bread Lift</t>
  </si>
  <si>
    <t>9F6 - PDB 7 - Stagging Area</t>
  </si>
  <si>
    <t>PDB - 17 CLC Section </t>
  </si>
  <si>
    <t>PDB - 16 Bread Section</t>
  </si>
  <si>
    <t>PDB - 11 Truck Charging</t>
  </si>
  <si>
    <t>OLD Ck Panel-1</t>
  </si>
  <si>
    <t>2F4 Old CK Blast (Blue star)</t>
  </si>
  <si>
    <t>3F6 Old CK Blast (Carrier)</t>
  </si>
  <si>
    <t>Old CK Panel -2</t>
  </si>
  <si>
    <t>Tray Washer light Panel</t>
  </si>
  <si>
    <t>2F1 Tray Washer - 1</t>
  </si>
  <si>
    <t>2F3 - PDB 1 - Dock 1 to 4 </t>
  </si>
  <si>
    <t>2F5 Destacker</t>
  </si>
  <si>
    <t>3F1 Metering (TW-1)</t>
  </si>
  <si>
    <t>5F1 Metering (TW-2)</t>
  </si>
  <si>
    <t>6F1 Pre soaker Tray washer</t>
  </si>
  <si>
    <t>6F2 Ground Floor AC</t>
  </si>
  <si>
    <t>6F3 ACBD -1 (First floor AC)</t>
  </si>
  <si>
    <t>6F4 ACBD - 2 (Second &amp; Third floor AC)</t>
  </si>
  <si>
    <t>6F5 Vent tray Storage</t>
  </si>
  <si>
    <t>PNG Meter (Outside)</t>
  </si>
  <si>
    <t>PNG Meter (Inside)</t>
  </si>
  <si>
    <t>MWH Imp</t>
  </si>
  <si>
    <t>MWH Total</t>
  </si>
  <si>
    <t>MVAH Imp</t>
  </si>
  <si>
    <t>Power Factor (PF)</t>
  </si>
  <si>
    <t>Timing of Meter reading</t>
  </si>
  <si>
    <t>anonymous</t>
  </si>
  <si>
    <t xml:space="preserve">Prateek chamoli </t>
  </si>
  <si>
    <t>4:39</t>
  </si>
  <si>
    <t>Popeyes</t>
  </si>
  <si>
    <t>Freon Refrigeration</t>
  </si>
  <si>
    <t>Traywasher</t>
  </si>
  <si>
    <t>New CK</t>
  </si>
  <si>
    <t>ETP</t>
  </si>
  <si>
    <t>Ammonia Refrigeration</t>
  </si>
  <si>
    <t>Air compressor</t>
  </si>
  <si>
    <t>RO Plant</t>
  </si>
  <si>
    <t>Admin</t>
  </si>
  <si>
    <t>Engineering</t>
  </si>
  <si>
    <t>Transport</t>
  </si>
  <si>
    <t>EHS</t>
  </si>
  <si>
    <t>Rooftop Solar</t>
  </si>
  <si>
    <t>Warehouse</t>
  </si>
  <si>
    <t>BMC</t>
  </si>
  <si>
    <t>B2B</t>
  </si>
  <si>
    <t>CLC</t>
  </si>
  <si>
    <t>Dough</t>
  </si>
  <si>
    <t>Bread</t>
  </si>
  <si>
    <t>Donut</t>
  </si>
  <si>
    <t>Silo</t>
  </si>
  <si>
    <t>OLD Ck</t>
  </si>
  <si>
    <t>OLD CK</t>
  </si>
  <si>
    <t>NPCL</t>
  </si>
  <si>
    <t>UPS</t>
  </si>
  <si>
    <t>Utility</t>
  </si>
  <si>
    <t>WTP</t>
  </si>
  <si>
    <t>Overall PNG</t>
  </si>
  <si>
    <t>Old CK</t>
  </si>
  <si>
    <t>DG</t>
  </si>
  <si>
    <t>GG</t>
  </si>
  <si>
    <t>NPCL Injection + Open source</t>
  </si>
  <si>
    <r>
      <rPr>
        <sz val="10"/>
        <rFont val="Arial"/>
        <family val="2"/>
      </rPr>
      <t>v1: DUNKIN IDU+CT - Active energy</t>
    </r>
  </si>
  <si>
    <r>
      <rPr>
        <sz val="10"/>
        <rFont val="Arial"/>
        <family val="2"/>
      </rPr>
      <t>v9: DEEP RACK - Active energy</t>
    </r>
  </si>
  <si>
    <r>
      <rPr>
        <sz val="10"/>
        <rFont val="Arial"/>
        <family val="2"/>
      </rPr>
      <t>v2: BMC IDU+CT - Active energy</t>
    </r>
  </si>
  <si>
    <r>
      <rPr>
        <sz val="10"/>
        <rFont val="Arial"/>
        <family val="2"/>
      </rPr>
      <t>v3: CLC IDU+CT - Active energy</t>
    </r>
  </si>
  <si>
    <r>
      <rPr>
        <sz val="10"/>
        <rFont val="Arial"/>
        <family val="2"/>
      </rPr>
      <t>v4: DEEP 1 IDU+CT - Active energy</t>
    </r>
  </si>
  <si>
    <r>
      <rPr>
        <sz val="10"/>
        <rFont val="Arial"/>
        <family val="2"/>
      </rPr>
      <t>v5: DEEP 2 IDU - Active energy</t>
    </r>
  </si>
  <si>
    <r>
      <rPr>
        <sz val="10"/>
        <rFont val="Arial"/>
        <family val="2"/>
      </rPr>
      <t>v6: DUNKIN RACK - Active energy</t>
    </r>
  </si>
  <si>
    <r>
      <rPr>
        <sz val="10"/>
        <rFont val="Arial"/>
        <family val="2"/>
      </rPr>
      <t>v7: BMC RACK - Active energy</t>
    </r>
  </si>
  <si>
    <r>
      <rPr>
        <sz val="10"/>
        <rFont val="Arial"/>
        <family val="2"/>
      </rPr>
      <t>v8: CLC RACK - Active energy</t>
    </r>
  </si>
  <si>
    <r>
      <rPr>
        <sz val="10"/>
        <rFont val="Arial"/>
        <family val="2"/>
      </rPr>
      <t>Timestamp</t>
    </r>
  </si>
  <si>
    <r>
      <rPr>
        <sz val="10"/>
        <rFont val="Arial"/>
        <family val="2"/>
      </rPr>
      <t>v1</t>
    </r>
  </si>
  <si>
    <r>
      <rPr>
        <sz val="10"/>
        <rFont val="Arial"/>
        <family val="2"/>
      </rPr>
      <t>v2</t>
    </r>
  </si>
  <si>
    <r>
      <rPr>
        <sz val="10"/>
        <rFont val="Arial"/>
        <family val="2"/>
      </rPr>
      <t>v3</t>
    </r>
  </si>
  <si>
    <r>
      <rPr>
        <sz val="10"/>
        <rFont val="Arial"/>
        <family val="2"/>
      </rPr>
      <t>v4</t>
    </r>
  </si>
  <si>
    <r>
      <rPr>
        <sz val="10"/>
        <rFont val="Arial"/>
        <family val="2"/>
      </rPr>
      <t>v5</t>
    </r>
  </si>
  <si>
    <r>
      <rPr>
        <sz val="10"/>
        <rFont val="Arial"/>
        <family val="2"/>
      </rPr>
      <t>v6</t>
    </r>
  </si>
  <si>
    <r>
      <rPr>
        <sz val="10"/>
        <rFont val="Arial"/>
        <family val="2"/>
      </rPr>
      <t>v7</t>
    </r>
  </si>
  <si>
    <r>
      <rPr>
        <sz val="10"/>
        <rFont val="Arial"/>
        <family val="2"/>
      </rPr>
      <t>v8</t>
    </r>
  </si>
  <si>
    <r>
      <rPr>
        <sz val="10"/>
        <rFont val="Arial"/>
        <family val="2"/>
      </rPr>
      <t>v9</t>
    </r>
  </si>
  <si>
    <t>Dunkin</t>
  </si>
  <si>
    <t>Deep</t>
  </si>
  <si>
    <t>v1: DUNKIN IDU+CT - Active energy</t>
  </si>
  <si>
    <t>v2: BMC IDU+CT - Active energy</t>
  </si>
  <si>
    <t>v3: CLC IDU+CT - Active energy</t>
  </si>
  <si>
    <t>v4: DEEP 1 IDU+CT - Active energy</t>
  </si>
  <si>
    <t>v5: DEEP 2 IDU - Active energy</t>
  </si>
  <si>
    <t>v6: DUNKIN RACK - Active energy</t>
  </si>
  <si>
    <t>v7: BMC RACK - Active energy</t>
  </si>
  <si>
    <t>v8: CLC RACK - Active energy</t>
  </si>
  <si>
    <t>v9: DEEP RACK - Active energy</t>
  </si>
  <si>
    <t>5:15</t>
  </si>
  <si>
    <t>Plant Lights</t>
  </si>
  <si>
    <t>2026/06/25 00.00</t>
  </si>
  <si>
    <t>---</t>
  </si>
  <si>
    <t>2026/06/26 00.00</t>
  </si>
  <si>
    <t>2026/06/27 00.00</t>
  </si>
  <si>
    <t>2026/06/28 00.00</t>
  </si>
  <si>
    <t>2026/06/29 00.00</t>
  </si>
  <si>
    <t>2026/06/30 00.00</t>
  </si>
  <si>
    <t>11:30</t>
  </si>
  <si>
    <t xml:space="preserve">Prateek Chamoli </t>
  </si>
  <si>
    <t>5:10</t>
  </si>
  <si>
    <t>11:00</t>
  </si>
  <si>
    <t>10:38</t>
  </si>
  <si>
    <t>9:55</t>
  </si>
  <si>
    <t>2026/07/01 00.00</t>
  </si>
  <si>
    <t>2026/07/02 00.00</t>
  </si>
  <si>
    <t>2026/07/03 00.00</t>
  </si>
  <si>
    <t>2026/07/04 00.00</t>
  </si>
  <si>
    <t>2026/07/05 00.00</t>
  </si>
  <si>
    <t>2026/07/06 00.00</t>
  </si>
  <si>
    <t>9:50</t>
  </si>
  <si>
    <t>2026/06/01 00.00</t>
  </si>
  <si>
    <t>2026/06/02 00.00</t>
  </si>
  <si>
    <t>2026/06/03 00.00</t>
  </si>
  <si>
    <t>2026/06/04 00.00</t>
  </si>
  <si>
    <t>2026/06/05 00.00</t>
  </si>
  <si>
    <t>2026/06/06 00.00</t>
  </si>
  <si>
    <t>2026/06/07 00.00</t>
  </si>
  <si>
    <t>2026/06/08 00.00</t>
  </si>
  <si>
    <t>2026/06/09 00.00</t>
  </si>
  <si>
    <t>2026/06/10 00.00</t>
  </si>
  <si>
    <t>2026/06/11 00.00</t>
  </si>
  <si>
    <t>2026/06/12 00.00</t>
  </si>
  <si>
    <t>2026/06/13 00.00</t>
  </si>
  <si>
    <t>2026/06/14 00.00</t>
  </si>
  <si>
    <t>2026/06/15 00.00</t>
  </si>
  <si>
    <t>2026/06/16 00.00</t>
  </si>
  <si>
    <t>2026/06/17 00.00</t>
  </si>
  <si>
    <t>2026/06/18 00.00</t>
  </si>
  <si>
    <t>2026/06/19 00.00</t>
  </si>
  <si>
    <t>2026/06/20 00.00</t>
  </si>
  <si>
    <t>2026/06/21 00.00</t>
  </si>
  <si>
    <t>2026/06/22 00.00</t>
  </si>
  <si>
    <t>2026/06/23 00.00</t>
  </si>
  <si>
    <t>2026/06/24 00.00</t>
  </si>
  <si>
    <t>2026/07/07 00.00</t>
  </si>
  <si>
    <t xml:space="preserve">2026/07/09 00.00 </t>
  </si>
  <si>
    <t>2026/07/08 00.00</t>
  </si>
  <si>
    <t>11:28</t>
  </si>
  <si>
    <t>10:04</t>
  </si>
  <si>
    <t>2026/07/10 00.00</t>
  </si>
  <si>
    <t>PNG-4159</t>
  </si>
  <si>
    <t>PNG-3605</t>
  </si>
  <si>
    <t>9:46</t>
  </si>
  <si>
    <t>2026/07/11 00.00</t>
  </si>
  <si>
    <t xml:space="preserve">Muhammad Hasnain </t>
  </si>
  <si>
    <t>4:25</t>
  </si>
  <si>
    <t xml:space="preserve">Om prakash </t>
  </si>
  <si>
    <t>5:30</t>
  </si>
  <si>
    <t>2026/07/12 00.00</t>
  </si>
  <si>
    <t>-</t>
  </si>
  <si>
    <t>2026/07/13 00.00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</si>
</sst>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\ h:mm:ss"/>
    <numFmt numFmtId="165" formatCode="0.0"/>
    <numFmt numFmtId="166" formatCode="0.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b/>
      <sz val="12"/>
      <color theme="0"/>
      <name val="Times New Roman"/>
      <family val="1"/>
    </font>
    <font>
      <b/>
      <sz val="11"/>
      <color rgb="FFFFFF00"/>
      <name val="Times New Roman"/>
      <family val="1"/>
    </font>
    <font>
      <sz val="11"/>
      <color rgb="FF00000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3" fillId="0" borderId="0"/>
  </cellStyleXfs>
  <cellXfs count="68">
    <xf numFmtId="0" fontId="0" fillId="0" borderId="0" xfId="0"/>
    <xf numFmtId="0" fontId="0" fillId="0" borderId="0" xfId="0" applyFill="1"/>
    <xf numFmtId="164" fontId="0" fillId="0" borderId="1" xfId="0" applyNumberFormat="1" applyFont="1" applyFill="1" applyBorder="1"/>
    <xf numFmtId="14" fontId="0" fillId="0" borderId="1" xfId="0" applyNumberFormat="1" applyFont="1" applyFill="1" applyBorder="1"/>
    <xf numFmtId="14" fontId="0" fillId="0" borderId="0" xfId="0" applyNumberFormat="1"/>
    <xf numFmtId="0" fontId="0" fillId="0" borderId="0" xfId="0" applyFill="1" applyAlignment="1">
      <alignment horizontal="left"/>
    </xf>
    <xf numFmtId="0" fontId="0" fillId="0" borderId="0" xfId="0" applyNumberFormat="1" applyFill="1"/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4" fillId="0" borderId="0" xfId="1" applyFont="1" applyFill="1" applyBorder="1" applyAlignment="1">
      <alignment vertical="top" wrapText="1"/>
    </xf>
    <xf numFmtId="0" fontId="3" fillId="0" borderId="0" xfId="1" applyFill="1" applyBorder="1" applyAlignment="1">
      <alignment horizontal="left" wrapText="1"/>
    </xf>
    <xf numFmtId="0" fontId="3" fillId="0" borderId="0" xfId="1" applyFill="1" applyBorder="1" applyAlignment="1">
      <alignment horizontal="left" vertical="top"/>
    </xf>
    <xf numFmtId="0" fontId="3" fillId="0" borderId="0" xfId="1" applyFill="1" applyBorder="1" applyAlignment="1">
      <alignment horizontal="left" vertical="top" wrapText="1"/>
    </xf>
    <xf numFmtId="0" fontId="4" fillId="0" borderId="10" xfId="1" applyFont="1" applyFill="1" applyBorder="1" applyAlignment="1">
      <alignment vertical="top" wrapText="1"/>
    </xf>
    <xf numFmtId="0" fontId="3" fillId="0" borderId="10" xfId="1" applyFill="1" applyBorder="1" applyAlignment="1">
      <alignment horizontal="left" wrapText="1"/>
    </xf>
    <xf numFmtId="0" fontId="4" fillId="0" borderId="11" xfId="1" applyFont="1" applyFill="1" applyBorder="1" applyAlignment="1">
      <alignment horizontal="left" vertical="top" wrapText="1"/>
    </xf>
    <xf numFmtId="0" fontId="4" fillId="0" borderId="11" xfId="1" applyFont="1" applyFill="1" applyBorder="1" applyAlignment="1">
      <alignment horizontal="left" vertical="top" wrapText="1" indent="1"/>
    </xf>
    <xf numFmtId="0" fontId="4" fillId="0" borderId="11" xfId="1" applyFont="1" applyFill="1" applyBorder="1" applyAlignment="1">
      <alignment horizontal="center" vertical="top" wrapText="1"/>
    </xf>
    <xf numFmtId="0" fontId="4" fillId="0" borderId="11" xfId="1" applyFont="1" applyFill="1" applyBorder="1" applyAlignment="1">
      <alignment horizontal="left" vertical="top" wrapText="1" indent="4"/>
    </xf>
    <xf numFmtId="0" fontId="4" fillId="0" borderId="0" xfId="1" applyFont="1" applyFill="1" applyBorder="1" applyAlignment="1">
      <alignment horizontal="left" vertical="top" wrapText="1"/>
    </xf>
    <xf numFmtId="165" fontId="5" fillId="0" borderId="0" xfId="1" applyNumberFormat="1" applyFont="1" applyFill="1" applyBorder="1" applyAlignment="1">
      <alignment horizontal="left" vertical="top" indent="1" shrinkToFit="1"/>
    </xf>
    <xf numFmtId="165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Font="1" applyFill="1" applyBorder="1" applyAlignment="1">
      <alignment horizontal="center" vertical="top" wrapText="1"/>
    </xf>
    <xf numFmtId="165" fontId="5" fillId="0" borderId="0" xfId="1" applyNumberFormat="1" applyFont="1" applyFill="1" applyBorder="1" applyAlignment="1">
      <alignment horizontal="left" vertical="top" indent="4" shrinkToFit="1"/>
    </xf>
    <xf numFmtId="166" fontId="5" fillId="0" borderId="0" xfId="1" applyNumberFormat="1" applyFont="1" applyFill="1" applyBorder="1" applyAlignment="1">
      <alignment horizontal="left" vertical="top" shrinkToFit="1"/>
    </xf>
    <xf numFmtId="165" fontId="3" fillId="0" borderId="0" xfId="1" applyNumberFormat="1" applyFill="1" applyBorder="1" applyAlignment="1">
      <alignment horizontal="left" vertical="top" wrapText="1"/>
    </xf>
    <xf numFmtId="165" fontId="3" fillId="0" borderId="0" xfId="1" applyNumberFormat="1" applyFill="1" applyBorder="1" applyAlignment="1">
      <alignment horizontal="left" vertical="top"/>
    </xf>
    <xf numFmtId="0" fontId="4" fillId="0" borderId="10" xfId="1" applyFont="1" applyFill="1" applyBorder="1" applyAlignment="1">
      <alignment horizontal="left" vertical="top" wrapText="1"/>
    </xf>
    <xf numFmtId="165" fontId="5" fillId="0" borderId="10" xfId="1" applyNumberFormat="1" applyFont="1" applyFill="1" applyBorder="1" applyAlignment="1">
      <alignment horizontal="left" vertical="top" indent="1" shrinkToFit="1"/>
    </xf>
    <xf numFmtId="165" fontId="5" fillId="0" borderId="10" xfId="1" applyNumberFormat="1" applyFont="1" applyFill="1" applyBorder="1" applyAlignment="1">
      <alignment horizontal="left" vertical="top" shrinkToFit="1"/>
    </xf>
    <xf numFmtId="0" fontId="4" fillId="0" borderId="10" xfId="1" applyFont="1" applyFill="1" applyBorder="1" applyAlignment="1">
      <alignment horizontal="center" vertical="top" wrapText="1"/>
    </xf>
    <xf numFmtId="165" fontId="5" fillId="0" borderId="10" xfId="1" applyNumberFormat="1" applyFont="1" applyFill="1" applyBorder="1" applyAlignment="1">
      <alignment horizontal="left" vertical="top" indent="4" shrinkToFit="1"/>
    </xf>
    <xf numFmtId="166" fontId="5" fillId="0" borderId="10" xfId="1" applyNumberFormat="1" applyFont="1" applyFill="1" applyBorder="1" applyAlignment="1">
      <alignment horizontal="left" vertical="top" shrinkToFit="1"/>
    </xf>
    <xf numFmtId="0" fontId="7" fillId="7" borderId="2" xfId="1" applyFont="1" applyFill="1" applyBorder="1" applyAlignment="1">
      <alignment horizontal="center" vertical="center" wrapText="1"/>
    </xf>
    <xf numFmtId="0" fontId="6" fillId="2" borderId="2" xfId="1" applyFont="1" applyFill="1" applyBorder="1" applyAlignment="1">
      <alignment vertical="center" wrapText="1"/>
    </xf>
    <xf numFmtId="0" fontId="8" fillId="8" borderId="2" xfId="1" applyFont="1" applyFill="1" applyBorder="1" applyAlignment="1">
      <alignment horizontal="left" vertical="center"/>
    </xf>
    <xf numFmtId="165" fontId="9" fillId="0" borderId="2" xfId="1" applyNumberFormat="1" applyFont="1" applyFill="1" applyBorder="1" applyAlignment="1">
      <alignment horizontal="left" vertical="top" wrapText="1"/>
    </xf>
    <xf numFmtId="165" fontId="9" fillId="0" borderId="2" xfId="1" applyNumberFormat="1" applyFont="1" applyFill="1" applyBorder="1" applyAlignment="1">
      <alignment horizontal="left" vertical="top"/>
    </xf>
    <xf numFmtId="0" fontId="0" fillId="2" borderId="0" xfId="0" applyNumberFormat="1" applyFill="1"/>
    <xf numFmtId="0" fontId="0" fillId="2" borderId="0" xfId="0" applyFill="1"/>
    <xf numFmtId="2" fontId="0" fillId="0" borderId="0" xfId="0" applyNumberFormat="1" applyFill="1"/>
    <xf numFmtId="0" fontId="5" fillId="0" borderId="0" xfId="1" applyNumberFormat="1" applyFont="1" applyFill="1" applyBorder="1" applyAlignment="1">
      <alignment horizontal="left" vertical="top" indent="1" shrinkToFit="1"/>
    </xf>
    <xf numFmtId="0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NumberFormat="1" applyFont="1" applyFill="1" applyBorder="1" applyAlignment="1">
      <alignment horizontal="left" vertical="top" wrapText="1"/>
    </xf>
    <xf numFmtId="0" fontId="4" fillId="0" borderId="0" xfId="1" applyNumberFormat="1" applyFont="1" applyFill="1" applyBorder="1" applyAlignment="1">
      <alignment horizontal="center" vertical="top" wrapText="1"/>
    </xf>
    <xf numFmtId="0" fontId="5" fillId="0" borderId="0" xfId="1" applyNumberFormat="1" applyFont="1" applyFill="1" applyBorder="1" applyAlignment="1">
      <alignment horizontal="left" vertical="top" indent="4" shrinkToFit="1"/>
    </xf>
    <xf numFmtId="0" fontId="5" fillId="0" borderId="10" xfId="1" applyNumberFormat="1" applyFont="1" applyFill="1" applyBorder="1" applyAlignment="1">
      <alignment horizontal="left" vertical="top" indent="1" shrinkToFit="1"/>
    </xf>
    <xf numFmtId="0" fontId="5" fillId="0" borderId="10" xfId="1" applyNumberFormat="1" applyFont="1" applyFill="1" applyBorder="1" applyAlignment="1">
      <alignment horizontal="left" vertical="top" shrinkToFit="1"/>
    </xf>
    <xf numFmtId="0" fontId="5" fillId="0" borderId="10" xfId="1" applyNumberFormat="1" applyFont="1" applyFill="1" applyBorder="1" applyAlignment="1">
      <alignment horizontal="left" vertical="top" indent="4" shrinkToFit="1"/>
    </xf>
    <xf numFmtId="14" fontId="4" fillId="0" borderId="0" xfId="1" applyNumberFormat="1" applyFont="1" applyFill="1" applyBorder="1" applyAlignment="1">
      <alignment horizontal="left" vertical="top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0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/>
  </cellStyles>
  <dxfs count="113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le2" displayName="Table2" ref="A2:DG51" totalsRowShown="0" headerRowDxfId="112" dataDxfId="111">
  <autoFilter ref="A2:DG51"/>
  <tableColumns count="111">
    <tableColumn id="1" name="ID" dataDxfId="110"/>
    <tableColumn id="2" name="Start time" dataDxfId="109"/>
    <tableColumn id="3" name="Completion time" dataDxfId="108"/>
    <tableColumn id="4" name="Email" dataDxfId="107"/>
    <tableColumn id="5" name="Name" dataDxfId="106"/>
    <tableColumn id="6" name="Last modified time" dataDxfId="105"/>
    <tableColumn id="7" name="Date" dataDxfId="104"/>
    <tableColumn id="8" name="Name2" dataDxfId="103"/>
    <tableColumn id="9" name="Popeyes Meter " dataDxfId="102"/>
    <tableColumn id="10" name="DG 1010KVA Running Hours" dataDxfId="101"/>
    <tableColumn id="11" name="DG 1010 KVA Meter Reading" dataDxfId="100"/>
    <tableColumn id="12" name="GG 1010 KVA Running Hours" dataDxfId="99"/>
    <tableColumn id="13" name="GG 1010 KVA Meter Reading" dataDxfId="98"/>
    <tableColumn id="14" name="4F1 Main UPS 1/C -1" dataDxfId="97"/>
    <tableColumn id="15" name="5F1 Utility" dataDxfId="96"/>
    <tableColumn id="16" name="5F3 Admin Area" dataDxfId="95"/>
    <tableColumn id="17" name="6F1 Power Panel - 2 (I/C-2 Production Area)" dataDxfId="94"/>
    <tableColumn id="18" name="7F1 Freon System Panel" dataDxfId="93"/>
    <tableColumn id="19" name="7F2 Traywasher Panel - 1A ( + Old Ck)" dataDxfId="92"/>
    <tableColumn id="20" name="8F1 1600KVA Transformer" dataDxfId="91"/>
    <tableColumn id="21" name="13F1 Power Panel - 2  I/C -1 " dataDxfId="90"/>
    <tableColumn id="22" name="13F2 AC Panel I/C -2" dataDxfId="89"/>
    <tableColumn id="23" name="13F3 Water &amp; Lift Old CK" dataDxfId="88"/>
    <tableColumn id="24" name="14F1 Traywasher Panel -1B" dataDxfId="87"/>
    <tableColumn id="25" name="14F2 New CK" dataDxfId="86"/>
    <tableColumn id="26" name="15F1 Main UPS Panel - I/C - 2" dataDxfId="85"/>
    <tableColumn id="27" name="15F2 New ETP Panel" dataDxfId="84"/>
    <tableColumn id="28" name="15F4 Indoor Panel -1" dataDxfId="83"/>
    <tableColumn id="29" name="16F1 Tray washer Panel for Light" dataDxfId="82"/>
    <tableColumn id="30" name="19F1 2500KVA Transformer" dataDxfId="81"/>
    <tableColumn id="31" name="21F1 Refrigeration Ammonia" dataDxfId="80"/>
    <tableColumn id="32" name="2F1 RO Plant" dataDxfId="79"/>
    <tableColumn id="33" name="2F3 Air Compressor" dataDxfId="78"/>
    <tableColumn id="34" name="2F5 Main Gate-1 Piller -1" dataDxfId="77"/>
    <tableColumn id="35" name="3F1 Maintenance Workshop" dataDxfId="76"/>
    <tableColumn id="36" name="3F2 Truck Washing Panel" dataDxfId="75"/>
    <tableColumn id="37" name="3F3 Fire Hydrant Panel" dataDxfId="74"/>
    <tableColumn id="38" name="3F4 Old ETP Panel" dataDxfId="73"/>
    <tableColumn id="39" name="4F1 Incomer -2" dataDxfId="72"/>
    <tableColumn id="40" name="Air Flow" dataDxfId="71"/>
    <tableColumn id="41" name="Pressure" dataDxfId="70"/>
    <tableColumn id="42" name="Air Consumption" dataDxfId="69"/>
    <tableColumn id="43" name="Comp 1 Running Hours" dataDxfId="68"/>
    <tableColumn id="44" name="Comp 1 Running load" dataDxfId="67"/>
    <tableColumn id="45" name="Comp 2 Running Hours" dataDxfId="66"/>
    <tableColumn id="46" name="Comp 2 Running Load" dataDxfId="65"/>
    <tableColumn id="47" name="Comp 3 Running Hours" dataDxfId="64"/>
    <tableColumn id="48" name="Comp 3 Running Load" dataDxfId="63"/>
    <tableColumn id="49" name="1F1 Ammonia Refrigeration Room Panel" dataDxfId="62"/>
    <tableColumn id="50" name="Solar Reading Panel II" dataDxfId="61"/>
    <tableColumn id="51" name="1F1 MCC Indoor-1" dataDxfId="60"/>
    <tableColumn id="52" name="2F WH Chiller, Segregation Area" dataDxfId="59"/>
    <tableColumn id="53" name="3F1 AC Unit WH dock cooling - 2 Nos" dataDxfId="58"/>
    <tableColumn id="54" name="3F2 AC Unit WH dock cooling - 3 Nos" dataDxfId="57"/>
    <tableColumn id="55" name="4F Old BMC cooling Unit" dataDxfId="56"/>
    <tableColumn id="56" name="4F B2B unit " dataDxfId="55"/>
    <tableColumn id="57" name="1F1 MCC Indoor Panel -2 " dataDxfId="54"/>
    <tableColumn id="58" name="2F CLC -1 AC unit - 2" dataDxfId="53"/>
    <tableColumn id="59" name="2F CLC Anti room" dataDxfId="52"/>
    <tableColumn id="60" name="3F Dough cooler - 2 " dataDxfId="51"/>
    <tableColumn id="61" name="3F Dough Cooler- 1" dataDxfId="50"/>
    <tableColumn id="62" name="4F Dough Production cooling Unit" dataDxfId="49"/>
    <tableColumn id="63" name="5F WH Perishable" dataDxfId="48"/>
    <tableColumn id="64" name="2F1 - PDB 6 - Bread, B2B section" dataDxfId="47"/>
    <tableColumn id="65" name="2F2 - PDB 3 - WH Truck &amp; Battery Charging" dataDxfId="46"/>
    <tableColumn id="66" name="2F3 - PDB 9 - WH Dock Leveler Door " dataDxfId="45"/>
    <tableColumn id="67" name="2F4 - Old BMC" dataDxfId="44"/>
    <tableColumn id="68" name="3F1 - PDB 5 - WH HSD" dataDxfId="43"/>
    <tableColumn id="69" name="3F2 - PDB 3 - Dough Production Area" dataDxfId="42"/>
    <tableColumn id="70" name="3F3 - PDB 4 - Dough Area" dataDxfId="41"/>
    <tableColumn id="71" name="4F1 Metering PP2 " dataDxfId="40"/>
    <tableColumn id="72" name="6F1 Metering PP2 " dataDxfId="39"/>
    <tableColumn id="73" name="7F1 Donut Production area" dataDxfId="38"/>
    <tableColumn id="74" name="7F2 Flour Silo" dataDxfId="37"/>
    <tableColumn id="75" name="7F3 CLC Power Panel" dataDxfId="36"/>
    <tableColumn id="76" name="8F1 WH Dock AHU - Ventilation" dataDxfId="35"/>
    <tableColumn id="77" name="8F2 ACPDB - 3 SILO Ventilation" dataDxfId="34"/>
    <tableColumn id="78" name="8F3 ACPDB - 4 WH Dock air curtain" dataDxfId="33"/>
    <tableColumn id="79" name="8F4 WH Light" dataDxfId="32"/>
    <tableColumn id="80" name="8F5 Donut Ban Bary" dataDxfId="31"/>
    <tableColumn id="81" name="9F1 - PDB 10 - WH Dock door &amp; Office" dataDxfId="30"/>
    <tableColumn id="82" name="9F2 - PDB 11 - WH flycatchers" dataDxfId="29"/>
    <tableColumn id="83" name="9F3 - PDB 12 - Other items" dataDxfId="28"/>
    <tableColumn id="84" name="9F4 - PDB 13 - Donut Sink Geyser area" dataDxfId="27"/>
    <tableColumn id="85" name="9F5 - PDB 14 - Bread Lift" dataDxfId="26"/>
    <tableColumn id="86" name="9F6 - PDB 7 - Stagging Area" dataDxfId="25"/>
    <tableColumn id="87" name="PDB - 17 CLC Section " dataDxfId="24"/>
    <tableColumn id="88" name="PDB - 16 Bread Section" dataDxfId="23"/>
    <tableColumn id="89" name="PDB - 11 Truck Charging" dataDxfId="22"/>
    <tableColumn id="90" name="OLD Ck Panel-1" dataDxfId="21"/>
    <tableColumn id="91" name="2F4 Old CK Blast (Blue star)" dataDxfId="20"/>
    <tableColumn id="92" name="3F6 Old CK Blast (Carrier)" dataDxfId="19"/>
    <tableColumn id="93" name="Old CK Panel -2" dataDxfId="18"/>
    <tableColumn id="94" name="Tray Washer light Panel" dataDxfId="17"/>
    <tableColumn id="95" name="2F1 Tray Washer - 1" dataDxfId="16"/>
    <tableColumn id="96" name="2F3 - PDB 1 - Dock 1 to 4 " dataDxfId="15"/>
    <tableColumn id="97" name="2F5 Destacker" dataDxfId="14"/>
    <tableColumn id="98" name="3F1 Metering (TW-1)" dataDxfId="13"/>
    <tableColumn id="99" name="5F1 Metering (TW-2)" dataDxfId="12"/>
    <tableColumn id="100" name="6F1 Pre soaker Tray washer" dataDxfId="11"/>
    <tableColumn id="101" name="6F2 Ground Floor AC" dataDxfId="10"/>
    <tableColumn id="102" name="6F3 ACBD -1 (First floor AC)" dataDxfId="9"/>
    <tableColumn id="103" name="6F4 ACBD - 2 (Second &amp; Third floor AC)" dataDxfId="8"/>
    <tableColumn id="104" name="6F5 Vent tray Storage" dataDxfId="7"/>
    <tableColumn id="105" name="PNG Meter (Outside)" dataDxfId="6"/>
    <tableColumn id="106" name="PNG Meter (Inside)" dataDxfId="5"/>
    <tableColumn id="107" name="MWH Imp" dataDxfId="4"/>
    <tableColumn id="108" name="MWH Total" dataDxfId="3"/>
    <tableColumn id="109" name="MVAH Imp" dataDxfId="2"/>
    <tableColumn id="110" name="Power Factor (PF)" dataDxfId="1"/>
    <tableColumn id="111" name="Timing of Meter readin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A51"/>
  <sheetViews>
    <sheetView topLeftCell="DB5" workbookViewId="0">
      <selection activeCell="DD30" sqref="DD30"/>
    </sheetView>
  </sheetViews>
  <sheetFormatPr defaultRowHeight="14.5" x14ac:dyDescent="0.35"/>
  <cols>
    <col min="2" max="3" width="14.6328125" customWidth="1"/>
    <col min="4" max="111" width="12.26953125" customWidth="1"/>
    <col min="112" max="112" width="10.08984375" bestFit="1" customWidth="1"/>
    <col min="114" max="140" width="9.81640625" customWidth="1"/>
    <col min="147" max="147" width="10.26953125" customWidth="1"/>
    <col min="155" max="155" width="9.453125" customWidth="1"/>
    <col min="166" max="166" width="11.81640625" customWidth="1"/>
    <col min="167" max="167" width="12" customWidth="1"/>
    <col min="168" max="168" width="11" customWidth="1"/>
    <col min="169" max="169" width="11.6328125" customWidth="1"/>
    <col min="170" max="170" width="14.08984375" customWidth="1"/>
  </cols>
  <sheetData>
    <row r="1" spans="1:183" s="11" customFormat="1" ht="58" customHeight="1" x14ac:dyDescent="0.35">
      <c r="I1" s="9" t="s">
        <v>114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138</v>
      </c>
      <c r="O1" s="9" t="s">
        <v>139</v>
      </c>
      <c r="P1" s="9" t="s">
        <v>122</v>
      </c>
      <c r="Q1" s="12"/>
      <c r="R1" s="9" t="s">
        <v>115</v>
      </c>
      <c r="S1" s="9" t="s">
        <v>116</v>
      </c>
      <c r="T1" s="12"/>
      <c r="U1" s="12"/>
      <c r="V1" s="12"/>
      <c r="W1" s="9" t="s">
        <v>140</v>
      </c>
      <c r="X1" s="9" t="s">
        <v>116</v>
      </c>
      <c r="Y1" s="9" t="s">
        <v>117</v>
      </c>
      <c r="Z1" s="9" t="s">
        <v>138</v>
      </c>
      <c r="AA1" s="13" t="s">
        <v>118</v>
      </c>
      <c r="AB1" s="12"/>
      <c r="AC1" s="9" t="s">
        <v>116</v>
      </c>
      <c r="AD1" s="12"/>
      <c r="AE1" s="9" t="s">
        <v>119</v>
      </c>
      <c r="AF1" s="9" t="s">
        <v>121</v>
      </c>
      <c r="AG1" s="9" t="s">
        <v>120</v>
      </c>
      <c r="AH1" s="9" t="s">
        <v>122</v>
      </c>
      <c r="AI1" s="9" t="s">
        <v>123</v>
      </c>
      <c r="AJ1" s="9" t="s">
        <v>124</v>
      </c>
      <c r="AK1" s="9" t="s">
        <v>125</v>
      </c>
      <c r="AL1" s="9" t="s">
        <v>118</v>
      </c>
      <c r="AM1" s="12"/>
      <c r="AN1" s="18" t="s">
        <v>39</v>
      </c>
      <c r="AO1" s="18" t="s">
        <v>40</v>
      </c>
      <c r="AP1" s="18" t="s">
        <v>41</v>
      </c>
      <c r="AQ1" s="18" t="s">
        <v>42</v>
      </c>
      <c r="AR1" s="18" t="s">
        <v>43</v>
      </c>
      <c r="AS1" s="18" t="s">
        <v>44</v>
      </c>
      <c r="AT1" s="18" t="s">
        <v>45</v>
      </c>
      <c r="AU1" s="18" t="s">
        <v>46</v>
      </c>
      <c r="AV1" s="18" t="s">
        <v>47</v>
      </c>
      <c r="AW1" s="9" t="s">
        <v>119</v>
      </c>
      <c r="AX1" s="9" t="s">
        <v>126</v>
      </c>
      <c r="AY1" s="12"/>
      <c r="AZ1" s="9" t="s">
        <v>127</v>
      </c>
      <c r="BA1" s="9" t="s">
        <v>127</v>
      </c>
      <c r="BB1" s="9" t="s">
        <v>127</v>
      </c>
      <c r="BC1" s="9" t="s">
        <v>128</v>
      </c>
      <c r="BD1" s="9" t="s">
        <v>129</v>
      </c>
      <c r="BE1" s="12"/>
      <c r="BF1" s="9" t="s">
        <v>130</v>
      </c>
      <c r="BG1" s="9" t="s">
        <v>130</v>
      </c>
      <c r="BH1" s="9" t="s">
        <v>131</v>
      </c>
      <c r="BI1" s="9" t="s">
        <v>131</v>
      </c>
      <c r="BJ1" s="9" t="s">
        <v>131</v>
      </c>
      <c r="BK1" s="9" t="s">
        <v>127</v>
      </c>
      <c r="BL1" s="9" t="s">
        <v>132</v>
      </c>
      <c r="BM1" s="9" t="s">
        <v>124</v>
      </c>
      <c r="BN1" s="9" t="s">
        <v>127</v>
      </c>
      <c r="BO1" s="9" t="s">
        <v>128</v>
      </c>
      <c r="BP1" s="9" t="s">
        <v>127</v>
      </c>
      <c r="BQ1" s="9" t="s">
        <v>131</v>
      </c>
      <c r="BR1" s="9" t="s">
        <v>131</v>
      </c>
      <c r="BS1" s="12"/>
      <c r="BT1" s="12"/>
      <c r="BU1" s="9" t="s">
        <v>133</v>
      </c>
      <c r="BV1" s="9" t="s">
        <v>134</v>
      </c>
      <c r="BW1" s="9" t="s">
        <v>130</v>
      </c>
      <c r="BX1" s="9" t="s">
        <v>127</v>
      </c>
      <c r="BY1" s="9" t="s">
        <v>134</v>
      </c>
      <c r="BZ1" s="9" t="s">
        <v>127</v>
      </c>
      <c r="CA1" s="9" t="s">
        <v>127</v>
      </c>
      <c r="CB1" s="9" t="s">
        <v>133</v>
      </c>
      <c r="CC1" s="9" t="s">
        <v>127</v>
      </c>
      <c r="CD1" s="9" t="s">
        <v>127</v>
      </c>
      <c r="CE1" s="9" t="s">
        <v>127</v>
      </c>
      <c r="CF1" s="9" t="s">
        <v>133</v>
      </c>
      <c r="CG1" s="9" t="s">
        <v>132</v>
      </c>
      <c r="CH1" s="9" t="s">
        <v>127</v>
      </c>
      <c r="CI1" s="9" t="s">
        <v>130</v>
      </c>
      <c r="CJ1" s="9" t="s">
        <v>132</v>
      </c>
      <c r="CK1" s="9" t="s">
        <v>124</v>
      </c>
      <c r="CL1" s="9" t="s">
        <v>135</v>
      </c>
      <c r="CM1" s="9" t="s">
        <v>136</v>
      </c>
      <c r="CN1" s="9" t="s">
        <v>136</v>
      </c>
      <c r="CO1" s="9" t="s">
        <v>136</v>
      </c>
      <c r="CP1" s="9" t="s">
        <v>116</v>
      </c>
      <c r="CQ1" s="9" t="s">
        <v>116</v>
      </c>
      <c r="CR1" s="9" t="s">
        <v>127</v>
      </c>
      <c r="CS1" s="9" t="s">
        <v>116</v>
      </c>
      <c r="CT1" s="9" t="s">
        <v>116</v>
      </c>
      <c r="CU1" s="9" t="s">
        <v>116</v>
      </c>
      <c r="CV1" s="9" t="s">
        <v>116</v>
      </c>
      <c r="CW1" s="9" t="s">
        <v>122</v>
      </c>
      <c r="CX1" s="9" t="s">
        <v>122</v>
      </c>
      <c r="CY1" s="9" t="s">
        <v>122</v>
      </c>
      <c r="CZ1" s="9" t="s">
        <v>116</v>
      </c>
      <c r="DA1" s="9" t="s">
        <v>228</v>
      </c>
      <c r="DB1" s="9" t="s">
        <v>229</v>
      </c>
      <c r="DC1" s="12"/>
      <c r="DD1" s="9" t="s">
        <v>137</v>
      </c>
      <c r="DE1" s="12"/>
      <c r="DF1" s="17" t="s">
        <v>109</v>
      </c>
      <c r="DG1" s="12"/>
      <c r="DI1" s="15" t="s">
        <v>137</v>
      </c>
      <c r="DJ1" s="61" t="s">
        <v>141</v>
      </c>
      <c r="DK1" s="62"/>
      <c r="DL1" s="60" t="s">
        <v>131</v>
      </c>
      <c r="DM1" s="60"/>
      <c r="DN1" s="60"/>
      <c r="DO1" s="60"/>
      <c r="DP1" s="60"/>
      <c r="DQ1" s="15" t="s">
        <v>177</v>
      </c>
      <c r="DR1" s="63" t="s">
        <v>116</v>
      </c>
      <c r="DS1" s="63"/>
      <c r="DT1" s="63"/>
      <c r="DU1" s="63"/>
      <c r="DV1" s="64"/>
      <c r="DW1" s="14" t="s">
        <v>114</v>
      </c>
      <c r="DX1" s="60" t="s">
        <v>127</v>
      </c>
      <c r="DY1" s="60"/>
      <c r="DZ1" s="60"/>
      <c r="EA1" s="60"/>
      <c r="EB1" s="60"/>
      <c r="EC1" s="60"/>
      <c r="ED1" s="60"/>
      <c r="EE1" s="60"/>
      <c r="EF1" s="60"/>
      <c r="EG1" s="60"/>
      <c r="EH1" s="60"/>
      <c r="EI1" s="60"/>
      <c r="EJ1" s="60"/>
      <c r="EK1" s="60" t="s">
        <v>124</v>
      </c>
      <c r="EL1" s="60"/>
      <c r="EM1" s="61" t="s">
        <v>122</v>
      </c>
      <c r="EN1" s="62"/>
      <c r="EO1" s="62"/>
      <c r="EP1" s="62"/>
      <c r="EQ1" s="62"/>
      <c r="ER1" s="60" t="s">
        <v>128</v>
      </c>
      <c r="ES1" s="60"/>
      <c r="ET1" s="15" t="s">
        <v>117</v>
      </c>
      <c r="EU1" s="60" t="s">
        <v>142</v>
      </c>
      <c r="EV1" s="60"/>
      <c r="EW1" s="60"/>
      <c r="EX1" s="60"/>
      <c r="EY1" s="65" t="s">
        <v>138</v>
      </c>
      <c r="EZ1" s="66"/>
      <c r="FA1" s="60" t="s">
        <v>130</v>
      </c>
      <c r="FB1" s="60"/>
      <c r="FC1" s="60"/>
      <c r="FD1" s="60"/>
      <c r="FE1" s="14" t="s">
        <v>140</v>
      </c>
      <c r="FF1" s="60" t="s">
        <v>118</v>
      </c>
      <c r="FG1" s="60"/>
      <c r="FH1" s="14" t="s">
        <v>121</v>
      </c>
      <c r="FI1" s="14" t="s">
        <v>125</v>
      </c>
      <c r="FJ1" s="14" t="s">
        <v>115</v>
      </c>
      <c r="FK1" s="15" t="s">
        <v>119</v>
      </c>
      <c r="FL1" s="14" t="s">
        <v>120</v>
      </c>
      <c r="FM1" s="14" t="s">
        <v>126</v>
      </c>
      <c r="FN1" s="14" t="s">
        <v>123</v>
      </c>
      <c r="FO1" s="14" t="s">
        <v>129</v>
      </c>
      <c r="FP1" s="61" t="s">
        <v>132</v>
      </c>
      <c r="FQ1" s="62"/>
      <c r="FR1" s="67"/>
      <c r="FS1" s="61" t="s">
        <v>133</v>
      </c>
      <c r="FT1" s="62"/>
      <c r="FU1" s="67"/>
      <c r="FV1" s="65" t="s">
        <v>134</v>
      </c>
      <c r="FW1" s="66"/>
      <c r="FX1" s="65" t="s">
        <v>143</v>
      </c>
      <c r="FY1" s="66"/>
      <c r="FZ1" s="60" t="s">
        <v>144</v>
      </c>
      <c r="GA1" s="60"/>
    </row>
    <row r="2" spans="1:183" s="8" customFormat="1" ht="87" x14ac:dyDescent="0.35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11</v>
      </c>
      <c r="M2" s="7" t="s">
        <v>12</v>
      </c>
      <c r="N2" s="7" t="s">
        <v>13</v>
      </c>
      <c r="O2" s="7" t="s">
        <v>14</v>
      </c>
      <c r="P2" s="7" t="s">
        <v>15</v>
      </c>
      <c r="Q2" s="7" t="s">
        <v>16</v>
      </c>
      <c r="R2" s="7" t="s">
        <v>17</v>
      </c>
      <c r="S2" s="7" t="s">
        <v>18</v>
      </c>
      <c r="T2" s="7" t="s">
        <v>19</v>
      </c>
      <c r="U2" s="7" t="s">
        <v>20</v>
      </c>
      <c r="V2" s="7" t="s">
        <v>21</v>
      </c>
      <c r="W2" s="7" t="s">
        <v>22</v>
      </c>
      <c r="X2" s="7" t="s">
        <v>23</v>
      </c>
      <c r="Y2" s="7" t="s">
        <v>24</v>
      </c>
      <c r="Z2" s="7" t="s">
        <v>25</v>
      </c>
      <c r="AA2" s="7" t="s">
        <v>26</v>
      </c>
      <c r="AB2" s="7" t="s">
        <v>27</v>
      </c>
      <c r="AC2" s="7" t="s">
        <v>28</v>
      </c>
      <c r="AD2" s="7" t="s">
        <v>29</v>
      </c>
      <c r="AE2" s="7" t="s">
        <v>30</v>
      </c>
      <c r="AF2" s="7" t="s">
        <v>31</v>
      </c>
      <c r="AG2" s="7" t="s">
        <v>32</v>
      </c>
      <c r="AH2" s="7" t="s">
        <v>33</v>
      </c>
      <c r="AI2" s="7" t="s">
        <v>34</v>
      </c>
      <c r="AJ2" s="7" t="s">
        <v>35</v>
      </c>
      <c r="AK2" s="7" t="s">
        <v>36</v>
      </c>
      <c r="AL2" s="7" t="s">
        <v>37</v>
      </c>
      <c r="AM2" s="7" t="s">
        <v>38</v>
      </c>
      <c r="AN2" s="7" t="s">
        <v>39</v>
      </c>
      <c r="AO2" s="7" t="s">
        <v>40</v>
      </c>
      <c r="AP2" s="7" t="s">
        <v>41</v>
      </c>
      <c r="AQ2" s="7" t="s">
        <v>42</v>
      </c>
      <c r="AR2" s="7" t="s">
        <v>43</v>
      </c>
      <c r="AS2" s="7" t="s">
        <v>44</v>
      </c>
      <c r="AT2" s="7" t="s">
        <v>45</v>
      </c>
      <c r="AU2" s="7" t="s">
        <v>46</v>
      </c>
      <c r="AV2" s="7" t="s">
        <v>47</v>
      </c>
      <c r="AW2" s="7" t="s">
        <v>48</v>
      </c>
      <c r="AX2" s="7" t="s">
        <v>49</v>
      </c>
      <c r="AY2" s="7" t="s">
        <v>50</v>
      </c>
      <c r="AZ2" s="7" t="s">
        <v>51</v>
      </c>
      <c r="BA2" s="7" t="s">
        <v>52</v>
      </c>
      <c r="BB2" s="7" t="s">
        <v>53</v>
      </c>
      <c r="BC2" s="7" t="s">
        <v>54</v>
      </c>
      <c r="BD2" s="7" t="s">
        <v>55</v>
      </c>
      <c r="BE2" s="7" t="s">
        <v>56</v>
      </c>
      <c r="BF2" s="7" t="s">
        <v>57</v>
      </c>
      <c r="BG2" s="7" t="s">
        <v>58</v>
      </c>
      <c r="BH2" s="7" t="s">
        <v>59</v>
      </c>
      <c r="BI2" s="7" t="s">
        <v>60</v>
      </c>
      <c r="BJ2" s="7" t="s">
        <v>61</v>
      </c>
      <c r="BK2" s="7" t="s">
        <v>62</v>
      </c>
      <c r="BL2" s="7" t="s">
        <v>63</v>
      </c>
      <c r="BM2" s="7" t="s">
        <v>64</v>
      </c>
      <c r="BN2" s="7" t="s">
        <v>65</v>
      </c>
      <c r="BO2" s="7" t="s">
        <v>66</v>
      </c>
      <c r="BP2" s="7" t="s">
        <v>67</v>
      </c>
      <c r="BQ2" s="7" t="s">
        <v>68</v>
      </c>
      <c r="BR2" s="7" t="s">
        <v>69</v>
      </c>
      <c r="BS2" s="7" t="s">
        <v>70</v>
      </c>
      <c r="BT2" s="7" t="s">
        <v>71</v>
      </c>
      <c r="BU2" s="7" t="s">
        <v>72</v>
      </c>
      <c r="BV2" s="7" t="s">
        <v>73</v>
      </c>
      <c r="BW2" s="7" t="s">
        <v>74</v>
      </c>
      <c r="BX2" s="7" t="s">
        <v>75</v>
      </c>
      <c r="BY2" s="7" t="s">
        <v>76</v>
      </c>
      <c r="BZ2" s="7" t="s">
        <v>77</v>
      </c>
      <c r="CA2" s="7" t="s">
        <v>78</v>
      </c>
      <c r="CB2" s="7" t="s">
        <v>79</v>
      </c>
      <c r="CC2" s="7" t="s">
        <v>80</v>
      </c>
      <c r="CD2" s="7" t="s">
        <v>81</v>
      </c>
      <c r="CE2" s="7" t="s">
        <v>82</v>
      </c>
      <c r="CF2" s="7" t="s">
        <v>83</v>
      </c>
      <c r="CG2" s="7" t="s">
        <v>84</v>
      </c>
      <c r="CH2" s="7" t="s">
        <v>85</v>
      </c>
      <c r="CI2" s="7" t="s">
        <v>86</v>
      </c>
      <c r="CJ2" s="7" t="s">
        <v>87</v>
      </c>
      <c r="CK2" s="7" t="s">
        <v>88</v>
      </c>
      <c r="CL2" s="7" t="s">
        <v>89</v>
      </c>
      <c r="CM2" s="7" t="s">
        <v>90</v>
      </c>
      <c r="CN2" s="7" t="s">
        <v>91</v>
      </c>
      <c r="CO2" s="7" t="s">
        <v>92</v>
      </c>
      <c r="CP2" s="7" t="s">
        <v>93</v>
      </c>
      <c r="CQ2" s="7" t="s">
        <v>94</v>
      </c>
      <c r="CR2" s="7" t="s">
        <v>95</v>
      </c>
      <c r="CS2" s="7" t="s">
        <v>96</v>
      </c>
      <c r="CT2" s="7" t="s">
        <v>97</v>
      </c>
      <c r="CU2" s="7" t="s">
        <v>98</v>
      </c>
      <c r="CV2" s="7" t="s">
        <v>99</v>
      </c>
      <c r="CW2" s="7" t="s">
        <v>100</v>
      </c>
      <c r="CX2" s="7" t="s">
        <v>101</v>
      </c>
      <c r="CY2" s="7" t="s">
        <v>102</v>
      </c>
      <c r="CZ2" s="7" t="s">
        <v>103</v>
      </c>
      <c r="DA2" s="7" t="s">
        <v>104</v>
      </c>
      <c r="DB2" s="7" t="s">
        <v>105</v>
      </c>
      <c r="DC2" s="7" t="s">
        <v>106</v>
      </c>
      <c r="DD2" s="7" t="s">
        <v>107</v>
      </c>
      <c r="DE2" s="7" t="s">
        <v>108</v>
      </c>
      <c r="DF2" s="7" t="s">
        <v>109</v>
      </c>
      <c r="DG2" s="7" t="s">
        <v>110</v>
      </c>
      <c r="DH2" s="8" t="s">
        <v>6</v>
      </c>
      <c r="DI2" s="9" t="s">
        <v>145</v>
      </c>
      <c r="DJ2" s="9" t="s">
        <v>228</v>
      </c>
      <c r="DK2" s="9" t="s">
        <v>229</v>
      </c>
      <c r="DL2" s="9" t="s">
        <v>59</v>
      </c>
      <c r="DM2" s="9" t="s">
        <v>60</v>
      </c>
      <c r="DN2" s="9" t="s">
        <v>61</v>
      </c>
      <c r="DO2" s="9" t="s">
        <v>68</v>
      </c>
      <c r="DP2" s="9" t="s">
        <v>69</v>
      </c>
      <c r="DQ2" s="9" t="s">
        <v>28</v>
      </c>
      <c r="DR2" s="9" t="s">
        <v>94</v>
      </c>
      <c r="DS2" s="9" t="s">
        <v>96</v>
      </c>
      <c r="DT2" s="9" t="s">
        <v>98</v>
      </c>
      <c r="DU2" s="9" t="s">
        <v>99</v>
      </c>
      <c r="DV2" s="9" t="s">
        <v>103</v>
      </c>
      <c r="DW2" s="9" t="s">
        <v>8</v>
      </c>
      <c r="DX2" s="9" t="s">
        <v>51</v>
      </c>
      <c r="DY2" s="9" t="s">
        <v>52</v>
      </c>
      <c r="DZ2" s="9" t="s">
        <v>53</v>
      </c>
      <c r="EA2" s="9" t="s">
        <v>62</v>
      </c>
      <c r="EB2" s="9" t="s">
        <v>65</v>
      </c>
      <c r="EC2" s="9" t="s">
        <v>67</v>
      </c>
      <c r="ED2" s="9" t="s">
        <v>75</v>
      </c>
      <c r="EE2" s="9" t="s">
        <v>77</v>
      </c>
      <c r="EF2" s="9" t="s">
        <v>78</v>
      </c>
      <c r="EG2" s="9" t="s">
        <v>80</v>
      </c>
      <c r="EH2" s="9" t="s">
        <v>81</v>
      </c>
      <c r="EI2" s="9" t="s">
        <v>82</v>
      </c>
      <c r="EJ2" s="9" t="s">
        <v>85</v>
      </c>
      <c r="EK2" s="9" t="s">
        <v>64</v>
      </c>
      <c r="EL2" s="9" t="s">
        <v>88</v>
      </c>
      <c r="EM2" s="9" t="s">
        <v>15</v>
      </c>
      <c r="EN2" s="9" t="s">
        <v>33</v>
      </c>
      <c r="EO2" s="9" t="s">
        <v>100</v>
      </c>
      <c r="EP2" s="9" t="s">
        <v>101</v>
      </c>
      <c r="EQ2" s="9" t="s">
        <v>102</v>
      </c>
      <c r="ER2" s="10" t="s">
        <v>54</v>
      </c>
      <c r="ES2" s="10" t="s">
        <v>66</v>
      </c>
      <c r="ET2" s="10" t="s">
        <v>24</v>
      </c>
      <c r="EU2" s="9" t="s">
        <v>89</v>
      </c>
      <c r="EV2" s="9" t="s">
        <v>90</v>
      </c>
      <c r="EW2" s="9" t="s">
        <v>91</v>
      </c>
      <c r="EX2" s="9" t="s">
        <v>92</v>
      </c>
      <c r="EY2" s="9" t="s">
        <v>13</v>
      </c>
      <c r="EZ2" s="9" t="s">
        <v>25</v>
      </c>
      <c r="FA2" s="9" t="s">
        <v>57</v>
      </c>
      <c r="FB2" s="9" t="s">
        <v>58</v>
      </c>
      <c r="FC2" s="9" t="s">
        <v>74</v>
      </c>
      <c r="FD2" s="9" t="s">
        <v>86</v>
      </c>
      <c r="FE2" s="9" t="s">
        <v>22</v>
      </c>
      <c r="FF2" s="9" t="s">
        <v>26</v>
      </c>
      <c r="FG2" s="9" t="s">
        <v>37</v>
      </c>
      <c r="FH2" s="9" t="s">
        <v>31</v>
      </c>
      <c r="FI2" s="9" t="s">
        <v>36</v>
      </c>
      <c r="FJ2" s="9" t="s">
        <v>17</v>
      </c>
      <c r="FK2" s="9" t="s">
        <v>30</v>
      </c>
      <c r="FL2" s="9" t="s">
        <v>32</v>
      </c>
      <c r="FM2" s="9" t="s">
        <v>49</v>
      </c>
      <c r="FN2" s="9" t="s">
        <v>34</v>
      </c>
      <c r="FO2" s="9" t="s">
        <v>55</v>
      </c>
      <c r="FP2" s="9" t="s">
        <v>63</v>
      </c>
      <c r="FQ2" s="9" t="s">
        <v>84</v>
      </c>
      <c r="FR2" s="9" t="s">
        <v>87</v>
      </c>
      <c r="FS2" s="9" t="s">
        <v>72</v>
      </c>
      <c r="FT2" s="9" t="s">
        <v>79</v>
      </c>
      <c r="FU2" s="9" t="s">
        <v>83</v>
      </c>
      <c r="FV2" s="9" t="s">
        <v>73</v>
      </c>
      <c r="FW2" s="9" t="s">
        <v>76</v>
      </c>
      <c r="FX2" s="16" t="s">
        <v>9</v>
      </c>
      <c r="FY2" s="9" t="s">
        <v>10</v>
      </c>
      <c r="FZ2" s="16" t="s">
        <v>11</v>
      </c>
      <c r="GA2" s="9" t="s">
        <v>12</v>
      </c>
    </row>
    <row r="3" spans="1:183" x14ac:dyDescent="0.35">
      <c r="A3" s="1">
        <v>5</v>
      </c>
      <c r="B3" s="2">
        <v>46202.409837963001</v>
      </c>
      <c r="C3" s="2">
        <v>46202.435474537</v>
      </c>
      <c r="D3" s="1" t="s">
        <v>111</v>
      </c>
      <c r="E3" s="1"/>
      <c r="F3" s="1"/>
      <c r="G3" s="3">
        <v>46201</v>
      </c>
      <c r="H3" s="1" t="s">
        <v>112</v>
      </c>
      <c r="I3" s="6">
        <v>5107.7420000000002</v>
      </c>
      <c r="J3" s="6">
        <v>4245.2</v>
      </c>
      <c r="K3" s="6">
        <v>1764267</v>
      </c>
      <c r="L3" s="6">
        <v>427</v>
      </c>
      <c r="M3" s="6">
        <v>177.61</v>
      </c>
      <c r="N3" s="6">
        <v>1835501.6</v>
      </c>
      <c r="O3" s="6">
        <v>4533767.3600000003</v>
      </c>
      <c r="P3" s="6">
        <v>631436.92799999996</v>
      </c>
      <c r="Q3" s="6">
        <v>7988215.6799999997</v>
      </c>
      <c r="R3" s="6">
        <v>5343896.96</v>
      </c>
      <c r="S3" s="6">
        <v>7246316.7999999998</v>
      </c>
      <c r="T3" s="6">
        <v>42340702.340000004</v>
      </c>
      <c r="U3" s="6">
        <v>2058636.32</v>
      </c>
      <c r="V3" s="6">
        <v>5057417.5999999996</v>
      </c>
      <c r="W3" s="6">
        <v>1569.5613000000001</v>
      </c>
      <c r="X3" s="6">
        <v>763711.36</v>
      </c>
      <c r="Y3" s="6">
        <v>1050942.72</v>
      </c>
      <c r="Z3" s="6">
        <v>2777.8894</v>
      </c>
      <c r="AA3" s="6">
        <v>658139.45600000001</v>
      </c>
      <c r="AB3" s="6">
        <v>420904.44799999997</v>
      </c>
      <c r="AC3" s="6">
        <v>2112810.2400000002</v>
      </c>
      <c r="AD3" s="6">
        <v>2335959.051</v>
      </c>
      <c r="AE3" s="6">
        <v>12549.0592</v>
      </c>
      <c r="AF3" s="6">
        <v>854092.22400000005</v>
      </c>
      <c r="AG3" s="6">
        <v>1359.2619999999999</v>
      </c>
      <c r="AH3" s="6">
        <v>128837.36</v>
      </c>
      <c r="AI3" s="6">
        <v>14432.824000000001</v>
      </c>
      <c r="AJ3" s="6">
        <v>145246.38399999999</v>
      </c>
      <c r="AK3" s="6">
        <v>104825.96799999999</v>
      </c>
      <c r="AL3" s="6">
        <v>327910.36800000002</v>
      </c>
      <c r="AM3" s="6">
        <v>969.59699999999998</v>
      </c>
      <c r="AN3" s="6">
        <v>185.9</v>
      </c>
      <c r="AO3" s="6">
        <v>7.4</v>
      </c>
      <c r="AP3" s="6">
        <v>109713</v>
      </c>
      <c r="AQ3" s="6">
        <v>42271</v>
      </c>
      <c r="AR3" s="6">
        <v>41727</v>
      </c>
      <c r="AS3" s="6">
        <v>32307</v>
      </c>
      <c r="AT3" s="6">
        <v>22056</v>
      </c>
      <c r="AU3" s="6">
        <v>14760</v>
      </c>
      <c r="AV3" s="6">
        <v>5832</v>
      </c>
      <c r="AW3" s="6">
        <v>20.675252</v>
      </c>
      <c r="AX3" s="50">
        <v>7139.1620000000003</v>
      </c>
      <c r="AY3" s="6">
        <v>674.11055999999996</v>
      </c>
      <c r="AZ3" s="6">
        <v>20.788</v>
      </c>
      <c r="BA3" s="6">
        <v>9654.3070000000007</v>
      </c>
      <c r="BB3" s="6">
        <v>43.072000000000003</v>
      </c>
      <c r="BC3" s="6">
        <v>113969.24800000001</v>
      </c>
      <c r="BD3" s="6">
        <v>274220.288</v>
      </c>
      <c r="BE3" s="6">
        <v>3681.4612000000002</v>
      </c>
      <c r="BF3" s="6">
        <v>1712.0419999999999</v>
      </c>
      <c r="BG3" s="6">
        <v>73.968000000000004</v>
      </c>
      <c r="BH3" s="6">
        <v>352.06700000000001</v>
      </c>
      <c r="BI3" s="6">
        <v>897.99800000000005</v>
      </c>
      <c r="BJ3" s="6">
        <v>12.988</v>
      </c>
      <c r="BK3" s="6">
        <v>553.54399999999998</v>
      </c>
      <c r="BL3" s="6">
        <v>68097.625</v>
      </c>
      <c r="BM3" s="6">
        <v>290533.34399999998</v>
      </c>
      <c r="BN3" s="6">
        <v>7099.1696000000002</v>
      </c>
      <c r="BO3" s="6">
        <v>53497.487999999998</v>
      </c>
      <c r="BP3" s="6">
        <v>309556.35200000001</v>
      </c>
      <c r="BQ3" s="6">
        <v>317.83800000000002</v>
      </c>
      <c r="BR3" s="6">
        <v>177.14</v>
      </c>
      <c r="BS3" s="6">
        <v>968560.41500000004</v>
      </c>
      <c r="BT3" s="6">
        <v>1400428.004</v>
      </c>
      <c r="BU3" s="6">
        <v>621285.31200000003</v>
      </c>
      <c r="BV3" s="6">
        <v>1006186</v>
      </c>
      <c r="BW3" s="6">
        <v>560503.6</v>
      </c>
      <c r="BX3" s="6">
        <v>910044.67200000002</v>
      </c>
      <c r="BY3" s="6">
        <v>155944.68799999999</v>
      </c>
      <c r="BZ3" s="6">
        <v>114008.38400000001</v>
      </c>
      <c r="CA3" s="6">
        <v>0</v>
      </c>
      <c r="CB3" s="6">
        <v>106618.96</v>
      </c>
      <c r="CC3" s="6">
        <v>146382.11199999999</v>
      </c>
      <c r="CD3" s="6">
        <v>440058.72</v>
      </c>
      <c r="CE3" s="6">
        <v>49125.260799999996</v>
      </c>
      <c r="CF3" s="6">
        <v>155098.17600000001</v>
      </c>
      <c r="CG3" s="6">
        <v>360734.304</v>
      </c>
      <c r="CH3" s="6">
        <v>2385.87</v>
      </c>
      <c r="CI3" s="6">
        <v>209.17500000000001</v>
      </c>
      <c r="CJ3" s="6">
        <v>1165.4000000000001</v>
      </c>
      <c r="CK3" s="6">
        <v>76.322000000000003</v>
      </c>
      <c r="CL3" s="6">
        <v>715.41099999999994</v>
      </c>
      <c r="CM3" s="6">
        <v>551.4</v>
      </c>
      <c r="CN3" s="6">
        <v>30708</v>
      </c>
      <c r="CO3" s="6">
        <v>1617.7950000000001</v>
      </c>
      <c r="CP3" s="6">
        <v>288891.40500000003</v>
      </c>
      <c r="CQ3" s="6">
        <v>3642854.46</v>
      </c>
      <c r="CR3" s="6">
        <v>128694.936</v>
      </c>
      <c r="CS3" s="6">
        <v>502850.272</v>
      </c>
      <c r="CT3" s="6">
        <v>2816136.5040000002</v>
      </c>
      <c r="CU3" s="6">
        <v>288995.674</v>
      </c>
      <c r="CV3" s="6">
        <v>30102.2624</v>
      </c>
      <c r="CW3" s="6">
        <v>61866.099199999997</v>
      </c>
      <c r="CX3" s="6">
        <v>33026.851199999997</v>
      </c>
      <c r="CY3" s="6">
        <v>163436.72</v>
      </c>
      <c r="CZ3" s="6">
        <v>215399.50399999999</v>
      </c>
      <c r="DA3" s="6">
        <v>17576.919999999998</v>
      </c>
      <c r="DB3" s="6">
        <v>146726.18</v>
      </c>
      <c r="DC3" s="6">
        <v>2823.97</v>
      </c>
      <c r="DD3" s="6">
        <v>2823.84</v>
      </c>
      <c r="DE3" s="6">
        <v>2845.87</v>
      </c>
      <c r="DF3" s="6">
        <v>0.995</v>
      </c>
      <c r="DG3" s="1"/>
      <c r="DH3" s="4">
        <f>Table2[[#This Row],[Date]]</f>
        <v>46201</v>
      </c>
      <c r="DI3">
        <f>(DD4-Table2[[#This Row],[MWH Total]])*4000</f>
        <v>16840.000000000146</v>
      </c>
      <c r="DJ3">
        <f>(DA4-Table2[[#This Row],[PNG Meter (Outside)]])*2.936</f>
        <v>0.35232000000769037</v>
      </c>
      <c r="DK3">
        <f>(DB4-Table2[[#This Row],[PNG Meter (Inside)]])*2.936</f>
        <v>58.003615999982223</v>
      </c>
      <c r="DL3">
        <f>(BH4-Table2[[#This Row],[3F Dough cooler - 2 ]])*1000</f>
        <v>372.0000000000141</v>
      </c>
      <c r="DM3">
        <f>(BI4-Table2[[#This Row],[3F Dough Cooler- 1]])*1000</f>
        <v>444.99999999993634</v>
      </c>
      <c r="DN3">
        <f>(BJ4-Table2[[#This Row],[4F Dough Production cooling Unit]])*1000</f>
        <v>41.000000000000369</v>
      </c>
      <c r="DO3">
        <f>(BQ4-Table2[[#This Row],[3F2 - PDB 3 - Dough Production Area]])*1000</f>
        <v>178.99999999997362</v>
      </c>
      <c r="DP3">
        <f>(BR4-Table2[[#This Row],[3F3 - PDB 4 - Dough Area]])*1000</f>
        <v>100.00000000002274</v>
      </c>
      <c r="DQ3">
        <f>AC4-Table2[[#This Row],[16F1 Tray washer Panel for Light]]</f>
        <v>616.79999999981374</v>
      </c>
      <c r="DR3">
        <f>CQ4-Table2[[#This Row],[2F1 Tray Washer - 1]]</f>
        <v>1192.8999999999069</v>
      </c>
      <c r="DS3">
        <f>CS4-Table2[[#This Row],[2F5 Destacker]]</f>
        <v>278.04800000000978</v>
      </c>
      <c r="DT3">
        <f>CU4-Table2[[#This Row],[5F1 Metering (TW-2)]]</f>
        <v>242.85899999999674</v>
      </c>
      <c r="DU3">
        <f>CV4-Table2[[#This Row],[6F1 Pre soaker Tray washer]]</f>
        <v>0</v>
      </c>
      <c r="DV3">
        <f>CZ4-Table2[[#This Row],[6F5 Vent tray Storage]]</f>
        <v>14.982000000018161</v>
      </c>
      <c r="DW3">
        <f>I4-Table2[[#This Row],[Popeyes Meter ]]</f>
        <v>0</v>
      </c>
      <c r="DX3">
        <f>AZ4-Table2[[#This Row],[2F WH Chiller, Segregation Area]]</f>
        <v>0</v>
      </c>
      <c r="DY3">
        <f>BA4-Table2[[#This Row],[3F1 AC Unit WH dock cooling - 2 Nos]]</f>
        <v>12.779999999998836</v>
      </c>
      <c r="DZ3">
        <f>BB4-Table2[[#This Row],[3F2 AC Unit WH dock cooling - 3 Nos]]</f>
        <v>5.0999999999994827E-2</v>
      </c>
      <c r="EA3">
        <f>(BK4-Table2[[#This Row],[5F WH Perishable]])*1000</f>
        <v>291.00000000005366</v>
      </c>
      <c r="EB3">
        <f>BN4-Table2[[#This Row],[2F3 - PDB 9 - WH Dock Leveler Door ]]</f>
        <v>2.568000000000211</v>
      </c>
      <c r="EC3">
        <f>BP4-Table2[[#This Row],[3F1 - PDB 5 - WH HSD]]</f>
        <v>87.679999999993015</v>
      </c>
      <c r="ED3">
        <f>BX4-Table2[[#This Row],[8F1 WH Dock AHU - Ventilation]]</f>
        <v>0</v>
      </c>
      <c r="EE3">
        <f>BZ4-Table2[[#This Row],[8F3 ACPDB - 4 WH Dock air curtain]]</f>
        <v>18.695999999996275</v>
      </c>
      <c r="EF3">
        <f>CA4-Table2[[#This Row],[8F4 WH Light]]</f>
        <v>0</v>
      </c>
      <c r="EG3">
        <f>CC4-Table2[[#This Row],[9F1 - PDB 10 - WH Dock door &amp; Office]]</f>
        <v>80.831999999994878</v>
      </c>
      <c r="EH3">
        <f>CD4-Table2[[#This Row],[9F2 - PDB 11 - WH flycatchers]]</f>
        <v>146.4320000000298</v>
      </c>
      <c r="EI3">
        <f>CE4-Table2[[#This Row],[9F3 - PDB 12 - Other items]]</f>
        <v>0</v>
      </c>
      <c r="EJ3">
        <f>CR4-Table2[[#This Row],[2F3 - PDB 1 - Dock 1 to 4 ]]</f>
        <v>75.792000000001281</v>
      </c>
      <c r="EK3">
        <f>BM4-Table2[[#This Row],[2F2 - PDB 3 - WH Truck &amp; Battery Charging]]</f>
        <v>791.20000000001164</v>
      </c>
      <c r="EL3">
        <f>(CK4-Table2[[#This Row],[PDB - 11 Truck Charging]])*1000</f>
        <v>45.999999999992269</v>
      </c>
      <c r="EM3">
        <f>P4-Table2[[#This Row],[5F3 Admin Area]]</f>
        <v>320.76800000004005</v>
      </c>
      <c r="EN3">
        <f>AH4-Table2[[#This Row],[2F5 Main Gate-1 Piller -1]]</f>
        <v>181.36800000000221</v>
      </c>
      <c r="EO3">
        <f>CW4-Table2[[#This Row],[6F2 Ground Floor AC]]</f>
        <v>34.995200000004843</v>
      </c>
      <c r="EP3">
        <f>CX4-Table2[[#This Row],[6F3 ACBD -1 (First floor AC)]]</f>
        <v>24.380800000006275</v>
      </c>
      <c r="EQ3">
        <f>CY4-Table2[[#This Row],[6F4 ACBD - 2 (Second &amp; Third floor AC)]]</f>
        <v>132.04800000000978</v>
      </c>
      <c r="ER3">
        <f>(BC4-Table2[[#This Row],[4F Old BMC cooling Unit]])</f>
        <v>0</v>
      </c>
      <c r="ES3">
        <f>BO4-Table2[[#This Row],[2F4 - Old BMC]]</f>
        <v>1.6000000003259629E-2</v>
      </c>
      <c r="ET3">
        <f>Y4-Table2[[#This Row],[14F2 New CK]]</f>
        <v>261.88000000012107</v>
      </c>
      <c r="EU3">
        <f>(CL4-Table2[[#This Row],[OLD Ck Panel-1]])*1000</f>
        <v>90.000000000031832</v>
      </c>
      <c r="EV3">
        <f>CM4-Table2[[#This Row],[2F4 Old CK Blast (Blue star)]]</f>
        <v>0</v>
      </c>
      <c r="EW3">
        <f>CN4-Table2[[#This Row],[3F6 Old CK Blast (Carrier)]]</f>
        <v>0</v>
      </c>
      <c r="EX3">
        <f>(CO4-Table2[[#This Row],[Old CK Panel -2]])*1000</f>
        <v>900.99999999983993</v>
      </c>
      <c r="EY3">
        <f>N4-Table2[[#This Row],[4F1 Main UPS 1/C -1]]</f>
        <v>767.52000000001863</v>
      </c>
      <c r="EZ3">
        <f>Z4-Table2[[#This Row],[15F1 Main UPS Panel - I/C - 2]]</f>
        <v>0</v>
      </c>
      <c r="FA3">
        <f>BF4-Table2[[#This Row],[2F CLC -1 AC unit - 2]]</f>
        <v>0</v>
      </c>
      <c r="FB3">
        <f>(BG4-Table2[[#This Row],[2F CLC Anti room]])*1000</f>
        <v>7.9999999999955662</v>
      </c>
      <c r="FC3">
        <f>BW4-Table2[[#This Row],[7F3 CLC Power Panel]]</f>
        <v>145.93599999998696</v>
      </c>
      <c r="FD3">
        <f>(CI4-Table2[[#This Row],[PDB - 17 CLC Section ]])*1000</f>
        <v>107.99999999997567</v>
      </c>
      <c r="FE3">
        <f>(W4-Table2[[#This Row],[13F3 Water &amp; Lift Old CK]])*1000</f>
        <v>195.19999999988613</v>
      </c>
      <c r="FF3">
        <f>AA4-Table2[[#This Row],[15F2 New ETP Panel]]</f>
        <v>289.08799999998882</v>
      </c>
      <c r="FG3">
        <f>AL4-Table2[[#This Row],[3F4 Old ETP Panel]]</f>
        <v>88.791999999957625</v>
      </c>
      <c r="FH3">
        <f>AF4-Table2[[#This Row],[2F1 RO Plant]]</f>
        <v>586.94399999990128</v>
      </c>
      <c r="FI3">
        <f>AK4-Table2[[#This Row],[3F3 Fire Hydrant Panel]]</f>
        <v>10.240000000005239</v>
      </c>
      <c r="FJ3">
        <f>R4-Table2[[#This Row],[7F1 Freon System Panel]]</f>
        <v>2448.9599999999627</v>
      </c>
      <c r="FK3">
        <f>(AE4-Table2[[#This Row],[21F1 Refrigeration Ammonia]])*1000</f>
        <v>6017.600000001039</v>
      </c>
      <c r="FL3">
        <f>(AG4-Table2[[#This Row],[2F3 Air Compressor]])*1000</f>
        <v>1013.0000000001473</v>
      </c>
      <c r="FM3">
        <f>(AX4-Table2[[#This Row],[Solar Reading Panel II]])*1000</f>
        <v>3750</v>
      </c>
      <c r="FN3">
        <f>AI4-Table2[[#This Row],[3F1 Maintenance Workshop]]</f>
        <v>5.8544000000001688</v>
      </c>
      <c r="FO3">
        <f>BD4-Table2[[#This Row],[4F B2B unit ]]</f>
        <v>14.400000000023283</v>
      </c>
      <c r="FP3">
        <f>BL4-Table2[[#This Row],[2F1 - PDB 6 - Bread, B2B section]]</f>
        <v>3.7189999999973224</v>
      </c>
      <c r="FQ3">
        <f>(CG4-Table2[[#This Row],[9F5 - PDB 14 - Bread Lift]])</f>
        <v>0.2559999999939464</v>
      </c>
      <c r="FR3">
        <f>CJ4-Table2[[#This Row],[PDB - 16 Bread Section]]</f>
        <v>0</v>
      </c>
      <c r="FS3">
        <f>BU4-Table2[[#This Row],[7F1 Donut Production area]]</f>
        <v>224</v>
      </c>
      <c r="FT3">
        <f>CB4-Table2[[#This Row],[8F5 Donut Ban Bary]]</f>
        <v>55.319999999992433</v>
      </c>
      <c r="FU3">
        <f>CF4-Table2[[#This Row],[9F4 - PDB 13 - Donut Sink Geyser area]]</f>
        <v>13.071999999985565</v>
      </c>
      <c r="FV3">
        <f>BV4-Table2[[#This Row],[7F2 Flour Silo]]</f>
        <v>353.11999999999534</v>
      </c>
      <c r="FW3">
        <f>BY4-Table2[[#This Row],[8F2 ACPDB - 3 SILO Ventilation]]</f>
        <v>48.032000000006519</v>
      </c>
      <c r="FX3">
        <f>J4-Table2[[#This Row],[DG 1010KVA Running Hours]]</f>
        <v>0</v>
      </c>
      <c r="FY3">
        <f>K4-Table2[[#This Row],[DG 1010 KVA Meter Reading]]</f>
        <v>0</v>
      </c>
      <c r="FZ3">
        <f>L4-Table2[[#This Row],[GG 1010 KVA Running Hours]]</f>
        <v>0</v>
      </c>
      <c r="GA3">
        <f>M4-Table2[[#This Row],[GG 1010 KVA Meter Reading]]</f>
        <v>0</v>
      </c>
    </row>
    <row r="4" spans="1:183" x14ac:dyDescent="0.35">
      <c r="A4" s="1">
        <v>6</v>
      </c>
      <c r="B4" s="2">
        <v>46202.441215277802</v>
      </c>
      <c r="C4" s="2">
        <v>46202.476863425902</v>
      </c>
      <c r="D4" s="1" t="s">
        <v>111</v>
      </c>
      <c r="E4" s="1"/>
      <c r="F4" s="1"/>
      <c r="G4" s="3">
        <v>46202</v>
      </c>
      <c r="H4" s="1" t="s">
        <v>112</v>
      </c>
      <c r="I4" s="6">
        <v>5107.7420000000002</v>
      </c>
      <c r="J4" s="6">
        <v>4245.2</v>
      </c>
      <c r="K4" s="6">
        <v>1764267</v>
      </c>
      <c r="L4" s="6">
        <v>427</v>
      </c>
      <c r="M4" s="6">
        <v>177.61</v>
      </c>
      <c r="N4" s="6">
        <v>1836269.12</v>
      </c>
      <c r="O4" s="6">
        <v>4535500.4800000004</v>
      </c>
      <c r="P4" s="6">
        <v>631757.696</v>
      </c>
      <c r="Q4" s="6">
        <v>7991880.96</v>
      </c>
      <c r="R4" s="6">
        <v>5346345.92</v>
      </c>
      <c r="S4" s="6">
        <v>7249356.1600000001</v>
      </c>
      <c r="T4" s="6">
        <v>42347165.092</v>
      </c>
      <c r="U4" s="6">
        <v>2059836.8</v>
      </c>
      <c r="V4" s="6">
        <v>5058681.92</v>
      </c>
      <c r="W4" s="6">
        <v>1569.7565</v>
      </c>
      <c r="X4" s="6">
        <v>763954.304</v>
      </c>
      <c r="Y4" s="6">
        <v>1051204.6000000001</v>
      </c>
      <c r="Z4" s="6">
        <v>2777.8894</v>
      </c>
      <c r="AA4" s="6">
        <v>658428.54399999999</v>
      </c>
      <c r="AB4" s="6">
        <v>420911.26400000002</v>
      </c>
      <c r="AC4" s="6">
        <v>2113427.04</v>
      </c>
      <c r="AD4" s="6">
        <v>2342878.8629999999</v>
      </c>
      <c r="AE4" s="6">
        <v>12555.076800000001</v>
      </c>
      <c r="AF4" s="6">
        <v>854679.16799999995</v>
      </c>
      <c r="AG4" s="6">
        <v>1360.2750000000001</v>
      </c>
      <c r="AH4" s="6">
        <v>129018.728</v>
      </c>
      <c r="AI4" s="6">
        <v>14438.678400000001</v>
      </c>
      <c r="AJ4" s="6">
        <v>145249.264</v>
      </c>
      <c r="AK4" s="6">
        <v>104836.208</v>
      </c>
      <c r="AL4" s="6">
        <v>327999.15999999997</v>
      </c>
      <c r="AM4" s="6">
        <v>970.12300000000005</v>
      </c>
      <c r="AN4" s="6">
        <v>253.6</v>
      </c>
      <c r="AO4" s="6">
        <v>7.3</v>
      </c>
      <c r="AP4" s="6">
        <v>118548</v>
      </c>
      <c r="AQ4" s="6">
        <v>42271</v>
      </c>
      <c r="AR4" s="6">
        <v>41727</v>
      </c>
      <c r="AS4" s="6">
        <v>32307</v>
      </c>
      <c r="AT4" s="6">
        <v>22056</v>
      </c>
      <c r="AU4" s="6">
        <v>14784</v>
      </c>
      <c r="AV4" s="6">
        <v>5847</v>
      </c>
      <c r="AW4" s="6">
        <v>20.681042000000001</v>
      </c>
      <c r="AX4" s="50">
        <v>7142.9120000000003</v>
      </c>
      <c r="AY4" s="6">
        <v>674.19312000000002</v>
      </c>
      <c r="AZ4" s="6">
        <v>20.788</v>
      </c>
      <c r="BA4" s="6">
        <v>9667.0869999999995</v>
      </c>
      <c r="BB4" s="6">
        <v>43.122999999999998</v>
      </c>
      <c r="BC4" s="6">
        <v>113969.24800000001</v>
      </c>
      <c r="BD4" s="6">
        <v>274234.68800000002</v>
      </c>
      <c r="BE4" s="6">
        <v>3682.5315999999998</v>
      </c>
      <c r="BF4" s="6">
        <v>1712.0419999999999</v>
      </c>
      <c r="BG4" s="6">
        <v>73.975999999999999</v>
      </c>
      <c r="BH4" s="6">
        <v>352.43900000000002</v>
      </c>
      <c r="BI4" s="6">
        <v>898.44299999999998</v>
      </c>
      <c r="BJ4" s="6">
        <v>13.029</v>
      </c>
      <c r="BK4" s="6">
        <v>553.83500000000004</v>
      </c>
      <c r="BL4" s="6">
        <v>68101.343999999997</v>
      </c>
      <c r="BM4" s="6">
        <v>291324.54399999999</v>
      </c>
      <c r="BN4" s="6">
        <v>7101.7376000000004</v>
      </c>
      <c r="BO4" s="6">
        <v>53497.504000000001</v>
      </c>
      <c r="BP4" s="6">
        <v>309644.03200000001</v>
      </c>
      <c r="BQ4" s="6">
        <v>318.017</v>
      </c>
      <c r="BR4" s="6">
        <v>177.24</v>
      </c>
      <c r="BS4" s="6">
        <v>969742.04799999995</v>
      </c>
      <c r="BT4" s="6">
        <v>1400449.11</v>
      </c>
      <c r="BU4" s="6">
        <v>621509.31200000003</v>
      </c>
      <c r="BV4" s="6">
        <v>1006539.12</v>
      </c>
      <c r="BW4" s="6">
        <v>560649.53599999996</v>
      </c>
      <c r="BX4" s="6">
        <v>910044.67200000002</v>
      </c>
      <c r="BY4" s="6">
        <v>155992.72</v>
      </c>
      <c r="BZ4" s="6">
        <v>114027.08</v>
      </c>
      <c r="CA4" s="6">
        <v>0</v>
      </c>
      <c r="CB4" s="6">
        <v>106674.28</v>
      </c>
      <c r="CC4" s="6">
        <v>146462.94399999999</v>
      </c>
      <c r="CD4" s="6">
        <v>440205.152</v>
      </c>
      <c r="CE4" s="6">
        <v>49125.260799999996</v>
      </c>
      <c r="CF4" s="6">
        <v>155111.24799999999</v>
      </c>
      <c r="CG4" s="6">
        <v>360734.56</v>
      </c>
      <c r="CH4" s="6">
        <v>2385.87</v>
      </c>
      <c r="CI4" s="6">
        <v>209.28299999999999</v>
      </c>
      <c r="CJ4" s="6">
        <v>1165.4000000000001</v>
      </c>
      <c r="CK4" s="6">
        <v>76.367999999999995</v>
      </c>
      <c r="CL4" s="6">
        <v>715.50099999999998</v>
      </c>
      <c r="CM4" s="6">
        <v>551.4</v>
      </c>
      <c r="CN4" s="6">
        <v>30708</v>
      </c>
      <c r="CO4" s="6">
        <v>1618.6959999999999</v>
      </c>
      <c r="CP4" s="6">
        <v>289082.07400000002</v>
      </c>
      <c r="CQ4" s="6">
        <v>3644047.3599999999</v>
      </c>
      <c r="CR4" s="6">
        <v>128770.728</v>
      </c>
      <c r="CS4" s="6">
        <v>503128.32000000001</v>
      </c>
      <c r="CT4" s="6">
        <v>2819246.82</v>
      </c>
      <c r="CU4" s="6">
        <v>289238.533</v>
      </c>
      <c r="CV4" s="6">
        <v>30102.2624</v>
      </c>
      <c r="CW4" s="6">
        <v>61901.094400000002</v>
      </c>
      <c r="CX4" s="6">
        <v>33051.232000000004</v>
      </c>
      <c r="CY4" s="6">
        <v>163568.76800000001</v>
      </c>
      <c r="CZ4" s="6">
        <v>215414.486</v>
      </c>
      <c r="DA4" s="5">
        <v>17577.04</v>
      </c>
      <c r="DB4" s="6">
        <v>146745.93599999999</v>
      </c>
      <c r="DC4" s="6">
        <v>2828.18</v>
      </c>
      <c r="DD4" s="6">
        <v>2828.05</v>
      </c>
      <c r="DE4" s="6">
        <v>2850.11</v>
      </c>
      <c r="DF4" s="6">
        <v>0.997</v>
      </c>
      <c r="DG4" s="1" t="s">
        <v>113</v>
      </c>
      <c r="DH4" s="4">
        <f>Table2[[#This Row],[Date]]</f>
        <v>46202</v>
      </c>
      <c r="DI4">
        <f>(DD5-Table2[[#This Row],[MWH Total]])*4000</f>
        <v>21840.000000000146</v>
      </c>
      <c r="DJ4">
        <f>(DA5-Table2[[#This Row],[PNG Meter (Outside)]])*2.936</f>
        <v>4.4039999999999999</v>
      </c>
      <c r="DK4">
        <f>(DB5-Table2[[#This Row],[PNG Meter (Inside)]])*2.936</f>
        <v>314.86544800004918</v>
      </c>
      <c r="DL4">
        <f>(BH5-Table2[[#This Row],[3F Dough cooler - 2 ]])*1000</f>
        <v>311.99999999995498</v>
      </c>
      <c r="DM4">
        <f>(BI5-Table2[[#This Row],[3F Dough Cooler- 1]])*1000</f>
        <v>486.99999999996635</v>
      </c>
      <c r="DN4">
        <f>(BJ5-Table2[[#This Row],[4F Dough Production cooling Unit]])*1000</f>
        <v>51.999999999999602</v>
      </c>
      <c r="DO4">
        <f>(BQ5-Table2[[#This Row],[3F2 - PDB 3 - Dough Production Area]])*1000</f>
        <v>189.00000000002137</v>
      </c>
      <c r="DP4">
        <f>(BR5-Table2[[#This Row],[3F3 - PDB 4 - Dough Area]])*1000</f>
        <v>102.99999999998022</v>
      </c>
      <c r="DQ4">
        <f>AC5-Table2[[#This Row],[16F1 Tray washer Panel for Light]]</f>
        <v>652.47999999998137</v>
      </c>
      <c r="DR4">
        <f>CQ5-Table2[[#This Row],[2F1 Tray Washer - 1]]</f>
        <v>1118.7200000002049</v>
      </c>
      <c r="DS4">
        <f>CS5-Table2[[#This Row],[2F5 Destacker]]</f>
        <v>322.27199999999721</v>
      </c>
      <c r="DT4">
        <f>CU5-Table2[[#This Row],[5F1 Metering (TW-2)]]</f>
        <v>374.75400000001537</v>
      </c>
      <c r="DU4">
        <f>CV5-Table2[[#This Row],[6F1 Pre soaker Tray washer]]</f>
        <v>0</v>
      </c>
      <c r="DV4">
        <f>CZ5-Table2[[#This Row],[6F5 Vent tray Storage]]</f>
        <v>127.8179999999993</v>
      </c>
      <c r="DW4">
        <f>I5-Table2[[#This Row],[Popeyes Meter ]]</f>
        <v>70.470000000000255</v>
      </c>
      <c r="DX4">
        <f>AZ5-Table2[[#This Row],[2F WH Chiller, Segregation Area]]</f>
        <v>0</v>
      </c>
      <c r="DY4">
        <f>BA5-Table2[[#This Row],[3F1 AC Unit WH dock cooling - 2 Nos]]</f>
        <v>25.600000000000364</v>
      </c>
      <c r="DZ4">
        <f>BB5-Table2[[#This Row],[3F2 AC Unit WH dock cooling - 3 Nos]]</f>
        <v>5.4999999999999716E-2</v>
      </c>
      <c r="EA4">
        <f>(BK5-Table2[[#This Row],[5F WH Perishable]])*1000</f>
        <v>317.99999999998363</v>
      </c>
      <c r="EB4">
        <f>BN5-Table2[[#This Row],[2F3 - PDB 9 - WH Dock Leveler Door ]]</f>
        <v>1.6927999999998065</v>
      </c>
      <c r="EC4">
        <f>BP5-Table2[[#This Row],[3F1 - PDB 5 - WH HSD]]</f>
        <v>111.55199999996694</v>
      </c>
      <c r="ED4">
        <f>BX5-Table2[[#This Row],[8F1 WH Dock AHU - Ventilation]]</f>
        <v>0</v>
      </c>
      <c r="EE4">
        <f>BZ5-Table2[[#This Row],[8F3 ACPDB - 4 WH Dock air curtain]]</f>
        <v>18.959999999991851</v>
      </c>
      <c r="EF4">
        <f>CA5-Table2[[#This Row],[8F4 WH Light]]</f>
        <v>0</v>
      </c>
      <c r="EG4">
        <f>CC5-Table2[[#This Row],[9F1 - PDB 10 - WH Dock door &amp; Office]]</f>
        <v>138.50200000000768</v>
      </c>
      <c r="EH4">
        <f>CD5-Table2[[#This Row],[9F2 - PDB 11 - WH flycatchers]]</f>
        <v>233.63199999998324</v>
      </c>
      <c r="EI4">
        <f>CE5-Table2[[#This Row],[9F3 - PDB 12 - Other items]]</f>
        <v>0</v>
      </c>
      <c r="EJ4">
        <f>CR5-Table2[[#This Row],[2F3 - PDB 1 - Dock 1 to 4 ]]</f>
        <v>83.103999999992084</v>
      </c>
      <c r="EK4">
        <f>BM5-Table2[[#This Row],[2F2 - PDB 3 - WH Truck &amp; Battery Charging]]</f>
        <v>618.91200000001118</v>
      </c>
      <c r="EL4">
        <f>(CK5-Table2[[#This Row],[PDB - 11 Truck Charging]])*1000</f>
        <v>56.000000000011596</v>
      </c>
      <c r="EM4">
        <f>P5-Table2[[#This Row],[5F3 Admin Area]]</f>
        <v>419.13600000005681</v>
      </c>
      <c r="EN4">
        <f>AH5-Table2[[#This Row],[2F5 Main Gate-1 Piller -1]]</f>
        <v>153.23999999999069</v>
      </c>
      <c r="EO4">
        <f>CW5-Table2[[#This Row],[6F2 Ground Floor AC]]</f>
        <v>35.583999999995285</v>
      </c>
      <c r="EP4">
        <f>CX5-Table2[[#This Row],[6F3 ACBD -1 (First floor AC)]]</f>
        <v>24.531199999997625</v>
      </c>
      <c r="EQ4">
        <f>CY5-Table2[[#This Row],[6F4 ACBD - 2 (Second &amp; Third floor AC)]]</f>
        <v>143.11999999999534</v>
      </c>
      <c r="ER4">
        <f>(BC5-Table2[[#This Row],[4F Old BMC cooling Unit]])</f>
        <v>0.23199999998905696</v>
      </c>
      <c r="ES4">
        <f>BO5-Table2[[#This Row],[2F4 - Old BMC]]</f>
        <v>1.5999999995983671E-2</v>
      </c>
      <c r="ET4">
        <f>Y5-Table2[[#This Row],[14F2 New CK]]</f>
        <v>650.11999999987893</v>
      </c>
      <c r="EU4">
        <f>(CL5-Table2[[#This Row],[OLD Ck Panel-1]])*1000</f>
        <v>574.00000000006912</v>
      </c>
      <c r="EV4">
        <f>CM5-Table2[[#This Row],[2F4 Old CK Blast (Blue star)]]</f>
        <v>0</v>
      </c>
      <c r="EW4">
        <f>CN5-Table2[[#This Row],[3F6 Old CK Blast (Carrier)]]</f>
        <v>749.09999999999854</v>
      </c>
      <c r="EX4">
        <f>(CO5-Table2[[#This Row],[Old CK Panel -2]])*1000</f>
        <v>1056.00000000004</v>
      </c>
      <c r="EY4">
        <f>N5-Table2[[#This Row],[4F1 Main UPS 1/C -1]]</f>
        <v>886.55999999982305</v>
      </c>
      <c r="EZ4">
        <f>Z5-Table2[[#This Row],[15F1 Main UPS Panel - I/C - 2]]</f>
        <v>0</v>
      </c>
      <c r="FA4">
        <f>BF5-Table2[[#This Row],[2F CLC -1 AC unit - 2]]</f>
        <v>0</v>
      </c>
      <c r="FB4">
        <f>(BG5-Table2[[#This Row],[2F CLC Anti room]])*1000</f>
        <v>30.000000000001137</v>
      </c>
      <c r="FC4">
        <f>BW5-Table2[[#This Row],[7F3 CLC Power Panel]]</f>
        <v>250.23999999999069</v>
      </c>
      <c r="FD4">
        <f>(CI5-Table2[[#This Row],[PDB - 17 CLC Section ]])*1000</f>
        <v>176.00000000001614</v>
      </c>
      <c r="FE4">
        <f>(W5-Table2[[#This Row],[13F3 Water &amp; Lift Old CK]])*1000</f>
        <v>634.40000000014152</v>
      </c>
      <c r="FF4">
        <f>AA5-Table2[[#This Row],[15F2 New ETP Panel]]</f>
        <v>294.33600000001024</v>
      </c>
      <c r="FG4">
        <f>AL5-Table2[[#This Row],[3F4 Old ETP Panel]]</f>
        <v>57.704000000027008</v>
      </c>
      <c r="FH4">
        <f>AF5-Table2[[#This Row],[2F1 RO Plant]]</f>
        <v>604.35200000007171</v>
      </c>
      <c r="FI4">
        <f>AK5-Table2[[#This Row],[3F3 Fire Hydrant Panel]]</f>
        <v>11.152000000001863</v>
      </c>
      <c r="FJ4">
        <f>R5-Table2[[#This Row],[7F1 Freon System Panel]]</f>
        <v>3952.6399999996647</v>
      </c>
      <c r="FK4">
        <f>(AE5-Table2[[#This Row],[21F1 Refrigeration Ammonia]])*1000</f>
        <v>7523.9999999994325</v>
      </c>
      <c r="FL4">
        <f>(AG5-Table2[[#This Row],[2F3 Air Compressor]])*1000</f>
        <v>1032.9999999999018</v>
      </c>
      <c r="FM4">
        <f>(AX5-Table2[[#This Row],[Solar Reading Panel II]])*1000</f>
        <v>2849.9999999994543</v>
      </c>
      <c r="FN4">
        <f>AI5-Table2[[#This Row],[3F1 Maintenance Workshop]]</f>
        <v>6.438399999999092</v>
      </c>
      <c r="FO4">
        <f>BD5-Table2[[#This Row],[4F B2B unit ]]</f>
        <v>21.535999999963678</v>
      </c>
      <c r="FP4">
        <f>BL5-Table2[[#This Row],[2F1 - PDB 6 - Bread, B2B section]]</f>
        <v>2.5400000000081491</v>
      </c>
      <c r="FQ4">
        <f>(CG5-Table2[[#This Row],[9F5 - PDB 14 - Bread Lift]])</f>
        <v>0.28800000000046566</v>
      </c>
      <c r="FR4">
        <f>CJ5-Table2[[#This Row],[PDB - 16 Bread Section]]</f>
        <v>0</v>
      </c>
      <c r="FS4">
        <f>BU5-Table2[[#This Row],[7F1 Donut Production area]]</f>
        <v>231.48800000001211</v>
      </c>
      <c r="FT4">
        <f>CB5-Table2[[#This Row],[8F5 Donut Ban Bary]]</f>
        <v>77.711999999999534</v>
      </c>
      <c r="FU4">
        <f>CF5-Table2[[#This Row],[9F4 - PDB 13 - Donut Sink Geyser area]]</f>
        <v>16</v>
      </c>
      <c r="FV4">
        <f>BV5-Table2[[#This Row],[7F2 Flour Silo]]</f>
        <v>373.35999999998603</v>
      </c>
      <c r="FW4">
        <f>BY5-Table2[[#This Row],[8F2 ACPDB - 3 SILO Ventilation]]</f>
        <v>49.391999999992549</v>
      </c>
      <c r="FX4">
        <f>J5-Table2[[#This Row],[DG 1010KVA Running Hours]]</f>
        <v>0</v>
      </c>
      <c r="FY4">
        <f>K5-Table2[[#This Row],[DG 1010 KVA Meter Reading]]</f>
        <v>0</v>
      </c>
      <c r="FZ4">
        <f>L5-Table2[[#This Row],[GG 1010 KVA Running Hours]]</f>
        <v>0</v>
      </c>
      <c r="GA4">
        <f>M5-Table2[[#This Row],[GG 1010 KVA Meter Reading]]</f>
        <v>0</v>
      </c>
    </row>
    <row r="5" spans="1:183" x14ac:dyDescent="0.35">
      <c r="A5" s="1">
        <v>7</v>
      </c>
      <c r="B5" s="2">
        <v>46203.384236111102</v>
      </c>
      <c r="C5" s="2">
        <v>46203.412881944401</v>
      </c>
      <c r="D5" s="1" t="s">
        <v>111</v>
      </c>
      <c r="E5" s="1"/>
      <c r="F5" s="1"/>
      <c r="G5" s="3">
        <v>46203</v>
      </c>
      <c r="H5" s="1" t="s">
        <v>112</v>
      </c>
      <c r="I5" s="6">
        <v>5178.2120000000004</v>
      </c>
      <c r="J5" s="6">
        <v>4245.2</v>
      </c>
      <c r="K5" s="6">
        <v>1764267</v>
      </c>
      <c r="L5" s="6">
        <v>427</v>
      </c>
      <c r="M5" s="6">
        <v>177.61</v>
      </c>
      <c r="N5" s="6">
        <v>1837155.68</v>
      </c>
      <c r="O5" s="6">
        <v>4537246.4000000004</v>
      </c>
      <c r="P5" s="6">
        <v>632176.83200000005</v>
      </c>
      <c r="Q5" s="6">
        <v>7995491.2000000002</v>
      </c>
      <c r="R5" s="6">
        <v>5350298.5599999996</v>
      </c>
      <c r="S5" s="6">
        <v>7252523.5199999996</v>
      </c>
      <c r="T5" s="6">
        <v>42356561.044</v>
      </c>
      <c r="U5" s="6">
        <v>2060892.1599999999</v>
      </c>
      <c r="V5" s="6">
        <v>5059988.4800000004</v>
      </c>
      <c r="W5" s="6">
        <v>1570.3909000000001</v>
      </c>
      <c r="X5" s="6">
        <v>764332.99199999997</v>
      </c>
      <c r="Y5" s="6">
        <v>1051854.72</v>
      </c>
      <c r="Z5" s="6">
        <v>2777.8894</v>
      </c>
      <c r="AA5" s="6">
        <v>658722.88</v>
      </c>
      <c r="AB5" s="6">
        <v>420920.25599999999</v>
      </c>
      <c r="AC5" s="6">
        <v>2114079.52</v>
      </c>
      <c r="AD5" s="6">
        <v>235133.91</v>
      </c>
      <c r="AE5" s="6">
        <v>12562.6008</v>
      </c>
      <c r="AF5" s="6">
        <v>855283.52</v>
      </c>
      <c r="AG5" s="6">
        <v>1361.308</v>
      </c>
      <c r="AH5" s="6">
        <v>129171.96799999999</v>
      </c>
      <c r="AI5" s="6">
        <v>14445.1168</v>
      </c>
      <c r="AJ5" s="6">
        <v>145255.024</v>
      </c>
      <c r="AK5" s="6">
        <v>104847.36</v>
      </c>
      <c r="AL5" s="6">
        <v>328056.864</v>
      </c>
      <c r="AM5" s="6">
        <v>970.66399999999999</v>
      </c>
      <c r="AN5" s="6">
        <v>211.3</v>
      </c>
      <c r="AO5" s="6">
        <v>6.9</v>
      </c>
      <c r="AP5" s="6">
        <v>127729</v>
      </c>
      <c r="AQ5" s="6">
        <v>42271</v>
      </c>
      <c r="AR5" s="6">
        <v>41727</v>
      </c>
      <c r="AS5" s="6">
        <v>32307</v>
      </c>
      <c r="AT5" s="6">
        <v>22056</v>
      </c>
      <c r="AU5" s="6">
        <v>14808</v>
      </c>
      <c r="AV5" s="6">
        <v>5864</v>
      </c>
      <c r="AW5" s="6">
        <v>20.688365999999998</v>
      </c>
      <c r="AX5" s="50">
        <v>7145.7619999999997</v>
      </c>
      <c r="AY5" s="6">
        <v>674.3356</v>
      </c>
      <c r="AZ5" s="6">
        <v>20.788</v>
      </c>
      <c r="BA5" s="6">
        <v>9692.6869999999999</v>
      </c>
      <c r="BB5" s="6">
        <v>43.177999999999997</v>
      </c>
      <c r="BC5" s="6">
        <v>113969.48</v>
      </c>
      <c r="BD5" s="6">
        <v>274256.22399999999</v>
      </c>
      <c r="BE5" s="6">
        <v>3683.6435999999999</v>
      </c>
      <c r="BF5" s="6">
        <v>1712.0419999999999</v>
      </c>
      <c r="BG5" s="6">
        <v>74.006</v>
      </c>
      <c r="BH5" s="6">
        <v>352.75099999999998</v>
      </c>
      <c r="BI5" s="6">
        <v>898.93</v>
      </c>
      <c r="BJ5" s="6">
        <v>13.081</v>
      </c>
      <c r="BK5" s="6">
        <v>554.15300000000002</v>
      </c>
      <c r="BL5" s="6">
        <v>68103.884000000005</v>
      </c>
      <c r="BM5" s="6">
        <v>291943.45600000001</v>
      </c>
      <c r="BN5" s="6">
        <v>7103.4304000000002</v>
      </c>
      <c r="BO5" s="6">
        <v>53497.52</v>
      </c>
      <c r="BP5" s="6">
        <v>309755.58399999997</v>
      </c>
      <c r="BQ5" s="6">
        <v>318.20600000000002</v>
      </c>
      <c r="BR5" s="6">
        <v>177.34299999999999</v>
      </c>
      <c r="BS5" s="6">
        <v>976879.68799999997</v>
      </c>
      <c r="BT5" s="6">
        <v>1400454.263</v>
      </c>
      <c r="BU5" s="6">
        <v>621740.80000000005</v>
      </c>
      <c r="BV5" s="6">
        <v>1006912.48</v>
      </c>
      <c r="BW5" s="6">
        <v>560899.77599999995</v>
      </c>
      <c r="BX5" s="6">
        <v>910044.67200000002</v>
      </c>
      <c r="BY5" s="6">
        <v>156042.11199999999</v>
      </c>
      <c r="BZ5" s="6">
        <v>114046.04</v>
      </c>
      <c r="CA5" s="6">
        <v>0</v>
      </c>
      <c r="CB5" s="6">
        <v>106751.992</v>
      </c>
      <c r="CC5" s="6">
        <v>146601.446</v>
      </c>
      <c r="CD5" s="6">
        <v>440438.78399999999</v>
      </c>
      <c r="CE5" s="6">
        <v>49125.260799999996</v>
      </c>
      <c r="CF5" s="6">
        <v>155127.24799999999</v>
      </c>
      <c r="CG5" s="6">
        <v>360734.848</v>
      </c>
      <c r="CH5" s="6">
        <v>2385.87</v>
      </c>
      <c r="CI5" s="6">
        <v>209.459</v>
      </c>
      <c r="CJ5" s="6">
        <v>1165.4000000000001</v>
      </c>
      <c r="CK5" s="6">
        <v>76.424000000000007</v>
      </c>
      <c r="CL5" s="6">
        <v>716.07500000000005</v>
      </c>
      <c r="CM5" s="6">
        <v>551.4</v>
      </c>
      <c r="CN5" s="6">
        <v>31457.1</v>
      </c>
      <c r="CO5" s="6">
        <v>1619.752</v>
      </c>
      <c r="CP5" s="6">
        <v>289238.86499999999</v>
      </c>
      <c r="CQ5" s="6">
        <v>3645166.08</v>
      </c>
      <c r="CR5" s="6">
        <v>128853.83199999999</v>
      </c>
      <c r="CS5" s="6">
        <v>503450.592</v>
      </c>
      <c r="CT5" s="6">
        <v>2822474.3229999999</v>
      </c>
      <c r="CU5" s="6">
        <v>289613.28700000001</v>
      </c>
      <c r="CV5" s="6">
        <v>30102.2624</v>
      </c>
      <c r="CW5" s="6">
        <v>61936.678399999997</v>
      </c>
      <c r="CX5" s="6">
        <v>33075.763200000001</v>
      </c>
      <c r="CY5" s="6">
        <v>163711.88800000001</v>
      </c>
      <c r="CZ5" s="6">
        <v>215542.304</v>
      </c>
      <c r="DA5" s="6">
        <v>17578.54</v>
      </c>
      <c r="DB5" s="6">
        <v>146853.179</v>
      </c>
      <c r="DC5" s="6">
        <v>2833.64</v>
      </c>
      <c r="DD5" s="6">
        <v>2833.51</v>
      </c>
      <c r="DE5" s="6">
        <v>2855.67</v>
      </c>
      <c r="DF5" s="6">
        <v>0.995</v>
      </c>
      <c r="DG5" s="1" t="s">
        <v>113</v>
      </c>
      <c r="DH5" s="4">
        <f>Table2[[#This Row],[Date]]</f>
        <v>46203</v>
      </c>
      <c r="DI5">
        <f>(DD6-Table2[[#This Row],[MWH Total]])*4000</f>
        <v>24519.999999998618</v>
      </c>
      <c r="DJ5">
        <f>(DA6-Table2[[#This Row],[PNG Meter (Outside)]])*2.936</f>
        <v>1.1743999999935912</v>
      </c>
      <c r="DK5">
        <f>(DB6-Table2[[#This Row],[PNG Meter (Inside)]])*2.936</f>
        <v>262.54299199997467</v>
      </c>
      <c r="DL5">
        <f>(BH6-Table2[[#This Row],[3F Dough cooler - 2 ]])*1000</f>
        <v>314.00000000002137</v>
      </c>
      <c r="DM5">
        <f>(BI6-Table2[[#This Row],[3F Dough Cooler- 1]])*1000</f>
        <v>487.00000000008004</v>
      </c>
      <c r="DN5">
        <f>(BJ6-Table2[[#This Row],[4F Dough Production cooling Unit]])*1000</f>
        <v>25.000000000000355</v>
      </c>
      <c r="DO5">
        <f>(BQ6-Table2[[#This Row],[3F2 - PDB 3 - Dough Production Area]])*1000</f>
        <v>185.99999999997863</v>
      </c>
      <c r="DP5">
        <f>(BR6-Table2[[#This Row],[3F3 - PDB 4 - Dough Area]])*1000</f>
        <v>98.000000000013188</v>
      </c>
      <c r="DQ5">
        <f>AC6-Table2[[#This Row],[16F1 Tray washer Panel for Light]]</f>
        <v>674.72000000020489</v>
      </c>
      <c r="DR5">
        <f>CQ6-Table2[[#This Row],[2F1 Tray Washer - 1]]</f>
        <v>1118.7199999997392</v>
      </c>
      <c r="DS5">
        <f>CS6-Table2[[#This Row],[2F5 Destacker]]</f>
        <v>319.48800000001211</v>
      </c>
      <c r="DT5">
        <f>CU6-Table2[[#This Row],[5F1 Metering (TW-2)]]</f>
        <v>366.27199999999721</v>
      </c>
      <c r="DU5">
        <f>CV6-Table2[[#This Row],[6F1 Pre soaker Tray washer]]</f>
        <v>3.8048000000017055</v>
      </c>
      <c r="DV5">
        <f>CZ6-Table2[[#This Row],[6F5 Vent tray Storage]]</f>
        <v>110</v>
      </c>
      <c r="DW5">
        <f>I6-Table2[[#This Row],[Popeyes Meter ]]</f>
        <v>37.309999999999491</v>
      </c>
      <c r="DX5">
        <f>AZ6-Table2[[#This Row],[2F WH Chiller, Segregation Area]]</f>
        <v>0</v>
      </c>
      <c r="DY5">
        <f>BA6-Table2[[#This Row],[3F1 AC Unit WH dock cooling - 2 Nos]]</f>
        <v>25.559999999999491</v>
      </c>
      <c r="DZ5">
        <f>BB6-Table2[[#This Row],[3F2 AC Unit WH dock cooling - 3 Nos]]</f>
        <v>5.6000000000004491E-2</v>
      </c>
      <c r="EA5">
        <f>(BK6-Table2[[#This Row],[5F WH Perishable]])*1000</f>
        <v>316.00000000003092</v>
      </c>
      <c r="EB5">
        <f>BN6-Table2[[#This Row],[2F3 - PDB 9 - WH Dock Leveler Door ]]</f>
        <v>1.8999999999996362</v>
      </c>
      <c r="EC5">
        <f>BP6-Table2[[#This Row],[3F1 - PDB 5 - WH HSD]]</f>
        <v>150.49600000004284</v>
      </c>
      <c r="ED5">
        <f>BX6-Table2[[#This Row],[8F1 WH Dock AHU - Ventilation]]</f>
        <v>5315.5840000000317</v>
      </c>
      <c r="EE5">
        <f>BZ6-Table2[[#This Row],[8F3 ACPDB - 4 WH Dock air curtain]]</f>
        <v>18.912000000011176</v>
      </c>
      <c r="EF5">
        <f>CA6-Table2[[#This Row],[8F4 WH Light]]</f>
        <v>1154.0123000000001</v>
      </c>
      <c r="EG5">
        <f>CC6-Table2[[#This Row],[9F1 - PDB 10 - WH Dock door &amp; Office]]</f>
        <v>131.06599999999162</v>
      </c>
      <c r="EH5">
        <f>CD6-Table2[[#This Row],[9F2 - PDB 11 - WH flycatchers]]</f>
        <v>171.67999999999302</v>
      </c>
      <c r="EI5">
        <f>CE6-Table2[[#This Row],[9F3 - PDB 12 - Other items]]</f>
        <v>0</v>
      </c>
      <c r="EJ5">
        <f>CR6-Table2[[#This Row],[2F3 - PDB 1 - Dock 1 to 4 ]]</f>
        <v>76.00800000000163</v>
      </c>
      <c r="EK5">
        <f>BM6-Table2[[#This Row],[2F2 - PDB 3 - WH Truck &amp; Battery Charging]]</f>
        <v>816.03200000000652</v>
      </c>
      <c r="EL5">
        <f>(CK6-Table2[[#This Row],[PDB - 11 Truck Charging]])*1000</f>
        <v>50.999999999987722</v>
      </c>
      <c r="EM5">
        <f>P6-Table2[[#This Row],[5F3 Admin Area]]</f>
        <v>413.0559999999823</v>
      </c>
      <c r="EN5">
        <f>AH6-Table2[[#This Row],[2F5 Main Gate-1 Piller -1]]</f>
        <v>152.3920000000071</v>
      </c>
      <c r="EO5">
        <f>CW6-Table2[[#This Row],[6F2 Ground Floor AC]]</f>
        <v>35.718400000005204</v>
      </c>
      <c r="EP5">
        <f>CX6-Table2[[#This Row],[6F3 ACBD -1 (First floor AC)]]</f>
        <v>24.288000000000466</v>
      </c>
      <c r="EQ5">
        <f>CY6-Table2[[#This Row],[6F4 ACBD - 2 (Second &amp; Third floor AC)]]</f>
        <v>152.06500000000233</v>
      </c>
      <c r="ER5">
        <f>(BC6-Table2[[#This Row],[4F Old BMC cooling Unit]])</f>
        <v>1.5599999999976717</v>
      </c>
      <c r="ES5">
        <f>BO6-Table2[[#This Row],[2F4 - Old BMC]]</f>
        <v>0.36800000000221189</v>
      </c>
      <c r="ET5">
        <f>Y6-Table2[[#This Row],[14F2 New CK]]</f>
        <v>612.56000000005588</v>
      </c>
      <c r="EU5">
        <f>(CL6-Table2[[#This Row],[OLD Ck Panel-1]])*1000</f>
        <v>623.99999999990996</v>
      </c>
      <c r="EV5">
        <f>CM6-Table2[[#This Row],[2F4 Old CK Blast (Blue star)]]</f>
        <v>0</v>
      </c>
      <c r="EW5">
        <f>CN6-Table2[[#This Row],[3F6 Old CK Blast (Carrier)]]</f>
        <v>30</v>
      </c>
      <c r="EX5">
        <f>(CO6-Table2[[#This Row],[Old CK Panel -2]])*1000</f>
        <v>1009.9999999999909</v>
      </c>
      <c r="EY5">
        <f>N6-Table2[[#This Row],[4F1 Main UPS 1/C -1]]</f>
        <v>876.47999999998137</v>
      </c>
      <c r="EZ5">
        <f>Z6-Table2[[#This Row],[15F1 Main UPS Panel - I/C - 2]]</f>
        <v>0</v>
      </c>
      <c r="FA5">
        <f>BF6-Table2[[#This Row],[2F CLC -1 AC unit - 2]]</f>
        <v>0</v>
      </c>
      <c r="FB5">
        <f>(BG6-Table2[[#This Row],[2F CLC Anti room]])*1000</f>
        <v>24.000000000000909</v>
      </c>
      <c r="FC5">
        <f>BW6-Table2[[#This Row],[7F3 CLC Power Panel]]</f>
        <v>216.76800000004005</v>
      </c>
      <c r="FD5">
        <f>(CI6-Table2[[#This Row],[PDB - 17 CLC Section ]])*1000</f>
        <v>151.00000000001046</v>
      </c>
      <c r="FE5">
        <f>(W6-Table2[[#This Row],[13F3 Water &amp; Lift Old CK]])*1000</f>
        <v>445.89999999993779</v>
      </c>
      <c r="FF5">
        <f>AA6-Table2[[#This Row],[15F2 New ETP Panel]]</f>
        <v>287.48800000001211</v>
      </c>
      <c r="FG5">
        <f>AL6-Table2[[#This Row],[3F4 Old ETP Panel]]</f>
        <v>70.368000000016764</v>
      </c>
      <c r="FH5">
        <f>AF6-Table2[[#This Row],[2F1 RO Plant]]</f>
        <v>641.72800000000279</v>
      </c>
      <c r="FI5">
        <f>AK6-Table2[[#This Row],[3F3 Fire Hydrant Panel]]</f>
        <v>11.168000000005122</v>
      </c>
      <c r="FJ5">
        <f>R6-Table2[[#This Row],[7F1 Freon System Panel]]</f>
        <v>4060.8000000007451</v>
      </c>
      <c r="FK5">
        <f>(AE6-Table2[[#This Row],[21F1 Refrigeration Ammonia]])*1000</f>
        <v>7995.1999999993859</v>
      </c>
      <c r="FL5">
        <f>(AG6-Table2[[#This Row],[2F3 Air Compressor]])*1000</f>
        <v>1041.9999999999163</v>
      </c>
      <c r="FM5">
        <f>(AX6-Table2[[#This Row],[Solar Reading Panel II]])*1000</f>
        <v>2550.0000000001819</v>
      </c>
      <c r="FN5">
        <f>AI6-Table2[[#This Row],[3F1 Maintenance Workshop]]</f>
        <v>6.5727999999999156</v>
      </c>
      <c r="FO5">
        <f>BD6-Table2[[#This Row],[4F B2B unit ]]</f>
        <v>50.048000000009779</v>
      </c>
      <c r="FP5">
        <f>BL6-Table2[[#This Row],[2F1 - PDB 6 - Bread, B2B section]]</f>
        <v>25.517599999991944</v>
      </c>
      <c r="FQ5">
        <f>(CG6-Table2[[#This Row],[9F5 - PDB 14 - Bread Lift]])</f>
        <v>4.1599999999743886</v>
      </c>
      <c r="FR5">
        <f>CJ6-Table2[[#This Row],[PDB - 16 Bread Section]]</f>
        <v>0</v>
      </c>
      <c r="FS5">
        <f>BU6-Table2[[#This Row],[7F1 Donut Production area]]</f>
        <v>217.72800000000279</v>
      </c>
      <c r="FT5">
        <f>CB6-Table2[[#This Row],[8F5 Donut Ban Bary]]</f>
        <v>58.968000000008033</v>
      </c>
      <c r="FU5">
        <f>CF6-Table2[[#This Row],[9F4 - PDB 13 - Donut Sink Geyser area]]</f>
        <v>14.224000000016531</v>
      </c>
      <c r="FV5">
        <f>BV6-Table2[[#This Row],[7F2 Flour Silo]]</f>
        <v>380</v>
      </c>
      <c r="FW5">
        <f>BY6-Table2[[#This Row],[8F2 ACPDB - 3 SILO Ventilation]]</f>
        <v>49.312000000005355</v>
      </c>
      <c r="FX5">
        <f>J6-Table2[[#This Row],[DG 1010KVA Running Hours]]</f>
        <v>0</v>
      </c>
      <c r="FY5">
        <f>K6-Table2[[#This Row],[DG 1010 KVA Meter Reading]]</f>
        <v>0</v>
      </c>
      <c r="FZ5">
        <f>L6-Table2[[#This Row],[GG 1010 KVA Running Hours]]</f>
        <v>0</v>
      </c>
      <c r="GA5">
        <f>M6-Table2[[#This Row],[GG 1010 KVA Meter Reading]]</f>
        <v>0</v>
      </c>
    </row>
    <row r="6" spans="1:183" x14ac:dyDescent="0.35">
      <c r="A6" s="1">
        <v>8</v>
      </c>
      <c r="B6" s="2">
        <v>46204.385613425897</v>
      </c>
      <c r="C6" s="2">
        <v>46204.407662037003</v>
      </c>
      <c r="D6" s="1" t="s">
        <v>111</v>
      </c>
      <c r="E6" s="1"/>
      <c r="F6" s="1"/>
      <c r="G6" s="3">
        <v>46204</v>
      </c>
      <c r="H6" s="1" t="s">
        <v>112</v>
      </c>
      <c r="I6" s="6">
        <v>5215.5219999999999</v>
      </c>
      <c r="J6" s="6">
        <v>4245.2</v>
      </c>
      <c r="K6" s="6">
        <v>1764267</v>
      </c>
      <c r="L6" s="6">
        <v>427</v>
      </c>
      <c r="M6" s="6">
        <v>177.61</v>
      </c>
      <c r="N6" s="6">
        <v>1838032.16</v>
      </c>
      <c r="O6" s="6">
        <v>4539050.88</v>
      </c>
      <c r="P6" s="6">
        <v>632589.88800000004</v>
      </c>
      <c r="Q6" s="6">
        <v>7997456.6399999997</v>
      </c>
      <c r="R6" s="6">
        <v>5354359.3600000003</v>
      </c>
      <c r="S6" s="6">
        <v>7255693.4400000004</v>
      </c>
      <c r="T6" s="6">
        <v>370296.353</v>
      </c>
      <c r="U6" s="6">
        <v>2062242.72</v>
      </c>
      <c r="V6" s="6">
        <v>5061232</v>
      </c>
      <c r="W6" s="6">
        <v>1570.8368</v>
      </c>
      <c r="X6" s="6">
        <v>764700.41599999997</v>
      </c>
      <c r="Y6" s="6">
        <v>1052467.28</v>
      </c>
      <c r="Z6" s="6">
        <v>2777.8894</v>
      </c>
      <c r="AA6" s="6">
        <v>659010.36800000002</v>
      </c>
      <c r="AB6" s="6">
        <v>420931.00799999997</v>
      </c>
      <c r="AC6" s="6">
        <v>2114754.2400000002</v>
      </c>
      <c r="AD6" s="6">
        <v>2359852.7200000002</v>
      </c>
      <c r="AE6" s="6">
        <v>12570.596</v>
      </c>
      <c r="AF6" s="6">
        <v>855925.24800000002</v>
      </c>
      <c r="AG6" s="6">
        <v>1362.35</v>
      </c>
      <c r="AH6" s="6">
        <v>129324.36</v>
      </c>
      <c r="AI6" s="6">
        <v>14451.6896</v>
      </c>
      <c r="AJ6" s="6">
        <v>145259.40900000001</v>
      </c>
      <c r="AK6" s="6">
        <v>104858.52800000001</v>
      </c>
      <c r="AL6" s="6">
        <v>328127.23200000002</v>
      </c>
      <c r="AM6" s="6">
        <v>971.44899999999996</v>
      </c>
      <c r="AN6" s="6">
        <v>195.1</v>
      </c>
      <c r="AO6" s="6">
        <v>6.8</v>
      </c>
      <c r="AP6" s="6">
        <v>137055</v>
      </c>
      <c r="AQ6" s="6">
        <v>42271</v>
      </c>
      <c r="AR6" s="6">
        <v>41726</v>
      </c>
      <c r="AS6" s="6">
        <v>32307</v>
      </c>
      <c r="AT6" s="6">
        <v>22056</v>
      </c>
      <c r="AU6" s="6">
        <v>14832</v>
      </c>
      <c r="AV6" s="6">
        <v>5881</v>
      </c>
      <c r="AW6" s="6">
        <v>20.696202</v>
      </c>
      <c r="AX6" s="50">
        <v>7148.3119999999999</v>
      </c>
      <c r="AY6" s="6">
        <v>674.49032</v>
      </c>
      <c r="AZ6" s="6">
        <v>20.788</v>
      </c>
      <c r="BA6" s="6">
        <v>9718.2469999999994</v>
      </c>
      <c r="BB6" s="6">
        <v>43.234000000000002</v>
      </c>
      <c r="BC6" s="6">
        <v>113971.04</v>
      </c>
      <c r="BD6" s="6">
        <v>274306.272</v>
      </c>
      <c r="BE6" s="6">
        <v>3684.7271999999998</v>
      </c>
      <c r="BF6" s="6">
        <v>1712.0419999999999</v>
      </c>
      <c r="BG6" s="6">
        <v>74.03</v>
      </c>
      <c r="BH6" s="6">
        <v>353.065</v>
      </c>
      <c r="BI6" s="6">
        <v>899.41700000000003</v>
      </c>
      <c r="BJ6" s="6">
        <v>13.106</v>
      </c>
      <c r="BK6" s="6">
        <v>554.46900000000005</v>
      </c>
      <c r="BL6" s="6">
        <v>68129.401599999997</v>
      </c>
      <c r="BM6" s="6">
        <v>292759.48800000001</v>
      </c>
      <c r="BN6" s="6">
        <v>7105.3303999999998</v>
      </c>
      <c r="BO6" s="6">
        <v>53497.887999999999</v>
      </c>
      <c r="BP6" s="6">
        <v>309906.08</v>
      </c>
      <c r="BQ6" s="6">
        <v>318.392</v>
      </c>
      <c r="BR6" s="6">
        <v>177.441</v>
      </c>
      <c r="BS6" s="6">
        <v>9721753.8819999993</v>
      </c>
      <c r="BT6" s="6">
        <v>1400455.7</v>
      </c>
      <c r="BU6" s="6">
        <v>621958.52800000005</v>
      </c>
      <c r="BV6" s="6">
        <v>1007292.48</v>
      </c>
      <c r="BW6" s="6">
        <v>561116.54399999999</v>
      </c>
      <c r="BX6" s="6">
        <v>915360.25600000005</v>
      </c>
      <c r="BY6" s="6">
        <v>156091.424</v>
      </c>
      <c r="BZ6" s="6">
        <v>114064.952</v>
      </c>
      <c r="CA6" s="6">
        <v>1154.0123000000001</v>
      </c>
      <c r="CB6" s="6">
        <v>106810.96</v>
      </c>
      <c r="CC6" s="6">
        <v>146732.51199999999</v>
      </c>
      <c r="CD6" s="6">
        <v>440610.46399999998</v>
      </c>
      <c r="CE6" s="6">
        <v>49125.260799999996</v>
      </c>
      <c r="CF6" s="6">
        <v>155141.47200000001</v>
      </c>
      <c r="CG6" s="6">
        <v>360739.00799999997</v>
      </c>
      <c r="CH6" s="6">
        <v>2385.8710000000001</v>
      </c>
      <c r="CI6" s="6">
        <v>209.61</v>
      </c>
      <c r="CJ6" s="6">
        <v>1165.4000000000001</v>
      </c>
      <c r="CK6" s="6">
        <v>76.474999999999994</v>
      </c>
      <c r="CL6" s="6">
        <v>716.69899999999996</v>
      </c>
      <c r="CM6" s="6">
        <v>551.4</v>
      </c>
      <c r="CN6" s="6">
        <v>31487.1</v>
      </c>
      <c r="CO6" s="6">
        <v>1620.7619999999999</v>
      </c>
      <c r="CP6" s="6">
        <v>289406.06</v>
      </c>
      <c r="CQ6" s="6">
        <v>3646284.8</v>
      </c>
      <c r="CR6" s="6">
        <v>128929.84</v>
      </c>
      <c r="CS6" s="6">
        <v>503770.08</v>
      </c>
      <c r="CT6" s="6">
        <v>2825657.7760000001</v>
      </c>
      <c r="CU6" s="6">
        <v>289979.55900000001</v>
      </c>
      <c r="CV6" s="6">
        <v>30106.067200000001</v>
      </c>
      <c r="CW6" s="6">
        <v>61972.396800000002</v>
      </c>
      <c r="CX6" s="6">
        <v>33100.051200000002</v>
      </c>
      <c r="CY6" s="6">
        <v>163863.95300000001</v>
      </c>
      <c r="CZ6" s="6">
        <v>215652.304</v>
      </c>
      <c r="DA6" s="6">
        <v>17578.939999999999</v>
      </c>
      <c r="DB6" s="6">
        <v>146942.601</v>
      </c>
      <c r="DC6" s="6">
        <v>2839.77</v>
      </c>
      <c r="DD6" s="6">
        <v>2839.64</v>
      </c>
      <c r="DE6" s="6">
        <v>2861.89</v>
      </c>
      <c r="DF6" s="6">
        <v>0.98899999999999999</v>
      </c>
      <c r="DG6" s="1" t="s">
        <v>113</v>
      </c>
      <c r="DH6" s="4">
        <f>Table2[[#This Row],[Date]]</f>
        <v>46204</v>
      </c>
      <c r="DI6">
        <f>(DD7-Table2[[#This Row],[MWH Total]])*4000</f>
        <v>24560.00000000131</v>
      </c>
      <c r="DJ6">
        <f>(DA7-Table2[[#This Row],[PNG Meter (Outside)]])*2.936</f>
        <v>1.468</v>
      </c>
      <c r="DK6">
        <f>(DB7-Table2[[#This Row],[PNG Meter (Inside)]])*2.936</f>
        <v>265.57588000004785</v>
      </c>
      <c r="DL6">
        <f>(BH7-Table2[[#This Row],[3F Dough cooler - 2 ]])*1000</f>
        <v>276.00000000001046</v>
      </c>
      <c r="DM6">
        <f>(BI7-Table2[[#This Row],[3F Dough Cooler- 1]])*1000</f>
        <v>491.9999999999618</v>
      </c>
      <c r="DN6">
        <f>(BJ7-Table2[[#This Row],[4F Dough Production cooling Unit]])*1000</f>
        <v>54.00000000000027</v>
      </c>
      <c r="DO6">
        <f>(BQ7-Table2[[#This Row],[3F2 - PDB 3 - Dough Production Area]])*1000</f>
        <v>250</v>
      </c>
      <c r="DP6">
        <f>(BR7-Table2[[#This Row],[3F3 - PDB 4 - Dough Area]])*1000</f>
        <v>128.99999999999068</v>
      </c>
      <c r="DQ6">
        <f>AC7-Table2[[#This Row],[16F1 Tray washer Panel for Light]]</f>
        <v>674.07999999960884</v>
      </c>
      <c r="DR6">
        <f>CQ7-Table2[[#This Row],[2F1 Tray Washer - 1]]</f>
        <v>1272</v>
      </c>
      <c r="DS6">
        <f>CS7-Table2[[#This Row],[2F5 Destacker]]</f>
        <v>387.8399999999674</v>
      </c>
      <c r="DT6">
        <f>CU7-Table2[[#This Row],[5F1 Metering (TW-2)]]</f>
        <v>245.34700000000885</v>
      </c>
      <c r="DU6">
        <f>CV7-Table2[[#This Row],[6F1 Pre soaker Tray washer]]</f>
        <v>2.3655999999973574</v>
      </c>
      <c r="DV6">
        <f>CZ7-Table2[[#This Row],[6F5 Vent tray Storage]]</f>
        <v>48.495999999984633</v>
      </c>
      <c r="DW6">
        <f>I7-Table2[[#This Row],[Popeyes Meter ]]</f>
        <v>68.960000000000036</v>
      </c>
      <c r="DX6">
        <f>AZ7-Table2[[#This Row],[2F WH Chiller, Segregation Area]]</f>
        <v>0</v>
      </c>
      <c r="DY6">
        <f>BA7-Table2[[#This Row],[3F1 AC Unit WH dock cooling - 2 Nos]]</f>
        <v>19.480000000001382</v>
      </c>
      <c r="DZ6">
        <f>BB7-Table2[[#This Row],[3F2 AC Unit WH dock cooling - 3 Nos]]</f>
        <v>4.9999999999997158E-2</v>
      </c>
      <c r="EA6">
        <f>(BK7-Table2[[#This Row],[5F WH Perishable]])*1000</f>
        <v>322.00000000000273</v>
      </c>
      <c r="EB6">
        <f>BN7-Table2[[#This Row],[2F3 - PDB 9 - WH Dock Leveler Door ]]</f>
        <v>2.0376000000005661</v>
      </c>
      <c r="EC6">
        <f>BP7-Table2[[#This Row],[3F1 - PDB 5 - WH HSD]]</f>
        <v>160.73599999997532</v>
      </c>
      <c r="ED6">
        <f>BX7-Table2[[#This Row],[8F1 WH Dock AHU - Ventilation]]</f>
        <v>3640.0639999998966</v>
      </c>
      <c r="EE6">
        <f>BZ7-Table2[[#This Row],[8F3 ACPDB - 4 WH Dock air curtain]]</f>
        <v>20.711999999999534</v>
      </c>
      <c r="EF6">
        <f>CA7-Table2[[#This Row],[8F4 WH Light]]</f>
        <v>2.8304999999998017</v>
      </c>
      <c r="EG6">
        <f>CC7-Table2[[#This Row],[9F1 - PDB 10 - WH Dock door &amp; Office]]</f>
        <v>106.67200000002049</v>
      </c>
      <c r="EH6">
        <f>CD7-Table2[[#This Row],[9F2 - PDB 11 - WH flycatchers]]</f>
        <v>184.99200000002747</v>
      </c>
      <c r="EI6">
        <f>CE7-Table2[[#This Row],[9F3 - PDB 12 - Other items]]</f>
        <v>0</v>
      </c>
      <c r="EJ6">
        <f>CR7-Table2[[#This Row],[2F3 - PDB 1 - Dock 1 to 4 ]]</f>
        <v>70.911999999996624</v>
      </c>
      <c r="EK6">
        <f>BM7-Table2[[#This Row],[2F2 - PDB 3 - WH Truck &amp; Battery Charging]]</f>
        <v>752.3520000000135</v>
      </c>
      <c r="EL6">
        <f>(CK7-Table2[[#This Row],[PDB - 11 Truck Charging]])*1000</f>
        <v>56.000000000011596</v>
      </c>
      <c r="EM6">
        <f>P7-Table2[[#This Row],[5F3 Admin Area]]</f>
        <v>376.1919999999227</v>
      </c>
      <c r="EN6">
        <f>AH7-Table2[[#This Row],[2F5 Main Gate-1 Piller -1]]</f>
        <v>150</v>
      </c>
      <c r="EO6">
        <f>CW7-Table2[[#This Row],[6F2 Ground Floor AC]]</f>
        <v>24.499199999998382</v>
      </c>
      <c r="EP6">
        <f>CX7-Table2[[#This Row],[6F3 ACBD -1 (First floor AC)]]</f>
        <v>16.387199999997392</v>
      </c>
      <c r="EQ6">
        <f>CY7-Table2[[#This Row],[6F4 ACBD - 2 (Second &amp; Third floor AC)]]</f>
        <v>114.47899999999208</v>
      </c>
      <c r="ER6">
        <f>(BC7-Table2[[#This Row],[4F Old BMC cooling Unit]])</f>
        <v>5.4720000000088476</v>
      </c>
      <c r="ES6">
        <f>BO7-Table2[[#This Row],[2F4 - Old BMC]]</f>
        <v>1.3340000000025611</v>
      </c>
      <c r="ET6">
        <f>Y7-Table2[[#This Row],[14F2 New CK]]</f>
        <v>717.5999999998603</v>
      </c>
      <c r="EU6">
        <f>(CL7-Table2[[#This Row],[OLD Ck Panel-1]])*1000</f>
        <v>417.00000000003001</v>
      </c>
      <c r="EV6">
        <f>CM7-Table2[[#This Row],[2F4 Old CK Blast (Blue star)]]</f>
        <v>0</v>
      </c>
      <c r="EW6">
        <f>CN7-Table2[[#This Row],[3F6 Old CK Blast (Carrier)]]</f>
        <v>0</v>
      </c>
      <c r="EX6">
        <f>(CO7-Table2[[#This Row],[Old CK Panel -2]])*1000</f>
        <v>1112.00000000008</v>
      </c>
      <c r="EY6">
        <f>N7-Table2[[#This Row],[4F1 Main UPS 1/C -1]]</f>
        <v>902.4000000001397</v>
      </c>
      <c r="EZ6">
        <f>Z7-Table2[[#This Row],[15F1 Main UPS Panel - I/C - 2]]</f>
        <v>0</v>
      </c>
      <c r="FA6">
        <f>BF7-Table2[[#This Row],[2F CLC -1 AC unit - 2]]</f>
        <v>0</v>
      </c>
      <c r="FB6">
        <f>(BG7-Table2[[#This Row],[2F CLC Anti room]])*1000</f>
        <v>31.000000000005912</v>
      </c>
      <c r="FC6">
        <f>BW7-Table2[[#This Row],[7F3 CLC Power Panel]]</f>
        <v>247.35999999998603</v>
      </c>
      <c r="FD6">
        <f>(CI7-Table2[[#This Row],[PDB - 17 CLC Section ]])*1000</f>
        <v>166.99999999997317</v>
      </c>
      <c r="FE6">
        <f>(W7-Table2[[#This Row],[13F3 Water &amp; Lift Old CK]])*1000</f>
        <v>305.39999999996326</v>
      </c>
      <c r="FF6">
        <f>AA7-Table2[[#This Row],[15F2 New ETP Panel]]</f>
        <v>279.35999999998603</v>
      </c>
      <c r="FG6">
        <f>AL7-Table2[[#This Row],[3F4 Old ETP Panel]]</f>
        <v>74.048000000009779</v>
      </c>
      <c r="FH6">
        <f>AF7-Table2[[#This Row],[2F1 RO Plant]]</f>
        <v>600.95999999996275</v>
      </c>
      <c r="FI6">
        <f>AK7-Table2[[#This Row],[3F3 Fire Hydrant Panel]]</f>
        <v>18.37599999998929</v>
      </c>
      <c r="FJ6">
        <f>R7-Table2[[#This Row],[7F1 Freon System Panel]]</f>
        <v>5363.519999999553</v>
      </c>
      <c r="FK6">
        <f>(AE7-Table2[[#This Row],[21F1 Refrigeration Ammonia]])*1000</f>
        <v>7549.6000000002823</v>
      </c>
      <c r="FL6">
        <f>(AG7-Table2[[#This Row],[2F3 Air Compressor]])*1000</f>
        <v>1518.0000000000291</v>
      </c>
      <c r="FM6">
        <f>(AX7-Table2[[#This Row],[Solar Reading Panel II]])*1000</f>
        <v>3680.000000000291</v>
      </c>
      <c r="FN6">
        <f>AI7-Table2[[#This Row],[3F1 Maintenance Workshop]]</f>
        <v>6.4367999999994936</v>
      </c>
      <c r="FO6">
        <f>BD7-Table2[[#This Row],[4F B2B unit ]]</f>
        <v>55.008000000030734</v>
      </c>
      <c r="FP6">
        <f>BL7-Table2[[#This Row],[2F1 - PDB 6 - Bread, B2B section]]</f>
        <v>28.767999999996391</v>
      </c>
      <c r="FQ6">
        <f>(CG7-Table2[[#This Row],[9F5 - PDB 14 - Bread Lift]])</f>
        <v>1.2864000000408851</v>
      </c>
      <c r="FR6">
        <f>CJ7-Table2[[#This Row],[PDB - 16 Bread Section]]</f>
        <v>0</v>
      </c>
      <c r="FS6">
        <f>BU7-Table2[[#This Row],[7F1 Donut Production area]]</f>
        <v>253.0559999999823</v>
      </c>
      <c r="FT6">
        <f>CB7-Table2[[#This Row],[8F5 Donut Ban Bary]]</f>
        <v>59.711999999999534</v>
      </c>
      <c r="FU6">
        <f>CF7-Table2[[#This Row],[9F4 - PDB 13 - Donut Sink Geyser area]]</f>
        <v>26.335999999981141</v>
      </c>
      <c r="FV6">
        <f>BV7-Table2[[#This Row],[7F2 Flour Silo]]</f>
        <v>371.52000000001863</v>
      </c>
      <c r="FW6">
        <f>BY7-Table2[[#This Row],[8F2 ACPDB - 3 SILO Ventilation]]</f>
        <v>49.823999999993248</v>
      </c>
      <c r="FX6">
        <f>J7-Table2[[#This Row],[DG 1010KVA Running Hours]]</f>
        <v>0.8000000000001819</v>
      </c>
      <c r="FY6">
        <f>K7-Table2[[#This Row],[DG 1010 KVA Meter Reading]]</f>
        <v>413</v>
      </c>
      <c r="FZ6">
        <f>L7-Table2[[#This Row],[GG 1010 KVA Running Hours]]</f>
        <v>1</v>
      </c>
      <c r="GA6">
        <f>M7-Table2[[#This Row],[GG 1010 KVA Meter Reading]]</f>
        <v>0.43999999999999773</v>
      </c>
    </row>
    <row r="7" spans="1:183" x14ac:dyDescent="0.35">
      <c r="A7" s="1">
        <v>9</v>
      </c>
      <c r="B7" s="2">
        <v>46205.404826388898</v>
      </c>
      <c r="C7" s="2">
        <v>46205.419525463003</v>
      </c>
      <c r="D7" s="1" t="s">
        <v>111</v>
      </c>
      <c r="E7" s="1"/>
      <c r="F7" s="1"/>
      <c r="G7" s="3">
        <v>46205</v>
      </c>
      <c r="H7" s="1" t="s">
        <v>112</v>
      </c>
      <c r="I7" s="6">
        <v>5284.482</v>
      </c>
      <c r="J7" s="6">
        <v>4246</v>
      </c>
      <c r="K7" s="6">
        <v>1764680</v>
      </c>
      <c r="L7" s="6">
        <v>428</v>
      </c>
      <c r="M7" s="6">
        <v>178.05</v>
      </c>
      <c r="N7" s="6">
        <v>1838934.56</v>
      </c>
      <c r="O7" s="6">
        <v>4541101.12</v>
      </c>
      <c r="P7" s="6">
        <v>632966.07999999996</v>
      </c>
      <c r="Q7" s="6">
        <v>7999699.8399999999</v>
      </c>
      <c r="R7" s="6">
        <v>5359722.88</v>
      </c>
      <c r="S7" s="6">
        <v>7259189.1200000001</v>
      </c>
      <c r="T7" s="6">
        <v>370296.353</v>
      </c>
      <c r="U7" s="6">
        <v>2063619.84</v>
      </c>
      <c r="V7" s="6">
        <v>5062514.5599999996</v>
      </c>
      <c r="W7" s="6">
        <v>1571.1422</v>
      </c>
      <c r="X7" s="6">
        <v>764943.93599999999</v>
      </c>
      <c r="Y7" s="6">
        <v>1053184.8799999999</v>
      </c>
      <c r="Z7" s="6">
        <v>2777.8894</v>
      </c>
      <c r="AA7" s="6">
        <v>659289.728</v>
      </c>
      <c r="AB7" s="6">
        <v>420939.136</v>
      </c>
      <c r="AC7" s="6">
        <v>2115428.3199999998</v>
      </c>
      <c r="AD7" s="6">
        <v>2368613.4130000002</v>
      </c>
      <c r="AE7" s="6">
        <v>12578.1456</v>
      </c>
      <c r="AF7" s="6">
        <v>856526.20799999998</v>
      </c>
      <c r="AG7" s="6">
        <v>1363.8679999999999</v>
      </c>
      <c r="AH7" s="6">
        <v>129474.36</v>
      </c>
      <c r="AI7" s="6">
        <v>14458.126399999999</v>
      </c>
      <c r="AJ7" s="6">
        <v>145263.66399999999</v>
      </c>
      <c r="AK7" s="6">
        <v>104876.90399999999</v>
      </c>
      <c r="AL7" s="6">
        <v>328201.28000000003</v>
      </c>
      <c r="AM7" s="6">
        <v>971.995</v>
      </c>
      <c r="AN7" s="6">
        <v>170.5</v>
      </c>
      <c r="AO7" s="6">
        <v>7.3</v>
      </c>
      <c r="AP7" s="6">
        <v>146786</v>
      </c>
      <c r="AQ7" s="6">
        <v>42271</v>
      </c>
      <c r="AR7" s="6">
        <v>41726</v>
      </c>
      <c r="AS7" s="6">
        <v>32307</v>
      </c>
      <c r="AT7" s="6">
        <v>22056</v>
      </c>
      <c r="AU7" s="6">
        <v>14857</v>
      </c>
      <c r="AV7" s="6">
        <v>5894</v>
      </c>
      <c r="AW7" s="6">
        <v>20.703544000000001</v>
      </c>
      <c r="AX7" s="50">
        <v>7151.9920000000002</v>
      </c>
      <c r="AY7" s="6">
        <v>674.62248</v>
      </c>
      <c r="AZ7" s="6">
        <v>20.788</v>
      </c>
      <c r="BA7" s="6">
        <v>9737.7270000000008</v>
      </c>
      <c r="BB7" s="6">
        <v>43.283999999999999</v>
      </c>
      <c r="BC7" s="6">
        <v>113976.512</v>
      </c>
      <c r="BD7" s="6">
        <v>274361.28000000003</v>
      </c>
      <c r="BE7" s="6">
        <v>3685.8335999999999</v>
      </c>
      <c r="BF7" s="6">
        <v>1712.0419999999999</v>
      </c>
      <c r="BG7" s="6">
        <v>74.061000000000007</v>
      </c>
      <c r="BH7" s="6">
        <v>353.34100000000001</v>
      </c>
      <c r="BI7" s="6">
        <v>899.90899999999999</v>
      </c>
      <c r="BJ7" s="6">
        <v>13.16</v>
      </c>
      <c r="BK7" s="6">
        <v>554.79100000000005</v>
      </c>
      <c r="BL7" s="6">
        <v>68158.169599999994</v>
      </c>
      <c r="BM7" s="6">
        <v>293511.84000000003</v>
      </c>
      <c r="BN7" s="6">
        <v>7107.3680000000004</v>
      </c>
      <c r="BO7" s="6">
        <v>53499.222000000002</v>
      </c>
      <c r="BP7" s="6">
        <v>310066.81599999999</v>
      </c>
      <c r="BQ7" s="6">
        <v>318.642</v>
      </c>
      <c r="BR7" s="6">
        <v>177.57</v>
      </c>
      <c r="BS7" s="6">
        <v>973536.21</v>
      </c>
      <c r="BT7" s="6">
        <v>1400462.3189999999</v>
      </c>
      <c r="BU7" s="6">
        <v>622211.58400000003</v>
      </c>
      <c r="BV7" s="6">
        <v>1007664</v>
      </c>
      <c r="BW7" s="6">
        <v>561363.90399999998</v>
      </c>
      <c r="BX7" s="6">
        <v>919000.32</v>
      </c>
      <c r="BY7" s="6">
        <v>156141.24799999999</v>
      </c>
      <c r="BZ7" s="6">
        <v>114085.664</v>
      </c>
      <c r="CA7" s="6">
        <v>1156.8427999999999</v>
      </c>
      <c r="CB7" s="6">
        <v>106870.67200000001</v>
      </c>
      <c r="CC7" s="6">
        <v>146839.18400000001</v>
      </c>
      <c r="CD7" s="6">
        <v>440795.45600000001</v>
      </c>
      <c r="CE7" s="6">
        <v>49125.260799999996</v>
      </c>
      <c r="CF7" s="6">
        <v>155167.80799999999</v>
      </c>
      <c r="CG7" s="48">
        <v>360740.29440000001</v>
      </c>
      <c r="CH7" s="6">
        <v>2385.8710000000001</v>
      </c>
      <c r="CI7" s="6">
        <v>209.77699999999999</v>
      </c>
      <c r="CJ7" s="6">
        <v>1165.4000000000001</v>
      </c>
      <c r="CK7" s="6">
        <v>76.531000000000006</v>
      </c>
      <c r="CL7" s="6">
        <v>717.11599999999999</v>
      </c>
      <c r="CM7" s="6">
        <v>551.4</v>
      </c>
      <c r="CN7" s="6">
        <v>31487.1</v>
      </c>
      <c r="CO7" s="6">
        <v>1621.874</v>
      </c>
      <c r="CP7" s="6">
        <v>289607.09999999998</v>
      </c>
      <c r="CQ7" s="6">
        <v>3647556.8</v>
      </c>
      <c r="CR7" s="6">
        <v>129000.75199999999</v>
      </c>
      <c r="CS7" s="6">
        <v>504157.92</v>
      </c>
      <c r="CT7" s="6">
        <v>2829247.9309999999</v>
      </c>
      <c r="CU7" s="6">
        <v>290224.90600000002</v>
      </c>
      <c r="CV7" s="6">
        <v>30108.432799999999</v>
      </c>
      <c r="CW7" s="6">
        <v>61996.896000000001</v>
      </c>
      <c r="CX7" s="6">
        <v>33116.438399999999</v>
      </c>
      <c r="CY7" s="6">
        <v>163978.432</v>
      </c>
      <c r="CZ7" s="6">
        <v>215700.8</v>
      </c>
      <c r="DA7" s="6">
        <v>17579.439999999999</v>
      </c>
      <c r="DB7" s="6">
        <v>147033.05600000001</v>
      </c>
      <c r="DC7" s="6">
        <v>2845.91</v>
      </c>
      <c r="DD7" s="6">
        <v>2845.78</v>
      </c>
      <c r="DE7" s="6">
        <v>2868.18</v>
      </c>
      <c r="DF7" s="6">
        <v>0.99099999999999999</v>
      </c>
      <c r="DG7" s="1" t="s">
        <v>176</v>
      </c>
      <c r="DH7" s="4">
        <f>Table2[[#This Row],[Date]]</f>
        <v>46205</v>
      </c>
      <c r="DI7">
        <f>(DD8-Table2[[#This Row],[MWH Total]])*4000</f>
        <v>24799.999999999272</v>
      </c>
      <c r="DJ7">
        <f>(DA8-Table2[[#This Row],[PNG Meter (Outside)]])*2.936</f>
        <v>122.84224000000043</v>
      </c>
      <c r="DK7">
        <f>(DB8-Table2[[#This Row],[PNG Meter (Inside)]])*2.936</f>
        <v>498.18928799997059</v>
      </c>
      <c r="DL7">
        <f>(BH8-Table2[[#This Row],[3F Dough cooler - 2 ]])*1000</f>
        <v>421.99999999996862</v>
      </c>
      <c r="DM7">
        <f>(BI8-Table2[[#This Row],[3F Dough Cooler- 1]])*1000</f>
        <v>616.9999999999618</v>
      </c>
      <c r="DN7">
        <f>(BJ8-Table2[[#This Row],[4F Dough Production cooling Unit]])*1000</f>
        <v>76.999999999999957</v>
      </c>
      <c r="DO7">
        <f>(BQ8-Table2[[#This Row],[3F2 - PDB 3 - Dough Production Area]])*1000</f>
        <v>336.00000000001273</v>
      </c>
      <c r="DP7">
        <f>(BR8-Table2[[#This Row],[3F3 - PDB 4 - Dough Area]])*1000</f>
        <v>171.00000000002069</v>
      </c>
      <c r="DQ7">
        <f>AC8-Table2[[#This Row],[16F1 Tray washer Panel for Light]]</f>
        <v>836.64000000013039</v>
      </c>
      <c r="DR7">
        <f>CQ8-Table2[[#This Row],[2F1 Tray Washer - 1]]</f>
        <v>1577.6000000000931</v>
      </c>
      <c r="DS7">
        <f>CS8-Table2[[#This Row],[2F5 Destacker]]</f>
        <v>467.2960000000312</v>
      </c>
      <c r="DT7">
        <f>CU8-Table2[[#This Row],[5F1 Metering (TW-2)]]</f>
        <v>444.65799999999581</v>
      </c>
      <c r="DU7">
        <f>CV8-Table2[[#This Row],[6F1 Pre soaker Tray washer]]</f>
        <v>4.2551999999996042</v>
      </c>
      <c r="DV7">
        <f>CZ8-Table2[[#This Row],[6F5 Vent tray Storage]]</f>
        <v>153.96800000002258</v>
      </c>
      <c r="DW7">
        <f>I8-Table2[[#This Row],[Popeyes Meter ]]</f>
        <v>54.010000000000218</v>
      </c>
      <c r="DX7">
        <f>AZ8-Table2[[#This Row],[2F WH Chiller, Segregation Area]]</f>
        <v>0</v>
      </c>
      <c r="DY7">
        <f>BA8-Table2[[#This Row],[3F1 AC Unit WH dock cooling - 2 Nos]]</f>
        <v>24.219999999999345</v>
      </c>
      <c r="DZ7">
        <f>BB8-Table2[[#This Row],[3F2 AC Unit WH dock cooling - 3 Nos]]</f>
        <v>5.4999999999999716E-2</v>
      </c>
      <c r="EA7">
        <f>(BK8-Table2[[#This Row],[5F WH Perishable]])*1000</f>
        <v>399.99999999997726</v>
      </c>
      <c r="EB7">
        <f>BN8-Table2[[#This Row],[2F3 - PDB 9 - WH Dock Leveler Door ]]</f>
        <v>3.2895999999991545</v>
      </c>
      <c r="EC7">
        <f>BP8-Table2[[#This Row],[3F1 - PDB 5 - WH HSD]]</f>
        <v>201.08799999998882</v>
      </c>
      <c r="ED7">
        <f>BX8-Table2[[#This Row],[8F1 WH Dock AHU - Ventilation]]</f>
        <v>4522.816000000108</v>
      </c>
      <c r="EE7">
        <f>BZ8-Table2[[#This Row],[8F3 ACPDB - 4 WH Dock air curtain]]</f>
        <v>24.159999999988941</v>
      </c>
      <c r="EF7">
        <f>CA8-Table2[[#This Row],[8F4 WH Light]]</f>
        <v>3.5307000000000244</v>
      </c>
      <c r="EG7">
        <f>CC8-Table2[[#This Row],[9F1 - PDB 10 - WH Dock door &amp; Office]]</f>
        <v>133.88799999997718</v>
      </c>
      <c r="EH7">
        <f>CD8-Table2[[#This Row],[9F2 - PDB 11 - WH flycatchers]]</f>
        <v>285.88799999997718</v>
      </c>
      <c r="EI7">
        <f>CE8-Table2[[#This Row],[9F3 - PDB 12 - Other items]]</f>
        <v>0</v>
      </c>
      <c r="EJ7">
        <f>CR8-Table2[[#This Row],[2F3 - PDB 1 - Dock 1 to 4 ]]</f>
        <v>93.720000000001164</v>
      </c>
      <c r="EK7">
        <f>BM8-Table2[[#This Row],[2F2 - PDB 3 - WH Truck &amp; Battery Charging]]</f>
        <v>610.07999999995809</v>
      </c>
      <c r="EL7">
        <f>(CK8-Table2[[#This Row],[PDB - 11 Truck Charging]])*1000</f>
        <v>94.999999999998863</v>
      </c>
      <c r="EM7">
        <f>P8-Table2[[#This Row],[5F3 Admin Area]]</f>
        <v>482.62400000006892</v>
      </c>
      <c r="EN7">
        <f>AH8-Table2[[#This Row],[2F5 Main Gate-1 Piller -1]]</f>
        <v>158.52000000000407</v>
      </c>
      <c r="EO7">
        <f>CW8-Table2[[#This Row],[6F2 Ground Floor AC]]</f>
        <v>31.564899999997579</v>
      </c>
      <c r="EP7">
        <f>CX8-Table2[[#This Row],[6F3 ACBD -1 (First floor AC)]]</f>
        <v>28.566400000003341</v>
      </c>
      <c r="EQ7">
        <f>CY8-Table2[[#This Row],[6F4 ACBD - 2 (Second &amp; Third floor AC)]]</f>
        <v>171.5679999999993</v>
      </c>
      <c r="ER7">
        <f>(BC8-Table2[[#This Row],[4F Old BMC cooling Unit]])</f>
        <v>1.9919999999983702</v>
      </c>
      <c r="ES7">
        <f>BO8-Table2[[#This Row],[2F4 - Old BMC]]</f>
        <v>1.7667999999976018</v>
      </c>
      <c r="ET7">
        <f>Y8-Table2[[#This Row],[14F2 New CK]]</f>
        <v>762.24000000022352</v>
      </c>
      <c r="EU7">
        <f>(CL8-Table2[[#This Row],[OLD Ck Panel-1]])*1000</f>
        <v>714.00000000005548</v>
      </c>
      <c r="EV7">
        <f>CM8-Table2[[#This Row],[2F4 Old CK Blast (Blue star)]]</f>
        <v>0</v>
      </c>
      <c r="EW7">
        <f>CN8-Table2[[#This Row],[3F6 Old CK Blast (Carrier)]]</f>
        <v>1724.0500000000029</v>
      </c>
      <c r="EX7">
        <f>(CO8-Table2[[#This Row],[Old CK Panel -2]])*1000</f>
        <v>912.00000000003456</v>
      </c>
      <c r="EY7">
        <f>N8-Table2[[#This Row],[4F1 Main UPS 1/C -1]]</f>
        <v>1069.7600000000093</v>
      </c>
      <c r="EZ7">
        <f>Z8-Table2[[#This Row],[15F1 Main UPS Panel - I/C - 2]]</f>
        <v>0</v>
      </c>
      <c r="FA7">
        <f>BF8-Table2[[#This Row],[2F CLC -1 AC unit - 2]]</f>
        <v>0</v>
      </c>
      <c r="FB7">
        <f>(BG8-Table2[[#This Row],[2F CLC Anti room]])*1000</f>
        <v>42.999999999992156</v>
      </c>
      <c r="FC7">
        <f>BW8-Table2[[#This Row],[7F3 CLC Power Panel]]</f>
        <v>213.59999999997672</v>
      </c>
      <c r="FD7">
        <f>(CI8-Table2[[#This Row],[PDB - 17 CLC Section ]])*1000</f>
        <v>204.00000000000773</v>
      </c>
      <c r="FE7">
        <f>(W8-Table2[[#This Row],[13F3 Water &amp; Lift Old CK]])*1000</f>
        <v>652.00000000004366</v>
      </c>
      <c r="FF7">
        <f>AA8-Table2[[#This Row],[15F2 New ETP Panel]]</f>
        <v>324.86399999994319</v>
      </c>
      <c r="FG7">
        <f>AL8-Table2[[#This Row],[3F4 Old ETP Panel]]</f>
        <v>83.871999999973923</v>
      </c>
      <c r="FH7">
        <f>AF8-Table2[[#This Row],[2F1 RO Plant]]</f>
        <v>710.7839999999851</v>
      </c>
      <c r="FI7">
        <f>AK8-Table2[[#This Row],[3F3 Fire Hydrant Panel]]</f>
        <v>10.440000000002328</v>
      </c>
      <c r="FJ7">
        <f>R8-Table2[[#This Row],[7F1 Freon System Panel]]</f>
        <v>6178.5600000005215</v>
      </c>
      <c r="FK7">
        <f>(AE8-Table2[[#This Row],[21F1 Refrigeration Ammonia]])*1000</f>
        <v>9368.0000000003929</v>
      </c>
      <c r="FL7">
        <f>(AG8-Table2[[#This Row],[2F3 Air Compressor]])*1000</f>
        <v>1133.0000000000382</v>
      </c>
      <c r="FM7" s="49">
        <f>(AX8-Table2[[#This Row],[Solar Reading Panel II]])*1000</f>
        <v>3720.0000000002547</v>
      </c>
      <c r="FN7">
        <f>AI8-Table2[[#This Row],[3F1 Maintenance Workshop]]</f>
        <v>7.4208000000016909</v>
      </c>
      <c r="FO7">
        <f>BD8-Table2[[#This Row],[4F B2B unit ]]</f>
        <v>56.511999999987893</v>
      </c>
      <c r="FP7">
        <f>BL8-Table2[[#This Row],[2F1 - PDB 6 - Bread, B2B section]]</f>
        <v>33.081600000004983</v>
      </c>
      <c r="FQ7">
        <f>(CG8-Table2[[#This Row],[9F5 - PDB 14 - Bread Lift]])</f>
        <v>9.73599999997532</v>
      </c>
      <c r="FR7">
        <f>CJ8-Table2[[#This Row],[PDB - 16 Bread Section]]</f>
        <v>0</v>
      </c>
      <c r="FS7">
        <f>BU8-Table2[[#This Row],[7F1 Donut Production area]]</f>
        <v>301.31199999991804</v>
      </c>
      <c r="FT7">
        <f>CB8-Table2[[#This Row],[8F5 Donut Ban Bary]]</f>
        <v>132.21600000000035</v>
      </c>
      <c r="FU7">
        <f>CF8-Table2[[#This Row],[9F4 - PDB 13 - Donut Sink Geyser area]]</f>
        <v>36.960000000020955</v>
      </c>
      <c r="FV7">
        <f>BV8-Table2[[#This Row],[7F2 Flour Silo]]</f>
        <v>612.64000000001397</v>
      </c>
      <c r="FW7">
        <f>BY8-Table2[[#This Row],[8F2 ACPDB - 3 SILO Ventilation]]</f>
        <v>62.384000000020023</v>
      </c>
      <c r="FX7">
        <f>J8-Table2[[#This Row],[DG 1010KVA Running Hours]]</f>
        <v>0</v>
      </c>
      <c r="FY7">
        <f>K8-Table2[[#This Row],[DG 1010 KVA Meter Reading]]</f>
        <v>0</v>
      </c>
      <c r="FZ7">
        <f>L8-Table2[[#This Row],[GG 1010 KVA Running Hours]]</f>
        <v>0</v>
      </c>
      <c r="GA7">
        <f>M8-Table2[[#This Row],[GG 1010 KVA Meter Reading]]</f>
        <v>0</v>
      </c>
    </row>
    <row r="8" spans="1:183" x14ac:dyDescent="0.35">
      <c r="A8" s="1">
        <v>10</v>
      </c>
      <c r="B8" s="2">
        <v>46206.426400463002</v>
      </c>
      <c r="C8" s="2">
        <v>46206.481018518498</v>
      </c>
      <c r="D8" s="1" t="s">
        <v>111</v>
      </c>
      <c r="E8" s="1"/>
      <c r="F8" s="1"/>
      <c r="G8" s="3">
        <v>46206</v>
      </c>
      <c r="H8" s="1" t="s">
        <v>112</v>
      </c>
      <c r="I8" s="6">
        <v>5338.4920000000002</v>
      </c>
      <c r="J8" s="6">
        <v>4246</v>
      </c>
      <c r="K8" s="6">
        <v>1764680</v>
      </c>
      <c r="L8" s="6">
        <v>428</v>
      </c>
      <c r="M8" s="6">
        <v>178.05</v>
      </c>
      <c r="N8" s="6">
        <v>1840004.32</v>
      </c>
      <c r="O8" s="6">
        <v>4543400.96</v>
      </c>
      <c r="P8" s="6">
        <v>633448.70400000003</v>
      </c>
      <c r="Q8" s="6">
        <v>8002851.8399999999</v>
      </c>
      <c r="R8" s="6">
        <v>5365901.4400000004</v>
      </c>
      <c r="S8" s="6">
        <v>7263293.4400000004</v>
      </c>
      <c r="T8" s="6">
        <v>380880.50199999998</v>
      </c>
      <c r="U8" s="6">
        <v>2064971.52</v>
      </c>
      <c r="V8" s="6">
        <v>5064159.3600000003</v>
      </c>
      <c r="W8" s="6">
        <v>1571.7942</v>
      </c>
      <c r="X8" s="6">
        <v>765370.304</v>
      </c>
      <c r="Y8" s="6">
        <v>1053947.1200000001</v>
      </c>
      <c r="Z8" s="6">
        <v>2777.8894</v>
      </c>
      <c r="AA8" s="6">
        <v>659614.59199999995</v>
      </c>
      <c r="AB8" s="6">
        <v>420947.90399999998</v>
      </c>
      <c r="AC8" s="6">
        <v>2116264.96</v>
      </c>
      <c r="AD8" s="6">
        <v>3627337.6690000002</v>
      </c>
      <c r="AE8" s="6">
        <v>12587.5136</v>
      </c>
      <c r="AF8" s="6">
        <v>857236.99199999997</v>
      </c>
      <c r="AG8" s="6">
        <v>1365.001</v>
      </c>
      <c r="AH8" s="6">
        <v>129632.88</v>
      </c>
      <c r="AI8" s="6">
        <v>14465.547200000001</v>
      </c>
      <c r="AJ8" s="6">
        <v>145266.22399999999</v>
      </c>
      <c r="AK8" s="6">
        <v>104887.344</v>
      </c>
      <c r="AL8" s="6">
        <v>328285.152</v>
      </c>
      <c r="AM8" s="6">
        <v>972.68799999999999</v>
      </c>
      <c r="AN8" s="6">
        <v>172.7</v>
      </c>
      <c r="AO8" s="6">
        <v>6.8</v>
      </c>
      <c r="AP8" s="6">
        <v>158614</v>
      </c>
      <c r="AQ8" s="6">
        <v>42305</v>
      </c>
      <c r="AR8" s="6">
        <v>41760</v>
      </c>
      <c r="AS8" s="6">
        <v>0</v>
      </c>
      <c r="AT8" s="6">
        <v>0</v>
      </c>
      <c r="AU8" s="6">
        <v>14886</v>
      </c>
      <c r="AV8" s="6">
        <v>5910</v>
      </c>
      <c r="AW8" s="6">
        <v>20.712862000000001</v>
      </c>
      <c r="AX8" s="50">
        <v>7155.7120000000004</v>
      </c>
      <c r="AY8" s="6">
        <v>674.78920000000005</v>
      </c>
      <c r="AZ8" s="6">
        <v>20.788</v>
      </c>
      <c r="BA8" s="6">
        <v>9761.9470000000001</v>
      </c>
      <c r="BB8" s="6">
        <v>43.338999999999999</v>
      </c>
      <c r="BC8" s="6">
        <v>113978.504</v>
      </c>
      <c r="BD8" s="6">
        <v>274417.79200000002</v>
      </c>
      <c r="BE8" s="6">
        <v>3687.3008</v>
      </c>
      <c r="BF8" s="6">
        <v>1712.0419999999999</v>
      </c>
      <c r="BG8" s="6">
        <v>74.103999999999999</v>
      </c>
      <c r="BH8" s="6">
        <v>353.76299999999998</v>
      </c>
      <c r="BI8" s="6">
        <v>900.52599999999995</v>
      </c>
      <c r="BJ8" s="6">
        <v>13.237</v>
      </c>
      <c r="BK8" s="6">
        <v>555.19100000000003</v>
      </c>
      <c r="BL8" s="6">
        <v>68191.251199999999</v>
      </c>
      <c r="BM8" s="6">
        <v>294121.92</v>
      </c>
      <c r="BN8" s="6">
        <v>7110.6575999999995</v>
      </c>
      <c r="BO8" s="6">
        <v>53500.988799999999</v>
      </c>
      <c r="BP8" s="6">
        <v>310267.90399999998</v>
      </c>
      <c r="BQ8" s="6">
        <v>318.97800000000001</v>
      </c>
      <c r="BR8" s="6">
        <v>177.74100000000001</v>
      </c>
      <c r="BS8" s="6">
        <v>974922.41599999997</v>
      </c>
      <c r="BT8" s="6">
        <v>1400465.7439999999</v>
      </c>
      <c r="BU8" s="48">
        <v>622512.89599999995</v>
      </c>
      <c r="BV8" s="6">
        <v>1008276.64</v>
      </c>
      <c r="BW8" s="6">
        <v>561577.50399999996</v>
      </c>
      <c r="BX8" s="6">
        <v>923523.13600000006</v>
      </c>
      <c r="BY8" s="6">
        <v>156203.63200000001</v>
      </c>
      <c r="BZ8" s="6">
        <v>114109.82399999999</v>
      </c>
      <c r="CA8" s="6">
        <v>1160.3734999999999</v>
      </c>
      <c r="CB8" s="6">
        <v>107002.88800000001</v>
      </c>
      <c r="CC8" s="6">
        <v>146973.07199999999</v>
      </c>
      <c r="CD8" s="6">
        <v>441081.34399999998</v>
      </c>
      <c r="CE8" s="6">
        <v>49125.260799999996</v>
      </c>
      <c r="CF8" s="6">
        <v>155204.76800000001</v>
      </c>
      <c r="CG8" s="48">
        <v>360750.03039999999</v>
      </c>
      <c r="CH8" s="6">
        <v>2385.8710000000001</v>
      </c>
      <c r="CI8" s="6">
        <v>209.98099999999999</v>
      </c>
      <c r="CJ8" s="6">
        <v>1165.4000000000001</v>
      </c>
      <c r="CK8" s="6">
        <v>76.626000000000005</v>
      </c>
      <c r="CL8" s="6">
        <v>717.83</v>
      </c>
      <c r="CM8" s="6">
        <v>551.4</v>
      </c>
      <c r="CN8" s="6">
        <v>33211.15</v>
      </c>
      <c r="CO8" s="6">
        <v>1622.7860000000001</v>
      </c>
      <c r="CP8" s="6">
        <v>2889845.7859999998</v>
      </c>
      <c r="CQ8" s="6">
        <v>3649134.4</v>
      </c>
      <c r="CR8" s="6">
        <v>129094.47199999999</v>
      </c>
      <c r="CS8" s="6">
        <v>504625.21600000001</v>
      </c>
      <c r="CT8" s="6">
        <v>2833684.5419999999</v>
      </c>
      <c r="CU8" s="6">
        <v>290669.56400000001</v>
      </c>
      <c r="CV8" s="6">
        <v>30112.687999999998</v>
      </c>
      <c r="CW8" s="6">
        <v>62028.460899999998</v>
      </c>
      <c r="CX8" s="6">
        <v>33145.004800000002</v>
      </c>
      <c r="CY8" s="6">
        <v>164150</v>
      </c>
      <c r="CZ8" s="6">
        <v>215854.76800000001</v>
      </c>
      <c r="DA8" s="6">
        <v>17621.28</v>
      </c>
      <c r="DB8" s="6">
        <v>147202.739</v>
      </c>
      <c r="DC8" s="6">
        <v>2852.11</v>
      </c>
      <c r="DD8" s="6">
        <v>2851.98</v>
      </c>
      <c r="DE8" s="6">
        <v>2874.52</v>
      </c>
      <c r="DF8" s="6">
        <v>0.99399999999999999</v>
      </c>
      <c r="DG8" s="1" t="s">
        <v>185</v>
      </c>
      <c r="DH8" s="4">
        <f>Table2[[#This Row],[Date]]</f>
        <v>46206</v>
      </c>
      <c r="DI8">
        <f>(DD9-Table2[[#This Row],[MWH Total]])*4000</f>
        <v>24000</v>
      </c>
      <c r="DJ8">
        <f>(DA9-Table2[[#This Row],[PNG Meter (Outside)]])*2.936</f>
        <v>83.059440000002567</v>
      </c>
      <c r="DK8">
        <f>(DB9-Table2[[#This Row],[PNG Meter (Inside)]])*2.936</f>
        <v>145.86635200000205</v>
      </c>
      <c r="DL8">
        <f>(BH9-Table2[[#This Row],[3F Dough cooler - 2 ]])*1000</f>
        <v>426.00000000004457</v>
      </c>
      <c r="DM8">
        <f>(BI9-Table2[[#This Row],[3F Dough Cooler- 1]])*1000</f>
        <v>463.00000000007913</v>
      </c>
      <c r="DN8">
        <f>(BJ9-Table2[[#This Row],[4F Dough Production cooling Unit]])*1000</f>
        <v>50.000000000000711</v>
      </c>
      <c r="DO8">
        <f>(BQ9-Table2[[#This Row],[3F2 - PDB 3 - Dough Production Area]])*1000</f>
        <v>224.99999999996589</v>
      </c>
      <c r="DP8">
        <f>(BR9-Table2[[#This Row],[3F3 - PDB 4 - Dough Area]])*1000</f>
        <v>121.99999999998568</v>
      </c>
      <c r="DQ8">
        <f>AC9-Table2[[#This Row],[16F1 Tray washer Panel for Light]]</f>
        <v>659.83999999985099</v>
      </c>
      <c r="DR8">
        <f>CQ9-Table2[[#This Row],[2F1 Tray Washer - 1]]</f>
        <v>890.24000000022352</v>
      </c>
      <c r="DS8">
        <f>CS9-Table2[[#This Row],[2F5 Destacker]]</f>
        <v>351.42399999999907</v>
      </c>
      <c r="DT8">
        <f>CU9-Table2[[#This Row],[5F1 Metering (TW-2)]]</f>
        <v>270.99799999996321</v>
      </c>
      <c r="DU8">
        <f>CV9-Table2[[#This Row],[6F1 Pre soaker Tray washer]]</f>
        <v>2.3872000000010303</v>
      </c>
      <c r="DV8">
        <f>CZ9-Table2[[#This Row],[6F5 Vent tray Storage]]</f>
        <v>93.855999999999767</v>
      </c>
      <c r="DW8">
        <f>I9-Table2[[#This Row],[Popeyes Meter ]]</f>
        <v>66.739999999999782</v>
      </c>
      <c r="DX8">
        <f>AZ9-Table2[[#This Row],[2F WH Chiller, Segregation Area]]</f>
        <v>0</v>
      </c>
      <c r="DY8">
        <f>BA9-Table2[[#This Row],[3F1 AC Unit WH dock cooling - 2 Nos]]</f>
        <v>31.719999999999345</v>
      </c>
      <c r="DZ8">
        <f>BB9-Table2[[#This Row],[3F2 AC Unit WH dock cooling - 3 Nos]]</f>
        <v>4.8999999999999488E-2</v>
      </c>
      <c r="EA8">
        <f>(BK9-Table2[[#This Row],[5F WH Perishable]])*1000</f>
        <v>295.99999999993543</v>
      </c>
      <c r="EB8">
        <f>BN9-Table2[[#This Row],[2F3 - PDB 9 - WH Dock Leveler Door ]]</f>
        <v>3.7288000000007742</v>
      </c>
      <c r="EC8">
        <f>BP9-Table2[[#This Row],[3F1 - PDB 5 - WH HSD]]</f>
        <v>130.52799999999115</v>
      </c>
      <c r="ED8">
        <f>BX9-Table2[[#This Row],[8F1 WH Dock AHU - Ventilation]]</f>
        <v>3424.0639999998966</v>
      </c>
      <c r="EE8">
        <f>BZ9-Table2[[#This Row],[8F3 ACPDB - 4 WH Dock air curtain]]</f>
        <v>18.400000000008731</v>
      </c>
      <c r="EF8">
        <f>CA9-Table2[[#This Row],[8F4 WH Light]]</f>
        <v>2.6983999999999924</v>
      </c>
      <c r="EG8">
        <f>CC9-Table2[[#This Row],[9F1 - PDB 10 - WH Dock door &amp; Office]]</f>
        <v>133.50400000001537</v>
      </c>
      <c r="EH8">
        <f>CD9-Table2[[#This Row],[9F2 - PDB 11 - WH flycatchers]]</f>
        <v>207.80800000001909</v>
      </c>
      <c r="EI8">
        <f>CE9-Table2[[#This Row],[9F3 - PDB 12 - Other items]]</f>
        <v>0</v>
      </c>
      <c r="EJ8">
        <f>CR9-Table2[[#This Row],[2F3 - PDB 1 - Dock 1 to 4 ]]</f>
        <v>77.495999999999185</v>
      </c>
      <c r="EK8">
        <f>BM9-Table2[[#This Row],[2F2 - PDB 3 - WH Truck &amp; Battery Charging]]</f>
        <v>462.9440000000177</v>
      </c>
      <c r="EL8">
        <f>(CK9-Table2[[#This Row],[PDB - 11 Truck Charging]])*1000</f>
        <v>60.999999999992838</v>
      </c>
      <c r="EM8">
        <f>P9-Table2[[#This Row],[5F3 Admin Area]]</f>
        <v>372.86399999994319</v>
      </c>
      <c r="EN8">
        <f>AH9-Table2[[#This Row],[2F5 Main Gate-1 Piller -1]]</f>
        <v>150.09599999999045</v>
      </c>
      <c r="EO8">
        <f>CW9-Table2[[#This Row],[6F2 Ground Floor AC]]</f>
        <v>29.70230000000447</v>
      </c>
      <c r="EP8">
        <f>CX9-Table2[[#This Row],[6F3 ACBD -1 (First floor AC)]]</f>
        <v>10.963199999998324</v>
      </c>
      <c r="EQ8">
        <f>CY9-Table2[[#This Row],[6F4 ACBD - 2 (Second &amp; Third floor AC)]]</f>
        <v>92.703999999997905</v>
      </c>
      <c r="ER8">
        <f>(BC9-Table2[[#This Row],[4F Old BMC cooling Unit]])</f>
        <v>0</v>
      </c>
      <c r="ES8">
        <f>BO9-Table2[[#This Row],[2F4 - Old BMC]]</f>
        <v>3.7759999999980209</v>
      </c>
      <c r="ET8">
        <f>Y9-Table2[[#This Row],[14F2 New CK]]</f>
        <v>853.27999999979511</v>
      </c>
      <c r="EU8">
        <f>(CL9-Table2[[#This Row],[OLD Ck Panel-1]])*1000</f>
        <v>572.99999999997908</v>
      </c>
      <c r="EV8">
        <f>CM9-Table2[[#This Row],[2F4 Old CK Blast (Blue star)]]</f>
        <v>0</v>
      </c>
      <c r="EW8">
        <f>CN9-Table2[[#This Row],[3F6 Old CK Blast (Carrier)]]</f>
        <v>4.9999999995634425E-2</v>
      </c>
      <c r="EX8">
        <f>(CO9-Table2[[#This Row],[Old CK Panel -2]])*1000</f>
        <v>1446.999999999889</v>
      </c>
      <c r="EY8">
        <f>N9-Table2[[#This Row],[4F1 Main UPS 1/C -1]]</f>
        <v>849.11999999987893</v>
      </c>
      <c r="EZ8">
        <f>Z9-Table2[[#This Row],[15F1 Main UPS Panel - I/C - 2]]</f>
        <v>0</v>
      </c>
      <c r="FA8">
        <f>BF9-Table2[[#This Row],[2F CLC -1 AC unit - 2]]</f>
        <v>0</v>
      </c>
      <c r="FB8">
        <f>(BG9-Table2[[#This Row],[2F CLC Anti room]])*1000</f>
        <v>28.000000000005798</v>
      </c>
      <c r="FC8">
        <f>BW9-Table2[[#This Row],[7F3 CLC Power Panel]]</f>
        <v>256.48000000009779</v>
      </c>
      <c r="FD8">
        <f>(CI9-Table2[[#This Row],[PDB - 17 CLC Section ]])*1000</f>
        <v>116.00000000001387</v>
      </c>
      <c r="FE8">
        <f>(W9-Table2[[#This Row],[13F3 Water &amp; Lift Old CK]])*1000</f>
        <v>478.10000000004038</v>
      </c>
      <c r="FF8">
        <f>AA9-Table2[[#This Row],[15F2 New ETP Panel]]</f>
        <v>246.65600000007544</v>
      </c>
      <c r="FG8">
        <f>AL9-Table2[[#This Row],[3F4 Old ETP Panel]]</f>
        <v>68.032000000006519</v>
      </c>
      <c r="FH8">
        <f>AF9-Table2[[#This Row],[2F1 RO Plant]]</f>
        <v>528.57600000000093</v>
      </c>
      <c r="FI8">
        <f>AK9-Table2[[#This Row],[3F3 Fire Hydrant Panel]]</f>
        <v>10.760000000009313</v>
      </c>
      <c r="FJ8">
        <f>R9-Table2[[#This Row],[7F1 Freon System Panel]]</f>
        <v>4906.8799999998882</v>
      </c>
      <c r="FK8">
        <f>(AE9-Table2[[#This Row],[21F1 Refrigeration Ammonia]])*1000</f>
        <v>7496.7999999989843</v>
      </c>
      <c r="FL8">
        <f>(AG9-Table2[[#This Row],[2F3 Air Compressor]])*1000</f>
        <v>1024.0000000001146</v>
      </c>
      <c r="FM8" s="49">
        <f>(AX9-Table2[[#This Row],[Solar Reading Panel II]])*1000</f>
        <v>3250</v>
      </c>
      <c r="FN8">
        <f>AI9-Table2[[#This Row],[3F1 Maintenance Workshop]]</f>
        <v>5.0047999999987951</v>
      </c>
      <c r="FO8">
        <f>BD9-Table2[[#This Row],[4F B2B unit ]]</f>
        <v>18.559999999997672</v>
      </c>
      <c r="FP8">
        <f>BL9-Table2[[#This Row],[2F1 - PDB 6 - Bread, B2B section]]</f>
        <v>12.569600000002538</v>
      </c>
      <c r="FQ8">
        <f>(CG9-Table2[[#This Row],[9F5 - PDB 14 - Bread Lift]])</f>
        <v>3.2000000006519258E-2</v>
      </c>
      <c r="FR8">
        <f>CJ9-Table2[[#This Row],[PDB - 16 Bread Section]]</f>
        <v>0</v>
      </c>
      <c r="FS8">
        <f>BU9-Table2[[#This Row],[7F1 Donut Production area]]</f>
        <v>269.95200000004843</v>
      </c>
      <c r="FT8">
        <f>CB9-Table2[[#This Row],[8F5 Donut Ban Bary]]</f>
        <v>45.063999999998487</v>
      </c>
      <c r="FU8">
        <f>CF9-Table2[[#This Row],[9F4 - PDB 13 - Donut Sink Geyser area]]</f>
        <v>17.951999999990221</v>
      </c>
      <c r="FV8">
        <f>BV9-Table2[[#This Row],[7F2 Flour Silo]]</f>
        <v>474.88000000000466</v>
      </c>
      <c r="FW8">
        <f>BY9-Table2[[#This Row],[8F2 ACPDB - 3 SILO Ventilation]]</f>
        <v>47.503999999986263</v>
      </c>
      <c r="FX8">
        <f>J9-Table2[[#This Row],[DG 1010KVA Running Hours]]</f>
        <v>0.6000000000003638</v>
      </c>
      <c r="FY8">
        <f>K9-Table2[[#This Row],[DG 1010 KVA Meter Reading]]</f>
        <v>224</v>
      </c>
      <c r="FZ8">
        <f>L9-Table2[[#This Row],[GG 1010 KVA Running Hours]]</f>
        <v>0</v>
      </c>
      <c r="GA8">
        <f>M9-Table2[[#This Row],[GG 1010 KVA Meter Reading]]</f>
        <v>0.25999999999999091</v>
      </c>
    </row>
    <row r="9" spans="1:183" x14ac:dyDescent="0.35">
      <c r="A9" s="1">
        <v>11</v>
      </c>
      <c r="B9" s="2">
        <v>46207.401527777802</v>
      </c>
      <c r="C9" s="2">
        <v>46207.457511574103</v>
      </c>
      <c r="D9" s="1" t="s">
        <v>111</v>
      </c>
      <c r="E9" s="1"/>
      <c r="F9" s="1"/>
      <c r="G9" s="3">
        <v>46207</v>
      </c>
      <c r="H9" s="1" t="s">
        <v>186</v>
      </c>
      <c r="I9" s="6">
        <v>5405.232</v>
      </c>
      <c r="J9" s="6">
        <v>4246.6000000000004</v>
      </c>
      <c r="K9" s="6">
        <v>1764904</v>
      </c>
      <c r="L9" s="6">
        <v>428</v>
      </c>
      <c r="M9" s="6">
        <v>178.31</v>
      </c>
      <c r="N9" s="6">
        <v>1840853.44</v>
      </c>
      <c r="O9" s="6">
        <v>4545220.4800000004</v>
      </c>
      <c r="P9" s="6">
        <v>633821.56799999997</v>
      </c>
      <c r="Q9" s="6">
        <v>8005466.2400000002</v>
      </c>
      <c r="R9" s="6">
        <v>5370808.3200000003</v>
      </c>
      <c r="S9" s="6">
        <v>7266058.8799999999</v>
      </c>
      <c r="T9" s="6">
        <v>370297.59299999999</v>
      </c>
      <c r="U9" s="6">
        <v>2065980.64</v>
      </c>
      <c r="V9" s="6">
        <v>5065526.4000000004</v>
      </c>
      <c r="W9" s="6">
        <v>1572.2723000000001</v>
      </c>
      <c r="X9" s="6">
        <v>765645.12</v>
      </c>
      <c r="Y9" s="6">
        <v>1054800.3999999999</v>
      </c>
      <c r="Z9" s="6">
        <v>2777.8894</v>
      </c>
      <c r="AA9" s="6">
        <v>659861.24800000002</v>
      </c>
      <c r="AB9" s="6">
        <v>420959.10399999999</v>
      </c>
      <c r="AC9" s="6">
        <v>2116924.7999999998</v>
      </c>
      <c r="AD9" s="6">
        <v>3640092.139</v>
      </c>
      <c r="AE9" s="6">
        <v>12595.010399999999</v>
      </c>
      <c r="AF9" s="6">
        <v>857765.56799999997</v>
      </c>
      <c r="AG9" s="6">
        <v>1366.0250000000001</v>
      </c>
      <c r="AH9" s="6">
        <v>129782.976</v>
      </c>
      <c r="AI9" s="6">
        <v>14470.552</v>
      </c>
      <c r="AJ9" s="6">
        <v>145269.84</v>
      </c>
      <c r="AK9" s="6">
        <v>104898.10400000001</v>
      </c>
      <c r="AL9" s="6">
        <v>328353.18400000001</v>
      </c>
      <c r="AM9" s="6">
        <v>973.17399999999998</v>
      </c>
      <c r="AN9" s="6">
        <v>273.3</v>
      </c>
      <c r="AO9" s="6">
        <v>7.4</v>
      </c>
      <c r="AP9" s="6">
        <v>166106</v>
      </c>
      <c r="AQ9" s="6">
        <v>42305</v>
      </c>
      <c r="AR9" s="6">
        <v>41760</v>
      </c>
      <c r="AS9" s="6">
        <v>32307</v>
      </c>
      <c r="AT9" s="6">
        <v>22056</v>
      </c>
      <c r="AU9" s="6">
        <v>14904</v>
      </c>
      <c r="AV9" s="6">
        <v>5924</v>
      </c>
      <c r="AW9" s="6">
        <v>20.720165999999999</v>
      </c>
      <c r="AX9" s="50">
        <v>7158.9620000000004</v>
      </c>
      <c r="AY9" s="6">
        <v>674.94632000000001</v>
      </c>
      <c r="AZ9" s="6">
        <v>20.788</v>
      </c>
      <c r="BA9" s="6">
        <v>9793.6669999999995</v>
      </c>
      <c r="BB9" s="6">
        <v>43.387999999999998</v>
      </c>
      <c r="BC9" s="6">
        <v>113978.504</v>
      </c>
      <c r="BD9" s="6">
        <v>274436.35200000001</v>
      </c>
      <c r="BE9" s="6">
        <v>3688.4748</v>
      </c>
      <c r="BF9" s="6">
        <v>1712.0419999999999</v>
      </c>
      <c r="BG9" s="6">
        <v>74.132000000000005</v>
      </c>
      <c r="BH9" s="6">
        <v>354.18900000000002</v>
      </c>
      <c r="BI9" s="6">
        <v>900.98900000000003</v>
      </c>
      <c r="BJ9" s="6">
        <v>13.287000000000001</v>
      </c>
      <c r="BK9" s="6">
        <v>555.48699999999997</v>
      </c>
      <c r="BL9" s="6">
        <v>68203.820800000001</v>
      </c>
      <c r="BM9" s="6">
        <v>294584.864</v>
      </c>
      <c r="BN9" s="6">
        <v>7114.3864000000003</v>
      </c>
      <c r="BO9" s="6">
        <v>53504.764799999997</v>
      </c>
      <c r="BP9" s="6">
        <v>310398.43199999997</v>
      </c>
      <c r="BQ9" s="6">
        <v>319.20299999999997</v>
      </c>
      <c r="BR9" s="6">
        <v>177.863</v>
      </c>
      <c r="BS9" s="6">
        <v>975904.67200000002</v>
      </c>
      <c r="BT9" s="6">
        <v>1400469.753</v>
      </c>
      <c r="BU9" s="6">
        <v>622782.848</v>
      </c>
      <c r="BV9" s="6">
        <v>1008751.52</v>
      </c>
      <c r="BW9" s="6">
        <v>561833.98400000005</v>
      </c>
      <c r="BX9" s="6">
        <v>926947.2</v>
      </c>
      <c r="BY9" s="6">
        <v>156251.136</v>
      </c>
      <c r="BZ9" s="6">
        <v>114128.224</v>
      </c>
      <c r="CA9" s="6">
        <v>1163.0718999999999</v>
      </c>
      <c r="CB9" s="6">
        <v>107047.952</v>
      </c>
      <c r="CC9" s="6">
        <v>147106.576</v>
      </c>
      <c r="CD9" s="6">
        <v>441289.152</v>
      </c>
      <c r="CE9" s="6">
        <v>49125.260799999996</v>
      </c>
      <c r="CF9" s="6">
        <v>155222.72</v>
      </c>
      <c r="CG9" s="6">
        <v>360750.0624</v>
      </c>
      <c r="CH9" s="6">
        <v>2385.8710000000001</v>
      </c>
      <c r="CI9" s="6">
        <v>210.09700000000001</v>
      </c>
      <c r="CJ9" s="6">
        <v>1165.4000000000001</v>
      </c>
      <c r="CK9" s="6">
        <v>76.686999999999998</v>
      </c>
      <c r="CL9" s="6">
        <v>718.40300000000002</v>
      </c>
      <c r="CM9" s="6">
        <v>551.4</v>
      </c>
      <c r="CN9" s="6">
        <v>33211.199999999997</v>
      </c>
      <c r="CO9" s="6">
        <v>1624.2329999999999</v>
      </c>
      <c r="CP9" s="6">
        <v>290031.859</v>
      </c>
      <c r="CQ9" s="6">
        <v>3650024.64</v>
      </c>
      <c r="CR9" s="6">
        <v>129171.96799999999</v>
      </c>
      <c r="CS9" s="6">
        <v>504976.64000000001</v>
      </c>
      <c r="CT9" s="6">
        <v>2836523.4539999999</v>
      </c>
      <c r="CU9" s="6">
        <v>290940.56199999998</v>
      </c>
      <c r="CV9" s="6">
        <v>30115.075199999999</v>
      </c>
      <c r="CW9" s="6">
        <v>62058.163200000003</v>
      </c>
      <c r="CX9" s="6">
        <v>33155.968000000001</v>
      </c>
      <c r="CY9" s="6">
        <v>164242.704</v>
      </c>
      <c r="CZ9" s="6">
        <v>215948.62400000001</v>
      </c>
      <c r="DA9" s="6">
        <v>17649.57</v>
      </c>
      <c r="DB9" s="6">
        <v>147252.421</v>
      </c>
      <c r="DC9" s="6">
        <v>2858.11</v>
      </c>
      <c r="DD9" s="6">
        <v>2857.98</v>
      </c>
      <c r="DE9" s="6">
        <v>2880.64</v>
      </c>
      <c r="DF9" s="6">
        <v>0.996</v>
      </c>
      <c r="DG9" s="1" t="s">
        <v>188</v>
      </c>
      <c r="DH9" s="4">
        <f>Table2[[#This Row],[Date]]</f>
        <v>46207</v>
      </c>
      <c r="DI9">
        <f>(DD10-Table2[[#This Row],[MWH Total]])*4000</f>
        <v>21479.999999999563</v>
      </c>
      <c r="DJ9">
        <f>(DA10-Table2[[#This Row],[PNG Meter (Outside)]])*2.936</f>
        <v>2.6424000000042724</v>
      </c>
      <c r="DK9">
        <f>(DB10-Table2[[#This Row],[PNG Meter (Inside)]])*2.936</f>
        <v>80.461079999996585</v>
      </c>
      <c r="DL9">
        <f>(BH10-Table2[[#This Row],[3F Dough cooler - 2 ]])*1000</f>
        <v>153.99999999999636</v>
      </c>
      <c r="DM9">
        <f>(BI10-Table2[[#This Row],[3F Dough Cooler- 1]])*1000</f>
        <v>283.99999999999181</v>
      </c>
      <c r="DN9">
        <f>(BJ10-Table2[[#This Row],[4F Dough Production cooling Unit]])*1000</f>
        <v>14.999999999998792</v>
      </c>
      <c r="DO9">
        <f>(BQ10-Table2[[#This Row],[3F2 - PDB 3 - Dough Production Area]])*1000</f>
        <v>60.000000000002274</v>
      </c>
      <c r="DP9">
        <f>(BR10-Table2[[#This Row],[3F3 - PDB 4 - Dough Area]])*1000</f>
        <v>34.999999999996589</v>
      </c>
      <c r="DQ9">
        <f>AC10-Table2[[#This Row],[16F1 Tray washer Panel for Light]]</f>
        <v>543.68000000016764</v>
      </c>
      <c r="DR9">
        <f>CQ10-Table2[[#This Row],[2F1 Tray Washer - 1]]</f>
        <v>385.27999999979511</v>
      </c>
      <c r="DS9">
        <f>CS10-Table2[[#This Row],[2F5 Destacker]]</f>
        <v>118.65599999995902</v>
      </c>
      <c r="DT9">
        <f>CU10-Table2[[#This Row],[5F1 Metering (TW-2)]]</f>
        <v>184.83699999999953</v>
      </c>
      <c r="DU9">
        <f>CV10-Table2[[#This Row],[6F1 Pre soaker Tray washer]]</f>
        <v>0.83799999999973807</v>
      </c>
      <c r="DV9">
        <f>CZ10-Table2[[#This Row],[6F5 Vent tray Storage]]</f>
        <v>50.160000000003492</v>
      </c>
      <c r="DW9">
        <f>I10-Table2[[#This Row],[Popeyes Meter ]]</f>
        <v>13.119999999999891</v>
      </c>
      <c r="DX9">
        <f>AZ10-Table2[[#This Row],[2F WH Chiller, Segregation Area]]</f>
        <v>0</v>
      </c>
      <c r="DY9">
        <f>BA10-Table2[[#This Row],[3F1 AC Unit WH dock cooling - 2 Nos]]</f>
        <v>16.159999999999854</v>
      </c>
      <c r="DZ9">
        <f>BB10-Table2[[#This Row],[3F2 AC Unit WH dock cooling - 3 Nos]]</f>
        <v>3.399999999999892E-2</v>
      </c>
      <c r="EA9">
        <f>(BK10-Table2[[#This Row],[5F WH Perishable]])*1000</f>
        <v>186.00000000003547</v>
      </c>
      <c r="EB9">
        <f>BN10-Table2[[#This Row],[2F3 - PDB 9 - WH Dock Leveler Door ]]</f>
        <v>1.3495999999995547</v>
      </c>
      <c r="EC9">
        <f>BP10-Table2[[#This Row],[3F1 - PDB 5 - WH HSD]]</f>
        <v>114.24000000004889</v>
      </c>
      <c r="ED9">
        <f>BX10-Table2[[#This Row],[8F1 WH Dock AHU - Ventilation]]</f>
        <v>2183.1689999999944</v>
      </c>
      <c r="EE9">
        <f>BZ10-Table2[[#This Row],[8F3 ACPDB - 4 WH Dock air curtain]]</f>
        <v>11.736000000004424</v>
      </c>
      <c r="EF9">
        <f>CA10-Table2[[#This Row],[8F4 WH Light]]</f>
        <v>1.7273999999999887</v>
      </c>
      <c r="EG9">
        <f>CC10-Table2[[#This Row],[9F1 - PDB 10 - WH Dock door &amp; Office]]</f>
        <v>80.768000000010943</v>
      </c>
      <c r="EH9">
        <f>CD10-Table2[[#This Row],[9F2 - PDB 11 - WH flycatchers]]</f>
        <v>133.63199999998324</v>
      </c>
      <c r="EI9">
        <f>CE10-Table2[[#This Row],[9F3 - PDB 12 - Other items]]</f>
        <v>0</v>
      </c>
      <c r="EJ9">
        <f>CR10-Table2[[#This Row],[2F3 - PDB 1 - Dock 1 to 4 ]]</f>
        <v>48.960000000006403</v>
      </c>
      <c r="EK9">
        <f>BM10-Table2[[#This Row],[2F2 - PDB 3 - WH Truck &amp; Battery Charging]]</f>
        <v>350.27199999999721</v>
      </c>
      <c r="EL9">
        <f>(CK10-Table2[[#This Row],[PDB - 11 Truck Charging]])*1000</f>
        <v>45.000000000001705</v>
      </c>
      <c r="EM9">
        <f>P10-Table2[[#This Row],[5F3 Admin Area]]</f>
        <v>312.96000000007916</v>
      </c>
      <c r="EN9">
        <f>AH10-Table2[[#This Row],[2F5 Main Gate-1 Piller -1]]</f>
        <v>130.87200000000303</v>
      </c>
      <c r="EO9">
        <f>CW10-Table2[[#This Row],[6F2 Ground Floor AC]]</f>
        <v>23.718399999997928</v>
      </c>
      <c r="EP9">
        <f>CX10-Table2[[#This Row],[6F3 ACBD -1 (First floor AC)]]</f>
        <v>6.5247999999992317</v>
      </c>
      <c r="EQ9">
        <f>CY10-Table2[[#This Row],[6F4 ACBD - 2 (Second &amp; Third floor AC)]]</f>
        <v>74.744000000006054</v>
      </c>
      <c r="ER9">
        <f>(BC10-Table2[[#This Row],[4F Old BMC cooling Unit]])</f>
        <v>0</v>
      </c>
      <c r="ES9">
        <f>BO10-Table2[[#This Row],[2F4 - Old BMC]]</f>
        <v>0</v>
      </c>
      <c r="ET9">
        <f>Y10-Table2[[#This Row],[14F2 New CK]]</f>
        <v>560.72000000020489</v>
      </c>
      <c r="EU9">
        <f>(CL10-Table2[[#This Row],[OLD Ck Panel-1]])*1000</f>
        <v>21.999999999934516</v>
      </c>
      <c r="EV9">
        <f>CM10-Table2[[#This Row],[2F4 Old CK Blast (Blue star)]]</f>
        <v>0</v>
      </c>
      <c r="EW9">
        <f>CN10-Table2[[#This Row],[3F6 Old CK Blast (Carrier)]]</f>
        <v>0.20000000000436557</v>
      </c>
      <c r="EX9">
        <f>(CO10-Table2[[#This Row],[Old CK Panel -2]])*1000</f>
        <v>689.00000000007822</v>
      </c>
      <c r="EY9">
        <f>N10-Table2[[#This Row],[4F1 Main UPS 1/C -1]]</f>
        <v>714.71999999997206</v>
      </c>
      <c r="EZ9">
        <f>Z10-Table2[[#This Row],[15F1 Main UPS Panel - I/C - 2]]</f>
        <v>0</v>
      </c>
      <c r="FA9">
        <f>BF10-Table2[[#This Row],[2F CLC -1 AC unit - 2]]</f>
        <v>0</v>
      </c>
      <c r="FB9">
        <f>(BG10-Table2[[#This Row],[2F CLC Anti room]])*1000</f>
        <v>0</v>
      </c>
      <c r="FC9">
        <f>BW10-Table2[[#This Row],[7F3 CLC Power Panel]]</f>
        <v>82.559999999939464</v>
      </c>
      <c r="FD9">
        <f>(CI10-Table2[[#This Row],[PDB - 17 CLC Section ]])*1000</f>
        <v>64.999999999997726</v>
      </c>
      <c r="FE9">
        <f>(W10-Table2[[#This Row],[13F3 Water &amp; Lift Old CK]])*1000</f>
        <v>214.29999999986649</v>
      </c>
      <c r="FF9">
        <f>AA10-Table2[[#This Row],[15F2 New ETP Panel]]</f>
        <v>220.03200000000652</v>
      </c>
      <c r="FG9">
        <f>AL10-Table2[[#This Row],[3F4 Old ETP Panel]]</f>
        <v>52.352000000013504</v>
      </c>
      <c r="FH9">
        <f>AF10-Table2[[#This Row],[2F1 RO Plant]]</f>
        <v>515.26400000008289</v>
      </c>
      <c r="FI9">
        <f>AK10-Table2[[#This Row],[3F3 Fire Hydrant Panel]]</f>
        <v>9.2160000000003492</v>
      </c>
      <c r="FJ9">
        <f>R10-Table2[[#This Row],[7F1 Freon System Panel]]</f>
        <v>3103.359999999404</v>
      </c>
      <c r="FK9">
        <f>(AE10-Table2[[#This Row],[21F1 Refrigeration Ammonia]])*1000</f>
        <v>6142.4999999999272</v>
      </c>
      <c r="FL9">
        <f>(AG10-Table2[[#This Row],[2F3 Air Compressor]])*1000</f>
        <v>832.9999999998563</v>
      </c>
      <c r="FM9" s="49">
        <f>(AX10-Table2[[#This Row],[Solar Reading Panel II]])*1000</f>
        <v>3849.9999999994543</v>
      </c>
      <c r="FN9">
        <f>AI10-Table2[[#This Row],[3F1 Maintenance Workshop]]</f>
        <v>4.2528000000002066</v>
      </c>
      <c r="FO9">
        <f>BD10-Table2[[#This Row],[4F B2B unit ]]</f>
        <v>8.5760000000009313</v>
      </c>
      <c r="FP9">
        <f>BL10-Table2[[#This Row],[2F1 - PDB 6 - Bread, B2B section]]</f>
        <v>12.281600000002072</v>
      </c>
      <c r="FQ9">
        <f>(CG10-Table2[[#This Row],[9F5 - PDB 14 - Bread Lift]])</f>
        <v>3.8400000019464642E-2</v>
      </c>
      <c r="FR9">
        <f>CJ10-Table2[[#This Row],[PDB - 16 Bread Section]]</f>
        <v>0</v>
      </c>
      <c r="FS9">
        <f>BU10-Table2[[#This Row],[7F1 Donut Production area]]</f>
        <v>164.60800000000745</v>
      </c>
      <c r="FT9">
        <f>CB10-Table2[[#This Row],[8F5 Donut Ban Bary]]</f>
        <v>20.648000000001048</v>
      </c>
      <c r="FU9">
        <f>CF10-Table2[[#This Row],[9F4 - PDB 13 - Donut Sink Geyser area]]</f>
        <v>4.7039999999979045</v>
      </c>
      <c r="FV9">
        <f>BV10-Table2[[#This Row],[7F2 Flour Silo]]</f>
        <v>134.88000000000466</v>
      </c>
      <c r="FW9">
        <f>BY10-Table2[[#This Row],[8F2 ACPDB - 3 SILO Ventilation]]</f>
        <v>30.720000000001164</v>
      </c>
      <c r="FX9">
        <f>J10-Table2[[#This Row],[DG 1010KVA Running Hours]]</f>
        <v>0</v>
      </c>
      <c r="FY9">
        <f>K10-Table2[[#This Row],[DG 1010 KVA Meter Reading]]</f>
        <v>0</v>
      </c>
      <c r="FZ9">
        <f>L10-Table2[[#This Row],[GG 1010 KVA Running Hours]]</f>
        <v>0</v>
      </c>
      <c r="GA9">
        <f>M10-Table2[[#This Row],[GG 1010 KVA Meter Reading]]</f>
        <v>0</v>
      </c>
    </row>
    <row r="10" spans="1:183" x14ac:dyDescent="0.35">
      <c r="A10" s="1">
        <v>15</v>
      </c>
      <c r="B10" s="2">
        <v>46209.3660185185</v>
      </c>
      <c r="C10" s="2">
        <v>46209.394907407397</v>
      </c>
      <c r="D10" s="1" t="s">
        <v>111</v>
      </c>
      <c r="E10" s="1"/>
      <c r="F10" s="1"/>
      <c r="G10" s="3">
        <v>46208</v>
      </c>
      <c r="H10" s="1" t="s">
        <v>186</v>
      </c>
      <c r="I10" s="6">
        <v>5418.3519999999999</v>
      </c>
      <c r="J10" s="6">
        <v>4246.6000000000004</v>
      </c>
      <c r="K10" s="6">
        <v>1764904</v>
      </c>
      <c r="L10" s="6">
        <v>428</v>
      </c>
      <c r="M10" s="6">
        <v>178.31</v>
      </c>
      <c r="N10" s="6">
        <v>1841568.16</v>
      </c>
      <c r="O10" s="6">
        <v>4546649.5999999996</v>
      </c>
      <c r="P10" s="6">
        <v>634134.52800000005</v>
      </c>
      <c r="Q10" s="6">
        <v>8007534.0800000001</v>
      </c>
      <c r="R10" s="6">
        <v>5373911.6799999997</v>
      </c>
      <c r="S10" s="6">
        <v>7268300.7999999998</v>
      </c>
      <c r="T10" s="6">
        <v>370334.98700000002</v>
      </c>
      <c r="U10" s="6">
        <v>2066757.92</v>
      </c>
      <c r="V10" s="6">
        <v>5066399.3600000003</v>
      </c>
      <c r="W10" s="6">
        <v>1572.4866</v>
      </c>
      <c r="X10" s="6">
        <v>765877.44</v>
      </c>
      <c r="Y10" s="6">
        <v>1055361.1200000001</v>
      </c>
      <c r="Z10" s="6">
        <v>2777.8894</v>
      </c>
      <c r="AA10" s="6">
        <v>660081.28</v>
      </c>
      <c r="AB10" s="6">
        <v>420966.36800000002</v>
      </c>
      <c r="AC10" s="6">
        <v>2117468.48</v>
      </c>
      <c r="AD10" s="6">
        <v>2394225.0079999999</v>
      </c>
      <c r="AE10" s="6">
        <v>12601.152899999999</v>
      </c>
      <c r="AF10" s="6">
        <v>858280.83200000005</v>
      </c>
      <c r="AG10" s="6">
        <v>1366.8579999999999</v>
      </c>
      <c r="AH10" s="6">
        <v>129913.848</v>
      </c>
      <c r="AI10" s="6">
        <v>14474.8048</v>
      </c>
      <c r="AJ10" s="6">
        <v>145272.576</v>
      </c>
      <c r="AK10" s="6">
        <v>104907.32</v>
      </c>
      <c r="AL10" s="6">
        <v>328405.53600000002</v>
      </c>
      <c r="AM10" s="6">
        <v>973.55200000000002</v>
      </c>
      <c r="AN10" s="6">
        <v>273.2</v>
      </c>
      <c r="AO10" s="6">
        <v>7.4</v>
      </c>
      <c r="AP10" s="6">
        <v>174984</v>
      </c>
      <c r="AQ10" s="6">
        <v>42304</v>
      </c>
      <c r="AR10" s="6">
        <v>41760</v>
      </c>
      <c r="AS10" s="6">
        <v>32307</v>
      </c>
      <c r="AT10" s="6">
        <v>22056</v>
      </c>
      <c r="AU10" s="6">
        <v>14928</v>
      </c>
      <c r="AV10" s="6">
        <v>5940</v>
      </c>
      <c r="AW10" s="6">
        <v>20.725898000000001</v>
      </c>
      <c r="AX10" s="50">
        <v>7162.8119999999999</v>
      </c>
      <c r="AY10" s="6">
        <v>675.03488000000004</v>
      </c>
      <c r="AZ10" s="6">
        <v>20.788</v>
      </c>
      <c r="BA10" s="6">
        <v>9809.8269999999993</v>
      </c>
      <c r="BB10" s="6">
        <v>43.421999999999997</v>
      </c>
      <c r="BC10" s="6">
        <v>113978.504</v>
      </c>
      <c r="BD10" s="6">
        <v>274444.92800000001</v>
      </c>
      <c r="BE10" s="6">
        <v>3689.0619999999999</v>
      </c>
      <c r="BF10" s="6">
        <v>1712.0419999999999</v>
      </c>
      <c r="BG10" s="6">
        <v>74.132000000000005</v>
      </c>
      <c r="BH10" s="6">
        <v>354.34300000000002</v>
      </c>
      <c r="BI10" s="6">
        <v>901.27300000000002</v>
      </c>
      <c r="BJ10" s="6">
        <v>13.302</v>
      </c>
      <c r="BK10" s="6">
        <v>555.673</v>
      </c>
      <c r="BL10" s="6">
        <v>68216.102400000003</v>
      </c>
      <c r="BM10" s="6">
        <v>294935.136</v>
      </c>
      <c r="BN10" s="6">
        <v>7115.7359999999999</v>
      </c>
      <c r="BO10" s="6">
        <v>53504.764799999997</v>
      </c>
      <c r="BP10" s="6">
        <v>310512.67200000002</v>
      </c>
      <c r="BQ10" s="6">
        <v>319.26299999999998</v>
      </c>
      <c r="BR10" s="6">
        <v>177.898</v>
      </c>
      <c r="BS10" s="6">
        <v>976527.91899999999</v>
      </c>
      <c r="BT10" s="6">
        <v>1400481.1259999999</v>
      </c>
      <c r="BU10" s="6">
        <v>622947.45600000001</v>
      </c>
      <c r="BV10" s="6">
        <v>1008886.4</v>
      </c>
      <c r="BW10" s="6">
        <v>561916.54399999999</v>
      </c>
      <c r="BX10" s="6">
        <v>929130.36899999995</v>
      </c>
      <c r="BY10" s="6">
        <v>156281.856</v>
      </c>
      <c r="BZ10" s="6">
        <v>114139.96</v>
      </c>
      <c r="CA10" s="6">
        <v>1164.7992999999999</v>
      </c>
      <c r="CB10" s="6">
        <v>107068.6</v>
      </c>
      <c r="CC10" s="6">
        <v>147187.34400000001</v>
      </c>
      <c r="CD10" s="6">
        <v>441422.78399999999</v>
      </c>
      <c r="CE10" s="6">
        <v>49125.260799999996</v>
      </c>
      <c r="CF10" s="6">
        <v>155227.424</v>
      </c>
      <c r="CG10" s="6">
        <v>360750.10080000001</v>
      </c>
      <c r="CH10" s="6">
        <v>2385.8710000000001</v>
      </c>
      <c r="CI10" s="6">
        <v>210.16200000000001</v>
      </c>
      <c r="CJ10" s="6">
        <v>1165.4000000000001</v>
      </c>
      <c r="CK10" s="6">
        <v>76.731999999999999</v>
      </c>
      <c r="CL10" s="6">
        <v>718.42499999999995</v>
      </c>
      <c r="CM10" s="6">
        <v>551.4</v>
      </c>
      <c r="CN10" s="6">
        <v>33211.4</v>
      </c>
      <c r="CO10" s="6">
        <v>1624.922</v>
      </c>
      <c r="CP10" s="6">
        <v>280150.68300000002</v>
      </c>
      <c r="CQ10" s="6">
        <v>3650409.92</v>
      </c>
      <c r="CR10" s="6">
        <v>129220.928</v>
      </c>
      <c r="CS10" s="6">
        <v>505095.29599999997</v>
      </c>
      <c r="CT10" s="6">
        <v>2838022.8470000001</v>
      </c>
      <c r="CU10" s="6">
        <v>291125.39899999998</v>
      </c>
      <c r="CV10" s="6">
        <v>30115.913199999999</v>
      </c>
      <c r="CW10" s="6">
        <v>62081.881600000001</v>
      </c>
      <c r="CX10" s="6">
        <v>33162.4928</v>
      </c>
      <c r="CY10" s="6">
        <v>164317.448</v>
      </c>
      <c r="CZ10" s="6">
        <v>215998.78400000001</v>
      </c>
      <c r="DA10" s="6">
        <v>17650.47</v>
      </c>
      <c r="DB10" s="6">
        <v>147279.826</v>
      </c>
      <c r="DC10" s="6">
        <v>2863.48</v>
      </c>
      <c r="DD10" s="6">
        <v>2863.35</v>
      </c>
      <c r="DE10" s="6">
        <v>2886.07</v>
      </c>
      <c r="DF10" s="6">
        <v>0.998</v>
      </c>
      <c r="DG10" s="1" t="s">
        <v>187</v>
      </c>
      <c r="DH10" s="4">
        <f>Table2[[#This Row],[Date]]</f>
        <v>46208</v>
      </c>
      <c r="DI10">
        <f>(DD11-Table2[[#This Row],[MWH Total]])*4000</f>
        <v>17720.000000001164</v>
      </c>
      <c r="DJ10">
        <f>(DA11-Table2[[#This Row],[PNG Meter (Outside)]])*2.936</f>
        <v>98.94319999999145</v>
      </c>
      <c r="DK10">
        <f>(DB11-Table2[[#This Row],[PNG Meter (Inside)]])*2.936</f>
        <v>187.20816800001845</v>
      </c>
      <c r="DL10">
        <f>(BH11-Table2[[#This Row],[3F Dough cooler - 2 ]])*1000</f>
        <v>315.99999999997408</v>
      </c>
      <c r="DM10">
        <f>(BI11-Table2[[#This Row],[3F Dough Cooler- 1]])*1000</f>
        <v>629.99999999999545</v>
      </c>
      <c r="DN10">
        <f>(BJ11-Table2[[#This Row],[4F Dough Production cooling Unit]])*1000</f>
        <v>65.000000000001279</v>
      </c>
      <c r="DO10">
        <f>(BQ11-Table2[[#This Row],[3F2 - PDB 3 - Dough Production Area]])*1000</f>
        <v>274.00000000000091</v>
      </c>
      <c r="DP10">
        <f>(BR11-Table2[[#This Row],[3F3 - PDB 4 - Dough Area]])*1000</f>
        <v>158.00000000001546</v>
      </c>
      <c r="DQ10">
        <f>AC11-Table2[[#This Row],[16F1 Tray washer Panel for Light]]</f>
        <v>711.20000000018626</v>
      </c>
      <c r="DR10">
        <f>CQ11-Table2[[#This Row],[2F1 Tray Washer - 1]]</f>
        <v>1769.9199999999255</v>
      </c>
      <c r="DS10">
        <f>CS11-Table2[[#This Row],[2F5 Destacker]]</f>
        <v>529.31200000003446</v>
      </c>
      <c r="DT10">
        <f>CU11-Table2[[#This Row],[5F1 Metering (TW-2)]]</f>
        <v>277.66600000002654</v>
      </c>
      <c r="DU10">
        <f>CV11-Table2[[#This Row],[6F1 Pre soaker Tray washer]]</f>
        <v>2.9999999969732016E-4</v>
      </c>
      <c r="DV10">
        <f>CZ11-Table2[[#This Row],[6F5 Vent tray Storage]]</f>
        <v>52.031999999977415</v>
      </c>
      <c r="DW10">
        <f>I11-Table2[[#This Row],[Popeyes Meter ]]</f>
        <v>15.800000000000182</v>
      </c>
      <c r="DX10">
        <f>AZ11-Table2[[#This Row],[2F WH Chiller, Segregation Area]]</f>
        <v>0</v>
      </c>
      <c r="DY10">
        <f>BA11-Table2[[#This Row],[3F1 AC Unit WH dock cooling - 2 Nos]]</f>
        <v>21.360000000000582</v>
      </c>
      <c r="DZ10">
        <f>BB11-Table2[[#This Row],[3F2 AC Unit WH dock cooling - 3 Nos]]</f>
        <v>7.0000000000000284E-2</v>
      </c>
      <c r="EA10">
        <f>(BK11-Table2[[#This Row],[5F WH Perishable]])*1000</f>
        <v>413.00000000001091</v>
      </c>
      <c r="EB10">
        <f>BN11-Table2[[#This Row],[2F3 - PDB 9 - WH Dock Leveler Door ]]</f>
        <v>11.695200000000114</v>
      </c>
      <c r="EC10">
        <f>BP11-Table2[[#This Row],[3F1 - PDB 5 - WH HSD]]</f>
        <v>137.69599999999627</v>
      </c>
      <c r="ED10">
        <f>BX11-Table2[[#This Row],[8F1 WH Dock AHU - Ventilation]]</f>
        <v>3761.2790000000969</v>
      </c>
      <c r="EE10">
        <f>BZ11-Table2[[#This Row],[8F3 ACPDB - 4 WH Dock air curtain]]</f>
        <v>25.719999999986612</v>
      </c>
      <c r="EF10">
        <f>CA11-Table2[[#This Row],[8F4 WH Light]]</f>
        <v>3.7877000000000862</v>
      </c>
      <c r="EG10">
        <f>CC11-Table2[[#This Row],[9F1 - PDB 10 - WH Dock door &amp; Office]]</f>
        <v>123.63199999998324</v>
      </c>
      <c r="EH10">
        <f>CD11-Table2[[#This Row],[9F2 - PDB 11 - WH flycatchers]]</f>
        <v>106.68800000002375</v>
      </c>
      <c r="EI10">
        <f>CE11-Table2[[#This Row],[9F3 - PDB 12 - Other items]]</f>
        <v>0</v>
      </c>
      <c r="EJ10">
        <f>CR11-Table2[[#This Row],[2F3 - PDB 1 - Dock 1 to 4 ]]</f>
        <v>79.81600000000617</v>
      </c>
      <c r="EK10">
        <f>BM11-Table2[[#This Row],[2F2 - PDB 3 - WH Truck &amp; Battery Charging]]</f>
        <v>520.60800000000745</v>
      </c>
      <c r="EL10">
        <f>(CK11-Table2[[#This Row],[PDB - 11 Truck Charging]])*1000</f>
        <v>22.000000000005571</v>
      </c>
      <c r="EM10">
        <f>P11-Table2[[#This Row],[5F3 Admin Area]]</f>
        <v>547.8399999999674</v>
      </c>
      <c r="EN10">
        <f>AH11-Table2[[#This Row],[2F5 Main Gate-1 Piller -1]]</f>
        <v>142.9600000000064</v>
      </c>
      <c r="EO10">
        <f>CW11-Table2[[#This Row],[6F2 Ground Floor AC]]</f>
        <v>43.334399999999732</v>
      </c>
      <c r="EP10">
        <f>CX11-Table2[[#This Row],[6F3 ACBD -1 (First floor AC)]]</f>
        <v>15.238400000002002</v>
      </c>
      <c r="EQ10">
        <f>CY11-Table2[[#This Row],[6F4 ACBD - 2 (Second &amp; Third floor AC)]]</f>
        <v>122.76000000000931</v>
      </c>
      <c r="ER10">
        <f>(BC11-Table2[[#This Row],[4F Old BMC cooling Unit]])</f>
        <v>0</v>
      </c>
      <c r="ES10">
        <f>BO11-Table2[[#This Row],[2F4 - Old BMC]]</f>
        <v>0.95360000000073342</v>
      </c>
      <c r="ET10">
        <f>Y11-Table2[[#This Row],[14F2 New CK]]</f>
        <v>548.15999999991618</v>
      </c>
      <c r="EU10">
        <f>(CL11-Table2[[#This Row],[OLD Ck Panel-1]])*1000</f>
        <v>123.00000000004729</v>
      </c>
      <c r="EV10">
        <f>CM11-Table2[[#This Row],[2F4 Old CK Blast (Blue star)]]</f>
        <v>0</v>
      </c>
      <c r="EW10">
        <f>CN11-Table2[[#This Row],[3F6 Old CK Blast (Carrier)]]</f>
        <v>0.29999999999563443</v>
      </c>
      <c r="EX10">
        <f>(CO11-Table2[[#This Row],[Old CK Panel -2]])*1000</f>
        <v>947.99999999986539</v>
      </c>
      <c r="EY10">
        <f>N11-Table2[[#This Row],[4F1 Main UPS 1/C -1]]</f>
        <v>949.28000000002794</v>
      </c>
      <c r="EZ10">
        <f>Z11-Table2[[#This Row],[15F1 Main UPS Panel - I/C - 2]]</f>
        <v>0</v>
      </c>
      <c r="FA10">
        <f>BF11-Table2[[#This Row],[2F CLC -1 AC unit - 2]]</f>
        <v>0</v>
      </c>
      <c r="FB10">
        <f>(BG11-Table2[[#This Row],[2F CLC Anti room]])*1000</f>
        <v>4.9999999999954525</v>
      </c>
      <c r="FC10">
        <f>BW11-Table2[[#This Row],[7F3 CLC Power Panel]]</f>
        <v>170.49600000004284</v>
      </c>
      <c r="FD10">
        <f>(CI11-Table2[[#This Row],[PDB - 17 CLC Section ]])*1000</f>
        <v>122.99999999999045</v>
      </c>
      <c r="FE10">
        <f>(W11-Table2[[#This Row],[13F3 Water &amp; Lift Old CK]])*1000</f>
        <v>1315.0000000000546</v>
      </c>
      <c r="FF10">
        <f>AA11-Table2[[#This Row],[15F2 New ETP Panel]]</f>
        <v>293.76000000000931</v>
      </c>
      <c r="FG10">
        <f>AL11-Table2[[#This Row],[3F4 Old ETP Panel]]</f>
        <v>77.759999999951106</v>
      </c>
      <c r="FH10">
        <f>AF11-Table2[[#This Row],[2F1 RO Plant]]</f>
        <v>725.24799999990501</v>
      </c>
      <c r="FI10">
        <f>AK11-Table2[[#This Row],[3F3 Fire Hydrant Panel]]</f>
        <v>14.144000000000233</v>
      </c>
      <c r="FJ10">
        <f>R11-Table2[[#This Row],[7F1 Freon System Panel]]</f>
        <v>4631.0400000000373</v>
      </c>
      <c r="FK10">
        <f>(AE11-Table2[[#This Row],[21F1 Refrigeration Ammonia]])*1000</f>
        <v>7341.5000000004511</v>
      </c>
      <c r="FL10">
        <f>(AG11-Table2[[#This Row],[2F3 Air Compressor]])*1000</f>
        <v>1180.0000000000637</v>
      </c>
      <c r="FM10" s="49">
        <f>(AX11-Table2[[#This Row],[Solar Reading Panel II]])*1000</f>
        <v>3449.9999999998181</v>
      </c>
      <c r="FN10">
        <f>AI11-Table2[[#This Row],[3F1 Maintenance Workshop]]</f>
        <v>5.9104000000006636</v>
      </c>
      <c r="FO10">
        <f>BD11-Table2[[#This Row],[4F B2B unit ]]</f>
        <v>18.11199999996461</v>
      </c>
      <c r="FP10">
        <f>BL11-Table2[[#This Row],[2F1 - PDB 6 - Bread, B2B section]]</f>
        <v>15.724799999996321</v>
      </c>
      <c r="FQ10">
        <f>(CG11-Table2[[#This Row],[9F5 - PDB 14 - Bread Lift]])</f>
        <v>0.23040000000037253</v>
      </c>
      <c r="FR10">
        <f>CJ11-Table2[[#This Row],[PDB - 16 Bread Section]]</f>
        <v>0</v>
      </c>
      <c r="FS10">
        <f>BU11-Table2[[#This Row],[7F1 Donut Production area]]</f>
        <v>256.95999999996275</v>
      </c>
      <c r="FT10">
        <f>CB11-Table2[[#This Row],[8F5 Donut Ban Bary]]</f>
        <v>75.423999999999069</v>
      </c>
      <c r="FU10">
        <f>CF11-Table2[[#This Row],[9F4 - PDB 13 - Donut Sink Geyser area]]</f>
        <v>30.703999999997905</v>
      </c>
      <c r="FV10">
        <f>BV11-Table2[[#This Row],[7F2 Flour Silo]]</f>
        <v>592</v>
      </c>
      <c r="FW10">
        <f>BY11-Table2[[#This Row],[8F2 ACPDB - 3 SILO Ventilation]]</f>
        <v>66.079999999987194</v>
      </c>
      <c r="FX10">
        <f>J11-Table2[[#This Row],[DG 1010KVA Running Hours]]</f>
        <v>1</v>
      </c>
      <c r="FY10">
        <f>K11-Table2[[#This Row],[DG 1010 KVA Meter Reading]]</f>
        <v>340</v>
      </c>
      <c r="FZ10">
        <f>L11-Table2[[#This Row],[GG 1010 KVA Running Hours]]</f>
        <v>1</v>
      </c>
      <c r="GA10">
        <f>M11-Table2[[#This Row],[GG 1010 KVA Meter Reading]]</f>
        <v>0.30000000000001137</v>
      </c>
    </row>
    <row r="11" spans="1:183" x14ac:dyDescent="0.35">
      <c r="A11" s="1">
        <v>16</v>
      </c>
      <c r="B11" s="2">
        <v>46209.395324074103</v>
      </c>
      <c r="C11" s="2">
        <v>46209.443171296298</v>
      </c>
      <c r="D11" s="1" t="s">
        <v>111</v>
      </c>
      <c r="E11" s="1"/>
      <c r="F11" s="1"/>
      <c r="G11" s="3">
        <v>46209</v>
      </c>
      <c r="H11" s="1" t="s">
        <v>112</v>
      </c>
      <c r="I11" s="6">
        <v>5434.152</v>
      </c>
      <c r="J11" s="6">
        <v>4247.6000000000004</v>
      </c>
      <c r="K11" s="6">
        <v>1765244</v>
      </c>
      <c r="L11" s="6">
        <v>429</v>
      </c>
      <c r="M11" s="6">
        <v>178.61</v>
      </c>
      <c r="N11" s="6">
        <v>1842517.44</v>
      </c>
      <c r="O11" s="6">
        <v>4548634.88</v>
      </c>
      <c r="P11" s="6">
        <v>634682.36800000002</v>
      </c>
      <c r="Q11" s="6">
        <v>8010314.8799999999</v>
      </c>
      <c r="R11" s="6">
        <v>5378542.7199999997</v>
      </c>
      <c r="S11" s="6">
        <v>7271792</v>
      </c>
      <c r="T11" s="6">
        <v>42850238.284000002</v>
      </c>
      <c r="U11" s="6">
        <v>2067743.2</v>
      </c>
      <c r="V11" s="6">
        <v>5067736</v>
      </c>
      <c r="W11" s="6">
        <v>1573.8016</v>
      </c>
      <c r="X11" s="6">
        <v>766110.20799999998</v>
      </c>
      <c r="Y11" s="6">
        <v>1055909.28</v>
      </c>
      <c r="Z11" s="6">
        <v>2777.8894</v>
      </c>
      <c r="AA11" s="6">
        <v>660375.04000000004</v>
      </c>
      <c r="AB11" s="6">
        <v>420976.35200000001</v>
      </c>
      <c r="AC11" s="6">
        <v>2118179.6800000002</v>
      </c>
      <c r="AD11" s="6">
        <v>2402991.3149999999</v>
      </c>
      <c r="AE11" s="6">
        <v>12608.4944</v>
      </c>
      <c r="AF11" s="6">
        <v>859006.08</v>
      </c>
      <c r="AG11" s="6">
        <v>1368.038</v>
      </c>
      <c r="AH11" s="6">
        <v>130056.808</v>
      </c>
      <c r="AI11" s="6">
        <v>14480.715200000001</v>
      </c>
      <c r="AJ11" s="6">
        <v>145274.75200000001</v>
      </c>
      <c r="AK11" s="6">
        <v>104921.46400000001</v>
      </c>
      <c r="AL11" s="6">
        <v>328483.29599999997</v>
      </c>
      <c r="AM11" s="6">
        <v>974.26400000000001</v>
      </c>
      <c r="AN11" s="6">
        <v>263.8</v>
      </c>
      <c r="AO11" s="6">
        <v>7.1</v>
      </c>
      <c r="AP11" s="6">
        <v>185275</v>
      </c>
      <c r="AQ11" s="6">
        <v>42305</v>
      </c>
      <c r="AR11" s="6">
        <v>41760</v>
      </c>
      <c r="AS11" s="6">
        <v>0</v>
      </c>
      <c r="AT11" s="6">
        <v>0</v>
      </c>
      <c r="AU11" s="6">
        <v>14956</v>
      </c>
      <c r="AV11" s="6">
        <v>5959</v>
      </c>
      <c r="AW11" s="6">
        <v>20.733248</v>
      </c>
      <c r="AX11" s="50">
        <v>7166.2619999999997</v>
      </c>
      <c r="AY11" s="6">
        <v>675.16368</v>
      </c>
      <c r="AZ11" s="6">
        <v>20.788</v>
      </c>
      <c r="BA11" s="6">
        <v>9831.1869999999999</v>
      </c>
      <c r="BB11" s="6">
        <v>43.491999999999997</v>
      </c>
      <c r="BC11" s="6">
        <v>113978.504</v>
      </c>
      <c r="BD11" s="6">
        <v>274463.03999999998</v>
      </c>
      <c r="BE11" s="6">
        <v>3690.4140000000002</v>
      </c>
      <c r="BF11" s="6">
        <v>1712.0419999999999</v>
      </c>
      <c r="BG11" s="6">
        <v>74.137</v>
      </c>
      <c r="BH11" s="6">
        <v>354.65899999999999</v>
      </c>
      <c r="BI11" s="6">
        <v>901.90300000000002</v>
      </c>
      <c r="BJ11" s="6">
        <v>13.367000000000001</v>
      </c>
      <c r="BK11" s="6">
        <v>556.08600000000001</v>
      </c>
      <c r="BL11" s="6">
        <v>68231.8272</v>
      </c>
      <c r="BM11" s="6">
        <v>295455.74400000001</v>
      </c>
      <c r="BN11" s="6">
        <v>7127.4312</v>
      </c>
      <c r="BO11" s="6">
        <v>53505.718399999998</v>
      </c>
      <c r="BP11" s="6">
        <v>310650.36800000002</v>
      </c>
      <c r="BQ11" s="6">
        <v>319.53699999999998</v>
      </c>
      <c r="BR11" s="6">
        <v>178.05600000000001</v>
      </c>
      <c r="BS11" s="6">
        <v>977657.59900000005</v>
      </c>
      <c r="BT11" s="6">
        <v>1400509.4129999999</v>
      </c>
      <c r="BU11" s="6">
        <v>623204.41599999997</v>
      </c>
      <c r="BV11" s="6">
        <v>1009478.4</v>
      </c>
      <c r="BW11" s="6">
        <v>562087.04</v>
      </c>
      <c r="BX11" s="6">
        <v>932891.64800000004</v>
      </c>
      <c r="BY11" s="6">
        <v>156347.93599999999</v>
      </c>
      <c r="BZ11" s="6">
        <v>114165.68</v>
      </c>
      <c r="CA11" s="6">
        <v>1168.587</v>
      </c>
      <c r="CB11" s="6">
        <v>107144.024</v>
      </c>
      <c r="CC11" s="6">
        <v>147310.976</v>
      </c>
      <c r="CD11" s="6">
        <v>441529.47200000001</v>
      </c>
      <c r="CE11" s="6">
        <v>49125.260799999996</v>
      </c>
      <c r="CF11" s="6">
        <v>155258.128</v>
      </c>
      <c r="CG11" s="6">
        <v>360750.33120000002</v>
      </c>
      <c r="CH11" s="6">
        <v>2385.8710000000001</v>
      </c>
      <c r="CI11" s="6">
        <v>210.285</v>
      </c>
      <c r="CJ11" s="6">
        <v>1165.4000000000001</v>
      </c>
      <c r="CK11" s="6">
        <v>76.754000000000005</v>
      </c>
      <c r="CL11" s="6">
        <v>718.548</v>
      </c>
      <c r="CM11" s="6">
        <v>551.4</v>
      </c>
      <c r="CN11" s="6">
        <v>33211.699999999997</v>
      </c>
      <c r="CO11" s="6">
        <v>1625.87</v>
      </c>
      <c r="CP11" s="6">
        <v>290373.33299999998</v>
      </c>
      <c r="CQ11" s="6">
        <v>3652179.84</v>
      </c>
      <c r="CR11" s="6">
        <v>129300.74400000001</v>
      </c>
      <c r="CS11" s="6">
        <v>505624.60800000001</v>
      </c>
      <c r="CT11" s="6">
        <v>2842347.7949999999</v>
      </c>
      <c r="CU11" s="6">
        <v>291403.065</v>
      </c>
      <c r="CV11" s="6">
        <v>30115.913499999999</v>
      </c>
      <c r="CW11" s="6">
        <v>62125.216</v>
      </c>
      <c r="CX11" s="6">
        <v>33177.731200000002</v>
      </c>
      <c r="CY11" s="6">
        <v>164440.20800000001</v>
      </c>
      <c r="CZ11" s="6">
        <v>216050.81599999999</v>
      </c>
      <c r="DA11" s="6">
        <v>17684.169999999998</v>
      </c>
      <c r="DB11" s="6">
        <v>147343.58900000001</v>
      </c>
      <c r="DC11" s="6">
        <v>2867.91</v>
      </c>
      <c r="DD11" s="6">
        <v>2867.78</v>
      </c>
      <c r="DE11" s="6">
        <v>2890.55</v>
      </c>
      <c r="DF11" s="6">
        <v>0.998</v>
      </c>
      <c r="DG11" s="1" t="s">
        <v>189</v>
      </c>
      <c r="DH11" s="4">
        <f>Table2[[#This Row],[Date]]</f>
        <v>46209</v>
      </c>
      <c r="DI11">
        <f>(DD12-Table2[[#This Row],[MWH Total]])*4000</f>
        <v>23839.999999998327</v>
      </c>
      <c r="DJ11">
        <f>(DA12-Table2[[#This Row],[PNG Meter (Outside)]])*2.936</f>
        <v>203.64096000000171</v>
      </c>
      <c r="DK11">
        <f>(DB12-Table2[[#This Row],[PNG Meter (Inside)]])*2.936</f>
        <v>291.01338400001777</v>
      </c>
      <c r="DL11">
        <f>(BH12-Table2[[#This Row],[3F Dough cooler - 2 ]])*1000</f>
        <v>275.00000000003411</v>
      </c>
      <c r="DM11">
        <f>(BI12-Table2[[#This Row],[3F Dough Cooler- 1]])*1000</f>
        <v>463.99999999994179</v>
      </c>
      <c r="DN11">
        <f>(BJ12-Table2[[#This Row],[4F Dough Production cooling Unit]])*1000</f>
        <v>42.999999999999261</v>
      </c>
      <c r="DO11">
        <f>(BQ12-Table2[[#This Row],[3F2 - PDB 3 - Dough Production Area]])*1000</f>
        <v>189.99999999999773</v>
      </c>
      <c r="DP11">
        <f>(BR12-Table2[[#This Row],[3F3 - PDB 4 - Dough Area]])*1000</f>
        <v>110.99999999999</v>
      </c>
      <c r="DQ11">
        <f>AC12-Table2[[#This Row],[16F1 Tray washer Panel for Light]]</f>
        <v>636.63999999966472</v>
      </c>
      <c r="DR11">
        <f>CQ12-Table2[[#This Row],[2F1 Tray Washer - 1]]</f>
        <v>1072.9599999999627</v>
      </c>
      <c r="DS11">
        <f>CS12-Table2[[#This Row],[2F5 Destacker]]</f>
        <v>359.93599999998696</v>
      </c>
      <c r="DT11">
        <f>CU12-Table2[[#This Row],[5F1 Metering (TW-2)]]</f>
        <v>245.98599999997532</v>
      </c>
      <c r="DU11">
        <f>CV12-Table2[[#This Row],[6F1 Pre soaker Tray washer]]</f>
        <v>2.1473000000005413</v>
      </c>
      <c r="DV11">
        <f>CZ12-Table2[[#This Row],[6F5 Vent tray Storage]]</f>
        <v>62.271999999997206</v>
      </c>
      <c r="DW11">
        <f>I12-Table2[[#This Row],[Popeyes Meter ]]</f>
        <v>63.519999999999527</v>
      </c>
      <c r="DX11">
        <f>AZ12-Table2[[#This Row],[2F WH Chiller, Segregation Area]]</f>
        <v>0</v>
      </c>
      <c r="DY11">
        <f>BA12-Table2[[#This Row],[3F1 AC Unit WH dock cooling - 2 Nos]]</f>
        <v>18.020000000000437</v>
      </c>
      <c r="DZ11">
        <f>BB12-Table2[[#This Row],[3F2 AC Unit WH dock cooling - 3 Nos]]</f>
        <v>4.700000000000415E-2</v>
      </c>
      <c r="EA11">
        <f>(BK12-Table2[[#This Row],[5F WH Perishable]])*1000</f>
        <v>303.99999999997362</v>
      </c>
      <c r="EB11">
        <f>BN12-Table2[[#This Row],[2F3 - PDB 9 - WH Dock Leveler Door ]]</f>
        <v>5.5432000000000698</v>
      </c>
      <c r="EC11">
        <f>BP12-Table2[[#This Row],[3F1 - PDB 5 - WH HSD]]</f>
        <v>153.31199999997625</v>
      </c>
      <c r="ED11">
        <f>BX12-Table2[[#This Row],[8F1 WH Dock AHU - Ventilation]]</f>
        <v>2320.8319999999367</v>
      </c>
      <c r="EE11">
        <f>BZ12-Table2[[#This Row],[8F3 ACPDB - 4 WH Dock air curtain]]</f>
        <v>24.552000000010594</v>
      </c>
      <c r="EF11">
        <f>CA12-Table2[[#This Row],[8F4 WH Light]]</f>
        <v>2.6750999999999294</v>
      </c>
      <c r="EG11">
        <f>CC12-Table2[[#This Row],[9F1 - PDB 10 - WH Dock door &amp; Office]]</f>
        <v>98.38399999999092</v>
      </c>
      <c r="EH11">
        <f>CD12-Table2[[#This Row],[9F2 - PDB 11 - WH flycatchers]]</f>
        <v>209.79200000001583</v>
      </c>
      <c r="EI11">
        <f>CE12-Table2[[#This Row],[9F3 - PDB 12 - Other items]]</f>
        <v>0</v>
      </c>
      <c r="EJ11">
        <f>CR12-Table2[[#This Row],[2F3 - PDB 1 - Dock 1 to 4 ]]</f>
        <v>69.007999999987078</v>
      </c>
      <c r="EK11">
        <f>BM12-Table2[[#This Row],[2F2 - PDB 3 - WH Truck &amp; Battery Charging]]</f>
        <v>653.0559999999823</v>
      </c>
      <c r="EL11">
        <f>(CK12-Table2[[#This Row],[PDB - 11 Truck Charging]])*1000</f>
        <v>70.999999999997954</v>
      </c>
      <c r="EM11">
        <f>P12-Table2[[#This Row],[5F3 Admin Area]]</f>
        <v>374.52799999993294</v>
      </c>
      <c r="EN11">
        <f>AH12-Table2[[#This Row],[2F5 Main Gate-1 Piller -1]]</f>
        <v>145.45599999999104</v>
      </c>
      <c r="EO11">
        <f>CW12-Table2[[#This Row],[6F2 Ground Floor AC]]</f>
        <v>29.99040000000241</v>
      </c>
      <c r="EP11">
        <f>CX12-Table2[[#This Row],[6F3 ACBD -1 (First floor AC)]]</f>
        <v>17.929599999995844</v>
      </c>
      <c r="EQ11">
        <f>CY12-Table2[[#This Row],[6F4 ACBD - 2 (Second &amp; Third floor AC)]]</f>
        <v>94.271999999997206</v>
      </c>
      <c r="ER11">
        <f>(BC12-Table2[[#This Row],[4F Old BMC cooling Unit]])</f>
        <v>0</v>
      </c>
      <c r="ES11">
        <f>BO12-Table2[[#This Row],[2F4 - Old BMC]]</f>
        <v>0</v>
      </c>
      <c r="ET11">
        <f>Y12-Table2[[#This Row],[14F2 New CK]]</f>
        <v>1339.4399999999441</v>
      </c>
      <c r="EU11">
        <f>(CL12-Table2[[#This Row],[OLD Ck Panel-1]])*1000</f>
        <v>634.99999999999091</v>
      </c>
      <c r="EV11">
        <f>CM12-Table2[[#This Row],[2F4 Old CK Blast (Blue star)]]</f>
        <v>0</v>
      </c>
      <c r="EW11">
        <f>CN12-Table2[[#This Row],[3F6 Old CK Blast (Carrier)]]</f>
        <v>530.20000000000437</v>
      </c>
      <c r="EX11">
        <f>(CO12-Table2[[#This Row],[Old CK Panel -2]])*1000</f>
        <v>900.00000000009095</v>
      </c>
      <c r="EY11">
        <f>N12-Table2[[#This Row],[4F1 Main UPS 1/C -1]]</f>
        <v>875.19999999995343</v>
      </c>
      <c r="EZ11">
        <f>Z12-Table2[[#This Row],[15F1 Main UPS Panel - I/C - 2]]</f>
        <v>0</v>
      </c>
      <c r="FA11">
        <f>BF12-Table2[[#This Row],[2F CLC -1 AC unit - 2]]</f>
        <v>0</v>
      </c>
      <c r="FB11">
        <f>(BG12-Table2[[#This Row],[2F CLC Anti room]])*1000</f>
        <v>33.000000000001251</v>
      </c>
      <c r="FC11">
        <f>BW12-Table2[[#This Row],[7F3 CLC Power Panel]]</f>
        <v>198.14399999997113</v>
      </c>
      <c r="FD11">
        <f>(CI12-Table2[[#This Row],[PDB - 17 CLC Section ]])*1000</f>
        <v>134.99999999999091</v>
      </c>
      <c r="FE11">
        <f>(W12-Table2[[#This Row],[13F3 Water &amp; Lift Old CK]])*1000</f>
        <v>496.10000000006949</v>
      </c>
      <c r="FF11">
        <f>AA12-Table2[[#This Row],[15F2 New ETP Panel]]</f>
        <v>256.89599999994971</v>
      </c>
      <c r="FG11">
        <f>AL12-Table2[[#This Row],[3F4 Old ETP Panel]]</f>
        <v>74.496000000042841</v>
      </c>
      <c r="FH11">
        <f>AF12-Table2[[#This Row],[2F1 RO Plant]]</f>
        <v>595.96799999999348</v>
      </c>
      <c r="FI11">
        <f>AK12-Table2[[#This Row],[3F3 Fire Hydrant Panel]]</f>
        <v>8.8399999999965075</v>
      </c>
      <c r="FJ11">
        <f>R12-Table2[[#This Row],[7F1 Freon System Panel]]</f>
        <v>5694.0800000000745</v>
      </c>
      <c r="FK11">
        <f>(AE12-Table2[[#This Row],[21F1 Refrigeration Ammonia]])*1000</f>
        <v>7471.1999999999534</v>
      </c>
      <c r="FL11">
        <f>(AG12-Table2[[#This Row],[2F3 Air Compressor]])*1000</f>
        <v>1004.9999999998818</v>
      </c>
      <c r="FM11">
        <f>(AX12-Table2[[#This Row],[Solar Reading Panel II]])*1000</f>
        <v>3650.0000000005457</v>
      </c>
      <c r="FN11">
        <f>AI12-Table2[[#This Row],[3F1 Maintenance Workshop]]</f>
        <v>4.5615999999990891</v>
      </c>
      <c r="FO11">
        <f>BD12-Table2[[#This Row],[4F B2B unit ]]</f>
        <v>34.592000000004191</v>
      </c>
      <c r="FP11">
        <f>BL12-Table2[[#This Row],[2F1 - PDB 6 - Bread, B2B section]]</f>
        <v>56.14079999999376</v>
      </c>
      <c r="FQ11">
        <f>(CG12-Table2[[#This Row],[9F5 - PDB 14 - Bread Lift]])</f>
        <v>0.12479999999050051</v>
      </c>
      <c r="FR11">
        <f>CJ12-Table2[[#This Row],[PDB - 16 Bread Section]]</f>
        <v>0</v>
      </c>
      <c r="FS11">
        <f>BU12-Table2[[#This Row],[7F1 Donut Production area]]</f>
        <v>223.23200000007637</v>
      </c>
      <c r="FT11">
        <f>CB12-Table2[[#This Row],[8F5 Donut Ban Bary]]</f>
        <v>65.072000000000116</v>
      </c>
      <c r="FU11">
        <f>CF12-Table2[[#This Row],[9F4 - PDB 13 - Donut Sink Geyser area]]</f>
        <v>12.512000000016997</v>
      </c>
      <c r="FV11">
        <f>BV12-Table2[[#This Row],[7F2 Flour Silo]]</f>
        <v>419.43999999994412</v>
      </c>
      <c r="FW11">
        <f>BY12-Table2[[#This Row],[8F2 ACPDB - 3 SILO Ventilation]]</f>
        <v>46.960000000020955</v>
      </c>
      <c r="FX11">
        <f>J12-Table2[[#This Row],[DG 1010KVA Running Hours]]</f>
        <v>0.7999999999992724</v>
      </c>
      <c r="FY11">
        <f>K12-Table2[[#This Row],[DG 1010 KVA Meter Reading]]</f>
        <v>447</v>
      </c>
      <c r="FZ11">
        <f>L12-Table2[[#This Row],[GG 1010 KVA Running Hours]]</f>
        <v>1</v>
      </c>
      <c r="GA11">
        <f>M12-Table2[[#This Row],[GG 1010 KVA Meter Reading]]</f>
        <v>0.45999999999997954</v>
      </c>
    </row>
    <row r="12" spans="1:183" x14ac:dyDescent="0.35">
      <c r="A12" s="1">
        <v>18</v>
      </c>
      <c r="B12" s="2">
        <v>46210.355231481502</v>
      </c>
      <c r="C12" s="2">
        <v>46210.413530092599</v>
      </c>
      <c r="D12" s="1" t="s">
        <v>111</v>
      </c>
      <c r="E12" s="1"/>
      <c r="F12" s="1"/>
      <c r="G12" s="3">
        <v>46210</v>
      </c>
      <c r="H12" s="1" t="s">
        <v>112</v>
      </c>
      <c r="I12" s="6">
        <v>5497.6719999999996</v>
      </c>
      <c r="J12" s="6">
        <v>4248.3999999999996</v>
      </c>
      <c r="K12" s="6">
        <v>1765691</v>
      </c>
      <c r="L12" s="6">
        <v>430</v>
      </c>
      <c r="M12" s="6">
        <v>179.07</v>
      </c>
      <c r="N12" s="6">
        <v>1843392.64</v>
      </c>
      <c r="O12" s="6">
        <v>4550341.12</v>
      </c>
      <c r="P12" s="6">
        <v>635056.89599999995</v>
      </c>
      <c r="Q12" s="6">
        <v>8013418.8799999999</v>
      </c>
      <c r="R12" s="6">
        <v>5384236.7999999998</v>
      </c>
      <c r="S12" s="6">
        <v>7274763.5199999996</v>
      </c>
      <c r="T12" s="6">
        <v>42434965.545999996</v>
      </c>
      <c r="U12" s="6">
        <v>2068987.04</v>
      </c>
      <c r="V12" s="6">
        <v>5068927.3600000003</v>
      </c>
      <c r="W12" s="6">
        <v>1574.2977000000001</v>
      </c>
      <c r="X12" s="6">
        <v>766362.17599999998</v>
      </c>
      <c r="Y12" s="6">
        <v>1057248.72</v>
      </c>
      <c r="Z12" s="6">
        <v>2777.8894</v>
      </c>
      <c r="AA12" s="6">
        <v>660631.93599999999</v>
      </c>
      <c r="AB12" s="6">
        <v>420988.70400000003</v>
      </c>
      <c r="AC12" s="6">
        <v>2118816.3199999998</v>
      </c>
      <c r="AD12" s="6">
        <v>2411364.199</v>
      </c>
      <c r="AE12" s="6">
        <v>12615.9656</v>
      </c>
      <c r="AF12" s="6">
        <v>859602.04799999995</v>
      </c>
      <c r="AG12" s="6">
        <v>1369.0429999999999</v>
      </c>
      <c r="AH12" s="6">
        <v>130202.264</v>
      </c>
      <c r="AI12" s="6">
        <v>14485.2768</v>
      </c>
      <c r="AJ12" s="6">
        <v>145278.68799999999</v>
      </c>
      <c r="AK12" s="6">
        <v>104930.304</v>
      </c>
      <c r="AL12" s="6">
        <v>328557.79200000002</v>
      </c>
      <c r="AM12" s="6">
        <v>974.79399999999998</v>
      </c>
      <c r="AN12" s="6">
        <v>221</v>
      </c>
      <c r="AO12" s="6">
        <v>7</v>
      </c>
      <c r="AP12" s="6">
        <v>194225</v>
      </c>
      <c r="AQ12" s="6">
        <v>42305</v>
      </c>
      <c r="AR12" s="6">
        <v>41760</v>
      </c>
      <c r="AS12" s="6">
        <v>0</v>
      </c>
      <c r="AT12" s="6">
        <v>0</v>
      </c>
      <c r="AU12" s="6">
        <v>14979</v>
      </c>
      <c r="AV12" s="6">
        <v>5975</v>
      </c>
      <c r="AW12" s="6">
        <v>20.740563999999999</v>
      </c>
      <c r="AX12" s="50">
        <v>7169.9120000000003</v>
      </c>
      <c r="AY12" s="6">
        <v>675.27927999999997</v>
      </c>
      <c r="AZ12" s="6">
        <v>20.788</v>
      </c>
      <c r="BA12" s="6">
        <v>9849.2070000000003</v>
      </c>
      <c r="BB12" s="6">
        <v>43.539000000000001</v>
      </c>
      <c r="BC12" s="6">
        <v>113978.504</v>
      </c>
      <c r="BD12" s="6">
        <v>274497.63199999998</v>
      </c>
      <c r="BE12" s="6">
        <v>3691.4476</v>
      </c>
      <c r="BF12" s="6">
        <v>1712.0419999999999</v>
      </c>
      <c r="BG12" s="6">
        <v>74.17</v>
      </c>
      <c r="BH12" s="6">
        <v>354.93400000000003</v>
      </c>
      <c r="BI12" s="6">
        <v>902.36699999999996</v>
      </c>
      <c r="BJ12" s="6">
        <v>13.41</v>
      </c>
      <c r="BK12" s="6">
        <v>556.39</v>
      </c>
      <c r="BL12" s="6">
        <v>68287.967999999993</v>
      </c>
      <c r="BM12" s="6">
        <v>296108.79999999999</v>
      </c>
      <c r="BN12" s="6">
        <v>7132.9744000000001</v>
      </c>
      <c r="BO12" s="6">
        <v>53505.718399999998</v>
      </c>
      <c r="BP12" s="6">
        <v>310803.68</v>
      </c>
      <c r="BQ12" s="6">
        <v>319.72699999999998</v>
      </c>
      <c r="BR12" s="6">
        <v>178.167</v>
      </c>
      <c r="BS12" s="6">
        <v>978889.29599999997</v>
      </c>
      <c r="BT12" s="6">
        <v>1400514.5959999999</v>
      </c>
      <c r="BU12" s="6">
        <v>623427.64800000004</v>
      </c>
      <c r="BV12" s="6">
        <v>1009897.84</v>
      </c>
      <c r="BW12" s="6">
        <v>562285.18400000001</v>
      </c>
      <c r="BX12" s="6">
        <v>935212.48</v>
      </c>
      <c r="BY12" s="6">
        <v>156394.89600000001</v>
      </c>
      <c r="BZ12" s="6">
        <v>114190.232</v>
      </c>
      <c r="CA12" s="6">
        <v>1171.2620999999999</v>
      </c>
      <c r="CB12" s="6">
        <v>107209.09600000001</v>
      </c>
      <c r="CC12" s="6">
        <v>147409.35999999999</v>
      </c>
      <c r="CD12" s="6">
        <v>441739.26400000002</v>
      </c>
      <c r="CE12" s="6">
        <v>49125.260799999996</v>
      </c>
      <c r="CF12" s="6">
        <v>155270.64000000001</v>
      </c>
      <c r="CG12" s="6">
        <v>360750.45600000001</v>
      </c>
      <c r="CH12" s="6">
        <v>2385.8710000000001</v>
      </c>
      <c r="CI12" s="6">
        <v>210.42</v>
      </c>
      <c r="CJ12" s="6">
        <v>1165.4000000000001</v>
      </c>
      <c r="CK12" s="6">
        <v>76.825000000000003</v>
      </c>
      <c r="CL12" s="6">
        <v>719.18299999999999</v>
      </c>
      <c r="CM12" s="6">
        <v>551.4</v>
      </c>
      <c r="CN12" s="6">
        <v>33741.9</v>
      </c>
      <c r="CO12" s="6">
        <v>1626.77</v>
      </c>
      <c r="CP12" s="6">
        <v>290484.39299999998</v>
      </c>
      <c r="CQ12" s="6">
        <v>3653252.8</v>
      </c>
      <c r="CR12" s="6">
        <v>129369.75199999999</v>
      </c>
      <c r="CS12" s="6">
        <v>505984.54399999999</v>
      </c>
      <c r="CT12" s="6">
        <v>2845397.8220000002</v>
      </c>
      <c r="CU12" s="6">
        <v>291649.05099999998</v>
      </c>
      <c r="CV12" s="6">
        <v>30118.060799999999</v>
      </c>
      <c r="CW12" s="6">
        <v>62155.206400000003</v>
      </c>
      <c r="CX12" s="6">
        <v>33195.660799999998</v>
      </c>
      <c r="CY12" s="6">
        <v>164534.48000000001</v>
      </c>
      <c r="CZ12" s="6">
        <v>216113.08799999999</v>
      </c>
      <c r="DA12" s="6">
        <v>17753.53</v>
      </c>
      <c r="DB12" s="6">
        <v>147442.70800000001</v>
      </c>
      <c r="DC12" s="6">
        <v>2873.83</v>
      </c>
      <c r="DD12" s="6">
        <v>2873.74</v>
      </c>
      <c r="DE12" s="6">
        <v>2896.7</v>
      </c>
      <c r="DF12" s="6">
        <v>0.997</v>
      </c>
      <c r="DG12" s="1" t="s">
        <v>190</v>
      </c>
      <c r="DH12" s="4">
        <f>Table2[[#This Row],[Date]]</f>
        <v>46210</v>
      </c>
      <c r="DI12">
        <f>(DD13-Table2[[#This Row],[MWH Total]])*4000</f>
        <v>26960.000000000946</v>
      </c>
      <c r="DJ12">
        <f>(DA13-Table2[[#This Row],[PNG Meter (Outside)]])*2.936</f>
        <v>12.566080000007263</v>
      </c>
      <c r="DK12">
        <f>(DB13-Table2[[#This Row],[PNG Meter (Inside)]])*2.936</f>
        <v>227.73083999992139</v>
      </c>
      <c r="DL12">
        <f>(BH13-Table2[[#This Row],[3F Dough cooler - 2 ]])*1000</f>
        <v>292.99999999994952</v>
      </c>
      <c r="DM12">
        <f>(BI13-Table2[[#This Row],[3F Dough Cooler- 1]])*1000</f>
        <v>488.00000000005639</v>
      </c>
      <c r="DN12">
        <f>(BJ13-Table2[[#This Row],[4F Dough Production cooling Unit]])*1000</f>
        <v>44.999999999999929</v>
      </c>
      <c r="DO12">
        <f>(BQ13-Table2[[#This Row],[3F2 - PDB 3 - Dough Production Area]])*1000</f>
        <v>191.00000000003092</v>
      </c>
      <c r="DP12">
        <f>(BR13-Table2[[#This Row],[3F3 - PDB 4 - Dough Area]])*1000</f>
        <v>109.00000000000887</v>
      </c>
      <c r="DQ12">
        <f>AC13-Table2[[#This Row],[16F1 Tray washer Panel for Light]]</f>
        <v>699.20000000018626</v>
      </c>
      <c r="DR12">
        <f>CQ13-Table2[[#This Row],[2F1 Tray Washer - 1]]</f>
        <v>1120.9599999999627</v>
      </c>
      <c r="DS12">
        <f>CS13-Table2[[#This Row],[2F5 Destacker]]</f>
        <v>357.53600000002189</v>
      </c>
      <c r="DT12">
        <f>CU13-Table2[[#This Row],[5F1 Metering (TW-2)]]</f>
        <v>254.35700000001816</v>
      </c>
      <c r="DU12">
        <f>CV13-Table2[[#This Row],[6F1 Pre soaker Tray washer]]</f>
        <v>1.6000000000021828</v>
      </c>
      <c r="DV12">
        <f>CZ13-Table2[[#This Row],[6F5 Vent tray Storage]]</f>
        <v>76.320000000006985</v>
      </c>
      <c r="DW12">
        <f>I13-Table2[[#This Row],[Popeyes Meter ]]</f>
        <v>26.3100000000004</v>
      </c>
      <c r="DX12">
        <f>AZ13-Table2[[#This Row],[2F WH Chiller, Segregation Area]]</f>
        <v>0</v>
      </c>
      <c r="DY12">
        <f>BA13-Table2[[#This Row],[3F1 AC Unit WH dock cooling - 2 Nos]]</f>
        <v>22.899999999999636</v>
      </c>
      <c r="DZ12">
        <f>BB13-Table2[[#This Row],[3F2 AC Unit WH dock cooling - 3 Nos]]</f>
        <v>4.6999999999997044E-2</v>
      </c>
      <c r="EA12">
        <f>(BK13-Table2[[#This Row],[5F WH Perishable]])*1000</f>
        <v>316.00000000003092</v>
      </c>
      <c r="EB12">
        <f>BN13-Table2[[#This Row],[2F3 - PDB 9 - WH Dock Leveler Door ]]</f>
        <v>1.5519999999996799</v>
      </c>
      <c r="EC12">
        <f>BP13-Table2[[#This Row],[3F1 - PDB 5 - WH HSD]]</f>
        <v>172.64000000001397</v>
      </c>
      <c r="ED12">
        <f>BX13-Table2[[#This Row],[8F1 WH Dock AHU - Ventilation]]</f>
        <v>2448.704000000027</v>
      </c>
      <c r="EE12">
        <f>BZ13-Table2[[#This Row],[8F3 ACPDB - 4 WH Dock air curtain]]</f>
        <v>18.959999999991851</v>
      </c>
      <c r="EF12">
        <f>CA13-Table2[[#This Row],[8F4 WH Light]]</f>
        <v>2.7932000000000698</v>
      </c>
      <c r="EG12">
        <f>CC13-Table2[[#This Row],[9F1 - PDB 10 - WH Dock door &amp; Office]]</f>
        <v>79.28000000002794</v>
      </c>
      <c r="EH12">
        <f>CD13-Table2[[#This Row],[9F2 - PDB 11 - WH flycatchers]]</f>
        <v>96</v>
      </c>
      <c r="EI12">
        <f>CE13-Table2[[#This Row],[9F3 - PDB 12 - Other items]]</f>
        <v>0</v>
      </c>
      <c r="EJ12">
        <f>CR13-Table2[[#This Row],[2F3 - PDB 1 - Dock 1 to 4 ]]</f>
        <v>52.104000000006636</v>
      </c>
      <c r="EK12">
        <f>BM13-Table2[[#This Row],[2F2 - PDB 3 - WH Truck &amp; Battery Charging]]</f>
        <v>475.04000000003725</v>
      </c>
      <c r="EL12">
        <f>(CK13-Table2[[#This Row],[PDB - 11 Truck Charging]])*1000</f>
        <v>18.999999999991246</v>
      </c>
      <c r="EM12">
        <f>P13-Table2[[#This Row],[5F3 Admin Area]]</f>
        <v>367.48800000001211</v>
      </c>
      <c r="EN12">
        <f>AH13-Table2[[#This Row],[2F5 Main Gate-1 Piller -1]]</f>
        <v>111.07200000000012</v>
      </c>
      <c r="EO12">
        <f>CW13-Table2[[#This Row],[6F2 Ground Floor AC]]</f>
        <v>28.051199999994424</v>
      </c>
      <c r="EP12">
        <f>CX13-Table2[[#This Row],[6F3 ACBD -1 (First floor AC)]]</f>
        <v>10.582399999999325</v>
      </c>
      <c r="EQ12">
        <f>CY13-Table2[[#This Row],[6F4 ACBD - 2 (Second &amp; Third floor AC)]]</f>
        <v>100.09599999999045</v>
      </c>
      <c r="ER12">
        <f>(BC13-Table2[[#This Row],[4F Old BMC cooling Unit]])</f>
        <v>0</v>
      </c>
      <c r="ES12">
        <f>BO13-Table2[[#This Row],[2F4 - Old BMC]]</f>
        <v>3.9328000000023167</v>
      </c>
      <c r="ET12">
        <f>Y13-Table2[[#This Row],[14F2 New CK]]</f>
        <v>1388.5600000000559</v>
      </c>
      <c r="EU12">
        <f>(CL13-Table2[[#This Row],[OLD Ck Panel-1]])*1000</f>
        <v>305.00000000006366</v>
      </c>
      <c r="EV12">
        <f>CM13-Table2[[#This Row],[2F4 Old CK Blast (Blue star)]]</f>
        <v>0</v>
      </c>
      <c r="EW12">
        <f>CN13-Table2[[#This Row],[3F6 Old CK Blast (Carrier)]]</f>
        <v>227.40000000000146</v>
      </c>
      <c r="EX12">
        <f>(CO13-Table2[[#This Row],[Old CK Panel -2]])*1000</f>
        <v>716.00000000012187</v>
      </c>
      <c r="EY12">
        <f>N13-Table2[[#This Row],[4F1 Main UPS 1/C -1]]</f>
        <v>929.76000000000931</v>
      </c>
      <c r="EZ12">
        <f>Z13-Table2[[#This Row],[15F1 Main UPS Panel - I/C - 2]]</f>
        <v>0</v>
      </c>
      <c r="FA12">
        <f>BF13-Table2[[#This Row],[2F CLC -1 AC unit - 2]]</f>
        <v>0</v>
      </c>
      <c r="FB12">
        <f>(BG13-Table2[[#This Row],[2F CLC Anti room]])*1000</f>
        <v>34.999999999996589</v>
      </c>
      <c r="FC12">
        <f>BW13-Table2[[#This Row],[7F3 CLC Power Panel]]</f>
        <v>230.52800000004936</v>
      </c>
      <c r="FD12">
        <f>(CI13-Table2[[#This Row],[PDB - 17 CLC Section ]])*1000</f>
        <v>154.00000000002478</v>
      </c>
      <c r="FE12">
        <f>(W13-Table2[[#This Row],[13F3 Water &amp; Lift Old CK]])*1000</f>
        <v>859.50000000002547</v>
      </c>
      <c r="FF12">
        <f>AA13-Table2[[#This Row],[15F2 New ETP Panel]]</f>
        <v>291.90399999998044</v>
      </c>
      <c r="FG12">
        <f>AL13-Table2[[#This Row],[3F4 Old ETP Panel]]</f>
        <v>71.231999999959953</v>
      </c>
      <c r="FH12">
        <f>AF13-Table2[[#This Row],[2F1 RO Plant]]</f>
        <v>604.67200000002049</v>
      </c>
      <c r="FI12">
        <f>AK13-Table2[[#This Row],[3F3 Fire Hydrant Panel]]</f>
        <v>11.152000000001863</v>
      </c>
      <c r="FJ12">
        <f>R13-Table2[[#This Row],[7F1 Freon System Panel]]</f>
        <v>5899.5300000002608</v>
      </c>
      <c r="FK12">
        <f>(AE13-Table2[[#This Row],[21F1 Refrigeration Ammonia]])*1000</f>
        <v>7273.6000000004424</v>
      </c>
      <c r="FL12">
        <f>(AG13-Table2[[#This Row],[2F3 Air Compressor]])*1000</f>
        <v>1058.0000000002201</v>
      </c>
      <c r="FM12">
        <f>(AX13-Table2[[#This Row],[Solar Reading Panel II]])*1000</f>
        <v>3099.9999999994543</v>
      </c>
      <c r="FN12">
        <f>AI13-Table2[[#This Row],[3F1 Maintenance Workshop]]</f>
        <v>6.1648000000004686</v>
      </c>
      <c r="FO12">
        <f>BD13-Table2[[#This Row],[4F B2B unit ]]</f>
        <v>22.368000000016764</v>
      </c>
      <c r="FP12">
        <f>BL13-Table2[[#This Row],[2F1 - PDB 6 - Bread, B2B section]]</f>
        <v>53.280000000013388</v>
      </c>
      <c r="FQ12">
        <f>(CG13-Table2[[#This Row],[9F5 - PDB 14 - Bread Lift]])</f>
        <v>0.41920000000391155</v>
      </c>
      <c r="FR12">
        <f>CJ13-Table2[[#This Row],[PDB - 16 Bread Section]]</f>
        <v>0.79999999999995453</v>
      </c>
      <c r="FS12">
        <f>BU13-Table2[[#This Row],[7F1 Donut Production area]]</f>
        <v>206.07999999995809</v>
      </c>
      <c r="FT12">
        <f>CB13-Table2[[#This Row],[8F5 Donut Ban Bary]]</f>
        <v>78.335999999995693</v>
      </c>
      <c r="FU12">
        <f>CF13-Table2[[#This Row],[9F4 - PDB 13 - Donut Sink Geyser area]]</f>
        <v>15.839999999996508</v>
      </c>
      <c r="FV12">
        <f>BV13-Table2[[#This Row],[7F2 Flour Silo]]</f>
        <v>360.32000000006519</v>
      </c>
      <c r="FW12">
        <f>BY13-Table2[[#This Row],[8F2 ACPDB - 3 SILO Ventilation]]</f>
        <v>49.024000000004889</v>
      </c>
      <c r="FX12">
        <f>J13-Table2[[#This Row],[DG 1010KVA Running Hours]]</f>
        <v>0.4000000000005457</v>
      </c>
      <c r="FY12">
        <f>K13-Table2[[#This Row],[DG 1010 KVA Meter Reading]]</f>
        <v>181</v>
      </c>
      <c r="FZ12">
        <f>L13-Table2[[#This Row],[GG 1010 KVA Running Hours]]</f>
        <v>0</v>
      </c>
      <c r="GA12">
        <f>M13-Table2[[#This Row],[GG 1010 KVA Meter Reading]]</f>
        <v>0.15999999999999659</v>
      </c>
    </row>
    <row r="13" spans="1:183" x14ac:dyDescent="0.35">
      <c r="A13" s="1">
        <v>19</v>
      </c>
      <c r="B13" s="2">
        <v>46211.370555555601</v>
      </c>
      <c r="C13" s="2">
        <v>46211.409606481502</v>
      </c>
      <c r="D13" s="1" t="s">
        <v>111</v>
      </c>
      <c r="E13" s="1"/>
      <c r="F13" s="1"/>
      <c r="G13" s="3">
        <v>46211</v>
      </c>
      <c r="H13" s="1" t="s">
        <v>186</v>
      </c>
      <c r="I13" s="6">
        <v>5523.982</v>
      </c>
      <c r="J13" s="6">
        <v>4248.8</v>
      </c>
      <c r="K13" s="6">
        <v>1765872</v>
      </c>
      <c r="L13" s="6">
        <v>430</v>
      </c>
      <c r="M13" s="6">
        <v>179.23</v>
      </c>
      <c r="N13" s="6">
        <v>1844322.4</v>
      </c>
      <c r="O13" s="6">
        <v>4552084.4800000004</v>
      </c>
      <c r="P13" s="6">
        <v>635424.38399999996</v>
      </c>
      <c r="Q13" s="6">
        <v>8015516.7999999998</v>
      </c>
      <c r="R13" s="6">
        <v>5390136.3300000001</v>
      </c>
      <c r="S13" s="6">
        <v>7277673.5999999996</v>
      </c>
      <c r="T13" s="6">
        <v>4287510.8020000001</v>
      </c>
      <c r="U13" s="6">
        <v>2070064.32</v>
      </c>
      <c r="V13" s="6">
        <v>5070192</v>
      </c>
      <c r="W13" s="6">
        <v>1575.1572000000001</v>
      </c>
      <c r="X13" s="6">
        <v>766615.23199999996</v>
      </c>
      <c r="Y13" s="6">
        <v>1058637.28</v>
      </c>
      <c r="Z13" s="6">
        <v>2777.8894</v>
      </c>
      <c r="AA13" s="6">
        <v>660923.84</v>
      </c>
      <c r="AB13" s="6">
        <v>420994.94400000002</v>
      </c>
      <c r="AC13" s="6">
        <v>2119515.52</v>
      </c>
      <c r="AD13" s="6">
        <v>3688898.9780000001</v>
      </c>
      <c r="AE13" s="6">
        <v>12623.2392</v>
      </c>
      <c r="AF13" s="6">
        <v>860206.72</v>
      </c>
      <c r="AG13" s="6">
        <v>1370.1010000000001</v>
      </c>
      <c r="AH13" s="6">
        <v>130313.336</v>
      </c>
      <c r="AI13" s="6">
        <v>14491.4416</v>
      </c>
      <c r="AJ13" s="6">
        <v>145280.79999999999</v>
      </c>
      <c r="AK13" s="6">
        <v>104941.45600000001</v>
      </c>
      <c r="AL13" s="6">
        <v>328629.02399999998</v>
      </c>
      <c r="AM13" s="6">
        <v>975.61400000000003</v>
      </c>
      <c r="AN13" s="6">
        <v>285.89999999999998</v>
      </c>
      <c r="AO13" s="6">
        <v>7.7</v>
      </c>
      <c r="AP13" s="6">
        <v>203771</v>
      </c>
      <c r="AQ13" s="6">
        <v>42305</v>
      </c>
      <c r="AR13" s="6">
        <v>41760</v>
      </c>
      <c r="AS13" s="6">
        <v>0</v>
      </c>
      <c r="AT13" s="6">
        <v>0</v>
      </c>
      <c r="AU13" s="6">
        <v>15003</v>
      </c>
      <c r="AV13" s="6">
        <v>5992</v>
      </c>
      <c r="AW13" s="6">
        <v>20.747599999999998</v>
      </c>
      <c r="AX13" s="50">
        <v>7173.0119999999997</v>
      </c>
      <c r="AY13" s="6">
        <v>675.41224</v>
      </c>
      <c r="AZ13" s="6">
        <v>20.788</v>
      </c>
      <c r="BA13" s="6">
        <v>9872.107</v>
      </c>
      <c r="BB13" s="6">
        <v>43.585999999999999</v>
      </c>
      <c r="BC13" s="6">
        <v>113978.504</v>
      </c>
      <c r="BD13" s="6">
        <v>274520</v>
      </c>
      <c r="BE13" s="6">
        <v>3692.5547999999999</v>
      </c>
      <c r="BF13" s="6">
        <v>1712.0419999999999</v>
      </c>
      <c r="BG13" s="6">
        <v>74.204999999999998</v>
      </c>
      <c r="BH13" s="6">
        <v>355.22699999999998</v>
      </c>
      <c r="BI13" s="6">
        <v>902.85500000000002</v>
      </c>
      <c r="BJ13" s="6">
        <v>13.455</v>
      </c>
      <c r="BK13" s="6">
        <v>556.70600000000002</v>
      </c>
      <c r="BL13" s="6">
        <v>68341.248000000007</v>
      </c>
      <c r="BM13" s="6">
        <v>296583.84000000003</v>
      </c>
      <c r="BN13" s="6">
        <v>7134.5263999999997</v>
      </c>
      <c r="BO13" s="6">
        <v>53509.6512</v>
      </c>
      <c r="BP13" s="6">
        <v>310976.32</v>
      </c>
      <c r="BQ13" s="6">
        <v>319.91800000000001</v>
      </c>
      <c r="BR13" s="6">
        <v>178.27600000000001</v>
      </c>
      <c r="BS13" s="6">
        <v>979941.09499999997</v>
      </c>
      <c r="BT13" s="6">
        <v>1400523.1710000001</v>
      </c>
      <c r="BU13" s="6">
        <v>623633.728</v>
      </c>
      <c r="BV13" s="6">
        <v>1010258.16</v>
      </c>
      <c r="BW13" s="6">
        <v>562515.71200000006</v>
      </c>
      <c r="BX13" s="6">
        <v>937661.18400000001</v>
      </c>
      <c r="BY13" s="6">
        <v>156443.92000000001</v>
      </c>
      <c r="BZ13" s="6">
        <v>114209.192</v>
      </c>
      <c r="CA13" s="6">
        <v>1174.0553</v>
      </c>
      <c r="CB13" s="6">
        <v>107287.432</v>
      </c>
      <c r="CC13" s="6">
        <v>147488.64000000001</v>
      </c>
      <c r="CD13" s="6">
        <v>441835.26400000002</v>
      </c>
      <c r="CE13" s="6">
        <v>49125.260799999996</v>
      </c>
      <c r="CF13" s="6">
        <v>155286.48000000001</v>
      </c>
      <c r="CG13" s="6">
        <v>360750.87520000001</v>
      </c>
      <c r="CH13" s="6">
        <v>2385.8710000000001</v>
      </c>
      <c r="CI13" s="6">
        <v>210.57400000000001</v>
      </c>
      <c r="CJ13" s="6">
        <v>1166.2</v>
      </c>
      <c r="CK13" s="6">
        <v>76.843999999999994</v>
      </c>
      <c r="CL13" s="6">
        <v>719.48800000000006</v>
      </c>
      <c r="CM13" s="6">
        <v>551.4</v>
      </c>
      <c r="CN13" s="6">
        <v>33969.300000000003</v>
      </c>
      <c r="CO13" s="6">
        <v>1627.4860000000001</v>
      </c>
      <c r="CP13" s="6">
        <v>290610.95600000001</v>
      </c>
      <c r="CQ13" s="6">
        <v>3654373.76</v>
      </c>
      <c r="CR13" s="6">
        <v>129421.856</v>
      </c>
      <c r="CS13" s="6">
        <v>506342.08</v>
      </c>
      <c r="CT13" s="6">
        <v>2848292.219</v>
      </c>
      <c r="CU13" s="6">
        <v>291903.408</v>
      </c>
      <c r="CV13" s="6">
        <v>30119.660800000001</v>
      </c>
      <c r="CW13" s="6">
        <v>62183.257599999997</v>
      </c>
      <c r="CX13" s="6">
        <v>33206.243199999997</v>
      </c>
      <c r="CY13" s="6">
        <v>164634.576</v>
      </c>
      <c r="CZ13" s="6">
        <v>216189.408</v>
      </c>
      <c r="DA13" s="6">
        <v>17757.810000000001</v>
      </c>
      <c r="DB13" s="6">
        <v>147520.27299999999</v>
      </c>
      <c r="DC13" s="6">
        <v>2880.57</v>
      </c>
      <c r="DD13" s="6">
        <v>2880.48</v>
      </c>
      <c r="DE13" s="6">
        <v>2903.57</v>
      </c>
      <c r="DF13" s="6">
        <v>0.998</v>
      </c>
      <c r="DG13" s="1" t="s">
        <v>197</v>
      </c>
      <c r="DH13" s="4">
        <f>Table2[[#This Row],[Date]]</f>
        <v>46211</v>
      </c>
      <c r="DI13">
        <f>(DD14-Table2[[#This Row],[MWH Total]])*4000</f>
        <v>23079.999999999927</v>
      </c>
      <c r="DJ13">
        <f>(DA14-Table2[[#This Row],[PNG Meter (Outside)]])*2.936</f>
        <v>11.949519999999145</v>
      </c>
      <c r="DK13">
        <f>(DB14-Table2[[#This Row],[PNG Meter (Inside)]])*2.936</f>
        <v>274.43966400004854</v>
      </c>
      <c r="DL13">
        <f>(BH14-Table2[[#This Row],[3F Dough cooler - 2 ]])*1000</f>
        <v>378.00000000004275</v>
      </c>
      <c r="DM13">
        <f>(BI14-Table2[[#This Row],[3F Dough Cooler- 1]])*1000</f>
        <v>492.99999999993815</v>
      </c>
      <c r="DN13">
        <f>(BJ14-Table2[[#This Row],[4F Dough Production cooling Unit]])*1000</f>
        <v>44.000000000000483</v>
      </c>
      <c r="DO13">
        <f>(BQ14-Table2[[#This Row],[3F2 - PDB 3 - Dough Production Area]])*1000</f>
        <v>209.00000000000318</v>
      </c>
      <c r="DP13">
        <f>(BR14-Table2[[#This Row],[3F3 - PDB 4 - Dough Area]])*1000</f>
        <v>119.99999999997613</v>
      </c>
      <c r="DQ13">
        <f>AC14-Table2[[#This Row],[16F1 Tray washer Panel for Light]]</f>
        <v>770.72000000020489</v>
      </c>
      <c r="DR13">
        <f>CQ14-Table2[[#This Row],[2F1 Tray Washer - 1]]</f>
        <v>1276.160000000149</v>
      </c>
      <c r="DS13">
        <f>CS14-Table2[[#This Row],[2F5 Destacker]]</f>
        <v>360.32000000000698</v>
      </c>
      <c r="DT13">
        <f>CU14-Table2[[#This Row],[5F1 Metering (TW-2)]]</f>
        <v>270.94500000000698</v>
      </c>
      <c r="DU13">
        <f>CV14-Table2[[#This Row],[6F1 Pre soaker Tray washer]]</f>
        <v>2.710399999999936</v>
      </c>
      <c r="DV13">
        <f>CZ14-Table2[[#This Row],[6F5 Vent tray Storage]]</f>
        <v>58.896000000007916</v>
      </c>
      <c r="DW13">
        <f>I14-Table2[[#This Row],[Popeyes Meter ]]</f>
        <v>61.770000000000437</v>
      </c>
      <c r="DX13">
        <f>AZ14-Table2[[#This Row],[2F WH Chiller, Segregation Area]]</f>
        <v>0</v>
      </c>
      <c r="DY13">
        <f>BA14-Table2[[#This Row],[3F1 AC Unit WH dock cooling - 2 Nos]]</f>
        <v>22.799999999999272</v>
      </c>
      <c r="DZ13">
        <f>BB14-Table2[[#This Row],[3F2 AC Unit WH dock cooling - 3 Nos]]</f>
        <v>5.0000000000004263E-2</v>
      </c>
      <c r="EA13">
        <f>(BK14-Table2[[#This Row],[5F WH Perishable]])*1000</f>
        <v>322.00000000000273</v>
      </c>
      <c r="EB13">
        <f>BN14-Table2[[#This Row],[2F3 - PDB 9 - WH Dock Leveler Door ]]</f>
        <v>4.6671999999998661</v>
      </c>
      <c r="EC13">
        <f>BP14-Table2[[#This Row],[3F1 - PDB 5 - WH HSD]]</f>
        <v>152.25599999999395</v>
      </c>
      <c r="ED13">
        <f>BX14-Table2[[#This Row],[8F1 WH Dock AHU - Ventilation]]</f>
        <v>2593.9839999999385</v>
      </c>
      <c r="EE13">
        <f>BZ14-Table2[[#This Row],[8F3 ACPDB - 4 WH Dock air curtain]]</f>
        <v>8.3200000000069849</v>
      </c>
      <c r="EF13">
        <f>CA14-Table2[[#This Row],[8F4 WH Light]]</f>
        <v>2.9708000000000538</v>
      </c>
      <c r="EG13">
        <f>CC14-Table2[[#This Row],[9F1 - PDB 10 - WH Dock door &amp; Office]]</f>
        <v>91.311999999976251</v>
      </c>
      <c r="EH13">
        <f>CD14-Table2[[#This Row],[9F2 - PDB 11 - WH flycatchers]]</f>
        <v>131.42399999999907</v>
      </c>
      <c r="EI13">
        <f>CE14-Table2[[#This Row],[9F3 - PDB 12 - Other items]]</f>
        <v>0</v>
      </c>
      <c r="EJ13">
        <f>CR14-Table2[[#This Row],[2F3 - PDB 1 - Dock 1 to 4 ]]</f>
        <v>48.559999999997672</v>
      </c>
      <c r="EK13">
        <f>BM14-Table2[[#This Row],[2F2 - PDB 3 - WH Truck &amp; Battery Charging]]</f>
        <v>359.16799999994691</v>
      </c>
      <c r="EL13">
        <f>(CK14-Table2[[#This Row],[PDB - 11 Truck Charging]])*1000</f>
        <v>36.000000000001364</v>
      </c>
      <c r="EM13">
        <f>P14-Table2[[#This Row],[5F3 Admin Area]]</f>
        <v>398.08000000007451</v>
      </c>
      <c r="EN13">
        <f>AH14-Table2[[#This Row],[2F5 Main Gate-1 Piller -1]]</f>
        <v>110.16800000000512</v>
      </c>
      <c r="EO13">
        <f>CW14-Table2[[#This Row],[6F2 Ground Floor AC]]</f>
        <v>38.969600000003993</v>
      </c>
      <c r="EP13">
        <f>CX14-Table2[[#This Row],[6F3 ACBD -1 (First floor AC)]]</f>
        <v>11.273600000000442</v>
      </c>
      <c r="EQ13">
        <f>CY14-Table2[[#This Row],[6F4 ACBD - 2 (Second &amp; Third floor AC)]]</f>
        <v>112.94399999998859</v>
      </c>
      <c r="ER13">
        <f>(BC14-Table2[[#This Row],[4F Old BMC cooling Unit]])</f>
        <v>0</v>
      </c>
      <c r="ES13">
        <f>BO14-Table2[[#This Row],[2F4 - Old BMC]]</f>
        <v>1.9423999999999069</v>
      </c>
      <c r="ET13">
        <f>Y14-Table2[[#This Row],[14F2 New CK]]</f>
        <v>1647.1999999999534</v>
      </c>
      <c r="EU13">
        <f>(CL14-Table2[[#This Row],[OLD Ck Panel-1]])*1000</f>
        <v>391.99999999993906</v>
      </c>
      <c r="EV13">
        <f>CM14-Table2[[#This Row],[2F4 Old CK Blast (Blue star)]]</f>
        <v>0</v>
      </c>
      <c r="EW13">
        <f>CN14-Table2[[#This Row],[3F6 Old CK Blast (Carrier)]]</f>
        <v>276.89999999999418</v>
      </c>
      <c r="EX13">
        <f>(CO14-Table2[[#This Row],[Old CK Panel -2]])*1000</f>
        <v>884.99999999999091</v>
      </c>
      <c r="EY13">
        <f>N14-Table2[[#This Row],[4F1 Main UPS 1/C -1]]</f>
        <v>979.84000000008382</v>
      </c>
      <c r="EZ13">
        <f>Z14-Table2[[#This Row],[15F1 Main UPS Panel - I/C - 2]]</f>
        <v>0</v>
      </c>
      <c r="FA13">
        <f>BF14-Table2[[#This Row],[2F CLC -1 AC unit - 2]]</f>
        <v>0</v>
      </c>
      <c r="FB13">
        <f>(BG14-Table2[[#This Row],[2F CLC Anti room]])*1000</f>
        <v>37.000000000006139</v>
      </c>
      <c r="FC13">
        <f>BW14-Table2[[#This Row],[7F3 CLC Power Panel]]</f>
        <v>253.63199999998324</v>
      </c>
      <c r="FD13">
        <f>(CI14-Table2[[#This Row],[PDB - 17 CLC Section ]])*1000</f>
        <v>174.99999999998295</v>
      </c>
      <c r="FE13">
        <f>(W14-Table2[[#This Row],[13F3 Water &amp; Lift Old CK]])*1000</f>
        <v>945.29999999986103</v>
      </c>
      <c r="FF13">
        <f>AA14-Table2[[#This Row],[15F2 New ETP Panel]]</f>
        <v>306.23999999999069</v>
      </c>
      <c r="FG13">
        <f>AL14-Table2[[#This Row],[3F4 Old ETP Panel]]</f>
        <v>80.54400000005262</v>
      </c>
      <c r="FH13">
        <f>AF14-Table2[[#This Row],[2F1 RO Plant]]</f>
        <v>658.56000000005588</v>
      </c>
      <c r="FI13">
        <f>AK14-Table2[[#This Row],[3F3 Fire Hydrant Panel]]</f>
        <v>9.7279999999882421</v>
      </c>
      <c r="FJ13">
        <f>R14-Table2[[#This Row],[7F1 Freon System Panel]]</f>
        <v>6146.5499999998137</v>
      </c>
      <c r="FK13">
        <f>(AE14-Table2[[#This Row],[21F1 Refrigeration Ammonia]])*1000</f>
        <v>7533.6000000006607</v>
      </c>
      <c r="FL13">
        <f>(AG14-Table2[[#This Row],[2F3 Air Compressor]])*1000</f>
        <v>1109.9999999999</v>
      </c>
      <c r="FM13">
        <f>(AX14-Table2[[#This Row],[Solar Reading Panel II]])*1000</f>
        <v>811.0000000006039</v>
      </c>
      <c r="FN13">
        <f>AI14-Table2[[#This Row],[3F1 Maintenance Workshop]]</f>
        <v>4.2335999999995693</v>
      </c>
      <c r="FO13">
        <f>BD14-Table2[[#This Row],[4F B2B unit ]]</f>
        <v>21.568000000028405</v>
      </c>
      <c r="FP13">
        <f>BL14-Table2[[#This Row],[2F1 - PDB 6 - Bread, B2B section]]</f>
        <v>51.993599999987055</v>
      </c>
      <c r="FQ13">
        <f>(CG14-Table2[[#This Row],[9F5 - PDB 14 - Bread Lift]])</f>
        <v>9.3263999999617226</v>
      </c>
      <c r="FR13">
        <f>CJ14-Table2[[#This Row],[PDB - 16 Bread Section]]</f>
        <v>0.59999999999990905</v>
      </c>
      <c r="FS13">
        <f>BU14-Table2[[#This Row],[7F1 Donut Production area]]</f>
        <v>213.3760000000475</v>
      </c>
      <c r="FT13">
        <f>CB14-Table2[[#This Row],[8F5 Donut Ban Bary]]</f>
        <v>69.592000000004191</v>
      </c>
      <c r="FU13">
        <f>CF14-Table2[[#This Row],[9F4 - PDB 13 - Donut Sink Geyser area]]</f>
        <v>19.791999999986729</v>
      </c>
      <c r="FV13">
        <f>BV14-Table2[[#This Row],[7F2 Flour Silo]]</f>
        <v>326.55999999993946</v>
      </c>
      <c r="FW13">
        <f>BY14-Table2[[#This Row],[8F2 ACPDB - 3 SILO Ventilation]]</f>
        <v>52.047999999980675</v>
      </c>
      <c r="FX13">
        <f>J14-Table2[[#This Row],[DG 1010KVA Running Hours]]</f>
        <v>0</v>
      </c>
      <c r="FY13">
        <f>K14-Table2[[#This Row],[DG 1010 KVA Meter Reading]]</f>
        <v>0</v>
      </c>
      <c r="FZ13">
        <f>L14-Table2[[#This Row],[GG 1010 KVA Running Hours]]</f>
        <v>0</v>
      </c>
      <c r="GA13">
        <f>M14-Table2[[#This Row],[GG 1010 KVA Meter Reading]]</f>
        <v>0</v>
      </c>
    </row>
    <row r="14" spans="1:183" x14ac:dyDescent="0.35">
      <c r="A14" s="1">
        <v>21</v>
      </c>
      <c r="B14" s="2">
        <v>46212.436620370398</v>
      </c>
      <c r="C14" s="2">
        <v>46212.478148148097</v>
      </c>
      <c r="D14" s="1" t="s">
        <v>111</v>
      </c>
      <c r="E14" s="1"/>
      <c r="F14" s="1"/>
      <c r="G14" s="3">
        <v>46212</v>
      </c>
      <c r="H14" s="1" t="s">
        <v>112</v>
      </c>
      <c r="I14" s="6">
        <v>5585.7520000000004</v>
      </c>
      <c r="J14" s="6">
        <v>4248.8</v>
      </c>
      <c r="K14" s="6">
        <v>1765872</v>
      </c>
      <c r="L14" s="6">
        <v>430</v>
      </c>
      <c r="M14" s="6">
        <v>179.23</v>
      </c>
      <c r="N14" s="6">
        <v>1845302.24</v>
      </c>
      <c r="O14" s="6">
        <v>4553939.5199999996</v>
      </c>
      <c r="P14" s="6">
        <v>635822.46400000004</v>
      </c>
      <c r="Q14" s="6">
        <v>8017024.6399999997</v>
      </c>
      <c r="R14" s="6">
        <v>5396282.8799999999</v>
      </c>
      <c r="S14" s="6">
        <v>7280909.4400000004</v>
      </c>
      <c r="T14" s="6">
        <v>42461676.987000003</v>
      </c>
      <c r="U14" s="6">
        <v>2071027.68</v>
      </c>
      <c r="V14" s="6">
        <v>5071960.6399999997</v>
      </c>
      <c r="W14" s="6">
        <v>1576.1025</v>
      </c>
      <c r="X14" s="6">
        <v>766888.83200000005</v>
      </c>
      <c r="Y14" s="6">
        <v>1060284.48</v>
      </c>
      <c r="Z14" s="6">
        <v>2777.8894</v>
      </c>
      <c r="AA14" s="6">
        <v>661230.07999999996</v>
      </c>
      <c r="AB14" s="6">
        <v>421006.36800000002</v>
      </c>
      <c r="AC14" s="6">
        <v>2120286.2400000002</v>
      </c>
      <c r="AD14" s="6">
        <v>3703054.0430000001</v>
      </c>
      <c r="AE14" s="6">
        <v>12630.772800000001</v>
      </c>
      <c r="AF14" s="6">
        <v>860865.28</v>
      </c>
      <c r="AG14" s="6">
        <v>1371.211</v>
      </c>
      <c r="AH14" s="6">
        <v>130423.504</v>
      </c>
      <c r="AI14" s="6">
        <v>14495.6752</v>
      </c>
      <c r="AJ14" s="6">
        <v>145281.552</v>
      </c>
      <c r="AK14" s="6">
        <v>104951.18399999999</v>
      </c>
      <c r="AL14" s="6">
        <v>328709.56800000003</v>
      </c>
      <c r="AM14" s="6">
        <v>976.46799999999996</v>
      </c>
      <c r="AN14" s="6">
        <v>167.9</v>
      </c>
      <c r="AO14" s="6">
        <v>7.3</v>
      </c>
      <c r="AP14" s="6">
        <v>213763</v>
      </c>
      <c r="AQ14" s="6">
        <v>42305</v>
      </c>
      <c r="AR14" s="6">
        <v>41760</v>
      </c>
      <c r="AS14" s="6">
        <v>0</v>
      </c>
      <c r="AT14" s="6">
        <v>0</v>
      </c>
      <c r="AU14" s="6">
        <v>15029</v>
      </c>
      <c r="AV14" s="6">
        <v>6010</v>
      </c>
      <c r="AW14" s="6">
        <v>20.754878000000001</v>
      </c>
      <c r="AX14" s="6">
        <v>7173.8230000000003</v>
      </c>
      <c r="AY14" s="6">
        <v>675.54992000000004</v>
      </c>
      <c r="AZ14" s="6">
        <v>20.788</v>
      </c>
      <c r="BA14" s="6">
        <v>9894.9069999999992</v>
      </c>
      <c r="BB14" s="6">
        <v>43.636000000000003</v>
      </c>
      <c r="BC14" s="6">
        <v>113978.504</v>
      </c>
      <c r="BD14" s="6">
        <v>274541.56800000003</v>
      </c>
      <c r="BE14" s="6">
        <v>3693.9384</v>
      </c>
      <c r="BF14" s="6">
        <v>1712.0419999999999</v>
      </c>
      <c r="BG14" s="6">
        <v>74.242000000000004</v>
      </c>
      <c r="BH14" s="6">
        <v>355.60500000000002</v>
      </c>
      <c r="BI14" s="6">
        <v>903.34799999999996</v>
      </c>
      <c r="BJ14" s="6">
        <v>13.499000000000001</v>
      </c>
      <c r="BK14" s="6">
        <v>557.02800000000002</v>
      </c>
      <c r="BL14" s="6">
        <v>68393.241599999994</v>
      </c>
      <c r="BM14" s="6">
        <v>296943.00799999997</v>
      </c>
      <c r="BN14" s="6">
        <v>7139.1935999999996</v>
      </c>
      <c r="BO14" s="6">
        <v>53511.5936</v>
      </c>
      <c r="BP14" s="6">
        <v>311128.576</v>
      </c>
      <c r="BQ14" s="6">
        <v>320.12700000000001</v>
      </c>
      <c r="BR14" s="6">
        <v>178.39599999999999</v>
      </c>
      <c r="BS14" s="6">
        <v>980881.35600000003</v>
      </c>
      <c r="BT14" s="6">
        <v>1400539.9939999999</v>
      </c>
      <c r="BU14" s="6">
        <v>623847.10400000005</v>
      </c>
      <c r="BV14" s="6">
        <v>1010584.72</v>
      </c>
      <c r="BW14" s="6">
        <v>562769.34400000004</v>
      </c>
      <c r="BX14" s="6">
        <v>940255.16799999995</v>
      </c>
      <c r="BY14" s="6">
        <v>156495.96799999999</v>
      </c>
      <c r="BZ14" s="6">
        <v>114217.512</v>
      </c>
      <c r="CA14" s="6">
        <v>1177.0261</v>
      </c>
      <c r="CB14" s="6">
        <v>107357.024</v>
      </c>
      <c r="CC14" s="6">
        <v>147579.95199999999</v>
      </c>
      <c r="CD14" s="6">
        <v>441966.68800000002</v>
      </c>
      <c r="CE14" s="6">
        <v>49125.260799999996</v>
      </c>
      <c r="CF14" s="6">
        <v>155306.272</v>
      </c>
      <c r="CG14" s="6">
        <v>360760.20159999997</v>
      </c>
      <c r="CH14" s="6">
        <v>2385.8710000000001</v>
      </c>
      <c r="CI14" s="6">
        <v>210.749</v>
      </c>
      <c r="CJ14" s="6">
        <v>1166.8</v>
      </c>
      <c r="CK14" s="6">
        <v>76.88</v>
      </c>
      <c r="CL14" s="6">
        <v>719.88</v>
      </c>
      <c r="CM14" s="6">
        <v>551.4</v>
      </c>
      <c r="CN14" s="6">
        <v>34246.199999999997</v>
      </c>
      <c r="CO14" s="6">
        <v>1628.3710000000001</v>
      </c>
      <c r="CP14" s="6">
        <v>290757.15700000001</v>
      </c>
      <c r="CQ14" s="6">
        <v>3655649.92</v>
      </c>
      <c r="CR14" s="6">
        <v>129470.416</v>
      </c>
      <c r="CS14" s="6">
        <v>506702.4</v>
      </c>
      <c r="CT14" s="6">
        <v>2851629.43</v>
      </c>
      <c r="CU14" s="6">
        <v>292174.353</v>
      </c>
      <c r="CV14" s="6">
        <v>30122.371200000001</v>
      </c>
      <c r="CW14" s="6">
        <v>62222.227200000001</v>
      </c>
      <c r="CX14" s="6">
        <v>33217.516799999998</v>
      </c>
      <c r="CY14" s="6">
        <v>164747.51999999999</v>
      </c>
      <c r="CZ14" s="6">
        <v>216248.304</v>
      </c>
      <c r="DA14" s="6">
        <v>17761.88</v>
      </c>
      <c r="DB14" s="6">
        <v>147613.747</v>
      </c>
      <c r="DC14" s="6">
        <v>2886.35</v>
      </c>
      <c r="DD14" s="6">
        <v>2886.25</v>
      </c>
      <c r="DE14" s="6">
        <v>2909.52</v>
      </c>
      <c r="DF14" s="6">
        <v>0.998</v>
      </c>
      <c r="DG14" s="1" t="s">
        <v>225</v>
      </c>
      <c r="DH14" s="4">
        <f>Table2[[#This Row],[Date]]</f>
        <v>46212</v>
      </c>
      <c r="DI14">
        <f>(DD15-Table2[[#This Row],[MWH Total]])*4000</f>
        <v>26319.999999999709</v>
      </c>
      <c r="DJ14">
        <f>(DA15-Table2[[#This Row],[PNG Meter (Outside)]])*2.936</f>
        <v>9.1896799999923093</v>
      </c>
      <c r="DK14">
        <f>(DB15-Table2[[#This Row],[PNG Meter (Inside)]])*2.936</f>
        <v>271.84717599995827</v>
      </c>
      <c r="DL14">
        <f>(BH15-Table2[[#This Row],[3F Dough cooler - 2 ]])*1000</f>
        <v>420.99999999999227</v>
      </c>
      <c r="DM14">
        <f>(BI15-Table2[[#This Row],[3F Dough Cooler- 1]])*1000</f>
        <v>454.00000000006457</v>
      </c>
      <c r="DN14">
        <f>(BJ15-Table2[[#This Row],[4F Dough Production cooling Unit]])*1000</f>
        <v>11.999999999998678</v>
      </c>
      <c r="DO14">
        <f>(BQ15-Table2[[#This Row],[3F2 - PDB 3 - Dough Production Area]])*1000</f>
        <v>178.99999999997362</v>
      </c>
      <c r="DP14">
        <f>(BR15-Table2[[#This Row],[3F3 - PDB 4 - Dough Area]])*1000</f>
        <v>109.00000000000887</v>
      </c>
      <c r="DQ14">
        <f>AC15-Table2[[#This Row],[16F1 Tray washer Panel for Light]]</f>
        <v>700</v>
      </c>
      <c r="DR14">
        <f>CQ15-Table2[[#This Row],[2F1 Tray Washer - 1]]</f>
        <v>1120.9599999999627</v>
      </c>
      <c r="DS14">
        <f>CS15-Table2[[#This Row],[2F5 Destacker]]</f>
        <v>333.85599999997066</v>
      </c>
      <c r="DT14">
        <f>CU15-Table2[[#This Row],[5F1 Metering (TW-2)]]</f>
        <v>221.69799999997485</v>
      </c>
      <c r="DU14">
        <f>CV15-Table2[[#This Row],[6F1 Pre soaker Tray washer]]</f>
        <v>1.6767999999974563</v>
      </c>
      <c r="DV14">
        <f>CZ15-Table2[[#This Row],[6F5 Vent tray Storage]]</f>
        <v>35.919999999983702</v>
      </c>
      <c r="DW14">
        <f>I15-Table2[[#This Row],[Popeyes Meter ]]</f>
        <v>20.029999999999745</v>
      </c>
      <c r="DX14">
        <f>AZ15-Table2[[#This Row],[2F WH Chiller, Segregation Area]]</f>
        <v>0</v>
      </c>
      <c r="DY14">
        <f>BA15-Table2[[#This Row],[3F1 AC Unit WH dock cooling - 2 Nos]]</f>
        <v>16.540000000000873</v>
      </c>
      <c r="DZ14">
        <f>BB15-Table2[[#This Row],[3F2 AC Unit WH dock cooling - 3 Nos]]</f>
        <v>3.5999999999994259E-2</v>
      </c>
      <c r="EA14">
        <f>(BK15-Table2[[#This Row],[5F WH Perishable]])*1000</f>
        <v>300.99999999993088</v>
      </c>
      <c r="EB14">
        <f>BN15-Table2[[#This Row],[2F3 - PDB 9 - WH Dock Leveler Door ]]</f>
        <v>8.8800000000446744E-2</v>
      </c>
      <c r="EC14">
        <f>BP15-Table2[[#This Row],[3F1 - PDB 5 - WH HSD]]</f>
        <v>128.79999999998836</v>
      </c>
      <c r="ED14">
        <f>BX15-Table2[[#This Row],[8F1 WH Dock AHU - Ventilation]]</f>
        <v>2224.9600000000792</v>
      </c>
      <c r="EE14">
        <f>BZ15-Table2[[#This Row],[8F3 ACPDB - 4 WH Dock air curtain]]</f>
        <v>2.4400000000023283</v>
      </c>
      <c r="EF14">
        <f>CA15-Table2[[#This Row],[8F4 WH Light]]</f>
        <v>2.6258000000000266</v>
      </c>
      <c r="EG14">
        <f>CC15-Table2[[#This Row],[9F1 - PDB 10 - WH Dock door &amp; Office]]</f>
        <v>76.01600000000326</v>
      </c>
      <c r="EH14">
        <f>CD15-Table2[[#This Row],[9F2 - PDB 11 - WH flycatchers]]</f>
        <v>114.07999999995809</v>
      </c>
      <c r="EI14">
        <f>CE15-Table2[[#This Row],[9F3 - PDB 12 - Other items]]</f>
        <v>0</v>
      </c>
      <c r="EJ14">
        <f>CR15-Table2[[#This Row],[2F3 - PDB 1 - Dock 1 to 4 ]]</f>
        <v>41.752000000007683</v>
      </c>
      <c r="EK14">
        <f>BM15-Table2[[#This Row],[2F2 - PDB 3 - WH Truck &amp; Battery Charging]]</f>
        <v>407.3520000000135</v>
      </c>
      <c r="EL14">
        <f>(CK15-Table2[[#This Row],[PDB - 11 Truck Charging]])*1000</f>
        <v>33.000000000001251</v>
      </c>
      <c r="EM14">
        <f>P15-Table2[[#This Row],[5F3 Admin Area]]</f>
        <v>311.61599999992177</v>
      </c>
      <c r="EN14">
        <f>AH15-Table2[[#This Row],[2F5 Main Gate-1 Piller -1]]</f>
        <v>92.975999999995111</v>
      </c>
      <c r="EO14">
        <f>CW15-Table2[[#This Row],[6F2 Ground Floor AC]]</f>
        <v>33.907200000001467</v>
      </c>
      <c r="EP14">
        <f>CX15-Table2[[#This Row],[6F3 ACBD -1 (First floor AC)]]</f>
        <v>10.083200000000943</v>
      </c>
      <c r="EQ14">
        <f>CY15-Table2[[#This Row],[6F4 ACBD - 2 (Second &amp; Third floor AC)]]</f>
        <v>102.27199999999721</v>
      </c>
      <c r="ER14">
        <f>(BC15-Table2[[#This Row],[4F Old BMC cooling Unit]])</f>
        <v>0</v>
      </c>
      <c r="ES14">
        <f>BO15-Table2[[#This Row],[2F4 - Old BMC]]</f>
        <v>0.77760000000125729</v>
      </c>
      <c r="ET14">
        <f>Y15-Table2[[#This Row],[14F2 New CK]]</f>
        <v>1186.3999999999069</v>
      </c>
      <c r="EU14">
        <f>(CL15-Table2[[#This Row],[OLD Ck Panel-1]])*1000</f>
        <v>652.00000000004366</v>
      </c>
      <c r="EV14">
        <f>CM15-Table2[[#This Row],[2F4 Old CK Blast (Blue star)]]</f>
        <v>0</v>
      </c>
      <c r="EW14">
        <f>CN15-Table2[[#This Row],[3F6 Old CK Blast (Carrier)]]</f>
        <v>546.20000000000437</v>
      </c>
      <c r="EX14">
        <f>(CO15-Table2[[#This Row],[Old CK Panel -2]])*1000</f>
        <v>1029.9999999999727</v>
      </c>
      <c r="EY14">
        <f>N15-Table2[[#This Row],[4F1 Main UPS 1/C -1]]</f>
        <v>867.67999999993481</v>
      </c>
      <c r="EZ14">
        <f>Z15-Table2[[#This Row],[15F1 Main UPS Panel - I/C - 2]]</f>
        <v>0</v>
      </c>
      <c r="FA14">
        <f>BF15-Table2[[#This Row],[2F CLC -1 AC unit - 2]]</f>
        <v>0</v>
      </c>
      <c r="FB14">
        <f>(BG15-Table2[[#This Row],[2F CLC Anti room]])*1000</f>
        <v>33.000000000001251</v>
      </c>
      <c r="FC14">
        <f>BW15-Table2[[#This Row],[7F3 CLC Power Panel]]</f>
        <v>213.18400000000838</v>
      </c>
      <c r="FD14">
        <f>(CI15-Table2[[#This Row],[PDB - 17 CLC Section ]])*1000</f>
        <v>146.00000000001501</v>
      </c>
      <c r="FE14">
        <f>(W15-Table2[[#This Row],[13F3 Water &amp; Lift Old CK]])*1000</f>
        <v>875.40000000012697</v>
      </c>
      <c r="FF14">
        <f>AA15-Table2[[#This Row],[15F2 New ETP Panel]]</f>
        <v>262.40000000002328</v>
      </c>
      <c r="FG14">
        <f>AL15-Table2[[#This Row],[3F4 Old ETP Panel]]</f>
        <v>61.439999999944121</v>
      </c>
      <c r="FH14">
        <f>AF15-Table2[[#This Row],[2F1 RO Plant]]</f>
        <v>624.57600000000093</v>
      </c>
      <c r="FI14">
        <f>AK15-Table2[[#This Row],[3F3 Fire Hydrant Panel]]</f>
        <v>5.4400000000023283</v>
      </c>
      <c r="FJ14">
        <f>R15-Table2[[#This Row],[7F1 Freon System Panel]]</f>
        <v>5066.8799999998882</v>
      </c>
      <c r="FK14">
        <f>(AE15-Table2[[#This Row],[21F1 Refrigeration Ammonia]])*1000</f>
        <v>6361.6000000001804</v>
      </c>
      <c r="FL14">
        <f>(AG15-Table2[[#This Row],[2F3 Air Compressor]])*1000</f>
        <v>980.00000000001819</v>
      </c>
      <c r="FM14">
        <f>(AX15-Table2[[#This Row],[Solar Reading Panel II]])*1000</f>
        <v>1143.0000000000291</v>
      </c>
      <c r="FN14">
        <f>AI15-Table2[[#This Row],[3F1 Maintenance Workshop]]</f>
        <v>4.8592000000007829</v>
      </c>
      <c r="FO14">
        <f>BD15-Table2[[#This Row],[4F B2B unit ]]</f>
        <v>21.887999999977183</v>
      </c>
      <c r="FP14">
        <f>BL15-Table2[[#This Row],[2F1 - PDB 6 - Bread, B2B section]]</f>
        <v>49.907200000001467</v>
      </c>
      <c r="FQ14">
        <f>(CG15-Table2[[#This Row],[9F5 - PDB 14 - Bread Lift]])</f>
        <v>0.41280000004917383</v>
      </c>
      <c r="FR14">
        <f>CJ15-Table2[[#This Row],[PDB - 16 Bread Section]]</f>
        <v>0.60000000000013642</v>
      </c>
      <c r="FS14">
        <f>BU15-Table2[[#This Row],[7F1 Donut Production area]]</f>
        <v>186.43199999991339</v>
      </c>
      <c r="FT14">
        <f>CB15-Table2[[#This Row],[8F5 Donut Ban Bary]]</f>
        <v>46.407999999995809</v>
      </c>
      <c r="FU14">
        <f>CF15-Table2[[#This Row],[9F4 - PDB 13 - Donut Sink Geyser area]]</f>
        <v>8.3040000000037253</v>
      </c>
      <c r="FV14">
        <f>BV15-Table2[[#This Row],[7F2 Flour Silo]]</f>
        <v>457.11999999999534</v>
      </c>
      <c r="FW14">
        <f>BY15-Table2[[#This Row],[8F2 ACPDB - 3 SILO Ventilation]]</f>
        <v>46.304000000003725</v>
      </c>
      <c r="FX14">
        <f>J15-Table2[[#This Row],[DG 1010KVA Running Hours]]</f>
        <v>0</v>
      </c>
      <c r="FY14">
        <f>K15-Table2[[#This Row],[DG 1010 KVA Meter Reading]]</f>
        <v>0</v>
      </c>
      <c r="FZ14">
        <f>L15-Table2[[#This Row],[GG 1010 KVA Running Hours]]</f>
        <v>0</v>
      </c>
      <c r="GA14">
        <f>M15-Table2[[#This Row],[GG 1010 KVA Meter Reading]]</f>
        <v>0</v>
      </c>
    </row>
    <row r="15" spans="1:183" x14ac:dyDescent="0.35">
      <c r="A15" s="1">
        <v>23</v>
      </c>
      <c r="B15" s="2">
        <v>46213.377615740697</v>
      </c>
      <c r="C15" s="2">
        <v>46213.419907407399</v>
      </c>
      <c r="D15" s="1" t="s">
        <v>111</v>
      </c>
      <c r="E15" s="1"/>
      <c r="F15" s="1"/>
      <c r="G15" s="3">
        <v>46213</v>
      </c>
      <c r="H15" s="1" t="s">
        <v>186</v>
      </c>
      <c r="I15" s="6">
        <v>5605.7820000000002</v>
      </c>
      <c r="J15" s="6">
        <v>4248.8</v>
      </c>
      <c r="K15" s="6">
        <v>1765872</v>
      </c>
      <c r="L15" s="6">
        <v>430</v>
      </c>
      <c r="M15" s="6">
        <v>179.23</v>
      </c>
      <c r="N15" s="6">
        <v>1846169.92</v>
      </c>
      <c r="O15" s="6">
        <v>4555582.08</v>
      </c>
      <c r="P15" s="6">
        <v>636134.07999999996</v>
      </c>
      <c r="Q15" s="6">
        <v>8018854.4000000004</v>
      </c>
      <c r="R15" s="6">
        <v>5401349.7599999998</v>
      </c>
      <c r="S15" s="6">
        <v>7284060.1600000001</v>
      </c>
      <c r="T15" s="6">
        <v>42902491.954000004</v>
      </c>
      <c r="U15" s="6">
        <v>2071960.48</v>
      </c>
      <c r="V15" s="6">
        <v>5073597.12</v>
      </c>
      <c r="W15" s="6">
        <v>1576.9779000000001</v>
      </c>
      <c r="X15" s="6">
        <v>767111.04</v>
      </c>
      <c r="Y15" s="6">
        <v>1061470.8799999999</v>
      </c>
      <c r="Z15" s="6">
        <v>2777.8894</v>
      </c>
      <c r="AA15" s="6">
        <v>661492.47999999998</v>
      </c>
      <c r="AB15" s="6">
        <v>421013.47200000001</v>
      </c>
      <c r="AC15" s="6">
        <v>2120986.2400000002</v>
      </c>
      <c r="AD15" s="6">
        <v>2438334.3029999998</v>
      </c>
      <c r="AE15" s="6">
        <v>12637.134400000001</v>
      </c>
      <c r="AF15" s="6">
        <v>861489.85600000003</v>
      </c>
      <c r="AG15" s="6">
        <v>1372.191</v>
      </c>
      <c r="AH15" s="6">
        <v>130516.48</v>
      </c>
      <c r="AI15" s="6">
        <v>14500.5344</v>
      </c>
      <c r="AJ15" s="6">
        <v>145282.592</v>
      </c>
      <c r="AK15" s="6">
        <v>104956.624</v>
      </c>
      <c r="AL15" s="6">
        <v>328771.00799999997</v>
      </c>
      <c r="AM15" s="6">
        <v>976.99199999999996</v>
      </c>
      <c r="AN15" s="6">
        <v>276.3</v>
      </c>
      <c r="AO15" s="6">
        <v>7.8</v>
      </c>
      <c r="AP15" s="6">
        <v>222608</v>
      </c>
      <c r="AQ15" s="6">
        <v>42305</v>
      </c>
      <c r="AR15" s="6">
        <v>41760</v>
      </c>
      <c r="AS15" s="6">
        <v>0</v>
      </c>
      <c r="AT15" s="6">
        <v>0</v>
      </c>
      <c r="AU15" s="6">
        <v>15051</v>
      </c>
      <c r="AV15" s="6">
        <v>6026</v>
      </c>
      <c r="AW15" s="6">
        <v>20.760994</v>
      </c>
      <c r="AX15" s="6">
        <v>7174.9660000000003</v>
      </c>
      <c r="AY15" s="6">
        <v>675.64440000000002</v>
      </c>
      <c r="AZ15" s="6">
        <v>20.788</v>
      </c>
      <c r="BA15" s="6">
        <v>9911.4470000000001</v>
      </c>
      <c r="BB15" s="6">
        <v>43.671999999999997</v>
      </c>
      <c r="BC15" s="6">
        <v>113978.504</v>
      </c>
      <c r="BD15" s="6">
        <v>274563.45600000001</v>
      </c>
      <c r="BE15" s="6">
        <v>3695.2316000000001</v>
      </c>
      <c r="BF15" s="6">
        <v>1712.0419999999999</v>
      </c>
      <c r="BG15" s="6">
        <v>74.275000000000006</v>
      </c>
      <c r="BH15" s="6">
        <v>356.02600000000001</v>
      </c>
      <c r="BI15" s="6">
        <v>903.80200000000002</v>
      </c>
      <c r="BJ15" s="6">
        <v>13.510999999999999</v>
      </c>
      <c r="BK15" s="6">
        <v>557.32899999999995</v>
      </c>
      <c r="BL15" s="6">
        <v>68443.148799999995</v>
      </c>
      <c r="BM15" s="6">
        <v>297350.36</v>
      </c>
      <c r="BN15" s="6">
        <v>7139.2824000000001</v>
      </c>
      <c r="BO15" s="6">
        <v>53512.371200000001</v>
      </c>
      <c r="BP15" s="6">
        <v>311257.37599999999</v>
      </c>
      <c r="BQ15" s="6">
        <v>320.30599999999998</v>
      </c>
      <c r="BR15" s="6">
        <v>178.505</v>
      </c>
      <c r="BS15" s="6">
        <v>981793.61300000001</v>
      </c>
      <c r="BT15" s="6">
        <v>1400542.2379999999</v>
      </c>
      <c r="BU15" s="6">
        <v>624033.53599999996</v>
      </c>
      <c r="BV15" s="6">
        <v>1011041.84</v>
      </c>
      <c r="BW15" s="6">
        <v>562982.52800000005</v>
      </c>
      <c r="BX15" s="6">
        <v>942480.12800000003</v>
      </c>
      <c r="BY15" s="6">
        <v>156542.272</v>
      </c>
      <c r="BZ15" s="6">
        <v>114219.952</v>
      </c>
      <c r="CA15" s="6">
        <v>1179.6519000000001</v>
      </c>
      <c r="CB15" s="6">
        <v>107403.432</v>
      </c>
      <c r="CC15" s="6">
        <v>147655.96799999999</v>
      </c>
      <c r="CD15" s="6">
        <v>442080.76799999998</v>
      </c>
      <c r="CE15" s="6">
        <v>49125.260799999996</v>
      </c>
      <c r="CF15" s="6">
        <v>155314.576</v>
      </c>
      <c r="CG15" s="6">
        <v>360760.61440000002</v>
      </c>
      <c r="CH15" s="6">
        <v>2385.8710000000001</v>
      </c>
      <c r="CI15" s="6">
        <v>210.89500000000001</v>
      </c>
      <c r="CJ15" s="6">
        <v>1167.4000000000001</v>
      </c>
      <c r="CK15" s="6">
        <v>76.912999999999997</v>
      </c>
      <c r="CL15" s="6">
        <v>720.53200000000004</v>
      </c>
      <c r="CM15" s="6">
        <v>551.4</v>
      </c>
      <c r="CN15" s="6">
        <v>34792.400000000001</v>
      </c>
      <c r="CO15" s="6">
        <v>1629.4010000000001</v>
      </c>
      <c r="CP15" s="6">
        <v>290903.50900000002</v>
      </c>
      <c r="CQ15" s="6">
        <v>3656770.88</v>
      </c>
      <c r="CR15" s="6">
        <v>129512.16800000001</v>
      </c>
      <c r="CS15" s="6">
        <v>507036.25599999999</v>
      </c>
      <c r="CT15" s="6">
        <v>2854836.111</v>
      </c>
      <c r="CU15" s="6">
        <v>292396.05099999998</v>
      </c>
      <c r="CV15" s="6">
        <v>30124.047999999999</v>
      </c>
      <c r="CW15" s="6">
        <v>62256.134400000003</v>
      </c>
      <c r="CX15" s="6">
        <v>33227.599999999999</v>
      </c>
      <c r="CY15" s="6">
        <v>164849.79199999999</v>
      </c>
      <c r="CZ15" s="6">
        <v>216284.22399999999</v>
      </c>
      <c r="DA15" s="6">
        <v>17765.009999999998</v>
      </c>
      <c r="DB15" s="6">
        <v>147706.33799999999</v>
      </c>
      <c r="DC15" s="6">
        <v>2892.92</v>
      </c>
      <c r="DD15" s="6">
        <v>2892.83</v>
      </c>
      <c r="DE15" s="6">
        <v>2916.33</v>
      </c>
      <c r="DF15" s="6">
        <v>0.999</v>
      </c>
      <c r="DG15" s="1" t="s">
        <v>226</v>
      </c>
      <c r="DH15" s="4">
        <f>Table2[[#This Row],[Date]]</f>
        <v>46213</v>
      </c>
      <c r="DI15">
        <f>(DD16-Table2[[#This Row],[MWH Total]])*4000</f>
        <v>25479.999999999563</v>
      </c>
      <c r="DJ15">
        <f>(DA16-Table2[[#This Row],[PNG Meter (Outside)]])*2.936</f>
        <v>12.037600000006409</v>
      </c>
      <c r="DK15">
        <f>(DB16-Table2[[#This Row],[PNG Meter (Inside)]])*2.936</f>
        <v>334.00816800001843</v>
      </c>
      <c r="DL15">
        <f>(BH16-Table2[[#This Row],[3F Dough cooler - 2 ]])*1000</f>
        <v>269.00000000000546</v>
      </c>
      <c r="DM15">
        <f>(BI16-Table2[[#This Row],[3F Dough Cooler- 1]])*1000</f>
        <v>480.99999999999454</v>
      </c>
      <c r="DN15">
        <f>(BJ16-Table2[[#This Row],[4F Dough Production cooling Unit]])*1000</f>
        <v>42.000000000001592</v>
      </c>
      <c r="DO15">
        <f>(BQ16-Table2[[#This Row],[3F2 - PDB 3 - Dough Production Area]])*1000</f>
        <v>194.00000000001683</v>
      </c>
      <c r="DP15">
        <f>(BR16-Table2[[#This Row],[3F3 - PDB 4 - Dough Area]])*1000</f>
        <v>112.99999999999955</v>
      </c>
      <c r="DQ15">
        <f>AC16-Table2[[#This Row],[16F1 Tray washer Panel for Light]]</f>
        <v>742.23999999975786</v>
      </c>
      <c r="DR15">
        <f>CQ16-Table2[[#This Row],[2F1 Tray Washer - 1]]</f>
        <v>1142.7200000002049</v>
      </c>
      <c r="DS15">
        <f>CS16-Table2[[#This Row],[2F5 Destacker]]</f>
        <v>348.51199999998789</v>
      </c>
      <c r="DT15">
        <f>CU16-Table2[[#This Row],[5F1 Metering (TW-2)]]</f>
        <v>223.98200000001816</v>
      </c>
      <c r="DU15">
        <f>CV16-Table2[[#This Row],[6F1 Pre soaker Tray washer]]</f>
        <v>3.2000000028347131E-3</v>
      </c>
      <c r="DV15">
        <f>CZ16-Table2[[#This Row],[6F5 Vent tray Storage]]</f>
        <v>49.152000000001863</v>
      </c>
      <c r="DW15">
        <f>I16-Table2[[#This Row],[Popeyes Meter ]]</f>
        <v>57.130000000000109</v>
      </c>
      <c r="DX15">
        <f>AZ16-Table2[[#This Row],[2F WH Chiller, Segregation Area]]</f>
        <v>0</v>
      </c>
      <c r="DY15">
        <f>BA16-Table2[[#This Row],[3F1 AC Unit WH dock cooling - 2 Nos]]</f>
        <v>20.639999999999418</v>
      </c>
      <c r="DZ15">
        <f>BB16-Table2[[#This Row],[3F2 AC Unit WH dock cooling - 3 Nos]]</f>
        <v>4.4000000000004036E-2</v>
      </c>
      <c r="EA15">
        <f>(BK16-Table2[[#This Row],[5F WH Perishable]])*1000</f>
        <v>315.00000000005457</v>
      </c>
      <c r="EB15">
        <f>BN16-Table2[[#This Row],[2F3 - PDB 9 - WH Dock Leveler Door ]]</f>
        <v>8.1599999999525608E-2</v>
      </c>
      <c r="EC15">
        <f>BP16-Table2[[#This Row],[3F1 - PDB 5 - WH HSD]]</f>
        <v>157.69599999999627</v>
      </c>
      <c r="ED15">
        <f>BX16-Table2[[#This Row],[8F1 WH Dock AHU - Ventilation]]</f>
        <v>2317.0559999999823</v>
      </c>
      <c r="EE15">
        <f>BZ16-Table2[[#This Row],[8F3 ACPDB - 4 WH Dock air curtain]]</f>
        <v>8.2880000000004657</v>
      </c>
      <c r="EF15">
        <f>CA16-Table2[[#This Row],[8F4 WH Light]]</f>
        <v>2.7488999999998214</v>
      </c>
      <c r="EG15">
        <f>CC16-Table2[[#This Row],[9F1 - PDB 10 - WH Dock door &amp; Office]]</f>
        <v>130.76800000001094</v>
      </c>
      <c r="EH15">
        <f>CD16-Table2[[#This Row],[9F2 - PDB 11 - WH flycatchers]]</f>
        <v>163.96799999999348</v>
      </c>
      <c r="EI15">
        <f>CE16-Table2[[#This Row],[9F3 - PDB 12 - Other items]]</f>
        <v>0</v>
      </c>
      <c r="EJ15">
        <f>CR16-Table2[[#This Row],[2F3 - PDB 1 - Dock 1 to 4 ]]</f>
        <v>61.720000000001164</v>
      </c>
      <c r="EK15">
        <f>BM16-Table2[[#This Row],[2F2 - PDB 3 - WH Truck &amp; Battery Charging]]</f>
        <v>464.55200000002515</v>
      </c>
      <c r="EL15">
        <f>(CK16-Table2[[#This Row],[PDB - 11 Truck Charging]])*1000</f>
        <v>51.000000000001933</v>
      </c>
      <c r="EM15">
        <f>P16-Table2[[#This Row],[5F3 Admin Area]]</f>
        <v>367.8080000000773</v>
      </c>
      <c r="EN15">
        <f>AH16-Table2[[#This Row],[2F5 Main Gate-1 Piller -1]]</f>
        <v>128.3920000000071</v>
      </c>
      <c r="EO15">
        <f>CW16-Table2[[#This Row],[6F2 Ground Floor AC]]</f>
        <v>36.691199999993842</v>
      </c>
      <c r="EP15">
        <f>CX16-Table2[[#This Row],[6F3 ACBD -1 (First floor AC)]]</f>
        <v>10.387200000004668</v>
      </c>
      <c r="EQ15">
        <f>CY16-Table2[[#This Row],[6F4 ACBD - 2 (Second &amp; Third floor AC)]]</f>
        <v>89.952000000019325</v>
      </c>
      <c r="ER15">
        <f>(BC16-Table2[[#This Row],[4F Old BMC cooling Unit]])</f>
        <v>0.39199999999254942</v>
      </c>
      <c r="ES15">
        <f>BO16-Table2[[#This Row],[2F4 - Old BMC]]</f>
        <v>4.8384000000005472</v>
      </c>
      <c r="ET15">
        <f>Y16-Table2[[#This Row],[14F2 New CK]]</f>
        <v>1381.6000000000931</v>
      </c>
      <c r="EU15">
        <f>(CL16-Table2[[#This Row],[OLD Ck Panel-1]])*1000</f>
        <v>669.99999999995907</v>
      </c>
      <c r="EV15">
        <f>CM16-Table2[[#This Row],[2F4 Old CK Blast (Blue star)]]</f>
        <v>0</v>
      </c>
      <c r="EW15">
        <f>CN16-Table2[[#This Row],[3F6 Old CK Blast (Carrier)]]</f>
        <v>539</v>
      </c>
      <c r="EX15">
        <f>(CO16-Table2[[#This Row],[Old CK Panel -2]])*1000</f>
        <v>1249.0000000000236</v>
      </c>
      <c r="EY15">
        <f>N16-Table2[[#This Row],[4F1 Main UPS 1/C -1]]</f>
        <v>923.04000000003725</v>
      </c>
      <c r="EZ15">
        <f>Z16-Table2[[#This Row],[15F1 Main UPS Panel - I/C - 2]]</f>
        <v>0</v>
      </c>
      <c r="FA15">
        <f>BF16-Table2[[#This Row],[2F CLC -1 AC unit - 2]]</f>
        <v>0</v>
      </c>
      <c r="FB15">
        <f>(BG16-Table2[[#This Row],[2F CLC Anti room]])*1000</f>
        <v>33.000000000001251</v>
      </c>
      <c r="FC15">
        <f>BW16-Table2[[#This Row],[7F3 CLC Power Panel]]</f>
        <v>293.95199999993201</v>
      </c>
      <c r="FD15">
        <f>(CI16-Table2[[#This Row],[PDB - 17 CLC Section ]])*1000</f>
        <v>78.000000000002956</v>
      </c>
      <c r="FE15">
        <f>(W16-Table2[[#This Row],[13F3 Water &amp; Lift Old CK]])*1000</f>
        <v>618.99999999991451</v>
      </c>
      <c r="FF15">
        <f>AA16-Table2[[#This Row],[15F2 New ETP Panel]]</f>
        <v>299.77600000007078</v>
      </c>
      <c r="FG15">
        <f>AL16-Table2[[#This Row],[3F4 Old ETP Panel]]</f>
        <v>64.992000000027474</v>
      </c>
      <c r="FH15">
        <f>AF16-Table2[[#This Row],[2F1 RO Plant]]</f>
        <v>588.03200000000652</v>
      </c>
      <c r="FI15">
        <f>AK16-Table2[[#This Row],[3F3 Fire Hydrant Panel]]</f>
        <v>10.688000000009197</v>
      </c>
      <c r="FJ15">
        <f>R16-Table2[[#This Row],[7F1 Freon System Panel]]</f>
        <v>5824</v>
      </c>
      <c r="FK15">
        <f>(AE16-Table2[[#This Row],[21F1 Refrigeration Ammonia]])*1000</f>
        <v>7119.1999999991822</v>
      </c>
      <c r="FL15">
        <f>(AG16-Table2[[#This Row],[2F3 Air Compressor]])*1000</f>
        <v>1035.0000000000819</v>
      </c>
      <c r="FM15">
        <f>(AX16-Table2[[#This Row],[Solar Reading Panel II]])*1000</f>
        <v>3345.9999999995489</v>
      </c>
      <c r="FN15">
        <f>AI16-Table2[[#This Row],[3F1 Maintenance Workshop]]</f>
        <v>3.6895999999997002</v>
      </c>
      <c r="FO15">
        <f>BD16-Table2[[#This Row],[4F B2B unit ]]</f>
        <v>46.048000000009779</v>
      </c>
      <c r="FP15">
        <f>BL16-Table2[[#This Row],[2F1 - PDB 6 - Bread, B2B section]]</f>
        <v>142.94400000000314</v>
      </c>
      <c r="FQ15">
        <f>(CG16-Table2[[#This Row],[9F5 - PDB 14 - Bread Lift]])</f>
        <v>9.4959999999846332</v>
      </c>
      <c r="FR15">
        <f>CJ16-Table2[[#This Row],[PDB - 16 Bread Section]]</f>
        <v>0.79999999999995453</v>
      </c>
      <c r="FS15">
        <f>BU16-Table2[[#This Row],[7F1 Donut Production area]]</f>
        <v>185.66399999998976</v>
      </c>
      <c r="FT15">
        <f>CB16-Table2[[#This Row],[8F5 Donut Ban Bary]]</f>
        <v>60.927999999999884</v>
      </c>
      <c r="FU15">
        <f>CF16-Table2[[#This Row],[9F4 - PDB 13 - Donut Sink Geyser area]]</f>
        <v>18.880000000004657</v>
      </c>
      <c r="FV15">
        <f>BV16-Table2[[#This Row],[7F2 Flour Silo]]</f>
        <v>531.68000000005122</v>
      </c>
      <c r="FW15">
        <f>BY16-Table2[[#This Row],[8F2 ACPDB - 3 SILO Ventilation]]</f>
        <v>48.176000000006752</v>
      </c>
      <c r="FX15">
        <f>J16-Table2[[#This Row],[DG 1010KVA Running Hours]]</f>
        <v>0</v>
      </c>
      <c r="FY15">
        <f>K16-Table2[[#This Row],[DG 1010 KVA Meter Reading]]</f>
        <v>0</v>
      </c>
      <c r="FZ15">
        <f>L16-Table2[[#This Row],[GG 1010 KVA Running Hours]]</f>
        <v>0</v>
      </c>
      <c r="GA15">
        <f>M16-Table2[[#This Row],[GG 1010 KVA Meter Reading]]</f>
        <v>0</v>
      </c>
    </row>
    <row r="16" spans="1:183" x14ac:dyDescent="0.35">
      <c r="A16" s="1">
        <v>24</v>
      </c>
      <c r="B16" s="2">
        <v>46214.366412037001</v>
      </c>
      <c r="C16" s="2">
        <v>46214.407500000001</v>
      </c>
      <c r="D16" s="1" t="s">
        <v>111</v>
      </c>
      <c r="E16" s="1"/>
      <c r="F16" s="1"/>
      <c r="G16" s="3">
        <v>46214</v>
      </c>
      <c r="H16" s="1" t="s">
        <v>186</v>
      </c>
      <c r="I16" s="6">
        <v>5662.9120000000003</v>
      </c>
      <c r="J16" s="6">
        <v>4248.8</v>
      </c>
      <c r="K16" s="6">
        <v>1765872</v>
      </c>
      <c r="L16" s="6">
        <v>430</v>
      </c>
      <c r="M16" s="6">
        <v>179.23</v>
      </c>
      <c r="N16" s="6">
        <v>1847092.96</v>
      </c>
      <c r="O16" s="6">
        <v>4557297.92</v>
      </c>
      <c r="P16" s="6">
        <v>636501.88800000004</v>
      </c>
      <c r="Q16" s="6">
        <v>8022284.7999999998</v>
      </c>
      <c r="R16" s="6">
        <v>5407173.7599999998</v>
      </c>
      <c r="S16" s="6">
        <v>7287534.7199999997</v>
      </c>
      <c r="T16" s="6">
        <v>42485794.450000003</v>
      </c>
      <c r="U16" s="6">
        <v>2073149.12</v>
      </c>
      <c r="V16" s="6">
        <v>5075280.6399999997</v>
      </c>
      <c r="W16" s="6">
        <v>1577.5969</v>
      </c>
      <c r="X16" s="6">
        <v>767335.87199999997</v>
      </c>
      <c r="Y16" s="6">
        <v>1062852.48</v>
      </c>
      <c r="Z16" s="6">
        <v>2777.8894</v>
      </c>
      <c r="AA16" s="6">
        <v>661792.25600000005</v>
      </c>
      <c r="AB16" s="6">
        <v>421022.592</v>
      </c>
      <c r="AC16" s="6">
        <v>2121728.48</v>
      </c>
      <c r="AD16" s="6">
        <v>3729735.3509999998</v>
      </c>
      <c r="AE16" s="6">
        <v>12644.2536</v>
      </c>
      <c r="AF16" s="6">
        <v>862077.88800000004</v>
      </c>
      <c r="AG16" s="6">
        <v>1373.2260000000001</v>
      </c>
      <c r="AH16" s="6">
        <v>130644.872</v>
      </c>
      <c r="AI16" s="6">
        <v>14504.224</v>
      </c>
      <c r="AJ16" s="6">
        <v>145284.864</v>
      </c>
      <c r="AK16" s="6">
        <v>104967.31200000001</v>
      </c>
      <c r="AL16" s="6">
        <v>328836</v>
      </c>
      <c r="AM16" s="6">
        <v>977.58199999999999</v>
      </c>
      <c r="AN16" s="6">
        <v>270.89999999999998</v>
      </c>
      <c r="AO16" s="6">
        <v>7.5</v>
      </c>
      <c r="AP16" s="6">
        <v>231905</v>
      </c>
      <c r="AQ16" s="6">
        <v>42305</v>
      </c>
      <c r="AR16" s="6">
        <v>41760</v>
      </c>
      <c r="AS16" s="6">
        <v>0</v>
      </c>
      <c r="AT16" s="6">
        <v>0</v>
      </c>
      <c r="AU16" s="6">
        <v>15075</v>
      </c>
      <c r="AV16" s="6">
        <v>6042</v>
      </c>
      <c r="AW16" s="6">
        <v>20.767872000000001</v>
      </c>
      <c r="AX16" s="6">
        <v>7178.3119999999999</v>
      </c>
      <c r="AY16" s="6">
        <v>675.77639999999997</v>
      </c>
      <c r="AZ16" s="6">
        <v>20.788</v>
      </c>
      <c r="BA16" s="6">
        <v>9932.0869999999995</v>
      </c>
      <c r="BB16" s="6">
        <v>43.716000000000001</v>
      </c>
      <c r="BC16" s="6">
        <v>113978.89599999999</v>
      </c>
      <c r="BD16" s="6">
        <v>274609.50400000002</v>
      </c>
      <c r="BE16" s="6">
        <v>3696.4391999999998</v>
      </c>
      <c r="BF16" s="6">
        <v>1712.0419999999999</v>
      </c>
      <c r="BG16" s="6">
        <v>74.308000000000007</v>
      </c>
      <c r="BH16" s="6">
        <v>356.29500000000002</v>
      </c>
      <c r="BI16" s="6">
        <v>904.28300000000002</v>
      </c>
      <c r="BJ16" s="6">
        <v>13.553000000000001</v>
      </c>
      <c r="BK16" s="6">
        <v>557.64400000000001</v>
      </c>
      <c r="BL16" s="6">
        <v>68586.092799999999</v>
      </c>
      <c r="BM16" s="6">
        <v>297814.91200000001</v>
      </c>
      <c r="BN16" s="6">
        <v>7139.3639999999996</v>
      </c>
      <c r="BO16" s="6">
        <v>53517.209600000002</v>
      </c>
      <c r="BP16" s="6">
        <v>311415.07199999999</v>
      </c>
      <c r="BQ16" s="6">
        <v>320.5</v>
      </c>
      <c r="BR16" s="6">
        <v>178.61799999999999</v>
      </c>
      <c r="BS16" s="6">
        <v>982965.91299999994</v>
      </c>
      <c r="BT16" s="6">
        <v>1400548.463</v>
      </c>
      <c r="BU16" s="6">
        <v>624219.19999999995</v>
      </c>
      <c r="BV16" s="6">
        <v>1011573.52</v>
      </c>
      <c r="BW16" s="6">
        <v>563276.48</v>
      </c>
      <c r="BX16" s="6">
        <v>944797.18400000001</v>
      </c>
      <c r="BY16" s="6">
        <v>156590.448</v>
      </c>
      <c r="BZ16" s="6">
        <v>114228.24</v>
      </c>
      <c r="CA16" s="6">
        <v>1182.4007999999999</v>
      </c>
      <c r="CB16" s="6">
        <v>107464.36</v>
      </c>
      <c r="CC16" s="6">
        <v>147786.736</v>
      </c>
      <c r="CD16" s="6">
        <v>442244.73599999998</v>
      </c>
      <c r="CE16" s="6">
        <v>49125.260799999996</v>
      </c>
      <c r="CF16" s="6">
        <v>155333.45600000001</v>
      </c>
      <c r="CG16" s="6">
        <v>360770.11040000001</v>
      </c>
      <c r="CH16" s="6">
        <v>2385.8710000000001</v>
      </c>
      <c r="CI16" s="6">
        <v>210.97300000000001</v>
      </c>
      <c r="CJ16" s="6">
        <v>1168.2</v>
      </c>
      <c r="CK16" s="6">
        <v>76.963999999999999</v>
      </c>
      <c r="CL16" s="6">
        <v>721.202</v>
      </c>
      <c r="CM16" s="6">
        <v>551.4</v>
      </c>
      <c r="CN16" s="6">
        <v>35331.4</v>
      </c>
      <c r="CO16" s="6">
        <v>1630.65</v>
      </c>
      <c r="CP16" s="6">
        <v>291035.18400000001</v>
      </c>
      <c r="CQ16" s="6">
        <v>3657913.6</v>
      </c>
      <c r="CR16" s="6">
        <v>129573.88800000001</v>
      </c>
      <c r="CS16" s="6">
        <v>507384.76799999998</v>
      </c>
      <c r="CT16" s="6">
        <v>2858364.2239999999</v>
      </c>
      <c r="CU16" s="6">
        <v>292620.033</v>
      </c>
      <c r="CV16" s="6">
        <v>30124.051200000002</v>
      </c>
      <c r="CW16" s="6">
        <v>62292.825599999996</v>
      </c>
      <c r="CX16" s="6">
        <v>33237.987200000003</v>
      </c>
      <c r="CY16" s="6">
        <v>164939.74400000001</v>
      </c>
      <c r="CZ16" s="6">
        <v>216333.37599999999</v>
      </c>
      <c r="DA16" s="6">
        <v>17769.11</v>
      </c>
      <c r="DB16" s="6">
        <v>147820.101</v>
      </c>
      <c r="DC16" s="6">
        <v>2899.29</v>
      </c>
      <c r="DD16" s="6">
        <v>2899.2</v>
      </c>
      <c r="DE16" s="6">
        <v>2922.67</v>
      </c>
      <c r="DF16" s="6">
        <v>0.998</v>
      </c>
      <c r="DG16" s="1" t="s">
        <v>230</v>
      </c>
      <c r="DH16" s="4">
        <f>Table2[[#This Row],[Date]]</f>
        <v>46214</v>
      </c>
      <c r="DI16">
        <f>(DD17-Table2[[#This Row],[MWH Total]])*4000</f>
        <v>26560.00000000131</v>
      </c>
      <c r="DJ16">
        <f>(DA17-Table2[[#This Row],[PNG Meter (Outside)]])*2.936</f>
        <v>14.768079999996582</v>
      </c>
      <c r="DK16">
        <f>(DB17-Table2[[#This Row],[PNG Meter (Inside)]])*2.936</f>
        <v>170.71078400000067</v>
      </c>
      <c r="DL16">
        <f>(BH17-Table2[[#This Row],[3F Dough cooler - 2 ]])*1000</f>
        <v>180.00000000000682</v>
      </c>
      <c r="DM16">
        <f>(BI17-Table2[[#This Row],[3F Dough Cooler- 1]])*1000</f>
        <v>393.0000000000291</v>
      </c>
      <c r="DN16">
        <f>(BJ17-Table2[[#This Row],[4F Dough Production cooling Unit]])*1000</f>
        <v>33.99999999999892</v>
      </c>
      <c r="DO16">
        <f>(BQ17-Table2[[#This Row],[3F2 - PDB 3 - Dough Production Area]])*1000</f>
        <v>163.00000000001091</v>
      </c>
      <c r="DP16">
        <f>(BR17-Table2[[#This Row],[3F3 - PDB 4 - Dough Area]])*1000</f>
        <v>91.000000000008185</v>
      </c>
      <c r="DQ16">
        <f>AC17-Table2[[#This Row],[16F1 Tray washer Panel for Light]]</f>
        <v>647.52000000001863</v>
      </c>
      <c r="DR16">
        <f>CQ17-Table2[[#This Row],[2F1 Tray Washer - 1]]</f>
        <v>1046.7199999997392</v>
      </c>
      <c r="DS16">
        <f>CS17-Table2[[#This Row],[2F5 Destacker]]</f>
        <v>269.2160000000149</v>
      </c>
      <c r="DT16">
        <f>CU17-Table2[[#This Row],[5F1 Metering (TW-2)]]</f>
        <v>249.36599999997998</v>
      </c>
      <c r="DU16">
        <f>CV17-Table2[[#This Row],[6F1 Pre soaker Tray washer]]</f>
        <v>0</v>
      </c>
      <c r="DV16">
        <f>CZ17-Table2[[#This Row],[6F5 Vent tray Storage]]</f>
        <v>72.01600000000326</v>
      </c>
      <c r="DW16">
        <f>I17-Table2[[#This Row],[Popeyes Meter ]]</f>
        <v>6.5299999999997453</v>
      </c>
      <c r="DX16">
        <f>AZ17-Table2[[#This Row],[2F WH Chiller, Segregation Area]]</f>
        <v>0</v>
      </c>
      <c r="DY16">
        <f>BA17-Table2[[#This Row],[3F1 AC Unit WH dock cooling - 2 Nos]]</f>
        <v>12.260000000000218</v>
      </c>
      <c r="DZ16">
        <f>BB17-Table2[[#This Row],[3F2 AC Unit WH dock cooling - 3 Nos]]</f>
        <v>2.8999999999996362E-2</v>
      </c>
      <c r="EA16">
        <f>(BK17-Table2[[#This Row],[5F WH Perishable]])*1000</f>
        <v>258.0000000000382</v>
      </c>
      <c r="EB16">
        <f>BN17-Table2[[#This Row],[2F3 - PDB 9 - WH Dock Leveler Door ]]</f>
        <v>0.10560000000077707</v>
      </c>
      <c r="EC16">
        <f>BP17-Table2[[#This Row],[3F1 - PDB 5 - WH HSD]]</f>
        <v>127.77600000001257</v>
      </c>
      <c r="ED16">
        <f>BX17-Table2[[#This Row],[8F1 WH Dock AHU - Ventilation]]</f>
        <v>1886.2079999999842</v>
      </c>
      <c r="EE16">
        <f>BZ17-Table2[[#This Row],[8F3 ACPDB - 4 WH Dock air curtain]]</f>
        <v>5.3359999999956926</v>
      </c>
      <c r="EF16">
        <f>CA17-Table2[[#This Row],[8F4 WH Light]]</f>
        <v>2.2535000000000309</v>
      </c>
      <c r="EG16">
        <f>CC17-Table2[[#This Row],[9F1 - PDB 10 - WH Dock door &amp; Office]]</f>
        <v>100.58999999999651</v>
      </c>
      <c r="EH16">
        <f>CD17-Table2[[#This Row],[9F2 - PDB 11 - WH flycatchers]]</f>
        <v>135.11200000002282</v>
      </c>
      <c r="EI16">
        <f>CE17-Table2[[#This Row],[9F3 - PDB 12 - Other items]]</f>
        <v>0</v>
      </c>
      <c r="EJ16">
        <f>CR17-Table2[[#This Row],[2F3 - PDB 1 - Dock 1 to 4 ]]</f>
        <v>49.087999999988824</v>
      </c>
      <c r="EK16">
        <f>BM17-Table2[[#This Row],[2F2 - PDB 3 - WH Truck &amp; Battery Charging]]</f>
        <v>552.73599999997532</v>
      </c>
      <c r="EL16">
        <f>(CK17-Table2[[#This Row],[PDB - 11 Truck Charging]])*1000</f>
        <v>42.000000000001592</v>
      </c>
      <c r="EM16">
        <f>P17-Table2[[#This Row],[5F3 Admin Area]]</f>
        <v>321.15200000000186</v>
      </c>
      <c r="EN16">
        <f>AH17-Table2[[#This Row],[2F5 Main Gate-1 Piller -1]]</f>
        <v>123.46399999999267</v>
      </c>
      <c r="EO16">
        <f>CW17-Table2[[#This Row],[6F2 Ground Floor AC]]</f>
        <v>29.184000000001106</v>
      </c>
      <c r="EP16">
        <f>CX17-Table2[[#This Row],[6F3 ACBD -1 (First floor AC)]]</f>
        <v>8.4543999999950756</v>
      </c>
      <c r="EQ16">
        <f>CY17-Table2[[#This Row],[6F4 ACBD - 2 (Second &amp; Third floor AC)]]</f>
        <v>107.77599999998347</v>
      </c>
      <c r="ER16">
        <f>(BC17-Table2[[#This Row],[4F Old BMC cooling Unit]])</f>
        <v>1.0960000000050059</v>
      </c>
      <c r="ES16">
        <f>BO17-Table2[[#This Row],[2F4 - Old BMC]]</f>
        <v>3.4943999999959487</v>
      </c>
      <c r="ET16">
        <f>Y17-Table2[[#This Row],[14F2 New CK]]</f>
        <v>976.64000000013039</v>
      </c>
      <c r="EU16">
        <f>(CL17-Table2[[#This Row],[OLD Ck Panel-1]])*1000</f>
        <v>525.99999999995362</v>
      </c>
      <c r="EV16">
        <f>CM17-Table2[[#This Row],[2F4 Old CK Blast (Blue star)]]</f>
        <v>0</v>
      </c>
      <c r="EW16">
        <f>CN17-Table2[[#This Row],[3F6 Old CK Blast (Carrier)]]</f>
        <v>418</v>
      </c>
      <c r="EX16">
        <f>(CO17-Table2[[#This Row],[Old CK Panel -2]])*1000</f>
        <v>1015.999999999849</v>
      </c>
      <c r="EY16">
        <f>N17-Table2[[#This Row],[4F1 Main UPS 1/C -1]]</f>
        <v>759.04000000003725</v>
      </c>
      <c r="EZ16">
        <f>Z17-Table2[[#This Row],[15F1 Main UPS Panel - I/C - 2]]</f>
        <v>0</v>
      </c>
      <c r="FA16">
        <f>BF17-Table2[[#This Row],[2F CLC -1 AC unit - 2]]</f>
        <v>0</v>
      </c>
      <c r="FB16">
        <f>(BG17-Table2[[#This Row],[2F CLC Anti room]])*1000</f>
        <v>36.999999999991928</v>
      </c>
      <c r="FC16">
        <f>BW17-Table2[[#This Row],[7F3 CLC Power Panel]]</f>
        <v>225.53599999996368</v>
      </c>
      <c r="FD16">
        <f>(CI17-Table2[[#This Row],[PDB - 17 CLC Section ]])*1000</f>
        <v>237.99999999999955</v>
      </c>
      <c r="FE16">
        <f>(W17-Table2[[#This Row],[13F3 Water &amp; Lift Old CK]])*1000</f>
        <v>416.79999999996653</v>
      </c>
      <c r="FF16">
        <f>AA17-Table2[[#This Row],[15F2 New ETP Panel]]</f>
        <v>227.45600000000559</v>
      </c>
      <c r="FG16">
        <f>AL17-Table2[[#This Row],[3F4 Old ETP Panel]]</f>
        <v>64.992000000027474</v>
      </c>
      <c r="FH16">
        <f>AF17-Table2[[#This Row],[2F1 RO Plant]]</f>
        <v>527.35999999998603</v>
      </c>
      <c r="FI16">
        <f>AK17-Table2[[#This Row],[3F3 Fire Hydrant Panel]]</f>
        <v>9.1999999999970896</v>
      </c>
      <c r="FJ16">
        <f>R17-Table2[[#This Row],[7F1 Freon System Panel]]</f>
        <v>4765.6699999999255</v>
      </c>
      <c r="FK16">
        <f>(AE17-Table2[[#This Row],[21F1 Refrigeration Ammonia]])*1000</f>
        <v>6476.0000000005675</v>
      </c>
      <c r="FL16">
        <f>(AG17-Table2[[#This Row],[2F3 Air Compressor]])*1000</f>
        <v>882.99999999981083</v>
      </c>
      <c r="FM16">
        <f>(AX17-Table2[[#This Row],[Solar Reading Panel II]])*1000</f>
        <v>3386.000000000422</v>
      </c>
      <c r="FN16">
        <f>AI17-Table2[[#This Row],[3F1 Maintenance Workshop]]</f>
        <v>3.0480000000006839</v>
      </c>
      <c r="FO16">
        <f>BD17-Table2[[#This Row],[4F B2B unit ]]</f>
        <v>45.823999999964144</v>
      </c>
      <c r="FP16">
        <f>BL17-Table2[[#This Row],[2F1 - PDB 6 - Bread, B2B section]]</f>
        <v>146.5856000000058</v>
      </c>
      <c r="FQ16">
        <f>(CG17-Table2[[#This Row],[9F5 - PDB 14 - Bread Lift]])</f>
        <v>0.12479999999050051</v>
      </c>
      <c r="FR16">
        <f>CJ17-Table2[[#This Row],[PDB - 16 Bread Section]]</f>
        <v>9.9999999999909051E-2</v>
      </c>
      <c r="FS16">
        <f>BU17-Table2[[#This Row],[7F1 Donut Production area]]</f>
        <v>237.50400000007357</v>
      </c>
      <c r="FT16">
        <f>CB17-Table2[[#This Row],[8F5 Donut Ban Bary]]</f>
        <v>38.216000000000349</v>
      </c>
      <c r="FU16">
        <f>CF17-Table2[[#This Row],[9F4 - PDB 13 - Donut Sink Geyser area]]</f>
        <v>62.864000000001397</v>
      </c>
      <c r="FV16">
        <f>BV17-Table2[[#This Row],[7F2 Flour Silo]]</f>
        <v>485.35999999998603</v>
      </c>
      <c r="FW16">
        <f>BY17-Table2[[#This Row],[8F2 ACPDB - 3 SILO Ventilation]]</f>
        <v>61.935999999986961</v>
      </c>
      <c r="FX16">
        <f>J17-Table2[[#This Row],[DG 1010KVA Running Hours]]</f>
        <v>0</v>
      </c>
      <c r="FY16">
        <f>K17-Table2[[#This Row],[DG 1010 KVA Meter Reading]]</f>
        <v>0</v>
      </c>
      <c r="FZ16">
        <f>L17-Table2[[#This Row],[GG 1010 KVA Running Hours]]</f>
        <v>0</v>
      </c>
      <c r="GA16">
        <f>M17-Table2[[#This Row],[GG 1010 KVA Meter Reading]]</f>
        <v>0</v>
      </c>
    </row>
    <row r="17" spans="1:183" x14ac:dyDescent="0.35">
      <c r="A17" s="1">
        <v>25</v>
      </c>
      <c r="B17" s="2">
        <v>46215.540104166699</v>
      </c>
      <c r="C17" s="2">
        <v>46215.557500000003</v>
      </c>
      <c r="D17" s="1" t="s">
        <v>111</v>
      </c>
      <c r="E17" s="1"/>
      <c r="F17" s="1"/>
      <c r="G17" s="3">
        <v>46215</v>
      </c>
      <c r="H17" s="1" t="s">
        <v>234</v>
      </c>
      <c r="I17" s="6">
        <v>5669.442</v>
      </c>
      <c r="J17" s="6">
        <v>4248.8</v>
      </c>
      <c r="K17" s="6">
        <v>1765872</v>
      </c>
      <c r="L17" s="6">
        <v>430</v>
      </c>
      <c r="M17" s="6">
        <v>179.23</v>
      </c>
      <c r="N17" s="6">
        <v>1847852</v>
      </c>
      <c r="O17" s="6">
        <v>4558807.3600000003</v>
      </c>
      <c r="P17" s="6">
        <v>636823.04000000004</v>
      </c>
      <c r="Q17" s="6">
        <v>8025429.7599999998</v>
      </c>
      <c r="R17" s="6">
        <v>5411939.4299999997</v>
      </c>
      <c r="S17" s="6">
        <v>7290719.3600000003</v>
      </c>
      <c r="T17" s="6">
        <v>42495914.681999996</v>
      </c>
      <c r="U17" s="6">
        <v>2074404.32</v>
      </c>
      <c r="V17" s="6">
        <v>5076678.4000000004</v>
      </c>
      <c r="W17" s="6">
        <v>1578.0137</v>
      </c>
      <c r="X17" s="6">
        <v>767599.80799999996</v>
      </c>
      <c r="Y17" s="6">
        <v>1063829.1200000001</v>
      </c>
      <c r="Z17" s="6">
        <v>2777.8894</v>
      </c>
      <c r="AA17" s="6">
        <v>662019.71200000006</v>
      </c>
      <c r="AB17" s="6">
        <v>421030.304</v>
      </c>
      <c r="AC17" s="6">
        <v>2122376</v>
      </c>
      <c r="AD17" s="6">
        <v>2456103.7370000002</v>
      </c>
      <c r="AE17" s="6">
        <v>12650.729600000001</v>
      </c>
      <c r="AF17" s="6">
        <v>862605.24800000002</v>
      </c>
      <c r="AG17" s="6">
        <v>1374.1089999999999</v>
      </c>
      <c r="AH17" s="6">
        <v>130768.336</v>
      </c>
      <c r="AI17" s="6">
        <v>14507.272000000001</v>
      </c>
      <c r="AJ17" s="6">
        <v>145286.736</v>
      </c>
      <c r="AK17" s="6">
        <v>104976.512</v>
      </c>
      <c r="AL17" s="6">
        <v>328900.99200000003</v>
      </c>
      <c r="AM17" s="6">
        <v>978.04600000000005</v>
      </c>
      <c r="AN17" s="6">
        <v>254.2</v>
      </c>
      <c r="AO17" s="6">
        <v>7.3</v>
      </c>
      <c r="AP17" s="6">
        <v>239670</v>
      </c>
      <c r="AQ17" s="6">
        <v>42305</v>
      </c>
      <c r="AR17" s="6">
        <v>41760</v>
      </c>
      <c r="AS17" s="6">
        <v>32307</v>
      </c>
      <c r="AT17" s="6">
        <v>22056</v>
      </c>
      <c r="AU17" s="6">
        <v>15095</v>
      </c>
      <c r="AV17" s="6">
        <v>6056</v>
      </c>
      <c r="AW17" s="6">
        <v>20.773959999999999</v>
      </c>
      <c r="AX17" s="6">
        <v>7181.6980000000003</v>
      </c>
      <c r="AY17" s="6">
        <v>675.86288000000002</v>
      </c>
      <c r="AZ17" s="6">
        <v>20.788</v>
      </c>
      <c r="BA17" s="6">
        <v>9944.3469999999998</v>
      </c>
      <c r="BB17" s="6">
        <v>43.744999999999997</v>
      </c>
      <c r="BC17" s="6">
        <v>113979.992</v>
      </c>
      <c r="BD17" s="6">
        <v>274655.32799999998</v>
      </c>
      <c r="BE17" s="6">
        <v>3697.4</v>
      </c>
      <c r="BF17" s="6">
        <v>1712.0419999999999</v>
      </c>
      <c r="BG17" s="6">
        <v>74.344999999999999</v>
      </c>
      <c r="BH17" s="6">
        <v>356.47500000000002</v>
      </c>
      <c r="BI17" s="6">
        <v>904.67600000000004</v>
      </c>
      <c r="BJ17" s="6">
        <v>13.587</v>
      </c>
      <c r="BK17" s="6">
        <v>557.90200000000004</v>
      </c>
      <c r="BL17" s="6">
        <v>68732.678400000004</v>
      </c>
      <c r="BM17" s="6">
        <v>298367.64799999999</v>
      </c>
      <c r="BN17" s="6">
        <v>7139.4696000000004</v>
      </c>
      <c r="BO17" s="6">
        <v>53520.703999999998</v>
      </c>
      <c r="BP17" s="6">
        <v>311542.848</v>
      </c>
      <c r="BQ17" s="6">
        <v>320.66300000000001</v>
      </c>
      <c r="BR17" s="6">
        <v>178.709</v>
      </c>
      <c r="BS17" s="6">
        <v>984144.19900000002</v>
      </c>
      <c r="BT17" s="6">
        <v>1400553.382</v>
      </c>
      <c r="BU17" s="6">
        <v>624456.70400000003</v>
      </c>
      <c r="BV17" s="6">
        <v>1012058.88</v>
      </c>
      <c r="BW17" s="6">
        <v>563502.01599999995</v>
      </c>
      <c r="BX17" s="6">
        <v>946683.39199999999</v>
      </c>
      <c r="BY17" s="6">
        <v>156652.38399999999</v>
      </c>
      <c r="BZ17" s="6">
        <v>114233.576</v>
      </c>
      <c r="CA17" s="6">
        <v>1184.6542999999999</v>
      </c>
      <c r="CB17" s="6">
        <v>107502.576</v>
      </c>
      <c r="CC17" s="6">
        <v>147887.326</v>
      </c>
      <c r="CD17" s="6">
        <v>442379.848</v>
      </c>
      <c r="CE17" s="6">
        <v>49125.260799999996</v>
      </c>
      <c r="CF17" s="6">
        <v>155396.32</v>
      </c>
      <c r="CG17" s="6">
        <v>360770.2352</v>
      </c>
      <c r="CH17" s="6">
        <v>2385.8710000000001</v>
      </c>
      <c r="CI17" s="6">
        <v>211.21100000000001</v>
      </c>
      <c r="CJ17" s="6">
        <v>1168.3</v>
      </c>
      <c r="CK17" s="6">
        <v>77.006</v>
      </c>
      <c r="CL17" s="6">
        <v>721.72799999999995</v>
      </c>
      <c r="CM17" s="6">
        <v>551.4</v>
      </c>
      <c r="CN17" s="6">
        <v>35749.4</v>
      </c>
      <c r="CO17" s="6">
        <v>1631.6659999999999</v>
      </c>
      <c r="CP17" s="6">
        <v>291158.31599999999</v>
      </c>
      <c r="CQ17" s="6">
        <v>3658960.32</v>
      </c>
      <c r="CR17" s="6">
        <v>129622.976</v>
      </c>
      <c r="CS17" s="6">
        <v>507653.984</v>
      </c>
      <c r="CT17" s="6">
        <v>2861400.37</v>
      </c>
      <c r="CU17" s="6">
        <v>292869.39899999998</v>
      </c>
      <c r="CV17" s="6">
        <v>30124.051200000002</v>
      </c>
      <c r="CW17" s="6">
        <v>62322.009599999998</v>
      </c>
      <c r="CX17" s="6">
        <v>33246.441599999998</v>
      </c>
      <c r="CY17" s="6">
        <v>165047.51999999999</v>
      </c>
      <c r="CZ17" s="6">
        <v>216405.39199999999</v>
      </c>
      <c r="DA17" s="6">
        <v>17774.14</v>
      </c>
      <c r="DB17" s="6">
        <v>147878.245</v>
      </c>
      <c r="DC17" s="6">
        <v>2905.94</v>
      </c>
      <c r="DD17" s="6">
        <v>2905.84</v>
      </c>
      <c r="DE17" s="6">
        <v>2929.64</v>
      </c>
      <c r="DF17" s="6">
        <v>0.99299999999999999</v>
      </c>
      <c r="DG17" s="1" t="s">
        <v>176</v>
      </c>
      <c r="DH17" s="4">
        <f>Table2[[#This Row],[Date]]</f>
        <v>46215</v>
      </c>
      <c r="DI17">
        <f>(DD18-Table2[[#This Row],[MWH Total]])*4000</f>
        <v>19760.000000000218</v>
      </c>
      <c r="DJ17">
        <f>(DA18-Table2[[#This Row],[PNG Meter (Outside)]])*2.936</f>
        <v>0.29360000000640868</v>
      </c>
      <c r="DK17">
        <f>(DB18-Table2[[#This Row],[PNG Meter (Inside)]])*2.936</f>
        <v>122.86279200002598</v>
      </c>
      <c r="DL17">
        <f>(BH18-Table2[[#This Row],[3F Dough cooler - 2 ]])*1000</f>
        <v>239.99999999995225</v>
      </c>
      <c r="DM17">
        <f>(BI18-Table2[[#This Row],[3F Dough Cooler- 1]])*1000</f>
        <v>423.99999999997817</v>
      </c>
      <c r="DN17">
        <f>(BJ18-Table2[[#This Row],[4F Dough Production cooling Unit]])*1000</f>
        <v>47.000000000000597</v>
      </c>
      <c r="DO17">
        <f>(BQ18-Table2[[#This Row],[3F2 - PDB 3 - Dough Production Area]])*1000</f>
        <v>158.99999999999181</v>
      </c>
      <c r="DP17">
        <f>(BR18-Table2[[#This Row],[3F3 - PDB 4 - Dough Area]])*1000</f>
        <v>92.999999999989313</v>
      </c>
      <c r="DQ17">
        <f>AC18-Table2[[#This Row],[16F1 Tray washer Panel for Light]]</f>
        <v>716.95999999996275</v>
      </c>
      <c r="DR17">
        <f>CQ18-Table2[[#This Row],[2F1 Tray Washer - 1]]</f>
        <v>1006.4000000003725</v>
      </c>
      <c r="DS17">
        <f>CS18-Table2[[#This Row],[2F5 Destacker]]</f>
        <v>265.18400000000838</v>
      </c>
      <c r="DT17">
        <f>CU18-Table2[[#This Row],[5F1 Metering (TW-2)]]</f>
        <v>215.57800000003772</v>
      </c>
      <c r="DU17">
        <f>CV18-Table2[[#This Row],[6F1 Pre soaker Tray washer]]</f>
        <v>0</v>
      </c>
      <c r="DV17">
        <f>CZ18-Table2[[#This Row],[6F5 Vent tray Storage]]</f>
        <v>11.072000000014668</v>
      </c>
      <c r="DW17">
        <f>I18-Table2[[#This Row],[Popeyes Meter ]]</f>
        <v>0</v>
      </c>
      <c r="DX17">
        <f>AZ18-Table2[[#This Row],[2F WH Chiller, Segregation Area]]</f>
        <v>0</v>
      </c>
      <c r="DY17">
        <f>BA18-Table2[[#This Row],[3F1 AC Unit WH dock cooling - 2 Nos]]</f>
        <v>17.760000000000218</v>
      </c>
      <c r="DZ17">
        <f>BB18-Table2[[#This Row],[3F2 AC Unit WH dock cooling - 3 Nos]]</f>
        <v>4.4000000000004036E-2</v>
      </c>
      <c r="EA17">
        <f>(BK18-Table2[[#This Row],[5F WH Perishable]])*1000</f>
        <v>274.99999999997726</v>
      </c>
      <c r="EB17">
        <f>BN18-Table2[[#This Row],[2F3 - PDB 9 - WH Dock Leveler Door ]]</f>
        <v>0.57119999999940774</v>
      </c>
      <c r="EC17">
        <f>BP18-Table2[[#This Row],[3F1 - PDB 5 - WH HSD]]</f>
        <v>125.02399999997579</v>
      </c>
      <c r="ED17">
        <f>BX18-Table2[[#This Row],[8F1 WH Dock AHU - Ventilation]]</f>
        <v>2179.6140000000596</v>
      </c>
      <c r="EE17">
        <f>BZ18-Table2[[#This Row],[8F3 ACPDB - 4 WH Dock air curtain]]</f>
        <v>4.9599999999918509</v>
      </c>
      <c r="EF17">
        <f>CA18-Table2[[#This Row],[8F4 WH Light]]</f>
        <v>2.6058000000000447</v>
      </c>
      <c r="EG17">
        <f>CC18-Table2[[#This Row],[9F1 - PDB 10 - WH Dock door &amp; Office]]</f>
        <v>147.61799999998766</v>
      </c>
      <c r="EH17">
        <f>CD18-Table2[[#This Row],[9F2 - PDB 11 - WH flycatchers]]</f>
        <v>153.44000000000233</v>
      </c>
      <c r="EI17">
        <f>CE18-Table2[[#This Row],[9F3 - PDB 12 - Other items]]</f>
        <v>0</v>
      </c>
      <c r="EJ17">
        <f>CR18-Table2[[#This Row],[2F3 - PDB 1 - Dock 1 to 4 ]]</f>
        <v>71.264000000010128</v>
      </c>
      <c r="EK17">
        <f>BM18-Table2[[#This Row],[2F2 - PDB 3 - WH Truck &amp; Battery Charging]]</f>
        <v>577.60000000003492</v>
      </c>
      <c r="EL17">
        <f>(CK18-Table2[[#This Row],[PDB - 11 Truck Charging]])*1000</f>
        <v>52.000000000006708</v>
      </c>
      <c r="EM17">
        <f>P18-Table2[[#This Row],[5F3 Admin Area]]</f>
        <v>341.37599999993108</v>
      </c>
      <c r="EN17">
        <f>AH18-Table2[[#This Row],[2F5 Main Gate-1 Piller -1]]</f>
        <v>133.41599999999744</v>
      </c>
      <c r="EO17">
        <f>CW18-Table2[[#This Row],[6F2 Ground Floor AC]]</f>
        <v>33.945599999999104</v>
      </c>
      <c r="EP17">
        <f>CX18-Table2[[#This Row],[6F3 ACBD -1 (First floor AC)]]</f>
        <v>10.393600000003062</v>
      </c>
      <c r="EQ17">
        <f>CY18-Table2[[#This Row],[6F4 ACBD - 2 (Second &amp; Third floor AC)]]</f>
        <v>125.82400000002235</v>
      </c>
      <c r="ER17">
        <f>(BC18-Table2[[#This Row],[4F Old BMC cooling Unit]])</f>
        <v>0</v>
      </c>
      <c r="ES17">
        <f>BO18-Table2[[#This Row],[2F4 - Old BMC]]</f>
        <v>0.66560000000026776</v>
      </c>
      <c r="ET17">
        <f>Y18-Table2[[#This Row],[14F2 New CK]]</f>
        <v>837.03999999980442</v>
      </c>
      <c r="EU17">
        <f>(CL18-Table2[[#This Row],[OLD Ck Panel-1]])*1000</f>
        <v>364.00000000003274</v>
      </c>
      <c r="EV17">
        <f>CM18-Table2[[#This Row],[2F4 Old CK Blast (Blue star)]]</f>
        <v>0</v>
      </c>
      <c r="EW17">
        <f>CN18-Table2[[#This Row],[3F6 Old CK Blast (Carrier)]]</f>
        <v>296.59999999999854</v>
      </c>
      <c r="EX17">
        <f>(CO18-Table2[[#This Row],[Old CK Panel -2]])*1000</f>
        <v>1008.0000000000382</v>
      </c>
      <c r="EY17">
        <f>N18-Table2[[#This Row],[4F1 Main UPS 1/C -1]]</f>
        <v>804.01000000000931</v>
      </c>
      <c r="EZ17">
        <f>Z18-Table2[[#This Row],[15F1 Main UPS Panel - I/C - 2]]</f>
        <v>0</v>
      </c>
      <c r="FA17">
        <f>BF18-Table2[[#This Row],[2F CLC -1 AC unit - 2]]</f>
        <v>0</v>
      </c>
      <c r="FB17">
        <f>(BG18-Table2[[#This Row],[2F CLC Anti room]])*1000</f>
        <v>12.000000000000455</v>
      </c>
      <c r="FC17">
        <f>BW18-Table2[[#This Row],[7F3 CLC Power Panel]]</f>
        <v>127.10400000005029</v>
      </c>
      <c r="FD17">
        <f>(CI18-Table2[[#This Row],[PDB - 17 CLC Section ]])*1000</f>
        <v>90.999999999979764</v>
      </c>
      <c r="FE17">
        <f>(W18-Table2[[#This Row],[13F3 Water &amp; Lift Old CK]])*1000</f>
        <v>431.39999999993961</v>
      </c>
      <c r="FF17">
        <f>AA18-Table2[[#This Row],[15F2 New ETP Panel]]</f>
        <v>307.00799999991432</v>
      </c>
      <c r="FG17">
        <f>AL18-Table2[[#This Row],[3F4 Old ETP Panel]]</f>
        <v>74.271999999997206</v>
      </c>
      <c r="FH17">
        <f>AF18-Table2[[#This Row],[2F1 RO Plant]]</f>
        <v>592.06400000001304</v>
      </c>
      <c r="FI17">
        <f>AK18-Table2[[#This Row],[3F3 Fire Hydrant Panel]]</f>
        <v>10.487999999997555</v>
      </c>
      <c r="FJ17">
        <f>R18-Table2[[#This Row],[7F1 Freon System Panel]]</f>
        <v>3916.570000000298</v>
      </c>
      <c r="FK17">
        <f>(AE18-Table2[[#This Row],[21F1 Refrigeration Ammonia]])*1000</f>
        <v>6005.5999999985943</v>
      </c>
      <c r="FL17">
        <f>(AG18-Table2[[#This Row],[2F3 Air Compressor]])*1000</f>
        <v>985.00000000012733</v>
      </c>
      <c r="FM17">
        <f>(AX18-Table2[[#This Row],[Solar Reading Panel II]])*1000</f>
        <v>2692.0000000000073</v>
      </c>
      <c r="FN17">
        <f>AI18-Table2[[#This Row],[3F1 Maintenance Workshop]]</f>
        <v>3.6943999999984953</v>
      </c>
      <c r="FO17">
        <f>BD18-Table2[[#This Row],[4F B2B unit ]]</f>
        <v>43.072000000043772</v>
      </c>
      <c r="FP17">
        <f>BL18-Table2[[#This Row],[2F1 - PDB 6 - Bread, B2B section]]</f>
        <v>134.84799999999814</v>
      </c>
      <c r="FQ17">
        <f>(CG18-Table2[[#This Row],[9F5 - PDB 14 - Bread Lift]])</f>
        <v>0.61759999999776483</v>
      </c>
      <c r="FR17">
        <f>CJ18-Table2[[#This Row],[PDB - 16 Bread Section]]</f>
        <v>1.6000000000001364</v>
      </c>
      <c r="FS17">
        <f>BU18-Table2[[#This Row],[7F1 Donut Production area]]</f>
        <v>196.09600000001956</v>
      </c>
      <c r="FT17">
        <f>CB18-Table2[[#This Row],[8F5 Donut Ban Bary]]</f>
        <v>61.055999999996857</v>
      </c>
      <c r="FU17">
        <f>CF18-Table2[[#This Row],[9F4 - PDB 13 - Donut Sink Geyser area]]</f>
        <v>30.5</v>
      </c>
      <c r="FV17">
        <f>BV18-Table2[[#This Row],[7F2 Flour Silo]]</f>
        <v>338.40000000002328</v>
      </c>
      <c r="FW17">
        <f>BY18-Table2[[#This Row],[8F2 ACPDB - 3 SILO Ventilation]]</f>
        <v>49.63200000001234</v>
      </c>
      <c r="FX17">
        <f>J18-Table2[[#This Row],[DG 1010KVA Running Hours]]</f>
        <v>0</v>
      </c>
      <c r="FY17">
        <f>K18-Table2[[#This Row],[DG 1010 KVA Meter Reading]]</f>
        <v>0</v>
      </c>
      <c r="FZ17">
        <f>L18-Table2[[#This Row],[GG 1010 KVA Running Hours]]</f>
        <v>0</v>
      </c>
      <c r="GA17">
        <f>M18-Table2[[#This Row],[GG 1010 KVA Meter Reading]]</f>
        <v>0</v>
      </c>
    </row>
    <row r="18" spans="1:183" x14ac:dyDescent="0.35">
      <c r="A18" s="1">
        <v>26</v>
      </c>
      <c r="B18" s="2">
        <v>46216.386990740699</v>
      </c>
      <c r="C18" s="2">
        <v>46216.404421296298</v>
      </c>
      <c r="D18" s="1" t="s">
        <v>111</v>
      </c>
      <c r="E18" s="1"/>
      <c r="F18" s="1"/>
      <c r="G18" s="3">
        <v>46216</v>
      </c>
      <c r="H18" s="1" t="s">
        <v>232</v>
      </c>
      <c r="I18" s="6">
        <v>5669.442</v>
      </c>
      <c r="J18" s="6">
        <v>4248.8</v>
      </c>
      <c r="K18" s="6">
        <v>1765872</v>
      </c>
      <c r="L18" s="6">
        <v>430</v>
      </c>
      <c r="M18" s="6">
        <v>179.23</v>
      </c>
      <c r="N18" s="6">
        <v>1848656.01</v>
      </c>
      <c r="O18" s="6">
        <v>4560465.9199999999</v>
      </c>
      <c r="P18" s="6">
        <v>637164.41599999997</v>
      </c>
      <c r="Q18" s="6">
        <v>8028682.2400000002</v>
      </c>
      <c r="R18" s="6">
        <v>5415856</v>
      </c>
      <c r="S18" s="6">
        <v>7293668.4800000004</v>
      </c>
      <c r="T18" s="6">
        <v>42504411.512000002</v>
      </c>
      <c r="U18" s="6">
        <v>2075631.2</v>
      </c>
      <c r="V18" s="6">
        <v>5078212.4800000004</v>
      </c>
      <c r="W18" s="6">
        <v>1578.4450999999999</v>
      </c>
      <c r="X18" s="6">
        <v>767816.25600000005</v>
      </c>
      <c r="Y18" s="6">
        <v>1064666.1599999999</v>
      </c>
      <c r="Z18" s="6">
        <v>2777.8894</v>
      </c>
      <c r="AA18" s="6">
        <v>662326.72</v>
      </c>
      <c r="AB18" s="6">
        <v>421039.87199999997</v>
      </c>
      <c r="AC18" s="6">
        <v>2123092.96</v>
      </c>
      <c r="AD18" s="6">
        <v>2464538.9670000002</v>
      </c>
      <c r="AE18" s="6">
        <v>12656.735199999999</v>
      </c>
      <c r="AF18" s="6">
        <v>863197.31200000003</v>
      </c>
      <c r="AG18" s="6">
        <v>1375.0940000000001</v>
      </c>
      <c r="AH18" s="6">
        <v>130901.75199999999</v>
      </c>
      <c r="AI18" s="6">
        <v>14510.966399999999</v>
      </c>
      <c r="AJ18" s="6">
        <v>145291.45600000001</v>
      </c>
      <c r="AK18" s="6">
        <v>104987</v>
      </c>
      <c r="AL18" s="6">
        <v>328975.26400000002</v>
      </c>
      <c r="AM18" s="6">
        <v>978.529</v>
      </c>
      <c r="AN18" s="6">
        <v>272.60000000000002</v>
      </c>
      <c r="AO18" s="6">
        <v>7.6</v>
      </c>
      <c r="AP18" s="6">
        <v>248216</v>
      </c>
      <c r="AQ18" s="6">
        <v>42305</v>
      </c>
      <c r="AR18" s="6">
        <v>41760</v>
      </c>
      <c r="AS18" s="6">
        <v>32307</v>
      </c>
      <c r="AT18" s="6">
        <v>22056</v>
      </c>
      <c r="AU18" s="6">
        <v>15118</v>
      </c>
      <c r="AV18" s="6">
        <v>6072</v>
      </c>
      <c r="AW18" s="6">
        <v>20.779758000000001</v>
      </c>
      <c r="AX18" s="6">
        <v>7184.39</v>
      </c>
      <c r="AY18" s="6">
        <v>675.97511999999995</v>
      </c>
      <c r="AZ18" s="6">
        <v>20.788</v>
      </c>
      <c r="BA18" s="6">
        <v>9962.107</v>
      </c>
      <c r="BB18" s="6">
        <v>43.789000000000001</v>
      </c>
      <c r="BC18" s="6">
        <v>113979.992</v>
      </c>
      <c r="BD18" s="6">
        <v>274698.40000000002</v>
      </c>
      <c r="BE18" s="6">
        <v>3698.4751999999999</v>
      </c>
      <c r="BF18" s="6">
        <v>1712.0419999999999</v>
      </c>
      <c r="BG18" s="6">
        <v>74.356999999999999</v>
      </c>
      <c r="BH18" s="6">
        <v>356.71499999999997</v>
      </c>
      <c r="BI18" s="6">
        <v>905.1</v>
      </c>
      <c r="BJ18" s="6">
        <v>13.634</v>
      </c>
      <c r="BK18" s="6">
        <v>558.17700000000002</v>
      </c>
      <c r="BL18" s="6">
        <v>68867.526400000002</v>
      </c>
      <c r="BM18" s="6">
        <v>298945.24800000002</v>
      </c>
      <c r="BN18" s="6">
        <v>7140.0407999999998</v>
      </c>
      <c r="BO18" s="6">
        <v>53521.369599999998</v>
      </c>
      <c r="BP18" s="6">
        <v>311667.87199999997</v>
      </c>
      <c r="BQ18" s="6">
        <v>320.822</v>
      </c>
      <c r="BR18" s="6">
        <v>178.80199999999999</v>
      </c>
      <c r="BS18" s="6">
        <v>985321.78700000001</v>
      </c>
      <c r="BT18" s="6">
        <v>1400561.1410000001</v>
      </c>
      <c r="BU18" s="6">
        <v>624652.80000000005</v>
      </c>
      <c r="BV18" s="6">
        <v>1012397.28</v>
      </c>
      <c r="BW18" s="6">
        <v>563629.12</v>
      </c>
      <c r="BX18" s="6">
        <v>948863.00600000005</v>
      </c>
      <c r="BY18" s="6">
        <v>156702.016</v>
      </c>
      <c r="BZ18" s="6">
        <v>114238.53599999999</v>
      </c>
      <c r="CA18" s="6">
        <v>1187.2601</v>
      </c>
      <c r="CB18" s="6">
        <v>107563.632</v>
      </c>
      <c r="CC18" s="6">
        <v>148034.94399999999</v>
      </c>
      <c r="CD18" s="6">
        <v>442533.288</v>
      </c>
      <c r="CE18" s="6">
        <v>49125.260799999996</v>
      </c>
      <c r="CF18" s="6">
        <v>155426.82</v>
      </c>
      <c r="CG18" s="6">
        <v>360770.85279999999</v>
      </c>
      <c r="CH18" s="6">
        <v>2385.8710000000001</v>
      </c>
      <c r="CI18" s="6">
        <v>211.30199999999999</v>
      </c>
      <c r="CJ18" s="6">
        <v>1169.9000000000001</v>
      </c>
      <c r="CK18" s="6">
        <v>77.058000000000007</v>
      </c>
      <c r="CL18" s="6">
        <v>722.09199999999998</v>
      </c>
      <c r="CM18" s="6">
        <v>551.4</v>
      </c>
      <c r="CN18" s="6">
        <v>36046</v>
      </c>
      <c r="CO18" s="6">
        <v>1632.674</v>
      </c>
      <c r="CP18" s="6">
        <v>291308.04399999999</v>
      </c>
      <c r="CQ18" s="6">
        <v>3659966.72</v>
      </c>
      <c r="CR18" s="6">
        <v>129694.24</v>
      </c>
      <c r="CS18" s="6">
        <v>507919.16800000001</v>
      </c>
      <c r="CT18" s="6">
        <v>2864375.577</v>
      </c>
      <c r="CU18" s="6">
        <v>293084.97700000001</v>
      </c>
      <c r="CV18" s="6">
        <v>30124.051200000002</v>
      </c>
      <c r="CW18" s="6">
        <v>62355.955199999997</v>
      </c>
      <c r="CX18" s="6">
        <v>33256.835200000001</v>
      </c>
      <c r="CY18" s="6">
        <v>165173.34400000001</v>
      </c>
      <c r="CZ18" s="6">
        <v>216416.46400000001</v>
      </c>
      <c r="DA18" s="6">
        <v>17774.240000000002</v>
      </c>
      <c r="DB18" s="6">
        <v>147920.092</v>
      </c>
      <c r="DC18" s="6">
        <v>2910.91</v>
      </c>
      <c r="DD18" s="6">
        <v>2910.78</v>
      </c>
      <c r="DE18" s="6">
        <v>2934.68</v>
      </c>
      <c r="DF18" s="6">
        <v>0.997</v>
      </c>
      <c r="DG18" s="1" t="s">
        <v>233</v>
      </c>
      <c r="DH18" s="4">
        <f>Table2[[#This Row],[Date]]</f>
        <v>46216</v>
      </c>
      <c r="DI18">
        <f>(DD19-Table2[[#This Row],[MWH Total]])*4000</f>
        <v>25639.999999999418</v>
      </c>
      <c r="DJ18">
        <f>(DA19-Table2[[#This Row],[PNG Meter (Outside)]])*2.936</f>
        <v>17.909599999995727</v>
      </c>
      <c r="DK18">
        <f>(DB19-Table2[[#This Row],[PNG Meter (Inside)]])*2.936</f>
        <v>413.94663999997266</v>
      </c>
      <c r="DL18">
        <f>(BH19-Table2[[#This Row],[3F Dough cooler - 2 ]])*1000</f>
        <v>301.00000000004457</v>
      </c>
      <c r="DM18">
        <f>(BI19-Table2[[#This Row],[3F Dough Cooler- 1]])*1000</f>
        <v>457.99999999996999</v>
      </c>
      <c r="DN18">
        <f>(BJ19-Table2[[#This Row],[4F Dough Production cooling Unit]])*1000</f>
        <v>46.99999999999882</v>
      </c>
      <c r="DO18">
        <f>(BQ19-Table2[[#This Row],[3F2 - PDB 3 - Dough Production Area]])*1000</f>
        <v>177.00000000002092</v>
      </c>
      <c r="DP18">
        <f>(BR19-Table2[[#This Row],[3F3 - PDB 4 - Dough Area]])*1000</f>
        <v>98.000000000013188</v>
      </c>
      <c r="DQ18">
        <f>AC19-Table2[[#This Row],[16F1 Tray washer Panel for Light]]</f>
        <v>757.28000000026077</v>
      </c>
      <c r="DR18">
        <f>CQ19-Table2[[#This Row],[2F1 Tray Washer - 1]]</f>
        <v>1150.7199999997392</v>
      </c>
      <c r="DS18">
        <f>CS19-Table2[[#This Row],[2F5 Destacker]]</f>
        <v>343.61599999997998</v>
      </c>
      <c r="DT18">
        <f>CU19-Table2[[#This Row],[5F1 Metering (TW-2)]]</f>
        <v>274.00500000000466</v>
      </c>
      <c r="DU18">
        <f>CV19-Table2[[#This Row],[6F1 Pre soaker Tray washer]]</f>
        <v>3.1999999991967343E-3</v>
      </c>
      <c r="DV18">
        <f>CZ19-Table2[[#This Row],[6F5 Vent tray Storage]]</f>
        <v>62.959999999991851</v>
      </c>
      <c r="DW18">
        <f>I19-Table2[[#This Row],[Popeyes Meter ]]</f>
        <v>65.819999999999709</v>
      </c>
      <c r="DX18">
        <f>AZ19-Table2[[#This Row],[2F WH Chiller, Segregation Area]]</f>
        <v>0</v>
      </c>
      <c r="DY18">
        <f>BA19-Table2[[#This Row],[3F1 AC Unit WH dock cooling - 2 Nos]]</f>
        <v>19.399999999999636</v>
      </c>
      <c r="DZ18">
        <f>BB19-Table2[[#This Row],[3F2 AC Unit WH dock cooling - 3 Nos]]</f>
        <v>4.399999999999693E-2</v>
      </c>
      <c r="EA18">
        <f>(BK19-Table2[[#This Row],[5F WH Perishable]])*1000</f>
        <v>269.99999999998181</v>
      </c>
      <c r="EB18">
        <f>BN19-Table2[[#This Row],[2F3 - PDB 9 - WH Dock Leveler Door ]]</f>
        <v>2.1040000000002692</v>
      </c>
      <c r="EC18">
        <f>BP19-Table2[[#This Row],[3F1 - PDB 5 - WH HSD]]</f>
        <v>141.95200000004843</v>
      </c>
      <c r="ED18">
        <f>BX19-Table2[[#This Row],[8F1 WH Dock AHU - Ventilation]]</f>
        <v>2204.7859999999637</v>
      </c>
      <c r="EE18">
        <f>BZ19-Table2[[#This Row],[8F3 ACPDB - 4 WH Dock air curtain]]</f>
        <v>1.408000000010361</v>
      </c>
      <c r="EF18">
        <f>CA19-Table2[[#This Row],[8F4 WH Light]]</f>
        <v>2.6209000000001197</v>
      </c>
      <c r="EG18">
        <f>CC19-Table2[[#This Row],[9F1 - PDB 10 - WH Dock door &amp; Office]]</f>
        <v>109.20000000001164</v>
      </c>
      <c r="EH18">
        <f>CD19-Table2[[#This Row],[9F2 - PDB 11 - WH flycatchers]]</f>
        <v>279.73599999997532</v>
      </c>
      <c r="EI18">
        <f>CE19-Table2[[#This Row],[9F3 - PDB 12 - Other items]]</f>
        <v>8.0000000016298145E-3</v>
      </c>
      <c r="EJ18">
        <f>CR19-Table2[[#This Row],[2F3 - PDB 1 - Dock 1 to 4 ]]</f>
        <v>89.551999999996042</v>
      </c>
      <c r="EK18">
        <f>BM19-Table2[[#This Row],[2F2 - PDB 3 - WH Truck &amp; Battery Charging]]</f>
        <v>441.08799999998882</v>
      </c>
      <c r="EL18">
        <f>(CK19-Table2[[#This Row],[PDB - 11 Truck Charging]])*1000</f>
        <v>82.999999999998408</v>
      </c>
      <c r="EM18">
        <f>P19-Table2[[#This Row],[5F3 Admin Area]]</f>
        <v>394.70720000006258</v>
      </c>
      <c r="EN18">
        <f>AH19-Table2[[#This Row],[2F5 Main Gate-1 Piller -1]]</f>
        <v>152.55200000001059</v>
      </c>
      <c r="EO18">
        <f>CW19-Table2[[#This Row],[6F2 Ground Floor AC]]</f>
        <v>38.694400000000314</v>
      </c>
      <c r="EP18">
        <f>CX19-Table2[[#This Row],[6F3 ACBD -1 (First floor AC)]]</f>
        <v>11.07839999999851</v>
      </c>
      <c r="EQ18">
        <f>CY19-Table2[[#This Row],[6F4 ACBD - 2 (Second &amp; Third floor AC)]]</f>
        <v>122.20799999998417</v>
      </c>
      <c r="ER18">
        <f>(BC19-Table2[[#This Row],[4F Old BMC cooling Unit]])</f>
        <v>0</v>
      </c>
      <c r="ES18">
        <f>BO19-Table2[[#This Row],[2F4 - Old BMC]]</f>
        <v>2.2976000000053318</v>
      </c>
      <c r="ET18">
        <f>Y19-Table2[[#This Row],[14F2 New CK]]</f>
        <v>1362.7199999999721</v>
      </c>
      <c r="EU18">
        <f>(CL19-Table2[[#This Row],[OLD Ck Panel-1]])*1000</f>
        <v>605.99999999999454</v>
      </c>
      <c r="EV18">
        <f>CM19-Table2[[#This Row],[2F4 Old CK Blast (Blue star)]]</f>
        <v>0</v>
      </c>
      <c r="EW18">
        <f>CN19-Table2[[#This Row],[3F6 Old CK Blast (Carrier)]]</f>
        <v>445</v>
      </c>
      <c r="EX18">
        <f>(CO19-Table2[[#This Row],[Old CK Panel -2]])*1000</f>
        <v>1324.0000000000691</v>
      </c>
      <c r="EY18">
        <f>N19-Table2[[#This Row],[4F1 Main UPS 1/C -1]]</f>
        <v>951.51000000000931</v>
      </c>
      <c r="EZ18">
        <f>Z19-Table2[[#This Row],[15F1 Main UPS Panel - I/C - 2]]</f>
        <v>0</v>
      </c>
      <c r="FA18">
        <f>BF19-Table2[[#This Row],[2F CLC -1 AC unit - 2]]</f>
        <v>0</v>
      </c>
      <c r="FB18">
        <f>(BG19-Table2[[#This Row],[2F CLC Anti room]])*1000</f>
        <v>28.000000000005798</v>
      </c>
      <c r="FC18">
        <f>BW19-Table2[[#This Row],[7F3 CLC Power Panel]]</f>
        <v>171.56999999994878</v>
      </c>
      <c r="FD18">
        <f>(CI19-Table2[[#This Row],[PDB - 17 CLC Section ]])*1000</f>
        <v>165.99999999999682</v>
      </c>
      <c r="FE18">
        <f>(W19-Table2[[#This Row],[13F3 Water &amp; Lift Old CK]])*1000</f>
        <v>695.3000000000884</v>
      </c>
      <c r="FF18">
        <f>AA19-Table2[[#This Row],[15F2 New ETP Panel]]</f>
        <v>278.65600000007544</v>
      </c>
      <c r="FG18">
        <f>AL19-Table2[[#This Row],[3F4 Old ETP Panel]]</f>
        <v>87.679999999993015</v>
      </c>
      <c r="FH18">
        <f>AF19-Table2[[#This Row],[2F1 RO Plant]]</f>
        <v>708.79999999993015</v>
      </c>
      <c r="FI18">
        <f>AK19-Table2[[#This Row],[3F3 Fire Hydrant Panel]]</f>
        <v>11.512000000002445</v>
      </c>
      <c r="FJ18">
        <f>R19-Table2[[#This Row],[7F1 Freon System Panel]]</f>
        <v>5772.7999999998137</v>
      </c>
      <c r="FK18">
        <f>(AE19-Table2[[#This Row],[21F1 Refrigeration Ammonia]])*1000</f>
        <v>7317.6000000003114</v>
      </c>
      <c r="FL18">
        <f>(AG19-Table2[[#This Row],[2F3 Air Compressor]])*1000</f>
        <v>1098.9999999999327</v>
      </c>
      <c r="FM18">
        <f>(AX19-Table2[[#This Row],[Solar Reading Panel II]])*1000</f>
        <v>3589.999999999236</v>
      </c>
      <c r="FN18">
        <f>AI19-Table2[[#This Row],[3F1 Maintenance Workshop]]</f>
        <v>3.7936000000008789</v>
      </c>
      <c r="FO18">
        <f>BD19-Table2[[#This Row],[4F B2B unit ]]</f>
        <v>51.103999999992084</v>
      </c>
      <c r="FP18">
        <f>BL19-Table2[[#This Row],[2F1 - PDB 6 - Bread, B2B section]]</f>
        <v>126.78399999999965</v>
      </c>
      <c r="FQ18">
        <f>(CG19-Table2[[#This Row],[9F5 - PDB 14 - Bread Lift]])</f>
        <v>1.324800000002142</v>
      </c>
      <c r="FR18">
        <f>CJ19-Table2[[#This Row],[PDB - 16 Bread Section]]</f>
        <v>0.6999999999998181</v>
      </c>
      <c r="FS18">
        <f>BU19-Table2[[#This Row],[7F1 Donut Production area]]</f>
        <v>242.6239999999525</v>
      </c>
      <c r="FT18">
        <f>CB19-Table2[[#This Row],[8F5 Donut Ban Bary]]</f>
        <v>38.81600000000617</v>
      </c>
      <c r="FU18">
        <f>CF19-Table2[[#This Row],[9F4 - PDB 13 - Donut Sink Geyser area]]</f>
        <v>20.220000000001164</v>
      </c>
      <c r="FV18">
        <f>BV19-Table2[[#This Row],[7F2 Flour Silo]]</f>
        <v>519.67999999993481</v>
      </c>
      <c r="FW18">
        <f>BY19-Table2[[#This Row],[8F2 ACPDB - 3 SILO Ventilation]]</f>
        <v>46.032000000006519</v>
      </c>
      <c r="FX18">
        <f>J19-Table2[[#This Row],[DG 1010KVA Running Hours]]</f>
        <v>0</v>
      </c>
      <c r="FY18">
        <f>K19-Table2[[#This Row],[DG 1010 KVA Meter Reading]]</f>
        <v>0</v>
      </c>
      <c r="FZ18">
        <f>L19-Table2[[#This Row],[GG 1010 KVA Running Hours]]</f>
        <v>0</v>
      </c>
      <c r="GA18">
        <f>M19-Table2[[#This Row],[GG 1010 KVA Meter Reading]]</f>
        <v>0</v>
      </c>
    </row>
    <row r="19" spans="1:183" x14ac:dyDescent="0.35">
      <c r="A19" s="1">
        <v>28</v>
      </c>
      <c r="B19" s="2">
        <v>46217.395810185182</v>
      </c>
      <c r="C19" s="2">
        <v>46217.412893518522</v>
      </c>
      <c r="D19" s="1" t="s">
        <v>111</v>
      </c>
      <c r="E19" s="1"/>
      <c r="F19" s="1"/>
      <c r="G19" s="3">
        <v>46217</v>
      </c>
      <c r="H19" s="1" t="s">
        <v>232</v>
      </c>
      <c r="I19" s="6">
        <v>5735.2619999999997</v>
      </c>
      <c r="J19" s="6">
        <v>4248.8</v>
      </c>
      <c r="K19" s="6">
        <v>1765872</v>
      </c>
      <c r="L19" s="6">
        <v>430</v>
      </c>
      <c r="M19" s="6">
        <v>179.23</v>
      </c>
      <c r="N19" s="6">
        <v>1849607.52</v>
      </c>
      <c r="O19" s="6">
        <v>4562367.04</v>
      </c>
      <c r="P19" s="6">
        <v>637559.12320000003</v>
      </c>
      <c r="Q19" s="6">
        <v>8032570.2400000002</v>
      </c>
      <c r="R19" s="6">
        <v>5421628.7999999998</v>
      </c>
      <c r="S19" s="6">
        <v>7297146.2400000002</v>
      </c>
      <c r="T19" s="6">
        <v>42516392.82</v>
      </c>
      <c r="U19" s="6">
        <v>2076836.16</v>
      </c>
      <c r="V19" s="6">
        <v>5079962.88</v>
      </c>
      <c r="W19" s="6">
        <v>1579.1404</v>
      </c>
      <c r="X19" s="6">
        <v>768087.424</v>
      </c>
      <c r="Y19" s="6">
        <v>1066028.8799999999</v>
      </c>
      <c r="Z19" s="6">
        <v>2777.8894</v>
      </c>
      <c r="AA19" s="6">
        <v>662605.37600000005</v>
      </c>
      <c r="AB19" s="6">
        <v>421045.53600000002</v>
      </c>
      <c r="AC19" s="6">
        <v>2123850.2400000002</v>
      </c>
      <c r="AD19" s="6">
        <v>2474336.2259999998</v>
      </c>
      <c r="AE19" s="6">
        <v>12664.052799999999</v>
      </c>
      <c r="AF19" s="6">
        <v>863906.11199999996</v>
      </c>
      <c r="AG19" s="6">
        <v>1376.193</v>
      </c>
      <c r="AH19" s="6">
        <v>131054.304</v>
      </c>
      <c r="AI19" s="6">
        <v>14514.76</v>
      </c>
      <c r="AJ19" s="6">
        <v>145296.448</v>
      </c>
      <c r="AK19" s="6">
        <v>104998.512</v>
      </c>
      <c r="AL19" s="6">
        <v>329062.94400000002</v>
      </c>
      <c r="AM19" s="6">
        <v>979.09799999999996</v>
      </c>
      <c r="AN19" s="6">
        <v>141.4</v>
      </c>
      <c r="AO19" s="6">
        <v>7.1</v>
      </c>
      <c r="AP19" s="6">
        <v>258210</v>
      </c>
      <c r="AQ19" s="6">
        <v>42305</v>
      </c>
      <c r="AR19" s="6">
        <v>41760</v>
      </c>
      <c r="AS19" s="6">
        <v>32307</v>
      </c>
      <c r="AT19" s="6">
        <v>22056</v>
      </c>
      <c r="AU19" s="6">
        <v>15143</v>
      </c>
      <c r="AV19" s="6">
        <v>6090</v>
      </c>
      <c r="AW19" s="6">
        <v>20.78688</v>
      </c>
      <c r="AX19" s="6">
        <v>7187.98</v>
      </c>
      <c r="AY19" s="6">
        <v>676.10352</v>
      </c>
      <c r="AZ19" s="6">
        <v>20.788</v>
      </c>
      <c r="BA19" s="6">
        <v>9981.5069999999996</v>
      </c>
      <c r="BB19" s="6">
        <v>43.832999999999998</v>
      </c>
      <c r="BC19" s="6">
        <v>113979.992</v>
      </c>
      <c r="BD19" s="6">
        <v>274749.50400000002</v>
      </c>
      <c r="BE19" s="6">
        <v>3699.6468</v>
      </c>
      <c r="BF19" s="6">
        <v>1712.0419999999999</v>
      </c>
      <c r="BG19" s="6">
        <v>74.385000000000005</v>
      </c>
      <c r="BH19" s="6">
        <v>357.01600000000002</v>
      </c>
      <c r="BI19" s="6">
        <v>905.55799999999999</v>
      </c>
      <c r="BJ19" s="6">
        <v>13.680999999999999</v>
      </c>
      <c r="BK19" s="6">
        <v>558.447</v>
      </c>
      <c r="BL19" s="6">
        <v>68994.310400000002</v>
      </c>
      <c r="BM19" s="6">
        <v>299386.33600000001</v>
      </c>
      <c r="BN19" s="6">
        <v>7142.1448</v>
      </c>
      <c r="BO19" s="6">
        <v>53523.667200000004</v>
      </c>
      <c r="BP19" s="6">
        <v>311809.82400000002</v>
      </c>
      <c r="BQ19" s="6">
        <v>320.99900000000002</v>
      </c>
      <c r="BR19" s="6">
        <v>178.9</v>
      </c>
      <c r="BS19" s="6">
        <v>986384.11399999994</v>
      </c>
      <c r="BT19" s="6">
        <v>1400562.3870000001</v>
      </c>
      <c r="BU19" s="6">
        <v>624895.424</v>
      </c>
      <c r="BV19" s="6">
        <v>1012916.96</v>
      </c>
      <c r="BW19" s="6">
        <v>563800.68999999994</v>
      </c>
      <c r="BX19" s="6">
        <v>951067.79200000002</v>
      </c>
      <c r="BY19" s="6">
        <v>156748.04800000001</v>
      </c>
      <c r="BZ19" s="6">
        <v>114239.944</v>
      </c>
      <c r="CA19" s="6">
        <v>1189.8810000000001</v>
      </c>
      <c r="CB19" s="6">
        <v>107602.448</v>
      </c>
      <c r="CC19" s="6">
        <v>148144.144</v>
      </c>
      <c r="CD19" s="6">
        <v>442813.02399999998</v>
      </c>
      <c r="CE19" s="6">
        <v>49125.268799999998</v>
      </c>
      <c r="CF19" s="6">
        <v>155447.04000000001</v>
      </c>
      <c r="CG19" s="6">
        <v>360772.1776</v>
      </c>
      <c r="CH19" s="6">
        <v>2385.8710000000001</v>
      </c>
      <c r="CI19" s="6">
        <v>211.46799999999999</v>
      </c>
      <c r="CJ19" s="6">
        <v>1170.5999999999999</v>
      </c>
      <c r="CK19" s="6">
        <v>77.141000000000005</v>
      </c>
      <c r="CL19" s="6">
        <v>722.69799999999998</v>
      </c>
      <c r="CM19" s="6">
        <v>551.4</v>
      </c>
      <c r="CN19" s="6">
        <v>36491</v>
      </c>
      <c r="CO19" s="6">
        <v>1633.998</v>
      </c>
      <c r="CP19" s="6">
        <v>291466.136</v>
      </c>
      <c r="CQ19" s="6">
        <v>3661117.4399999999</v>
      </c>
      <c r="CR19" s="6">
        <v>129783.792</v>
      </c>
      <c r="CS19" s="6">
        <v>508262.78399999999</v>
      </c>
      <c r="CT19" s="6">
        <v>2868009.4309999999</v>
      </c>
      <c r="CU19" s="6">
        <v>293358.98200000002</v>
      </c>
      <c r="CV19" s="6">
        <v>30124.054400000001</v>
      </c>
      <c r="CW19" s="6">
        <v>62394.649599999997</v>
      </c>
      <c r="CX19" s="6">
        <v>33267.9136</v>
      </c>
      <c r="CY19" s="6">
        <v>165295.552</v>
      </c>
      <c r="CZ19" s="6">
        <v>216479.424</v>
      </c>
      <c r="DA19" s="6">
        <v>17780.34</v>
      </c>
      <c r="DB19" s="6">
        <v>148061.08199999999</v>
      </c>
      <c r="DC19" s="6">
        <v>2917.32</v>
      </c>
      <c r="DD19" s="6">
        <v>2917.19</v>
      </c>
      <c r="DE19" s="6">
        <v>2941.28</v>
      </c>
      <c r="DF19" s="6">
        <v>0.98899999999999999</v>
      </c>
      <c r="DG19" s="1" t="s">
        <v>235</v>
      </c>
      <c r="DH19" s="4">
        <f>Table2[[#This Row],[Date]]</f>
        <v>46217</v>
      </c>
      <c r="DI19">
        <f>(DD20-Table2[[#This Row],[MWH Total]])*4000</f>
        <v>-11668760</v>
      </c>
      <c r="DJ19">
        <f>(DA20-Table2[[#This Row],[PNG Meter (Outside)]])*2.936</f>
        <v>-52203.078240000003</v>
      </c>
      <c r="DK19">
        <f>(DB20-Table2[[#This Row],[PNG Meter (Inside)]])*2.936</f>
        <v>-434707.33675199997</v>
      </c>
      <c r="DL19">
        <f>(BH20-Table2[[#This Row],[3F Dough cooler - 2 ]])*1000</f>
        <v>-357016</v>
      </c>
      <c r="DM19">
        <f>(BI20-Table2[[#This Row],[3F Dough Cooler- 1]])*1000</f>
        <v>-905558</v>
      </c>
      <c r="DN19">
        <f>(BJ20-Table2[[#This Row],[4F Dough Production cooling Unit]])*1000</f>
        <v>-13681</v>
      </c>
      <c r="DO19">
        <f>(BQ20-Table2[[#This Row],[3F2 - PDB 3 - Dough Production Area]])*1000</f>
        <v>-320999</v>
      </c>
      <c r="DP19">
        <f>(BR20-Table2[[#This Row],[3F3 - PDB 4 - Dough Area]])*1000</f>
        <v>-178900</v>
      </c>
      <c r="DQ19">
        <f>AC20-Table2[[#This Row],[16F1 Tray washer Panel for Light]]</f>
        <v>-2123850.2400000002</v>
      </c>
      <c r="DR19">
        <f>CQ20-Table2[[#This Row],[2F1 Tray Washer - 1]]</f>
        <v>-3661117.4399999999</v>
      </c>
      <c r="DS19">
        <f>CS20-Table2[[#This Row],[2F5 Destacker]]</f>
        <v>-508262.78399999999</v>
      </c>
      <c r="DT19">
        <f>CU20-Table2[[#This Row],[5F1 Metering (TW-2)]]</f>
        <v>-293358.98200000002</v>
      </c>
      <c r="DU19">
        <f>CV20-Table2[[#This Row],[6F1 Pre soaker Tray washer]]</f>
        <v>-30124.054400000001</v>
      </c>
      <c r="DV19">
        <f>CZ20-Table2[[#This Row],[6F5 Vent tray Storage]]</f>
        <v>-216479.424</v>
      </c>
      <c r="DW19">
        <f>I20-Table2[[#This Row],[Popeyes Meter ]]</f>
        <v>-5735.2619999999997</v>
      </c>
      <c r="DX19">
        <f>AZ20-Table2[[#This Row],[2F WH Chiller, Segregation Area]]</f>
        <v>-20.788</v>
      </c>
      <c r="DY19">
        <f>BA20-Table2[[#This Row],[3F1 AC Unit WH dock cooling - 2 Nos]]</f>
        <v>-9981.5069999999996</v>
      </c>
      <c r="DZ19">
        <f>BB20-Table2[[#This Row],[3F2 AC Unit WH dock cooling - 3 Nos]]</f>
        <v>-43.832999999999998</v>
      </c>
      <c r="EA19">
        <f>(BK20-Table2[[#This Row],[5F WH Perishable]])*1000</f>
        <v>-558447</v>
      </c>
      <c r="EB19">
        <f>BN20-Table2[[#This Row],[2F3 - PDB 9 - WH Dock Leveler Door ]]</f>
        <v>-7142.1448</v>
      </c>
      <c r="EC19">
        <f>BP20-Table2[[#This Row],[3F1 - PDB 5 - WH HSD]]</f>
        <v>-311809.82400000002</v>
      </c>
      <c r="ED19">
        <f>BX20-Table2[[#This Row],[8F1 WH Dock AHU - Ventilation]]</f>
        <v>-951067.79200000002</v>
      </c>
      <c r="EE19">
        <f>BZ20-Table2[[#This Row],[8F3 ACPDB - 4 WH Dock air curtain]]</f>
        <v>-114239.944</v>
      </c>
      <c r="EF19">
        <f>CA20-Table2[[#This Row],[8F4 WH Light]]</f>
        <v>-1189.8810000000001</v>
      </c>
      <c r="EG19">
        <f>CC20-Table2[[#This Row],[9F1 - PDB 10 - WH Dock door &amp; Office]]</f>
        <v>-148144.144</v>
      </c>
      <c r="EH19">
        <f>CD20-Table2[[#This Row],[9F2 - PDB 11 - WH flycatchers]]</f>
        <v>-442813.02399999998</v>
      </c>
      <c r="EI19">
        <f>CE20-Table2[[#This Row],[9F3 - PDB 12 - Other items]]</f>
        <v>-49125.268799999998</v>
      </c>
      <c r="EJ19">
        <f>CR20-Table2[[#This Row],[2F3 - PDB 1 - Dock 1 to 4 ]]</f>
        <v>-129783.792</v>
      </c>
      <c r="EK19">
        <f>BM20-Table2[[#This Row],[2F2 - PDB 3 - WH Truck &amp; Battery Charging]]</f>
        <v>-299386.33600000001</v>
      </c>
      <c r="EL19">
        <f>(CK20-Table2[[#This Row],[PDB - 11 Truck Charging]])*1000</f>
        <v>-77141</v>
      </c>
      <c r="EM19">
        <f>P20-Table2[[#This Row],[5F3 Admin Area]]</f>
        <v>-637559.12320000003</v>
      </c>
      <c r="EN19">
        <f>AH20-Table2[[#This Row],[2F5 Main Gate-1 Piller -1]]</f>
        <v>-131054.304</v>
      </c>
      <c r="EO19">
        <f>CW20-Table2[[#This Row],[6F2 Ground Floor AC]]</f>
        <v>-62394.649599999997</v>
      </c>
      <c r="EP19">
        <f>CX20-Table2[[#This Row],[6F3 ACBD -1 (First floor AC)]]</f>
        <v>-33267.9136</v>
      </c>
      <c r="EQ19">
        <f>CY20-Table2[[#This Row],[6F4 ACBD - 2 (Second &amp; Third floor AC)]]</f>
        <v>-165295.552</v>
      </c>
      <c r="ER19">
        <f>(BC20-Table2[[#This Row],[4F Old BMC cooling Unit]])</f>
        <v>-113979.992</v>
      </c>
      <c r="ES19">
        <f>BO20-Table2[[#This Row],[2F4 - Old BMC]]</f>
        <v>-53523.667200000004</v>
      </c>
      <c r="ET19">
        <f>Y20-Table2[[#This Row],[14F2 New CK]]</f>
        <v>-1066028.8799999999</v>
      </c>
      <c r="EU19">
        <f>(CL20-Table2[[#This Row],[OLD Ck Panel-1]])*1000</f>
        <v>-722698</v>
      </c>
      <c r="EV19">
        <f>CM20-Table2[[#This Row],[2F4 Old CK Blast (Blue star)]]</f>
        <v>-551.4</v>
      </c>
      <c r="EW19">
        <f>CN20-Table2[[#This Row],[3F6 Old CK Blast (Carrier)]]</f>
        <v>-36491</v>
      </c>
      <c r="EX19">
        <f>(CO20-Table2[[#This Row],[Old CK Panel -2]])*1000</f>
        <v>-1633998</v>
      </c>
      <c r="EY19">
        <f>N20-Table2[[#This Row],[4F1 Main UPS 1/C -1]]</f>
        <v>-1849607.52</v>
      </c>
      <c r="EZ19">
        <f>Z20-Table2[[#This Row],[15F1 Main UPS Panel - I/C - 2]]</f>
        <v>-2777.8894</v>
      </c>
      <c r="FA19">
        <f>BF20-Table2[[#This Row],[2F CLC -1 AC unit - 2]]</f>
        <v>-1712.0419999999999</v>
      </c>
      <c r="FB19">
        <f>(BG20-Table2[[#This Row],[2F CLC Anti room]])*1000</f>
        <v>-74385</v>
      </c>
      <c r="FC19">
        <f>BW20-Table2[[#This Row],[7F3 CLC Power Panel]]</f>
        <v>-563800.68999999994</v>
      </c>
      <c r="FD19">
        <f>(CI20-Table2[[#This Row],[PDB - 17 CLC Section ]])*1000</f>
        <v>-211468</v>
      </c>
      <c r="FE19">
        <f>(W20-Table2[[#This Row],[13F3 Water &amp; Lift Old CK]])*1000</f>
        <v>-1579140.4</v>
      </c>
      <c r="FF19">
        <f>AA20-Table2[[#This Row],[15F2 New ETP Panel]]</f>
        <v>-662605.37600000005</v>
      </c>
      <c r="FG19">
        <f>AL20-Table2[[#This Row],[3F4 Old ETP Panel]]</f>
        <v>-329062.94400000002</v>
      </c>
      <c r="FH19">
        <f>AF20-Table2[[#This Row],[2F1 RO Plant]]</f>
        <v>-863906.11199999996</v>
      </c>
      <c r="FI19">
        <f>AK20-Table2[[#This Row],[3F3 Fire Hydrant Panel]]</f>
        <v>-104998.512</v>
      </c>
      <c r="FJ19">
        <f>R20-Table2[[#This Row],[7F1 Freon System Panel]]</f>
        <v>-5421628.7999999998</v>
      </c>
      <c r="FK19">
        <f>(AE20-Table2[[#This Row],[21F1 Refrigeration Ammonia]])*1000</f>
        <v>-12664052.799999999</v>
      </c>
      <c r="FL19">
        <f>(AG20-Table2[[#This Row],[2F3 Air Compressor]])*1000</f>
        <v>-1376193</v>
      </c>
      <c r="FM19">
        <f>(AX20-Table2[[#This Row],[Solar Reading Panel II]])*1000</f>
        <v>-7187980</v>
      </c>
      <c r="FN19">
        <f>AI20-Table2[[#This Row],[3F1 Maintenance Workshop]]</f>
        <v>-14514.76</v>
      </c>
      <c r="FO19">
        <f>BD20-Table2[[#This Row],[4F B2B unit ]]</f>
        <v>-274749.50400000002</v>
      </c>
      <c r="FP19">
        <f>BL20-Table2[[#This Row],[2F1 - PDB 6 - Bread, B2B section]]</f>
        <v>-68994.310400000002</v>
      </c>
      <c r="FQ19">
        <f>(CG20-Table2[[#This Row],[9F5 - PDB 14 - Bread Lift]])</f>
        <v>-360772.1776</v>
      </c>
      <c r="FR19">
        <f>CJ20-Table2[[#This Row],[PDB - 16 Bread Section]]</f>
        <v>-1170.5999999999999</v>
      </c>
      <c r="FS19">
        <f>BU20-Table2[[#This Row],[7F1 Donut Production area]]</f>
        <v>-624895.424</v>
      </c>
      <c r="FT19">
        <f>CB20-Table2[[#This Row],[8F5 Donut Ban Bary]]</f>
        <v>-107602.448</v>
      </c>
      <c r="FU19">
        <f>CF20-Table2[[#This Row],[9F4 - PDB 13 - Donut Sink Geyser area]]</f>
        <v>-155447.04000000001</v>
      </c>
      <c r="FV19">
        <f>BV20-Table2[[#This Row],[7F2 Flour Silo]]</f>
        <v>-1012916.96</v>
      </c>
      <c r="FW19">
        <f>BY20-Table2[[#This Row],[8F2 ACPDB - 3 SILO Ventilation]]</f>
        <v>-156748.04800000001</v>
      </c>
      <c r="FX19">
        <f>J20-Table2[[#This Row],[DG 1010KVA Running Hours]]</f>
        <v>-4248.8</v>
      </c>
      <c r="FY19">
        <f>K20-Table2[[#This Row],[DG 1010 KVA Meter Reading]]</f>
        <v>-1765872</v>
      </c>
      <c r="FZ19">
        <f>L20-Table2[[#This Row],[GG 1010 KVA Running Hours]]</f>
        <v>-430</v>
      </c>
      <c r="GA19">
        <f>M20-Table2[[#This Row],[GG 1010 KVA Meter Reading]]</f>
        <v>-179.23</v>
      </c>
    </row>
    <row r="20" spans="1:183" x14ac:dyDescent="0.35">
      <c r="A20" s="1"/>
      <c r="B20" s="2"/>
      <c r="C20" s="2"/>
      <c r="D20" s="1"/>
      <c r="E20" s="1"/>
      <c r="F20" s="1"/>
      <c r="G20" s="3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4">
        <f>Table2[[#This Row],[Date]]</f>
        <v>0</v>
      </c>
      <c r="DI20">
        <f>(DD21-Table2[[#This Row],[MWH Total]])*4000</f>
        <v>0</v>
      </c>
      <c r="DJ20">
        <f>(DA21-Table2[[#This Row],[PNG Meter (Outside)]])*2.936</f>
        <v>0</v>
      </c>
      <c r="DK20">
        <f>(DB21-Table2[[#This Row],[PNG Meter (Inside)]])*2.936</f>
        <v>0</v>
      </c>
      <c r="DL20">
        <f>(BH21-Table2[[#This Row],[3F Dough cooler - 2 ]])*1000</f>
        <v>0</v>
      </c>
      <c r="DM20">
        <f>(BI21-Table2[[#This Row],[3F Dough Cooler- 1]])*1000</f>
        <v>0</v>
      </c>
      <c r="DN20">
        <f>(BJ21-Table2[[#This Row],[4F Dough Production cooling Unit]])*1000</f>
        <v>0</v>
      </c>
      <c r="DO20">
        <f>(BQ21-Table2[[#This Row],[3F2 - PDB 3 - Dough Production Area]])*1000</f>
        <v>0</v>
      </c>
      <c r="DP20">
        <f>(BR21-Table2[[#This Row],[3F3 - PDB 4 - Dough Area]])*1000</f>
        <v>0</v>
      </c>
      <c r="DQ20">
        <f>AC21-Table2[[#This Row],[16F1 Tray washer Panel for Light]]</f>
        <v>0</v>
      </c>
      <c r="DR20">
        <f>CQ21-Table2[[#This Row],[2F1 Tray Washer - 1]]</f>
        <v>0</v>
      </c>
      <c r="DS20">
        <f>CS21-Table2[[#This Row],[2F5 Destacker]]</f>
        <v>0</v>
      </c>
      <c r="DT20">
        <f>CU21-Table2[[#This Row],[5F1 Metering (TW-2)]]</f>
        <v>0</v>
      </c>
      <c r="DU20">
        <f>CV21-Table2[[#This Row],[6F1 Pre soaker Tray washer]]</f>
        <v>0</v>
      </c>
      <c r="DV20">
        <f>CZ21-Table2[[#This Row],[6F5 Vent tray Storage]]</f>
        <v>0</v>
      </c>
      <c r="DW20">
        <f>I21-Table2[[#This Row],[Popeyes Meter ]]</f>
        <v>0</v>
      </c>
      <c r="DX20">
        <f>AZ21-Table2[[#This Row],[2F WH Chiller, Segregation Area]]</f>
        <v>0</v>
      </c>
      <c r="DY20">
        <f>BA21-Table2[[#This Row],[3F1 AC Unit WH dock cooling - 2 Nos]]</f>
        <v>0</v>
      </c>
      <c r="DZ20">
        <f>BB21-Table2[[#This Row],[3F2 AC Unit WH dock cooling - 3 Nos]]</f>
        <v>0</v>
      </c>
      <c r="EA20">
        <f>(BK21-Table2[[#This Row],[5F WH Perishable]])*1000</f>
        <v>0</v>
      </c>
      <c r="EB20">
        <f>BN21-Table2[[#This Row],[2F3 - PDB 9 - WH Dock Leveler Door ]]</f>
        <v>0</v>
      </c>
      <c r="EC20">
        <f>BP21-Table2[[#This Row],[3F1 - PDB 5 - WH HSD]]</f>
        <v>0</v>
      </c>
      <c r="ED20">
        <f>BX21-Table2[[#This Row],[8F1 WH Dock AHU - Ventilation]]</f>
        <v>0</v>
      </c>
      <c r="EE20">
        <f>BZ21-Table2[[#This Row],[8F3 ACPDB - 4 WH Dock air curtain]]</f>
        <v>0</v>
      </c>
      <c r="EF20">
        <f>CA21-Table2[[#This Row],[8F4 WH Light]]</f>
        <v>0</v>
      </c>
      <c r="EG20">
        <f>CC21-Table2[[#This Row],[9F1 - PDB 10 - WH Dock door &amp; Office]]</f>
        <v>0</v>
      </c>
      <c r="EH20">
        <f>CD21-Table2[[#This Row],[9F2 - PDB 11 - WH flycatchers]]</f>
        <v>0</v>
      </c>
      <c r="EI20">
        <f>CE21-Table2[[#This Row],[9F3 - PDB 12 - Other items]]</f>
        <v>0</v>
      </c>
      <c r="EJ20">
        <f>CR21-Table2[[#This Row],[2F3 - PDB 1 - Dock 1 to 4 ]]</f>
        <v>0</v>
      </c>
      <c r="EK20">
        <f>BM21-Table2[[#This Row],[2F2 - PDB 3 - WH Truck &amp; Battery Charging]]</f>
        <v>0</v>
      </c>
      <c r="EL20">
        <f>(CK21-Table2[[#This Row],[PDB - 11 Truck Charging]])*1000</f>
        <v>0</v>
      </c>
      <c r="EM20">
        <f>P21-Table2[[#This Row],[5F3 Admin Area]]</f>
        <v>0</v>
      </c>
      <c r="EN20">
        <f>AH21-Table2[[#This Row],[2F5 Main Gate-1 Piller -1]]</f>
        <v>0</v>
      </c>
      <c r="EO20">
        <f>CW21-Table2[[#This Row],[6F2 Ground Floor AC]]</f>
        <v>0</v>
      </c>
      <c r="EP20">
        <f>CX21-Table2[[#This Row],[6F3 ACBD -1 (First floor AC)]]</f>
        <v>0</v>
      </c>
      <c r="EQ20">
        <f>CY21-Table2[[#This Row],[6F4 ACBD - 2 (Second &amp; Third floor AC)]]</f>
        <v>0</v>
      </c>
      <c r="ER20">
        <f>(BC21-Table2[[#This Row],[4F Old BMC cooling Unit]])</f>
        <v>0</v>
      </c>
      <c r="ES20">
        <f>BO21-Table2[[#This Row],[2F4 - Old BMC]]</f>
        <v>0</v>
      </c>
      <c r="ET20">
        <f>Y21-Table2[[#This Row],[14F2 New CK]]</f>
        <v>0</v>
      </c>
      <c r="EU20">
        <f>(CL21-Table2[[#This Row],[OLD Ck Panel-1]])*1000</f>
        <v>0</v>
      </c>
      <c r="EV20">
        <f>CM21-Table2[[#This Row],[2F4 Old CK Blast (Blue star)]]</f>
        <v>0</v>
      </c>
      <c r="EW20">
        <f>CN21-Table2[[#This Row],[3F6 Old CK Blast (Carrier)]]</f>
        <v>0</v>
      </c>
      <c r="EX20">
        <f>(CO21-Table2[[#This Row],[Old CK Panel -2]])*1000</f>
        <v>0</v>
      </c>
      <c r="EY20">
        <f>N21-Table2[[#This Row],[4F1 Main UPS 1/C -1]]</f>
        <v>0</v>
      </c>
      <c r="EZ20">
        <f>Z21-Table2[[#This Row],[15F1 Main UPS Panel - I/C - 2]]</f>
        <v>0</v>
      </c>
      <c r="FA20">
        <f>BF21-Table2[[#This Row],[2F CLC -1 AC unit - 2]]</f>
        <v>0</v>
      </c>
      <c r="FB20">
        <f>(BG21-Table2[[#This Row],[2F CLC Anti room]])*1000</f>
        <v>0</v>
      </c>
      <c r="FC20">
        <f>BW21-Table2[[#This Row],[7F3 CLC Power Panel]]</f>
        <v>0</v>
      </c>
      <c r="FD20">
        <f>(CI21-Table2[[#This Row],[PDB - 17 CLC Section ]])*1000</f>
        <v>0</v>
      </c>
      <c r="FE20">
        <f>(W21-Table2[[#This Row],[13F3 Water &amp; Lift Old CK]])*1000</f>
        <v>0</v>
      </c>
      <c r="FF20">
        <f>AA21-Table2[[#This Row],[15F2 New ETP Panel]]</f>
        <v>0</v>
      </c>
      <c r="FG20">
        <f>AL21-Table2[[#This Row],[3F4 Old ETP Panel]]</f>
        <v>0</v>
      </c>
      <c r="FH20">
        <f>AF21-Table2[[#This Row],[2F1 RO Plant]]</f>
        <v>0</v>
      </c>
      <c r="FI20">
        <f>AK21-Table2[[#This Row],[3F3 Fire Hydrant Panel]]</f>
        <v>0</v>
      </c>
      <c r="FJ20">
        <f>R21-Table2[[#This Row],[7F1 Freon System Panel]]</f>
        <v>0</v>
      </c>
      <c r="FK20">
        <f>(AE21-Table2[[#This Row],[21F1 Refrigeration Ammonia]])*1000</f>
        <v>0</v>
      </c>
      <c r="FL20">
        <f>(AG21-Table2[[#This Row],[2F3 Air Compressor]])*1000</f>
        <v>0</v>
      </c>
      <c r="FM20">
        <f>(AX21-Table2[[#This Row],[Solar Reading Panel II]])*1000</f>
        <v>0</v>
      </c>
      <c r="FN20">
        <f>AI21-Table2[[#This Row],[3F1 Maintenance Workshop]]</f>
        <v>0</v>
      </c>
      <c r="FO20">
        <f>BD21-Table2[[#This Row],[4F B2B unit ]]</f>
        <v>0</v>
      </c>
      <c r="FP20">
        <f>BL21-Table2[[#This Row],[2F1 - PDB 6 - Bread, B2B section]]</f>
        <v>0</v>
      </c>
      <c r="FQ20">
        <f>(CG21-Table2[[#This Row],[9F5 - PDB 14 - Bread Lift]])</f>
        <v>0</v>
      </c>
      <c r="FR20">
        <f>CJ21-Table2[[#This Row],[PDB - 16 Bread Section]]</f>
        <v>0</v>
      </c>
      <c r="FS20">
        <f>BU21-Table2[[#This Row],[7F1 Donut Production area]]</f>
        <v>0</v>
      </c>
      <c r="FT20">
        <f>CB21-Table2[[#This Row],[8F5 Donut Ban Bary]]</f>
        <v>0</v>
      </c>
      <c r="FU20">
        <f>CF21-Table2[[#This Row],[9F4 - PDB 13 - Donut Sink Geyser area]]</f>
        <v>0</v>
      </c>
      <c r="FV20">
        <f>BV21-Table2[[#This Row],[7F2 Flour Silo]]</f>
        <v>0</v>
      </c>
      <c r="FW20">
        <f>BY21-Table2[[#This Row],[8F2 ACPDB - 3 SILO Ventilation]]</f>
        <v>0</v>
      </c>
      <c r="FX20">
        <f>J21-Table2[[#This Row],[DG 1010KVA Running Hours]]</f>
        <v>0</v>
      </c>
      <c r="FY20">
        <f>K21-Table2[[#This Row],[DG 1010 KVA Meter Reading]]</f>
        <v>0</v>
      </c>
      <c r="FZ20">
        <f>L21-Table2[[#This Row],[GG 1010 KVA Running Hours]]</f>
        <v>0</v>
      </c>
      <c r="GA20">
        <f>M21-Table2[[#This Row],[GG 1010 KVA Meter Reading]]</f>
        <v>0</v>
      </c>
    </row>
    <row r="21" spans="1:183" x14ac:dyDescent="0.35">
      <c r="A21" s="1"/>
      <c r="B21" s="2"/>
      <c r="C21" s="2"/>
      <c r="D21" s="1"/>
      <c r="E21" s="1"/>
      <c r="F21" s="1"/>
      <c r="G21" s="3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4">
        <f>Table2[[#This Row],[Date]]</f>
        <v>0</v>
      </c>
      <c r="DI21">
        <f>(DD22-Table2[[#This Row],[MWH Total]])*4000</f>
        <v>0</v>
      </c>
      <c r="DJ21">
        <f>(DA22-Table2[[#This Row],[PNG Meter (Outside)]])*2.936</f>
        <v>0</v>
      </c>
      <c r="DK21">
        <f>(DB22-Table2[[#This Row],[PNG Meter (Inside)]])*2.936</f>
        <v>0</v>
      </c>
      <c r="DL21">
        <f>(BH22-Table2[[#This Row],[3F Dough cooler - 2 ]])*1000</f>
        <v>0</v>
      </c>
      <c r="DM21">
        <f>(BI22-Table2[[#This Row],[3F Dough Cooler- 1]])*1000</f>
        <v>0</v>
      </c>
      <c r="DN21">
        <f>(BJ22-Table2[[#This Row],[4F Dough Production cooling Unit]])*1000</f>
        <v>0</v>
      </c>
      <c r="DO21">
        <f>(BQ22-Table2[[#This Row],[3F2 - PDB 3 - Dough Production Area]])*1000</f>
        <v>0</v>
      </c>
      <c r="DP21">
        <f>(BR22-Table2[[#This Row],[3F3 - PDB 4 - Dough Area]])*1000</f>
        <v>0</v>
      </c>
      <c r="DQ21">
        <f>AC22-Table2[[#This Row],[16F1 Tray washer Panel for Light]]</f>
        <v>0</v>
      </c>
      <c r="DR21">
        <f>CQ22-Table2[[#This Row],[2F1 Tray Washer - 1]]</f>
        <v>0</v>
      </c>
      <c r="DS21">
        <f>CS22-Table2[[#This Row],[2F5 Destacker]]</f>
        <v>0</v>
      </c>
      <c r="DT21">
        <f>CU22-Table2[[#This Row],[5F1 Metering (TW-2)]]</f>
        <v>0</v>
      </c>
      <c r="DU21">
        <f>CV22-Table2[[#This Row],[6F1 Pre soaker Tray washer]]</f>
        <v>0</v>
      </c>
      <c r="DV21">
        <f>CZ22-Table2[[#This Row],[6F5 Vent tray Storage]]</f>
        <v>0</v>
      </c>
      <c r="DW21">
        <f>I22-Table2[[#This Row],[Popeyes Meter ]]</f>
        <v>0</v>
      </c>
      <c r="DX21">
        <f>AZ22-Table2[[#This Row],[2F WH Chiller, Segregation Area]]</f>
        <v>0</v>
      </c>
      <c r="DY21">
        <f>BA22-Table2[[#This Row],[3F1 AC Unit WH dock cooling - 2 Nos]]</f>
        <v>0</v>
      </c>
      <c r="DZ21">
        <f>BB22-Table2[[#This Row],[3F2 AC Unit WH dock cooling - 3 Nos]]</f>
        <v>0</v>
      </c>
      <c r="EA21">
        <f>(BK22-Table2[[#This Row],[5F WH Perishable]])*1000</f>
        <v>0</v>
      </c>
      <c r="EB21">
        <f>BN22-Table2[[#This Row],[2F3 - PDB 9 - WH Dock Leveler Door ]]</f>
        <v>0</v>
      </c>
      <c r="EC21">
        <f>BP22-Table2[[#This Row],[3F1 - PDB 5 - WH HSD]]</f>
        <v>0</v>
      </c>
      <c r="ED21">
        <f>BX22-Table2[[#This Row],[8F1 WH Dock AHU - Ventilation]]</f>
        <v>0</v>
      </c>
      <c r="EE21">
        <f>BZ22-Table2[[#This Row],[8F3 ACPDB - 4 WH Dock air curtain]]</f>
        <v>0</v>
      </c>
      <c r="EF21">
        <f>CA22-Table2[[#This Row],[8F4 WH Light]]</f>
        <v>0</v>
      </c>
      <c r="EG21">
        <f>CC22-Table2[[#This Row],[9F1 - PDB 10 - WH Dock door &amp; Office]]</f>
        <v>0</v>
      </c>
      <c r="EH21">
        <f>CD22-Table2[[#This Row],[9F2 - PDB 11 - WH flycatchers]]</f>
        <v>0</v>
      </c>
      <c r="EI21">
        <f>CE22-Table2[[#This Row],[9F3 - PDB 12 - Other items]]</f>
        <v>0</v>
      </c>
      <c r="EJ21">
        <f>CR22-Table2[[#This Row],[2F3 - PDB 1 - Dock 1 to 4 ]]</f>
        <v>0</v>
      </c>
      <c r="EK21">
        <f>BM22-Table2[[#This Row],[2F2 - PDB 3 - WH Truck &amp; Battery Charging]]</f>
        <v>0</v>
      </c>
      <c r="EL21">
        <f>(CK22-Table2[[#This Row],[PDB - 11 Truck Charging]])*1000</f>
        <v>0</v>
      </c>
      <c r="EM21">
        <f>P22-Table2[[#This Row],[5F3 Admin Area]]</f>
        <v>0</v>
      </c>
      <c r="EN21">
        <f>AH22-Table2[[#This Row],[2F5 Main Gate-1 Piller -1]]</f>
        <v>0</v>
      </c>
      <c r="EO21">
        <f>CW22-Table2[[#This Row],[6F2 Ground Floor AC]]</f>
        <v>0</v>
      </c>
      <c r="EP21">
        <f>CX22-Table2[[#This Row],[6F3 ACBD -1 (First floor AC)]]</f>
        <v>0</v>
      </c>
      <c r="EQ21">
        <f>CY22-Table2[[#This Row],[6F4 ACBD - 2 (Second &amp; Third floor AC)]]</f>
        <v>0</v>
      </c>
      <c r="ER21">
        <f>(BC22-Table2[[#This Row],[4F Old BMC cooling Unit]])</f>
        <v>0</v>
      </c>
      <c r="ES21">
        <f>BO22-Table2[[#This Row],[2F4 - Old BMC]]</f>
        <v>0</v>
      </c>
      <c r="ET21">
        <f>Y22-Table2[[#This Row],[14F2 New CK]]</f>
        <v>0</v>
      </c>
      <c r="EU21">
        <f>(CL22-Table2[[#This Row],[OLD Ck Panel-1]])*1000</f>
        <v>0</v>
      </c>
      <c r="EV21">
        <f>CM22-Table2[[#This Row],[2F4 Old CK Blast (Blue star)]]</f>
        <v>0</v>
      </c>
      <c r="EW21">
        <f>CN22-Table2[[#This Row],[3F6 Old CK Blast (Carrier)]]</f>
        <v>0</v>
      </c>
      <c r="EX21">
        <f>(CO22-Table2[[#This Row],[Old CK Panel -2]])*1000</f>
        <v>0</v>
      </c>
      <c r="EY21">
        <f>N22-Table2[[#This Row],[4F1 Main UPS 1/C -1]]</f>
        <v>0</v>
      </c>
      <c r="EZ21">
        <f>Z22-Table2[[#This Row],[15F1 Main UPS Panel - I/C - 2]]</f>
        <v>0</v>
      </c>
      <c r="FA21">
        <f>BF22-Table2[[#This Row],[2F CLC -1 AC unit - 2]]</f>
        <v>0</v>
      </c>
      <c r="FB21">
        <f>(BG22-Table2[[#This Row],[2F CLC Anti room]])*1000</f>
        <v>0</v>
      </c>
      <c r="FC21">
        <f>BW22-Table2[[#This Row],[7F3 CLC Power Panel]]</f>
        <v>0</v>
      </c>
      <c r="FD21">
        <f>(CI22-Table2[[#This Row],[PDB - 17 CLC Section ]])*1000</f>
        <v>0</v>
      </c>
      <c r="FE21">
        <f>(W22-Table2[[#This Row],[13F3 Water &amp; Lift Old CK]])*1000</f>
        <v>0</v>
      </c>
      <c r="FF21">
        <f>AA22-Table2[[#This Row],[15F2 New ETP Panel]]</f>
        <v>0</v>
      </c>
      <c r="FG21">
        <f>AL22-Table2[[#This Row],[3F4 Old ETP Panel]]</f>
        <v>0</v>
      </c>
      <c r="FH21">
        <f>AF22-Table2[[#This Row],[2F1 RO Plant]]</f>
        <v>0</v>
      </c>
      <c r="FI21">
        <f>AK22-Table2[[#This Row],[3F3 Fire Hydrant Panel]]</f>
        <v>0</v>
      </c>
      <c r="FJ21">
        <f>R22-Table2[[#This Row],[7F1 Freon System Panel]]</f>
        <v>0</v>
      </c>
      <c r="FK21">
        <f>(AE22-Table2[[#This Row],[21F1 Refrigeration Ammonia]])*1000</f>
        <v>0</v>
      </c>
      <c r="FL21">
        <f>(AG22-Table2[[#This Row],[2F3 Air Compressor]])*1000</f>
        <v>0</v>
      </c>
      <c r="FM21">
        <f>(AX22-Table2[[#This Row],[Solar Reading Panel II]])*1000</f>
        <v>0</v>
      </c>
      <c r="FN21">
        <f>AI22-Table2[[#This Row],[3F1 Maintenance Workshop]]</f>
        <v>0</v>
      </c>
      <c r="FO21">
        <f>BD22-Table2[[#This Row],[4F B2B unit ]]</f>
        <v>0</v>
      </c>
      <c r="FP21">
        <f>BL22-Table2[[#This Row],[2F1 - PDB 6 - Bread, B2B section]]</f>
        <v>0</v>
      </c>
      <c r="FQ21">
        <f>(CG22-Table2[[#This Row],[9F5 - PDB 14 - Bread Lift]])</f>
        <v>0</v>
      </c>
      <c r="FR21">
        <f>CJ22-Table2[[#This Row],[PDB - 16 Bread Section]]</f>
        <v>0</v>
      </c>
      <c r="FS21">
        <f>BU22-Table2[[#This Row],[7F1 Donut Production area]]</f>
        <v>0</v>
      </c>
      <c r="FT21">
        <f>CB22-Table2[[#This Row],[8F5 Donut Ban Bary]]</f>
        <v>0</v>
      </c>
      <c r="FU21">
        <f>CF22-Table2[[#This Row],[9F4 - PDB 13 - Donut Sink Geyser area]]</f>
        <v>0</v>
      </c>
      <c r="FV21">
        <f>BV22-Table2[[#This Row],[7F2 Flour Silo]]</f>
        <v>0</v>
      </c>
      <c r="FW21">
        <f>BY22-Table2[[#This Row],[8F2 ACPDB - 3 SILO Ventilation]]</f>
        <v>0</v>
      </c>
      <c r="FX21">
        <f>J22-Table2[[#This Row],[DG 1010KVA Running Hours]]</f>
        <v>0</v>
      </c>
      <c r="FY21">
        <f>K22-Table2[[#This Row],[DG 1010 KVA Meter Reading]]</f>
        <v>0</v>
      </c>
      <c r="FZ21">
        <f>L22-Table2[[#This Row],[GG 1010 KVA Running Hours]]</f>
        <v>0</v>
      </c>
      <c r="GA21">
        <f>M22-Table2[[#This Row],[GG 1010 KVA Meter Reading]]</f>
        <v>0</v>
      </c>
    </row>
    <row r="22" spans="1:183" x14ac:dyDescent="0.35">
      <c r="A22" s="1"/>
      <c r="B22" s="2"/>
      <c r="C22" s="2"/>
      <c r="D22" s="1"/>
      <c r="E22" s="1"/>
      <c r="F22" s="1"/>
      <c r="G22" s="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4">
        <f>Table2[[#This Row],[Date]]</f>
        <v>0</v>
      </c>
      <c r="DI22">
        <f>(DD23-Table2[[#This Row],[MWH Total]])*4000</f>
        <v>0</v>
      </c>
      <c r="DJ22">
        <f>(DA23-Table2[[#This Row],[PNG Meter (Outside)]])*2.936</f>
        <v>0</v>
      </c>
      <c r="DK22">
        <f>(DB23-Table2[[#This Row],[PNG Meter (Inside)]])*2.936</f>
        <v>0</v>
      </c>
      <c r="DL22">
        <f>(BH23-Table2[[#This Row],[3F Dough cooler - 2 ]])*1000</f>
        <v>0</v>
      </c>
      <c r="DM22">
        <f>(BI23-Table2[[#This Row],[3F Dough Cooler- 1]])*1000</f>
        <v>0</v>
      </c>
      <c r="DN22">
        <f>(BJ23-Table2[[#This Row],[4F Dough Production cooling Unit]])*1000</f>
        <v>0</v>
      </c>
      <c r="DO22">
        <f>(BQ23-Table2[[#This Row],[3F2 - PDB 3 - Dough Production Area]])*1000</f>
        <v>0</v>
      </c>
      <c r="DP22">
        <f>(BR23-Table2[[#This Row],[3F3 - PDB 4 - Dough Area]])*1000</f>
        <v>0</v>
      </c>
      <c r="DQ22">
        <f>AC23-Table2[[#This Row],[16F1 Tray washer Panel for Light]]</f>
        <v>0</v>
      </c>
      <c r="DR22">
        <f>CQ23-Table2[[#This Row],[2F1 Tray Washer - 1]]</f>
        <v>0</v>
      </c>
      <c r="DS22">
        <f>CS23-Table2[[#This Row],[2F5 Destacker]]</f>
        <v>0</v>
      </c>
      <c r="DT22">
        <f>CU23-Table2[[#This Row],[5F1 Metering (TW-2)]]</f>
        <v>0</v>
      </c>
      <c r="DU22">
        <f>CV23-Table2[[#This Row],[6F1 Pre soaker Tray washer]]</f>
        <v>0</v>
      </c>
      <c r="DV22">
        <f>CZ23-Table2[[#This Row],[6F5 Vent tray Storage]]</f>
        <v>0</v>
      </c>
      <c r="DW22">
        <f>I23-Table2[[#This Row],[Popeyes Meter ]]</f>
        <v>0</v>
      </c>
      <c r="DX22">
        <f>AZ23-Table2[[#This Row],[2F WH Chiller, Segregation Area]]</f>
        <v>0</v>
      </c>
      <c r="DY22">
        <f>BA23-Table2[[#This Row],[3F1 AC Unit WH dock cooling - 2 Nos]]</f>
        <v>0</v>
      </c>
      <c r="DZ22">
        <f>BB23-Table2[[#This Row],[3F2 AC Unit WH dock cooling - 3 Nos]]</f>
        <v>0</v>
      </c>
      <c r="EA22">
        <f>(BK23-Table2[[#This Row],[5F WH Perishable]])*1000</f>
        <v>0</v>
      </c>
      <c r="EB22">
        <f>BN23-Table2[[#This Row],[2F3 - PDB 9 - WH Dock Leveler Door ]]</f>
        <v>0</v>
      </c>
      <c r="EC22">
        <f>BP23-Table2[[#This Row],[3F1 - PDB 5 - WH HSD]]</f>
        <v>0</v>
      </c>
      <c r="ED22">
        <f>BX23-Table2[[#This Row],[8F1 WH Dock AHU - Ventilation]]</f>
        <v>0</v>
      </c>
      <c r="EE22">
        <f>BZ23-Table2[[#This Row],[8F3 ACPDB - 4 WH Dock air curtain]]</f>
        <v>0</v>
      </c>
      <c r="EF22">
        <f>CA23-Table2[[#This Row],[8F4 WH Light]]</f>
        <v>0</v>
      </c>
      <c r="EG22">
        <f>CC23-Table2[[#This Row],[9F1 - PDB 10 - WH Dock door &amp; Office]]</f>
        <v>0</v>
      </c>
      <c r="EH22">
        <f>CD23-Table2[[#This Row],[9F2 - PDB 11 - WH flycatchers]]</f>
        <v>0</v>
      </c>
      <c r="EI22">
        <f>CE23-Table2[[#This Row],[9F3 - PDB 12 - Other items]]</f>
        <v>0</v>
      </c>
      <c r="EJ22">
        <f>CR23-Table2[[#This Row],[2F3 - PDB 1 - Dock 1 to 4 ]]</f>
        <v>0</v>
      </c>
      <c r="EK22">
        <f>BM23-Table2[[#This Row],[2F2 - PDB 3 - WH Truck &amp; Battery Charging]]</f>
        <v>0</v>
      </c>
      <c r="EL22">
        <f>(CK23-Table2[[#This Row],[PDB - 11 Truck Charging]])*1000</f>
        <v>0</v>
      </c>
      <c r="EM22">
        <f>P23-Table2[[#This Row],[5F3 Admin Area]]</f>
        <v>0</v>
      </c>
      <c r="EN22">
        <f>AH23-Table2[[#This Row],[2F5 Main Gate-1 Piller -1]]</f>
        <v>0</v>
      </c>
      <c r="EO22">
        <f>CW23-Table2[[#This Row],[6F2 Ground Floor AC]]</f>
        <v>0</v>
      </c>
      <c r="EP22">
        <f>CX23-Table2[[#This Row],[6F3 ACBD -1 (First floor AC)]]</f>
        <v>0</v>
      </c>
      <c r="EQ22">
        <f>CY23-Table2[[#This Row],[6F4 ACBD - 2 (Second &amp; Third floor AC)]]</f>
        <v>0</v>
      </c>
      <c r="ER22">
        <f>(BC23-Table2[[#This Row],[4F Old BMC cooling Unit]])</f>
        <v>0</v>
      </c>
      <c r="ES22">
        <f>BO23-Table2[[#This Row],[2F4 - Old BMC]]</f>
        <v>0</v>
      </c>
      <c r="ET22">
        <f>Y23-Table2[[#This Row],[14F2 New CK]]</f>
        <v>0</v>
      </c>
      <c r="EU22">
        <f>(CL23-Table2[[#This Row],[OLD Ck Panel-1]])*1000</f>
        <v>0</v>
      </c>
      <c r="EV22">
        <f>CM23-Table2[[#This Row],[2F4 Old CK Blast (Blue star)]]</f>
        <v>0</v>
      </c>
      <c r="EW22">
        <f>CN23-Table2[[#This Row],[3F6 Old CK Blast (Carrier)]]</f>
        <v>0</v>
      </c>
      <c r="EX22">
        <f>(CO23-Table2[[#This Row],[Old CK Panel -2]])*1000</f>
        <v>0</v>
      </c>
      <c r="EY22">
        <f>N23-Table2[[#This Row],[4F1 Main UPS 1/C -1]]</f>
        <v>0</v>
      </c>
      <c r="EZ22">
        <f>Z23-Table2[[#This Row],[15F1 Main UPS Panel - I/C - 2]]</f>
        <v>0</v>
      </c>
      <c r="FA22">
        <f>BF23-Table2[[#This Row],[2F CLC -1 AC unit - 2]]</f>
        <v>0</v>
      </c>
      <c r="FB22">
        <f>(BG23-Table2[[#This Row],[2F CLC Anti room]])*1000</f>
        <v>0</v>
      </c>
      <c r="FC22">
        <f>BW23-Table2[[#This Row],[7F3 CLC Power Panel]]</f>
        <v>0</v>
      </c>
      <c r="FD22">
        <f>(CI23-Table2[[#This Row],[PDB - 17 CLC Section ]])*1000</f>
        <v>0</v>
      </c>
      <c r="FE22">
        <f>(W23-Table2[[#This Row],[13F3 Water &amp; Lift Old CK]])*1000</f>
        <v>0</v>
      </c>
      <c r="FF22">
        <f>AA23-Table2[[#This Row],[15F2 New ETP Panel]]</f>
        <v>0</v>
      </c>
      <c r="FG22">
        <f>AL23-Table2[[#This Row],[3F4 Old ETP Panel]]</f>
        <v>0</v>
      </c>
      <c r="FH22">
        <f>AF23-Table2[[#This Row],[2F1 RO Plant]]</f>
        <v>0</v>
      </c>
      <c r="FI22">
        <f>AK23-Table2[[#This Row],[3F3 Fire Hydrant Panel]]</f>
        <v>0</v>
      </c>
      <c r="FJ22">
        <f>R23-Table2[[#This Row],[7F1 Freon System Panel]]</f>
        <v>0</v>
      </c>
      <c r="FK22">
        <f>(AE23-Table2[[#This Row],[21F1 Refrigeration Ammonia]])*1000</f>
        <v>0</v>
      </c>
      <c r="FL22">
        <f>(AG23-Table2[[#This Row],[2F3 Air Compressor]])*1000</f>
        <v>0</v>
      </c>
      <c r="FM22">
        <f>(AX23-Table2[[#This Row],[Solar Reading Panel II]])*1000</f>
        <v>0</v>
      </c>
      <c r="FN22">
        <f>AI23-Table2[[#This Row],[3F1 Maintenance Workshop]]</f>
        <v>0</v>
      </c>
      <c r="FO22">
        <f>BD23-Table2[[#This Row],[4F B2B unit ]]</f>
        <v>0</v>
      </c>
      <c r="FP22">
        <f>BL23-Table2[[#This Row],[2F1 - PDB 6 - Bread, B2B section]]</f>
        <v>0</v>
      </c>
      <c r="FQ22">
        <f>(CG23-Table2[[#This Row],[9F5 - PDB 14 - Bread Lift]])</f>
        <v>0</v>
      </c>
      <c r="FR22">
        <f>CJ23-Table2[[#This Row],[PDB - 16 Bread Section]]</f>
        <v>0</v>
      </c>
      <c r="FS22">
        <f>BU23-Table2[[#This Row],[7F1 Donut Production area]]</f>
        <v>0</v>
      </c>
      <c r="FT22">
        <f>CB23-Table2[[#This Row],[8F5 Donut Ban Bary]]</f>
        <v>0</v>
      </c>
      <c r="FU22">
        <f>CF23-Table2[[#This Row],[9F4 - PDB 13 - Donut Sink Geyser area]]</f>
        <v>0</v>
      </c>
      <c r="FV22">
        <f>BV23-Table2[[#This Row],[7F2 Flour Silo]]</f>
        <v>0</v>
      </c>
      <c r="FW22">
        <f>BY23-Table2[[#This Row],[8F2 ACPDB - 3 SILO Ventilation]]</f>
        <v>0</v>
      </c>
      <c r="FX22">
        <f>J23-Table2[[#This Row],[DG 1010KVA Running Hours]]</f>
        <v>0</v>
      </c>
      <c r="FY22">
        <f>K23-Table2[[#This Row],[DG 1010 KVA Meter Reading]]</f>
        <v>0</v>
      </c>
      <c r="FZ22">
        <f>L23-Table2[[#This Row],[GG 1010 KVA Running Hours]]</f>
        <v>0</v>
      </c>
      <c r="GA22">
        <f>M23-Table2[[#This Row],[GG 1010 KVA Meter Reading]]</f>
        <v>0</v>
      </c>
    </row>
    <row r="23" spans="1:183" x14ac:dyDescent="0.35">
      <c r="A23" s="1"/>
      <c r="B23" s="2"/>
      <c r="C23" s="2"/>
      <c r="D23" s="1"/>
      <c r="E23" s="1"/>
      <c r="F23" s="1"/>
      <c r="G23" s="3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4">
        <f>Table2[[#This Row],[Date]]</f>
        <v>0</v>
      </c>
      <c r="DI23">
        <f>(DD24-Table2[[#This Row],[MWH Total]])*4000</f>
        <v>0</v>
      </c>
      <c r="DJ23">
        <f>(DA24-Table2[[#This Row],[PNG Meter (Outside)]])*2.936</f>
        <v>0</v>
      </c>
      <c r="DK23">
        <f>(DB24-Table2[[#This Row],[PNG Meter (Inside)]])*2.936</f>
        <v>0</v>
      </c>
      <c r="DL23">
        <f>(BH24-Table2[[#This Row],[3F Dough cooler - 2 ]])*1000</f>
        <v>0</v>
      </c>
      <c r="DM23">
        <f>(BI24-Table2[[#This Row],[3F Dough Cooler- 1]])*1000</f>
        <v>0</v>
      </c>
      <c r="DN23">
        <f>(BJ24-Table2[[#This Row],[4F Dough Production cooling Unit]])*1000</f>
        <v>0</v>
      </c>
      <c r="DO23">
        <f>(BQ24-Table2[[#This Row],[3F2 - PDB 3 - Dough Production Area]])*1000</f>
        <v>0</v>
      </c>
      <c r="DP23">
        <f>(BR24-Table2[[#This Row],[3F3 - PDB 4 - Dough Area]])*1000</f>
        <v>0</v>
      </c>
      <c r="DQ23">
        <f>AC24-Table2[[#This Row],[16F1 Tray washer Panel for Light]]</f>
        <v>0</v>
      </c>
      <c r="DR23">
        <f>CQ24-Table2[[#This Row],[2F1 Tray Washer - 1]]</f>
        <v>0</v>
      </c>
      <c r="DS23">
        <f>CS24-Table2[[#This Row],[2F5 Destacker]]</f>
        <v>0</v>
      </c>
      <c r="DT23">
        <f>CU24-Table2[[#This Row],[5F1 Metering (TW-2)]]</f>
        <v>0</v>
      </c>
      <c r="DU23">
        <f>CV24-Table2[[#This Row],[6F1 Pre soaker Tray washer]]</f>
        <v>0</v>
      </c>
      <c r="DV23">
        <f>CZ24-Table2[[#This Row],[6F5 Vent tray Storage]]</f>
        <v>0</v>
      </c>
      <c r="DW23">
        <f>I24-Table2[[#This Row],[Popeyes Meter ]]</f>
        <v>0</v>
      </c>
      <c r="DX23">
        <f>AZ24-Table2[[#This Row],[2F WH Chiller, Segregation Area]]</f>
        <v>0</v>
      </c>
      <c r="DY23">
        <f>BA24-Table2[[#This Row],[3F1 AC Unit WH dock cooling - 2 Nos]]</f>
        <v>0</v>
      </c>
      <c r="DZ23">
        <f>BB24-Table2[[#This Row],[3F2 AC Unit WH dock cooling - 3 Nos]]</f>
        <v>0</v>
      </c>
      <c r="EA23">
        <f>(BK24-Table2[[#This Row],[5F WH Perishable]])*1000</f>
        <v>0</v>
      </c>
      <c r="EB23">
        <f>BN24-Table2[[#This Row],[2F3 - PDB 9 - WH Dock Leveler Door ]]</f>
        <v>0</v>
      </c>
      <c r="EC23">
        <f>BP24-Table2[[#This Row],[3F1 - PDB 5 - WH HSD]]</f>
        <v>0</v>
      </c>
      <c r="ED23">
        <f>BX24-Table2[[#This Row],[8F1 WH Dock AHU - Ventilation]]</f>
        <v>0</v>
      </c>
      <c r="EE23">
        <f>BZ24-Table2[[#This Row],[8F3 ACPDB - 4 WH Dock air curtain]]</f>
        <v>0</v>
      </c>
      <c r="EF23">
        <f>CA24-Table2[[#This Row],[8F4 WH Light]]</f>
        <v>0</v>
      </c>
      <c r="EG23">
        <f>CC24-Table2[[#This Row],[9F1 - PDB 10 - WH Dock door &amp; Office]]</f>
        <v>0</v>
      </c>
      <c r="EH23">
        <f>CD24-Table2[[#This Row],[9F2 - PDB 11 - WH flycatchers]]</f>
        <v>0</v>
      </c>
      <c r="EI23">
        <f>CE24-Table2[[#This Row],[9F3 - PDB 12 - Other items]]</f>
        <v>0</v>
      </c>
      <c r="EJ23">
        <f>CR24-Table2[[#This Row],[2F3 - PDB 1 - Dock 1 to 4 ]]</f>
        <v>0</v>
      </c>
      <c r="EK23">
        <f>BM24-Table2[[#This Row],[2F2 - PDB 3 - WH Truck &amp; Battery Charging]]</f>
        <v>0</v>
      </c>
      <c r="EL23">
        <f>(CK24-Table2[[#This Row],[PDB - 11 Truck Charging]])*1000</f>
        <v>0</v>
      </c>
      <c r="EM23">
        <f>P24-Table2[[#This Row],[5F3 Admin Area]]</f>
        <v>0</v>
      </c>
      <c r="EN23">
        <f>AH24-Table2[[#This Row],[2F5 Main Gate-1 Piller -1]]</f>
        <v>0</v>
      </c>
      <c r="EO23">
        <f>CW24-Table2[[#This Row],[6F2 Ground Floor AC]]</f>
        <v>0</v>
      </c>
      <c r="EP23">
        <f>CX24-Table2[[#This Row],[6F3 ACBD -1 (First floor AC)]]</f>
        <v>0</v>
      </c>
      <c r="EQ23">
        <f>CY24-Table2[[#This Row],[6F4 ACBD - 2 (Second &amp; Third floor AC)]]</f>
        <v>0</v>
      </c>
      <c r="ER23">
        <f>(BC24-Table2[[#This Row],[4F Old BMC cooling Unit]])</f>
        <v>0</v>
      </c>
      <c r="ES23">
        <f>BO24-Table2[[#This Row],[2F4 - Old BMC]]</f>
        <v>0</v>
      </c>
      <c r="ET23">
        <f>Y24-Table2[[#This Row],[14F2 New CK]]</f>
        <v>0</v>
      </c>
      <c r="EU23">
        <f>(CL24-Table2[[#This Row],[OLD Ck Panel-1]])*1000</f>
        <v>0</v>
      </c>
      <c r="EV23">
        <f>CM24-Table2[[#This Row],[2F4 Old CK Blast (Blue star)]]</f>
        <v>0</v>
      </c>
      <c r="EW23">
        <f>CN24-Table2[[#This Row],[3F6 Old CK Blast (Carrier)]]</f>
        <v>0</v>
      </c>
      <c r="EX23">
        <f>(CO24-Table2[[#This Row],[Old CK Panel -2]])*1000</f>
        <v>0</v>
      </c>
      <c r="EY23">
        <f>N24-Table2[[#This Row],[4F1 Main UPS 1/C -1]]</f>
        <v>0</v>
      </c>
      <c r="EZ23">
        <f>Z24-Table2[[#This Row],[15F1 Main UPS Panel - I/C - 2]]</f>
        <v>0</v>
      </c>
      <c r="FA23">
        <f>BF24-Table2[[#This Row],[2F CLC -1 AC unit - 2]]</f>
        <v>0</v>
      </c>
      <c r="FB23">
        <f>(BG24-Table2[[#This Row],[2F CLC Anti room]])*1000</f>
        <v>0</v>
      </c>
      <c r="FC23">
        <f>BW24-Table2[[#This Row],[7F3 CLC Power Panel]]</f>
        <v>0</v>
      </c>
      <c r="FD23">
        <f>(CI24-Table2[[#This Row],[PDB - 17 CLC Section ]])*1000</f>
        <v>0</v>
      </c>
      <c r="FE23">
        <f>(W24-Table2[[#This Row],[13F3 Water &amp; Lift Old CK]])*1000</f>
        <v>0</v>
      </c>
      <c r="FF23">
        <f>AA24-Table2[[#This Row],[15F2 New ETP Panel]]</f>
        <v>0</v>
      </c>
      <c r="FG23">
        <f>AL24-Table2[[#This Row],[3F4 Old ETP Panel]]</f>
        <v>0</v>
      </c>
      <c r="FH23">
        <f>AF24-Table2[[#This Row],[2F1 RO Plant]]</f>
        <v>0</v>
      </c>
      <c r="FI23">
        <f>AK24-Table2[[#This Row],[3F3 Fire Hydrant Panel]]</f>
        <v>0</v>
      </c>
      <c r="FJ23">
        <f>R24-Table2[[#This Row],[7F1 Freon System Panel]]</f>
        <v>0</v>
      </c>
      <c r="FK23">
        <f>(AE24-Table2[[#This Row],[21F1 Refrigeration Ammonia]])*1000</f>
        <v>0</v>
      </c>
      <c r="FL23">
        <f>(AG24-Table2[[#This Row],[2F3 Air Compressor]])*1000</f>
        <v>0</v>
      </c>
      <c r="FM23">
        <f>(AX24-Table2[[#This Row],[Solar Reading Panel II]])*1000</f>
        <v>0</v>
      </c>
      <c r="FN23">
        <f>AI24-Table2[[#This Row],[3F1 Maintenance Workshop]]</f>
        <v>0</v>
      </c>
      <c r="FO23">
        <f>BD24-Table2[[#This Row],[4F B2B unit ]]</f>
        <v>0</v>
      </c>
      <c r="FP23">
        <f>BL24-Table2[[#This Row],[2F1 - PDB 6 - Bread, B2B section]]</f>
        <v>0</v>
      </c>
      <c r="FQ23">
        <f>(CG24-Table2[[#This Row],[9F5 - PDB 14 - Bread Lift]])</f>
        <v>0</v>
      </c>
      <c r="FR23">
        <f>CJ24-Table2[[#This Row],[PDB - 16 Bread Section]]</f>
        <v>0</v>
      </c>
      <c r="FS23">
        <f>BU24-Table2[[#This Row],[7F1 Donut Production area]]</f>
        <v>0</v>
      </c>
      <c r="FT23">
        <f>CB24-Table2[[#This Row],[8F5 Donut Ban Bary]]</f>
        <v>0</v>
      </c>
      <c r="FU23">
        <f>CF24-Table2[[#This Row],[9F4 - PDB 13 - Donut Sink Geyser area]]</f>
        <v>0</v>
      </c>
      <c r="FV23">
        <f>BV24-Table2[[#This Row],[7F2 Flour Silo]]</f>
        <v>0</v>
      </c>
      <c r="FW23">
        <f>BY24-Table2[[#This Row],[8F2 ACPDB - 3 SILO Ventilation]]</f>
        <v>0</v>
      </c>
      <c r="FX23">
        <f>J24-Table2[[#This Row],[DG 1010KVA Running Hours]]</f>
        <v>0</v>
      </c>
      <c r="FY23">
        <f>K24-Table2[[#This Row],[DG 1010 KVA Meter Reading]]</f>
        <v>0</v>
      </c>
      <c r="FZ23">
        <f>L24-Table2[[#This Row],[GG 1010 KVA Running Hours]]</f>
        <v>0</v>
      </c>
      <c r="GA23">
        <f>M24-Table2[[#This Row],[GG 1010 KVA Meter Reading]]</f>
        <v>0</v>
      </c>
    </row>
    <row r="24" spans="1:183" x14ac:dyDescent="0.35">
      <c r="A24" s="1"/>
      <c r="B24" s="2"/>
      <c r="C24" s="2"/>
      <c r="D24" s="1"/>
      <c r="E24" s="1"/>
      <c r="F24" s="1"/>
      <c r="G24" s="3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4">
        <f>Table2[[#This Row],[Date]]</f>
        <v>0</v>
      </c>
      <c r="DI24">
        <f>(DD25-Table2[[#This Row],[MWH Total]])*4000</f>
        <v>0</v>
      </c>
      <c r="DJ24">
        <f>(DA25-Table2[[#This Row],[PNG Meter (Outside)]])*2.936</f>
        <v>0</v>
      </c>
      <c r="DK24">
        <f>(DB25-Table2[[#This Row],[PNG Meter (Inside)]])*2.936</f>
        <v>0</v>
      </c>
      <c r="DL24">
        <f>(BH25-Table2[[#This Row],[3F Dough cooler - 2 ]])*1000</f>
        <v>0</v>
      </c>
      <c r="DM24">
        <f>(BI25-Table2[[#This Row],[3F Dough Cooler- 1]])*1000</f>
        <v>0</v>
      </c>
      <c r="DN24">
        <f>(BJ25-Table2[[#This Row],[4F Dough Production cooling Unit]])*1000</f>
        <v>0</v>
      </c>
      <c r="DO24">
        <f>(BQ25-Table2[[#This Row],[3F2 - PDB 3 - Dough Production Area]])*1000</f>
        <v>0</v>
      </c>
      <c r="DP24">
        <f>(BR25-Table2[[#This Row],[3F3 - PDB 4 - Dough Area]])*1000</f>
        <v>0</v>
      </c>
      <c r="DQ24">
        <f>AC25-Table2[[#This Row],[16F1 Tray washer Panel for Light]]</f>
        <v>0</v>
      </c>
      <c r="DR24">
        <f>CQ25-Table2[[#This Row],[2F1 Tray Washer - 1]]</f>
        <v>0</v>
      </c>
      <c r="DS24">
        <f>CS25-Table2[[#This Row],[2F5 Destacker]]</f>
        <v>0</v>
      </c>
      <c r="DT24">
        <f>CU25-Table2[[#This Row],[5F1 Metering (TW-2)]]</f>
        <v>0</v>
      </c>
      <c r="DU24">
        <f>CV25-Table2[[#This Row],[6F1 Pre soaker Tray washer]]</f>
        <v>0</v>
      </c>
      <c r="DV24">
        <f>CZ25-Table2[[#This Row],[6F5 Vent tray Storage]]</f>
        <v>0</v>
      </c>
      <c r="DW24">
        <f>I25-Table2[[#This Row],[Popeyes Meter ]]</f>
        <v>0</v>
      </c>
      <c r="DX24">
        <f>AZ25-Table2[[#This Row],[2F WH Chiller, Segregation Area]]</f>
        <v>0</v>
      </c>
      <c r="DY24">
        <f>BA25-Table2[[#This Row],[3F1 AC Unit WH dock cooling - 2 Nos]]</f>
        <v>0</v>
      </c>
      <c r="DZ24">
        <f>BB25-Table2[[#This Row],[3F2 AC Unit WH dock cooling - 3 Nos]]</f>
        <v>0</v>
      </c>
      <c r="EA24">
        <f>(BK25-Table2[[#This Row],[5F WH Perishable]])*1000</f>
        <v>0</v>
      </c>
      <c r="EB24">
        <f>BN25-Table2[[#This Row],[2F3 - PDB 9 - WH Dock Leveler Door ]]</f>
        <v>0</v>
      </c>
      <c r="EC24">
        <f>BP25-Table2[[#This Row],[3F1 - PDB 5 - WH HSD]]</f>
        <v>0</v>
      </c>
      <c r="ED24">
        <f>BX25-Table2[[#This Row],[8F1 WH Dock AHU - Ventilation]]</f>
        <v>0</v>
      </c>
      <c r="EE24">
        <f>BZ25-Table2[[#This Row],[8F3 ACPDB - 4 WH Dock air curtain]]</f>
        <v>0</v>
      </c>
      <c r="EF24">
        <f>CA25-Table2[[#This Row],[8F4 WH Light]]</f>
        <v>0</v>
      </c>
      <c r="EG24">
        <f>CC25-Table2[[#This Row],[9F1 - PDB 10 - WH Dock door &amp; Office]]</f>
        <v>0</v>
      </c>
      <c r="EH24">
        <f>CD25-Table2[[#This Row],[9F2 - PDB 11 - WH flycatchers]]</f>
        <v>0</v>
      </c>
      <c r="EI24">
        <f>CE25-Table2[[#This Row],[9F3 - PDB 12 - Other items]]</f>
        <v>0</v>
      </c>
      <c r="EJ24">
        <f>CR25-Table2[[#This Row],[2F3 - PDB 1 - Dock 1 to 4 ]]</f>
        <v>0</v>
      </c>
      <c r="EK24">
        <f>BM25-Table2[[#This Row],[2F2 - PDB 3 - WH Truck &amp; Battery Charging]]</f>
        <v>0</v>
      </c>
      <c r="EL24">
        <f>(CK25-Table2[[#This Row],[PDB - 11 Truck Charging]])*1000</f>
        <v>0</v>
      </c>
      <c r="EM24">
        <f>P25-Table2[[#This Row],[5F3 Admin Area]]</f>
        <v>0</v>
      </c>
      <c r="EN24">
        <f>AH25-Table2[[#This Row],[2F5 Main Gate-1 Piller -1]]</f>
        <v>0</v>
      </c>
      <c r="EO24">
        <f>CW25-Table2[[#This Row],[6F2 Ground Floor AC]]</f>
        <v>0</v>
      </c>
      <c r="EP24">
        <f>CX25-Table2[[#This Row],[6F3 ACBD -1 (First floor AC)]]</f>
        <v>0</v>
      </c>
      <c r="EQ24">
        <f>CY25-Table2[[#This Row],[6F4 ACBD - 2 (Second &amp; Third floor AC)]]</f>
        <v>0</v>
      </c>
      <c r="ER24">
        <f>(BC25-Table2[[#This Row],[4F Old BMC cooling Unit]])</f>
        <v>0</v>
      </c>
      <c r="ES24">
        <f>BO25-Table2[[#This Row],[2F4 - Old BMC]]</f>
        <v>0</v>
      </c>
      <c r="ET24">
        <f>Y25-Table2[[#This Row],[14F2 New CK]]</f>
        <v>0</v>
      </c>
      <c r="EU24">
        <f>(CL25-Table2[[#This Row],[OLD Ck Panel-1]])*1000</f>
        <v>0</v>
      </c>
      <c r="EV24">
        <f>CM25-Table2[[#This Row],[2F4 Old CK Blast (Blue star)]]</f>
        <v>0</v>
      </c>
      <c r="EW24">
        <f>CN25-Table2[[#This Row],[3F6 Old CK Blast (Carrier)]]</f>
        <v>0</v>
      </c>
      <c r="EX24">
        <f>(CO25-Table2[[#This Row],[Old CK Panel -2]])*1000</f>
        <v>0</v>
      </c>
      <c r="EY24">
        <f>N25-Table2[[#This Row],[4F1 Main UPS 1/C -1]]</f>
        <v>0</v>
      </c>
      <c r="EZ24">
        <f>Z25-Table2[[#This Row],[15F1 Main UPS Panel - I/C - 2]]</f>
        <v>0</v>
      </c>
      <c r="FA24">
        <f>BF25-Table2[[#This Row],[2F CLC -1 AC unit - 2]]</f>
        <v>0</v>
      </c>
      <c r="FB24">
        <f>(BG25-Table2[[#This Row],[2F CLC Anti room]])*1000</f>
        <v>0</v>
      </c>
      <c r="FC24">
        <f>BW25-Table2[[#This Row],[7F3 CLC Power Panel]]</f>
        <v>0</v>
      </c>
      <c r="FD24">
        <f>(CI25-Table2[[#This Row],[PDB - 17 CLC Section ]])*1000</f>
        <v>0</v>
      </c>
      <c r="FE24">
        <f>(W25-Table2[[#This Row],[13F3 Water &amp; Lift Old CK]])*1000</f>
        <v>0</v>
      </c>
      <c r="FF24">
        <f>AA25-Table2[[#This Row],[15F2 New ETP Panel]]</f>
        <v>0</v>
      </c>
      <c r="FG24">
        <f>AL25-Table2[[#This Row],[3F4 Old ETP Panel]]</f>
        <v>0</v>
      </c>
      <c r="FH24">
        <f>AF25-Table2[[#This Row],[2F1 RO Plant]]</f>
        <v>0</v>
      </c>
      <c r="FI24">
        <f>AK25-Table2[[#This Row],[3F3 Fire Hydrant Panel]]</f>
        <v>0</v>
      </c>
      <c r="FJ24">
        <f>R25-Table2[[#This Row],[7F1 Freon System Panel]]</f>
        <v>0</v>
      </c>
      <c r="FK24">
        <f>(AE25-Table2[[#This Row],[21F1 Refrigeration Ammonia]])*1000</f>
        <v>0</v>
      </c>
      <c r="FL24">
        <f>(AG25-Table2[[#This Row],[2F3 Air Compressor]])*1000</f>
        <v>0</v>
      </c>
      <c r="FM24">
        <f>(AX25-Table2[[#This Row],[Solar Reading Panel II]])*1000</f>
        <v>0</v>
      </c>
      <c r="FN24">
        <f>AI25-Table2[[#This Row],[3F1 Maintenance Workshop]]</f>
        <v>0</v>
      </c>
      <c r="FO24">
        <f>BD25-Table2[[#This Row],[4F B2B unit ]]</f>
        <v>0</v>
      </c>
      <c r="FP24">
        <f>BL25-Table2[[#This Row],[2F1 - PDB 6 - Bread, B2B section]]</f>
        <v>0</v>
      </c>
      <c r="FQ24">
        <f>(CG25-Table2[[#This Row],[9F5 - PDB 14 - Bread Lift]])</f>
        <v>0</v>
      </c>
      <c r="FR24">
        <f>CJ25-Table2[[#This Row],[PDB - 16 Bread Section]]</f>
        <v>0</v>
      </c>
      <c r="FS24">
        <f>BU25-Table2[[#This Row],[7F1 Donut Production area]]</f>
        <v>0</v>
      </c>
      <c r="FT24">
        <f>CB25-Table2[[#This Row],[8F5 Donut Ban Bary]]</f>
        <v>0</v>
      </c>
      <c r="FU24">
        <f>CF25-Table2[[#This Row],[9F4 - PDB 13 - Donut Sink Geyser area]]</f>
        <v>0</v>
      </c>
      <c r="FV24">
        <f>BV25-Table2[[#This Row],[7F2 Flour Silo]]</f>
        <v>0</v>
      </c>
      <c r="FW24">
        <f>BY25-Table2[[#This Row],[8F2 ACPDB - 3 SILO Ventilation]]</f>
        <v>0</v>
      </c>
      <c r="FX24">
        <f>J25-Table2[[#This Row],[DG 1010KVA Running Hours]]</f>
        <v>0</v>
      </c>
      <c r="FY24">
        <f>K25-Table2[[#This Row],[DG 1010 KVA Meter Reading]]</f>
        <v>0</v>
      </c>
      <c r="FZ24">
        <f>L25-Table2[[#This Row],[GG 1010 KVA Running Hours]]</f>
        <v>0</v>
      </c>
      <c r="GA24">
        <f>M25-Table2[[#This Row],[GG 1010 KVA Meter Reading]]</f>
        <v>0</v>
      </c>
    </row>
    <row r="25" spans="1:183" x14ac:dyDescent="0.35">
      <c r="A25" s="1"/>
      <c r="B25" s="2"/>
      <c r="C25" s="2"/>
      <c r="D25" s="1"/>
      <c r="E25" s="1"/>
      <c r="F25" s="1"/>
      <c r="G25" s="3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4"/>
    </row>
    <row r="26" spans="1:183" x14ac:dyDescent="0.35">
      <c r="A26" s="1"/>
      <c r="B26" s="2"/>
      <c r="C26" s="2"/>
      <c r="D26" s="1"/>
      <c r="E26" s="1"/>
      <c r="F26" s="1"/>
      <c r="G26" s="3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4"/>
    </row>
    <row r="27" spans="1:183" x14ac:dyDescent="0.35">
      <c r="A27" s="1"/>
      <c r="B27" s="2"/>
      <c r="C27" s="2"/>
      <c r="D27" s="1"/>
      <c r="E27" s="1"/>
      <c r="F27" s="1"/>
      <c r="G27" s="3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4"/>
    </row>
    <row r="28" spans="1:183" x14ac:dyDescent="0.35">
      <c r="A28" s="1"/>
      <c r="B28" s="2"/>
      <c r="C28" s="2"/>
      <c r="D28" s="1"/>
      <c r="E28" s="1"/>
      <c r="F28" s="1"/>
      <c r="G28" s="3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4"/>
    </row>
    <row r="29" spans="1:183" x14ac:dyDescent="0.35">
      <c r="A29" s="1"/>
      <c r="B29" s="2"/>
      <c r="C29" s="2"/>
      <c r="D29" s="1"/>
      <c r="E29" s="1"/>
      <c r="F29" s="1"/>
      <c r="G29" s="3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4"/>
    </row>
    <row r="30" spans="1:183" x14ac:dyDescent="0.35">
      <c r="A30" s="1"/>
      <c r="B30" s="2"/>
      <c r="C30" s="2"/>
      <c r="D30" s="1"/>
      <c r="E30" s="1"/>
      <c r="F30" s="1"/>
      <c r="G30" s="3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4"/>
    </row>
    <row r="31" spans="1:183" x14ac:dyDescent="0.35">
      <c r="A31" s="1"/>
      <c r="B31" s="2"/>
      <c r="C31" s="2"/>
      <c r="D31" s="1"/>
      <c r="E31" s="1"/>
      <c r="F31" s="1"/>
      <c r="G31" s="3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4"/>
    </row>
    <row r="32" spans="1:183" x14ac:dyDescent="0.35">
      <c r="A32" s="1"/>
      <c r="B32" s="2"/>
      <c r="C32" s="2"/>
      <c r="D32" s="1"/>
      <c r="E32" s="1"/>
      <c r="F32" s="1"/>
      <c r="G32" s="3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4"/>
    </row>
    <row r="33" spans="1:112" x14ac:dyDescent="0.35">
      <c r="A33" s="1"/>
      <c r="B33" s="2"/>
      <c r="C33" s="2"/>
      <c r="D33" s="1"/>
      <c r="E33" s="1"/>
      <c r="F33" s="1"/>
      <c r="G33" s="3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4"/>
    </row>
    <row r="34" spans="1:112" x14ac:dyDescent="0.35">
      <c r="A34" s="1"/>
      <c r="B34" s="2"/>
      <c r="C34" s="2"/>
      <c r="D34" s="1"/>
      <c r="E34" s="1"/>
      <c r="F34" s="1"/>
      <c r="G34" s="3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4"/>
    </row>
    <row r="35" spans="1:112" x14ac:dyDescent="0.35">
      <c r="A35" s="1"/>
      <c r="B35" s="2"/>
      <c r="C35" s="2"/>
      <c r="D35" s="1"/>
      <c r="E35" s="1"/>
      <c r="F35" s="1"/>
      <c r="G35" s="3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4"/>
    </row>
    <row r="36" spans="1:112" x14ac:dyDescent="0.35">
      <c r="A36" s="1"/>
      <c r="B36" s="2"/>
      <c r="C36" s="2"/>
      <c r="D36" s="1"/>
      <c r="E36" s="1"/>
      <c r="F36" s="1"/>
      <c r="G36" s="3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4"/>
    </row>
    <row r="37" spans="1:112" x14ac:dyDescent="0.35">
      <c r="A37" s="1"/>
      <c r="B37" s="2"/>
      <c r="C37" s="2"/>
      <c r="D37" s="1"/>
      <c r="E37" s="1"/>
      <c r="F37" s="1"/>
      <c r="G37" s="3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4"/>
    </row>
    <row r="38" spans="1:112" x14ac:dyDescent="0.35">
      <c r="A38" s="1"/>
      <c r="B38" s="2"/>
      <c r="C38" s="2"/>
      <c r="D38" s="1"/>
      <c r="E38" s="1"/>
      <c r="F38" s="1"/>
      <c r="G38" s="3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4"/>
    </row>
    <row r="39" spans="1:112" x14ac:dyDescent="0.35">
      <c r="A39" s="1"/>
      <c r="B39" s="2"/>
      <c r="C39" s="2"/>
      <c r="D39" s="1"/>
      <c r="E39" s="1"/>
      <c r="F39" s="1"/>
      <c r="G39" s="3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4"/>
    </row>
    <row r="40" spans="1:112" x14ac:dyDescent="0.35">
      <c r="A40" s="1"/>
      <c r="B40" s="2"/>
      <c r="C40" s="2"/>
      <c r="D40" s="1"/>
      <c r="E40" s="1"/>
      <c r="F40" s="1"/>
      <c r="G40" s="3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4"/>
    </row>
    <row r="41" spans="1:112" x14ac:dyDescent="0.35">
      <c r="A41" s="1"/>
      <c r="B41" s="2"/>
      <c r="C41" s="2"/>
      <c r="D41" s="1"/>
      <c r="E41" s="1"/>
      <c r="F41" s="1"/>
      <c r="G41" s="3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4"/>
    </row>
    <row r="42" spans="1:112" x14ac:dyDescent="0.35">
      <c r="A42" s="1"/>
      <c r="B42" s="2"/>
      <c r="C42" s="2"/>
      <c r="D42" s="1"/>
      <c r="E42" s="1"/>
      <c r="F42" s="1"/>
      <c r="G42" s="3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4"/>
    </row>
    <row r="43" spans="1:112" x14ac:dyDescent="0.35">
      <c r="A43" s="1"/>
      <c r="B43" s="2"/>
      <c r="C43" s="2"/>
      <c r="D43" s="1"/>
      <c r="E43" s="1"/>
      <c r="F43" s="1"/>
      <c r="G43" s="3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4"/>
    </row>
    <row r="44" spans="1:112" x14ac:dyDescent="0.35">
      <c r="A44" s="1"/>
      <c r="B44" s="2"/>
      <c r="C44" s="2"/>
      <c r="D44" s="1"/>
      <c r="E44" s="1"/>
      <c r="F44" s="1"/>
      <c r="G44" s="3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4"/>
    </row>
    <row r="45" spans="1:112" x14ac:dyDescent="0.35">
      <c r="A45" s="1"/>
      <c r="B45" s="2"/>
      <c r="C45" s="2"/>
      <c r="D45" s="1"/>
      <c r="E45" s="1"/>
      <c r="F45" s="1"/>
      <c r="G45" s="3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4"/>
    </row>
    <row r="46" spans="1:112" x14ac:dyDescent="0.35">
      <c r="A46" s="1"/>
      <c r="B46" s="2"/>
      <c r="C46" s="2"/>
      <c r="D46" s="1"/>
      <c r="E46" s="1"/>
      <c r="F46" s="1"/>
      <c r="G46" s="3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4"/>
    </row>
    <row r="47" spans="1:112" x14ac:dyDescent="0.35">
      <c r="A47" s="1"/>
      <c r="B47" s="2"/>
      <c r="C47" s="2"/>
      <c r="D47" s="1"/>
      <c r="E47" s="1"/>
      <c r="F47" s="1"/>
      <c r="G47" s="3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4"/>
    </row>
    <row r="48" spans="1:112" x14ac:dyDescent="0.35">
      <c r="A48" s="1"/>
      <c r="B48" s="2"/>
      <c r="C48" s="2"/>
      <c r="D48" s="1"/>
      <c r="E48" s="1"/>
      <c r="F48" s="1"/>
      <c r="G48" s="3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4"/>
    </row>
    <row r="49" spans="1:112" x14ac:dyDescent="0.35">
      <c r="A49" s="1"/>
      <c r="B49" s="2"/>
      <c r="C49" s="2"/>
      <c r="D49" s="1"/>
      <c r="E49" s="1"/>
      <c r="F49" s="1"/>
      <c r="G49" s="3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4"/>
    </row>
    <row r="50" spans="1:112" x14ac:dyDescent="0.35">
      <c r="A50" s="1"/>
      <c r="B50" s="2"/>
      <c r="C50" s="2"/>
      <c r="D50" s="1"/>
      <c r="E50" s="1"/>
      <c r="F50" s="1"/>
      <c r="G50" s="3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4"/>
    </row>
    <row r="51" spans="1:112" x14ac:dyDescent="0.35">
      <c r="A51" s="1"/>
      <c r="B51" s="2"/>
      <c r="C51" s="2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</row>
  </sheetData>
  <mergeCells count="16">
    <mergeCell ref="DL1:DP1"/>
    <mergeCell ref="DJ1:DK1"/>
    <mergeCell ref="DR1:DV1"/>
    <mergeCell ref="FX1:FY1"/>
    <mergeCell ref="FZ1:GA1"/>
    <mergeCell ref="EY1:EZ1"/>
    <mergeCell ref="FA1:FD1"/>
    <mergeCell ref="FF1:FG1"/>
    <mergeCell ref="FV1:FW1"/>
    <mergeCell ref="FS1:FU1"/>
    <mergeCell ref="FP1:FR1"/>
    <mergeCell ref="DX1:EJ1"/>
    <mergeCell ref="EK1:EL1"/>
    <mergeCell ref="EM1:EQ1"/>
    <mergeCell ref="ER1:ES1"/>
    <mergeCell ref="EU1:EX1"/>
  </mergeCell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3"/>
  <sheetViews>
    <sheetView tabSelected="1" topLeftCell="A9" zoomScale="76" workbookViewId="0">
      <selection activeCell="J29" sqref="J29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2.6328125" style="21" customWidth="1"/>
    <col min="25" max="16384" width="8.7265625" style="21"/>
  </cols>
  <sheetData>
    <row r="1" spans="1:24" ht="14.25" customHeight="1" x14ac:dyDescent="0.3">
      <c r="A1" s="19" t="s">
        <v>146</v>
      </c>
      <c r="B1" s="19"/>
      <c r="C1" s="19"/>
      <c r="D1" s="20"/>
      <c r="E1" s="20"/>
      <c r="F1" s="20"/>
      <c r="G1" s="20"/>
      <c r="H1" s="20"/>
      <c r="I1" s="19" t="s">
        <v>147</v>
      </c>
      <c r="J1" s="19"/>
    </row>
    <row r="2" spans="1:24" ht="14.25" customHeight="1" x14ac:dyDescent="0.3">
      <c r="A2" s="19" t="s">
        <v>148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149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150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151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152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153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154</v>
      </c>
      <c r="B8" s="23"/>
      <c r="C8" s="24"/>
      <c r="D8" s="24"/>
      <c r="E8" s="24"/>
      <c r="F8" s="24"/>
      <c r="G8" s="24"/>
      <c r="H8" s="24"/>
      <c r="I8" s="24"/>
      <c r="J8" s="24"/>
      <c r="L8" s="43">
        <f>SUBTOTAL(9,L10:L11152)</f>
        <v>-404996.6</v>
      </c>
      <c r="M8" s="43">
        <f t="shared" ref="M8:X8" si="0">SUBTOTAL(9,M10:M11152)</f>
        <v>374.10000000000582</v>
      </c>
      <c r="N8" s="43">
        <f t="shared" si="0"/>
        <v>-43034</v>
      </c>
      <c r="O8" s="43">
        <f t="shared" si="0"/>
        <v>-363803.4</v>
      </c>
      <c r="P8" s="43">
        <f t="shared" si="0"/>
        <v>-244431.49999999997</v>
      </c>
      <c r="Q8" s="43">
        <f t="shared" si="0"/>
        <v>-518983.60000000003</v>
      </c>
      <c r="R8" s="43">
        <f t="shared" si="0"/>
        <v>797.50000000005821</v>
      </c>
      <c r="S8" s="43">
        <f t="shared" si="0"/>
        <v>-702622.9</v>
      </c>
      <c r="T8" s="43">
        <f t="shared" si="0"/>
        <v>-1418815</v>
      </c>
      <c r="U8" s="43">
        <f t="shared" si="0"/>
        <v>-923980.2</v>
      </c>
      <c r="V8" s="43">
        <f t="shared" si="0"/>
        <v>1171.600000000064</v>
      </c>
      <c r="W8" s="43">
        <f t="shared" si="0"/>
        <v>-745656.9</v>
      </c>
      <c r="X8" s="43">
        <f t="shared" si="0"/>
        <v>-2027049.9000000001</v>
      </c>
    </row>
    <row r="9" spans="1:24" ht="52" x14ac:dyDescent="0.35">
      <c r="A9" s="25" t="s">
        <v>155</v>
      </c>
      <c r="B9" s="26" t="s">
        <v>156</v>
      </c>
      <c r="C9" s="25" t="s">
        <v>157</v>
      </c>
      <c r="D9" s="25" t="s">
        <v>158</v>
      </c>
      <c r="E9" s="25" t="s">
        <v>159</v>
      </c>
      <c r="F9" s="25" t="s">
        <v>160</v>
      </c>
      <c r="G9" s="25" t="s">
        <v>161</v>
      </c>
      <c r="H9" s="27" t="s">
        <v>162</v>
      </c>
      <c r="I9" s="28" t="s">
        <v>163</v>
      </c>
      <c r="J9" s="25" t="s">
        <v>164</v>
      </c>
      <c r="L9" s="44" t="s">
        <v>167</v>
      </c>
      <c r="M9" s="44" t="s">
        <v>168</v>
      </c>
      <c r="N9" s="44" t="s">
        <v>169</v>
      </c>
      <c r="O9" s="44" t="s">
        <v>170</v>
      </c>
      <c r="P9" s="44" t="s">
        <v>171</v>
      </c>
      <c r="Q9" s="44" t="s">
        <v>172</v>
      </c>
      <c r="R9" s="44" t="s">
        <v>173</v>
      </c>
      <c r="S9" s="44" t="s">
        <v>174</v>
      </c>
      <c r="T9" s="44" t="s">
        <v>175</v>
      </c>
      <c r="U9" s="45" t="s">
        <v>165</v>
      </c>
      <c r="V9" s="45" t="s">
        <v>128</v>
      </c>
      <c r="W9" s="45" t="s">
        <v>130</v>
      </c>
      <c r="X9" s="45" t="s">
        <v>166</v>
      </c>
    </row>
    <row r="10" spans="1:24" ht="20" customHeight="1" x14ac:dyDescent="0.35">
      <c r="A10" s="29" t="s">
        <v>178</v>
      </c>
      <c r="B10" s="30">
        <v>404033.6</v>
      </c>
      <c r="C10" s="29" t="s">
        <v>179</v>
      </c>
      <c r="D10" s="31">
        <v>42299.4</v>
      </c>
      <c r="E10" s="31">
        <v>363122.7</v>
      </c>
      <c r="F10" s="31">
        <v>243935.3</v>
      </c>
      <c r="G10" s="31">
        <v>517399.2</v>
      </c>
      <c r="H10" s="32" t="s">
        <v>179</v>
      </c>
      <c r="I10" s="34">
        <v>700364.4</v>
      </c>
      <c r="J10" s="34">
        <v>1416644</v>
      </c>
      <c r="L10" s="46">
        <f>IFERROR(B11-B10,0)</f>
        <v>294.10000000003492</v>
      </c>
      <c r="M10" s="46">
        <f t="shared" ref="M10:T25" si="1">IFERROR(C11-C10,0)</f>
        <v>0</v>
      </c>
      <c r="N10" s="46">
        <f t="shared" si="1"/>
        <v>328.5</v>
      </c>
      <c r="O10" s="46">
        <f t="shared" si="1"/>
        <v>347.70000000001164</v>
      </c>
      <c r="P10" s="46">
        <f t="shared" si="1"/>
        <v>222.20000000001164</v>
      </c>
      <c r="Q10" s="46">
        <f t="shared" si="1"/>
        <v>556.09999999997672</v>
      </c>
      <c r="R10" s="46">
        <f t="shared" si="1"/>
        <v>0</v>
      </c>
      <c r="S10" s="46">
        <f t="shared" si="1"/>
        <v>1472.1999999999534</v>
      </c>
      <c r="T10" s="46">
        <f t="shared" si="1"/>
        <v>1284</v>
      </c>
      <c r="U10" s="47">
        <f>L10+Q10</f>
        <v>850.20000000001164</v>
      </c>
      <c r="V10" s="47">
        <f>M10+R10</f>
        <v>0</v>
      </c>
      <c r="W10" s="47">
        <f>N10+S10</f>
        <v>1800.6999999999534</v>
      </c>
      <c r="X10" s="47">
        <f t="shared" ref="X10:X41" si="2">O10+P10+T10</f>
        <v>1853.9000000000233</v>
      </c>
    </row>
    <row r="11" spans="1:24" ht="20" customHeight="1" x14ac:dyDescent="0.35">
      <c r="A11" s="29" t="s">
        <v>180</v>
      </c>
      <c r="B11" s="30">
        <v>404327.7</v>
      </c>
      <c r="C11" s="29" t="s">
        <v>179</v>
      </c>
      <c r="D11" s="31">
        <v>42627.9</v>
      </c>
      <c r="E11" s="31">
        <v>363470.4</v>
      </c>
      <c r="F11" s="31">
        <v>244157.5</v>
      </c>
      <c r="G11" s="31">
        <v>517955.3</v>
      </c>
      <c r="H11" s="32" t="s">
        <v>179</v>
      </c>
      <c r="I11" s="34">
        <v>701836.6</v>
      </c>
      <c r="J11" s="34">
        <v>1417928</v>
      </c>
      <c r="L11" s="46">
        <f t="shared" ref="L11:T44" si="3">IFERROR(B12-B11,0)</f>
        <v>0</v>
      </c>
      <c r="M11" s="46">
        <f t="shared" si="1"/>
        <v>0</v>
      </c>
      <c r="N11" s="46">
        <f t="shared" si="1"/>
        <v>318.09999999999854</v>
      </c>
      <c r="O11" s="46">
        <f t="shared" si="1"/>
        <v>349.29999999998836</v>
      </c>
      <c r="P11" s="46">
        <f t="shared" si="1"/>
        <v>240.60000000000582</v>
      </c>
      <c r="Q11" s="46">
        <f t="shared" si="1"/>
        <v>3.2000000000116415</v>
      </c>
      <c r="R11" s="46">
        <f t="shared" si="1"/>
        <v>0</v>
      </c>
      <c r="S11" s="46">
        <f t="shared" si="1"/>
        <v>1238.2000000000698</v>
      </c>
      <c r="T11" s="46">
        <f t="shared" si="1"/>
        <v>1432</v>
      </c>
      <c r="U11" s="47">
        <f t="shared" ref="U11:W44" si="4">L11+Q11</f>
        <v>3.2000000000116415</v>
      </c>
      <c r="V11" s="47">
        <f t="shared" si="4"/>
        <v>0</v>
      </c>
      <c r="W11" s="47">
        <f t="shared" si="4"/>
        <v>1556.3000000000684</v>
      </c>
      <c r="X11" s="47">
        <f t="shared" si="2"/>
        <v>2021.8999999999942</v>
      </c>
    </row>
    <row r="12" spans="1:24" ht="20" customHeight="1" x14ac:dyDescent="0.35">
      <c r="A12" s="29" t="s">
        <v>181</v>
      </c>
      <c r="B12" s="30">
        <v>404327.7</v>
      </c>
      <c r="C12" s="29">
        <v>218832.2</v>
      </c>
      <c r="D12" s="31">
        <v>42946</v>
      </c>
      <c r="E12" s="31">
        <v>363819.7</v>
      </c>
      <c r="F12" s="31">
        <v>244398.1</v>
      </c>
      <c r="G12" s="31">
        <v>517958.5</v>
      </c>
      <c r="H12" s="32">
        <v>306379.8</v>
      </c>
      <c r="I12" s="34">
        <v>703074.8</v>
      </c>
      <c r="J12" s="34">
        <v>1419360</v>
      </c>
      <c r="L12" s="46">
        <f t="shared" si="3"/>
        <v>181.5</v>
      </c>
      <c r="M12" s="46">
        <f t="shared" si="1"/>
        <v>374</v>
      </c>
      <c r="N12" s="46">
        <f t="shared" si="1"/>
        <v>96.099999999998545</v>
      </c>
      <c r="O12" s="46">
        <f t="shared" si="1"/>
        <v>384.5</v>
      </c>
      <c r="P12" s="46">
        <f t="shared" si="1"/>
        <v>273.5</v>
      </c>
      <c r="Q12" s="46">
        <f t="shared" si="1"/>
        <v>485.59999999997672</v>
      </c>
      <c r="R12" s="46">
        <f t="shared" si="1"/>
        <v>618.70000000001164</v>
      </c>
      <c r="S12" s="46">
        <f t="shared" si="1"/>
        <v>321</v>
      </c>
      <c r="T12" s="46">
        <f t="shared" si="1"/>
        <v>1467</v>
      </c>
      <c r="U12" s="47">
        <f t="shared" si="4"/>
        <v>667.09999999997672</v>
      </c>
      <c r="V12" s="47">
        <f t="shared" si="4"/>
        <v>992.70000000001164</v>
      </c>
      <c r="W12" s="47">
        <f t="shared" si="4"/>
        <v>417.09999999999854</v>
      </c>
      <c r="X12" s="47">
        <f t="shared" si="2"/>
        <v>2125</v>
      </c>
    </row>
    <row r="13" spans="1:24" ht="20" customHeight="1" x14ac:dyDescent="0.35">
      <c r="A13" s="29" t="s">
        <v>182</v>
      </c>
      <c r="B13" s="30">
        <v>404509.2</v>
      </c>
      <c r="C13" s="29">
        <v>219206.2</v>
      </c>
      <c r="D13" s="31">
        <v>43042.1</v>
      </c>
      <c r="E13" s="31">
        <v>364204.2</v>
      </c>
      <c r="F13" s="31">
        <v>244671.6</v>
      </c>
      <c r="G13" s="31">
        <v>518444.1</v>
      </c>
      <c r="H13" s="32">
        <v>306998.5</v>
      </c>
      <c r="I13" s="34">
        <v>703395.8</v>
      </c>
      <c r="J13" s="34">
        <v>1420827</v>
      </c>
      <c r="L13" s="46">
        <f t="shared" si="3"/>
        <v>0</v>
      </c>
      <c r="M13" s="46">
        <f t="shared" si="1"/>
        <v>0</v>
      </c>
      <c r="N13" s="46">
        <f t="shared" si="1"/>
        <v>144.90000000000146</v>
      </c>
      <c r="O13" s="46">
        <f t="shared" si="1"/>
        <v>267.59999999997672</v>
      </c>
      <c r="P13" s="46">
        <f t="shared" si="1"/>
        <v>224.79999999998836</v>
      </c>
      <c r="Q13" s="46">
        <f t="shared" si="1"/>
        <v>5.3000000000465661</v>
      </c>
      <c r="R13" s="46">
        <f t="shared" si="1"/>
        <v>17.099999999976717</v>
      </c>
      <c r="S13" s="46">
        <f t="shared" si="1"/>
        <v>296.5</v>
      </c>
      <c r="T13" s="46">
        <f t="shared" si="1"/>
        <v>1425</v>
      </c>
      <c r="U13" s="47">
        <f t="shared" si="4"/>
        <v>5.3000000000465661</v>
      </c>
      <c r="V13" s="47">
        <f t="shared" si="4"/>
        <v>17.099999999976717</v>
      </c>
      <c r="W13" s="47">
        <f t="shared" si="4"/>
        <v>441.40000000000146</v>
      </c>
      <c r="X13" s="47">
        <f t="shared" si="2"/>
        <v>1917.3999999999651</v>
      </c>
    </row>
    <row r="14" spans="1:24" ht="20" customHeight="1" x14ac:dyDescent="0.35">
      <c r="A14" s="29" t="s">
        <v>183</v>
      </c>
      <c r="B14" s="30">
        <v>404509.2</v>
      </c>
      <c r="C14" s="29">
        <v>219206.2</v>
      </c>
      <c r="D14" s="31">
        <v>43187</v>
      </c>
      <c r="E14" s="31">
        <v>364471.8</v>
      </c>
      <c r="F14" s="31">
        <v>244896.4</v>
      </c>
      <c r="G14" s="31">
        <v>518449.4</v>
      </c>
      <c r="H14" s="32">
        <v>307015.59999999998</v>
      </c>
      <c r="I14" s="34">
        <v>703692.3</v>
      </c>
      <c r="J14" s="34">
        <v>1422252</v>
      </c>
      <c r="L14" s="46">
        <f t="shared" si="3"/>
        <v>0</v>
      </c>
      <c r="M14" s="46">
        <f t="shared" si="1"/>
        <v>0</v>
      </c>
      <c r="N14" s="46">
        <f t="shared" si="1"/>
        <v>197.80000000000291</v>
      </c>
      <c r="O14" s="46">
        <f t="shared" si="1"/>
        <v>357.40000000002328</v>
      </c>
      <c r="P14" s="46">
        <f t="shared" si="1"/>
        <v>224.70000000001164</v>
      </c>
      <c r="Q14" s="46">
        <f t="shared" si="1"/>
        <v>1.5999999999767169</v>
      </c>
      <c r="R14" s="46">
        <f t="shared" si="1"/>
        <v>17.300000000046566</v>
      </c>
      <c r="S14" s="46">
        <f t="shared" si="1"/>
        <v>1034</v>
      </c>
      <c r="T14" s="46">
        <f t="shared" si="1"/>
        <v>1375</v>
      </c>
      <c r="U14" s="47">
        <f t="shared" si="4"/>
        <v>1.5999999999767169</v>
      </c>
      <c r="V14" s="47">
        <f t="shared" si="4"/>
        <v>17.300000000046566</v>
      </c>
      <c r="W14" s="47">
        <f t="shared" si="4"/>
        <v>1231.8000000000029</v>
      </c>
      <c r="X14" s="47">
        <f t="shared" si="2"/>
        <v>1957.1000000000349</v>
      </c>
    </row>
    <row r="15" spans="1:24" ht="20" customHeight="1" x14ac:dyDescent="0.35">
      <c r="A15" s="29" t="s">
        <v>184</v>
      </c>
      <c r="B15" s="30">
        <v>404509.2</v>
      </c>
      <c r="C15" s="29">
        <v>219206.2</v>
      </c>
      <c r="D15" s="31">
        <v>43384.800000000003</v>
      </c>
      <c r="E15" s="31">
        <v>364829.2</v>
      </c>
      <c r="F15" s="31">
        <v>245121.1</v>
      </c>
      <c r="G15" s="31">
        <v>518451</v>
      </c>
      <c r="H15" s="32">
        <v>307032.90000000002</v>
      </c>
      <c r="I15" s="34">
        <v>704726.3</v>
      </c>
      <c r="J15" s="34">
        <v>1423627</v>
      </c>
      <c r="L15" s="46">
        <f t="shared" si="3"/>
        <v>0</v>
      </c>
      <c r="M15" s="46">
        <f t="shared" si="1"/>
        <v>0</v>
      </c>
      <c r="N15" s="46">
        <f t="shared" si="1"/>
        <v>289.79999999999563</v>
      </c>
      <c r="O15" s="46">
        <f t="shared" si="1"/>
        <v>358.59999999997672</v>
      </c>
      <c r="P15" s="46">
        <f t="shared" si="1"/>
        <v>250</v>
      </c>
      <c r="Q15" s="46">
        <f t="shared" si="1"/>
        <v>2.5999999999767169</v>
      </c>
      <c r="R15" s="46">
        <f t="shared" si="1"/>
        <v>17.599999999976717</v>
      </c>
      <c r="S15" s="46">
        <f t="shared" si="1"/>
        <v>1156.5</v>
      </c>
      <c r="T15" s="46">
        <f t="shared" si="1"/>
        <v>1512</v>
      </c>
      <c r="U15" s="47">
        <f t="shared" si="4"/>
        <v>2.5999999999767169</v>
      </c>
      <c r="V15" s="47">
        <f t="shared" si="4"/>
        <v>17.599999999976717</v>
      </c>
      <c r="W15" s="47">
        <f t="shared" si="4"/>
        <v>1446.2999999999956</v>
      </c>
      <c r="X15" s="47">
        <f t="shared" si="2"/>
        <v>2120.5999999999767</v>
      </c>
    </row>
    <row r="16" spans="1:24" ht="20" customHeight="1" x14ac:dyDescent="0.35">
      <c r="A16" s="29" t="s">
        <v>191</v>
      </c>
      <c r="B16" s="30">
        <v>404509.2</v>
      </c>
      <c r="C16" s="29">
        <v>219206.2</v>
      </c>
      <c r="D16" s="31">
        <v>43674.6</v>
      </c>
      <c r="E16" s="31">
        <v>365187.8</v>
      </c>
      <c r="F16" s="31">
        <v>245371.1</v>
      </c>
      <c r="G16" s="31">
        <v>518453.6</v>
      </c>
      <c r="H16" s="32">
        <v>307050.5</v>
      </c>
      <c r="I16" s="34">
        <v>705882.8</v>
      </c>
      <c r="J16" s="34">
        <v>1425139</v>
      </c>
      <c r="L16" s="46">
        <f t="shared" si="3"/>
        <v>276.89999999996508</v>
      </c>
      <c r="M16" s="46">
        <f t="shared" si="1"/>
        <v>0</v>
      </c>
      <c r="N16" s="46">
        <f t="shared" si="1"/>
        <v>279</v>
      </c>
      <c r="O16" s="46">
        <f t="shared" si="1"/>
        <v>346.90000000002328</v>
      </c>
      <c r="P16" s="46">
        <f t="shared" si="1"/>
        <v>223.60000000000582</v>
      </c>
      <c r="Q16" s="46">
        <f t="shared" si="1"/>
        <v>509.60000000003492</v>
      </c>
      <c r="R16" s="46">
        <f t="shared" si="1"/>
        <v>17.700000000011642</v>
      </c>
      <c r="S16" s="46">
        <f t="shared" si="1"/>
        <v>1121.7999999999302</v>
      </c>
      <c r="T16" s="46">
        <f t="shared" si="1"/>
        <v>1520</v>
      </c>
      <c r="U16" s="47">
        <f t="shared" si="4"/>
        <v>786.5</v>
      </c>
      <c r="V16" s="47">
        <f t="shared" si="4"/>
        <v>17.700000000011642</v>
      </c>
      <c r="W16" s="47">
        <f t="shared" si="4"/>
        <v>1400.7999999999302</v>
      </c>
      <c r="X16" s="47">
        <f t="shared" si="2"/>
        <v>2090.5000000000291</v>
      </c>
    </row>
    <row r="17" spans="1:24" ht="20" customHeight="1" x14ac:dyDescent="0.35">
      <c r="A17" s="29" t="s">
        <v>192</v>
      </c>
      <c r="B17" s="30">
        <v>404786.1</v>
      </c>
      <c r="C17" s="29">
        <v>219206.2</v>
      </c>
      <c r="D17" s="31">
        <v>43953.599999999999</v>
      </c>
      <c r="E17" s="31">
        <v>365534.7</v>
      </c>
      <c r="F17" s="31">
        <v>245594.7</v>
      </c>
      <c r="G17" s="31">
        <v>518963.20000000001</v>
      </c>
      <c r="H17" s="32">
        <v>307068.2</v>
      </c>
      <c r="I17" s="34">
        <v>707004.6</v>
      </c>
      <c r="J17" s="34">
        <v>1426659</v>
      </c>
      <c r="L17" s="46">
        <f t="shared" si="3"/>
        <v>492.40000000002328</v>
      </c>
      <c r="M17" s="46">
        <f t="shared" si="1"/>
        <v>0</v>
      </c>
      <c r="N17" s="46">
        <f t="shared" si="1"/>
        <v>308.5</v>
      </c>
      <c r="O17" s="46">
        <f t="shared" si="1"/>
        <v>353.59999999997672</v>
      </c>
      <c r="P17" s="46">
        <f t="shared" si="1"/>
        <v>240</v>
      </c>
      <c r="Q17" s="46">
        <f t="shared" si="1"/>
        <v>852.59999999997672</v>
      </c>
      <c r="R17" s="46">
        <f t="shared" si="1"/>
        <v>17.700000000011642</v>
      </c>
      <c r="S17" s="46">
        <f t="shared" si="1"/>
        <v>1220.7000000000698</v>
      </c>
      <c r="T17" s="46">
        <f t="shared" si="1"/>
        <v>1099</v>
      </c>
      <c r="U17" s="47">
        <f t="shared" si="4"/>
        <v>1345</v>
      </c>
      <c r="V17" s="47">
        <f t="shared" si="4"/>
        <v>17.700000000011642</v>
      </c>
      <c r="W17" s="47">
        <f t="shared" si="4"/>
        <v>1529.2000000000698</v>
      </c>
      <c r="X17" s="47">
        <f t="shared" si="2"/>
        <v>1692.5999999999767</v>
      </c>
    </row>
    <row r="18" spans="1:24" ht="20" customHeight="1" x14ac:dyDescent="0.35">
      <c r="A18" s="29" t="s">
        <v>193</v>
      </c>
      <c r="B18" s="30">
        <v>405278.5</v>
      </c>
      <c r="C18" s="29">
        <v>219206.2</v>
      </c>
      <c r="D18" s="31">
        <v>44262.1</v>
      </c>
      <c r="E18" s="31">
        <v>365888.3</v>
      </c>
      <c r="F18" s="31">
        <v>245834.7</v>
      </c>
      <c r="G18" s="31">
        <v>519815.8</v>
      </c>
      <c r="H18" s="32">
        <v>307085.90000000002</v>
      </c>
      <c r="I18" s="34">
        <v>708225.3</v>
      </c>
      <c r="J18" s="34">
        <v>1427758</v>
      </c>
      <c r="L18" s="46">
        <f t="shared" si="3"/>
        <v>0</v>
      </c>
      <c r="M18" s="46">
        <f t="shared" si="1"/>
        <v>0</v>
      </c>
      <c r="N18" s="46">
        <f t="shared" si="1"/>
        <v>0</v>
      </c>
      <c r="O18" s="46">
        <f t="shared" si="1"/>
        <v>0</v>
      </c>
      <c r="P18" s="46">
        <f t="shared" si="1"/>
        <v>0</v>
      </c>
      <c r="Q18" s="46">
        <f t="shared" si="1"/>
        <v>0</v>
      </c>
      <c r="R18" s="46">
        <f t="shared" si="1"/>
        <v>0</v>
      </c>
      <c r="S18" s="46">
        <f t="shared" si="1"/>
        <v>0</v>
      </c>
      <c r="T18" s="46">
        <f t="shared" si="1"/>
        <v>0</v>
      </c>
      <c r="U18" s="47">
        <f t="shared" si="4"/>
        <v>0</v>
      </c>
      <c r="V18" s="47">
        <f t="shared" si="4"/>
        <v>0</v>
      </c>
      <c r="W18" s="47">
        <f t="shared" si="4"/>
        <v>0</v>
      </c>
      <c r="X18" s="47">
        <f t="shared" si="2"/>
        <v>0</v>
      </c>
    </row>
    <row r="19" spans="1:24" ht="20" customHeight="1" x14ac:dyDescent="0.35">
      <c r="A19" s="29" t="s">
        <v>194</v>
      </c>
      <c r="B19" s="30" t="s">
        <v>179</v>
      </c>
      <c r="C19" s="29" t="s">
        <v>179</v>
      </c>
      <c r="D19" s="31" t="s">
        <v>179</v>
      </c>
      <c r="E19" s="31" t="s">
        <v>179</v>
      </c>
      <c r="F19" s="31" t="s">
        <v>179</v>
      </c>
      <c r="G19" s="31" t="s">
        <v>179</v>
      </c>
      <c r="H19" s="32" t="s">
        <v>179</v>
      </c>
      <c r="I19" s="34" t="s">
        <v>179</v>
      </c>
      <c r="J19" s="34" t="s">
        <v>179</v>
      </c>
      <c r="L19" s="46">
        <f t="shared" si="3"/>
        <v>0</v>
      </c>
      <c r="M19" s="46">
        <f t="shared" si="1"/>
        <v>0</v>
      </c>
      <c r="N19" s="46">
        <f t="shared" si="1"/>
        <v>0</v>
      </c>
      <c r="O19" s="46">
        <f t="shared" si="1"/>
        <v>0</v>
      </c>
      <c r="P19" s="46">
        <f t="shared" si="1"/>
        <v>0</v>
      </c>
      <c r="Q19" s="46">
        <f t="shared" si="1"/>
        <v>0</v>
      </c>
      <c r="R19" s="46">
        <f t="shared" si="1"/>
        <v>0</v>
      </c>
      <c r="S19" s="46">
        <f t="shared" si="1"/>
        <v>0</v>
      </c>
      <c r="T19" s="46">
        <f t="shared" si="1"/>
        <v>0</v>
      </c>
      <c r="U19" s="47">
        <f t="shared" si="4"/>
        <v>0</v>
      </c>
      <c r="V19" s="47">
        <f t="shared" si="4"/>
        <v>0</v>
      </c>
      <c r="W19" s="47">
        <f t="shared" si="4"/>
        <v>0</v>
      </c>
      <c r="X19" s="47">
        <f t="shared" si="2"/>
        <v>0</v>
      </c>
    </row>
    <row r="20" spans="1:24" ht="20" customHeight="1" x14ac:dyDescent="0.35">
      <c r="A20" s="29" t="s">
        <v>195</v>
      </c>
      <c r="B20" s="30">
        <v>406241.5</v>
      </c>
      <c r="C20" s="29">
        <v>219230.4</v>
      </c>
      <c r="D20" s="31" t="s">
        <v>179</v>
      </c>
      <c r="E20" s="31">
        <v>366569</v>
      </c>
      <c r="F20" s="31">
        <v>246330.9</v>
      </c>
      <c r="G20" s="31">
        <v>521400.2</v>
      </c>
      <c r="H20" s="32">
        <v>307184.3</v>
      </c>
      <c r="I20" s="34" t="s">
        <v>179</v>
      </c>
      <c r="J20" s="34">
        <v>1429929</v>
      </c>
      <c r="L20" s="46">
        <f t="shared" si="3"/>
        <v>485.70000000001164</v>
      </c>
      <c r="M20" s="46">
        <f t="shared" si="1"/>
        <v>0</v>
      </c>
      <c r="N20" s="46">
        <f t="shared" si="1"/>
        <v>0</v>
      </c>
      <c r="O20" s="46">
        <f t="shared" si="1"/>
        <v>354.09999999997672</v>
      </c>
      <c r="P20" s="46">
        <f t="shared" si="1"/>
        <v>220.89999999999418</v>
      </c>
      <c r="Q20" s="46">
        <f t="shared" si="1"/>
        <v>1082.3999999999651</v>
      </c>
      <c r="R20" s="46">
        <f t="shared" si="1"/>
        <v>17.900000000023283</v>
      </c>
      <c r="S20" s="46">
        <f t="shared" si="1"/>
        <v>0</v>
      </c>
      <c r="T20" s="46">
        <f t="shared" si="1"/>
        <v>1072</v>
      </c>
      <c r="U20" s="47">
        <f t="shared" si="4"/>
        <v>1568.0999999999767</v>
      </c>
      <c r="V20" s="47">
        <f t="shared" si="4"/>
        <v>17.900000000023283</v>
      </c>
      <c r="W20" s="47">
        <f t="shared" si="4"/>
        <v>0</v>
      </c>
      <c r="X20" s="47">
        <f t="shared" si="2"/>
        <v>1646.9999999999709</v>
      </c>
    </row>
    <row r="21" spans="1:24" ht="20" customHeight="1" x14ac:dyDescent="0.35">
      <c r="A21" s="29" t="s">
        <v>196</v>
      </c>
      <c r="B21" s="30">
        <v>406727.2</v>
      </c>
      <c r="C21" s="29">
        <v>219230.4</v>
      </c>
      <c r="D21" s="31" t="s">
        <v>179</v>
      </c>
      <c r="E21" s="31">
        <v>366923.1</v>
      </c>
      <c r="F21" s="31">
        <v>246551.8</v>
      </c>
      <c r="G21" s="31">
        <v>522482.6</v>
      </c>
      <c r="H21" s="32">
        <v>307202.2</v>
      </c>
      <c r="I21" s="34" t="s">
        <v>179</v>
      </c>
      <c r="J21" s="34">
        <v>1431001</v>
      </c>
      <c r="L21" s="46">
        <f t="shared" si="3"/>
        <v>514.5</v>
      </c>
      <c r="M21" s="46">
        <f t="shared" si="1"/>
        <v>0.10000000000582077</v>
      </c>
      <c r="N21" s="46">
        <f t="shared" si="1"/>
        <v>0</v>
      </c>
      <c r="O21" s="46">
        <f t="shared" si="1"/>
        <v>336.10000000003492</v>
      </c>
      <c r="P21" s="46">
        <f t="shared" si="1"/>
        <v>230.10000000000582</v>
      </c>
      <c r="Q21" s="46">
        <f t="shared" si="1"/>
        <v>1059.3000000000466</v>
      </c>
      <c r="R21" s="46">
        <f t="shared" si="1"/>
        <v>19.200000000011642</v>
      </c>
      <c r="S21" s="46">
        <f t="shared" si="1"/>
        <v>0</v>
      </c>
      <c r="T21" s="46">
        <f t="shared" si="1"/>
        <v>1410</v>
      </c>
      <c r="U21" s="47">
        <f t="shared" si="4"/>
        <v>1573.8000000000466</v>
      </c>
      <c r="V21" s="47">
        <f t="shared" si="4"/>
        <v>19.300000000017462</v>
      </c>
      <c r="W21" s="47">
        <f t="shared" si="4"/>
        <v>0</v>
      </c>
      <c r="X21" s="47">
        <f t="shared" si="2"/>
        <v>1976.2000000000407</v>
      </c>
    </row>
    <row r="22" spans="1:24" ht="20" customHeight="1" x14ac:dyDescent="0.35">
      <c r="A22" s="29" t="s">
        <v>222</v>
      </c>
      <c r="B22" s="30">
        <v>407241.7</v>
      </c>
      <c r="C22" s="29">
        <v>219230.5</v>
      </c>
      <c r="D22" s="31">
        <v>44996.7</v>
      </c>
      <c r="E22" s="31">
        <v>367259.2</v>
      </c>
      <c r="F22" s="31">
        <v>246781.9</v>
      </c>
      <c r="G22" s="31">
        <v>523541.9</v>
      </c>
      <c r="H22" s="32">
        <v>307221.40000000002</v>
      </c>
      <c r="I22" s="34">
        <v>710483.8</v>
      </c>
      <c r="J22" s="34">
        <v>1432411</v>
      </c>
      <c r="L22" s="46">
        <f t="shared" si="3"/>
        <v>530.20000000001164</v>
      </c>
      <c r="M22" s="46">
        <f t="shared" si="1"/>
        <v>0</v>
      </c>
      <c r="N22" s="46">
        <f t="shared" si="1"/>
        <v>370.90000000000146</v>
      </c>
      <c r="O22" s="46">
        <f t="shared" si="1"/>
        <v>374.89999999996508</v>
      </c>
      <c r="P22" s="46">
        <f t="shared" si="1"/>
        <v>231.60000000000582</v>
      </c>
      <c r="Q22" s="46">
        <f t="shared" si="1"/>
        <v>1032.9000000000233</v>
      </c>
      <c r="R22" s="46">
        <f t="shared" si="1"/>
        <v>17.899999999965075</v>
      </c>
      <c r="S22" s="46">
        <f t="shared" si="1"/>
        <v>1109.1999999999534</v>
      </c>
      <c r="T22" s="46">
        <f t="shared" si="1"/>
        <v>1494</v>
      </c>
      <c r="U22" s="47">
        <f t="shared" si="4"/>
        <v>1563.1000000000349</v>
      </c>
      <c r="V22" s="47">
        <f t="shared" si="4"/>
        <v>17.899999999965075</v>
      </c>
      <c r="W22" s="47">
        <f t="shared" si="4"/>
        <v>1480.0999999999549</v>
      </c>
      <c r="X22" s="47">
        <f t="shared" si="2"/>
        <v>2100.4999999999709</v>
      </c>
    </row>
    <row r="23" spans="1:24" ht="20" customHeight="1" x14ac:dyDescent="0.35">
      <c r="A23" s="29" t="s">
        <v>224</v>
      </c>
      <c r="B23" s="30">
        <v>407771.9</v>
      </c>
      <c r="C23" s="29">
        <v>219230.5</v>
      </c>
      <c r="D23" s="31">
        <v>45367.6</v>
      </c>
      <c r="E23" s="31">
        <v>367634.1</v>
      </c>
      <c r="F23" s="31">
        <v>247013.5</v>
      </c>
      <c r="G23" s="31">
        <v>524574.80000000005</v>
      </c>
      <c r="H23" s="32">
        <v>307239.3</v>
      </c>
      <c r="I23" s="34">
        <v>711593</v>
      </c>
      <c r="J23" s="34">
        <v>1433905</v>
      </c>
      <c r="L23" s="46">
        <f t="shared" si="3"/>
        <v>531.29999999998836</v>
      </c>
      <c r="M23" s="46">
        <f t="shared" si="1"/>
        <v>0</v>
      </c>
      <c r="N23" s="46">
        <f t="shared" si="1"/>
        <v>346.20000000000437</v>
      </c>
      <c r="O23" s="46">
        <f t="shared" si="1"/>
        <v>375.80000000004657</v>
      </c>
      <c r="P23" s="46">
        <f t="shared" si="1"/>
        <v>231.39999999999418</v>
      </c>
      <c r="Q23" s="46">
        <f t="shared" si="1"/>
        <v>1039.5999999999767</v>
      </c>
      <c r="R23" s="46">
        <f t="shared" si="1"/>
        <v>18.100000000034925</v>
      </c>
      <c r="S23" s="46">
        <f t="shared" si="1"/>
        <v>937.5</v>
      </c>
      <c r="T23" s="46">
        <f t="shared" si="1"/>
        <v>1489</v>
      </c>
      <c r="U23" s="47">
        <f t="shared" si="4"/>
        <v>1570.8999999999651</v>
      </c>
      <c r="V23" s="47">
        <f t="shared" si="4"/>
        <v>18.100000000034925</v>
      </c>
      <c r="W23" s="47">
        <f t="shared" si="4"/>
        <v>1283.7000000000044</v>
      </c>
      <c r="X23" s="47">
        <f t="shared" si="2"/>
        <v>2096.2000000000407</v>
      </c>
    </row>
    <row r="24" spans="1:24" ht="20" customHeight="1" x14ac:dyDescent="0.35">
      <c r="A24" s="29" t="s">
        <v>223</v>
      </c>
      <c r="B24" s="30">
        <v>408303.2</v>
      </c>
      <c r="C24" s="29">
        <v>219230.5</v>
      </c>
      <c r="D24" s="31">
        <v>45713.8</v>
      </c>
      <c r="E24" s="31">
        <v>368009.9</v>
      </c>
      <c r="F24" s="31">
        <v>247244.9</v>
      </c>
      <c r="G24" s="31">
        <v>525614.4</v>
      </c>
      <c r="H24" s="32">
        <v>307257.40000000002</v>
      </c>
      <c r="I24" s="34">
        <v>712530.5</v>
      </c>
      <c r="J24" s="34">
        <v>1435394</v>
      </c>
      <c r="L24" s="46">
        <f t="shared" si="3"/>
        <v>528.20000000001164</v>
      </c>
      <c r="M24" s="46">
        <f t="shared" si="1"/>
        <v>0</v>
      </c>
      <c r="N24" s="46">
        <f t="shared" si="1"/>
        <v>348.29999999999563</v>
      </c>
      <c r="O24" s="46">
        <f t="shared" si="1"/>
        <v>376.5</v>
      </c>
      <c r="P24" s="46">
        <f t="shared" si="1"/>
        <v>231.70000000001164</v>
      </c>
      <c r="Q24" s="46">
        <f t="shared" si="1"/>
        <v>1004.6999999999534</v>
      </c>
      <c r="R24" s="46">
        <f t="shared" si="1"/>
        <v>18.299999999988358</v>
      </c>
      <c r="S24" s="46">
        <f t="shared" si="1"/>
        <v>978.5</v>
      </c>
      <c r="T24" s="46">
        <f t="shared" si="1"/>
        <v>1463</v>
      </c>
      <c r="U24" s="47">
        <f t="shared" si="4"/>
        <v>1532.8999999999651</v>
      </c>
      <c r="V24" s="47">
        <f t="shared" si="4"/>
        <v>18.299999999988358</v>
      </c>
      <c r="W24" s="47">
        <f t="shared" si="4"/>
        <v>1326.7999999999956</v>
      </c>
      <c r="X24" s="47">
        <f t="shared" si="2"/>
        <v>2071.2000000000116</v>
      </c>
    </row>
    <row r="25" spans="1:24" ht="20" customHeight="1" x14ac:dyDescent="0.35">
      <c r="A25" s="29" t="s">
        <v>227</v>
      </c>
      <c r="B25" s="30">
        <v>408831.4</v>
      </c>
      <c r="C25" s="29">
        <v>219230.5</v>
      </c>
      <c r="D25" s="31">
        <v>46062.1</v>
      </c>
      <c r="E25" s="31">
        <v>368386.4</v>
      </c>
      <c r="F25" s="31">
        <v>247476.6</v>
      </c>
      <c r="G25" s="31">
        <v>526619.1</v>
      </c>
      <c r="H25" s="32">
        <v>307275.7</v>
      </c>
      <c r="I25" s="34">
        <v>713509</v>
      </c>
      <c r="J25" s="34">
        <v>1436857</v>
      </c>
      <c r="L25" s="46">
        <f t="shared" si="3"/>
        <v>506.19999999995343</v>
      </c>
      <c r="M25" s="46">
        <f t="shared" si="1"/>
        <v>0</v>
      </c>
      <c r="N25" s="46">
        <f t="shared" si="1"/>
        <v>369.40000000000146</v>
      </c>
      <c r="O25" s="46">
        <f t="shared" si="1"/>
        <v>377</v>
      </c>
      <c r="P25" s="46">
        <f t="shared" si="1"/>
        <v>232.69999999998254</v>
      </c>
      <c r="Q25" s="46">
        <f t="shared" si="1"/>
        <v>906.90000000002328</v>
      </c>
      <c r="R25" s="46">
        <f t="shared" si="1"/>
        <v>0</v>
      </c>
      <c r="S25" s="46">
        <f t="shared" si="1"/>
        <v>1093.4000000000233</v>
      </c>
      <c r="T25" s="46">
        <f t="shared" si="1"/>
        <v>1470</v>
      </c>
      <c r="U25" s="47">
        <f t="shared" si="4"/>
        <v>1413.0999999999767</v>
      </c>
      <c r="V25" s="47">
        <f t="shared" si="4"/>
        <v>0</v>
      </c>
      <c r="W25" s="47">
        <f t="shared" si="4"/>
        <v>1462.8000000000247</v>
      </c>
      <c r="X25" s="47">
        <f t="shared" si="2"/>
        <v>2079.6999999999825</v>
      </c>
    </row>
    <row r="26" spans="1:24" ht="20" customHeight="1" x14ac:dyDescent="0.35">
      <c r="A26" s="29" t="s">
        <v>231</v>
      </c>
      <c r="B26" s="30">
        <v>409337.59999999998</v>
      </c>
      <c r="C26" s="29" t="s">
        <v>179</v>
      </c>
      <c r="D26" s="31">
        <v>46431.5</v>
      </c>
      <c r="E26" s="31">
        <v>368763.4</v>
      </c>
      <c r="F26" s="31">
        <v>247709.3</v>
      </c>
      <c r="G26" s="31">
        <v>527526</v>
      </c>
      <c r="H26" s="32" t="s">
        <v>179</v>
      </c>
      <c r="I26" s="34">
        <v>714602.4</v>
      </c>
      <c r="J26" s="34">
        <v>1438327</v>
      </c>
      <c r="L26" s="46">
        <f t="shared" si="3"/>
        <v>523.80000000004657</v>
      </c>
      <c r="M26" s="46">
        <f t="shared" si="3"/>
        <v>0</v>
      </c>
      <c r="N26" s="46">
        <f t="shared" si="3"/>
        <v>368.90000000000146</v>
      </c>
      <c r="O26" s="46">
        <f t="shared" si="3"/>
        <v>376.09999999997672</v>
      </c>
      <c r="P26" s="46">
        <f t="shared" si="3"/>
        <v>232.40000000002328</v>
      </c>
      <c r="Q26" s="46">
        <f t="shared" si="3"/>
        <v>995</v>
      </c>
      <c r="R26" s="46">
        <f t="shared" si="3"/>
        <v>0</v>
      </c>
      <c r="S26" s="46">
        <f t="shared" si="3"/>
        <v>879.09999999997672</v>
      </c>
      <c r="T26" s="46">
        <f t="shared" si="3"/>
        <v>1454</v>
      </c>
      <c r="U26" s="47">
        <f t="shared" si="4"/>
        <v>1518.8000000000466</v>
      </c>
      <c r="V26" s="47">
        <f t="shared" si="4"/>
        <v>0</v>
      </c>
      <c r="W26" s="47">
        <f t="shared" si="4"/>
        <v>1247.9999999999782</v>
      </c>
      <c r="X26" s="47">
        <f t="shared" si="2"/>
        <v>2062.5</v>
      </c>
    </row>
    <row r="27" spans="1:24" ht="42.75" customHeight="1" x14ac:dyDescent="0.35">
      <c r="A27" s="37" t="s">
        <v>236</v>
      </c>
      <c r="B27" s="38">
        <v>409861.4</v>
      </c>
      <c r="C27" s="29" t="s">
        <v>179</v>
      </c>
      <c r="D27" s="39">
        <v>46800.4</v>
      </c>
      <c r="E27" s="39">
        <v>369139.5</v>
      </c>
      <c r="F27" s="39">
        <v>247941.7</v>
      </c>
      <c r="G27" s="39">
        <v>528521</v>
      </c>
      <c r="H27" s="40" t="s">
        <v>237</v>
      </c>
      <c r="I27" s="34">
        <v>715481.5</v>
      </c>
      <c r="J27" s="42">
        <v>1439781</v>
      </c>
      <c r="L27" s="46">
        <f t="shared" si="3"/>
        <v>485.09999999997672</v>
      </c>
      <c r="M27" s="46">
        <f t="shared" si="3"/>
        <v>0</v>
      </c>
      <c r="N27" s="46">
        <f t="shared" si="3"/>
        <v>234</v>
      </c>
      <c r="O27" s="46">
        <f t="shared" si="3"/>
        <v>353.09999999997672</v>
      </c>
      <c r="P27" s="46">
        <f t="shared" si="3"/>
        <v>221.29999999998836</v>
      </c>
      <c r="Q27" s="46">
        <f t="shared" si="3"/>
        <v>595.40000000002328</v>
      </c>
      <c r="R27" s="46">
        <f t="shared" si="3"/>
        <v>0</v>
      </c>
      <c r="S27" s="46">
        <f t="shared" si="3"/>
        <v>462.90000000002328</v>
      </c>
      <c r="T27" s="46">
        <f t="shared" si="3"/>
        <v>1401</v>
      </c>
      <c r="U27" s="47">
        <f t="shared" si="4"/>
        <v>1080.5</v>
      </c>
      <c r="V27" s="47">
        <f t="shared" si="4"/>
        <v>0</v>
      </c>
      <c r="W27" s="47">
        <f t="shared" si="4"/>
        <v>696.90000000002328</v>
      </c>
      <c r="X27" s="47">
        <f t="shared" si="2"/>
        <v>1975.3999999999651</v>
      </c>
    </row>
    <row r="28" spans="1:24" ht="20" customHeight="1" x14ac:dyDescent="0.35">
      <c r="A28" s="29" t="s">
        <v>238</v>
      </c>
      <c r="B28" s="30">
        <v>410346.5</v>
      </c>
      <c r="C28" s="29" t="s">
        <v>237</v>
      </c>
      <c r="D28" s="31">
        <v>47034.400000000001</v>
      </c>
      <c r="E28" s="31">
        <v>369492.6</v>
      </c>
      <c r="F28" s="31">
        <v>248163</v>
      </c>
      <c r="G28" s="31">
        <v>529116.4</v>
      </c>
      <c r="H28" s="32" t="s">
        <v>237</v>
      </c>
      <c r="I28" s="34">
        <v>715944.4</v>
      </c>
      <c r="J28" s="34">
        <v>1441182</v>
      </c>
      <c r="L28" s="46">
        <f t="shared" si="3"/>
        <v>-410346.5</v>
      </c>
      <c r="M28" s="46">
        <f t="shared" si="3"/>
        <v>0</v>
      </c>
      <c r="N28" s="46">
        <f t="shared" si="3"/>
        <v>-47034.400000000001</v>
      </c>
      <c r="O28" s="46">
        <f t="shared" si="3"/>
        <v>-369492.6</v>
      </c>
      <c r="P28" s="46">
        <f t="shared" si="3"/>
        <v>-248163</v>
      </c>
      <c r="Q28" s="46">
        <f t="shared" si="3"/>
        <v>-529116.4</v>
      </c>
      <c r="R28" s="46">
        <f t="shared" si="3"/>
        <v>0</v>
      </c>
      <c r="S28" s="46">
        <f t="shared" si="3"/>
        <v>-715944.4</v>
      </c>
      <c r="T28" s="46">
        <f t="shared" si="3"/>
        <v>-1441182</v>
      </c>
      <c r="U28" s="47">
        <f t="shared" si="4"/>
        <v>-939462.9</v>
      </c>
      <c r="V28" s="47">
        <f t="shared" si="4"/>
        <v>0</v>
      </c>
      <c r="W28" s="47">
        <f t="shared" si="4"/>
        <v>-762978.8</v>
      </c>
      <c r="X28" s="47">
        <f t="shared" si="2"/>
        <v>-2058837.6</v>
      </c>
    </row>
    <row r="29" spans="1:24" ht="20" customHeight="1" x14ac:dyDescent="0.35">
      <c r="A29" s="29"/>
      <c r="B29" s="30"/>
      <c r="C29" s="29"/>
      <c r="D29" s="31"/>
      <c r="E29" s="31"/>
      <c r="F29" s="31"/>
      <c r="G29" s="31"/>
      <c r="H29" s="32"/>
      <c r="I29" s="34"/>
      <c r="J29" s="34"/>
      <c r="L29" s="46">
        <f t="shared" si="3"/>
        <v>0</v>
      </c>
      <c r="M29" s="46">
        <f t="shared" si="3"/>
        <v>0</v>
      </c>
      <c r="N29" s="46">
        <f t="shared" si="3"/>
        <v>0</v>
      </c>
      <c r="O29" s="46">
        <f t="shared" si="3"/>
        <v>0</v>
      </c>
      <c r="P29" s="46">
        <f t="shared" si="3"/>
        <v>0</v>
      </c>
      <c r="Q29" s="46">
        <f t="shared" si="3"/>
        <v>0</v>
      </c>
      <c r="R29" s="46">
        <f t="shared" si="3"/>
        <v>0</v>
      </c>
      <c r="S29" s="46">
        <f t="shared" si="3"/>
        <v>0</v>
      </c>
      <c r="T29" s="46">
        <f t="shared" si="3"/>
        <v>0</v>
      </c>
      <c r="U29" s="47">
        <f t="shared" si="4"/>
        <v>0</v>
      </c>
      <c r="V29" s="47">
        <f t="shared" si="4"/>
        <v>0</v>
      </c>
      <c r="W29" s="47">
        <f t="shared" si="4"/>
        <v>0</v>
      </c>
      <c r="X29" s="47">
        <f t="shared" si="2"/>
        <v>0</v>
      </c>
    </row>
    <row r="30" spans="1:24" ht="20" customHeight="1" x14ac:dyDescent="0.35">
      <c r="A30" s="29"/>
      <c r="B30" s="30"/>
      <c r="C30" s="29"/>
      <c r="D30" s="31"/>
      <c r="E30" s="31"/>
      <c r="F30" s="31"/>
      <c r="G30" s="31"/>
      <c r="H30" s="32"/>
      <c r="I30" s="34"/>
      <c r="J30" s="34"/>
      <c r="L30" s="46">
        <f t="shared" si="3"/>
        <v>0</v>
      </c>
      <c r="M30" s="46">
        <f t="shared" si="3"/>
        <v>0</v>
      </c>
      <c r="N30" s="46">
        <f t="shared" si="3"/>
        <v>0</v>
      </c>
      <c r="O30" s="46">
        <f t="shared" si="3"/>
        <v>0</v>
      </c>
      <c r="P30" s="46">
        <f t="shared" si="3"/>
        <v>0</v>
      </c>
      <c r="Q30" s="46">
        <f t="shared" si="3"/>
        <v>0</v>
      </c>
      <c r="R30" s="46">
        <f t="shared" si="3"/>
        <v>0</v>
      </c>
      <c r="S30" s="46">
        <f t="shared" si="3"/>
        <v>0</v>
      </c>
      <c r="T30" s="46">
        <f t="shared" si="3"/>
        <v>0</v>
      </c>
      <c r="U30" s="47">
        <f t="shared" si="4"/>
        <v>0</v>
      </c>
      <c r="V30" s="47">
        <f t="shared" si="4"/>
        <v>0</v>
      </c>
      <c r="W30" s="47">
        <f t="shared" si="4"/>
        <v>0</v>
      </c>
      <c r="X30" s="47">
        <f t="shared" si="2"/>
        <v>0</v>
      </c>
    </row>
    <row r="31" spans="1:24" ht="20" customHeight="1" x14ac:dyDescent="0.35">
      <c r="A31" s="29"/>
      <c r="B31" s="30"/>
      <c r="C31" s="29"/>
      <c r="D31" s="31"/>
      <c r="E31" s="31"/>
      <c r="F31" s="31"/>
      <c r="G31" s="31"/>
      <c r="H31" s="32"/>
      <c r="I31" s="34"/>
      <c r="J31" s="34"/>
      <c r="L31" s="46">
        <f t="shared" si="3"/>
        <v>0</v>
      </c>
      <c r="M31" s="46">
        <f t="shared" si="3"/>
        <v>0</v>
      </c>
      <c r="N31" s="46">
        <f t="shared" si="3"/>
        <v>0</v>
      </c>
      <c r="O31" s="46">
        <f t="shared" si="3"/>
        <v>0</v>
      </c>
      <c r="P31" s="46">
        <f t="shared" si="3"/>
        <v>0</v>
      </c>
      <c r="Q31" s="46">
        <f t="shared" si="3"/>
        <v>0</v>
      </c>
      <c r="R31" s="46">
        <f t="shared" si="3"/>
        <v>0</v>
      </c>
      <c r="S31" s="46">
        <f t="shared" si="3"/>
        <v>0</v>
      </c>
      <c r="T31" s="46">
        <f t="shared" si="3"/>
        <v>0</v>
      </c>
      <c r="U31" s="47">
        <f t="shared" si="4"/>
        <v>0</v>
      </c>
      <c r="V31" s="47">
        <f t="shared" si="4"/>
        <v>0</v>
      </c>
      <c r="W31" s="47">
        <f t="shared" si="4"/>
        <v>0</v>
      </c>
      <c r="X31" s="47">
        <f t="shared" si="2"/>
        <v>0</v>
      </c>
    </row>
    <row r="32" spans="1:24" ht="20" customHeight="1" x14ac:dyDescent="0.35">
      <c r="A32" s="29"/>
      <c r="B32" s="30"/>
      <c r="C32" s="29"/>
      <c r="D32" s="31"/>
      <c r="E32" s="31"/>
      <c r="F32" s="31"/>
      <c r="G32" s="31"/>
      <c r="H32" s="32"/>
      <c r="I32" s="34"/>
      <c r="J32" s="34"/>
      <c r="L32" s="46">
        <f t="shared" si="3"/>
        <v>0</v>
      </c>
      <c r="M32" s="46">
        <f t="shared" si="3"/>
        <v>0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0</v>
      </c>
      <c r="R32" s="46">
        <f t="shared" si="3"/>
        <v>0</v>
      </c>
      <c r="S32" s="46">
        <f t="shared" si="3"/>
        <v>0</v>
      </c>
      <c r="T32" s="46">
        <f t="shared" si="3"/>
        <v>0</v>
      </c>
      <c r="U32" s="47">
        <f t="shared" si="4"/>
        <v>0</v>
      </c>
      <c r="V32" s="47">
        <f t="shared" si="4"/>
        <v>0</v>
      </c>
      <c r="W32" s="47">
        <f t="shared" si="4"/>
        <v>0</v>
      </c>
      <c r="X32" s="47">
        <f t="shared" si="2"/>
        <v>0</v>
      </c>
    </row>
    <row r="33" spans="1:24" ht="20" customHeight="1" x14ac:dyDescent="0.35">
      <c r="A33" s="29"/>
      <c r="B33" s="30"/>
      <c r="C33" s="29"/>
      <c r="D33" s="31"/>
      <c r="E33" s="31"/>
      <c r="F33" s="31"/>
      <c r="G33" s="31"/>
      <c r="H33" s="32"/>
      <c r="I33" s="33"/>
      <c r="J33" s="34"/>
      <c r="L33" s="46">
        <f t="shared" si="3"/>
        <v>0</v>
      </c>
      <c r="M33" s="46">
        <f t="shared" si="3"/>
        <v>0</v>
      </c>
      <c r="N33" s="46">
        <f t="shared" si="3"/>
        <v>0</v>
      </c>
      <c r="O33" s="46">
        <f t="shared" si="3"/>
        <v>0</v>
      </c>
      <c r="P33" s="46">
        <f t="shared" si="3"/>
        <v>0</v>
      </c>
      <c r="Q33" s="46">
        <f t="shared" si="3"/>
        <v>0</v>
      </c>
      <c r="R33" s="46">
        <f t="shared" si="3"/>
        <v>0</v>
      </c>
      <c r="S33" s="46">
        <f t="shared" si="3"/>
        <v>0</v>
      </c>
      <c r="T33" s="46">
        <f t="shared" si="3"/>
        <v>0</v>
      </c>
      <c r="U33" s="47">
        <f t="shared" si="4"/>
        <v>0</v>
      </c>
      <c r="V33" s="47">
        <f t="shared" si="4"/>
        <v>0</v>
      </c>
      <c r="W33" s="47">
        <f t="shared" si="4"/>
        <v>0</v>
      </c>
      <c r="X33" s="47">
        <f t="shared" si="2"/>
        <v>0</v>
      </c>
    </row>
    <row r="34" spans="1:24" ht="20" customHeight="1" x14ac:dyDescent="0.35">
      <c r="A34" s="29"/>
      <c r="B34" s="30"/>
      <c r="C34" s="29"/>
      <c r="D34" s="31"/>
      <c r="E34" s="31"/>
      <c r="F34" s="31"/>
      <c r="G34" s="31"/>
      <c r="H34" s="32"/>
      <c r="I34" s="33"/>
      <c r="J34" s="34"/>
      <c r="L34" s="46">
        <f t="shared" si="3"/>
        <v>0</v>
      </c>
      <c r="M34" s="46">
        <f t="shared" si="3"/>
        <v>0</v>
      </c>
      <c r="N34" s="46">
        <f t="shared" si="3"/>
        <v>0</v>
      </c>
      <c r="O34" s="46">
        <f t="shared" si="3"/>
        <v>0</v>
      </c>
      <c r="P34" s="46">
        <f t="shared" si="3"/>
        <v>0</v>
      </c>
      <c r="Q34" s="46">
        <f t="shared" si="3"/>
        <v>0</v>
      </c>
      <c r="R34" s="46">
        <f t="shared" si="3"/>
        <v>0</v>
      </c>
      <c r="S34" s="46">
        <f t="shared" si="3"/>
        <v>0</v>
      </c>
      <c r="T34" s="46">
        <f t="shared" si="3"/>
        <v>0</v>
      </c>
      <c r="U34" s="47">
        <f t="shared" si="4"/>
        <v>0</v>
      </c>
      <c r="V34" s="47">
        <f t="shared" si="4"/>
        <v>0</v>
      </c>
      <c r="W34" s="47">
        <f t="shared" si="4"/>
        <v>0</v>
      </c>
      <c r="X34" s="47">
        <f t="shared" si="2"/>
        <v>0</v>
      </c>
    </row>
    <row r="35" spans="1:24" ht="20" customHeight="1" x14ac:dyDescent="0.35">
      <c r="A35" s="29"/>
      <c r="B35" s="30"/>
      <c r="C35" s="29"/>
      <c r="D35" s="31"/>
      <c r="E35" s="31"/>
      <c r="F35" s="31"/>
      <c r="G35" s="31"/>
      <c r="H35" s="32"/>
      <c r="I35" s="33"/>
      <c r="J35" s="34"/>
      <c r="L35" s="46">
        <f t="shared" si="3"/>
        <v>0</v>
      </c>
      <c r="M35" s="46">
        <f t="shared" si="3"/>
        <v>0</v>
      </c>
      <c r="N35" s="46">
        <f t="shared" si="3"/>
        <v>0</v>
      </c>
      <c r="O35" s="46">
        <f t="shared" si="3"/>
        <v>0</v>
      </c>
      <c r="P35" s="46">
        <f t="shared" si="3"/>
        <v>0</v>
      </c>
      <c r="Q35" s="46">
        <f t="shared" si="3"/>
        <v>0</v>
      </c>
      <c r="R35" s="46">
        <f t="shared" si="3"/>
        <v>0</v>
      </c>
      <c r="S35" s="46">
        <f t="shared" si="3"/>
        <v>0</v>
      </c>
      <c r="T35" s="46">
        <f t="shared" si="3"/>
        <v>0</v>
      </c>
      <c r="U35" s="47">
        <f t="shared" si="4"/>
        <v>0</v>
      </c>
      <c r="V35" s="47">
        <f t="shared" si="4"/>
        <v>0</v>
      </c>
      <c r="W35" s="47">
        <f t="shared" si="4"/>
        <v>0</v>
      </c>
      <c r="X35" s="47">
        <f t="shared" si="2"/>
        <v>0</v>
      </c>
    </row>
    <row r="36" spans="1:24" ht="20" customHeight="1" x14ac:dyDescent="0.35">
      <c r="A36" s="29"/>
      <c r="B36" s="30"/>
      <c r="C36" s="29"/>
      <c r="D36" s="31"/>
      <c r="E36" s="31"/>
      <c r="F36" s="31"/>
      <c r="G36" s="31"/>
      <c r="H36" s="32"/>
      <c r="I36" s="33"/>
      <c r="J36" s="34"/>
      <c r="L36" s="46">
        <f t="shared" si="3"/>
        <v>0</v>
      </c>
      <c r="M36" s="46">
        <f t="shared" si="3"/>
        <v>0</v>
      </c>
      <c r="N36" s="46">
        <f t="shared" si="3"/>
        <v>0</v>
      </c>
      <c r="O36" s="46">
        <f t="shared" si="3"/>
        <v>0</v>
      </c>
      <c r="P36" s="46">
        <f t="shared" si="3"/>
        <v>0</v>
      </c>
      <c r="Q36" s="46">
        <f t="shared" si="3"/>
        <v>0</v>
      </c>
      <c r="R36" s="46">
        <f t="shared" si="3"/>
        <v>0</v>
      </c>
      <c r="S36" s="46">
        <f t="shared" si="3"/>
        <v>0</v>
      </c>
      <c r="T36" s="46">
        <f t="shared" si="3"/>
        <v>0</v>
      </c>
      <c r="U36" s="47">
        <f t="shared" si="4"/>
        <v>0</v>
      </c>
      <c r="V36" s="47">
        <f t="shared" si="4"/>
        <v>0</v>
      </c>
      <c r="W36" s="47">
        <f t="shared" si="4"/>
        <v>0</v>
      </c>
      <c r="X36" s="47">
        <f t="shared" si="2"/>
        <v>0</v>
      </c>
    </row>
    <row r="37" spans="1:24" ht="20" customHeight="1" x14ac:dyDescent="0.35">
      <c r="A37" s="29"/>
      <c r="B37" s="30"/>
      <c r="C37" s="29"/>
      <c r="D37" s="31"/>
      <c r="E37" s="31"/>
      <c r="F37" s="31"/>
      <c r="G37" s="31"/>
      <c r="H37" s="32"/>
      <c r="I37" s="33"/>
      <c r="J37" s="34"/>
      <c r="L37" s="46">
        <f t="shared" si="3"/>
        <v>0</v>
      </c>
      <c r="M37" s="46">
        <f t="shared" si="3"/>
        <v>0</v>
      </c>
      <c r="N37" s="46">
        <f t="shared" si="3"/>
        <v>0</v>
      </c>
      <c r="O37" s="46">
        <f t="shared" si="3"/>
        <v>0</v>
      </c>
      <c r="P37" s="46">
        <f t="shared" si="3"/>
        <v>0</v>
      </c>
      <c r="Q37" s="46">
        <f t="shared" si="3"/>
        <v>0</v>
      </c>
      <c r="R37" s="46">
        <f t="shared" si="3"/>
        <v>0</v>
      </c>
      <c r="S37" s="46">
        <f t="shared" si="3"/>
        <v>0</v>
      </c>
      <c r="T37" s="46">
        <f t="shared" si="3"/>
        <v>0</v>
      </c>
      <c r="U37" s="47">
        <f t="shared" si="4"/>
        <v>0</v>
      </c>
      <c r="V37" s="47">
        <f t="shared" si="4"/>
        <v>0</v>
      </c>
      <c r="W37" s="47">
        <f t="shared" si="4"/>
        <v>0</v>
      </c>
      <c r="X37" s="47">
        <f t="shared" si="2"/>
        <v>0</v>
      </c>
    </row>
    <row r="38" spans="1:24" ht="20" customHeight="1" x14ac:dyDescent="0.35">
      <c r="A38" s="29"/>
      <c r="B38" s="30"/>
      <c r="C38" s="29"/>
      <c r="D38" s="31"/>
      <c r="E38" s="31"/>
      <c r="F38" s="31"/>
      <c r="G38" s="31"/>
      <c r="H38" s="32"/>
      <c r="I38" s="33"/>
      <c r="J38" s="34"/>
      <c r="L38" s="46">
        <f t="shared" si="3"/>
        <v>0</v>
      </c>
      <c r="M38" s="46">
        <f t="shared" si="3"/>
        <v>0</v>
      </c>
      <c r="N38" s="46">
        <f t="shared" si="3"/>
        <v>0</v>
      </c>
      <c r="O38" s="46">
        <f t="shared" si="3"/>
        <v>0</v>
      </c>
      <c r="P38" s="46">
        <f t="shared" si="3"/>
        <v>0</v>
      </c>
      <c r="Q38" s="46">
        <f t="shared" si="3"/>
        <v>0</v>
      </c>
      <c r="R38" s="46">
        <f t="shared" si="3"/>
        <v>0</v>
      </c>
      <c r="S38" s="46">
        <f t="shared" si="3"/>
        <v>0</v>
      </c>
      <c r="T38" s="46">
        <f t="shared" si="3"/>
        <v>0</v>
      </c>
      <c r="U38" s="47">
        <f t="shared" si="4"/>
        <v>0</v>
      </c>
      <c r="V38" s="47">
        <f t="shared" si="4"/>
        <v>0</v>
      </c>
      <c r="W38" s="47">
        <f t="shared" si="4"/>
        <v>0</v>
      </c>
      <c r="X38" s="47">
        <f t="shared" si="2"/>
        <v>0</v>
      </c>
    </row>
    <row r="39" spans="1:24" ht="20" customHeight="1" x14ac:dyDescent="0.35">
      <c r="A39" s="29"/>
      <c r="B39" s="30"/>
      <c r="C39" s="29"/>
      <c r="D39" s="31"/>
      <c r="E39" s="31"/>
      <c r="F39" s="31"/>
      <c r="G39" s="31"/>
      <c r="H39" s="32"/>
      <c r="I39" s="33"/>
      <c r="J39" s="34"/>
      <c r="L39" s="46">
        <f t="shared" si="3"/>
        <v>0</v>
      </c>
      <c r="M39" s="46">
        <f t="shared" si="3"/>
        <v>0</v>
      </c>
      <c r="N39" s="46">
        <f t="shared" si="3"/>
        <v>0</v>
      </c>
      <c r="O39" s="46">
        <f t="shared" si="3"/>
        <v>0</v>
      </c>
      <c r="P39" s="46">
        <f t="shared" si="3"/>
        <v>0</v>
      </c>
      <c r="Q39" s="46">
        <f t="shared" si="3"/>
        <v>0</v>
      </c>
      <c r="R39" s="46">
        <f t="shared" si="3"/>
        <v>0</v>
      </c>
      <c r="S39" s="46">
        <f t="shared" si="3"/>
        <v>0</v>
      </c>
      <c r="T39" s="46">
        <f t="shared" si="3"/>
        <v>0</v>
      </c>
      <c r="U39" s="47">
        <f t="shared" si="4"/>
        <v>0</v>
      </c>
      <c r="V39" s="47">
        <f t="shared" si="4"/>
        <v>0</v>
      </c>
      <c r="W39" s="47">
        <f t="shared" si="4"/>
        <v>0</v>
      </c>
      <c r="X39" s="47">
        <f t="shared" si="2"/>
        <v>0</v>
      </c>
    </row>
    <row r="40" spans="1:24" ht="20" customHeight="1" x14ac:dyDescent="0.35">
      <c r="A40" s="29"/>
      <c r="B40" s="30"/>
      <c r="C40" s="29"/>
      <c r="D40" s="31"/>
      <c r="E40" s="31"/>
      <c r="F40" s="31"/>
      <c r="G40" s="31"/>
      <c r="H40" s="32"/>
      <c r="I40" s="33"/>
      <c r="J40" s="34"/>
      <c r="L40" s="46">
        <f t="shared" si="3"/>
        <v>0</v>
      </c>
      <c r="M40" s="46">
        <f t="shared" si="3"/>
        <v>0</v>
      </c>
      <c r="N40" s="46">
        <f t="shared" si="3"/>
        <v>0</v>
      </c>
      <c r="O40" s="46">
        <f t="shared" si="3"/>
        <v>0</v>
      </c>
      <c r="P40" s="46">
        <f t="shared" si="3"/>
        <v>0</v>
      </c>
      <c r="Q40" s="46">
        <f t="shared" si="3"/>
        <v>0</v>
      </c>
      <c r="R40" s="46">
        <f t="shared" si="3"/>
        <v>0</v>
      </c>
      <c r="S40" s="46">
        <f t="shared" si="3"/>
        <v>0</v>
      </c>
      <c r="T40" s="46">
        <f t="shared" si="3"/>
        <v>0</v>
      </c>
      <c r="U40" s="47">
        <f t="shared" si="4"/>
        <v>0</v>
      </c>
      <c r="V40" s="47">
        <f t="shared" si="4"/>
        <v>0</v>
      </c>
      <c r="W40" s="47">
        <f t="shared" si="4"/>
        <v>0</v>
      </c>
      <c r="X40" s="47">
        <f t="shared" si="2"/>
        <v>0</v>
      </c>
    </row>
    <row r="41" spans="1:24" ht="20" customHeight="1" x14ac:dyDescent="0.35">
      <c r="A41" s="29"/>
      <c r="B41" s="30"/>
      <c r="C41" s="29"/>
      <c r="D41" s="31"/>
      <c r="E41" s="31"/>
      <c r="F41" s="31"/>
      <c r="G41" s="31"/>
      <c r="H41" s="32"/>
      <c r="I41" s="33"/>
      <c r="J41" s="34"/>
      <c r="L41" s="46">
        <f t="shared" si="3"/>
        <v>0</v>
      </c>
      <c r="M41" s="46">
        <f t="shared" si="3"/>
        <v>0</v>
      </c>
      <c r="N41" s="46">
        <f t="shared" si="3"/>
        <v>0</v>
      </c>
      <c r="O41" s="46">
        <f t="shared" si="3"/>
        <v>0</v>
      </c>
      <c r="P41" s="46">
        <f t="shared" si="3"/>
        <v>0</v>
      </c>
      <c r="Q41" s="46">
        <f t="shared" si="3"/>
        <v>0</v>
      </c>
      <c r="R41" s="46">
        <f t="shared" si="3"/>
        <v>0</v>
      </c>
      <c r="S41" s="46">
        <f t="shared" si="3"/>
        <v>0</v>
      </c>
      <c r="T41" s="46">
        <f t="shared" si="3"/>
        <v>0</v>
      </c>
      <c r="U41" s="47">
        <f t="shared" si="4"/>
        <v>0</v>
      </c>
      <c r="V41" s="47">
        <f t="shared" si="4"/>
        <v>0</v>
      </c>
      <c r="W41" s="47">
        <f t="shared" si="4"/>
        <v>0</v>
      </c>
      <c r="X41" s="47">
        <f t="shared" si="2"/>
        <v>0</v>
      </c>
    </row>
    <row r="42" spans="1:24" ht="20" customHeight="1" x14ac:dyDescent="0.35">
      <c r="A42" s="29"/>
      <c r="B42" s="30"/>
      <c r="C42" s="29"/>
      <c r="D42" s="31"/>
      <c r="E42" s="31"/>
      <c r="F42" s="31"/>
      <c r="G42" s="31"/>
      <c r="H42" s="32"/>
      <c r="I42" s="33"/>
      <c r="J42" s="34"/>
      <c r="L42" s="46">
        <f t="shared" si="3"/>
        <v>0</v>
      </c>
      <c r="M42" s="46">
        <f t="shared" si="3"/>
        <v>0</v>
      </c>
      <c r="N42" s="46">
        <f t="shared" si="3"/>
        <v>0</v>
      </c>
      <c r="O42" s="46">
        <f t="shared" si="3"/>
        <v>0</v>
      </c>
      <c r="P42" s="46">
        <f t="shared" si="3"/>
        <v>0</v>
      </c>
      <c r="Q42" s="46">
        <f t="shared" si="3"/>
        <v>0</v>
      </c>
      <c r="R42" s="46">
        <f t="shared" si="3"/>
        <v>0</v>
      </c>
      <c r="S42" s="46">
        <f t="shared" si="3"/>
        <v>0</v>
      </c>
      <c r="T42" s="46">
        <f t="shared" si="3"/>
        <v>0</v>
      </c>
      <c r="U42" s="47">
        <f t="shared" si="4"/>
        <v>0</v>
      </c>
      <c r="V42" s="47">
        <f t="shared" si="4"/>
        <v>0</v>
      </c>
      <c r="W42" s="47">
        <f t="shared" si="4"/>
        <v>0</v>
      </c>
      <c r="X42" s="47">
        <f t="shared" ref="X42:X73" si="5">O42+P42+T42</f>
        <v>0</v>
      </c>
    </row>
    <row r="43" spans="1:24" ht="20" customHeight="1" x14ac:dyDescent="0.35">
      <c r="A43" s="29"/>
      <c r="B43" s="30"/>
      <c r="C43" s="29"/>
      <c r="D43" s="31"/>
      <c r="E43" s="31"/>
      <c r="F43" s="31"/>
      <c r="G43" s="31"/>
      <c r="H43" s="32"/>
      <c r="I43" s="33"/>
      <c r="J43" s="34"/>
      <c r="L43" s="46">
        <f t="shared" si="3"/>
        <v>0</v>
      </c>
      <c r="M43" s="46">
        <f t="shared" si="3"/>
        <v>0</v>
      </c>
      <c r="N43" s="46">
        <f t="shared" si="3"/>
        <v>0</v>
      </c>
      <c r="O43" s="46">
        <f t="shared" si="3"/>
        <v>0</v>
      </c>
      <c r="P43" s="46">
        <f t="shared" si="3"/>
        <v>0</v>
      </c>
      <c r="Q43" s="46">
        <f t="shared" si="3"/>
        <v>0</v>
      </c>
      <c r="R43" s="46">
        <f t="shared" si="3"/>
        <v>0</v>
      </c>
      <c r="S43" s="46">
        <f t="shared" si="3"/>
        <v>0</v>
      </c>
      <c r="T43" s="46">
        <f t="shared" si="3"/>
        <v>0</v>
      </c>
      <c r="U43" s="47">
        <f t="shared" si="4"/>
        <v>0</v>
      </c>
      <c r="V43" s="47">
        <f t="shared" si="4"/>
        <v>0</v>
      </c>
      <c r="W43" s="47">
        <f t="shared" si="4"/>
        <v>0</v>
      </c>
      <c r="X43" s="47">
        <f t="shared" si="5"/>
        <v>0</v>
      </c>
    </row>
    <row r="44" spans="1:24" ht="20" customHeight="1" x14ac:dyDescent="0.35">
      <c r="A44" s="29"/>
      <c r="B44" s="30"/>
      <c r="C44" s="29"/>
      <c r="D44" s="31"/>
      <c r="E44" s="31"/>
      <c r="F44" s="31"/>
      <c r="G44" s="31"/>
      <c r="H44" s="32"/>
      <c r="I44" s="33"/>
      <c r="J44" s="34"/>
      <c r="L44" s="46">
        <f t="shared" si="3"/>
        <v>0</v>
      </c>
      <c r="M44" s="46">
        <f t="shared" si="3"/>
        <v>0</v>
      </c>
      <c r="N44" s="46">
        <f t="shared" si="3"/>
        <v>0</v>
      </c>
      <c r="O44" s="46">
        <f t="shared" si="3"/>
        <v>0</v>
      </c>
      <c r="P44" s="46">
        <f t="shared" si="3"/>
        <v>0</v>
      </c>
      <c r="Q44" s="46">
        <f t="shared" si="3"/>
        <v>0</v>
      </c>
      <c r="R44" s="46">
        <f t="shared" si="3"/>
        <v>0</v>
      </c>
      <c r="S44" s="46">
        <f t="shared" si="3"/>
        <v>0</v>
      </c>
      <c r="T44" s="46">
        <f t="shared" si="3"/>
        <v>0</v>
      </c>
      <c r="U44" s="47">
        <f t="shared" si="4"/>
        <v>0</v>
      </c>
      <c r="V44" s="47">
        <f t="shared" si="4"/>
        <v>0</v>
      </c>
      <c r="W44" s="47">
        <f t="shared" si="4"/>
        <v>0</v>
      </c>
      <c r="X44" s="47">
        <f t="shared" si="5"/>
        <v>0</v>
      </c>
    </row>
    <row r="45" spans="1:24" ht="42.75" customHeight="1" x14ac:dyDescent="0.35">
      <c r="A45" s="37"/>
      <c r="B45" s="38"/>
      <c r="C45" s="37"/>
      <c r="D45" s="39"/>
      <c r="E45" s="39"/>
      <c r="F45" s="39"/>
      <c r="G45" s="39"/>
      <c r="H45" s="40"/>
      <c r="I45" s="41"/>
      <c r="J45" s="42"/>
      <c r="L45" s="46">
        <f t="shared" ref="L45:T73" si="6">IFERROR(B46-B45,0)</f>
        <v>0</v>
      </c>
      <c r="M45" s="46">
        <f t="shared" si="6"/>
        <v>0</v>
      </c>
      <c r="N45" s="46">
        <f t="shared" si="6"/>
        <v>0</v>
      </c>
      <c r="O45" s="46">
        <f t="shared" si="6"/>
        <v>0</v>
      </c>
      <c r="P45" s="46">
        <f t="shared" si="6"/>
        <v>0</v>
      </c>
      <c r="Q45" s="46">
        <f t="shared" si="6"/>
        <v>0</v>
      </c>
      <c r="R45" s="46">
        <f t="shared" si="6"/>
        <v>0</v>
      </c>
      <c r="S45" s="46">
        <f t="shared" si="6"/>
        <v>0</v>
      </c>
      <c r="T45" s="46">
        <f t="shared" si="6"/>
        <v>0</v>
      </c>
      <c r="U45" s="47">
        <f t="shared" ref="U45:W108" si="7">L45+Q45</f>
        <v>0</v>
      </c>
      <c r="V45" s="47">
        <f t="shared" si="7"/>
        <v>0</v>
      </c>
      <c r="W45" s="47">
        <f t="shared" si="7"/>
        <v>0</v>
      </c>
      <c r="X45" s="47">
        <f t="shared" si="5"/>
        <v>0</v>
      </c>
    </row>
    <row r="46" spans="1:24" ht="20" customHeight="1" x14ac:dyDescent="0.35">
      <c r="A46" s="29"/>
      <c r="B46" s="30"/>
      <c r="C46" s="29"/>
      <c r="D46" s="31"/>
      <c r="E46" s="31"/>
      <c r="F46" s="31"/>
      <c r="G46" s="31"/>
      <c r="H46" s="29"/>
      <c r="I46" s="31"/>
      <c r="J46" s="34"/>
      <c r="L46" s="46">
        <f t="shared" si="6"/>
        <v>0</v>
      </c>
      <c r="M46" s="46">
        <f t="shared" si="6"/>
        <v>0</v>
      </c>
      <c r="N46" s="46">
        <f t="shared" si="6"/>
        <v>0</v>
      </c>
      <c r="O46" s="46">
        <f t="shared" si="6"/>
        <v>0</v>
      </c>
      <c r="P46" s="46">
        <f t="shared" si="6"/>
        <v>0</v>
      </c>
      <c r="Q46" s="46">
        <f t="shared" si="6"/>
        <v>0</v>
      </c>
      <c r="R46" s="46">
        <f t="shared" si="6"/>
        <v>0</v>
      </c>
      <c r="S46" s="46">
        <f t="shared" si="6"/>
        <v>0</v>
      </c>
      <c r="T46" s="46">
        <f t="shared" si="6"/>
        <v>0</v>
      </c>
      <c r="U46" s="47">
        <f t="shared" si="7"/>
        <v>0</v>
      </c>
      <c r="V46" s="47">
        <f t="shared" si="7"/>
        <v>0</v>
      </c>
      <c r="W46" s="47">
        <f t="shared" si="7"/>
        <v>0</v>
      </c>
      <c r="X46" s="47">
        <f t="shared" si="5"/>
        <v>0</v>
      </c>
    </row>
    <row r="47" spans="1:24" ht="20" customHeight="1" x14ac:dyDescent="0.35">
      <c r="A47" s="29"/>
      <c r="B47" s="30"/>
      <c r="C47" s="29"/>
      <c r="D47" s="31"/>
      <c r="E47" s="31"/>
      <c r="F47" s="31"/>
      <c r="G47" s="31"/>
      <c r="H47" s="29"/>
      <c r="I47" s="31"/>
      <c r="J47" s="34"/>
      <c r="L47" s="46">
        <f t="shared" si="6"/>
        <v>0</v>
      </c>
      <c r="M47" s="46">
        <f t="shared" si="6"/>
        <v>0</v>
      </c>
      <c r="N47" s="46">
        <f t="shared" si="6"/>
        <v>0</v>
      </c>
      <c r="O47" s="46">
        <f t="shared" si="6"/>
        <v>0</v>
      </c>
      <c r="P47" s="46">
        <f t="shared" si="6"/>
        <v>0</v>
      </c>
      <c r="Q47" s="46">
        <f t="shared" si="6"/>
        <v>0</v>
      </c>
      <c r="R47" s="46">
        <f t="shared" si="6"/>
        <v>0</v>
      </c>
      <c r="S47" s="46">
        <f t="shared" si="6"/>
        <v>0</v>
      </c>
      <c r="T47" s="46">
        <f t="shared" si="6"/>
        <v>0</v>
      </c>
      <c r="U47" s="47">
        <f t="shared" si="7"/>
        <v>0</v>
      </c>
      <c r="V47" s="47">
        <f t="shared" si="7"/>
        <v>0</v>
      </c>
      <c r="W47" s="47">
        <f t="shared" si="7"/>
        <v>0</v>
      </c>
      <c r="X47" s="47">
        <f t="shared" si="5"/>
        <v>0</v>
      </c>
    </row>
    <row r="48" spans="1:24" ht="20" customHeight="1" x14ac:dyDescent="0.35">
      <c r="A48" s="29"/>
      <c r="B48" s="30"/>
      <c r="C48" s="29"/>
      <c r="D48" s="31"/>
      <c r="E48" s="31"/>
      <c r="F48" s="31"/>
      <c r="G48" s="31"/>
      <c r="H48" s="29"/>
      <c r="I48" s="31"/>
      <c r="J48" s="34"/>
      <c r="L48" s="46">
        <f t="shared" si="6"/>
        <v>0</v>
      </c>
      <c r="M48" s="46">
        <f t="shared" si="6"/>
        <v>0</v>
      </c>
      <c r="N48" s="46">
        <f t="shared" si="6"/>
        <v>0</v>
      </c>
      <c r="O48" s="46">
        <f t="shared" si="6"/>
        <v>0</v>
      </c>
      <c r="P48" s="46">
        <f t="shared" si="6"/>
        <v>0</v>
      </c>
      <c r="Q48" s="46">
        <f t="shared" si="6"/>
        <v>0</v>
      </c>
      <c r="R48" s="46">
        <f t="shared" si="6"/>
        <v>0</v>
      </c>
      <c r="S48" s="46">
        <f t="shared" si="6"/>
        <v>0</v>
      </c>
      <c r="T48" s="46">
        <f t="shared" si="6"/>
        <v>0</v>
      </c>
      <c r="U48" s="47">
        <f t="shared" si="7"/>
        <v>0</v>
      </c>
      <c r="V48" s="47">
        <f t="shared" si="7"/>
        <v>0</v>
      </c>
      <c r="W48" s="47">
        <f t="shared" si="7"/>
        <v>0</v>
      </c>
      <c r="X48" s="47">
        <f t="shared" si="5"/>
        <v>0</v>
      </c>
    </row>
    <row r="49" spans="1:24" ht="20" customHeight="1" x14ac:dyDescent="0.35">
      <c r="A49" s="29"/>
      <c r="B49" s="30"/>
      <c r="C49" s="29"/>
      <c r="D49" s="31"/>
      <c r="E49" s="31"/>
      <c r="F49" s="31"/>
      <c r="G49" s="31"/>
      <c r="H49" s="29"/>
      <c r="I49" s="31"/>
      <c r="J49" s="34"/>
      <c r="L49" s="46">
        <f t="shared" si="6"/>
        <v>0</v>
      </c>
      <c r="M49" s="46">
        <f t="shared" si="6"/>
        <v>0</v>
      </c>
      <c r="N49" s="46">
        <f t="shared" si="6"/>
        <v>0</v>
      </c>
      <c r="O49" s="46">
        <f t="shared" si="6"/>
        <v>0</v>
      </c>
      <c r="P49" s="46">
        <f t="shared" si="6"/>
        <v>0</v>
      </c>
      <c r="Q49" s="46">
        <f t="shared" si="6"/>
        <v>0</v>
      </c>
      <c r="R49" s="46">
        <f t="shared" si="6"/>
        <v>0</v>
      </c>
      <c r="S49" s="46">
        <f t="shared" si="6"/>
        <v>0</v>
      </c>
      <c r="T49" s="46">
        <f t="shared" si="6"/>
        <v>0</v>
      </c>
      <c r="U49" s="47">
        <f t="shared" si="7"/>
        <v>0</v>
      </c>
      <c r="V49" s="47">
        <f t="shared" si="7"/>
        <v>0</v>
      </c>
      <c r="W49" s="47">
        <f t="shared" si="7"/>
        <v>0</v>
      </c>
      <c r="X49" s="47">
        <f t="shared" si="5"/>
        <v>0</v>
      </c>
    </row>
    <row r="50" spans="1:24" ht="20" customHeight="1" x14ac:dyDescent="0.35">
      <c r="A50" s="29"/>
      <c r="B50" s="30"/>
      <c r="C50" s="29"/>
      <c r="D50" s="31"/>
      <c r="E50" s="31"/>
      <c r="F50" s="31"/>
      <c r="G50" s="31"/>
      <c r="H50" s="29"/>
      <c r="I50" s="31"/>
      <c r="J50" s="34"/>
      <c r="L50" s="46">
        <f t="shared" si="6"/>
        <v>0</v>
      </c>
      <c r="M50" s="46">
        <f t="shared" si="6"/>
        <v>0</v>
      </c>
      <c r="N50" s="46">
        <f t="shared" si="6"/>
        <v>0</v>
      </c>
      <c r="O50" s="46">
        <f t="shared" si="6"/>
        <v>0</v>
      </c>
      <c r="P50" s="46">
        <f t="shared" si="6"/>
        <v>0</v>
      </c>
      <c r="Q50" s="46">
        <f t="shared" si="6"/>
        <v>0</v>
      </c>
      <c r="R50" s="46">
        <f t="shared" si="6"/>
        <v>0</v>
      </c>
      <c r="S50" s="46">
        <f t="shared" si="6"/>
        <v>0</v>
      </c>
      <c r="T50" s="46">
        <f t="shared" si="6"/>
        <v>0</v>
      </c>
      <c r="U50" s="47">
        <f t="shared" si="7"/>
        <v>0</v>
      </c>
      <c r="V50" s="47">
        <f t="shared" si="7"/>
        <v>0</v>
      </c>
      <c r="W50" s="47">
        <f t="shared" si="7"/>
        <v>0</v>
      </c>
      <c r="X50" s="47">
        <f t="shared" si="5"/>
        <v>0</v>
      </c>
    </row>
    <row r="51" spans="1:24" ht="20" customHeight="1" x14ac:dyDescent="0.35">
      <c r="A51" s="29"/>
      <c r="B51" s="30"/>
      <c r="C51" s="29"/>
      <c r="D51" s="31"/>
      <c r="E51" s="31"/>
      <c r="F51" s="31"/>
      <c r="G51" s="31"/>
      <c r="H51" s="29"/>
      <c r="I51" s="31"/>
      <c r="J51" s="34"/>
      <c r="L51" s="46">
        <f t="shared" si="6"/>
        <v>0</v>
      </c>
      <c r="M51" s="46">
        <f t="shared" si="6"/>
        <v>0</v>
      </c>
      <c r="N51" s="46">
        <f t="shared" si="6"/>
        <v>0</v>
      </c>
      <c r="O51" s="46">
        <f t="shared" si="6"/>
        <v>0</v>
      </c>
      <c r="P51" s="46">
        <f t="shared" si="6"/>
        <v>0</v>
      </c>
      <c r="Q51" s="46">
        <f t="shared" si="6"/>
        <v>0</v>
      </c>
      <c r="R51" s="46">
        <f t="shared" si="6"/>
        <v>0</v>
      </c>
      <c r="S51" s="46">
        <f t="shared" si="6"/>
        <v>0</v>
      </c>
      <c r="T51" s="46">
        <f t="shared" si="6"/>
        <v>0</v>
      </c>
      <c r="U51" s="47">
        <f t="shared" si="7"/>
        <v>0</v>
      </c>
      <c r="V51" s="47">
        <f t="shared" si="7"/>
        <v>0</v>
      </c>
      <c r="W51" s="47">
        <f t="shared" si="7"/>
        <v>0</v>
      </c>
      <c r="X51" s="47">
        <f t="shared" si="5"/>
        <v>0</v>
      </c>
    </row>
    <row r="52" spans="1:24" ht="20" customHeight="1" x14ac:dyDescent="0.35">
      <c r="A52" s="29"/>
      <c r="B52" s="30"/>
      <c r="C52" s="29"/>
      <c r="D52" s="31"/>
      <c r="E52" s="31"/>
      <c r="F52" s="31"/>
      <c r="G52" s="31"/>
      <c r="H52" s="29"/>
      <c r="I52" s="31"/>
      <c r="J52" s="34"/>
      <c r="L52" s="46">
        <f t="shared" si="6"/>
        <v>0</v>
      </c>
      <c r="M52" s="46">
        <f t="shared" si="6"/>
        <v>0</v>
      </c>
      <c r="N52" s="46">
        <f t="shared" si="6"/>
        <v>0</v>
      </c>
      <c r="O52" s="46">
        <f t="shared" si="6"/>
        <v>0</v>
      </c>
      <c r="P52" s="46">
        <f t="shared" si="6"/>
        <v>0</v>
      </c>
      <c r="Q52" s="46">
        <f t="shared" si="6"/>
        <v>0</v>
      </c>
      <c r="R52" s="46">
        <f t="shared" si="6"/>
        <v>0</v>
      </c>
      <c r="S52" s="46">
        <f t="shared" si="6"/>
        <v>0</v>
      </c>
      <c r="T52" s="46">
        <f t="shared" si="6"/>
        <v>0</v>
      </c>
      <c r="U52" s="47">
        <f t="shared" si="7"/>
        <v>0</v>
      </c>
      <c r="V52" s="47">
        <f t="shared" si="7"/>
        <v>0</v>
      </c>
      <c r="W52" s="47">
        <f t="shared" si="7"/>
        <v>0</v>
      </c>
      <c r="X52" s="47">
        <f t="shared" si="5"/>
        <v>0</v>
      </c>
    </row>
    <row r="53" spans="1:24" ht="20" customHeight="1" x14ac:dyDescent="0.35">
      <c r="A53" s="29"/>
      <c r="B53" s="30"/>
      <c r="C53" s="29"/>
      <c r="D53" s="31"/>
      <c r="E53" s="31"/>
      <c r="F53" s="31"/>
      <c r="G53" s="31"/>
      <c r="H53" s="29"/>
      <c r="I53" s="31"/>
      <c r="J53" s="34"/>
      <c r="L53" s="46">
        <f t="shared" si="6"/>
        <v>0</v>
      </c>
      <c r="M53" s="46">
        <f t="shared" si="6"/>
        <v>0</v>
      </c>
      <c r="N53" s="46">
        <f t="shared" si="6"/>
        <v>0</v>
      </c>
      <c r="O53" s="46">
        <f t="shared" si="6"/>
        <v>0</v>
      </c>
      <c r="P53" s="46">
        <f t="shared" si="6"/>
        <v>0</v>
      </c>
      <c r="Q53" s="46">
        <f t="shared" si="6"/>
        <v>0</v>
      </c>
      <c r="R53" s="46">
        <f t="shared" si="6"/>
        <v>0</v>
      </c>
      <c r="S53" s="46">
        <f t="shared" si="6"/>
        <v>0</v>
      </c>
      <c r="T53" s="46">
        <f t="shared" si="6"/>
        <v>0</v>
      </c>
      <c r="U53" s="47">
        <f t="shared" si="7"/>
        <v>0</v>
      </c>
      <c r="V53" s="47">
        <f t="shared" si="7"/>
        <v>0</v>
      </c>
      <c r="W53" s="47">
        <f t="shared" si="7"/>
        <v>0</v>
      </c>
      <c r="X53" s="47">
        <f t="shared" si="5"/>
        <v>0</v>
      </c>
    </row>
    <row r="54" spans="1:24" ht="20" customHeight="1" x14ac:dyDescent="0.35">
      <c r="A54" s="29"/>
      <c r="B54" s="30"/>
      <c r="C54" s="29"/>
      <c r="D54" s="31"/>
      <c r="E54" s="31"/>
      <c r="F54" s="31"/>
      <c r="G54" s="31"/>
      <c r="H54" s="29"/>
      <c r="I54" s="31"/>
      <c r="J54" s="34"/>
      <c r="L54" s="46">
        <f t="shared" si="6"/>
        <v>0</v>
      </c>
      <c r="M54" s="46">
        <f t="shared" si="6"/>
        <v>0</v>
      </c>
      <c r="N54" s="46">
        <f t="shared" si="6"/>
        <v>0</v>
      </c>
      <c r="O54" s="46">
        <f t="shared" si="6"/>
        <v>0</v>
      </c>
      <c r="P54" s="46">
        <f t="shared" si="6"/>
        <v>0</v>
      </c>
      <c r="Q54" s="46">
        <f t="shared" si="6"/>
        <v>0</v>
      </c>
      <c r="R54" s="46">
        <f t="shared" si="6"/>
        <v>0</v>
      </c>
      <c r="S54" s="46">
        <f t="shared" si="6"/>
        <v>0</v>
      </c>
      <c r="T54" s="46">
        <f t="shared" si="6"/>
        <v>0</v>
      </c>
      <c r="U54" s="47">
        <f t="shared" si="7"/>
        <v>0</v>
      </c>
      <c r="V54" s="47">
        <f t="shared" si="7"/>
        <v>0</v>
      </c>
      <c r="W54" s="47">
        <f t="shared" si="7"/>
        <v>0</v>
      </c>
      <c r="X54" s="47">
        <f t="shared" si="5"/>
        <v>0</v>
      </c>
    </row>
    <row r="55" spans="1:24" ht="20" customHeight="1" x14ac:dyDescent="0.35">
      <c r="A55" s="29"/>
      <c r="B55" s="30"/>
      <c r="C55" s="29"/>
      <c r="D55" s="31"/>
      <c r="E55" s="31"/>
      <c r="F55" s="31"/>
      <c r="G55" s="31"/>
      <c r="H55" s="29"/>
      <c r="I55" s="31"/>
      <c r="J55" s="34"/>
      <c r="L55" s="46">
        <f t="shared" si="6"/>
        <v>0</v>
      </c>
      <c r="M55" s="46">
        <f t="shared" si="6"/>
        <v>0</v>
      </c>
      <c r="N55" s="46">
        <f t="shared" si="6"/>
        <v>0</v>
      </c>
      <c r="O55" s="46">
        <f t="shared" si="6"/>
        <v>0</v>
      </c>
      <c r="P55" s="46">
        <f t="shared" si="6"/>
        <v>0</v>
      </c>
      <c r="Q55" s="46">
        <f t="shared" si="6"/>
        <v>0</v>
      </c>
      <c r="R55" s="46">
        <f t="shared" si="6"/>
        <v>0</v>
      </c>
      <c r="S55" s="46">
        <f t="shared" si="6"/>
        <v>0</v>
      </c>
      <c r="T55" s="46">
        <f t="shared" si="6"/>
        <v>0</v>
      </c>
      <c r="U55" s="47">
        <f t="shared" si="7"/>
        <v>0</v>
      </c>
      <c r="V55" s="47">
        <f t="shared" si="7"/>
        <v>0</v>
      </c>
      <c r="W55" s="47">
        <f t="shared" si="7"/>
        <v>0</v>
      </c>
      <c r="X55" s="47">
        <f t="shared" si="5"/>
        <v>0</v>
      </c>
    </row>
    <row r="56" spans="1:24" ht="20" customHeight="1" x14ac:dyDescent="0.35">
      <c r="A56" s="29"/>
      <c r="B56" s="30"/>
      <c r="C56" s="29"/>
      <c r="D56" s="31"/>
      <c r="E56" s="31"/>
      <c r="F56" s="31"/>
      <c r="G56" s="31"/>
      <c r="H56" s="29"/>
      <c r="I56" s="31"/>
      <c r="J56" s="34"/>
      <c r="L56" s="46">
        <f t="shared" si="6"/>
        <v>0</v>
      </c>
      <c r="M56" s="46">
        <f t="shared" si="6"/>
        <v>0</v>
      </c>
      <c r="N56" s="46">
        <f t="shared" si="6"/>
        <v>0</v>
      </c>
      <c r="O56" s="46">
        <f t="shared" si="6"/>
        <v>0</v>
      </c>
      <c r="P56" s="46">
        <f t="shared" si="6"/>
        <v>0</v>
      </c>
      <c r="Q56" s="46">
        <f t="shared" si="6"/>
        <v>0</v>
      </c>
      <c r="R56" s="46">
        <f t="shared" si="6"/>
        <v>0</v>
      </c>
      <c r="S56" s="46">
        <f t="shared" si="6"/>
        <v>0</v>
      </c>
      <c r="T56" s="46">
        <f t="shared" si="6"/>
        <v>0</v>
      </c>
      <c r="U56" s="47">
        <f t="shared" si="7"/>
        <v>0</v>
      </c>
      <c r="V56" s="47">
        <f t="shared" si="7"/>
        <v>0</v>
      </c>
      <c r="W56" s="47">
        <f t="shared" si="7"/>
        <v>0</v>
      </c>
      <c r="X56" s="47">
        <f t="shared" si="5"/>
        <v>0</v>
      </c>
    </row>
    <row r="57" spans="1:24" ht="20" customHeight="1" x14ac:dyDescent="0.35">
      <c r="A57" s="29"/>
      <c r="B57" s="30"/>
      <c r="C57" s="31"/>
      <c r="D57" s="31"/>
      <c r="E57" s="31"/>
      <c r="F57" s="31"/>
      <c r="G57" s="31"/>
      <c r="H57" s="31"/>
      <c r="I57" s="31"/>
      <c r="J57" s="34"/>
      <c r="L57" s="46">
        <f t="shared" si="6"/>
        <v>0</v>
      </c>
      <c r="M57" s="46">
        <f t="shared" si="6"/>
        <v>0</v>
      </c>
      <c r="N57" s="46">
        <f t="shared" si="6"/>
        <v>0</v>
      </c>
      <c r="O57" s="46">
        <f t="shared" si="6"/>
        <v>0</v>
      </c>
      <c r="P57" s="46">
        <f t="shared" si="6"/>
        <v>0</v>
      </c>
      <c r="Q57" s="46">
        <f t="shared" si="6"/>
        <v>0</v>
      </c>
      <c r="R57" s="46">
        <f t="shared" si="6"/>
        <v>0</v>
      </c>
      <c r="S57" s="46">
        <f t="shared" si="6"/>
        <v>0</v>
      </c>
      <c r="T57" s="46">
        <f t="shared" si="6"/>
        <v>0</v>
      </c>
      <c r="U57" s="47">
        <f t="shared" si="7"/>
        <v>0</v>
      </c>
      <c r="V57" s="47">
        <f t="shared" si="7"/>
        <v>0</v>
      </c>
      <c r="W57" s="47">
        <f t="shared" si="7"/>
        <v>0</v>
      </c>
      <c r="X57" s="47">
        <f t="shared" si="5"/>
        <v>0</v>
      </c>
    </row>
    <row r="58" spans="1:24" ht="20" customHeight="1" x14ac:dyDescent="0.35">
      <c r="A58" s="29"/>
      <c r="B58" s="30"/>
      <c r="C58" s="31"/>
      <c r="D58" s="31"/>
      <c r="E58" s="31"/>
      <c r="F58" s="31"/>
      <c r="G58" s="31"/>
      <c r="H58" s="31"/>
      <c r="I58" s="31"/>
      <c r="J58" s="34"/>
      <c r="L58" s="46">
        <f t="shared" si="6"/>
        <v>0</v>
      </c>
      <c r="M58" s="46">
        <f t="shared" si="6"/>
        <v>0</v>
      </c>
      <c r="N58" s="46">
        <f t="shared" si="6"/>
        <v>0</v>
      </c>
      <c r="O58" s="46">
        <f t="shared" si="6"/>
        <v>0</v>
      </c>
      <c r="P58" s="46">
        <f t="shared" si="6"/>
        <v>0</v>
      </c>
      <c r="Q58" s="46">
        <f t="shared" si="6"/>
        <v>0</v>
      </c>
      <c r="R58" s="46">
        <f t="shared" si="6"/>
        <v>0</v>
      </c>
      <c r="S58" s="46">
        <f t="shared" si="6"/>
        <v>0</v>
      </c>
      <c r="T58" s="46">
        <f t="shared" si="6"/>
        <v>0</v>
      </c>
      <c r="U58" s="47">
        <f t="shared" si="7"/>
        <v>0</v>
      </c>
      <c r="V58" s="47">
        <f t="shared" si="7"/>
        <v>0</v>
      </c>
      <c r="W58" s="47">
        <f t="shared" si="7"/>
        <v>0</v>
      </c>
      <c r="X58" s="47">
        <f t="shared" si="5"/>
        <v>0</v>
      </c>
    </row>
    <row r="59" spans="1:24" ht="20" customHeight="1" x14ac:dyDescent="0.35">
      <c r="A59" s="29"/>
      <c r="B59" s="30"/>
      <c r="C59" s="31"/>
      <c r="D59" s="31"/>
      <c r="E59" s="31"/>
      <c r="F59" s="31"/>
      <c r="G59" s="31"/>
      <c r="H59" s="31"/>
      <c r="I59" s="31"/>
      <c r="J59" s="34"/>
      <c r="L59" s="46">
        <f t="shared" si="6"/>
        <v>0</v>
      </c>
      <c r="M59" s="46">
        <f t="shared" si="6"/>
        <v>0</v>
      </c>
      <c r="N59" s="46">
        <f t="shared" si="6"/>
        <v>0</v>
      </c>
      <c r="O59" s="46">
        <f t="shared" si="6"/>
        <v>0</v>
      </c>
      <c r="P59" s="46">
        <f t="shared" si="6"/>
        <v>0</v>
      </c>
      <c r="Q59" s="46">
        <f t="shared" si="6"/>
        <v>0</v>
      </c>
      <c r="R59" s="46">
        <f t="shared" si="6"/>
        <v>0</v>
      </c>
      <c r="S59" s="46">
        <f t="shared" si="6"/>
        <v>0</v>
      </c>
      <c r="T59" s="46">
        <f t="shared" si="6"/>
        <v>0</v>
      </c>
      <c r="U59" s="47">
        <f t="shared" si="7"/>
        <v>0</v>
      </c>
      <c r="V59" s="47">
        <f t="shared" si="7"/>
        <v>0</v>
      </c>
      <c r="W59" s="47">
        <f t="shared" si="7"/>
        <v>0</v>
      </c>
      <c r="X59" s="47">
        <f t="shared" si="5"/>
        <v>0</v>
      </c>
    </row>
    <row r="60" spans="1:24" ht="20" customHeight="1" x14ac:dyDescent="0.35">
      <c r="A60" s="29"/>
      <c r="B60" s="30"/>
      <c r="C60" s="31"/>
      <c r="D60" s="31"/>
      <c r="E60" s="31"/>
      <c r="F60" s="31"/>
      <c r="G60" s="31"/>
      <c r="H60" s="31"/>
      <c r="I60" s="31"/>
      <c r="J60" s="34"/>
      <c r="L60" s="46">
        <f t="shared" si="6"/>
        <v>0</v>
      </c>
      <c r="M60" s="46">
        <f t="shared" si="6"/>
        <v>0</v>
      </c>
      <c r="N60" s="46">
        <f t="shared" si="6"/>
        <v>0</v>
      </c>
      <c r="O60" s="46">
        <f t="shared" si="6"/>
        <v>0</v>
      </c>
      <c r="P60" s="46">
        <f t="shared" si="6"/>
        <v>0</v>
      </c>
      <c r="Q60" s="46">
        <f t="shared" si="6"/>
        <v>0</v>
      </c>
      <c r="R60" s="46">
        <f t="shared" si="6"/>
        <v>0</v>
      </c>
      <c r="S60" s="46">
        <f t="shared" si="6"/>
        <v>0</v>
      </c>
      <c r="T60" s="46">
        <f t="shared" si="6"/>
        <v>0</v>
      </c>
      <c r="U60" s="47">
        <f t="shared" si="7"/>
        <v>0</v>
      </c>
      <c r="V60" s="47">
        <f t="shared" si="7"/>
        <v>0</v>
      </c>
      <c r="W60" s="47">
        <f t="shared" si="7"/>
        <v>0</v>
      </c>
      <c r="X60" s="47">
        <f t="shared" si="5"/>
        <v>0</v>
      </c>
    </row>
    <row r="61" spans="1:24" ht="20" customHeight="1" x14ac:dyDescent="0.35">
      <c r="A61" s="29"/>
      <c r="B61" s="30"/>
      <c r="C61" s="31"/>
      <c r="D61" s="31"/>
      <c r="E61" s="31"/>
      <c r="F61" s="31"/>
      <c r="G61" s="31"/>
      <c r="H61" s="31"/>
      <c r="I61" s="31"/>
      <c r="J61" s="34"/>
      <c r="L61" s="46">
        <f t="shared" si="6"/>
        <v>0</v>
      </c>
      <c r="M61" s="46">
        <f t="shared" si="6"/>
        <v>0</v>
      </c>
      <c r="N61" s="46">
        <f t="shared" si="6"/>
        <v>0</v>
      </c>
      <c r="O61" s="46">
        <f t="shared" si="6"/>
        <v>0</v>
      </c>
      <c r="P61" s="46">
        <f t="shared" si="6"/>
        <v>0</v>
      </c>
      <c r="Q61" s="46">
        <f t="shared" si="6"/>
        <v>0</v>
      </c>
      <c r="R61" s="46">
        <f t="shared" si="6"/>
        <v>0</v>
      </c>
      <c r="S61" s="46">
        <f t="shared" si="6"/>
        <v>0</v>
      </c>
      <c r="T61" s="46">
        <f t="shared" si="6"/>
        <v>0</v>
      </c>
      <c r="U61" s="47">
        <f t="shared" si="7"/>
        <v>0</v>
      </c>
      <c r="V61" s="47">
        <f t="shared" si="7"/>
        <v>0</v>
      </c>
      <c r="W61" s="47">
        <f t="shared" si="7"/>
        <v>0</v>
      </c>
      <c r="X61" s="47">
        <f t="shared" si="5"/>
        <v>0</v>
      </c>
    </row>
    <row r="62" spans="1:24" ht="20" customHeight="1" x14ac:dyDescent="0.35">
      <c r="A62" s="29"/>
      <c r="B62" s="30"/>
      <c r="C62" s="31"/>
      <c r="D62" s="31"/>
      <c r="E62" s="31"/>
      <c r="F62" s="31"/>
      <c r="G62" s="31"/>
      <c r="H62" s="31"/>
      <c r="I62" s="31"/>
      <c r="J62" s="34"/>
      <c r="L62" s="46">
        <f t="shared" si="6"/>
        <v>0</v>
      </c>
      <c r="M62" s="46">
        <f t="shared" si="6"/>
        <v>0</v>
      </c>
      <c r="N62" s="46">
        <f t="shared" si="6"/>
        <v>0</v>
      </c>
      <c r="O62" s="46">
        <f t="shared" si="6"/>
        <v>0</v>
      </c>
      <c r="P62" s="46">
        <f t="shared" si="6"/>
        <v>0</v>
      </c>
      <c r="Q62" s="46">
        <f t="shared" si="6"/>
        <v>0</v>
      </c>
      <c r="R62" s="46">
        <f t="shared" si="6"/>
        <v>0</v>
      </c>
      <c r="S62" s="46">
        <f t="shared" si="6"/>
        <v>0</v>
      </c>
      <c r="T62" s="46">
        <f t="shared" si="6"/>
        <v>0</v>
      </c>
      <c r="U62" s="47">
        <f t="shared" si="7"/>
        <v>0</v>
      </c>
      <c r="V62" s="47">
        <f t="shared" si="7"/>
        <v>0</v>
      </c>
      <c r="W62" s="47">
        <f t="shared" si="7"/>
        <v>0</v>
      </c>
      <c r="X62" s="47">
        <f t="shared" si="5"/>
        <v>0</v>
      </c>
    </row>
    <row r="63" spans="1:24" ht="16.75" customHeight="1" x14ac:dyDescent="0.35">
      <c r="A63" s="29"/>
      <c r="B63" s="30"/>
      <c r="C63" s="31"/>
      <c r="D63" s="31"/>
      <c r="E63" s="31"/>
      <c r="F63" s="31"/>
      <c r="G63" s="31"/>
      <c r="H63" s="31"/>
      <c r="I63" s="31"/>
      <c r="J63" s="34"/>
      <c r="L63" s="46">
        <f t="shared" si="6"/>
        <v>0</v>
      </c>
      <c r="M63" s="46">
        <f t="shared" si="6"/>
        <v>0</v>
      </c>
      <c r="N63" s="46">
        <f t="shared" si="6"/>
        <v>0</v>
      </c>
      <c r="O63" s="46">
        <f t="shared" si="6"/>
        <v>0</v>
      </c>
      <c r="P63" s="46">
        <f t="shared" si="6"/>
        <v>0</v>
      </c>
      <c r="Q63" s="46">
        <f t="shared" si="6"/>
        <v>0</v>
      </c>
      <c r="R63" s="46">
        <f t="shared" si="6"/>
        <v>0</v>
      </c>
      <c r="S63" s="46">
        <f t="shared" si="6"/>
        <v>0</v>
      </c>
      <c r="T63" s="46">
        <f t="shared" si="6"/>
        <v>0</v>
      </c>
      <c r="U63" s="47">
        <f t="shared" si="7"/>
        <v>0</v>
      </c>
      <c r="V63" s="47">
        <f t="shared" si="7"/>
        <v>0</v>
      </c>
      <c r="W63" s="47">
        <f t="shared" si="7"/>
        <v>0</v>
      </c>
      <c r="X63" s="47">
        <f t="shared" si="5"/>
        <v>0</v>
      </c>
    </row>
    <row r="64" spans="1:24" ht="20" customHeight="1" x14ac:dyDescent="0.35">
      <c r="A64" s="29"/>
      <c r="B64" s="30"/>
      <c r="C64" s="31"/>
      <c r="D64" s="31"/>
      <c r="E64" s="31"/>
      <c r="F64" s="31"/>
      <c r="G64" s="31"/>
      <c r="H64" s="31"/>
      <c r="I64" s="31"/>
      <c r="J64" s="34"/>
      <c r="L64" s="46">
        <f t="shared" si="6"/>
        <v>0</v>
      </c>
      <c r="M64" s="46">
        <f t="shared" si="6"/>
        <v>0</v>
      </c>
      <c r="N64" s="46">
        <f t="shared" si="6"/>
        <v>0</v>
      </c>
      <c r="O64" s="46">
        <f t="shared" si="6"/>
        <v>0</v>
      </c>
      <c r="P64" s="46">
        <f t="shared" si="6"/>
        <v>0</v>
      </c>
      <c r="Q64" s="46">
        <f t="shared" si="6"/>
        <v>0</v>
      </c>
      <c r="R64" s="46">
        <f t="shared" si="6"/>
        <v>0</v>
      </c>
      <c r="S64" s="46">
        <f t="shared" si="6"/>
        <v>0</v>
      </c>
      <c r="T64" s="46">
        <f t="shared" si="6"/>
        <v>0</v>
      </c>
      <c r="U64" s="47">
        <f t="shared" si="7"/>
        <v>0</v>
      </c>
      <c r="V64" s="47">
        <f t="shared" si="7"/>
        <v>0</v>
      </c>
      <c r="W64" s="47">
        <f t="shared" si="7"/>
        <v>0</v>
      </c>
      <c r="X64" s="47">
        <f t="shared" si="5"/>
        <v>0</v>
      </c>
    </row>
    <row r="65" spans="1:24" ht="20" customHeight="1" x14ac:dyDescent="0.35">
      <c r="A65" s="29"/>
      <c r="B65" s="30"/>
      <c r="C65" s="31"/>
      <c r="D65" s="31"/>
      <c r="E65" s="31"/>
      <c r="F65" s="31"/>
      <c r="G65" s="31"/>
      <c r="H65" s="31"/>
      <c r="I65" s="31"/>
      <c r="J65" s="34"/>
      <c r="L65" s="46">
        <f t="shared" si="6"/>
        <v>0</v>
      </c>
      <c r="M65" s="46">
        <f t="shared" si="6"/>
        <v>0</v>
      </c>
      <c r="N65" s="46">
        <f t="shared" si="6"/>
        <v>0</v>
      </c>
      <c r="O65" s="46">
        <f t="shared" si="6"/>
        <v>0</v>
      </c>
      <c r="P65" s="46">
        <f t="shared" si="6"/>
        <v>0</v>
      </c>
      <c r="Q65" s="46">
        <f t="shared" si="6"/>
        <v>0</v>
      </c>
      <c r="R65" s="46">
        <f t="shared" si="6"/>
        <v>0</v>
      </c>
      <c r="S65" s="46">
        <f t="shared" si="6"/>
        <v>0</v>
      </c>
      <c r="T65" s="46">
        <f t="shared" si="6"/>
        <v>0</v>
      </c>
      <c r="U65" s="47">
        <f t="shared" si="7"/>
        <v>0</v>
      </c>
      <c r="V65" s="47">
        <f t="shared" si="7"/>
        <v>0</v>
      </c>
      <c r="W65" s="47">
        <f t="shared" si="7"/>
        <v>0</v>
      </c>
      <c r="X65" s="47">
        <f t="shared" si="5"/>
        <v>0</v>
      </c>
    </row>
    <row r="66" spans="1:24" ht="20" customHeight="1" x14ac:dyDescent="0.35">
      <c r="A66" s="29"/>
      <c r="B66" s="30"/>
      <c r="C66" s="31"/>
      <c r="D66" s="31"/>
      <c r="E66" s="31"/>
      <c r="F66" s="31"/>
      <c r="G66" s="31"/>
      <c r="H66" s="31"/>
      <c r="I66" s="31"/>
      <c r="J66" s="34"/>
      <c r="L66" s="46">
        <f t="shared" si="6"/>
        <v>0</v>
      </c>
      <c r="M66" s="46">
        <f t="shared" si="6"/>
        <v>0</v>
      </c>
      <c r="N66" s="46">
        <f t="shared" si="6"/>
        <v>0</v>
      </c>
      <c r="O66" s="46">
        <f t="shared" si="6"/>
        <v>0</v>
      </c>
      <c r="P66" s="46">
        <f t="shared" si="6"/>
        <v>0</v>
      </c>
      <c r="Q66" s="46">
        <f t="shared" si="6"/>
        <v>0</v>
      </c>
      <c r="R66" s="46">
        <f t="shared" si="6"/>
        <v>0</v>
      </c>
      <c r="S66" s="46">
        <f t="shared" si="6"/>
        <v>0</v>
      </c>
      <c r="T66" s="46">
        <f t="shared" si="6"/>
        <v>0</v>
      </c>
      <c r="U66" s="47">
        <f t="shared" si="7"/>
        <v>0</v>
      </c>
      <c r="V66" s="47">
        <f t="shared" si="7"/>
        <v>0</v>
      </c>
      <c r="W66" s="47">
        <f t="shared" si="7"/>
        <v>0</v>
      </c>
      <c r="X66" s="47">
        <f t="shared" si="5"/>
        <v>0</v>
      </c>
    </row>
    <row r="67" spans="1:24" ht="20" customHeight="1" x14ac:dyDescent="0.35">
      <c r="A67" s="29"/>
      <c r="B67" s="30"/>
      <c r="C67" s="31"/>
      <c r="D67" s="31"/>
      <c r="E67" s="31"/>
      <c r="F67" s="31"/>
      <c r="G67" s="31"/>
      <c r="H67" s="31"/>
      <c r="I67" s="31"/>
      <c r="J67" s="34"/>
      <c r="L67" s="46">
        <f t="shared" si="6"/>
        <v>0</v>
      </c>
      <c r="M67" s="46">
        <f t="shared" si="6"/>
        <v>0</v>
      </c>
      <c r="N67" s="46">
        <f t="shared" si="6"/>
        <v>0</v>
      </c>
      <c r="O67" s="46">
        <f t="shared" si="6"/>
        <v>0</v>
      </c>
      <c r="P67" s="46">
        <f t="shared" si="6"/>
        <v>0</v>
      </c>
      <c r="Q67" s="46">
        <f t="shared" si="6"/>
        <v>0</v>
      </c>
      <c r="R67" s="46">
        <f t="shared" si="6"/>
        <v>0</v>
      </c>
      <c r="S67" s="46">
        <f t="shared" si="6"/>
        <v>0</v>
      </c>
      <c r="T67" s="46">
        <f t="shared" si="6"/>
        <v>0</v>
      </c>
      <c r="U67" s="47">
        <f t="shared" si="7"/>
        <v>0</v>
      </c>
      <c r="V67" s="47">
        <f t="shared" si="7"/>
        <v>0</v>
      </c>
      <c r="W67" s="47">
        <f t="shared" si="7"/>
        <v>0</v>
      </c>
      <c r="X67" s="47">
        <f t="shared" si="5"/>
        <v>0</v>
      </c>
    </row>
    <row r="68" spans="1:24" ht="20" customHeight="1" x14ac:dyDescent="0.35">
      <c r="A68" s="29"/>
      <c r="B68" s="30"/>
      <c r="C68" s="31"/>
      <c r="D68" s="31"/>
      <c r="E68" s="31"/>
      <c r="F68" s="31"/>
      <c r="G68" s="31"/>
      <c r="H68" s="31"/>
      <c r="I68" s="31"/>
      <c r="J68" s="34"/>
      <c r="L68" s="46">
        <f t="shared" si="6"/>
        <v>0</v>
      </c>
      <c r="M68" s="46">
        <f t="shared" si="6"/>
        <v>0</v>
      </c>
      <c r="N68" s="46">
        <f t="shared" si="6"/>
        <v>0</v>
      </c>
      <c r="O68" s="46">
        <f t="shared" si="6"/>
        <v>0</v>
      </c>
      <c r="P68" s="46">
        <f t="shared" si="6"/>
        <v>0</v>
      </c>
      <c r="Q68" s="46">
        <f t="shared" si="6"/>
        <v>0</v>
      </c>
      <c r="R68" s="46">
        <f t="shared" si="6"/>
        <v>0</v>
      </c>
      <c r="S68" s="46">
        <f t="shared" si="6"/>
        <v>0</v>
      </c>
      <c r="T68" s="46">
        <f t="shared" si="6"/>
        <v>0</v>
      </c>
      <c r="U68" s="47">
        <f t="shared" si="7"/>
        <v>0</v>
      </c>
      <c r="V68" s="47">
        <f t="shared" si="7"/>
        <v>0</v>
      </c>
      <c r="W68" s="47">
        <f t="shared" si="7"/>
        <v>0</v>
      </c>
      <c r="X68" s="47">
        <f t="shared" si="5"/>
        <v>0</v>
      </c>
    </row>
    <row r="69" spans="1:24" ht="20" customHeight="1" x14ac:dyDescent="0.35">
      <c r="A69" s="29"/>
      <c r="B69" s="30"/>
      <c r="C69" s="31"/>
      <c r="D69" s="29"/>
      <c r="E69" s="31"/>
      <c r="F69" s="31"/>
      <c r="G69" s="31"/>
      <c r="H69" s="31"/>
      <c r="I69" s="29"/>
      <c r="J69" s="34"/>
      <c r="L69" s="46">
        <f t="shared" si="6"/>
        <v>0</v>
      </c>
      <c r="M69" s="46">
        <f t="shared" si="6"/>
        <v>0</v>
      </c>
      <c r="N69" s="46">
        <f t="shared" si="6"/>
        <v>0</v>
      </c>
      <c r="O69" s="46">
        <f t="shared" si="6"/>
        <v>0</v>
      </c>
      <c r="P69" s="46">
        <f t="shared" si="6"/>
        <v>0</v>
      </c>
      <c r="Q69" s="46">
        <f t="shared" si="6"/>
        <v>0</v>
      </c>
      <c r="R69" s="46">
        <f t="shared" si="6"/>
        <v>0</v>
      </c>
      <c r="S69" s="46">
        <f t="shared" si="6"/>
        <v>0</v>
      </c>
      <c r="T69" s="46">
        <f t="shared" si="6"/>
        <v>0</v>
      </c>
      <c r="U69" s="47">
        <f t="shared" si="7"/>
        <v>0</v>
      </c>
      <c r="V69" s="47">
        <f t="shared" si="7"/>
        <v>0</v>
      </c>
      <c r="W69" s="47">
        <f t="shared" si="7"/>
        <v>0</v>
      </c>
      <c r="X69" s="47">
        <f t="shared" si="5"/>
        <v>0</v>
      </c>
    </row>
    <row r="70" spans="1:24" ht="20" customHeight="1" x14ac:dyDescent="0.35">
      <c r="A70" s="29"/>
      <c r="B70" s="30"/>
      <c r="C70" s="31"/>
      <c r="D70" s="29"/>
      <c r="E70" s="31"/>
      <c r="F70" s="31"/>
      <c r="G70" s="31"/>
      <c r="H70" s="31"/>
      <c r="I70" s="29"/>
      <c r="J70" s="34"/>
      <c r="L70" s="46">
        <f t="shared" si="6"/>
        <v>0</v>
      </c>
      <c r="M70" s="46">
        <f t="shared" si="6"/>
        <v>0</v>
      </c>
      <c r="N70" s="46">
        <f t="shared" si="6"/>
        <v>0</v>
      </c>
      <c r="O70" s="46">
        <f t="shared" si="6"/>
        <v>0</v>
      </c>
      <c r="P70" s="46">
        <f t="shared" si="6"/>
        <v>0</v>
      </c>
      <c r="Q70" s="46">
        <f t="shared" si="6"/>
        <v>0</v>
      </c>
      <c r="R70" s="46">
        <f t="shared" si="6"/>
        <v>0</v>
      </c>
      <c r="S70" s="46">
        <f t="shared" si="6"/>
        <v>0</v>
      </c>
      <c r="T70" s="46">
        <f t="shared" si="6"/>
        <v>0</v>
      </c>
      <c r="U70" s="47">
        <f t="shared" si="7"/>
        <v>0</v>
      </c>
      <c r="V70" s="47">
        <f t="shared" si="7"/>
        <v>0</v>
      </c>
      <c r="W70" s="47">
        <f t="shared" si="7"/>
        <v>0</v>
      </c>
      <c r="X70" s="47">
        <f t="shared" si="5"/>
        <v>0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6"/>
        <v>0</v>
      </c>
      <c r="M71" s="46">
        <f t="shared" si="6"/>
        <v>0</v>
      </c>
      <c r="N71" s="46">
        <f t="shared" si="6"/>
        <v>0</v>
      </c>
      <c r="O71" s="46">
        <f t="shared" si="6"/>
        <v>0</v>
      </c>
      <c r="P71" s="46">
        <f t="shared" si="6"/>
        <v>0</v>
      </c>
      <c r="Q71" s="46">
        <f t="shared" si="6"/>
        <v>0</v>
      </c>
      <c r="R71" s="46">
        <f t="shared" si="6"/>
        <v>0</v>
      </c>
      <c r="S71" s="46">
        <f t="shared" si="6"/>
        <v>0</v>
      </c>
      <c r="T71" s="46">
        <f t="shared" si="6"/>
        <v>0</v>
      </c>
      <c r="U71" s="47">
        <f t="shared" si="7"/>
        <v>0</v>
      </c>
      <c r="V71" s="47">
        <f t="shared" si="7"/>
        <v>0</v>
      </c>
      <c r="W71" s="47">
        <f t="shared" si="7"/>
        <v>0</v>
      </c>
      <c r="X71" s="47">
        <f t="shared" si="5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6"/>
        <v>0</v>
      </c>
      <c r="M72" s="46">
        <f t="shared" si="6"/>
        <v>0</v>
      </c>
      <c r="N72" s="46">
        <f t="shared" si="6"/>
        <v>0</v>
      </c>
      <c r="O72" s="46">
        <f t="shared" si="6"/>
        <v>0</v>
      </c>
      <c r="P72" s="46">
        <f t="shared" si="6"/>
        <v>0</v>
      </c>
      <c r="Q72" s="46">
        <f t="shared" si="6"/>
        <v>0</v>
      </c>
      <c r="R72" s="46">
        <f t="shared" si="6"/>
        <v>0</v>
      </c>
      <c r="S72" s="46">
        <f t="shared" si="6"/>
        <v>0</v>
      </c>
      <c r="T72" s="46">
        <f t="shared" si="6"/>
        <v>0</v>
      </c>
      <c r="U72" s="47">
        <f t="shared" si="7"/>
        <v>0</v>
      </c>
      <c r="V72" s="47">
        <f t="shared" si="7"/>
        <v>0</v>
      </c>
      <c r="W72" s="47">
        <f t="shared" si="7"/>
        <v>0</v>
      </c>
      <c r="X72" s="47">
        <f t="shared" si="5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si="6"/>
        <v>0</v>
      </c>
      <c r="M73" s="46">
        <f t="shared" si="6"/>
        <v>0</v>
      </c>
      <c r="N73" s="46">
        <f t="shared" si="6"/>
        <v>0</v>
      </c>
      <c r="O73" s="46">
        <f t="shared" ref="O73:T115" si="8">IFERROR(E74-E73,0)</f>
        <v>0</v>
      </c>
      <c r="P73" s="46">
        <f t="shared" si="8"/>
        <v>0</v>
      </c>
      <c r="Q73" s="46">
        <f t="shared" si="8"/>
        <v>0</v>
      </c>
      <c r="R73" s="46">
        <f t="shared" si="8"/>
        <v>0</v>
      </c>
      <c r="S73" s="46">
        <f t="shared" si="8"/>
        <v>0</v>
      </c>
      <c r="T73" s="46">
        <f t="shared" si="8"/>
        <v>0</v>
      </c>
      <c r="U73" s="47">
        <f t="shared" si="7"/>
        <v>0</v>
      </c>
      <c r="V73" s="47">
        <f t="shared" si="7"/>
        <v>0</v>
      </c>
      <c r="W73" s="47">
        <f t="shared" si="7"/>
        <v>0</v>
      </c>
      <c r="X73" s="47">
        <f t="shared" si="5"/>
        <v>0</v>
      </c>
    </row>
    <row r="74" spans="1:24" ht="20" customHeight="1" x14ac:dyDescent="0.35">
      <c r="A74" s="29"/>
      <c r="B74" s="30"/>
      <c r="C74" s="31"/>
      <c r="D74" s="29"/>
      <c r="E74" s="31"/>
      <c r="F74" s="31"/>
      <c r="G74" s="31"/>
      <c r="H74" s="31"/>
      <c r="I74" s="29"/>
      <c r="J74" s="34"/>
      <c r="L74" s="46">
        <f t="shared" ref="L74:Q137" si="9">IFERROR(B75-B74,0)</f>
        <v>0</v>
      </c>
      <c r="M74" s="46">
        <f t="shared" si="9"/>
        <v>0</v>
      </c>
      <c r="N74" s="46">
        <f t="shared" si="9"/>
        <v>0</v>
      </c>
      <c r="O74" s="46">
        <f t="shared" si="8"/>
        <v>0</v>
      </c>
      <c r="P74" s="46">
        <f t="shared" si="8"/>
        <v>0</v>
      </c>
      <c r="Q74" s="46">
        <f t="shared" si="8"/>
        <v>0</v>
      </c>
      <c r="R74" s="46">
        <f t="shared" si="8"/>
        <v>0</v>
      </c>
      <c r="S74" s="46">
        <f t="shared" si="8"/>
        <v>0</v>
      </c>
      <c r="T74" s="46">
        <f t="shared" si="8"/>
        <v>0</v>
      </c>
      <c r="U74" s="47">
        <f t="shared" si="7"/>
        <v>0</v>
      </c>
      <c r="V74" s="47">
        <f t="shared" si="7"/>
        <v>0</v>
      </c>
      <c r="W74" s="47">
        <f t="shared" si="7"/>
        <v>0</v>
      </c>
      <c r="X74" s="47">
        <f t="shared" ref="X74:X105" si="10">O74+P74+T74</f>
        <v>0</v>
      </c>
    </row>
    <row r="75" spans="1:24" ht="20" customHeight="1" x14ac:dyDescent="0.35">
      <c r="A75" s="29"/>
      <c r="B75" s="30"/>
      <c r="C75" s="31"/>
      <c r="D75" s="31"/>
      <c r="E75" s="31"/>
      <c r="F75" s="31"/>
      <c r="G75" s="31"/>
      <c r="H75" s="31"/>
      <c r="I75" s="31"/>
      <c r="J75" s="34"/>
      <c r="L75" s="46">
        <f t="shared" si="9"/>
        <v>0</v>
      </c>
      <c r="M75" s="46">
        <f t="shared" si="9"/>
        <v>0</v>
      </c>
      <c r="N75" s="46">
        <f t="shared" si="9"/>
        <v>0</v>
      </c>
      <c r="O75" s="46">
        <f t="shared" si="8"/>
        <v>0</v>
      </c>
      <c r="P75" s="46">
        <f t="shared" si="8"/>
        <v>0</v>
      </c>
      <c r="Q75" s="46">
        <f t="shared" si="8"/>
        <v>0</v>
      </c>
      <c r="R75" s="46">
        <f t="shared" si="8"/>
        <v>0</v>
      </c>
      <c r="S75" s="46">
        <f t="shared" si="8"/>
        <v>0</v>
      </c>
      <c r="T75" s="46">
        <f t="shared" si="8"/>
        <v>0</v>
      </c>
      <c r="U75" s="47">
        <f t="shared" si="7"/>
        <v>0</v>
      </c>
      <c r="V75" s="47">
        <f t="shared" si="7"/>
        <v>0</v>
      </c>
      <c r="W75" s="47">
        <f t="shared" si="7"/>
        <v>0</v>
      </c>
      <c r="X75" s="47">
        <f t="shared" si="10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9"/>
        <v>0</v>
      </c>
      <c r="M76" s="46">
        <f t="shared" si="9"/>
        <v>0</v>
      </c>
      <c r="N76" s="46">
        <f t="shared" si="9"/>
        <v>0</v>
      </c>
      <c r="O76" s="46">
        <f t="shared" si="8"/>
        <v>0</v>
      </c>
      <c r="P76" s="46">
        <f t="shared" si="8"/>
        <v>0</v>
      </c>
      <c r="Q76" s="46">
        <f t="shared" si="8"/>
        <v>0</v>
      </c>
      <c r="R76" s="46">
        <f t="shared" si="8"/>
        <v>0</v>
      </c>
      <c r="S76" s="46">
        <f t="shared" si="8"/>
        <v>0</v>
      </c>
      <c r="T76" s="46">
        <f t="shared" si="8"/>
        <v>0</v>
      </c>
      <c r="U76" s="47">
        <f t="shared" si="7"/>
        <v>0</v>
      </c>
      <c r="V76" s="47">
        <f t="shared" si="7"/>
        <v>0</v>
      </c>
      <c r="W76" s="47">
        <f t="shared" si="7"/>
        <v>0</v>
      </c>
      <c r="X76" s="47">
        <f t="shared" si="10"/>
        <v>0</v>
      </c>
    </row>
    <row r="77" spans="1:24" ht="20" customHeight="1" x14ac:dyDescent="0.35">
      <c r="A77" s="29"/>
      <c r="B77" s="30"/>
      <c r="C77" s="31"/>
      <c r="D77" s="29"/>
      <c r="E77" s="31"/>
      <c r="F77" s="31"/>
      <c r="G77" s="31"/>
      <c r="H77" s="31"/>
      <c r="I77" s="29"/>
      <c r="J77" s="34"/>
      <c r="L77" s="46">
        <f t="shared" si="9"/>
        <v>0</v>
      </c>
      <c r="M77" s="46">
        <f t="shared" si="9"/>
        <v>0</v>
      </c>
      <c r="N77" s="46">
        <f t="shared" si="9"/>
        <v>0</v>
      </c>
      <c r="O77" s="46">
        <f t="shared" si="8"/>
        <v>0</v>
      </c>
      <c r="P77" s="46">
        <f t="shared" si="8"/>
        <v>0</v>
      </c>
      <c r="Q77" s="46">
        <f t="shared" si="8"/>
        <v>0</v>
      </c>
      <c r="R77" s="46">
        <f t="shared" si="8"/>
        <v>0</v>
      </c>
      <c r="S77" s="46">
        <f t="shared" si="8"/>
        <v>0</v>
      </c>
      <c r="T77" s="46">
        <f t="shared" si="8"/>
        <v>0</v>
      </c>
      <c r="U77" s="47">
        <f t="shared" si="7"/>
        <v>0</v>
      </c>
      <c r="V77" s="47">
        <f t="shared" si="7"/>
        <v>0</v>
      </c>
      <c r="W77" s="47">
        <f t="shared" si="7"/>
        <v>0</v>
      </c>
      <c r="X77" s="47">
        <f t="shared" si="10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9"/>
        <v>0</v>
      </c>
      <c r="M78" s="46">
        <f t="shared" si="9"/>
        <v>0</v>
      </c>
      <c r="N78" s="46">
        <f t="shared" si="9"/>
        <v>0</v>
      </c>
      <c r="O78" s="46">
        <f t="shared" si="8"/>
        <v>0</v>
      </c>
      <c r="P78" s="46">
        <f t="shared" si="8"/>
        <v>0</v>
      </c>
      <c r="Q78" s="46">
        <f t="shared" si="8"/>
        <v>0</v>
      </c>
      <c r="R78" s="46">
        <f t="shared" si="8"/>
        <v>0</v>
      </c>
      <c r="S78" s="46">
        <f t="shared" si="8"/>
        <v>0</v>
      </c>
      <c r="T78" s="46">
        <f t="shared" si="8"/>
        <v>0</v>
      </c>
      <c r="U78" s="47">
        <f t="shared" si="7"/>
        <v>0</v>
      </c>
      <c r="V78" s="47">
        <f t="shared" si="7"/>
        <v>0</v>
      </c>
      <c r="W78" s="47">
        <f t="shared" si="7"/>
        <v>0</v>
      </c>
      <c r="X78" s="47">
        <f t="shared" si="10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9"/>
        <v>0</v>
      </c>
      <c r="M79" s="46">
        <f t="shared" si="9"/>
        <v>0</v>
      </c>
      <c r="N79" s="46">
        <f t="shared" si="9"/>
        <v>0</v>
      </c>
      <c r="O79" s="46">
        <f t="shared" si="8"/>
        <v>0</v>
      </c>
      <c r="P79" s="46">
        <f t="shared" si="8"/>
        <v>0</v>
      </c>
      <c r="Q79" s="46">
        <f t="shared" si="8"/>
        <v>0</v>
      </c>
      <c r="R79" s="46">
        <f t="shared" si="8"/>
        <v>0</v>
      </c>
      <c r="S79" s="46">
        <f t="shared" si="8"/>
        <v>0</v>
      </c>
      <c r="T79" s="46">
        <f t="shared" si="8"/>
        <v>0</v>
      </c>
      <c r="U79" s="47">
        <f t="shared" si="7"/>
        <v>0</v>
      </c>
      <c r="V79" s="47">
        <f t="shared" si="7"/>
        <v>0</v>
      </c>
      <c r="W79" s="47">
        <f t="shared" si="7"/>
        <v>0</v>
      </c>
      <c r="X79" s="47">
        <f t="shared" si="10"/>
        <v>0</v>
      </c>
    </row>
    <row r="80" spans="1:24" ht="20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9"/>
        <v>0</v>
      </c>
      <c r="M80" s="46">
        <f t="shared" si="9"/>
        <v>0</v>
      </c>
      <c r="N80" s="46">
        <f t="shared" si="9"/>
        <v>0</v>
      </c>
      <c r="O80" s="46">
        <f t="shared" si="8"/>
        <v>0</v>
      </c>
      <c r="P80" s="46">
        <f t="shared" si="8"/>
        <v>0</v>
      </c>
      <c r="Q80" s="46">
        <f t="shared" si="8"/>
        <v>0</v>
      </c>
      <c r="R80" s="46">
        <f t="shared" si="8"/>
        <v>0</v>
      </c>
      <c r="S80" s="46">
        <f t="shared" si="8"/>
        <v>0</v>
      </c>
      <c r="T80" s="46">
        <f t="shared" si="8"/>
        <v>0</v>
      </c>
      <c r="U80" s="47">
        <f t="shared" si="7"/>
        <v>0</v>
      </c>
      <c r="V80" s="47">
        <f t="shared" si="7"/>
        <v>0</v>
      </c>
      <c r="W80" s="47">
        <f t="shared" si="7"/>
        <v>0</v>
      </c>
      <c r="X80" s="47">
        <f t="shared" si="10"/>
        <v>0</v>
      </c>
    </row>
    <row r="81" spans="1:24" ht="16.75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9"/>
        <v>0</v>
      </c>
      <c r="M81" s="46">
        <f t="shared" si="9"/>
        <v>0</v>
      </c>
      <c r="N81" s="46">
        <f t="shared" si="9"/>
        <v>0</v>
      </c>
      <c r="O81" s="46">
        <f t="shared" si="8"/>
        <v>0</v>
      </c>
      <c r="P81" s="46">
        <f t="shared" si="8"/>
        <v>0</v>
      </c>
      <c r="Q81" s="46">
        <f t="shared" si="8"/>
        <v>0</v>
      </c>
      <c r="R81" s="46">
        <f t="shared" si="8"/>
        <v>0</v>
      </c>
      <c r="S81" s="46">
        <f t="shared" si="8"/>
        <v>0</v>
      </c>
      <c r="T81" s="46">
        <f t="shared" si="8"/>
        <v>0</v>
      </c>
      <c r="U81" s="47">
        <f t="shared" si="7"/>
        <v>0</v>
      </c>
      <c r="V81" s="47">
        <f t="shared" si="7"/>
        <v>0</v>
      </c>
      <c r="W81" s="47">
        <f t="shared" si="7"/>
        <v>0</v>
      </c>
      <c r="X81" s="47">
        <f t="shared" si="10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9"/>
        <v>0</v>
      </c>
      <c r="M82" s="46">
        <f t="shared" si="9"/>
        <v>0</v>
      </c>
      <c r="N82" s="46">
        <f t="shared" si="9"/>
        <v>0</v>
      </c>
      <c r="O82" s="46">
        <f t="shared" si="8"/>
        <v>0</v>
      </c>
      <c r="P82" s="46">
        <f t="shared" si="8"/>
        <v>0</v>
      </c>
      <c r="Q82" s="46">
        <f t="shared" si="8"/>
        <v>0</v>
      </c>
      <c r="R82" s="46">
        <f t="shared" si="8"/>
        <v>0</v>
      </c>
      <c r="S82" s="46">
        <f t="shared" si="8"/>
        <v>0</v>
      </c>
      <c r="T82" s="46">
        <f t="shared" si="8"/>
        <v>0</v>
      </c>
      <c r="U82" s="47">
        <f t="shared" si="7"/>
        <v>0</v>
      </c>
      <c r="V82" s="47">
        <f t="shared" si="7"/>
        <v>0</v>
      </c>
      <c r="W82" s="47">
        <f t="shared" si="7"/>
        <v>0</v>
      </c>
      <c r="X82" s="47">
        <f t="shared" si="10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9"/>
        <v>0</v>
      </c>
      <c r="M83" s="46">
        <f t="shared" si="9"/>
        <v>0</v>
      </c>
      <c r="N83" s="46">
        <f t="shared" si="9"/>
        <v>0</v>
      </c>
      <c r="O83" s="46">
        <f t="shared" si="8"/>
        <v>0</v>
      </c>
      <c r="P83" s="46">
        <f t="shared" si="8"/>
        <v>0</v>
      </c>
      <c r="Q83" s="46">
        <f t="shared" si="8"/>
        <v>0</v>
      </c>
      <c r="R83" s="46">
        <f t="shared" si="8"/>
        <v>0</v>
      </c>
      <c r="S83" s="46">
        <f t="shared" si="8"/>
        <v>0</v>
      </c>
      <c r="T83" s="46">
        <f t="shared" si="8"/>
        <v>0</v>
      </c>
      <c r="U83" s="47">
        <f t="shared" si="7"/>
        <v>0</v>
      </c>
      <c r="V83" s="47">
        <f t="shared" si="7"/>
        <v>0</v>
      </c>
      <c r="W83" s="47">
        <f t="shared" si="7"/>
        <v>0</v>
      </c>
      <c r="X83" s="47">
        <f t="shared" si="10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9"/>
        <v>0</v>
      </c>
      <c r="M84" s="46">
        <f t="shared" si="9"/>
        <v>0</v>
      </c>
      <c r="N84" s="46">
        <f t="shared" si="9"/>
        <v>0</v>
      </c>
      <c r="O84" s="46">
        <f t="shared" si="8"/>
        <v>0</v>
      </c>
      <c r="P84" s="46">
        <f t="shared" si="8"/>
        <v>0</v>
      </c>
      <c r="Q84" s="46">
        <f t="shared" si="8"/>
        <v>0</v>
      </c>
      <c r="R84" s="46">
        <f t="shared" si="8"/>
        <v>0</v>
      </c>
      <c r="S84" s="46">
        <f t="shared" si="8"/>
        <v>0</v>
      </c>
      <c r="T84" s="46">
        <f t="shared" si="8"/>
        <v>0</v>
      </c>
      <c r="U84" s="47">
        <f t="shared" si="7"/>
        <v>0</v>
      </c>
      <c r="V84" s="47">
        <f t="shared" si="7"/>
        <v>0</v>
      </c>
      <c r="W84" s="47">
        <f t="shared" si="7"/>
        <v>0</v>
      </c>
      <c r="X84" s="47">
        <f t="shared" si="10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9"/>
        <v>0</v>
      </c>
      <c r="M85" s="46">
        <f t="shared" si="9"/>
        <v>0</v>
      </c>
      <c r="N85" s="46">
        <f t="shared" si="9"/>
        <v>0</v>
      </c>
      <c r="O85" s="46">
        <f t="shared" si="8"/>
        <v>0</v>
      </c>
      <c r="P85" s="46">
        <f t="shared" si="8"/>
        <v>0</v>
      </c>
      <c r="Q85" s="46">
        <f t="shared" si="8"/>
        <v>0</v>
      </c>
      <c r="R85" s="46">
        <f t="shared" si="8"/>
        <v>0</v>
      </c>
      <c r="S85" s="46">
        <f t="shared" si="8"/>
        <v>0</v>
      </c>
      <c r="T85" s="46">
        <f t="shared" si="8"/>
        <v>0</v>
      </c>
      <c r="U85" s="47">
        <f t="shared" si="7"/>
        <v>0</v>
      </c>
      <c r="V85" s="47">
        <f t="shared" si="7"/>
        <v>0</v>
      </c>
      <c r="W85" s="47">
        <f t="shared" si="7"/>
        <v>0</v>
      </c>
      <c r="X85" s="47">
        <f t="shared" si="10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9"/>
        <v>0</v>
      </c>
      <c r="M86" s="46">
        <f t="shared" si="9"/>
        <v>0</v>
      </c>
      <c r="N86" s="46">
        <f t="shared" si="9"/>
        <v>0</v>
      </c>
      <c r="O86" s="46">
        <f t="shared" si="8"/>
        <v>0</v>
      </c>
      <c r="P86" s="46">
        <f t="shared" si="8"/>
        <v>0</v>
      </c>
      <c r="Q86" s="46">
        <f t="shared" si="8"/>
        <v>0</v>
      </c>
      <c r="R86" s="46">
        <f t="shared" si="8"/>
        <v>0</v>
      </c>
      <c r="S86" s="46">
        <f t="shared" si="8"/>
        <v>0</v>
      </c>
      <c r="T86" s="46">
        <f t="shared" si="8"/>
        <v>0</v>
      </c>
      <c r="U86" s="47">
        <f t="shared" si="7"/>
        <v>0</v>
      </c>
      <c r="V86" s="47">
        <f t="shared" si="7"/>
        <v>0</v>
      </c>
      <c r="W86" s="47">
        <f t="shared" si="7"/>
        <v>0</v>
      </c>
      <c r="X86" s="47">
        <f t="shared" si="10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9"/>
        <v>0</v>
      </c>
      <c r="M87" s="46">
        <f t="shared" si="9"/>
        <v>0</v>
      </c>
      <c r="N87" s="46">
        <f t="shared" si="9"/>
        <v>0</v>
      </c>
      <c r="O87" s="46">
        <f t="shared" si="8"/>
        <v>0</v>
      </c>
      <c r="P87" s="46">
        <f t="shared" si="8"/>
        <v>0</v>
      </c>
      <c r="Q87" s="46">
        <f t="shared" si="8"/>
        <v>0</v>
      </c>
      <c r="R87" s="46">
        <f t="shared" si="8"/>
        <v>0</v>
      </c>
      <c r="S87" s="46">
        <f t="shared" si="8"/>
        <v>0</v>
      </c>
      <c r="T87" s="46">
        <f t="shared" si="8"/>
        <v>0</v>
      </c>
      <c r="U87" s="47">
        <f t="shared" si="7"/>
        <v>0</v>
      </c>
      <c r="V87" s="47">
        <f t="shared" si="7"/>
        <v>0</v>
      </c>
      <c r="W87" s="47">
        <f t="shared" si="7"/>
        <v>0</v>
      </c>
      <c r="X87" s="47">
        <f t="shared" si="10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9"/>
        <v>0</v>
      </c>
      <c r="M88" s="46">
        <f t="shared" si="9"/>
        <v>0</v>
      </c>
      <c r="N88" s="46">
        <f t="shared" si="9"/>
        <v>0</v>
      </c>
      <c r="O88" s="46">
        <f t="shared" si="8"/>
        <v>0</v>
      </c>
      <c r="P88" s="46">
        <f t="shared" si="8"/>
        <v>0</v>
      </c>
      <c r="Q88" s="46">
        <f t="shared" si="8"/>
        <v>0</v>
      </c>
      <c r="R88" s="46">
        <f t="shared" si="8"/>
        <v>0</v>
      </c>
      <c r="S88" s="46">
        <f t="shared" si="8"/>
        <v>0</v>
      </c>
      <c r="T88" s="46">
        <f t="shared" si="8"/>
        <v>0</v>
      </c>
      <c r="U88" s="47">
        <f t="shared" si="7"/>
        <v>0</v>
      </c>
      <c r="V88" s="47">
        <f t="shared" si="7"/>
        <v>0</v>
      </c>
      <c r="W88" s="47">
        <f t="shared" si="7"/>
        <v>0</v>
      </c>
      <c r="X88" s="47">
        <f t="shared" si="10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9"/>
        <v>0</v>
      </c>
      <c r="M89" s="46">
        <f t="shared" si="9"/>
        <v>0</v>
      </c>
      <c r="N89" s="46">
        <f t="shared" si="9"/>
        <v>0</v>
      </c>
      <c r="O89" s="46">
        <f t="shared" si="8"/>
        <v>0</v>
      </c>
      <c r="P89" s="46">
        <f t="shared" si="8"/>
        <v>0</v>
      </c>
      <c r="Q89" s="46">
        <f t="shared" si="8"/>
        <v>0</v>
      </c>
      <c r="R89" s="46">
        <f t="shared" si="8"/>
        <v>0</v>
      </c>
      <c r="S89" s="46">
        <f t="shared" si="8"/>
        <v>0</v>
      </c>
      <c r="T89" s="46">
        <f t="shared" si="8"/>
        <v>0</v>
      </c>
      <c r="U89" s="47">
        <f t="shared" si="7"/>
        <v>0</v>
      </c>
      <c r="V89" s="47">
        <f t="shared" si="7"/>
        <v>0</v>
      </c>
      <c r="W89" s="47">
        <f t="shared" si="7"/>
        <v>0</v>
      </c>
      <c r="X89" s="47">
        <f t="shared" si="10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9"/>
        <v>0</v>
      </c>
      <c r="M90" s="46">
        <f t="shared" si="9"/>
        <v>0</v>
      </c>
      <c r="N90" s="46">
        <f t="shared" si="9"/>
        <v>0</v>
      </c>
      <c r="O90" s="46">
        <f t="shared" si="8"/>
        <v>0</v>
      </c>
      <c r="P90" s="46">
        <f t="shared" si="8"/>
        <v>0</v>
      </c>
      <c r="Q90" s="46">
        <f t="shared" si="8"/>
        <v>0</v>
      </c>
      <c r="R90" s="46">
        <f t="shared" si="8"/>
        <v>0</v>
      </c>
      <c r="S90" s="46">
        <f t="shared" si="8"/>
        <v>0</v>
      </c>
      <c r="T90" s="46">
        <f t="shared" si="8"/>
        <v>0</v>
      </c>
      <c r="U90" s="47">
        <f t="shared" si="7"/>
        <v>0</v>
      </c>
      <c r="V90" s="47">
        <f t="shared" si="7"/>
        <v>0</v>
      </c>
      <c r="W90" s="47">
        <f t="shared" si="7"/>
        <v>0</v>
      </c>
      <c r="X90" s="47">
        <f t="shared" si="10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9"/>
        <v>0</v>
      </c>
      <c r="M91" s="46">
        <f t="shared" si="9"/>
        <v>0</v>
      </c>
      <c r="N91" s="46">
        <f t="shared" si="9"/>
        <v>0</v>
      </c>
      <c r="O91" s="46">
        <f t="shared" si="8"/>
        <v>0</v>
      </c>
      <c r="P91" s="46">
        <f t="shared" si="8"/>
        <v>0</v>
      </c>
      <c r="Q91" s="46">
        <f t="shared" si="8"/>
        <v>0</v>
      </c>
      <c r="R91" s="46">
        <f t="shared" si="8"/>
        <v>0</v>
      </c>
      <c r="S91" s="46">
        <f t="shared" si="8"/>
        <v>0</v>
      </c>
      <c r="T91" s="46">
        <f t="shared" si="8"/>
        <v>0</v>
      </c>
      <c r="U91" s="47">
        <f t="shared" si="7"/>
        <v>0</v>
      </c>
      <c r="V91" s="47">
        <f t="shared" si="7"/>
        <v>0</v>
      </c>
      <c r="W91" s="47">
        <f t="shared" si="7"/>
        <v>0</v>
      </c>
      <c r="X91" s="47">
        <f t="shared" si="10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9"/>
        <v>0</v>
      </c>
      <c r="M92" s="46">
        <f t="shared" si="9"/>
        <v>0</v>
      </c>
      <c r="N92" s="46">
        <f t="shared" si="9"/>
        <v>0</v>
      </c>
      <c r="O92" s="46">
        <f t="shared" si="8"/>
        <v>0</v>
      </c>
      <c r="P92" s="46">
        <f t="shared" si="8"/>
        <v>0</v>
      </c>
      <c r="Q92" s="46">
        <f t="shared" si="8"/>
        <v>0</v>
      </c>
      <c r="R92" s="46">
        <f t="shared" si="8"/>
        <v>0</v>
      </c>
      <c r="S92" s="46">
        <f t="shared" si="8"/>
        <v>0</v>
      </c>
      <c r="T92" s="46">
        <f t="shared" si="8"/>
        <v>0</v>
      </c>
      <c r="U92" s="47">
        <f t="shared" si="7"/>
        <v>0</v>
      </c>
      <c r="V92" s="47">
        <f t="shared" si="7"/>
        <v>0</v>
      </c>
      <c r="W92" s="47">
        <f t="shared" si="7"/>
        <v>0</v>
      </c>
      <c r="X92" s="47">
        <f t="shared" si="10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9"/>
        <v>0</v>
      </c>
      <c r="M93" s="46">
        <f t="shared" si="9"/>
        <v>0</v>
      </c>
      <c r="N93" s="46">
        <f t="shared" si="9"/>
        <v>0</v>
      </c>
      <c r="O93" s="46">
        <f t="shared" si="8"/>
        <v>0</v>
      </c>
      <c r="P93" s="46">
        <f t="shared" si="8"/>
        <v>0</v>
      </c>
      <c r="Q93" s="46">
        <f t="shared" si="8"/>
        <v>0</v>
      </c>
      <c r="R93" s="46">
        <f t="shared" si="8"/>
        <v>0</v>
      </c>
      <c r="S93" s="46">
        <f t="shared" si="8"/>
        <v>0</v>
      </c>
      <c r="T93" s="46">
        <f t="shared" si="8"/>
        <v>0</v>
      </c>
      <c r="U93" s="47">
        <f t="shared" si="7"/>
        <v>0</v>
      </c>
      <c r="V93" s="47">
        <f t="shared" si="7"/>
        <v>0</v>
      </c>
      <c r="W93" s="47">
        <f t="shared" si="7"/>
        <v>0</v>
      </c>
      <c r="X93" s="47">
        <f t="shared" si="10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9"/>
        <v>0</v>
      </c>
      <c r="M94" s="46">
        <f t="shared" si="9"/>
        <v>0</v>
      </c>
      <c r="N94" s="46">
        <f t="shared" si="9"/>
        <v>0</v>
      </c>
      <c r="O94" s="46">
        <f t="shared" si="8"/>
        <v>0</v>
      </c>
      <c r="P94" s="46">
        <f t="shared" si="8"/>
        <v>0</v>
      </c>
      <c r="Q94" s="46">
        <f t="shared" si="8"/>
        <v>0</v>
      </c>
      <c r="R94" s="46">
        <f t="shared" si="8"/>
        <v>0</v>
      </c>
      <c r="S94" s="46">
        <f t="shared" si="8"/>
        <v>0</v>
      </c>
      <c r="T94" s="46">
        <f t="shared" si="8"/>
        <v>0</v>
      </c>
      <c r="U94" s="47">
        <f t="shared" si="7"/>
        <v>0</v>
      </c>
      <c r="V94" s="47">
        <f t="shared" si="7"/>
        <v>0</v>
      </c>
      <c r="W94" s="47">
        <f t="shared" si="7"/>
        <v>0</v>
      </c>
      <c r="X94" s="47">
        <f t="shared" si="10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9"/>
        <v>0</v>
      </c>
      <c r="M95" s="46">
        <f t="shared" si="9"/>
        <v>0</v>
      </c>
      <c r="N95" s="46">
        <f t="shared" si="9"/>
        <v>0</v>
      </c>
      <c r="O95" s="46">
        <f t="shared" si="8"/>
        <v>0</v>
      </c>
      <c r="P95" s="46">
        <f t="shared" si="8"/>
        <v>0</v>
      </c>
      <c r="Q95" s="46">
        <f t="shared" si="8"/>
        <v>0</v>
      </c>
      <c r="R95" s="46">
        <f t="shared" si="8"/>
        <v>0</v>
      </c>
      <c r="S95" s="46">
        <f t="shared" si="8"/>
        <v>0</v>
      </c>
      <c r="T95" s="46">
        <f t="shared" si="8"/>
        <v>0</v>
      </c>
      <c r="U95" s="47">
        <f t="shared" si="7"/>
        <v>0</v>
      </c>
      <c r="V95" s="47">
        <f t="shared" si="7"/>
        <v>0</v>
      </c>
      <c r="W95" s="47">
        <f t="shared" si="7"/>
        <v>0</v>
      </c>
      <c r="X95" s="47">
        <f t="shared" si="10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9"/>
        <v>0</v>
      </c>
      <c r="M96" s="46">
        <f t="shared" si="9"/>
        <v>0</v>
      </c>
      <c r="N96" s="46">
        <f t="shared" si="9"/>
        <v>0</v>
      </c>
      <c r="O96" s="46">
        <f t="shared" si="8"/>
        <v>0</v>
      </c>
      <c r="P96" s="46">
        <f t="shared" si="8"/>
        <v>0</v>
      </c>
      <c r="Q96" s="46">
        <f t="shared" si="8"/>
        <v>0</v>
      </c>
      <c r="R96" s="46">
        <f t="shared" si="8"/>
        <v>0</v>
      </c>
      <c r="S96" s="46">
        <f t="shared" si="8"/>
        <v>0</v>
      </c>
      <c r="T96" s="46">
        <f t="shared" si="8"/>
        <v>0</v>
      </c>
      <c r="U96" s="47">
        <f t="shared" si="7"/>
        <v>0</v>
      </c>
      <c r="V96" s="47">
        <f t="shared" si="7"/>
        <v>0</v>
      </c>
      <c r="W96" s="47">
        <f t="shared" si="7"/>
        <v>0</v>
      </c>
      <c r="X96" s="47">
        <f t="shared" si="10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9"/>
        <v>0</v>
      </c>
      <c r="M97" s="46">
        <f t="shared" si="9"/>
        <v>0</v>
      </c>
      <c r="N97" s="46">
        <f t="shared" si="9"/>
        <v>0</v>
      </c>
      <c r="O97" s="46">
        <f t="shared" si="8"/>
        <v>0</v>
      </c>
      <c r="P97" s="46">
        <f t="shared" si="8"/>
        <v>0</v>
      </c>
      <c r="Q97" s="46">
        <f t="shared" si="8"/>
        <v>0</v>
      </c>
      <c r="R97" s="46">
        <f t="shared" si="8"/>
        <v>0</v>
      </c>
      <c r="S97" s="46">
        <f t="shared" si="8"/>
        <v>0</v>
      </c>
      <c r="T97" s="46">
        <f t="shared" si="8"/>
        <v>0</v>
      </c>
      <c r="U97" s="47">
        <f t="shared" si="7"/>
        <v>0</v>
      </c>
      <c r="V97" s="47">
        <f t="shared" si="7"/>
        <v>0</v>
      </c>
      <c r="W97" s="47">
        <f t="shared" si="7"/>
        <v>0</v>
      </c>
      <c r="X97" s="47">
        <f t="shared" si="10"/>
        <v>0</v>
      </c>
    </row>
    <row r="98" spans="1:24" ht="20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9"/>
        <v>0</v>
      </c>
      <c r="M98" s="46">
        <f t="shared" si="9"/>
        <v>0</v>
      </c>
      <c r="N98" s="46">
        <f t="shared" si="9"/>
        <v>0</v>
      </c>
      <c r="O98" s="46">
        <f t="shared" si="8"/>
        <v>0</v>
      </c>
      <c r="P98" s="46">
        <f t="shared" si="8"/>
        <v>0</v>
      </c>
      <c r="Q98" s="46">
        <f t="shared" si="8"/>
        <v>0</v>
      </c>
      <c r="R98" s="46">
        <f t="shared" si="8"/>
        <v>0</v>
      </c>
      <c r="S98" s="46">
        <f t="shared" si="8"/>
        <v>0</v>
      </c>
      <c r="T98" s="46">
        <f t="shared" si="8"/>
        <v>0</v>
      </c>
      <c r="U98" s="47">
        <f t="shared" si="7"/>
        <v>0</v>
      </c>
      <c r="V98" s="47">
        <f t="shared" si="7"/>
        <v>0</v>
      </c>
      <c r="W98" s="47">
        <f t="shared" si="7"/>
        <v>0</v>
      </c>
      <c r="X98" s="47">
        <f t="shared" si="10"/>
        <v>0</v>
      </c>
    </row>
    <row r="99" spans="1:24" ht="16.75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9"/>
        <v>0</v>
      </c>
      <c r="M99" s="46">
        <f t="shared" si="9"/>
        <v>0</v>
      </c>
      <c r="N99" s="46">
        <f t="shared" si="9"/>
        <v>0</v>
      </c>
      <c r="O99" s="46">
        <f t="shared" si="8"/>
        <v>0</v>
      </c>
      <c r="P99" s="46">
        <f t="shared" si="8"/>
        <v>0</v>
      </c>
      <c r="Q99" s="46">
        <f t="shared" si="8"/>
        <v>0</v>
      </c>
      <c r="R99" s="46">
        <f t="shared" si="8"/>
        <v>0</v>
      </c>
      <c r="S99" s="46">
        <f t="shared" si="8"/>
        <v>0</v>
      </c>
      <c r="T99" s="46">
        <f t="shared" si="8"/>
        <v>0</v>
      </c>
      <c r="U99" s="47">
        <f t="shared" si="7"/>
        <v>0</v>
      </c>
      <c r="V99" s="47">
        <f t="shared" si="7"/>
        <v>0</v>
      </c>
      <c r="W99" s="47">
        <f t="shared" si="7"/>
        <v>0</v>
      </c>
      <c r="X99" s="47">
        <f t="shared" si="10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9"/>
        <v>0</v>
      </c>
      <c r="M100" s="46">
        <f t="shared" si="9"/>
        <v>0</v>
      </c>
      <c r="N100" s="46">
        <f t="shared" si="9"/>
        <v>0</v>
      </c>
      <c r="O100" s="46">
        <f t="shared" si="8"/>
        <v>0</v>
      </c>
      <c r="P100" s="46">
        <f t="shared" si="8"/>
        <v>0</v>
      </c>
      <c r="Q100" s="46">
        <f t="shared" si="8"/>
        <v>0</v>
      </c>
      <c r="R100" s="46">
        <f t="shared" si="8"/>
        <v>0</v>
      </c>
      <c r="S100" s="46">
        <f t="shared" si="8"/>
        <v>0</v>
      </c>
      <c r="T100" s="46">
        <f t="shared" si="8"/>
        <v>0</v>
      </c>
      <c r="U100" s="47">
        <f t="shared" si="7"/>
        <v>0</v>
      </c>
      <c r="V100" s="47">
        <f t="shared" si="7"/>
        <v>0</v>
      </c>
      <c r="W100" s="47">
        <f t="shared" si="7"/>
        <v>0</v>
      </c>
      <c r="X100" s="47">
        <f t="shared" si="10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9"/>
        <v>0</v>
      </c>
      <c r="M101" s="46">
        <f t="shared" si="9"/>
        <v>0</v>
      </c>
      <c r="N101" s="46">
        <f t="shared" si="9"/>
        <v>0</v>
      </c>
      <c r="O101" s="46">
        <f t="shared" si="8"/>
        <v>0</v>
      </c>
      <c r="P101" s="46">
        <f t="shared" si="8"/>
        <v>0</v>
      </c>
      <c r="Q101" s="46">
        <f t="shared" si="8"/>
        <v>0</v>
      </c>
      <c r="R101" s="46">
        <f t="shared" si="8"/>
        <v>0</v>
      </c>
      <c r="S101" s="46">
        <f t="shared" si="8"/>
        <v>0</v>
      </c>
      <c r="T101" s="46">
        <f t="shared" si="8"/>
        <v>0</v>
      </c>
      <c r="U101" s="47">
        <f t="shared" si="7"/>
        <v>0</v>
      </c>
      <c r="V101" s="47">
        <f t="shared" si="7"/>
        <v>0</v>
      </c>
      <c r="W101" s="47">
        <f t="shared" si="7"/>
        <v>0</v>
      </c>
      <c r="X101" s="47">
        <f t="shared" si="10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9"/>
        <v>0</v>
      </c>
      <c r="M102" s="46">
        <f t="shared" si="9"/>
        <v>0</v>
      </c>
      <c r="N102" s="46">
        <f t="shared" si="9"/>
        <v>0</v>
      </c>
      <c r="O102" s="46">
        <f t="shared" si="8"/>
        <v>0</v>
      </c>
      <c r="P102" s="46">
        <f t="shared" si="8"/>
        <v>0</v>
      </c>
      <c r="Q102" s="46">
        <f t="shared" si="8"/>
        <v>0</v>
      </c>
      <c r="R102" s="46">
        <f t="shared" si="8"/>
        <v>0</v>
      </c>
      <c r="S102" s="46">
        <f t="shared" si="8"/>
        <v>0</v>
      </c>
      <c r="T102" s="46">
        <f t="shared" si="8"/>
        <v>0</v>
      </c>
      <c r="U102" s="47">
        <f t="shared" si="7"/>
        <v>0</v>
      </c>
      <c r="V102" s="47">
        <f t="shared" si="7"/>
        <v>0</v>
      </c>
      <c r="W102" s="47">
        <f t="shared" si="7"/>
        <v>0</v>
      </c>
      <c r="X102" s="47">
        <f t="shared" si="10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9"/>
        <v>0</v>
      </c>
      <c r="M103" s="46">
        <f t="shared" si="9"/>
        <v>0</v>
      </c>
      <c r="N103" s="46">
        <f t="shared" si="9"/>
        <v>0</v>
      </c>
      <c r="O103" s="46">
        <f t="shared" si="8"/>
        <v>0</v>
      </c>
      <c r="P103" s="46">
        <f t="shared" si="8"/>
        <v>0</v>
      </c>
      <c r="Q103" s="46">
        <f t="shared" si="8"/>
        <v>0</v>
      </c>
      <c r="R103" s="46">
        <f t="shared" si="8"/>
        <v>0</v>
      </c>
      <c r="S103" s="46">
        <f t="shared" si="8"/>
        <v>0</v>
      </c>
      <c r="T103" s="46">
        <f t="shared" si="8"/>
        <v>0</v>
      </c>
      <c r="U103" s="47">
        <f t="shared" si="7"/>
        <v>0</v>
      </c>
      <c r="V103" s="47">
        <f t="shared" si="7"/>
        <v>0</v>
      </c>
      <c r="W103" s="47">
        <f t="shared" si="7"/>
        <v>0</v>
      </c>
      <c r="X103" s="47">
        <f t="shared" si="10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9"/>
        <v>0</v>
      </c>
      <c r="M104" s="46">
        <f t="shared" si="9"/>
        <v>0</v>
      </c>
      <c r="N104" s="46">
        <f t="shared" si="9"/>
        <v>0</v>
      </c>
      <c r="O104" s="46">
        <f t="shared" si="8"/>
        <v>0</v>
      </c>
      <c r="P104" s="46">
        <f t="shared" si="8"/>
        <v>0</v>
      </c>
      <c r="Q104" s="46">
        <f t="shared" si="8"/>
        <v>0</v>
      </c>
      <c r="R104" s="46">
        <f t="shared" si="8"/>
        <v>0</v>
      </c>
      <c r="S104" s="46">
        <f t="shared" si="8"/>
        <v>0</v>
      </c>
      <c r="T104" s="46">
        <f t="shared" si="8"/>
        <v>0</v>
      </c>
      <c r="U104" s="47">
        <f t="shared" si="7"/>
        <v>0</v>
      </c>
      <c r="V104" s="47">
        <f t="shared" si="7"/>
        <v>0</v>
      </c>
      <c r="W104" s="47">
        <f t="shared" si="7"/>
        <v>0</v>
      </c>
      <c r="X104" s="47">
        <f t="shared" si="10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9"/>
        <v>0</v>
      </c>
      <c r="M105" s="46">
        <f t="shared" si="9"/>
        <v>0</v>
      </c>
      <c r="N105" s="46">
        <f t="shared" si="9"/>
        <v>0</v>
      </c>
      <c r="O105" s="46">
        <f t="shared" si="8"/>
        <v>0</v>
      </c>
      <c r="P105" s="46">
        <f t="shared" si="8"/>
        <v>0</v>
      </c>
      <c r="Q105" s="46">
        <f t="shared" si="8"/>
        <v>0</v>
      </c>
      <c r="R105" s="46">
        <f t="shared" si="8"/>
        <v>0</v>
      </c>
      <c r="S105" s="46">
        <f t="shared" si="8"/>
        <v>0</v>
      </c>
      <c r="T105" s="46">
        <f t="shared" si="8"/>
        <v>0</v>
      </c>
      <c r="U105" s="47">
        <f t="shared" si="7"/>
        <v>0</v>
      </c>
      <c r="V105" s="47">
        <f t="shared" si="7"/>
        <v>0</v>
      </c>
      <c r="W105" s="47">
        <f t="shared" si="7"/>
        <v>0</v>
      </c>
      <c r="X105" s="47">
        <f t="shared" si="10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9"/>
        <v>0</v>
      </c>
      <c r="M106" s="46">
        <f t="shared" si="9"/>
        <v>0</v>
      </c>
      <c r="N106" s="46">
        <f t="shared" si="9"/>
        <v>0</v>
      </c>
      <c r="O106" s="46">
        <f t="shared" si="8"/>
        <v>0</v>
      </c>
      <c r="P106" s="46">
        <f t="shared" si="8"/>
        <v>0</v>
      </c>
      <c r="Q106" s="46">
        <f t="shared" si="8"/>
        <v>0</v>
      </c>
      <c r="R106" s="46">
        <f t="shared" si="8"/>
        <v>0</v>
      </c>
      <c r="S106" s="46">
        <f t="shared" si="8"/>
        <v>0</v>
      </c>
      <c r="T106" s="46">
        <f t="shared" si="8"/>
        <v>0</v>
      </c>
      <c r="U106" s="47">
        <f t="shared" si="7"/>
        <v>0</v>
      </c>
      <c r="V106" s="47">
        <f t="shared" si="7"/>
        <v>0</v>
      </c>
      <c r="W106" s="47">
        <f t="shared" si="7"/>
        <v>0</v>
      </c>
      <c r="X106" s="47">
        <f t="shared" ref="X106:X137" si="11">O106+P106+T106</f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9"/>
        <v>0</v>
      </c>
      <c r="M107" s="46">
        <f t="shared" si="9"/>
        <v>0</v>
      </c>
      <c r="N107" s="46">
        <f t="shared" si="9"/>
        <v>0</v>
      </c>
      <c r="O107" s="46">
        <f t="shared" si="8"/>
        <v>0</v>
      </c>
      <c r="P107" s="46">
        <f t="shared" si="8"/>
        <v>0</v>
      </c>
      <c r="Q107" s="46">
        <f t="shared" si="8"/>
        <v>0</v>
      </c>
      <c r="R107" s="46">
        <f t="shared" si="8"/>
        <v>0</v>
      </c>
      <c r="S107" s="46">
        <f t="shared" si="8"/>
        <v>0</v>
      </c>
      <c r="T107" s="46">
        <f t="shared" si="8"/>
        <v>0</v>
      </c>
      <c r="U107" s="47">
        <f t="shared" si="7"/>
        <v>0</v>
      </c>
      <c r="V107" s="47">
        <f t="shared" si="7"/>
        <v>0</v>
      </c>
      <c r="W107" s="47">
        <f t="shared" si="7"/>
        <v>0</v>
      </c>
      <c r="X107" s="47">
        <f t="shared" si="11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9"/>
        <v>0</v>
      </c>
      <c r="M108" s="46">
        <f t="shared" si="9"/>
        <v>0</v>
      </c>
      <c r="N108" s="46">
        <f t="shared" si="9"/>
        <v>0</v>
      </c>
      <c r="O108" s="46">
        <f t="shared" si="8"/>
        <v>0</v>
      </c>
      <c r="P108" s="46">
        <f t="shared" si="8"/>
        <v>0</v>
      </c>
      <c r="Q108" s="46">
        <f t="shared" si="8"/>
        <v>0</v>
      </c>
      <c r="R108" s="46">
        <f t="shared" si="8"/>
        <v>0</v>
      </c>
      <c r="S108" s="46">
        <f t="shared" si="8"/>
        <v>0</v>
      </c>
      <c r="T108" s="46">
        <f t="shared" si="8"/>
        <v>0</v>
      </c>
      <c r="U108" s="47">
        <f t="shared" si="7"/>
        <v>0</v>
      </c>
      <c r="V108" s="47">
        <f t="shared" si="7"/>
        <v>0</v>
      </c>
      <c r="W108" s="47">
        <f t="shared" si="7"/>
        <v>0</v>
      </c>
      <c r="X108" s="47">
        <f t="shared" si="11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9"/>
        <v>0</v>
      </c>
      <c r="M109" s="46">
        <f t="shared" si="9"/>
        <v>0</v>
      </c>
      <c r="N109" s="46">
        <f t="shared" si="9"/>
        <v>0</v>
      </c>
      <c r="O109" s="46">
        <f t="shared" si="8"/>
        <v>0</v>
      </c>
      <c r="P109" s="46">
        <f t="shared" si="8"/>
        <v>0</v>
      </c>
      <c r="Q109" s="46">
        <f t="shared" si="8"/>
        <v>0</v>
      </c>
      <c r="R109" s="46">
        <f t="shared" si="8"/>
        <v>0</v>
      </c>
      <c r="S109" s="46">
        <f t="shared" si="8"/>
        <v>0</v>
      </c>
      <c r="T109" s="46">
        <f t="shared" si="8"/>
        <v>0</v>
      </c>
      <c r="U109" s="47">
        <f t="shared" ref="U109:W152" si="12">L109+Q109</f>
        <v>0</v>
      </c>
      <c r="V109" s="47">
        <f t="shared" si="12"/>
        <v>0</v>
      </c>
      <c r="W109" s="47">
        <f t="shared" si="12"/>
        <v>0</v>
      </c>
      <c r="X109" s="47">
        <f t="shared" si="11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9"/>
        <v>0</v>
      </c>
      <c r="M110" s="46">
        <f t="shared" si="9"/>
        <v>0</v>
      </c>
      <c r="N110" s="46">
        <f t="shared" si="9"/>
        <v>0</v>
      </c>
      <c r="O110" s="46">
        <f t="shared" si="8"/>
        <v>0</v>
      </c>
      <c r="P110" s="46">
        <f t="shared" si="8"/>
        <v>0</v>
      </c>
      <c r="Q110" s="46">
        <f t="shared" si="8"/>
        <v>0</v>
      </c>
      <c r="R110" s="46">
        <f t="shared" si="8"/>
        <v>0</v>
      </c>
      <c r="S110" s="46">
        <f t="shared" si="8"/>
        <v>0</v>
      </c>
      <c r="T110" s="46">
        <f t="shared" si="8"/>
        <v>0</v>
      </c>
      <c r="U110" s="47">
        <f t="shared" si="12"/>
        <v>0</v>
      </c>
      <c r="V110" s="47">
        <f t="shared" si="12"/>
        <v>0</v>
      </c>
      <c r="W110" s="47">
        <f t="shared" si="12"/>
        <v>0</v>
      </c>
      <c r="X110" s="47">
        <f t="shared" si="11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9"/>
        <v>0</v>
      </c>
      <c r="M111" s="46">
        <f t="shared" si="9"/>
        <v>0</v>
      </c>
      <c r="N111" s="46">
        <f t="shared" si="9"/>
        <v>0</v>
      </c>
      <c r="O111" s="46">
        <f t="shared" si="8"/>
        <v>0</v>
      </c>
      <c r="P111" s="46">
        <f t="shared" si="8"/>
        <v>0</v>
      </c>
      <c r="Q111" s="46">
        <f t="shared" si="8"/>
        <v>0</v>
      </c>
      <c r="R111" s="46">
        <f t="shared" si="8"/>
        <v>0</v>
      </c>
      <c r="S111" s="46">
        <f t="shared" si="8"/>
        <v>0</v>
      </c>
      <c r="T111" s="46">
        <f t="shared" si="8"/>
        <v>0</v>
      </c>
      <c r="U111" s="47">
        <f t="shared" si="12"/>
        <v>0</v>
      </c>
      <c r="V111" s="47">
        <f t="shared" si="12"/>
        <v>0</v>
      </c>
      <c r="W111" s="47">
        <f t="shared" si="12"/>
        <v>0</v>
      </c>
      <c r="X111" s="47">
        <f t="shared" si="11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9"/>
        <v>0</v>
      </c>
      <c r="M112" s="46">
        <f t="shared" si="9"/>
        <v>0</v>
      </c>
      <c r="N112" s="46">
        <f t="shared" si="9"/>
        <v>0</v>
      </c>
      <c r="O112" s="46">
        <f t="shared" si="8"/>
        <v>0</v>
      </c>
      <c r="P112" s="46">
        <f t="shared" si="8"/>
        <v>0</v>
      </c>
      <c r="Q112" s="46">
        <f t="shared" si="8"/>
        <v>0</v>
      </c>
      <c r="R112" s="46">
        <f t="shared" si="8"/>
        <v>0</v>
      </c>
      <c r="S112" s="46">
        <f t="shared" si="8"/>
        <v>0</v>
      </c>
      <c r="T112" s="46">
        <f t="shared" si="8"/>
        <v>0</v>
      </c>
      <c r="U112" s="47">
        <f t="shared" si="12"/>
        <v>0</v>
      </c>
      <c r="V112" s="47">
        <f t="shared" si="12"/>
        <v>0</v>
      </c>
      <c r="W112" s="47">
        <f t="shared" si="12"/>
        <v>0</v>
      </c>
      <c r="X112" s="47">
        <f t="shared" si="11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9"/>
        <v>0</v>
      </c>
      <c r="M113" s="46">
        <f t="shared" si="9"/>
        <v>0</v>
      </c>
      <c r="N113" s="46">
        <f t="shared" si="9"/>
        <v>0</v>
      </c>
      <c r="O113" s="46">
        <f t="shared" si="8"/>
        <v>0</v>
      </c>
      <c r="P113" s="46">
        <f t="shared" si="8"/>
        <v>0</v>
      </c>
      <c r="Q113" s="46">
        <f t="shared" si="8"/>
        <v>0</v>
      </c>
      <c r="R113" s="46">
        <f t="shared" si="8"/>
        <v>0</v>
      </c>
      <c r="S113" s="46">
        <f t="shared" si="8"/>
        <v>0</v>
      </c>
      <c r="T113" s="46">
        <f t="shared" si="8"/>
        <v>0</v>
      </c>
      <c r="U113" s="47">
        <f t="shared" si="12"/>
        <v>0</v>
      </c>
      <c r="V113" s="47">
        <f t="shared" si="12"/>
        <v>0</v>
      </c>
      <c r="W113" s="47">
        <f t="shared" si="12"/>
        <v>0</v>
      </c>
      <c r="X113" s="47">
        <f t="shared" si="11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9"/>
        <v>0</v>
      </c>
      <c r="M114" s="46">
        <f t="shared" si="9"/>
        <v>0</v>
      </c>
      <c r="N114" s="46">
        <f t="shared" si="9"/>
        <v>0</v>
      </c>
      <c r="O114" s="46">
        <f t="shared" si="8"/>
        <v>0</v>
      </c>
      <c r="P114" s="46">
        <f t="shared" si="8"/>
        <v>0</v>
      </c>
      <c r="Q114" s="46">
        <f t="shared" si="8"/>
        <v>0</v>
      </c>
      <c r="R114" s="46">
        <f t="shared" si="8"/>
        <v>0</v>
      </c>
      <c r="S114" s="46">
        <f t="shared" si="8"/>
        <v>0</v>
      </c>
      <c r="T114" s="46">
        <f t="shared" si="8"/>
        <v>0</v>
      </c>
      <c r="U114" s="47">
        <f t="shared" si="12"/>
        <v>0</v>
      </c>
      <c r="V114" s="47">
        <f t="shared" si="12"/>
        <v>0</v>
      </c>
      <c r="W114" s="47">
        <f t="shared" si="12"/>
        <v>0</v>
      </c>
      <c r="X114" s="47">
        <f t="shared" si="11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9"/>
        <v>0</v>
      </c>
      <c r="M115" s="46">
        <f t="shared" si="9"/>
        <v>0</v>
      </c>
      <c r="N115" s="46">
        <f t="shared" si="9"/>
        <v>0</v>
      </c>
      <c r="O115" s="46">
        <f t="shared" si="8"/>
        <v>0</v>
      </c>
      <c r="P115" s="46">
        <f t="shared" si="8"/>
        <v>0</v>
      </c>
      <c r="Q115" s="46">
        <f t="shared" si="8"/>
        <v>0</v>
      </c>
      <c r="R115" s="46">
        <f t="shared" ref="R115:T152" si="13">IFERROR(H116-H115,0)</f>
        <v>0</v>
      </c>
      <c r="S115" s="46">
        <f t="shared" si="13"/>
        <v>0</v>
      </c>
      <c r="T115" s="46">
        <f t="shared" si="13"/>
        <v>0</v>
      </c>
      <c r="U115" s="47">
        <f t="shared" si="12"/>
        <v>0</v>
      </c>
      <c r="V115" s="47">
        <f t="shared" si="12"/>
        <v>0</v>
      </c>
      <c r="W115" s="47">
        <f t="shared" si="12"/>
        <v>0</v>
      </c>
      <c r="X115" s="47">
        <f t="shared" si="11"/>
        <v>0</v>
      </c>
    </row>
    <row r="116" spans="1:24" ht="20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9"/>
        <v>0</v>
      </c>
      <c r="M116" s="46">
        <f t="shared" si="9"/>
        <v>0</v>
      </c>
      <c r="N116" s="46">
        <f t="shared" si="9"/>
        <v>0</v>
      </c>
      <c r="O116" s="46">
        <f t="shared" si="9"/>
        <v>0</v>
      </c>
      <c r="P116" s="46">
        <f t="shared" si="9"/>
        <v>0</v>
      </c>
      <c r="Q116" s="46">
        <f t="shared" si="9"/>
        <v>0</v>
      </c>
      <c r="R116" s="46">
        <f t="shared" si="13"/>
        <v>0</v>
      </c>
      <c r="S116" s="46">
        <f t="shared" si="13"/>
        <v>0</v>
      </c>
      <c r="T116" s="46">
        <f t="shared" si="13"/>
        <v>0</v>
      </c>
      <c r="U116" s="47">
        <f t="shared" si="12"/>
        <v>0</v>
      </c>
      <c r="V116" s="47">
        <f t="shared" si="12"/>
        <v>0</v>
      </c>
      <c r="W116" s="47">
        <f t="shared" si="12"/>
        <v>0</v>
      </c>
      <c r="X116" s="47">
        <f t="shared" si="11"/>
        <v>0</v>
      </c>
    </row>
    <row r="117" spans="1:24" ht="16.75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9"/>
        <v>0</v>
      </c>
      <c r="M117" s="46">
        <f t="shared" si="9"/>
        <v>0</v>
      </c>
      <c r="N117" s="46">
        <f t="shared" si="9"/>
        <v>0</v>
      </c>
      <c r="O117" s="46">
        <f t="shared" si="9"/>
        <v>0</v>
      </c>
      <c r="P117" s="46">
        <f t="shared" si="9"/>
        <v>0</v>
      </c>
      <c r="Q117" s="46">
        <f t="shared" si="9"/>
        <v>0</v>
      </c>
      <c r="R117" s="46">
        <f t="shared" si="13"/>
        <v>0</v>
      </c>
      <c r="S117" s="46">
        <f t="shared" si="13"/>
        <v>0</v>
      </c>
      <c r="T117" s="46">
        <f t="shared" si="13"/>
        <v>0</v>
      </c>
      <c r="U117" s="47">
        <f t="shared" si="12"/>
        <v>0</v>
      </c>
      <c r="V117" s="47">
        <f t="shared" si="12"/>
        <v>0</v>
      </c>
      <c r="W117" s="47">
        <f t="shared" si="12"/>
        <v>0</v>
      </c>
      <c r="X117" s="47">
        <f t="shared" si="11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9"/>
        <v>0</v>
      </c>
      <c r="M118" s="46">
        <f t="shared" si="9"/>
        <v>0</v>
      </c>
      <c r="N118" s="46">
        <f t="shared" si="9"/>
        <v>0</v>
      </c>
      <c r="O118" s="46">
        <f t="shared" si="9"/>
        <v>0</v>
      </c>
      <c r="P118" s="46">
        <f t="shared" si="9"/>
        <v>0</v>
      </c>
      <c r="Q118" s="46">
        <f t="shared" si="9"/>
        <v>0</v>
      </c>
      <c r="R118" s="46">
        <f t="shared" si="13"/>
        <v>0</v>
      </c>
      <c r="S118" s="46">
        <f t="shared" si="13"/>
        <v>0</v>
      </c>
      <c r="T118" s="46">
        <f t="shared" si="13"/>
        <v>0</v>
      </c>
      <c r="U118" s="47">
        <f t="shared" si="12"/>
        <v>0</v>
      </c>
      <c r="V118" s="47">
        <f t="shared" si="12"/>
        <v>0</v>
      </c>
      <c r="W118" s="47">
        <f t="shared" si="12"/>
        <v>0</v>
      </c>
      <c r="X118" s="47">
        <f t="shared" si="11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9"/>
        <v>0</v>
      </c>
      <c r="M119" s="46">
        <f t="shared" si="9"/>
        <v>0</v>
      </c>
      <c r="N119" s="46">
        <f t="shared" si="9"/>
        <v>0</v>
      </c>
      <c r="O119" s="46">
        <f t="shared" si="9"/>
        <v>0</v>
      </c>
      <c r="P119" s="46">
        <f t="shared" si="9"/>
        <v>0</v>
      </c>
      <c r="Q119" s="46">
        <f t="shared" si="9"/>
        <v>0</v>
      </c>
      <c r="R119" s="46">
        <f t="shared" si="13"/>
        <v>0</v>
      </c>
      <c r="S119" s="46">
        <f t="shared" si="13"/>
        <v>0</v>
      </c>
      <c r="T119" s="46">
        <f t="shared" si="13"/>
        <v>0</v>
      </c>
      <c r="U119" s="47">
        <f t="shared" si="12"/>
        <v>0</v>
      </c>
      <c r="V119" s="47">
        <f t="shared" si="12"/>
        <v>0</v>
      </c>
      <c r="W119" s="47">
        <f t="shared" si="12"/>
        <v>0</v>
      </c>
      <c r="X119" s="47">
        <f t="shared" si="11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9"/>
        <v>0</v>
      </c>
      <c r="M120" s="46">
        <f t="shared" si="9"/>
        <v>0</v>
      </c>
      <c r="N120" s="46">
        <f t="shared" si="9"/>
        <v>0</v>
      </c>
      <c r="O120" s="46">
        <f t="shared" si="9"/>
        <v>0</v>
      </c>
      <c r="P120" s="46">
        <f t="shared" si="9"/>
        <v>0</v>
      </c>
      <c r="Q120" s="46">
        <f t="shared" si="9"/>
        <v>0</v>
      </c>
      <c r="R120" s="46">
        <f t="shared" si="13"/>
        <v>0</v>
      </c>
      <c r="S120" s="46">
        <f t="shared" si="13"/>
        <v>0</v>
      </c>
      <c r="T120" s="46">
        <f t="shared" si="13"/>
        <v>0</v>
      </c>
      <c r="U120" s="47">
        <f t="shared" si="12"/>
        <v>0</v>
      </c>
      <c r="V120" s="47">
        <f t="shared" si="12"/>
        <v>0</v>
      </c>
      <c r="W120" s="47">
        <f t="shared" si="12"/>
        <v>0</v>
      </c>
      <c r="X120" s="47">
        <f t="shared" si="11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9"/>
        <v>0</v>
      </c>
      <c r="M121" s="46">
        <f t="shared" si="9"/>
        <v>0</v>
      </c>
      <c r="N121" s="46">
        <f t="shared" si="9"/>
        <v>0</v>
      </c>
      <c r="O121" s="46">
        <f t="shared" si="9"/>
        <v>0</v>
      </c>
      <c r="P121" s="46">
        <f t="shared" si="9"/>
        <v>0</v>
      </c>
      <c r="Q121" s="46">
        <f t="shared" si="9"/>
        <v>0</v>
      </c>
      <c r="R121" s="46">
        <f t="shared" si="13"/>
        <v>0</v>
      </c>
      <c r="S121" s="46">
        <f t="shared" si="13"/>
        <v>0</v>
      </c>
      <c r="T121" s="46">
        <f t="shared" si="13"/>
        <v>0</v>
      </c>
      <c r="U121" s="47">
        <f t="shared" si="12"/>
        <v>0</v>
      </c>
      <c r="V121" s="47">
        <f t="shared" si="12"/>
        <v>0</v>
      </c>
      <c r="W121" s="47">
        <f t="shared" si="12"/>
        <v>0</v>
      </c>
      <c r="X121" s="47">
        <f t="shared" si="11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9"/>
        <v>0</v>
      </c>
      <c r="M122" s="46">
        <f t="shared" si="9"/>
        <v>0</v>
      </c>
      <c r="N122" s="46">
        <f t="shared" si="9"/>
        <v>0</v>
      </c>
      <c r="O122" s="46">
        <f t="shared" si="9"/>
        <v>0</v>
      </c>
      <c r="P122" s="46">
        <f t="shared" si="9"/>
        <v>0</v>
      </c>
      <c r="Q122" s="46">
        <f t="shared" si="9"/>
        <v>0</v>
      </c>
      <c r="R122" s="46">
        <f t="shared" si="13"/>
        <v>0</v>
      </c>
      <c r="S122" s="46">
        <f t="shared" si="13"/>
        <v>0</v>
      </c>
      <c r="T122" s="46">
        <f t="shared" si="13"/>
        <v>0</v>
      </c>
      <c r="U122" s="47">
        <f t="shared" si="12"/>
        <v>0</v>
      </c>
      <c r="V122" s="47">
        <f t="shared" si="12"/>
        <v>0</v>
      </c>
      <c r="W122" s="47">
        <f t="shared" si="12"/>
        <v>0</v>
      </c>
      <c r="X122" s="47">
        <f t="shared" si="11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9"/>
        <v>0</v>
      </c>
      <c r="M123" s="46">
        <f t="shared" si="9"/>
        <v>0</v>
      </c>
      <c r="N123" s="46">
        <f t="shared" si="9"/>
        <v>0</v>
      </c>
      <c r="O123" s="46">
        <f t="shared" si="9"/>
        <v>0</v>
      </c>
      <c r="P123" s="46">
        <f t="shared" si="9"/>
        <v>0</v>
      </c>
      <c r="Q123" s="46">
        <f t="shared" si="9"/>
        <v>0</v>
      </c>
      <c r="R123" s="46">
        <f t="shared" si="13"/>
        <v>0</v>
      </c>
      <c r="S123" s="46">
        <f t="shared" si="13"/>
        <v>0</v>
      </c>
      <c r="T123" s="46">
        <f t="shared" si="13"/>
        <v>0</v>
      </c>
      <c r="U123" s="47">
        <f t="shared" si="12"/>
        <v>0</v>
      </c>
      <c r="V123" s="47">
        <f t="shared" si="12"/>
        <v>0</v>
      </c>
      <c r="W123" s="47">
        <f t="shared" si="12"/>
        <v>0</v>
      </c>
      <c r="X123" s="47">
        <f t="shared" si="11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9"/>
        <v>0</v>
      </c>
      <c r="M124" s="46">
        <f t="shared" si="9"/>
        <v>0</v>
      </c>
      <c r="N124" s="46">
        <f t="shared" si="9"/>
        <v>0</v>
      </c>
      <c r="O124" s="46">
        <f t="shared" si="9"/>
        <v>0</v>
      </c>
      <c r="P124" s="46">
        <f t="shared" si="9"/>
        <v>0</v>
      </c>
      <c r="Q124" s="46">
        <f t="shared" si="9"/>
        <v>0</v>
      </c>
      <c r="R124" s="46">
        <f t="shared" si="13"/>
        <v>0</v>
      </c>
      <c r="S124" s="46">
        <f t="shared" si="13"/>
        <v>0</v>
      </c>
      <c r="T124" s="46">
        <f t="shared" si="13"/>
        <v>0</v>
      </c>
      <c r="U124" s="47">
        <f t="shared" si="12"/>
        <v>0</v>
      </c>
      <c r="V124" s="47">
        <f t="shared" si="12"/>
        <v>0</v>
      </c>
      <c r="W124" s="47">
        <f t="shared" si="12"/>
        <v>0</v>
      </c>
      <c r="X124" s="47">
        <f t="shared" si="11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9"/>
        <v>0</v>
      </c>
      <c r="M125" s="46">
        <f t="shared" si="9"/>
        <v>0</v>
      </c>
      <c r="N125" s="46">
        <f t="shared" si="9"/>
        <v>0</v>
      </c>
      <c r="O125" s="46">
        <f t="shared" si="9"/>
        <v>0</v>
      </c>
      <c r="P125" s="46">
        <f t="shared" si="9"/>
        <v>0</v>
      </c>
      <c r="Q125" s="46">
        <f t="shared" si="9"/>
        <v>0</v>
      </c>
      <c r="R125" s="46">
        <f t="shared" si="13"/>
        <v>0</v>
      </c>
      <c r="S125" s="46">
        <f t="shared" si="13"/>
        <v>0</v>
      </c>
      <c r="T125" s="46">
        <f t="shared" si="13"/>
        <v>0</v>
      </c>
      <c r="U125" s="47">
        <f t="shared" si="12"/>
        <v>0</v>
      </c>
      <c r="V125" s="47">
        <f t="shared" si="12"/>
        <v>0</v>
      </c>
      <c r="W125" s="47">
        <f t="shared" si="12"/>
        <v>0</v>
      </c>
      <c r="X125" s="47">
        <f t="shared" si="11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9"/>
        <v>0</v>
      </c>
      <c r="M126" s="46">
        <f t="shared" si="9"/>
        <v>0</v>
      </c>
      <c r="N126" s="46">
        <f t="shared" si="9"/>
        <v>0</v>
      </c>
      <c r="O126" s="46">
        <f t="shared" si="9"/>
        <v>0</v>
      </c>
      <c r="P126" s="46">
        <f t="shared" si="9"/>
        <v>0</v>
      </c>
      <c r="Q126" s="46">
        <f t="shared" si="9"/>
        <v>0</v>
      </c>
      <c r="R126" s="46">
        <f t="shared" si="13"/>
        <v>0</v>
      </c>
      <c r="S126" s="46">
        <f t="shared" si="13"/>
        <v>0</v>
      </c>
      <c r="T126" s="46">
        <f t="shared" si="13"/>
        <v>0</v>
      </c>
      <c r="U126" s="47">
        <f t="shared" si="12"/>
        <v>0</v>
      </c>
      <c r="V126" s="47">
        <f t="shared" si="12"/>
        <v>0</v>
      </c>
      <c r="W126" s="47">
        <f t="shared" si="12"/>
        <v>0</v>
      </c>
      <c r="X126" s="47">
        <f t="shared" si="11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9"/>
        <v>0</v>
      </c>
      <c r="M127" s="46">
        <f t="shared" si="9"/>
        <v>0</v>
      </c>
      <c r="N127" s="46">
        <f t="shared" si="9"/>
        <v>0</v>
      </c>
      <c r="O127" s="46">
        <f t="shared" si="9"/>
        <v>0</v>
      </c>
      <c r="P127" s="46">
        <f t="shared" si="9"/>
        <v>0</v>
      </c>
      <c r="Q127" s="46">
        <f t="shared" si="9"/>
        <v>0</v>
      </c>
      <c r="R127" s="46">
        <f t="shared" si="13"/>
        <v>0</v>
      </c>
      <c r="S127" s="46">
        <f t="shared" si="13"/>
        <v>0</v>
      </c>
      <c r="T127" s="46">
        <f t="shared" si="13"/>
        <v>0</v>
      </c>
      <c r="U127" s="47">
        <f t="shared" si="12"/>
        <v>0</v>
      </c>
      <c r="V127" s="47">
        <f t="shared" si="12"/>
        <v>0</v>
      </c>
      <c r="W127" s="47">
        <f t="shared" si="12"/>
        <v>0</v>
      </c>
      <c r="X127" s="47">
        <f t="shared" si="11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9"/>
        <v>0</v>
      </c>
      <c r="M128" s="46">
        <f t="shared" si="9"/>
        <v>0</v>
      </c>
      <c r="N128" s="46">
        <f t="shared" si="9"/>
        <v>0</v>
      </c>
      <c r="O128" s="46">
        <f t="shared" si="9"/>
        <v>0</v>
      </c>
      <c r="P128" s="46">
        <f t="shared" si="9"/>
        <v>0</v>
      </c>
      <c r="Q128" s="46">
        <f t="shared" si="9"/>
        <v>0</v>
      </c>
      <c r="R128" s="46">
        <f t="shared" si="13"/>
        <v>0</v>
      </c>
      <c r="S128" s="46">
        <f t="shared" si="13"/>
        <v>0</v>
      </c>
      <c r="T128" s="46">
        <f t="shared" si="13"/>
        <v>0</v>
      </c>
      <c r="U128" s="47">
        <f t="shared" si="12"/>
        <v>0</v>
      </c>
      <c r="V128" s="47">
        <f t="shared" si="12"/>
        <v>0</v>
      </c>
      <c r="W128" s="47">
        <f t="shared" si="12"/>
        <v>0</v>
      </c>
      <c r="X128" s="47">
        <f t="shared" si="11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9"/>
        <v>0</v>
      </c>
      <c r="M129" s="46">
        <f t="shared" si="9"/>
        <v>0</v>
      </c>
      <c r="N129" s="46">
        <f t="shared" si="9"/>
        <v>0</v>
      </c>
      <c r="O129" s="46">
        <f t="shared" si="9"/>
        <v>0</v>
      </c>
      <c r="P129" s="46">
        <f t="shared" si="9"/>
        <v>0</v>
      </c>
      <c r="Q129" s="46">
        <f t="shared" si="9"/>
        <v>0</v>
      </c>
      <c r="R129" s="46">
        <f t="shared" si="13"/>
        <v>0</v>
      </c>
      <c r="S129" s="46">
        <f t="shared" si="13"/>
        <v>0</v>
      </c>
      <c r="T129" s="46">
        <f t="shared" si="13"/>
        <v>0</v>
      </c>
      <c r="U129" s="47">
        <f t="shared" si="12"/>
        <v>0</v>
      </c>
      <c r="V129" s="47">
        <f t="shared" si="12"/>
        <v>0</v>
      </c>
      <c r="W129" s="47">
        <f t="shared" si="12"/>
        <v>0</v>
      </c>
      <c r="X129" s="47">
        <f t="shared" si="11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9"/>
        <v>0</v>
      </c>
      <c r="M130" s="46">
        <f t="shared" si="9"/>
        <v>0</v>
      </c>
      <c r="N130" s="46">
        <f t="shared" si="9"/>
        <v>0</v>
      </c>
      <c r="O130" s="46">
        <f t="shared" si="9"/>
        <v>0</v>
      </c>
      <c r="P130" s="46">
        <f t="shared" si="9"/>
        <v>0</v>
      </c>
      <c r="Q130" s="46">
        <f t="shared" si="9"/>
        <v>0</v>
      </c>
      <c r="R130" s="46">
        <f t="shared" si="13"/>
        <v>0</v>
      </c>
      <c r="S130" s="46">
        <f t="shared" si="13"/>
        <v>0</v>
      </c>
      <c r="T130" s="46">
        <f t="shared" si="13"/>
        <v>0</v>
      </c>
      <c r="U130" s="47">
        <f t="shared" si="12"/>
        <v>0</v>
      </c>
      <c r="V130" s="47">
        <f t="shared" si="12"/>
        <v>0</v>
      </c>
      <c r="W130" s="47">
        <f t="shared" si="12"/>
        <v>0</v>
      </c>
      <c r="X130" s="47">
        <f t="shared" si="11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9"/>
        <v>0</v>
      </c>
      <c r="M131" s="46">
        <f t="shared" si="9"/>
        <v>0</v>
      </c>
      <c r="N131" s="46">
        <f t="shared" si="9"/>
        <v>0</v>
      </c>
      <c r="O131" s="46">
        <f t="shared" si="9"/>
        <v>0</v>
      </c>
      <c r="P131" s="46">
        <f t="shared" si="9"/>
        <v>0</v>
      </c>
      <c r="Q131" s="46">
        <f t="shared" si="9"/>
        <v>0</v>
      </c>
      <c r="R131" s="46">
        <f t="shared" si="13"/>
        <v>0</v>
      </c>
      <c r="S131" s="46">
        <f t="shared" si="13"/>
        <v>0</v>
      </c>
      <c r="T131" s="46">
        <f t="shared" si="13"/>
        <v>0</v>
      </c>
      <c r="U131" s="47">
        <f t="shared" si="12"/>
        <v>0</v>
      </c>
      <c r="V131" s="47">
        <f t="shared" si="12"/>
        <v>0</v>
      </c>
      <c r="W131" s="47">
        <f t="shared" si="12"/>
        <v>0</v>
      </c>
      <c r="X131" s="47">
        <f t="shared" si="11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9"/>
        <v>0</v>
      </c>
      <c r="M132" s="46">
        <f t="shared" si="9"/>
        <v>0</v>
      </c>
      <c r="N132" s="46">
        <f t="shared" si="9"/>
        <v>0</v>
      </c>
      <c r="O132" s="46">
        <f t="shared" si="9"/>
        <v>0</v>
      </c>
      <c r="P132" s="46">
        <f t="shared" si="9"/>
        <v>0</v>
      </c>
      <c r="Q132" s="46">
        <f t="shared" si="9"/>
        <v>0</v>
      </c>
      <c r="R132" s="46">
        <f t="shared" si="13"/>
        <v>0</v>
      </c>
      <c r="S132" s="46">
        <f t="shared" si="13"/>
        <v>0</v>
      </c>
      <c r="T132" s="46">
        <f t="shared" si="13"/>
        <v>0</v>
      </c>
      <c r="U132" s="47">
        <f t="shared" si="12"/>
        <v>0</v>
      </c>
      <c r="V132" s="47">
        <f t="shared" si="12"/>
        <v>0</v>
      </c>
      <c r="W132" s="47">
        <f t="shared" si="12"/>
        <v>0</v>
      </c>
      <c r="X132" s="47">
        <f t="shared" si="11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9"/>
        <v>0</v>
      </c>
      <c r="M133" s="46">
        <f t="shared" si="9"/>
        <v>0</v>
      </c>
      <c r="N133" s="46">
        <f t="shared" si="9"/>
        <v>0</v>
      </c>
      <c r="O133" s="46">
        <f t="shared" si="9"/>
        <v>0</v>
      </c>
      <c r="P133" s="46">
        <f t="shared" si="9"/>
        <v>0</v>
      </c>
      <c r="Q133" s="46">
        <f t="shared" si="9"/>
        <v>0</v>
      </c>
      <c r="R133" s="46">
        <f t="shared" si="13"/>
        <v>0</v>
      </c>
      <c r="S133" s="46">
        <f t="shared" si="13"/>
        <v>0</v>
      </c>
      <c r="T133" s="46">
        <f t="shared" si="13"/>
        <v>0</v>
      </c>
      <c r="U133" s="47">
        <f t="shared" si="12"/>
        <v>0</v>
      </c>
      <c r="V133" s="47">
        <f t="shared" si="12"/>
        <v>0</v>
      </c>
      <c r="W133" s="47">
        <f t="shared" si="12"/>
        <v>0</v>
      </c>
      <c r="X133" s="47">
        <f t="shared" si="11"/>
        <v>0</v>
      </c>
    </row>
    <row r="134" spans="1:24" ht="20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9"/>
        <v>0</v>
      </c>
      <c r="M134" s="46">
        <f t="shared" si="9"/>
        <v>0</v>
      </c>
      <c r="N134" s="46">
        <f t="shared" si="9"/>
        <v>0</v>
      </c>
      <c r="O134" s="46">
        <f t="shared" si="9"/>
        <v>0</v>
      </c>
      <c r="P134" s="46">
        <f t="shared" si="9"/>
        <v>0</v>
      </c>
      <c r="Q134" s="46">
        <f t="shared" si="9"/>
        <v>0</v>
      </c>
      <c r="R134" s="46">
        <f t="shared" si="13"/>
        <v>0</v>
      </c>
      <c r="S134" s="46">
        <f t="shared" si="13"/>
        <v>0</v>
      </c>
      <c r="T134" s="46">
        <f t="shared" si="13"/>
        <v>0</v>
      </c>
      <c r="U134" s="47">
        <f t="shared" si="12"/>
        <v>0</v>
      </c>
      <c r="V134" s="47">
        <f t="shared" si="12"/>
        <v>0</v>
      </c>
      <c r="W134" s="47">
        <f t="shared" si="12"/>
        <v>0</v>
      </c>
      <c r="X134" s="47">
        <f t="shared" si="11"/>
        <v>0</v>
      </c>
    </row>
    <row r="135" spans="1:24" ht="16.75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9"/>
        <v>0</v>
      </c>
      <c r="M135" s="46">
        <f t="shared" si="9"/>
        <v>0</v>
      </c>
      <c r="N135" s="46">
        <f t="shared" si="9"/>
        <v>0</v>
      </c>
      <c r="O135" s="46">
        <f t="shared" si="9"/>
        <v>0</v>
      </c>
      <c r="P135" s="46">
        <f t="shared" si="9"/>
        <v>0</v>
      </c>
      <c r="Q135" s="46">
        <f t="shared" si="9"/>
        <v>0</v>
      </c>
      <c r="R135" s="46">
        <f t="shared" si="13"/>
        <v>0</v>
      </c>
      <c r="S135" s="46">
        <f t="shared" si="13"/>
        <v>0</v>
      </c>
      <c r="T135" s="46">
        <f t="shared" si="13"/>
        <v>0</v>
      </c>
      <c r="U135" s="47">
        <f t="shared" si="12"/>
        <v>0</v>
      </c>
      <c r="V135" s="47">
        <f t="shared" si="12"/>
        <v>0</v>
      </c>
      <c r="W135" s="47">
        <f t="shared" si="12"/>
        <v>0</v>
      </c>
      <c r="X135" s="47">
        <f t="shared" si="11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9"/>
        <v>0</v>
      </c>
      <c r="M136" s="46">
        <f t="shared" si="9"/>
        <v>0</v>
      </c>
      <c r="N136" s="46">
        <f t="shared" si="9"/>
        <v>0</v>
      </c>
      <c r="O136" s="46">
        <f t="shared" si="9"/>
        <v>0</v>
      </c>
      <c r="P136" s="46">
        <f t="shared" si="9"/>
        <v>0</v>
      </c>
      <c r="Q136" s="46">
        <f t="shared" si="9"/>
        <v>0</v>
      </c>
      <c r="R136" s="46">
        <f t="shared" si="13"/>
        <v>0</v>
      </c>
      <c r="S136" s="46">
        <f t="shared" si="13"/>
        <v>0</v>
      </c>
      <c r="T136" s="46">
        <f t="shared" si="13"/>
        <v>0</v>
      </c>
      <c r="U136" s="47">
        <f t="shared" si="12"/>
        <v>0</v>
      </c>
      <c r="V136" s="47">
        <f t="shared" si="12"/>
        <v>0</v>
      </c>
      <c r="W136" s="47">
        <f t="shared" si="12"/>
        <v>0</v>
      </c>
      <c r="X136" s="47">
        <f t="shared" si="11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si="9"/>
        <v>0</v>
      </c>
      <c r="M137" s="46">
        <f t="shared" si="9"/>
        <v>0</v>
      </c>
      <c r="N137" s="46">
        <f t="shared" si="9"/>
        <v>0</v>
      </c>
      <c r="O137" s="46">
        <f t="shared" ref="O137:Q152" si="14">IFERROR(E138-E137,0)</f>
        <v>0</v>
      </c>
      <c r="P137" s="46">
        <f t="shared" si="14"/>
        <v>0</v>
      </c>
      <c r="Q137" s="46">
        <f t="shared" si="14"/>
        <v>0</v>
      </c>
      <c r="R137" s="46">
        <f t="shared" si="13"/>
        <v>0</v>
      </c>
      <c r="S137" s="46">
        <f t="shared" si="13"/>
        <v>0</v>
      </c>
      <c r="T137" s="46">
        <f t="shared" si="13"/>
        <v>0</v>
      </c>
      <c r="U137" s="47">
        <f t="shared" si="12"/>
        <v>0</v>
      </c>
      <c r="V137" s="47">
        <f t="shared" si="12"/>
        <v>0</v>
      </c>
      <c r="W137" s="47">
        <f t="shared" si="12"/>
        <v>0</v>
      </c>
      <c r="X137" s="47">
        <f t="shared" si="11"/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ref="L138:N152" si="15">IFERROR(B139-B138,0)</f>
        <v>0</v>
      </c>
      <c r="M138" s="46">
        <f t="shared" si="15"/>
        <v>0</v>
      </c>
      <c r="N138" s="46">
        <f t="shared" si="15"/>
        <v>0</v>
      </c>
      <c r="O138" s="46">
        <f t="shared" si="14"/>
        <v>0</v>
      </c>
      <c r="P138" s="46">
        <f t="shared" si="14"/>
        <v>0</v>
      </c>
      <c r="Q138" s="46">
        <f t="shared" si="14"/>
        <v>0</v>
      </c>
      <c r="R138" s="46">
        <f t="shared" si="13"/>
        <v>0</v>
      </c>
      <c r="S138" s="46">
        <f t="shared" si="13"/>
        <v>0</v>
      </c>
      <c r="T138" s="46">
        <f t="shared" si="13"/>
        <v>0</v>
      </c>
      <c r="U138" s="47">
        <f t="shared" si="12"/>
        <v>0</v>
      </c>
      <c r="V138" s="47">
        <f t="shared" si="12"/>
        <v>0</v>
      </c>
      <c r="W138" s="47">
        <f t="shared" si="12"/>
        <v>0</v>
      </c>
      <c r="X138" s="47">
        <f t="shared" ref="X138:X153" si="16">O138+P138+T138</f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15"/>
        <v>0</v>
      </c>
      <c r="M139" s="46">
        <f t="shared" si="15"/>
        <v>0</v>
      </c>
      <c r="N139" s="46">
        <f t="shared" si="15"/>
        <v>0</v>
      </c>
      <c r="O139" s="46">
        <f t="shared" si="14"/>
        <v>0</v>
      </c>
      <c r="P139" s="46">
        <f t="shared" si="14"/>
        <v>0</v>
      </c>
      <c r="Q139" s="46">
        <f t="shared" si="14"/>
        <v>0</v>
      </c>
      <c r="R139" s="46">
        <f t="shared" si="13"/>
        <v>0</v>
      </c>
      <c r="S139" s="46">
        <f t="shared" si="13"/>
        <v>0</v>
      </c>
      <c r="T139" s="46">
        <f t="shared" si="13"/>
        <v>0</v>
      </c>
      <c r="U139" s="47">
        <f t="shared" si="12"/>
        <v>0</v>
      </c>
      <c r="V139" s="47">
        <f t="shared" si="12"/>
        <v>0</v>
      </c>
      <c r="W139" s="47">
        <f t="shared" si="12"/>
        <v>0</v>
      </c>
      <c r="X139" s="47">
        <f t="shared" si="16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15"/>
        <v>0</v>
      </c>
      <c r="M140" s="46">
        <f t="shared" si="15"/>
        <v>0</v>
      </c>
      <c r="N140" s="46">
        <f t="shared" si="15"/>
        <v>0</v>
      </c>
      <c r="O140" s="46">
        <f t="shared" si="14"/>
        <v>0</v>
      </c>
      <c r="P140" s="46">
        <f t="shared" si="14"/>
        <v>0</v>
      </c>
      <c r="Q140" s="46">
        <f t="shared" si="14"/>
        <v>0</v>
      </c>
      <c r="R140" s="46">
        <f t="shared" si="13"/>
        <v>0</v>
      </c>
      <c r="S140" s="46">
        <f t="shared" si="13"/>
        <v>0</v>
      </c>
      <c r="T140" s="46">
        <f t="shared" si="13"/>
        <v>0</v>
      </c>
      <c r="U140" s="47">
        <f t="shared" si="12"/>
        <v>0</v>
      </c>
      <c r="V140" s="47">
        <f t="shared" si="12"/>
        <v>0</v>
      </c>
      <c r="W140" s="47">
        <f t="shared" si="12"/>
        <v>0</v>
      </c>
      <c r="X140" s="47">
        <f t="shared" si="16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15"/>
        <v>0</v>
      </c>
      <c r="M141" s="46">
        <f t="shared" si="15"/>
        <v>0</v>
      </c>
      <c r="N141" s="46">
        <f t="shared" si="15"/>
        <v>0</v>
      </c>
      <c r="O141" s="46">
        <f t="shared" si="14"/>
        <v>0</v>
      </c>
      <c r="P141" s="46">
        <f t="shared" si="14"/>
        <v>0</v>
      </c>
      <c r="Q141" s="46">
        <f t="shared" si="14"/>
        <v>0</v>
      </c>
      <c r="R141" s="46">
        <f t="shared" si="13"/>
        <v>0</v>
      </c>
      <c r="S141" s="46">
        <f t="shared" si="13"/>
        <v>0</v>
      </c>
      <c r="T141" s="46">
        <f t="shared" si="13"/>
        <v>0</v>
      </c>
      <c r="U141" s="47">
        <f t="shared" si="12"/>
        <v>0</v>
      </c>
      <c r="V141" s="47">
        <f t="shared" si="12"/>
        <v>0</v>
      </c>
      <c r="W141" s="47">
        <f t="shared" si="12"/>
        <v>0</v>
      </c>
      <c r="X141" s="47">
        <f t="shared" si="16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15"/>
        <v>0</v>
      </c>
      <c r="M142" s="46">
        <f t="shared" si="15"/>
        <v>0</v>
      </c>
      <c r="N142" s="46">
        <f t="shared" si="15"/>
        <v>0</v>
      </c>
      <c r="O142" s="46">
        <f t="shared" si="14"/>
        <v>0</v>
      </c>
      <c r="P142" s="46">
        <f t="shared" si="14"/>
        <v>0</v>
      </c>
      <c r="Q142" s="46">
        <f t="shared" si="14"/>
        <v>0</v>
      </c>
      <c r="R142" s="46">
        <f t="shared" si="13"/>
        <v>0</v>
      </c>
      <c r="S142" s="46">
        <f t="shared" si="13"/>
        <v>0</v>
      </c>
      <c r="T142" s="46">
        <f t="shared" si="13"/>
        <v>0</v>
      </c>
      <c r="U142" s="47">
        <f t="shared" si="12"/>
        <v>0</v>
      </c>
      <c r="V142" s="47">
        <f t="shared" si="12"/>
        <v>0</v>
      </c>
      <c r="W142" s="47">
        <f t="shared" si="12"/>
        <v>0</v>
      </c>
      <c r="X142" s="47">
        <f t="shared" si="16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15"/>
        <v>0</v>
      </c>
      <c r="M143" s="46">
        <f t="shared" si="15"/>
        <v>0</v>
      </c>
      <c r="N143" s="46">
        <f t="shared" si="15"/>
        <v>0</v>
      </c>
      <c r="O143" s="46">
        <f t="shared" si="14"/>
        <v>0</v>
      </c>
      <c r="P143" s="46">
        <f t="shared" si="14"/>
        <v>0</v>
      </c>
      <c r="Q143" s="46">
        <f t="shared" si="14"/>
        <v>0</v>
      </c>
      <c r="R143" s="46">
        <f t="shared" si="13"/>
        <v>0</v>
      </c>
      <c r="S143" s="46">
        <f t="shared" si="13"/>
        <v>0</v>
      </c>
      <c r="T143" s="46">
        <f t="shared" si="13"/>
        <v>0</v>
      </c>
      <c r="U143" s="47">
        <f t="shared" si="12"/>
        <v>0</v>
      </c>
      <c r="V143" s="47">
        <f t="shared" si="12"/>
        <v>0</v>
      </c>
      <c r="W143" s="47">
        <f t="shared" si="12"/>
        <v>0</v>
      </c>
      <c r="X143" s="47">
        <f t="shared" si="16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15"/>
        <v>0</v>
      </c>
      <c r="M144" s="46">
        <f t="shared" si="15"/>
        <v>0</v>
      </c>
      <c r="N144" s="46">
        <f t="shared" si="15"/>
        <v>0</v>
      </c>
      <c r="O144" s="46">
        <f t="shared" si="14"/>
        <v>0</v>
      </c>
      <c r="P144" s="46">
        <f t="shared" si="14"/>
        <v>0</v>
      </c>
      <c r="Q144" s="46">
        <f t="shared" si="14"/>
        <v>0</v>
      </c>
      <c r="R144" s="46">
        <f t="shared" si="13"/>
        <v>0</v>
      </c>
      <c r="S144" s="46">
        <f t="shared" si="13"/>
        <v>0</v>
      </c>
      <c r="T144" s="46">
        <f t="shared" si="13"/>
        <v>0</v>
      </c>
      <c r="U144" s="47">
        <f t="shared" si="12"/>
        <v>0</v>
      </c>
      <c r="V144" s="47">
        <f t="shared" si="12"/>
        <v>0</v>
      </c>
      <c r="W144" s="47">
        <f t="shared" si="12"/>
        <v>0</v>
      </c>
      <c r="X144" s="47">
        <f t="shared" si="16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15"/>
        <v>0</v>
      </c>
      <c r="M145" s="46">
        <f t="shared" si="15"/>
        <v>0</v>
      </c>
      <c r="N145" s="46">
        <f t="shared" si="15"/>
        <v>0</v>
      </c>
      <c r="O145" s="46">
        <f t="shared" si="14"/>
        <v>0</v>
      </c>
      <c r="P145" s="46">
        <f t="shared" si="14"/>
        <v>0</v>
      </c>
      <c r="Q145" s="46">
        <f t="shared" si="14"/>
        <v>0</v>
      </c>
      <c r="R145" s="46">
        <f t="shared" si="13"/>
        <v>0</v>
      </c>
      <c r="S145" s="46">
        <f t="shared" si="13"/>
        <v>0</v>
      </c>
      <c r="T145" s="46">
        <f t="shared" si="13"/>
        <v>0</v>
      </c>
      <c r="U145" s="47">
        <f t="shared" si="12"/>
        <v>0</v>
      </c>
      <c r="V145" s="47">
        <f t="shared" si="12"/>
        <v>0</v>
      </c>
      <c r="W145" s="47">
        <f t="shared" si="12"/>
        <v>0</v>
      </c>
      <c r="X145" s="47">
        <f t="shared" si="16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15"/>
        <v>0</v>
      </c>
      <c r="M146" s="46">
        <f t="shared" si="15"/>
        <v>0</v>
      </c>
      <c r="N146" s="46">
        <f t="shared" si="15"/>
        <v>0</v>
      </c>
      <c r="O146" s="46">
        <f t="shared" si="14"/>
        <v>0</v>
      </c>
      <c r="P146" s="46">
        <f t="shared" si="14"/>
        <v>0</v>
      </c>
      <c r="Q146" s="46">
        <f t="shared" si="14"/>
        <v>0</v>
      </c>
      <c r="R146" s="46">
        <f t="shared" si="13"/>
        <v>0</v>
      </c>
      <c r="S146" s="46">
        <f t="shared" si="13"/>
        <v>0</v>
      </c>
      <c r="T146" s="46">
        <f t="shared" si="13"/>
        <v>0</v>
      </c>
      <c r="U146" s="47">
        <f t="shared" si="12"/>
        <v>0</v>
      </c>
      <c r="V146" s="47">
        <f t="shared" si="12"/>
        <v>0</v>
      </c>
      <c r="W146" s="47">
        <f t="shared" si="12"/>
        <v>0</v>
      </c>
      <c r="X146" s="47">
        <f t="shared" si="16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15"/>
        <v>0</v>
      </c>
      <c r="M147" s="46">
        <f t="shared" si="15"/>
        <v>0</v>
      </c>
      <c r="N147" s="46">
        <f t="shared" si="15"/>
        <v>0</v>
      </c>
      <c r="O147" s="46">
        <f t="shared" si="14"/>
        <v>0</v>
      </c>
      <c r="P147" s="46">
        <f t="shared" si="14"/>
        <v>0</v>
      </c>
      <c r="Q147" s="46">
        <f t="shared" si="14"/>
        <v>0</v>
      </c>
      <c r="R147" s="46">
        <f t="shared" si="13"/>
        <v>0</v>
      </c>
      <c r="S147" s="46">
        <f t="shared" si="13"/>
        <v>0</v>
      </c>
      <c r="T147" s="46">
        <f t="shared" si="13"/>
        <v>0</v>
      </c>
      <c r="U147" s="47">
        <f t="shared" si="12"/>
        <v>0</v>
      </c>
      <c r="V147" s="47">
        <f t="shared" si="12"/>
        <v>0</v>
      </c>
      <c r="W147" s="47">
        <f t="shared" si="12"/>
        <v>0</v>
      </c>
      <c r="X147" s="47">
        <f t="shared" si="16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15"/>
        <v>0</v>
      </c>
      <c r="M148" s="46">
        <f t="shared" si="15"/>
        <v>0</v>
      </c>
      <c r="N148" s="46">
        <f t="shared" si="15"/>
        <v>0</v>
      </c>
      <c r="O148" s="46">
        <f t="shared" si="14"/>
        <v>0</v>
      </c>
      <c r="P148" s="46">
        <f t="shared" si="14"/>
        <v>0</v>
      </c>
      <c r="Q148" s="46">
        <f t="shared" si="14"/>
        <v>0</v>
      </c>
      <c r="R148" s="46">
        <f t="shared" si="13"/>
        <v>0</v>
      </c>
      <c r="S148" s="46">
        <f t="shared" si="13"/>
        <v>0</v>
      </c>
      <c r="T148" s="46">
        <f t="shared" si="13"/>
        <v>0</v>
      </c>
      <c r="U148" s="47">
        <f t="shared" si="12"/>
        <v>0</v>
      </c>
      <c r="V148" s="47">
        <f t="shared" si="12"/>
        <v>0</v>
      </c>
      <c r="W148" s="47">
        <f t="shared" si="12"/>
        <v>0</v>
      </c>
      <c r="X148" s="47">
        <f t="shared" si="16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15"/>
        <v>0</v>
      </c>
      <c r="M149" s="46">
        <f t="shared" si="15"/>
        <v>0</v>
      </c>
      <c r="N149" s="46">
        <f t="shared" si="15"/>
        <v>0</v>
      </c>
      <c r="O149" s="46">
        <f t="shared" si="14"/>
        <v>0</v>
      </c>
      <c r="P149" s="46">
        <f t="shared" si="14"/>
        <v>0</v>
      </c>
      <c r="Q149" s="46">
        <f t="shared" si="14"/>
        <v>0</v>
      </c>
      <c r="R149" s="46">
        <f t="shared" si="13"/>
        <v>0</v>
      </c>
      <c r="S149" s="46">
        <f t="shared" si="13"/>
        <v>0</v>
      </c>
      <c r="T149" s="46">
        <f t="shared" si="13"/>
        <v>0</v>
      </c>
      <c r="U149" s="47">
        <f t="shared" si="12"/>
        <v>0</v>
      </c>
      <c r="V149" s="47">
        <f t="shared" si="12"/>
        <v>0</v>
      </c>
      <c r="W149" s="47">
        <f t="shared" si="12"/>
        <v>0</v>
      </c>
      <c r="X149" s="47">
        <f t="shared" si="16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15"/>
        <v>0</v>
      </c>
      <c r="M150" s="46">
        <f t="shared" si="15"/>
        <v>0</v>
      </c>
      <c r="N150" s="46">
        <f t="shared" si="15"/>
        <v>0</v>
      </c>
      <c r="O150" s="46">
        <f t="shared" si="14"/>
        <v>0</v>
      </c>
      <c r="P150" s="46">
        <f t="shared" si="14"/>
        <v>0</v>
      </c>
      <c r="Q150" s="46">
        <f t="shared" si="14"/>
        <v>0</v>
      </c>
      <c r="R150" s="46">
        <f t="shared" si="13"/>
        <v>0</v>
      </c>
      <c r="S150" s="46">
        <f t="shared" si="13"/>
        <v>0</v>
      </c>
      <c r="T150" s="46">
        <f t="shared" si="13"/>
        <v>0</v>
      </c>
      <c r="U150" s="47">
        <f t="shared" si="12"/>
        <v>0</v>
      </c>
      <c r="V150" s="47">
        <f t="shared" si="12"/>
        <v>0</v>
      </c>
      <c r="W150" s="47">
        <f t="shared" si="12"/>
        <v>0</v>
      </c>
      <c r="X150" s="47">
        <f t="shared" si="16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15"/>
        <v>0</v>
      </c>
      <c r="M151" s="46">
        <f t="shared" si="15"/>
        <v>0</v>
      </c>
      <c r="N151" s="46">
        <f t="shared" si="15"/>
        <v>0</v>
      </c>
      <c r="O151" s="46">
        <f t="shared" si="14"/>
        <v>0</v>
      </c>
      <c r="P151" s="46">
        <f t="shared" si="14"/>
        <v>0</v>
      </c>
      <c r="Q151" s="46">
        <f t="shared" si="14"/>
        <v>0</v>
      </c>
      <c r="R151" s="46">
        <f t="shared" si="13"/>
        <v>0</v>
      </c>
      <c r="S151" s="46">
        <f t="shared" si="13"/>
        <v>0</v>
      </c>
      <c r="T151" s="46">
        <f t="shared" si="13"/>
        <v>0</v>
      </c>
      <c r="U151" s="47">
        <f t="shared" si="12"/>
        <v>0</v>
      </c>
      <c r="V151" s="47">
        <f t="shared" si="12"/>
        <v>0</v>
      </c>
      <c r="W151" s="47">
        <f t="shared" si="12"/>
        <v>0</v>
      </c>
      <c r="X151" s="47">
        <f t="shared" si="16"/>
        <v>0</v>
      </c>
    </row>
    <row r="152" spans="1:24" ht="20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46">
        <f t="shared" si="15"/>
        <v>0</v>
      </c>
      <c r="M152" s="46">
        <f t="shared" si="15"/>
        <v>0</v>
      </c>
      <c r="N152" s="46">
        <f t="shared" si="15"/>
        <v>0</v>
      </c>
      <c r="O152" s="46">
        <f t="shared" si="14"/>
        <v>0</v>
      </c>
      <c r="P152" s="46">
        <f t="shared" si="14"/>
        <v>0</v>
      </c>
      <c r="Q152" s="46">
        <f t="shared" si="14"/>
        <v>0</v>
      </c>
      <c r="R152" s="46">
        <f t="shared" si="13"/>
        <v>0</v>
      </c>
      <c r="S152" s="46">
        <f t="shared" si="13"/>
        <v>0</v>
      </c>
      <c r="T152" s="46">
        <f t="shared" si="13"/>
        <v>0</v>
      </c>
      <c r="U152" s="47">
        <f t="shared" si="12"/>
        <v>0</v>
      </c>
      <c r="V152" s="47">
        <f t="shared" si="12"/>
        <v>0</v>
      </c>
      <c r="W152" s="47">
        <f t="shared" si="12"/>
        <v>0</v>
      </c>
      <c r="X152" s="47">
        <f t="shared" si="16"/>
        <v>0</v>
      </c>
    </row>
    <row r="153" spans="1:24" ht="16.75" customHeight="1" x14ac:dyDescent="0.35">
      <c r="A153" s="29"/>
      <c r="B153" s="30"/>
      <c r="C153" s="31"/>
      <c r="D153" s="31"/>
      <c r="E153" s="31"/>
      <c r="F153" s="31"/>
      <c r="G153" s="31"/>
      <c r="H153" s="31"/>
      <c r="I153" s="31"/>
      <c r="J153" s="34"/>
      <c r="L153" s="35"/>
      <c r="M153" s="35"/>
      <c r="N153" s="35"/>
      <c r="O153" s="35"/>
      <c r="P153" s="35"/>
      <c r="Q153" s="35"/>
      <c r="R153" s="35"/>
      <c r="S153" s="35"/>
      <c r="T153" s="35"/>
      <c r="U153" s="36">
        <f t="shared" ref="U153:W153" si="17">L153+Q153</f>
        <v>0</v>
      </c>
      <c r="V153" s="36">
        <f t="shared" si="17"/>
        <v>0</v>
      </c>
      <c r="W153" s="36">
        <f t="shared" si="17"/>
        <v>0</v>
      </c>
      <c r="X153" s="36">
        <f t="shared" si="16"/>
        <v>0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2"/>
  <sheetViews>
    <sheetView topLeftCell="A26" zoomScale="76" workbookViewId="0">
      <selection activeCell="A40" sqref="A40:J40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0.26953125" style="21" customWidth="1"/>
    <col min="25" max="16384" width="8.7265625" style="21"/>
  </cols>
  <sheetData>
    <row r="1" spans="1:24" ht="14.25" customHeight="1" x14ac:dyDescent="0.3">
      <c r="A1" s="19" t="s">
        <v>146</v>
      </c>
      <c r="B1" s="19"/>
      <c r="C1" s="19"/>
      <c r="D1" s="20"/>
      <c r="E1" s="20"/>
      <c r="F1" s="20"/>
      <c r="G1" s="20"/>
      <c r="H1" s="20"/>
      <c r="I1" s="19" t="s">
        <v>147</v>
      </c>
      <c r="J1" s="19"/>
    </row>
    <row r="2" spans="1:24" ht="14.25" customHeight="1" x14ac:dyDescent="0.3">
      <c r="A2" s="19" t="s">
        <v>148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149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150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151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152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153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154</v>
      </c>
      <c r="B8" s="23"/>
      <c r="C8" s="24"/>
      <c r="D8" s="24"/>
      <c r="E8" s="24"/>
      <c r="F8" s="24"/>
      <c r="G8" s="24"/>
      <c r="H8" s="24"/>
      <c r="I8" s="24"/>
      <c r="J8" s="24"/>
      <c r="L8" s="43">
        <f t="shared" ref="L8:X8" si="0">SUBTOTAL(9,L10:L11151)</f>
        <v>-395634.9</v>
      </c>
      <c r="M8" s="43">
        <f t="shared" si="0"/>
        <v>-216048.1</v>
      </c>
      <c r="N8" s="43">
        <f t="shared" si="0"/>
        <v>-34876.199999999997</v>
      </c>
      <c r="O8" s="43">
        <f t="shared" si="0"/>
        <v>-355078.5</v>
      </c>
      <c r="P8" s="43">
        <f t="shared" si="0"/>
        <v>-238362.8</v>
      </c>
      <c r="Q8" s="43">
        <f t="shared" si="0"/>
        <v>-502130.1</v>
      </c>
      <c r="R8" s="43">
        <f t="shared" si="0"/>
        <v>-303165.5</v>
      </c>
      <c r="S8" s="43">
        <f t="shared" si="0"/>
        <v>-671211.6</v>
      </c>
      <c r="T8" s="43">
        <f t="shared" si="0"/>
        <v>-1382335</v>
      </c>
      <c r="U8" s="43">
        <f t="shared" si="0"/>
        <v>-897765</v>
      </c>
      <c r="V8" s="43">
        <f t="shared" si="0"/>
        <v>-519213.6</v>
      </c>
      <c r="W8" s="43">
        <f t="shared" si="0"/>
        <v>-706087.8</v>
      </c>
      <c r="X8" s="43">
        <f t="shared" si="0"/>
        <v>-1975776.3</v>
      </c>
    </row>
    <row r="9" spans="1:24" ht="52" x14ac:dyDescent="0.35">
      <c r="A9" s="25" t="s">
        <v>155</v>
      </c>
      <c r="B9" s="26" t="s">
        <v>156</v>
      </c>
      <c r="C9" s="25" t="s">
        <v>157</v>
      </c>
      <c r="D9" s="25" t="s">
        <v>158</v>
      </c>
      <c r="E9" s="25" t="s">
        <v>159</v>
      </c>
      <c r="F9" s="25" t="s">
        <v>160</v>
      </c>
      <c r="G9" s="25" t="s">
        <v>161</v>
      </c>
      <c r="H9" s="27" t="s">
        <v>162</v>
      </c>
      <c r="I9" s="28" t="s">
        <v>163</v>
      </c>
      <c r="J9" s="25" t="s">
        <v>164</v>
      </c>
      <c r="L9" s="44" t="s">
        <v>167</v>
      </c>
      <c r="M9" s="44" t="s">
        <v>168</v>
      </c>
      <c r="N9" s="44" t="s">
        <v>169</v>
      </c>
      <c r="O9" s="44" t="s">
        <v>170</v>
      </c>
      <c r="P9" s="44" t="s">
        <v>171</v>
      </c>
      <c r="Q9" s="44" t="s">
        <v>172</v>
      </c>
      <c r="R9" s="44" t="s">
        <v>173</v>
      </c>
      <c r="S9" s="44" t="s">
        <v>174</v>
      </c>
      <c r="T9" s="44" t="s">
        <v>175</v>
      </c>
      <c r="U9" s="45" t="s">
        <v>165</v>
      </c>
      <c r="V9" s="45" t="s">
        <v>128</v>
      </c>
      <c r="W9" s="45" t="s">
        <v>130</v>
      </c>
      <c r="X9" s="45" t="s">
        <v>166</v>
      </c>
    </row>
    <row r="10" spans="1:24" ht="20" customHeight="1" x14ac:dyDescent="0.35">
      <c r="A10" s="29" t="s">
        <v>198</v>
      </c>
      <c r="B10" s="51">
        <v>395634.9</v>
      </c>
      <c r="C10" s="29" t="s">
        <v>179</v>
      </c>
      <c r="D10" s="52">
        <v>34876.199999999997</v>
      </c>
      <c r="E10" s="52">
        <v>355078.5</v>
      </c>
      <c r="F10" s="52">
        <v>238362.8</v>
      </c>
      <c r="G10" s="52">
        <v>502130.1</v>
      </c>
      <c r="H10" s="32" t="s">
        <v>179</v>
      </c>
      <c r="I10" s="52">
        <v>671211.6</v>
      </c>
      <c r="J10" s="52">
        <v>1382335</v>
      </c>
      <c r="L10" s="46">
        <f>IFERROR(B11-B10,0)</f>
        <v>501.69999999995343</v>
      </c>
      <c r="M10" s="46">
        <f t="shared" ref="M10:T25" si="1">IFERROR(C11-C10,0)</f>
        <v>0</v>
      </c>
      <c r="N10" s="46">
        <f t="shared" si="1"/>
        <v>204.90000000000146</v>
      </c>
      <c r="O10" s="46">
        <f t="shared" si="1"/>
        <v>371.59999999997672</v>
      </c>
      <c r="P10" s="46">
        <f t="shared" si="1"/>
        <v>227.20000000001164</v>
      </c>
      <c r="Q10" s="46">
        <f t="shared" si="1"/>
        <v>917.90000000002328</v>
      </c>
      <c r="R10" s="46">
        <f t="shared" si="1"/>
        <v>0</v>
      </c>
      <c r="S10" s="46">
        <f t="shared" si="1"/>
        <v>951.20000000006985</v>
      </c>
      <c r="T10" s="46">
        <f t="shared" si="1"/>
        <v>1452</v>
      </c>
      <c r="U10" s="47">
        <f>L10+Q10</f>
        <v>1419.5999999999767</v>
      </c>
      <c r="V10" s="47">
        <f>M10+R10</f>
        <v>0</v>
      </c>
      <c r="W10" s="47">
        <f>N10+S10</f>
        <v>1156.1000000000713</v>
      </c>
      <c r="X10" s="47">
        <f t="shared" ref="X10:X72" si="2">O10+P10+T10</f>
        <v>2050.7999999999884</v>
      </c>
    </row>
    <row r="11" spans="1:24" ht="20" customHeight="1" x14ac:dyDescent="0.35">
      <c r="A11" s="29" t="s">
        <v>199</v>
      </c>
      <c r="B11" s="51">
        <v>396136.6</v>
      </c>
      <c r="C11" s="29" t="s">
        <v>179</v>
      </c>
      <c r="D11" s="52">
        <v>35081.1</v>
      </c>
      <c r="E11" s="52">
        <v>355450.1</v>
      </c>
      <c r="F11" s="52">
        <v>238590</v>
      </c>
      <c r="G11" s="52">
        <v>503048</v>
      </c>
      <c r="H11" s="32" t="s">
        <v>179</v>
      </c>
      <c r="I11" s="52">
        <v>672162.8</v>
      </c>
      <c r="J11" s="52">
        <v>1383787</v>
      </c>
      <c r="L11" s="46">
        <f t="shared" ref="L11:T43" si="3">IFERROR(B12-B11,0)</f>
        <v>502.5</v>
      </c>
      <c r="M11" s="46">
        <f t="shared" si="1"/>
        <v>0</v>
      </c>
      <c r="N11" s="46">
        <f t="shared" si="1"/>
        <v>326.40000000000146</v>
      </c>
      <c r="O11" s="46">
        <f t="shared" si="1"/>
        <v>365.40000000002328</v>
      </c>
      <c r="P11" s="46">
        <f t="shared" si="1"/>
        <v>222.20000000001164</v>
      </c>
      <c r="Q11" s="46">
        <f t="shared" si="1"/>
        <v>873.29999999998836</v>
      </c>
      <c r="R11" s="46">
        <f t="shared" si="1"/>
        <v>0</v>
      </c>
      <c r="S11" s="46">
        <f t="shared" si="1"/>
        <v>1377.3999999999069</v>
      </c>
      <c r="T11" s="46">
        <f t="shared" si="1"/>
        <v>1404</v>
      </c>
      <c r="U11" s="47">
        <f t="shared" ref="U11:W43" si="4">L11+Q11</f>
        <v>1375.7999999999884</v>
      </c>
      <c r="V11" s="47">
        <f t="shared" si="4"/>
        <v>0</v>
      </c>
      <c r="W11" s="47">
        <f t="shared" si="4"/>
        <v>1703.7999999999083</v>
      </c>
      <c r="X11" s="47">
        <f t="shared" si="2"/>
        <v>1991.6000000000349</v>
      </c>
    </row>
    <row r="12" spans="1:24" ht="20" customHeight="1" x14ac:dyDescent="0.35">
      <c r="A12" s="29" t="s">
        <v>200</v>
      </c>
      <c r="B12" s="51">
        <v>396639.1</v>
      </c>
      <c r="C12" s="29" t="s">
        <v>179</v>
      </c>
      <c r="D12" s="52">
        <v>35407.5</v>
      </c>
      <c r="E12" s="52">
        <v>355815.5</v>
      </c>
      <c r="F12" s="52">
        <v>238812.2</v>
      </c>
      <c r="G12" s="52">
        <v>503921.3</v>
      </c>
      <c r="H12" s="32" t="s">
        <v>179</v>
      </c>
      <c r="I12" s="52">
        <v>673540.2</v>
      </c>
      <c r="J12" s="52">
        <v>1385191</v>
      </c>
      <c r="L12" s="46">
        <f t="shared" si="3"/>
        <v>497.40000000002328</v>
      </c>
      <c r="M12" s="46">
        <f t="shared" si="1"/>
        <v>0</v>
      </c>
      <c r="N12" s="46">
        <f t="shared" si="1"/>
        <v>334</v>
      </c>
      <c r="O12" s="46">
        <f t="shared" si="1"/>
        <v>369.70000000001164</v>
      </c>
      <c r="P12" s="46">
        <f t="shared" si="1"/>
        <v>227</v>
      </c>
      <c r="Q12" s="46">
        <f t="shared" si="1"/>
        <v>927</v>
      </c>
      <c r="R12" s="46">
        <f t="shared" si="1"/>
        <v>0</v>
      </c>
      <c r="S12" s="46">
        <f t="shared" si="1"/>
        <v>1302.8000000000466</v>
      </c>
      <c r="T12" s="46">
        <f t="shared" si="1"/>
        <v>1436</v>
      </c>
      <c r="U12" s="47">
        <f t="shared" si="4"/>
        <v>1424.4000000000233</v>
      </c>
      <c r="V12" s="47">
        <f t="shared" si="4"/>
        <v>0</v>
      </c>
      <c r="W12" s="47">
        <f t="shared" si="4"/>
        <v>1636.8000000000466</v>
      </c>
      <c r="X12" s="47">
        <f t="shared" si="2"/>
        <v>2032.7000000000116</v>
      </c>
    </row>
    <row r="13" spans="1:24" ht="20" customHeight="1" x14ac:dyDescent="0.35">
      <c r="A13" s="29" t="s">
        <v>201</v>
      </c>
      <c r="B13" s="51">
        <v>397136.5</v>
      </c>
      <c r="C13" s="29" t="s">
        <v>179</v>
      </c>
      <c r="D13" s="52">
        <v>35741.5</v>
      </c>
      <c r="E13" s="52">
        <v>356185.2</v>
      </c>
      <c r="F13" s="52">
        <v>239039.2</v>
      </c>
      <c r="G13" s="52">
        <v>504848.3</v>
      </c>
      <c r="H13" s="32" t="s">
        <v>179</v>
      </c>
      <c r="I13" s="52">
        <v>674843</v>
      </c>
      <c r="J13" s="52">
        <v>1386627</v>
      </c>
      <c r="L13" s="46">
        <f t="shared" si="3"/>
        <v>326.40000000002328</v>
      </c>
      <c r="M13" s="46">
        <f t="shared" si="1"/>
        <v>0</v>
      </c>
      <c r="N13" s="46">
        <f t="shared" si="1"/>
        <v>328.5</v>
      </c>
      <c r="O13" s="46">
        <f t="shared" si="1"/>
        <v>371.70000000001164</v>
      </c>
      <c r="P13" s="46">
        <f t="shared" si="1"/>
        <v>228.5</v>
      </c>
      <c r="Q13" s="46">
        <f t="shared" si="1"/>
        <v>568</v>
      </c>
      <c r="R13" s="46">
        <f t="shared" si="1"/>
        <v>0</v>
      </c>
      <c r="S13" s="46">
        <f t="shared" si="1"/>
        <v>1371.5999999999767</v>
      </c>
      <c r="T13" s="46">
        <f t="shared" si="1"/>
        <v>1469</v>
      </c>
      <c r="U13" s="47">
        <f t="shared" si="4"/>
        <v>894.40000000002328</v>
      </c>
      <c r="V13" s="47">
        <f t="shared" si="4"/>
        <v>0</v>
      </c>
      <c r="W13" s="47">
        <f t="shared" si="4"/>
        <v>1700.0999999999767</v>
      </c>
      <c r="X13" s="47">
        <f t="shared" si="2"/>
        <v>2069.2000000000116</v>
      </c>
    </row>
    <row r="14" spans="1:24" ht="20" customHeight="1" x14ac:dyDescent="0.35">
      <c r="A14" s="29" t="s">
        <v>202</v>
      </c>
      <c r="B14" s="51">
        <v>397462.9</v>
      </c>
      <c r="C14" s="53">
        <v>216027.3</v>
      </c>
      <c r="D14" s="52">
        <v>36070</v>
      </c>
      <c r="E14" s="52">
        <v>356556.9</v>
      </c>
      <c r="F14" s="52">
        <v>239267.7</v>
      </c>
      <c r="G14" s="52">
        <v>505416.3</v>
      </c>
      <c r="H14" s="54">
        <v>303115.90000000002</v>
      </c>
      <c r="I14" s="52">
        <v>676214.6</v>
      </c>
      <c r="J14" s="52">
        <v>1388096</v>
      </c>
      <c r="L14" s="46">
        <f t="shared" si="3"/>
        <v>0</v>
      </c>
      <c r="M14" s="46">
        <f t="shared" si="1"/>
        <v>431.60000000000582</v>
      </c>
      <c r="N14" s="46">
        <f t="shared" si="1"/>
        <v>335.59999999999854</v>
      </c>
      <c r="O14" s="46">
        <f t="shared" si="1"/>
        <v>364</v>
      </c>
      <c r="P14" s="46">
        <f t="shared" si="1"/>
        <v>246.09999999997672</v>
      </c>
      <c r="Q14" s="46">
        <f t="shared" si="1"/>
        <v>7.1000000000349246</v>
      </c>
      <c r="R14" s="46">
        <f t="shared" si="1"/>
        <v>555.5</v>
      </c>
      <c r="S14" s="46">
        <f t="shared" si="1"/>
        <v>1335.8000000000466</v>
      </c>
      <c r="T14" s="46">
        <f t="shared" si="1"/>
        <v>1297</v>
      </c>
      <c r="U14" s="47">
        <f t="shared" si="4"/>
        <v>7.1000000000349246</v>
      </c>
      <c r="V14" s="47">
        <f t="shared" si="4"/>
        <v>987.10000000000582</v>
      </c>
      <c r="W14" s="47">
        <f t="shared" si="4"/>
        <v>1671.4000000000451</v>
      </c>
      <c r="X14" s="47">
        <f t="shared" si="2"/>
        <v>1907.0999999999767</v>
      </c>
    </row>
    <row r="15" spans="1:24" ht="20" customHeight="1" x14ac:dyDescent="0.35">
      <c r="A15" s="29" t="s">
        <v>203</v>
      </c>
      <c r="B15" s="51">
        <v>397462.9</v>
      </c>
      <c r="C15" s="53">
        <v>216458.9</v>
      </c>
      <c r="D15" s="52">
        <v>36405.599999999999</v>
      </c>
      <c r="E15" s="52">
        <v>356920.9</v>
      </c>
      <c r="F15" s="52">
        <v>239513.8</v>
      </c>
      <c r="G15" s="52">
        <v>505423.4</v>
      </c>
      <c r="H15" s="54">
        <v>303671.40000000002</v>
      </c>
      <c r="I15" s="52">
        <v>677550.4</v>
      </c>
      <c r="J15" s="52">
        <v>1389393</v>
      </c>
      <c r="L15" s="46">
        <f t="shared" si="3"/>
        <v>0</v>
      </c>
      <c r="M15" s="46">
        <f t="shared" si="1"/>
        <v>430.5</v>
      </c>
      <c r="N15" s="46">
        <f t="shared" si="1"/>
        <v>329.80000000000291</v>
      </c>
      <c r="O15" s="46">
        <f t="shared" si="1"/>
        <v>250</v>
      </c>
      <c r="P15" s="46">
        <f t="shared" si="1"/>
        <v>231.90000000002328</v>
      </c>
      <c r="Q15" s="46">
        <f t="shared" si="1"/>
        <v>4.5999999999767169</v>
      </c>
      <c r="R15" s="46">
        <f t="shared" si="1"/>
        <v>553.19999999995343</v>
      </c>
      <c r="S15" s="46">
        <f t="shared" si="1"/>
        <v>1085.9000000000233</v>
      </c>
      <c r="T15" s="46">
        <f t="shared" si="1"/>
        <v>1511</v>
      </c>
      <c r="U15" s="47">
        <f t="shared" si="4"/>
        <v>4.5999999999767169</v>
      </c>
      <c r="V15" s="47">
        <f t="shared" si="4"/>
        <v>983.69999999995343</v>
      </c>
      <c r="W15" s="47">
        <f t="shared" si="4"/>
        <v>1415.7000000000262</v>
      </c>
      <c r="X15" s="47">
        <f t="shared" si="2"/>
        <v>1992.9000000000233</v>
      </c>
    </row>
    <row r="16" spans="1:24" ht="20" customHeight="1" x14ac:dyDescent="0.35">
      <c r="A16" s="29" t="s">
        <v>204</v>
      </c>
      <c r="B16" s="51">
        <v>397462.9</v>
      </c>
      <c r="C16" s="53">
        <v>216889.4</v>
      </c>
      <c r="D16" s="52">
        <v>36735.4</v>
      </c>
      <c r="E16" s="52">
        <v>357170.9</v>
      </c>
      <c r="F16" s="52">
        <v>239745.7</v>
      </c>
      <c r="G16" s="52">
        <v>505428</v>
      </c>
      <c r="H16" s="54">
        <v>304224.59999999998</v>
      </c>
      <c r="I16" s="52">
        <v>678636.3</v>
      </c>
      <c r="J16" s="52">
        <v>1390904</v>
      </c>
      <c r="L16" s="46">
        <f t="shared" si="3"/>
        <v>0</v>
      </c>
      <c r="M16" s="46">
        <f t="shared" si="1"/>
        <v>421.5</v>
      </c>
      <c r="N16" s="46">
        <f t="shared" si="1"/>
        <v>223.40000000000146</v>
      </c>
      <c r="O16" s="46">
        <f t="shared" si="1"/>
        <v>250.29999999998836</v>
      </c>
      <c r="P16" s="46">
        <f t="shared" si="1"/>
        <v>231.19999999998254</v>
      </c>
      <c r="Q16" s="46">
        <f t="shared" si="1"/>
        <v>4.2000000000116415</v>
      </c>
      <c r="R16" s="46">
        <f t="shared" si="1"/>
        <v>425.80000000004657</v>
      </c>
      <c r="S16" s="46">
        <f t="shared" si="1"/>
        <v>477</v>
      </c>
      <c r="T16" s="46">
        <f t="shared" si="1"/>
        <v>1485</v>
      </c>
      <c r="U16" s="47">
        <f t="shared" si="4"/>
        <v>4.2000000000116415</v>
      </c>
      <c r="V16" s="47">
        <f t="shared" si="4"/>
        <v>847.30000000004657</v>
      </c>
      <c r="W16" s="47">
        <f t="shared" si="4"/>
        <v>700.40000000000146</v>
      </c>
      <c r="X16" s="47">
        <f t="shared" si="2"/>
        <v>1966.4999999999709</v>
      </c>
    </row>
    <row r="17" spans="1:24" ht="20" customHeight="1" x14ac:dyDescent="0.35">
      <c r="A17" s="29" t="s">
        <v>205</v>
      </c>
      <c r="B17" s="51">
        <v>397462.9</v>
      </c>
      <c r="C17" s="53">
        <v>217310.9</v>
      </c>
      <c r="D17" s="52">
        <v>36958.800000000003</v>
      </c>
      <c r="E17" s="52">
        <v>357421.2</v>
      </c>
      <c r="F17" s="52">
        <v>239976.9</v>
      </c>
      <c r="G17" s="52">
        <v>505432.2</v>
      </c>
      <c r="H17" s="54">
        <v>304650.40000000002</v>
      </c>
      <c r="I17" s="52">
        <v>679113.3</v>
      </c>
      <c r="J17" s="52">
        <v>1392389</v>
      </c>
      <c r="L17" s="46">
        <f t="shared" si="3"/>
        <v>0</v>
      </c>
      <c r="M17" s="46">
        <f t="shared" si="1"/>
        <v>421.60000000000582</v>
      </c>
      <c r="N17" s="46">
        <f t="shared" si="1"/>
        <v>333.79999999999563</v>
      </c>
      <c r="O17" s="46">
        <f t="shared" si="1"/>
        <v>249.39999999996508</v>
      </c>
      <c r="P17" s="46">
        <f t="shared" si="1"/>
        <v>229.60000000000582</v>
      </c>
      <c r="Q17" s="46">
        <f t="shared" si="1"/>
        <v>6.2000000000116415</v>
      </c>
      <c r="R17" s="46">
        <f t="shared" si="1"/>
        <v>511.69999999995343</v>
      </c>
      <c r="S17" s="46">
        <f t="shared" si="1"/>
        <v>1523.3999999999069</v>
      </c>
      <c r="T17" s="46">
        <f t="shared" si="1"/>
        <v>1466</v>
      </c>
      <c r="U17" s="47">
        <f t="shared" si="4"/>
        <v>6.2000000000116415</v>
      </c>
      <c r="V17" s="47">
        <f t="shared" si="4"/>
        <v>933.29999999995925</v>
      </c>
      <c r="W17" s="47">
        <f t="shared" si="4"/>
        <v>1857.1999999999025</v>
      </c>
      <c r="X17" s="47">
        <f t="shared" si="2"/>
        <v>1944.9999999999709</v>
      </c>
    </row>
    <row r="18" spans="1:24" ht="20" customHeight="1" x14ac:dyDescent="0.35">
      <c r="A18" s="29" t="s">
        <v>206</v>
      </c>
      <c r="B18" s="51">
        <v>397462.9</v>
      </c>
      <c r="C18" s="53">
        <v>217732.5</v>
      </c>
      <c r="D18" s="52">
        <v>37292.6</v>
      </c>
      <c r="E18" s="52">
        <v>357670.6</v>
      </c>
      <c r="F18" s="52">
        <v>240206.5</v>
      </c>
      <c r="G18" s="52">
        <v>505438.4</v>
      </c>
      <c r="H18" s="54">
        <v>305162.09999999998</v>
      </c>
      <c r="I18" s="52">
        <v>680636.7</v>
      </c>
      <c r="J18" s="52">
        <v>1393855</v>
      </c>
      <c r="L18" s="46">
        <f t="shared" si="3"/>
        <v>0</v>
      </c>
      <c r="M18" s="46">
        <f t="shared" si="1"/>
        <v>419.89999999999418</v>
      </c>
      <c r="N18" s="46">
        <f t="shared" si="1"/>
        <v>336.80000000000291</v>
      </c>
      <c r="O18" s="46">
        <f t="shared" si="1"/>
        <v>254.90000000002328</v>
      </c>
      <c r="P18" s="46">
        <f t="shared" si="1"/>
        <v>249.10000000000582</v>
      </c>
      <c r="Q18" s="46">
        <f t="shared" si="1"/>
        <v>6.7999999999883585</v>
      </c>
      <c r="R18" s="46">
        <f t="shared" si="1"/>
        <v>442.30000000004657</v>
      </c>
      <c r="S18" s="46">
        <f t="shared" si="1"/>
        <v>1404.7000000000698</v>
      </c>
      <c r="T18" s="46">
        <f t="shared" si="1"/>
        <v>1382</v>
      </c>
      <c r="U18" s="47">
        <f t="shared" si="4"/>
        <v>6.7999999999883585</v>
      </c>
      <c r="V18" s="47">
        <f t="shared" si="4"/>
        <v>862.20000000004075</v>
      </c>
      <c r="W18" s="47">
        <f t="shared" si="4"/>
        <v>1741.5000000000728</v>
      </c>
      <c r="X18" s="47">
        <f t="shared" si="2"/>
        <v>1886.0000000000291</v>
      </c>
    </row>
    <row r="19" spans="1:24" ht="20" customHeight="1" x14ac:dyDescent="0.35">
      <c r="A19" s="29" t="s">
        <v>207</v>
      </c>
      <c r="B19" s="51">
        <v>397462.9</v>
      </c>
      <c r="C19" s="53">
        <v>218152.4</v>
      </c>
      <c r="D19" s="52">
        <v>37629.4</v>
      </c>
      <c r="E19" s="52">
        <v>357925.5</v>
      </c>
      <c r="F19" s="52">
        <v>240455.6</v>
      </c>
      <c r="G19" s="52">
        <v>505445.2</v>
      </c>
      <c r="H19" s="54">
        <v>305604.40000000002</v>
      </c>
      <c r="I19" s="52">
        <v>682041.4</v>
      </c>
      <c r="J19" s="52">
        <v>1395237</v>
      </c>
      <c r="L19" s="46">
        <f t="shared" si="3"/>
        <v>0</v>
      </c>
      <c r="M19" s="46">
        <f t="shared" si="1"/>
        <v>429</v>
      </c>
      <c r="N19" s="46">
        <f t="shared" si="1"/>
        <v>326.59999999999854</v>
      </c>
      <c r="O19" s="46">
        <f t="shared" si="1"/>
        <v>372.09999999997672</v>
      </c>
      <c r="P19" s="46">
        <f t="shared" si="1"/>
        <v>231.69999999998254</v>
      </c>
      <c r="Q19" s="46">
        <f t="shared" si="1"/>
        <v>3</v>
      </c>
      <c r="R19" s="46">
        <f t="shared" si="1"/>
        <v>481.19999999995343</v>
      </c>
      <c r="S19" s="46">
        <f t="shared" si="1"/>
        <v>1353.2999999999302</v>
      </c>
      <c r="T19" s="46">
        <f t="shared" si="1"/>
        <v>1521</v>
      </c>
      <c r="U19" s="47">
        <f t="shared" si="4"/>
        <v>3</v>
      </c>
      <c r="V19" s="47">
        <f t="shared" si="4"/>
        <v>910.19999999995343</v>
      </c>
      <c r="W19" s="47">
        <f t="shared" si="4"/>
        <v>1679.8999999999287</v>
      </c>
      <c r="X19" s="47">
        <f t="shared" si="2"/>
        <v>2124.7999999999593</v>
      </c>
    </row>
    <row r="20" spans="1:24" ht="20" customHeight="1" x14ac:dyDescent="0.35">
      <c r="A20" s="29" t="s">
        <v>208</v>
      </c>
      <c r="B20" s="51">
        <v>397462.9</v>
      </c>
      <c r="C20" s="53">
        <v>218581.4</v>
      </c>
      <c r="D20" s="52">
        <v>37956</v>
      </c>
      <c r="E20" s="52">
        <v>358297.59999999998</v>
      </c>
      <c r="F20" s="52">
        <v>240687.3</v>
      </c>
      <c r="G20" s="52">
        <v>505448.2</v>
      </c>
      <c r="H20" s="54">
        <v>306085.59999999998</v>
      </c>
      <c r="I20" s="52">
        <v>683394.7</v>
      </c>
      <c r="J20" s="52">
        <v>1396758</v>
      </c>
      <c r="L20" s="46">
        <f t="shared" si="3"/>
        <v>249.79999999998836</v>
      </c>
      <c r="M20" s="46">
        <f t="shared" si="1"/>
        <v>230</v>
      </c>
      <c r="N20" s="46">
        <f t="shared" si="1"/>
        <v>335</v>
      </c>
      <c r="O20" s="46">
        <f t="shared" si="1"/>
        <v>394.60000000003492</v>
      </c>
      <c r="P20" s="46">
        <f t="shared" si="1"/>
        <v>228.30000000001746</v>
      </c>
      <c r="Q20" s="46">
        <f t="shared" si="1"/>
        <v>496.29999999998836</v>
      </c>
      <c r="R20" s="46">
        <f t="shared" si="1"/>
        <v>244.60000000003492</v>
      </c>
      <c r="S20" s="46">
        <f t="shared" si="1"/>
        <v>1501.2000000000698</v>
      </c>
      <c r="T20" s="46">
        <f t="shared" si="1"/>
        <v>1478</v>
      </c>
      <c r="U20" s="47">
        <f t="shared" si="4"/>
        <v>746.09999999997672</v>
      </c>
      <c r="V20" s="47">
        <f t="shared" si="4"/>
        <v>474.60000000003492</v>
      </c>
      <c r="W20" s="47">
        <f t="shared" si="4"/>
        <v>1836.2000000000698</v>
      </c>
      <c r="X20" s="47">
        <f t="shared" si="2"/>
        <v>2100.9000000000524</v>
      </c>
    </row>
    <row r="21" spans="1:24" ht="20" customHeight="1" x14ac:dyDescent="0.35">
      <c r="A21" s="29" t="s">
        <v>209</v>
      </c>
      <c r="B21" s="51">
        <v>397712.7</v>
      </c>
      <c r="C21" s="53">
        <v>218811.4</v>
      </c>
      <c r="D21" s="52">
        <v>38291</v>
      </c>
      <c r="E21" s="52">
        <v>358692.2</v>
      </c>
      <c r="F21" s="52">
        <v>240915.6</v>
      </c>
      <c r="G21" s="52">
        <v>505944.5</v>
      </c>
      <c r="H21" s="54">
        <v>306330.2</v>
      </c>
      <c r="I21" s="52">
        <v>684895.9</v>
      </c>
      <c r="J21" s="52">
        <v>1398236</v>
      </c>
      <c r="L21" s="46">
        <f t="shared" si="3"/>
        <v>493.20000000001164</v>
      </c>
      <c r="M21" s="46">
        <f t="shared" si="1"/>
        <v>0</v>
      </c>
      <c r="N21" s="46">
        <f t="shared" si="1"/>
        <v>329</v>
      </c>
      <c r="O21" s="46">
        <f t="shared" si="1"/>
        <v>373.79999999998836</v>
      </c>
      <c r="P21" s="46">
        <f t="shared" si="1"/>
        <v>229.39999999999418</v>
      </c>
      <c r="Q21" s="46">
        <f t="shared" si="1"/>
        <v>968.20000000001164</v>
      </c>
      <c r="R21" s="46">
        <f t="shared" si="1"/>
        <v>0</v>
      </c>
      <c r="S21" s="46">
        <f t="shared" si="1"/>
        <v>1309.5999999999767</v>
      </c>
      <c r="T21" s="46">
        <f t="shared" si="1"/>
        <v>1499</v>
      </c>
      <c r="U21" s="47">
        <f t="shared" si="4"/>
        <v>1461.4000000000233</v>
      </c>
      <c r="V21" s="47">
        <f t="shared" si="4"/>
        <v>0</v>
      </c>
      <c r="W21" s="47">
        <f t="shared" si="4"/>
        <v>1638.5999999999767</v>
      </c>
      <c r="X21" s="47">
        <f t="shared" si="2"/>
        <v>2102.1999999999825</v>
      </c>
    </row>
    <row r="22" spans="1:24" ht="20" customHeight="1" x14ac:dyDescent="0.35">
      <c r="A22" s="29" t="s">
        <v>210</v>
      </c>
      <c r="B22" s="51">
        <v>398205.9</v>
      </c>
      <c r="C22" s="29" t="s">
        <v>179</v>
      </c>
      <c r="D22" s="52">
        <v>38620</v>
      </c>
      <c r="E22" s="52">
        <v>359066</v>
      </c>
      <c r="F22" s="52">
        <v>241145</v>
      </c>
      <c r="G22" s="52">
        <v>506912.7</v>
      </c>
      <c r="H22" s="32" t="s">
        <v>179</v>
      </c>
      <c r="I22" s="55">
        <v>686205.5</v>
      </c>
      <c r="J22" s="52">
        <v>1399735</v>
      </c>
      <c r="L22" s="46">
        <f t="shared" si="3"/>
        <v>493.59999999997672</v>
      </c>
      <c r="M22" s="46">
        <f t="shared" si="1"/>
        <v>0</v>
      </c>
      <c r="N22" s="46">
        <f t="shared" si="1"/>
        <v>335</v>
      </c>
      <c r="O22" s="46">
        <f t="shared" si="1"/>
        <v>395.20000000001164</v>
      </c>
      <c r="P22" s="46">
        <f t="shared" si="1"/>
        <v>247.79999999998836</v>
      </c>
      <c r="Q22" s="46">
        <f t="shared" si="1"/>
        <v>978.29999999998836</v>
      </c>
      <c r="R22" s="46">
        <f t="shared" si="1"/>
        <v>0</v>
      </c>
      <c r="S22" s="46">
        <f t="shared" si="1"/>
        <v>1260.5999999999767</v>
      </c>
      <c r="T22" s="46">
        <f t="shared" si="1"/>
        <v>1526</v>
      </c>
      <c r="U22" s="47">
        <f t="shared" si="4"/>
        <v>1471.8999999999651</v>
      </c>
      <c r="V22" s="47">
        <f t="shared" si="4"/>
        <v>0</v>
      </c>
      <c r="W22" s="47">
        <f t="shared" si="4"/>
        <v>1595.5999999999767</v>
      </c>
      <c r="X22" s="47">
        <f t="shared" si="2"/>
        <v>2169</v>
      </c>
    </row>
    <row r="23" spans="1:24" ht="20" customHeight="1" x14ac:dyDescent="0.35">
      <c r="A23" s="29" t="s">
        <v>211</v>
      </c>
      <c r="B23" s="51">
        <v>398699.5</v>
      </c>
      <c r="C23" s="29" t="s">
        <v>179</v>
      </c>
      <c r="D23" s="52">
        <v>38955</v>
      </c>
      <c r="E23" s="52">
        <v>359461.2</v>
      </c>
      <c r="F23" s="52">
        <v>241392.8</v>
      </c>
      <c r="G23" s="52">
        <v>507891</v>
      </c>
      <c r="H23" s="32" t="s">
        <v>179</v>
      </c>
      <c r="I23" s="55">
        <v>687466.1</v>
      </c>
      <c r="J23" s="52">
        <v>1401261</v>
      </c>
      <c r="L23" s="46">
        <f t="shared" si="3"/>
        <v>479.79999999998836</v>
      </c>
      <c r="M23" s="46">
        <f t="shared" si="1"/>
        <v>0</v>
      </c>
      <c r="N23" s="46">
        <f t="shared" si="1"/>
        <v>274.90000000000146</v>
      </c>
      <c r="O23" s="46">
        <f t="shared" si="1"/>
        <v>377.20000000001164</v>
      </c>
      <c r="P23" s="46">
        <f t="shared" si="1"/>
        <v>232.5</v>
      </c>
      <c r="Q23" s="46">
        <f t="shared" si="1"/>
        <v>668.09999999997672</v>
      </c>
      <c r="R23" s="46">
        <f t="shared" si="1"/>
        <v>0</v>
      </c>
      <c r="S23" s="46">
        <f t="shared" si="1"/>
        <v>580.80000000004657</v>
      </c>
      <c r="T23" s="46">
        <f t="shared" si="1"/>
        <v>1529</v>
      </c>
      <c r="U23" s="47">
        <f t="shared" si="4"/>
        <v>1147.8999999999651</v>
      </c>
      <c r="V23" s="47">
        <f t="shared" si="4"/>
        <v>0</v>
      </c>
      <c r="W23" s="47">
        <f t="shared" si="4"/>
        <v>855.70000000004802</v>
      </c>
      <c r="X23" s="47">
        <f t="shared" si="2"/>
        <v>2138.7000000000116</v>
      </c>
    </row>
    <row r="24" spans="1:24" ht="20" customHeight="1" x14ac:dyDescent="0.35">
      <c r="A24" s="29" t="s">
        <v>212</v>
      </c>
      <c r="B24" s="51">
        <v>399179.3</v>
      </c>
      <c r="C24" s="29" t="s">
        <v>179</v>
      </c>
      <c r="D24" s="52">
        <v>39229.9</v>
      </c>
      <c r="E24" s="52">
        <v>359838.4</v>
      </c>
      <c r="F24" s="52">
        <v>241625.3</v>
      </c>
      <c r="G24" s="52">
        <v>508559.1</v>
      </c>
      <c r="H24" s="32" t="s">
        <v>179</v>
      </c>
      <c r="I24" s="55">
        <v>688046.9</v>
      </c>
      <c r="J24" s="52">
        <v>1402790</v>
      </c>
      <c r="L24" s="46">
        <f t="shared" si="3"/>
        <v>497.29999999998836</v>
      </c>
      <c r="M24" s="46">
        <f t="shared" si="1"/>
        <v>0</v>
      </c>
      <c r="N24" s="46">
        <f t="shared" si="1"/>
        <v>328.19999999999709</v>
      </c>
      <c r="O24" s="46">
        <f t="shared" si="1"/>
        <v>376.39999999996508</v>
      </c>
      <c r="P24" s="46">
        <f t="shared" si="1"/>
        <v>231.70000000001164</v>
      </c>
      <c r="Q24" s="46">
        <f t="shared" si="1"/>
        <v>1003.2000000000116</v>
      </c>
      <c r="R24" s="46">
        <f t="shared" si="1"/>
        <v>0</v>
      </c>
      <c r="S24" s="46">
        <f t="shared" si="1"/>
        <v>1269.9000000000233</v>
      </c>
      <c r="T24" s="46">
        <f t="shared" si="1"/>
        <v>1487</v>
      </c>
      <c r="U24" s="47">
        <f t="shared" si="4"/>
        <v>1500.5</v>
      </c>
      <c r="V24" s="47">
        <f t="shared" si="4"/>
        <v>0</v>
      </c>
      <c r="W24" s="47">
        <f t="shared" si="4"/>
        <v>1598.1000000000204</v>
      </c>
      <c r="X24" s="47">
        <f t="shared" si="2"/>
        <v>2095.0999999999767</v>
      </c>
    </row>
    <row r="25" spans="1:24" ht="20" customHeight="1" x14ac:dyDescent="0.35">
      <c r="A25" s="29" t="s">
        <v>213</v>
      </c>
      <c r="B25" s="51">
        <v>399676.6</v>
      </c>
      <c r="C25" s="29" t="s">
        <v>179</v>
      </c>
      <c r="D25" s="52">
        <v>39558.1</v>
      </c>
      <c r="E25" s="52">
        <v>360214.8</v>
      </c>
      <c r="F25" s="52">
        <v>241857</v>
      </c>
      <c r="G25" s="52">
        <v>509562.3</v>
      </c>
      <c r="H25" s="32" t="s">
        <v>179</v>
      </c>
      <c r="I25" s="55">
        <v>689316.8</v>
      </c>
      <c r="J25" s="52">
        <v>1404277</v>
      </c>
      <c r="L25" s="46">
        <f t="shared" si="3"/>
        <v>495.70000000001164</v>
      </c>
      <c r="M25" s="46">
        <f t="shared" si="1"/>
        <v>0</v>
      </c>
      <c r="N25" s="46">
        <f t="shared" si="1"/>
        <v>324.20000000000437</v>
      </c>
      <c r="O25" s="46">
        <f t="shared" si="1"/>
        <v>350.60000000003492</v>
      </c>
      <c r="P25" s="46">
        <f t="shared" si="1"/>
        <v>225.29999999998836</v>
      </c>
      <c r="Q25" s="46">
        <f t="shared" si="1"/>
        <v>1020.9000000000233</v>
      </c>
      <c r="R25" s="46">
        <f t="shared" si="1"/>
        <v>0</v>
      </c>
      <c r="S25" s="46">
        <f t="shared" si="1"/>
        <v>1444</v>
      </c>
      <c r="T25" s="46">
        <f t="shared" si="1"/>
        <v>1143</v>
      </c>
      <c r="U25" s="47">
        <f t="shared" si="4"/>
        <v>1516.6000000000349</v>
      </c>
      <c r="V25" s="47">
        <f t="shared" si="4"/>
        <v>0</v>
      </c>
      <c r="W25" s="47">
        <f t="shared" si="4"/>
        <v>1768.2000000000044</v>
      </c>
      <c r="X25" s="47">
        <f t="shared" si="2"/>
        <v>1718.9000000000233</v>
      </c>
    </row>
    <row r="26" spans="1:24" ht="20" customHeight="1" x14ac:dyDescent="0.35">
      <c r="A26" s="29" t="s">
        <v>214</v>
      </c>
      <c r="B26" s="51">
        <v>400172.3</v>
      </c>
      <c r="C26" s="29" t="s">
        <v>179</v>
      </c>
      <c r="D26" s="52">
        <v>39882.300000000003</v>
      </c>
      <c r="E26" s="52">
        <v>360565.4</v>
      </c>
      <c r="F26" s="52">
        <v>242082.3</v>
      </c>
      <c r="G26" s="52">
        <v>510583.2</v>
      </c>
      <c r="H26" s="32" t="s">
        <v>179</v>
      </c>
      <c r="I26" s="55">
        <v>690760.8</v>
      </c>
      <c r="J26" s="52">
        <v>1405420</v>
      </c>
      <c r="L26" s="46">
        <f t="shared" si="3"/>
        <v>495.90000000002328</v>
      </c>
      <c r="M26" s="46">
        <f t="shared" si="3"/>
        <v>0</v>
      </c>
      <c r="N26" s="46">
        <f t="shared" si="3"/>
        <v>334</v>
      </c>
      <c r="O26" s="46">
        <f t="shared" si="3"/>
        <v>329.39999999996508</v>
      </c>
      <c r="P26" s="46">
        <f t="shared" si="3"/>
        <v>222.60000000000582</v>
      </c>
      <c r="Q26" s="46">
        <f t="shared" si="3"/>
        <v>968.09999999997672</v>
      </c>
      <c r="R26" s="46">
        <f t="shared" si="3"/>
        <v>0</v>
      </c>
      <c r="S26" s="46">
        <f t="shared" si="3"/>
        <v>1424.8999999999069</v>
      </c>
      <c r="T26" s="46">
        <f t="shared" si="3"/>
        <v>1091</v>
      </c>
      <c r="U26" s="47">
        <f t="shared" si="4"/>
        <v>1464</v>
      </c>
      <c r="V26" s="47">
        <f t="shared" si="4"/>
        <v>0</v>
      </c>
      <c r="W26" s="47">
        <f t="shared" si="4"/>
        <v>1758.8999999999069</v>
      </c>
      <c r="X26" s="47">
        <f t="shared" si="2"/>
        <v>1642.9999999999709</v>
      </c>
    </row>
    <row r="27" spans="1:24" ht="42.75" customHeight="1" x14ac:dyDescent="0.35">
      <c r="A27" s="37" t="s">
        <v>215</v>
      </c>
      <c r="B27" s="56">
        <v>400668.2</v>
      </c>
      <c r="C27" s="37" t="s">
        <v>179</v>
      </c>
      <c r="D27" s="57">
        <v>40216.300000000003</v>
      </c>
      <c r="E27" s="57">
        <v>360894.8</v>
      </c>
      <c r="F27" s="57">
        <v>242304.9</v>
      </c>
      <c r="G27" s="57">
        <v>511551.3</v>
      </c>
      <c r="H27" s="40" t="s">
        <v>179</v>
      </c>
      <c r="I27" s="58">
        <v>692185.7</v>
      </c>
      <c r="J27" s="57">
        <v>1406511</v>
      </c>
      <c r="L27" s="46">
        <f t="shared" si="3"/>
        <v>490.5</v>
      </c>
      <c r="M27" s="46">
        <f t="shared" si="3"/>
        <v>0</v>
      </c>
      <c r="N27" s="46">
        <f t="shared" si="3"/>
        <v>327.59999999999854</v>
      </c>
      <c r="O27" s="46">
        <f t="shared" si="3"/>
        <v>299.10000000003492</v>
      </c>
      <c r="P27" s="46">
        <f t="shared" si="3"/>
        <v>230.10000000000582</v>
      </c>
      <c r="Q27" s="46">
        <f t="shared" si="3"/>
        <v>1075.4000000000233</v>
      </c>
      <c r="R27" s="46">
        <f t="shared" si="3"/>
        <v>0</v>
      </c>
      <c r="S27" s="46">
        <f t="shared" si="3"/>
        <v>1316.2000000000698</v>
      </c>
      <c r="T27" s="46">
        <f t="shared" si="3"/>
        <v>1294</v>
      </c>
      <c r="U27" s="47">
        <f t="shared" si="4"/>
        <v>1565.9000000000233</v>
      </c>
      <c r="V27" s="47">
        <f t="shared" si="4"/>
        <v>0</v>
      </c>
      <c r="W27" s="47">
        <f t="shared" si="4"/>
        <v>1643.8000000000684</v>
      </c>
      <c r="X27" s="47">
        <f t="shared" si="2"/>
        <v>1823.2000000000407</v>
      </c>
    </row>
    <row r="28" spans="1:24" ht="20" customHeight="1" x14ac:dyDescent="0.35">
      <c r="A28" s="29" t="s">
        <v>216</v>
      </c>
      <c r="B28" s="51">
        <v>401158.7</v>
      </c>
      <c r="C28" s="29" t="s">
        <v>179</v>
      </c>
      <c r="D28" s="52">
        <v>40543.9</v>
      </c>
      <c r="E28" s="52">
        <v>361193.9</v>
      </c>
      <c r="F28" s="52">
        <v>242535</v>
      </c>
      <c r="G28" s="52">
        <v>512626.7</v>
      </c>
      <c r="H28" s="32" t="s">
        <v>179</v>
      </c>
      <c r="I28" s="55">
        <v>693501.9</v>
      </c>
      <c r="J28" s="52">
        <v>1407805</v>
      </c>
      <c r="L28" s="46">
        <f t="shared" si="3"/>
        <v>481.29999999998836</v>
      </c>
      <c r="M28" s="46">
        <f t="shared" si="3"/>
        <v>0</v>
      </c>
      <c r="N28" s="46">
        <f t="shared" si="3"/>
        <v>325.79999999999563</v>
      </c>
      <c r="O28" s="46">
        <f t="shared" si="3"/>
        <v>257.59999999997672</v>
      </c>
      <c r="P28" s="46">
        <f t="shared" si="3"/>
        <v>223.39999999999418</v>
      </c>
      <c r="Q28" s="46">
        <f t="shared" si="3"/>
        <v>890</v>
      </c>
      <c r="R28" s="46">
        <f t="shared" si="3"/>
        <v>0</v>
      </c>
      <c r="S28" s="46">
        <f t="shared" si="3"/>
        <v>1287.0999999999767</v>
      </c>
      <c r="T28" s="46">
        <f t="shared" si="3"/>
        <v>1528</v>
      </c>
      <c r="U28" s="47">
        <f t="shared" si="4"/>
        <v>1371.2999999999884</v>
      </c>
      <c r="V28" s="47">
        <f t="shared" si="4"/>
        <v>0</v>
      </c>
      <c r="W28" s="47">
        <f t="shared" si="4"/>
        <v>1612.8999999999724</v>
      </c>
      <c r="X28" s="47">
        <f t="shared" si="2"/>
        <v>2008.9999999999709</v>
      </c>
    </row>
    <row r="29" spans="1:24" ht="20" customHeight="1" x14ac:dyDescent="0.35">
      <c r="A29" s="29" t="s">
        <v>217</v>
      </c>
      <c r="B29" s="51">
        <v>401640</v>
      </c>
      <c r="C29" s="29" t="s">
        <v>179</v>
      </c>
      <c r="D29" s="52">
        <v>40869.699999999997</v>
      </c>
      <c r="E29" s="52">
        <v>361451.5</v>
      </c>
      <c r="F29" s="52">
        <v>242758.39999999999</v>
      </c>
      <c r="G29" s="52">
        <v>513516.7</v>
      </c>
      <c r="H29" s="32" t="s">
        <v>179</v>
      </c>
      <c r="I29" s="55">
        <v>694789</v>
      </c>
      <c r="J29" s="52">
        <v>1409333</v>
      </c>
      <c r="L29" s="46">
        <f t="shared" si="3"/>
        <v>475.40000000002328</v>
      </c>
      <c r="M29" s="46">
        <f t="shared" si="3"/>
        <v>0</v>
      </c>
      <c r="N29" s="46">
        <f t="shared" si="3"/>
        <v>312.30000000000291</v>
      </c>
      <c r="O29" s="46">
        <f t="shared" si="3"/>
        <v>331.5</v>
      </c>
      <c r="P29" s="46">
        <f t="shared" si="3"/>
        <v>239.39999999999418</v>
      </c>
      <c r="Q29" s="46">
        <f t="shared" si="3"/>
        <v>821.79999999998836</v>
      </c>
      <c r="R29" s="46">
        <f t="shared" si="3"/>
        <v>0</v>
      </c>
      <c r="S29" s="46">
        <f t="shared" si="3"/>
        <v>1092</v>
      </c>
      <c r="T29" s="46">
        <f t="shared" si="3"/>
        <v>1423</v>
      </c>
      <c r="U29" s="47">
        <f t="shared" si="4"/>
        <v>1297.2000000000116</v>
      </c>
      <c r="V29" s="47">
        <f t="shared" si="4"/>
        <v>0</v>
      </c>
      <c r="W29" s="47">
        <f t="shared" si="4"/>
        <v>1404.3000000000029</v>
      </c>
      <c r="X29" s="47">
        <f t="shared" si="2"/>
        <v>1993.8999999999942</v>
      </c>
    </row>
    <row r="30" spans="1:24" ht="20" customHeight="1" x14ac:dyDescent="0.35">
      <c r="A30" s="29" t="s">
        <v>218</v>
      </c>
      <c r="B30" s="51">
        <v>402115.4</v>
      </c>
      <c r="C30" s="29" t="s">
        <v>179</v>
      </c>
      <c r="D30" s="52">
        <v>41182</v>
      </c>
      <c r="E30" s="52">
        <v>361783</v>
      </c>
      <c r="F30" s="52">
        <v>242997.8</v>
      </c>
      <c r="G30" s="52">
        <v>514338.5</v>
      </c>
      <c r="H30" s="32" t="s">
        <v>179</v>
      </c>
      <c r="I30" s="55">
        <v>695881</v>
      </c>
      <c r="J30" s="52">
        <v>1410756</v>
      </c>
      <c r="L30" s="46">
        <f t="shared" si="3"/>
        <v>470.19999999995343</v>
      </c>
      <c r="M30" s="46">
        <f t="shared" si="3"/>
        <v>0</v>
      </c>
      <c r="N30" s="46">
        <f t="shared" si="3"/>
        <v>243.5</v>
      </c>
      <c r="O30" s="46">
        <f t="shared" si="3"/>
        <v>369.40000000002328</v>
      </c>
      <c r="P30" s="46">
        <f t="shared" si="3"/>
        <v>215.80000000001746</v>
      </c>
      <c r="Q30" s="46">
        <f t="shared" si="3"/>
        <v>608.90000000002328</v>
      </c>
      <c r="R30" s="46">
        <f t="shared" si="3"/>
        <v>0</v>
      </c>
      <c r="S30" s="46">
        <f t="shared" si="3"/>
        <v>603.40000000002328</v>
      </c>
      <c r="T30" s="46">
        <f t="shared" si="3"/>
        <v>1515</v>
      </c>
      <c r="U30" s="47">
        <f t="shared" si="4"/>
        <v>1079.0999999999767</v>
      </c>
      <c r="V30" s="47">
        <f t="shared" si="4"/>
        <v>0</v>
      </c>
      <c r="W30" s="47">
        <f t="shared" si="4"/>
        <v>846.90000000002328</v>
      </c>
      <c r="X30" s="47">
        <f t="shared" si="2"/>
        <v>2100.2000000000407</v>
      </c>
    </row>
    <row r="31" spans="1:24" ht="20" customHeight="1" x14ac:dyDescent="0.35">
      <c r="A31" s="29" t="s">
        <v>219</v>
      </c>
      <c r="B31" s="51">
        <v>402585.59999999998</v>
      </c>
      <c r="C31" s="29" t="s">
        <v>179</v>
      </c>
      <c r="D31" s="52">
        <v>41425.5</v>
      </c>
      <c r="E31" s="52">
        <v>362152.4</v>
      </c>
      <c r="F31" s="52">
        <v>243213.6</v>
      </c>
      <c r="G31" s="52">
        <v>514947.4</v>
      </c>
      <c r="H31" s="32" t="s">
        <v>179</v>
      </c>
      <c r="I31" s="55">
        <v>696484.4</v>
      </c>
      <c r="J31" s="52">
        <v>1412271</v>
      </c>
      <c r="L31" s="46">
        <f t="shared" si="3"/>
        <v>471.5</v>
      </c>
      <c r="M31" s="46">
        <f t="shared" si="3"/>
        <v>0</v>
      </c>
      <c r="N31" s="46">
        <f t="shared" si="3"/>
        <v>220.5</v>
      </c>
      <c r="O31" s="46">
        <f t="shared" si="3"/>
        <v>331.5</v>
      </c>
      <c r="P31" s="46">
        <f t="shared" si="3"/>
        <v>224.19999999998254</v>
      </c>
      <c r="Q31" s="46">
        <f t="shared" si="3"/>
        <v>772.59999999997672</v>
      </c>
      <c r="R31" s="46">
        <f t="shared" si="3"/>
        <v>0</v>
      </c>
      <c r="S31" s="46">
        <f t="shared" si="3"/>
        <v>999.19999999995343</v>
      </c>
      <c r="T31" s="46">
        <f t="shared" si="3"/>
        <v>1519</v>
      </c>
      <c r="U31" s="47">
        <f t="shared" si="4"/>
        <v>1244.0999999999767</v>
      </c>
      <c r="V31" s="47">
        <f t="shared" si="4"/>
        <v>0</v>
      </c>
      <c r="W31" s="47">
        <f t="shared" si="4"/>
        <v>1219.6999999999534</v>
      </c>
      <c r="X31" s="47">
        <f t="shared" si="2"/>
        <v>2074.6999999999825</v>
      </c>
    </row>
    <row r="32" spans="1:24" ht="20" customHeight="1" x14ac:dyDescent="0.35">
      <c r="A32" s="29" t="s">
        <v>220</v>
      </c>
      <c r="B32" s="51">
        <v>403057.1</v>
      </c>
      <c r="C32" s="29" t="s">
        <v>179</v>
      </c>
      <c r="D32" s="52">
        <v>41646</v>
      </c>
      <c r="E32" s="52">
        <v>362483.9</v>
      </c>
      <c r="F32" s="52">
        <v>243437.8</v>
      </c>
      <c r="G32" s="52">
        <v>515720</v>
      </c>
      <c r="H32" s="32" t="s">
        <v>179</v>
      </c>
      <c r="I32" s="55">
        <v>697483.6</v>
      </c>
      <c r="J32" s="52">
        <v>1413790</v>
      </c>
      <c r="L32" s="46">
        <f t="shared" si="3"/>
        <v>498.5</v>
      </c>
      <c r="M32" s="46">
        <f t="shared" si="3"/>
        <v>0</v>
      </c>
      <c r="N32" s="46">
        <f t="shared" si="3"/>
        <v>324.30000000000291</v>
      </c>
      <c r="O32" s="46">
        <f t="shared" si="3"/>
        <v>331.09999999997672</v>
      </c>
      <c r="P32" s="46">
        <f t="shared" si="3"/>
        <v>222.60000000000582</v>
      </c>
      <c r="Q32" s="46">
        <f t="shared" si="3"/>
        <v>872.90000000002328</v>
      </c>
      <c r="R32" s="46">
        <f t="shared" si="3"/>
        <v>0</v>
      </c>
      <c r="S32" s="46">
        <f t="shared" si="3"/>
        <v>1403.5</v>
      </c>
      <c r="T32" s="46">
        <f t="shared" si="3"/>
        <v>1508</v>
      </c>
      <c r="U32" s="47">
        <f t="shared" si="4"/>
        <v>1371.4000000000233</v>
      </c>
      <c r="V32" s="47">
        <f t="shared" si="4"/>
        <v>0</v>
      </c>
      <c r="W32" s="47">
        <f t="shared" si="4"/>
        <v>1727.8000000000029</v>
      </c>
      <c r="X32" s="47">
        <f t="shared" si="2"/>
        <v>2061.6999999999825</v>
      </c>
    </row>
    <row r="33" spans="1:24" ht="20" customHeight="1" x14ac:dyDescent="0.35">
      <c r="A33" s="29" t="s">
        <v>221</v>
      </c>
      <c r="B33" s="51">
        <v>403555.6</v>
      </c>
      <c r="C33" s="29" t="s">
        <v>179</v>
      </c>
      <c r="D33" s="52">
        <v>41970.3</v>
      </c>
      <c r="E33" s="52">
        <v>362815</v>
      </c>
      <c r="F33" s="52">
        <v>243660.4</v>
      </c>
      <c r="G33" s="52">
        <v>516592.9</v>
      </c>
      <c r="H33" s="32" t="s">
        <v>179</v>
      </c>
      <c r="I33" s="55">
        <v>698887.1</v>
      </c>
      <c r="J33" s="52">
        <v>1415298</v>
      </c>
      <c r="L33" s="46">
        <f t="shared" ref="L33:T34" si="5">IFERROR(B34-B33,0)</f>
        <v>478</v>
      </c>
      <c r="M33" s="46">
        <f t="shared" si="5"/>
        <v>0</v>
      </c>
      <c r="N33" s="46">
        <f t="shared" si="5"/>
        <v>329.09999999999854</v>
      </c>
      <c r="O33" s="46">
        <f t="shared" si="5"/>
        <v>307.70000000001164</v>
      </c>
      <c r="P33" s="46">
        <f t="shared" si="5"/>
        <v>274.89999999999418</v>
      </c>
      <c r="Q33" s="46">
        <f t="shared" si="5"/>
        <v>806.29999999998836</v>
      </c>
      <c r="R33" s="46">
        <f t="shared" si="5"/>
        <v>0</v>
      </c>
      <c r="S33" s="46">
        <f t="shared" si="5"/>
        <v>1477.3000000000466</v>
      </c>
      <c r="T33" s="46">
        <f t="shared" si="5"/>
        <v>1346</v>
      </c>
      <c r="U33" s="47">
        <f t="shared" si="4"/>
        <v>1284.2999999999884</v>
      </c>
      <c r="V33" s="47">
        <f t="shared" si="4"/>
        <v>0</v>
      </c>
      <c r="W33" s="47">
        <f t="shared" si="4"/>
        <v>1806.4000000000451</v>
      </c>
      <c r="X33" s="47">
        <f t="shared" si="2"/>
        <v>1928.6000000000058</v>
      </c>
    </row>
    <row r="34" spans="1:24" ht="20" customHeight="1" x14ac:dyDescent="0.35">
      <c r="A34" s="29" t="s">
        <v>178</v>
      </c>
      <c r="B34" s="51">
        <v>404033.6</v>
      </c>
      <c r="C34" s="29" t="s">
        <v>179</v>
      </c>
      <c r="D34" s="52">
        <v>42299.4</v>
      </c>
      <c r="E34" s="52">
        <v>363122.7</v>
      </c>
      <c r="F34" s="52">
        <v>243935.3</v>
      </c>
      <c r="G34" s="52">
        <v>517399.2</v>
      </c>
      <c r="H34" s="32" t="s">
        <v>179</v>
      </c>
      <c r="I34" s="55">
        <v>700364.4</v>
      </c>
      <c r="J34" s="52">
        <v>1416644</v>
      </c>
      <c r="L34" s="46">
        <f t="shared" si="5"/>
        <v>294.10000000003492</v>
      </c>
      <c r="M34" s="46">
        <f t="shared" si="5"/>
        <v>0</v>
      </c>
      <c r="N34" s="46">
        <f t="shared" si="5"/>
        <v>328.5</v>
      </c>
      <c r="O34" s="46">
        <f t="shared" si="5"/>
        <v>347.70000000001164</v>
      </c>
      <c r="P34" s="46">
        <f t="shared" si="5"/>
        <v>222.20000000001164</v>
      </c>
      <c r="Q34" s="46">
        <f t="shared" si="5"/>
        <v>556.09999999997672</v>
      </c>
      <c r="R34" s="46">
        <f t="shared" si="5"/>
        <v>0</v>
      </c>
      <c r="S34" s="46">
        <f t="shared" si="5"/>
        <v>1472.1999999999534</v>
      </c>
      <c r="T34" s="46">
        <f t="shared" si="5"/>
        <v>1284</v>
      </c>
      <c r="U34" s="47">
        <f t="shared" ref="U34" si="6">L34+Q34</f>
        <v>850.20000000001164</v>
      </c>
      <c r="V34" s="47">
        <f t="shared" ref="V34" si="7">M34+R34</f>
        <v>0</v>
      </c>
      <c r="W34" s="47">
        <f t="shared" ref="W34" si="8">N34+S34</f>
        <v>1800.6999999999534</v>
      </c>
      <c r="X34" s="47">
        <f t="shared" ref="X34" si="9">O34+P34+T34</f>
        <v>1853.9000000000233</v>
      </c>
    </row>
    <row r="35" spans="1:24" ht="20" customHeight="1" x14ac:dyDescent="0.35">
      <c r="A35" s="29" t="s">
        <v>180</v>
      </c>
      <c r="B35" s="30">
        <v>404327.7</v>
      </c>
      <c r="C35" s="29" t="s">
        <v>179</v>
      </c>
      <c r="D35" s="31">
        <v>42627.9</v>
      </c>
      <c r="E35" s="31">
        <v>363470.4</v>
      </c>
      <c r="F35" s="31">
        <v>244157.5</v>
      </c>
      <c r="G35" s="31">
        <v>517955.3</v>
      </c>
      <c r="H35" s="32" t="s">
        <v>179</v>
      </c>
      <c r="I35" s="33">
        <v>701836.6</v>
      </c>
      <c r="J35" s="34">
        <v>1417928</v>
      </c>
      <c r="L35" s="46">
        <f t="shared" si="3"/>
        <v>0</v>
      </c>
      <c r="M35" s="46">
        <f t="shared" si="3"/>
        <v>0</v>
      </c>
      <c r="N35" s="46">
        <f t="shared" si="3"/>
        <v>318.09999999999854</v>
      </c>
      <c r="O35" s="46">
        <f t="shared" si="3"/>
        <v>349.29999999998836</v>
      </c>
      <c r="P35" s="46">
        <f t="shared" si="3"/>
        <v>240.60000000000582</v>
      </c>
      <c r="Q35" s="46">
        <f t="shared" si="3"/>
        <v>3.2000000000116415</v>
      </c>
      <c r="R35" s="46">
        <f t="shared" si="3"/>
        <v>0</v>
      </c>
      <c r="S35" s="46">
        <f t="shared" si="3"/>
        <v>1238.2000000000698</v>
      </c>
      <c r="T35" s="46">
        <f t="shared" si="3"/>
        <v>1432</v>
      </c>
      <c r="U35" s="47">
        <f t="shared" si="4"/>
        <v>3.2000000000116415</v>
      </c>
      <c r="V35" s="47">
        <f t="shared" si="4"/>
        <v>0</v>
      </c>
      <c r="W35" s="47">
        <f t="shared" si="4"/>
        <v>1556.3000000000684</v>
      </c>
      <c r="X35" s="47">
        <f t="shared" si="2"/>
        <v>2021.8999999999942</v>
      </c>
    </row>
    <row r="36" spans="1:24" ht="20" customHeight="1" x14ac:dyDescent="0.35">
      <c r="A36" s="29" t="s">
        <v>181</v>
      </c>
      <c r="B36" s="30">
        <v>404327.7</v>
      </c>
      <c r="C36" s="29">
        <v>218832.2</v>
      </c>
      <c r="D36" s="31">
        <v>42946</v>
      </c>
      <c r="E36" s="31">
        <v>363819.7</v>
      </c>
      <c r="F36" s="31">
        <v>244398.1</v>
      </c>
      <c r="G36" s="31">
        <v>517958.5</v>
      </c>
      <c r="H36" s="32">
        <v>306379.8</v>
      </c>
      <c r="I36" s="33">
        <v>703074.8</v>
      </c>
      <c r="J36" s="34">
        <v>1419360</v>
      </c>
      <c r="L36" s="46">
        <f t="shared" si="3"/>
        <v>181.5</v>
      </c>
      <c r="M36" s="46">
        <f t="shared" si="3"/>
        <v>374</v>
      </c>
      <c r="N36" s="46">
        <f t="shared" si="3"/>
        <v>96.099999999998545</v>
      </c>
      <c r="O36" s="46">
        <f t="shared" si="3"/>
        <v>384.5</v>
      </c>
      <c r="P36" s="46">
        <f t="shared" si="3"/>
        <v>273.5</v>
      </c>
      <c r="Q36" s="46">
        <f t="shared" si="3"/>
        <v>485.59999999997672</v>
      </c>
      <c r="R36" s="46">
        <f t="shared" si="3"/>
        <v>618.70000000001164</v>
      </c>
      <c r="S36" s="46">
        <f t="shared" si="3"/>
        <v>321</v>
      </c>
      <c r="T36" s="46">
        <f t="shared" si="3"/>
        <v>1467</v>
      </c>
      <c r="U36" s="47">
        <f t="shared" si="4"/>
        <v>667.09999999997672</v>
      </c>
      <c r="V36" s="47">
        <f t="shared" si="4"/>
        <v>992.70000000001164</v>
      </c>
      <c r="W36" s="47">
        <f t="shared" si="4"/>
        <v>417.09999999999854</v>
      </c>
      <c r="X36" s="47">
        <f t="shared" si="2"/>
        <v>2125</v>
      </c>
    </row>
    <row r="37" spans="1:24" ht="20" customHeight="1" x14ac:dyDescent="0.35">
      <c r="A37" s="29" t="s">
        <v>182</v>
      </c>
      <c r="B37" s="30">
        <v>404509.2</v>
      </c>
      <c r="C37" s="29">
        <v>219206.2</v>
      </c>
      <c r="D37" s="31">
        <v>43042.1</v>
      </c>
      <c r="E37" s="31">
        <v>364204.2</v>
      </c>
      <c r="F37" s="31">
        <v>244671.6</v>
      </c>
      <c r="G37" s="31">
        <v>518444.1</v>
      </c>
      <c r="H37" s="32">
        <v>306998.5</v>
      </c>
      <c r="I37" s="33">
        <v>703395.8</v>
      </c>
      <c r="J37" s="34">
        <v>1420827</v>
      </c>
      <c r="L37" s="46">
        <f t="shared" si="3"/>
        <v>0</v>
      </c>
      <c r="M37" s="46">
        <f t="shared" si="3"/>
        <v>0</v>
      </c>
      <c r="N37" s="46">
        <f t="shared" si="3"/>
        <v>144.90000000000146</v>
      </c>
      <c r="O37" s="46">
        <f t="shared" si="3"/>
        <v>267.59999999997672</v>
      </c>
      <c r="P37" s="46">
        <f t="shared" si="3"/>
        <v>224.79999999998836</v>
      </c>
      <c r="Q37" s="46">
        <f t="shared" si="3"/>
        <v>5.3000000000465661</v>
      </c>
      <c r="R37" s="46">
        <f t="shared" si="3"/>
        <v>17.099999999976717</v>
      </c>
      <c r="S37" s="46">
        <f t="shared" si="3"/>
        <v>296.5</v>
      </c>
      <c r="T37" s="46">
        <f t="shared" si="3"/>
        <v>1425</v>
      </c>
      <c r="U37" s="47">
        <f t="shared" si="4"/>
        <v>5.3000000000465661</v>
      </c>
      <c r="V37" s="47">
        <f t="shared" si="4"/>
        <v>17.099999999976717</v>
      </c>
      <c r="W37" s="47">
        <f t="shared" si="4"/>
        <v>441.40000000000146</v>
      </c>
      <c r="X37" s="47">
        <f t="shared" si="2"/>
        <v>1917.3999999999651</v>
      </c>
    </row>
    <row r="38" spans="1:24" ht="20" customHeight="1" x14ac:dyDescent="0.35">
      <c r="A38" s="29" t="s">
        <v>183</v>
      </c>
      <c r="B38" s="30">
        <v>404509.2</v>
      </c>
      <c r="C38" s="29">
        <v>219206.2</v>
      </c>
      <c r="D38" s="31">
        <v>43187</v>
      </c>
      <c r="E38" s="31">
        <v>364471.8</v>
      </c>
      <c r="F38" s="31">
        <v>244896.4</v>
      </c>
      <c r="G38" s="31">
        <v>518449.4</v>
      </c>
      <c r="H38" s="32">
        <v>307015.59999999998</v>
      </c>
      <c r="I38" s="33">
        <v>703692.3</v>
      </c>
      <c r="J38" s="34">
        <v>1422252</v>
      </c>
      <c r="L38" s="46">
        <f t="shared" si="3"/>
        <v>0</v>
      </c>
      <c r="M38" s="46">
        <f t="shared" si="3"/>
        <v>0</v>
      </c>
      <c r="N38" s="46">
        <f t="shared" si="3"/>
        <v>197.80000000000291</v>
      </c>
      <c r="O38" s="46">
        <f t="shared" si="3"/>
        <v>357.40000000002328</v>
      </c>
      <c r="P38" s="46">
        <f t="shared" si="3"/>
        <v>224.70000000001164</v>
      </c>
      <c r="Q38" s="46">
        <f t="shared" si="3"/>
        <v>1.5999999999767169</v>
      </c>
      <c r="R38" s="46">
        <f t="shared" si="3"/>
        <v>17.300000000046566</v>
      </c>
      <c r="S38" s="46">
        <f t="shared" si="3"/>
        <v>1034</v>
      </c>
      <c r="T38" s="46">
        <f t="shared" si="3"/>
        <v>1375</v>
      </c>
      <c r="U38" s="47">
        <f t="shared" si="4"/>
        <v>1.5999999999767169</v>
      </c>
      <c r="V38" s="47">
        <f t="shared" si="4"/>
        <v>17.300000000046566</v>
      </c>
      <c r="W38" s="47">
        <f t="shared" si="4"/>
        <v>1231.8000000000029</v>
      </c>
      <c r="X38" s="47">
        <f t="shared" si="2"/>
        <v>1957.1000000000349</v>
      </c>
    </row>
    <row r="39" spans="1:24" ht="20" customHeight="1" x14ac:dyDescent="0.35">
      <c r="A39" s="29" t="s">
        <v>184</v>
      </c>
      <c r="B39" s="30">
        <v>404509.2</v>
      </c>
      <c r="C39" s="29">
        <v>219206.2</v>
      </c>
      <c r="D39" s="31">
        <v>43384.800000000003</v>
      </c>
      <c r="E39" s="31">
        <v>364829.2</v>
      </c>
      <c r="F39" s="31">
        <v>245121.1</v>
      </c>
      <c r="G39" s="31">
        <v>518451</v>
      </c>
      <c r="H39" s="32">
        <v>307032.90000000002</v>
      </c>
      <c r="I39" s="33">
        <v>704726.3</v>
      </c>
      <c r="J39" s="34">
        <v>1423627</v>
      </c>
      <c r="L39" s="46">
        <f t="shared" ref="L39:T39" si="10">IFERROR(B40-B39,0)</f>
        <v>3794</v>
      </c>
      <c r="M39" s="46">
        <f t="shared" si="10"/>
        <v>24.299999999988358</v>
      </c>
      <c r="N39" s="46">
        <f t="shared" si="10"/>
        <v>2329</v>
      </c>
      <c r="O39" s="46">
        <f t="shared" si="10"/>
        <v>3180.7000000000116</v>
      </c>
      <c r="P39" s="46">
        <f t="shared" si="10"/>
        <v>2123.7999999999884</v>
      </c>
      <c r="Q39" s="46">
        <f t="shared" si="10"/>
        <v>7163.4000000000233</v>
      </c>
      <c r="R39" s="46">
        <f t="shared" si="10"/>
        <v>224.5</v>
      </c>
      <c r="S39" s="46">
        <f t="shared" si="10"/>
        <v>7804.1999999999534</v>
      </c>
      <c r="T39" s="46">
        <f t="shared" si="10"/>
        <v>11767</v>
      </c>
      <c r="U39" s="47">
        <f t="shared" si="4"/>
        <v>10957.400000000023</v>
      </c>
      <c r="V39" s="47">
        <f t="shared" si="4"/>
        <v>248.79999999998836</v>
      </c>
      <c r="W39" s="47">
        <f t="shared" si="4"/>
        <v>10133.199999999953</v>
      </c>
      <c r="X39" s="47">
        <f t="shared" si="2"/>
        <v>17071.5</v>
      </c>
    </row>
    <row r="40" spans="1:24" ht="20" customHeight="1" x14ac:dyDescent="0.35">
      <c r="A40" s="59" t="s">
        <v>223</v>
      </c>
      <c r="B40" s="30">
        <v>408303.2</v>
      </c>
      <c r="C40" s="29">
        <v>219230.5</v>
      </c>
      <c r="D40" s="31">
        <v>45713.8</v>
      </c>
      <c r="E40" s="31">
        <v>368009.9</v>
      </c>
      <c r="F40" s="31">
        <v>247244.9</v>
      </c>
      <c r="G40" s="31">
        <v>525614.4</v>
      </c>
      <c r="H40" s="32">
        <v>307257.40000000002</v>
      </c>
      <c r="I40" s="33">
        <v>712530.5</v>
      </c>
      <c r="J40" s="34">
        <v>1435394</v>
      </c>
      <c r="L40" s="46">
        <f t="shared" si="3"/>
        <v>-408303.2</v>
      </c>
      <c r="M40" s="46">
        <f t="shared" si="3"/>
        <v>-219230.5</v>
      </c>
      <c r="N40" s="46">
        <f t="shared" si="3"/>
        <v>-45713.8</v>
      </c>
      <c r="O40" s="46">
        <f t="shared" si="3"/>
        <v>-368009.9</v>
      </c>
      <c r="P40" s="46">
        <f t="shared" si="3"/>
        <v>-247244.9</v>
      </c>
      <c r="Q40" s="46">
        <f t="shared" si="3"/>
        <v>-525614.4</v>
      </c>
      <c r="R40" s="46">
        <f t="shared" si="3"/>
        <v>-307257.40000000002</v>
      </c>
      <c r="S40" s="46">
        <f t="shared" si="3"/>
        <v>-712530.5</v>
      </c>
      <c r="T40" s="46">
        <f t="shared" si="3"/>
        <v>-1435394</v>
      </c>
      <c r="U40" s="47">
        <f t="shared" si="4"/>
        <v>-933917.60000000009</v>
      </c>
      <c r="V40" s="47">
        <f t="shared" si="4"/>
        <v>-526487.9</v>
      </c>
      <c r="W40" s="47">
        <f t="shared" si="4"/>
        <v>-758244.3</v>
      </c>
      <c r="X40" s="47">
        <f t="shared" si="2"/>
        <v>-2050648.8</v>
      </c>
    </row>
    <row r="41" spans="1:24" ht="20" customHeight="1" x14ac:dyDescent="0.35">
      <c r="A41" s="29"/>
      <c r="B41" s="30"/>
      <c r="C41" s="29"/>
      <c r="D41" s="31"/>
      <c r="E41" s="31"/>
      <c r="F41" s="31"/>
      <c r="G41" s="31"/>
      <c r="H41" s="32"/>
      <c r="I41" s="33"/>
      <c r="J41" s="34"/>
      <c r="L41" s="46">
        <f t="shared" si="3"/>
        <v>0</v>
      </c>
      <c r="M41" s="46">
        <f t="shared" si="3"/>
        <v>0</v>
      </c>
      <c r="N41" s="46">
        <f t="shared" si="3"/>
        <v>0</v>
      </c>
      <c r="O41" s="46">
        <f t="shared" si="3"/>
        <v>0</v>
      </c>
      <c r="P41" s="46">
        <f t="shared" si="3"/>
        <v>0</v>
      </c>
      <c r="Q41" s="46">
        <f t="shared" si="3"/>
        <v>0</v>
      </c>
      <c r="R41" s="46">
        <f t="shared" si="3"/>
        <v>0</v>
      </c>
      <c r="S41" s="46">
        <f t="shared" si="3"/>
        <v>0</v>
      </c>
      <c r="T41" s="46">
        <f t="shared" si="3"/>
        <v>0</v>
      </c>
      <c r="U41" s="47">
        <f t="shared" si="4"/>
        <v>0</v>
      </c>
      <c r="V41" s="47">
        <f t="shared" si="4"/>
        <v>0</v>
      </c>
      <c r="W41" s="47">
        <f t="shared" si="4"/>
        <v>0</v>
      </c>
      <c r="X41" s="47">
        <f t="shared" si="2"/>
        <v>0</v>
      </c>
    </row>
    <row r="42" spans="1:24" ht="20" customHeight="1" x14ac:dyDescent="0.35">
      <c r="A42" s="29"/>
      <c r="B42" s="30"/>
      <c r="C42" s="29"/>
      <c r="D42" s="31"/>
      <c r="E42" s="31"/>
      <c r="F42" s="31"/>
      <c r="G42" s="31"/>
      <c r="H42" s="32"/>
      <c r="I42" s="33"/>
      <c r="J42" s="34"/>
      <c r="L42" s="46">
        <f t="shared" si="3"/>
        <v>0</v>
      </c>
      <c r="M42" s="46">
        <f t="shared" si="3"/>
        <v>0</v>
      </c>
      <c r="N42" s="46">
        <f t="shared" si="3"/>
        <v>0</v>
      </c>
      <c r="O42" s="46">
        <f t="shared" si="3"/>
        <v>0</v>
      </c>
      <c r="P42" s="46">
        <f t="shared" si="3"/>
        <v>0</v>
      </c>
      <c r="Q42" s="46">
        <f t="shared" si="3"/>
        <v>0</v>
      </c>
      <c r="R42" s="46">
        <f t="shared" si="3"/>
        <v>0</v>
      </c>
      <c r="S42" s="46">
        <f t="shared" si="3"/>
        <v>0</v>
      </c>
      <c r="T42" s="46">
        <f t="shared" si="3"/>
        <v>0</v>
      </c>
      <c r="U42" s="47">
        <f t="shared" si="4"/>
        <v>0</v>
      </c>
      <c r="V42" s="47">
        <f t="shared" si="4"/>
        <v>0</v>
      </c>
      <c r="W42" s="47">
        <f t="shared" si="4"/>
        <v>0</v>
      </c>
      <c r="X42" s="47">
        <f t="shared" si="2"/>
        <v>0</v>
      </c>
    </row>
    <row r="43" spans="1:24" ht="20" customHeight="1" x14ac:dyDescent="0.35">
      <c r="A43" s="29"/>
      <c r="B43" s="30"/>
      <c r="C43" s="29"/>
      <c r="D43" s="31"/>
      <c r="E43" s="31"/>
      <c r="F43" s="31"/>
      <c r="G43" s="31"/>
      <c r="H43" s="32"/>
      <c r="I43" s="33"/>
      <c r="J43" s="34"/>
      <c r="L43" s="46">
        <f t="shared" si="3"/>
        <v>0</v>
      </c>
      <c r="M43" s="46">
        <f t="shared" si="3"/>
        <v>0</v>
      </c>
      <c r="N43" s="46">
        <f t="shared" si="3"/>
        <v>0</v>
      </c>
      <c r="O43" s="46">
        <f t="shared" si="3"/>
        <v>0</v>
      </c>
      <c r="P43" s="46">
        <f t="shared" si="3"/>
        <v>0</v>
      </c>
      <c r="Q43" s="46">
        <f t="shared" si="3"/>
        <v>0</v>
      </c>
      <c r="R43" s="46">
        <f t="shared" si="3"/>
        <v>0</v>
      </c>
      <c r="S43" s="46">
        <f t="shared" si="3"/>
        <v>0</v>
      </c>
      <c r="T43" s="46">
        <f t="shared" si="3"/>
        <v>0</v>
      </c>
      <c r="U43" s="47">
        <f t="shared" si="4"/>
        <v>0</v>
      </c>
      <c r="V43" s="47">
        <f t="shared" si="4"/>
        <v>0</v>
      </c>
      <c r="W43" s="47">
        <f t="shared" si="4"/>
        <v>0</v>
      </c>
      <c r="X43" s="47">
        <f t="shared" si="2"/>
        <v>0</v>
      </c>
    </row>
    <row r="44" spans="1:24" ht="42.75" customHeight="1" x14ac:dyDescent="0.35">
      <c r="A44" s="37"/>
      <c r="B44" s="38"/>
      <c r="C44" s="37"/>
      <c r="D44" s="39"/>
      <c r="E44" s="39"/>
      <c r="F44" s="39"/>
      <c r="G44" s="39"/>
      <c r="H44" s="40"/>
      <c r="I44" s="41"/>
      <c r="J44" s="42"/>
      <c r="L44" s="46">
        <f t="shared" ref="L44:T72" si="11">IFERROR(B45-B44,0)</f>
        <v>0</v>
      </c>
      <c r="M44" s="46">
        <f t="shared" si="11"/>
        <v>0</v>
      </c>
      <c r="N44" s="46">
        <f t="shared" si="11"/>
        <v>0</v>
      </c>
      <c r="O44" s="46">
        <f t="shared" si="11"/>
        <v>0</v>
      </c>
      <c r="P44" s="46">
        <f t="shared" si="11"/>
        <v>0</v>
      </c>
      <c r="Q44" s="46">
        <f t="shared" si="11"/>
        <v>0</v>
      </c>
      <c r="R44" s="46">
        <f t="shared" si="11"/>
        <v>0</v>
      </c>
      <c r="S44" s="46">
        <f t="shared" si="11"/>
        <v>0</v>
      </c>
      <c r="T44" s="46">
        <f t="shared" si="11"/>
        <v>0</v>
      </c>
      <c r="U44" s="47">
        <f t="shared" ref="U44:W107" si="12">L44+Q44</f>
        <v>0</v>
      </c>
      <c r="V44" s="47">
        <f t="shared" si="12"/>
        <v>0</v>
      </c>
      <c r="W44" s="47">
        <f t="shared" si="12"/>
        <v>0</v>
      </c>
      <c r="X44" s="47">
        <f t="shared" si="2"/>
        <v>0</v>
      </c>
    </row>
    <row r="45" spans="1:24" ht="20" customHeight="1" x14ac:dyDescent="0.35">
      <c r="A45" s="29"/>
      <c r="B45" s="30"/>
      <c r="C45" s="29"/>
      <c r="D45" s="31"/>
      <c r="E45" s="31"/>
      <c r="F45" s="31"/>
      <c r="G45" s="31"/>
      <c r="H45" s="29"/>
      <c r="I45" s="31"/>
      <c r="J45" s="34"/>
      <c r="L45" s="46">
        <f t="shared" si="11"/>
        <v>0</v>
      </c>
      <c r="M45" s="46">
        <f t="shared" si="11"/>
        <v>0</v>
      </c>
      <c r="N45" s="46">
        <f t="shared" si="11"/>
        <v>0</v>
      </c>
      <c r="O45" s="46">
        <f t="shared" si="11"/>
        <v>0</v>
      </c>
      <c r="P45" s="46">
        <f t="shared" si="11"/>
        <v>0</v>
      </c>
      <c r="Q45" s="46">
        <f t="shared" si="11"/>
        <v>0</v>
      </c>
      <c r="R45" s="46">
        <f t="shared" si="11"/>
        <v>0</v>
      </c>
      <c r="S45" s="46">
        <f t="shared" si="11"/>
        <v>0</v>
      </c>
      <c r="T45" s="46">
        <f t="shared" si="11"/>
        <v>0</v>
      </c>
      <c r="U45" s="47">
        <f t="shared" si="12"/>
        <v>0</v>
      </c>
      <c r="V45" s="47">
        <f t="shared" si="12"/>
        <v>0</v>
      </c>
      <c r="W45" s="47">
        <f t="shared" si="12"/>
        <v>0</v>
      </c>
      <c r="X45" s="47">
        <f t="shared" si="2"/>
        <v>0</v>
      </c>
    </row>
    <row r="46" spans="1:24" ht="20" customHeight="1" x14ac:dyDescent="0.35">
      <c r="A46" s="29"/>
      <c r="B46" s="30"/>
      <c r="C46" s="29"/>
      <c r="D46" s="31"/>
      <c r="E46" s="31"/>
      <c r="F46" s="31"/>
      <c r="G46" s="31"/>
      <c r="H46" s="29"/>
      <c r="I46" s="31"/>
      <c r="J46" s="34"/>
      <c r="L46" s="46">
        <f t="shared" si="11"/>
        <v>0</v>
      </c>
      <c r="M46" s="46">
        <f t="shared" si="11"/>
        <v>0</v>
      </c>
      <c r="N46" s="46">
        <f t="shared" si="11"/>
        <v>0</v>
      </c>
      <c r="O46" s="46">
        <f t="shared" si="11"/>
        <v>0</v>
      </c>
      <c r="P46" s="46">
        <f t="shared" si="11"/>
        <v>0</v>
      </c>
      <c r="Q46" s="46">
        <f t="shared" si="11"/>
        <v>0</v>
      </c>
      <c r="R46" s="46">
        <f t="shared" si="11"/>
        <v>0</v>
      </c>
      <c r="S46" s="46">
        <f t="shared" si="11"/>
        <v>0</v>
      </c>
      <c r="T46" s="46">
        <f t="shared" si="11"/>
        <v>0</v>
      </c>
      <c r="U46" s="47">
        <f t="shared" si="12"/>
        <v>0</v>
      </c>
      <c r="V46" s="47">
        <f t="shared" si="12"/>
        <v>0</v>
      </c>
      <c r="W46" s="47">
        <f t="shared" si="12"/>
        <v>0</v>
      </c>
      <c r="X46" s="47">
        <f t="shared" si="2"/>
        <v>0</v>
      </c>
    </row>
    <row r="47" spans="1:24" ht="20" customHeight="1" x14ac:dyDescent="0.35">
      <c r="A47" s="29"/>
      <c r="B47" s="30"/>
      <c r="C47" s="29"/>
      <c r="D47" s="31"/>
      <c r="E47" s="31"/>
      <c r="F47" s="31"/>
      <c r="G47" s="31"/>
      <c r="H47" s="29"/>
      <c r="I47" s="31"/>
      <c r="J47" s="34"/>
      <c r="L47" s="46">
        <f t="shared" si="11"/>
        <v>0</v>
      </c>
      <c r="M47" s="46">
        <f t="shared" si="11"/>
        <v>0</v>
      </c>
      <c r="N47" s="46">
        <f t="shared" si="11"/>
        <v>0</v>
      </c>
      <c r="O47" s="46">
        <f t="shared" si="11"/>
        <v>0</v>
      </c>
      <c r="P47" s="46">
        <f t="shared" si="11"/>
        <v>0</v>
      </c>
      <c r="Q47" s="46">
        <f t="shared" si="11"/>
        <v>0</v>
      </c>
      <c r="R47" s="46">
        <f t="shared" si="11"/>
        <v>0</v>
      </c>
      <c r="S47" s="46">
        <f t="shared" si="11"/>
        <v>0</v>
      </c>
      <c r="T47" s="46">
        <f t="shared" si="11"/>
        <v>0</v>
      </c>
      <c r="U47" s="47">
        <f t="shared" si="12"/>
        <v>0</v>
      </c>
      <c r="V47" s="47">
        <f t="shared" si="12"/>
        <v>0</v>
      </c>
      <c r="W47" s="47">
        <f t="shared" si="12"/>
        <v>0</v>
      </c>
      <c r="X47" s="47">
        <f t="shared" si="2"/>
        <v>0</v>
      </c>
    </row>
    <row r="48" spans="1:24" ht="20" customHeight="1" x14ac:dyDescent="0.35">
      <c r="A48" s="29"/>
      <c r="B48" s="30"/>
      <c r="C48" s="29"/>
      <c r="D48" s="31"/>
      <c r="E48" s="31"/>
      <c r="F48" s="31"/>
      <c r="G48" s="31"/>
      <c r="H48" s="29"/>
      <c r="I48" s="31"/>
      <c r="J48" s="34"/>
      <c r="L48" s="46">
        <f t="shared" si="11"/>
        <v>0</v>
      </c>
      <c r="M48" s="46">
        <f t="shared" si="11"/>
        <v>0</v>
      </c>
      <c r="N48" s="46">
        <f t="shared" si="11"/>
        <v>0</v>
      </c>
      <c r="O48" s="46">
        <f t="shared" si="11"/>
        <v>0</v>
      </c>
      <c r="P48" s="46">
        <f t="shared" si="11"/>
        <v>0</v>
      </c>
      <c r="Q48" s="46">
        <f t="shared" si="11"/>
        <v>0</v>
      </c>
      <c r="R48" s="46">
        <f t="shared" si="11"/>
        <v>0</v>
      </c>
      <c r="S48" s="46">
        <f t="shared" si="11"/>
        <v>0</v>
      </c>
      <c r="T48" s="46">
        <f t="shared" si="11"/>
        <v>0</v>
      </c>
      <c r="U48" s="47">
        <f t="shared" si="12"/>
        <v>0</v>
      </c>
      <c r="V48" s="47">
        <f t="shared" si="12"/>
        <v>0</v>
      </c>
      <c r="W48" s="47">
        <f t="shared" si="12"/>
        <v>0</v>
      </c>
      <c r="X48" s="47">
        <f t="shared" si="2"/>
        <v>0</v>
      </c>
    </row>
    <row r="49" spans="1:24" ht="20" customHeight="1" x14ac:dyDescent="0.35">
      <c r="A49" s="29"/>
      <c r="B49" s="30"/>
      <c r="C49" s="29"/>
      <c r="D49" s="31"/>
      <c r="E49" s="31"/>
      <c r="F49" s="31"/>
      <c r="G49" s="31"/>
      <c r="H49" s="29"/>
      <c r="I49" s="31"/>
      <c r="J49" s="34"/>
      <c r="L49" s="46">
        <f t="shared" si="11"/>
        <v>0</v>
      </c>
      <c r="M49" s="46">
        <f t="shared" si="11"/>
        <v>0</v>
      </c>
      <c r="N49" s="46">
        <f t="shared" si="11"/>
        <v>0</v>
      </c>
      <c r="O49" s="46">
        <f t="shared" si="11"/>
        <v>0</v>
      </c>
      <c r="P49" s="46">
        <f t="shared" si="11"/>
        <v>0</v>
      </c>
      <c r="Q49" s="46">
        <f t="shared" si="11"/>
        <v>0</v>
      </c>
      <c r="R49" s="46">
        <f t="shared" si="11"/>
        <v>0</v>
      </c>
      <c r="S49" s="46">
        <f t="shared" si="11"/>
        <v>0</v>
      </c>
      <c r="T49" s="46">
        <f t="shared" si="11"/>
        <v>0</v>
      </c>
      <c r="U49" s="47">
        <f t="shared" si="12"/>
        <v>0</v>
      </c>
      <c r="V49" s="47">
        <f t="shared" si="12"/>
        <v>0</v>
      </c>
      <c r="W49" s="47">
        <f t="shared" si="12"/>
        <v>0</v>
      </c>
      <c r="X49" s="47">
        <f t="shared" si="2"/>
        <v>0</v>
      </c>
    </row>
    <row r="50" spans="1:24" ht="20" customHeight="1" x14ac:dyDescent="0.35">
      <c r="A50" s="29"/>
      <c r="B50" s="30"/>
      <c r="C50" s="29"/>
      <c r="D50" s="31"/>
      <c r="E50" s="31"/>
      <c r="F50" s="31"/>
      <c r="G50" s="31"/>
      <c r="H50" s="29"/>
      <c r="I50" s="31"/>
      <c r="J50" s="34"/>
      <c r="L50" s="46">
        <f t="shared" si="11"/>
        <v>0</v>
      </c>
      <c r="M50" s="46">
        <f t="shared" si="11"/>
        <v>0</v>
      </c>
      <c r="N50" s="46">
        <f t="shared" si="11"/>
        <v>0</v>
      </c>
      <c r="O50" s="46">
        <f t="shared" si="11"/>
        <v>0</v>
      </c>
      <c r="P50" s="46">
        <f t="shared" si="11"/>
        <v>0</v>
      </c>
      <c r="Q50" s="46">
        <f t="shared" si="11"/>
        <v>0</v>
      </c>
      <c r="R50" s="46">
        <f t="shared" si="11"/>
        <v>0</v>
      </c>
      <c r="S50" s="46">
        <f t="shared" si="11"/>
        <v>0</v>
      </c>
      <c r="T50" s="46">
        <f t="shared" si="11"/>
        <v>0</v>
      </c>
      <c r="U50" s="47">
        <f t="shared" si="12"/>
        <v>0</v>
      </c>
      <c r="V50" s="47">
        <f t="shared" si="12"/>
        <v>0</v>
      </c>
      <c r="W50" s="47">
        <f t="shared" si="12"/>
        <v>0</v>
      </c>
      <c r="X50" s="47">
        <f t="shared" si="2"/>
        <v>0</v>
      </c>
    </row>
    <row r="51" spans="1:24" ht="20" customHeight="1" x14ac:dyDescent="0.35">
      <c r="A51" s="29"/>
      <c r="B51" s="30"/>
      <c r="C51" s="29"/>
      <c r="D51" s="31"/>
      <c r="E51" s="31"/>
      <c r="F51" s="31"/>
      <c r="G51" s="31"/>
      <c r="H51" s="29"/>
      <c r="I51" s="31"/>
      <c r="J51" s="34"/>
      <c r="L51" s="46">
        <f t="shared" si="11"/>
        <v>0</v>
      </c>
      <c r="M51" s="46">
        <f t="shared" si="11"/>
        <v>0</v>
      </c>
      <c r="N51" s="46">
        <f t="shared" si="11"/>
        <v>0</v>
      </c>
      <c r="O51" s="46">
        <f t="shared" si="11"/>
        <v>0</v>
      </c>
      <c r="P51" s="46">
        <f t="shared" si="11"/>
        <v>0</v>
      </c>
      <c r="Q51" s="46">
        <f t="shared" si="11"/>
        <v>0</v>
      </c>
      <c r="R51" s="46">
        <f t="shared" si="11"/>
        <v>0</v>
      </c>
      <c r="S51" s="46">
        <f t="shared" si="11"/>
        <v>0</v>
      </c>
      <c r="T51" s="46">
        <f t="shared" si="11"/>
        <v>0</v>
      </c>
      <c r="U51" s="47">
        <f t="shared" si="12"/>
        <v>0</v>
      </c>
      <c r="V51" s="47">
        <f t="shared" si="12"/>
        <v>0</v>
      </c>
      <c r="W51" s="47">
        <f t="shared" si="12"/>
        <v>0</v>
      </c>
      <c r="X51" s="47">
        <f t="shared" si="2"/>
        <v>0</v>
      </c>
    </row>
    <row r="52" spans="1:24" ht="20" customHeight="1" x14ac:dyDescent="0.35">
      <c r="A52" s="29"/>
      <c r="B52" s="30"/>
      <c r="C52" s="29"/>
      <c r="D52" s="31"/>
      <c r="E52" s="31"/>
      <c r="F52" s="31"/>
      <c r="G52" s="31"/>
      <c r="H52" s="29"/>
      <c r="I52" s="31"/>
      <c r="J52" s="34"/>
      <c r="L52" s="46">
        <f t="shared" si="11"/>
        <v>0</v>
      </c>
      <c r="M52" s="46">
        <f t="shared" si="11"/>
        <v>0</v>
      </c>
      <c r="N52" s="46">
        <f t="shared" si="11"/>
        <v>0</v>
      </c>
      <c r="O52" s="46">
        <f t="shared" si="11"/>
        <v>0</v>
      </c>
      <c r="P52" s="46">
        <f t="shared" si="11"/>
        <v>0</v>
      </c>
      <c r="Q52" s="46">
        <f t="shared" si="11"/>
        <v>0</v>
      </c>
      <c r="R52" s="46">
        <f t="shared" si="11"/>
        <v>0</v>
      </c>
      <c r="S52" s="46">
        <f t="shared" si="11"/>
        <v>0</v>
      </c>
      <c r="T52" s="46">
        <f t="shared" si="11"/>
        <v>0</v>
      </c>
      <c r="U52" s="47">
        <f t="shared" si="12"/>
        <v>0</v>
      </c>
      <c r="V52" s="47">
        <f t="shared" si="12"/>
        <v>0</v>
      </c>
      <c r="W52" s="47">
        <f t="shared" si="12"/>
        <v>0</v>
      </c>
      <c r="X52" s="47">
        <f t="shared" si="2"/>
        <v>0</v>
      </c>
    </row>
    <row r="53" spans="1:24" ht="20" customHeight="1" x14ac:dyDescent="0.35">
      <c r="A53" s="29"/>
      <c r="B53" s="30"/>
      <c r="C53" s="29"/>
      <c r="D53" s="31"/>
      <c r="E53" s="31"/>
      <c r="F53" s="31"/>
      <c r="G53" s="31"/>
      <c r="H53" s="29"/>
      <c r="I53" s="31"/>
      <c r="J53" s="34"/>
      <c r="L53" s="46">
        <f t="shared" si="11"/>
        <v>0</v>
      </c>
      <c r="M53" s="46">
        <f t="shared" si="11"/>
        <v>0</v>
      </c>
      <c r="N53" s="46">
        <f t="shared" si="11"/>
        <v>0</v>
      </c>
      <c r="O53" s="46">
        <f t="shared" si="11"/>
        <v>0</v>
      </c>
      <c r="P53" s="46">
        <f t="shared" si="11"/>
        <v>0</v>
      </c>
      <c r="Q53" s="46">
        <f t="shared" si="11"/>
        <v>0</v>
      </c>
      <c r="R53" s="46">
        <f t="shared" si="11"/>
        <v>0</v>
      </c>
      <c r="S53" s="46">
        <f t="shared" si="11"/>
        <v>0</v>
      </c>
      <c r="T53" s="46">
        <f t="shared" si="11"/>
        <v>0</v>
      </c>
      <c r="U53" s="47">
        <f t="shared" si="12"/>
        <v>0</v>
      </c>
      <c r="V53" s="47">
        <f t="shared" si="12"/>
        <v>0</v>
      </c>
      <c r="W53" s="47">
        <f t="shared" si="12"/>
        <v>0</v>
      </c>
      <c r="X53" s="47">
        <f t="shared" si="2"/>
        <v>0</v>
      </c>
    </row>
    <row r="54" spans="1:24" ht="20" customHeight="1" x14ac:dyDescent="0.35">
      <c r="A54" s="29"/>
      <c r="B54" s="30"/>
      <c r="C54" s="29"/>
      <c r="D54" s="31"/>
      <c r="E54" s="31"/>
      <c r="F54" s="31"/>
      <c r="G54" s="31"/>
      <c r="H54" s="29"/>
      <c r="I54" s="31"/>
      <c r="J54" s="34"/>
      <c r="L54" s="46">
        <f t="shared" si="11"/>
        <v>0</v>
      </c>
      <c r="M54" s="46">
        <f t="shared" si="11"/>
        <v>0</v>
      </c>
      <c r="N54" s="46">
        <f t="shared" si="11"/>
        <v>0</v>
      </c>
      <c r="O54" s="46">
        <f t="shared" si="11"/>
        <v>0</v>
      </c>
      <c r="P54" s="46">
        <f t="shared" si="11"/>
        <v>0</v>
      </c>
      <c r="Q54" s="46">
        <f t="shared" si="11"/>
        <v>0</v>
      </c>
      <c r="R54" s="46">
        <f t="shared" si="11"/>
        <v>0</v>
      </c>
      <c r="S54" s="46">
        <f t="shared" si="11"/>
        <v>0</v>
      </c>
      <c r="T54" s="46">
        <f t="shared" si="11"/>
        <v>0</v>
      </c>
      <c r="U54" s="47">
        <f t="shared" si="12"/>
        <v>0</v>
      </c>
      <c r="V54" s="47">
        <f t="shared" si="12"/>
        <v>0</v>
      </c>
      <c r="W54" s="47">
        <f t="shared" si="12"/>
        <v>0</v>
      </c>
      <c r="X54" s="47">
        <f t="shared" si="2"/>
        <v>0</v>
      </c>
    </row>
    <row r="55" spans="1:24" ht="20" customHeight="1" x14ac:dyDescent="0.35">
      <c r="A55" s="29"/>
      <c r="B55" s="30"/>
      <c r="C55" s="29"/>
      <c r="D55" s="31"/>
      <c r="E55" s="31"/>
      <c r="F55" s="31"/>
      <c r="G55" s="31"/>
      <c r="H55" s="29"/>
      <c r="I55" s="31"/>
      <c r="J55" s="34"/>
      <c r="L55" s="46">
        <f t="shared" si="11"/>
        <v>0</v>
      </c>
      <c r="M55" s="46">
        <f t="shared" si="11"/>
        <v>0</v>
      </c>
      <c r="N55" s="46">
        <f t="shared" si="11"/>
        <v>0</v>
      </c>
      <c r="O55" s="46">
        <f t="shared" si="11"/>
        <v>0</v>
      </c>
      <c r="P55" s="46">
        <f t="shared" si="11"/>
        <v>0</v>
      </c>
      <c r="Q55" s="46">
        <f t="shared" si="11"/>
        <v>0</v>
      </c>
      <c r="R55" s="46">
        <f t="shared" si="11"/>
        <v>0</v>
      </c>
      <c r="S55" s="46">
        <f t="shared" si="11"/>
        <v>0</v>
      </c>
      <c r="T55" s="46">
        <f t="shared" si="11"/>
        <v>0</v>
      </c>
      <c r="U55" s="47">
        <f t="shared" si="12"/>
        <v>0</v>
      </c>
      <c r="V55" s="47">
        <f t="shared" si="12"/>
        <v>0</v>
      </c>
      <c r="W55" s="47">
        <f t="shared" si="12"/>
        <v>0</v>
      </c>
      <c r="X55" s="47">
        <f t="shared" si="2"/>
        <v>0</v>
      </c>
    </row>
    <row r="56" spans="1:24" ht="20" customHeight="1" x14ac:dyDescent="0.35">
      <c r="A56" s="29"/>
      <c r="B56" s="30"/>
      <c r="C56" s="31"/>
      <c r="D56" s="31"/>
      <c r="E56" s="31"/>
      <c r="F56" s="31"/>
      <c r="G56" s="31"/>
      <c r="H56" s="31"/>
      <c r="I56" s="31"/>
      <c r="J56" s="34"/>
      <c r="L56" s="46">
        <f t="shared" si="11"/>
        <v>0</v>
      </c>
      <c r="M56" s="46">
        <f t="shared" si="11"/>
        <v>0</v>
      </c>
      <c r="N56" s="46">
        <f t="shared" si="11"/>
        <v>0</v>
      </c>
      <c r="O56" s="46">
        <f t="shared" si="11"/>
        <v>0</v>
      </c>
      <c r="P56" s="46">
        <f t="shared" si="11"/>
        <v>0</v>
      </c>
      <c r="Q56" s="46">
        <f t="shared" si="11"/>
        <v>0</v>
      </c>
      <c r="R56" s="46">
        <f t="shared" si="11"/>
        <v>0</v>
      </c>
      <c r="S56" s="46">
        <f t="shared" si="11"/>
        <v>0</v>
      </c>
      <c r="T56" s="46">
        <f t="shared" si="11"/>
        <v>0</v>
      </c>
      <c r="U56" s="47">
        <f t="shared" si="12"/>
        <v>0</v>
      </c>
      <c r="V56" s="47">
        <f t="shared" si="12"/>
        <v>0</v>
      </c>
      <c r="W56" s="47">
        <f t="shared" si="12"/>
        <v>0</v>
      </c>
      <c r="X56" s="47">
        <f t="shared" si="2"/>
        <v>0</v>
      </c>
    </row>
    <row r="57" spans="1:24" ht="20" customHeight="1" x14ac:dyDescent="0.35">
      <c r="A57" s="29"/>
      <c r="B57" s="30"/>
      <c r="C57" s="31"/>
      <c r="D57" s="31"/>
      <c r="E57" s="31"/>
      <c r="F57" s="31"/>
      <c r="G57" s="31"/>
      <c r="H57" s="31"/>
      <c r="I57" s="31"/>
      <c r="J57" s="34"/>
      <c r="L57" s="46">
        <f t="shared" si="11"/>
        <v>0</v>
      </c>
      <c r="M57" s="46">
        <f t="shared" si="11"/>
        <v>0</v>
      </c>
      <c r="N57" s="46">
        <f t="shared" si="11"/>
        <v>0</v>
      </c>
      <c r="O57" s="46">
        <f t="shared" si="11"/>
        <v>0</v>
      </c>
      <c r="P57" s="46">
        <f t="shared" si="11"/>
        <v>0</v>
      </c>
      <c r="Q57" s="46">
        <f t="shared" si="11"/>
        <v>0</v>
      </c>
      <c r="R57" s="46">
        <f t="shared" si="11"/>
        <v>0</v>
      </c>
      <c r="S57" s="46">
        <f t="shared" si="11"/>
        <v>0</v>
      </c>
      <c r="T57" s="46">
        <f t="shared" si="11"/>
        <v>0</v>
      </c>
      <c r="U57" s="47">
        <f t="shared" si="12"/>
        <v>0</v>
      </c>
      <c r="V57" s="47">
        <f t="shared" si="12"/>
        <v>0</v>
      </c>
      <c r="W57" s="47">
        <f t="shared" si="12"/>
        <v>0</v>
      </c>
      <c r="X57" s="47">
        <f t="shared" si="2"/>
        <v>0</v>
      </c>
    </row>
    <row r="58" spans="1:24" ht="20" customHeight="1" x14ac:dyDescent="0.35">
      <c r="A58" s="29"/>
      <c r="B58" s="30"/>
      <c r="C58" s="31"/>
      <c r="D58" s="31"/>
      <c r="E58" s="31"/>
      <c r="F58" s="31"/>
      <c r="G58" s="31"/>
      <c r="H58" s="31"/>
      <c r="I58" s="31"/>
      <c r="J58" s="34"/>
      <c r="L58" s="46">
        <f t="shared" si="11"/>
        <v>0</v>
      </c>
      <c r="M58" s="46">
        <f t="shared" si="11"/>
        <v>0</v>
      </c>
      <c r="N58" s="46">
        <f t="shared" si="11"/>
        <v>0</v>
      </c>
      <c r="O58" s="46">
        <f t="shared" si="11"/>
        <v>0</v>
      </c>
      <c r="P58" s="46">
        <f t="shared" si="11"/>
        <v>0</v>
      </c>
      <c r="Q58" s="46">
        <f t="shared" si="11"/>
        <v>0</v>
      </c>
      <c r="R58" s="46">
        <f t="shared" si="11"/>
        <v>0</v>
      </c>
      <c r="S58" s="46">
        <f t="shared" si="11"/>
        <v>0</v>
      </c>
      <c r="T58" s="46">
        <f t="shared" si="11"/>
        <v>0</v>
      </c>
      <c r="U58" s="47">
        <f t="shared" si="12"/>
        <v>0</v>
      </c>
      <c r="V58" s="47">
        <f t="shared" si="12"/>
        <v>0</v>
      </c>
      <c r="W58" s="47">
        <f t="shared" si="12"/>
        <v>0</v>
      </c>
      <c r="X58" s="47">
        <f t="shared" si="2"/>
        <v>0</v>
      </c>
    </row>
    <row r="59" spans="1:24" ht="20" customHeight="1" x14ac:dyDescent="0.35">
      <c r="A59" s="29"/>
      <c r="B59" s="30"/>
      <c r="C59" s="31"/>
      <c r="D59" s="31"/>
      <c r="E59" s="31"/>
      <c r="F59" s="31"/>
      <c r="G59" s="31"/>
      <c r="H59" s="31"/>
      <c r="I59" s="31"/>
      <c r="J59" s="34"/>
      <c r="L59" s="46">
        <f t="shared" si="11"/>
        <v>0</v>
      </c>
      <c r="M59" s="46">
        <f t="shared" si="11"/>
        <v>0</v>
      </c>
      <c r="N59" s="46">
        <f t="shared" si="11"/>
        <v>0</v>
      </c>
      <c r="O59" s="46">
        <f t="shared" si="11"/>
        <v>0</v>
      </c>
      <c r="P59" s="46">
        <f t="shared" si="11"/>
        <v>0</v>
      </c>
      <c r="Q59" s="46">
        <f t="shared" si="11"/>
        <v>0</v>
      </c>
      <c r="R59" s="46">
        <f t="shared" si="11"/>
        <v>0</v>
      </c>
      <c r="S59" s="46">
        <f t="shared" si="11"/>
        <v>0</v>
      </c>
      <c r="T59" s="46">
        <f t="shared" si="11"/>
        <v>0</v>
      </c>
      <c r="U59" s="47">
        <f t="shared" si="12"/>
        <v>0</v>
      </c>
      <c r="V59" s="47">
        <f t="shared" si="12"/>
        <v>0</v>
      </c>
      <c r="W59" s="47">
        <f t="shared" si="12"/>
        <v>0</v>
      </c>
      <c r="X59" s="47">
        <f t="shared" si="2"/>
        <v>0</v>
      </c>
    </row>
    <row r="60" spans="1:24" ht="20" customHeight="1" x14ac:dyDescent="0.35">
      <c r="A60" s="29"/>
      <c r="B60" s="30"/>
      <c r="C60" s="31"/>
      <c r="D60" s="31"/>
      <c r="E60" s="31"/>
      <c r="F60" s="31"/>
      <c r="G60" s="31"/>
      <c r="H60" s="31"/>
      <c r="I60" s="31"/>
      <c r="J60" s="34"/>
      <c r="L60" s="46">
        <f t="shared" si="11"/>
        <v>0</v>
      </c>
      <c r="M60" s="46">
        <f t="shared" si="11"/>
        <v>0</v>
      </c>
      <c r="N60" s="46">
        <f t="shared" si="11"/>
        <v>0</v>
      </c>
      <c r="O60" s="46">
        <f t="shared" si="11"/>
        <v>0</v>
      </c>
      <c r="P60" s="46">
        <f t="shared" si="11"/>
        <v>0</v>
      </c>
      <c r="Q60" s="46">
        <f t="shared" si="11"/>
        <v>0</v>
      </c>
      <c r="R60" s="46">
        <f t="shared" si="11"/>
        <v>0</v>
      </c>
      <c r="S60" s="46">
        <f t="shared" si="11"/>
        <v>0</v>
      </c>
      <c r="T60" s="46">
        <f t="shared" si="11"/>
        <v>0</v>
      </c>
      <c r="U60" s="47">
        <f t="shared" si="12"/>
        <v>0</v>
      </c>
      <c r="V60" s="47">
        <f t="shared" si="12"/>
        <v>0</v>
      </c>
      <c r="W60" s="47">
        <f t="shared" si="12"/>
        <v>0</v>
      </c>
      <c r="X60" s="47">
        <f t="shared" si="2"/>
        <v>0</v>
      </c>
    </row>
    <row r="61" spans="1:24" ht="20" customHeight="1" x14ac:dyDescent="0.35">
      <c r="A61" s="29"/>
      <c r="B61" s="30"/>
      <c r="C61" s="31"/>
      <c r="D61" s="31"/>
      <c r="E61" s="31"/>
      <c r="F61" s="31"/>
      <c r="G61" s="31"/>
      <c r="H61" s="31"/>
      <c r="I61" s="31"/>
      <c r="J61" s="34"/>
      <c r="L61" s="46">
        <f t="shared" si="11"/>
        <v>0</v>
      </c>
      <c r="M61" s="46">
        <f t="shared" si="11"/>
        <v>0</v>
      </c>
      <c r="N61" s="46">
        <f t="shared" si="11"/>
        <v>0</v>
      </c>
      <c r="O61" s="46">
        <f t="shared" si="11"/>
        <v>0</v>
      </c>
      <c r="P61" s="46">
        <f t="shared" si="11"/>
        <v>0</v>
      </c>
      <c r="Q61" s="46">
        <f t="shared" si="11"/>
        <v>0</v>
      </c>
      <c r="R61" s="46">
        <f t="shared" si="11"/>
        <v>0</v>
      </c>
      <c r="S61" s="46">
        <f t="shared" si="11"/>
        <v>0</v>
      </c>
      <c r="T61" s="46">
        <f t="shared" si="11"/>
        <v>0</v>
      </c>
      <c r="U61" s="47">
        <f t="shared" si="12"/>
        <v>0</v>
      </c>
      <c r="V61" s="47">
        <f t="shared" si="12"/>
        <v>0</v>
      </c>
      <c r="W61" s="47">
        <f t="shared" si="12"/>
        <v>0</v>
      </c>
      <c r="X61" s="47">
        <f t="shared" si="2"/>
        <v>0</v>
      </c>
    </row>
    <row r="62" spans="1:24" ht="16.75" customHeight="1" x14ac:dyDescent="0.35">
      <c r="A62" s="29"/>
      <c r="B62" s="30"/>
      <c r="C62" s="31"/>
      <c r="D62" s="31"/>
      <c r="E62" s="31"/>
      <c r="F62" s="31"/>
      <c r="G62" s="31"/>
      <c r="H62" s="31"/>
      <c r="I62" s="31"/>
      <c r="J62" s="34"/>
      <c r="L62" s="46">
        <f t="shared" si="11"/>
        <v>0</v>
      </c>
      <c r="M62" s="46">
        <f t="shared" si="11"/>
        <v>0</v>
      </c>
      <c r="N62" s="46">
        <f t="shared" si="11"/>
        <v>0</v>
      </c>
      <c r="O62" s="46">
        <f t="shared" si="11"/>
        <v>0</v>
      </c>
      <c r="P62" s="46">
        <f t="shared" si="11"/>
        <v>0</v>
      </c>
      <c r="Q62" s="46">
        <f t="shared" si="11"/>
        <v>0</v>
      </c>
      <c r="R62" s="46">
        <f t="shared" si="11"/>
        <v>0</v>
      </c>
      <c r="S62" s="46">
        <f t="shared" si="11"/>
        <v>0</v>
      </c>
      <c r="T62" s="46">
        <f t="shared" si="11"/>
        <v>0</v>
      </c>
      <c r="U62" s="47">
        <f t="shared" si="12"/>
        <v>0</v>
      </c>
      <c r="V62" s="47">
        <f t="shared" si="12"/>
        <v>0</v>
      </c>
      <c r="W62" s="47">
        <f t="shared" si="12"/>
        <v>0</v>
      </c>
      <c r="X62" s="47">
        <f t="shared" si="2"/>
        <v>0</v>
      </c>
    </row>
    <row r="63" spans="1:24" ht="20" customHeight="1" x14ac:dyDescent="0.35">
      <c r="A63" s="29"/>
      <c r="B63" s="30"/>
      <c r="C63" s="31"/>
      <c r="D63" s="31"/>
      <c r="E63" s="31"/>
      <c r="F63" s="31"/>
      <c r="G63" s="31"/>
      <c r="H63" s="31"/>
      <c r="I63" s="31"/>
      <c r="J63" s="34"/>
      <c r="L63" s="46">
        <f t="shared" si="11"/>
        <v>0</v>
      </c>
      <c r="M63" s="46">
        <f t="shared" si="11"/>
        <v>0</v>
      </c>
      <c r="N63" s="46">
        <f t="shared" si="11"/>
        <v>0</v>
      </c>
      <c r="O63" s="46">
        <f t="shared" si="11"/>
        <v>0</v>
      </c>
      <c r="P63" s="46">
        <f t="shared" si="11"/>
        <v>0</v>
      </c>
      <c r="Q63" s="46">
        <f t="shared" si="11"/>
        <v>0</v>
      </c>
      <c r="R63" s="46">
        <f t="shared" si="11"/>
        <v>0</v>
      </c>
      <c r="S63" s="46">
        <f t="shared" si="11"/>
        <v>0</v>
      </c>
      <c r="T63" s="46">
        <f t="shared" si="11"/>
        <v>0</v>
      </c>
      <c r="U63" s="47">
        <f t="shared" si="12"/>
        <v>0</v>
      </c>
      <c r="V63" s="47">
        <f t="shared" si="12"/>
        <v>0</v>
      </c>
      <c r="W63" s="47">
        <f t="shared" si="12"/>
        <v>0</v>
      </c>
      <c r="X63" s="47">
        <f t="shared" si="2"/>
        <v>0</v>
      </c>
    </row>
    <row r="64" spans="1:24" ht="20" customHeight="1" x14ac:dyDescent="0.35">
      <c r="A64" s="29"/>
      <c r="B64" s="30"/>
      <c r="C64" s="31"/>
      <c r="D64" s="31"/>
      <c r="E64" s="31"/>
      <c r="F64" s="31"/>
      <c r="G64" s="31"/>
      <c r="H64" s="31"/>
      <c r="I64" s="31"/>
      <c r="J64" s="34"/>
      <c r="L64" s="46">
        <f t="shared" si="11"/>
        <v>0</v>
      </c>
      <c r="M64" s="46">
        <f t="shared" si="11"/>
        <v>0</v>
      </c>
      <c r="N64" s="46">
        <f t="shared" si="11"/>
        <v>0</v>
      </c>
      <c r="O64" s="46">
        <f t="shared" si="11"/>
        <v>0</v>
      </c>
      <c r="P64" s="46">
        <f t="shared" si="11"/>
        <v>0</v>
      </c>
      <c r="Q64" s="46">
        <f t="shared" si="11"/>
        <v>0</v>
      </c>
      <c r="R64" s="46">
        <f t="shared" si="11"/>
        <v>0</v>
      </c>
      <c r="S64" s="46">
        <f t="shared" si="11"/>
        <v>0</v>
      </c>
      <c r="T64" s="46">
        <f t="shared" si="11"/>
        <v>0</v>
      </c>
      <c r="U64" s="47">
        <f t="shared" si="12"/>
        <v>0</v>
      </c>
      <c r="V64" s="47">
        <f t="shared" si="12"/>
        <v>0</v>
      </c>
      <c r="W64" s="47">
        <f t="shared" si="12"/>
        <v>0</v>
      </c>
      <c r="X64" s="47">
        <f t="shared" si="2"/>
        <v>0</v>
      </c>
    </row>
    <row r="65" spans="1:24" ht="20" customHeight="1" x14ac:dyDescent="0.35">
      <c r="A65" s="29"/>
      <c r="B65" s="30"/>
      <c r="C65" s="31"/>
      <c r="D65" s="31"/>
      <c r="E65" s="31"/>
      <c r="F65" s="31"/>
      <c r="G65" s="31"/>
      <c r="H65" s="31"/>
      <c r="I65" s="31"/>
      <c r="J65" s="34"/>
      <c r="L65" s="46">
        <f t="shared" si="11"/>
        <v>0</v>
      </c>
      <c r="M65" s="46">
        <f t="shared" si="11"/>
        <v>0</v>
      </c>
      <c r="N65" s="46">
        <f t="shared" si="11"/>
        <v>0</v>
      </c>
      <c r="O65" s="46">
        <f t="shared" si="11"/>
        <v>0</v>
      </c>
      <c r="P65" s="46">
        <f t="shared" si="11"/>
        <v>0</v>
      </c>
      <c r="Q65" s="46">
        <f t="shared" si="11"/>
        <v>0</v>
      </c>
      <c r="R65" s="46">
        <f t="shared" si="11"/>
        <v>0</v>
      </c>
      <c r="S65" s="46">
        <f t="shared" si="11"/>
        <v>0</v>
      </c>
      <c r="T65" s="46">
        <f t="shared" si="11"/>
        <v>0</v>
      </c>
      <c r="U65" s="47">
        <f t="shared" si="12"/>
        <v>0</v>
      </c>
      <c r="V65" s="47">
        <f t="shared" si="12"/>
        <v>0</v>
      </c>
      <c r="W65" s="47">
        <f t="shared" si="12"/>
        <v>0</v>
      </c>
      <c r="X65" s="47">
        <f t="shared" si="2"/>
        <v>0</v>
      </c>
    </row>
    <row r="66" spans="1:24" ht="20" customHeight="1" x14ac:dyDescent="0.35">
      <c r="A66" s="29"/>
      <c r="B66" s="30"/>
      <c r="C66" s="31"/>
      <c r="D66" s="31"/>
      <c r="E66" s="31"/>
      <c r="F66" s="31"/>
      <c r="G66" s="31"/>
      <c r="H66" s="31"/>
      <c r="I66" s="31"/>
      <c r="J66" s="34"/>
      <c r="L66" s="46">
        <f t="shared" si="11"/>
        <v>0</v>
      </c>
      <c r="M66" s="46">
        <f t="shared" si="11"/>
        <v>0</v>
      </c>
      <c r="N66" s="46">
        <f t="shared" si="11"/>
        <v>0</v>
      </c>
      <c r="O66" s="46">
        <f t="shared" si="11"/>
        <v>0</v>
      </c>
      <c r="P66" s="46">
        <f t="shared" si="11"/>
        <v>0</v>
      </c>
      <c r="Q66" s="46">
        <f t="shared" si="11"/>
        <v>0</v>
      </c>
      <c r="R66" s="46">
        <f t="shared" si="11"/>
        <v>0</v>
      </c>
      <c r="S66" s="46">
        <f t="shared" si="11"/>
        <v>0</v>
      </c>
      <c r="T66" s="46">
        <f t="shared" si="11"/>
        <v>0</v>
      </c>
      <c r="U66" s="47">
        <f t="shared" si="12"/>
        <v>0</v>
      </c>
      <c r="V66" s="47">
        <f t="shared" si="12"/>
        <v>0</v>
      </c>
      <c r="W66" s="47">
        <f t="shared" si="12"/>
        <v>0</v>
      </c>
      <c r="X66" s="47">
        <f t="shared" si="2"/>
        <v>0</v>
      </c>
    </row>
    <row r="67" spans="1:24" ht="20" customHeight="1" x14ac:dyDescent="0.35">
      <c r="A67" s="29"/>
      <c r="B67" s="30"/>
      <c r="C67" s="31"/>
      <c r="D67" s="31"/>
      <c r="E67" s="31"/>
      <c r="F67" s="31"/>
      <c r="G67" s="31"/>
      <c r="H67" s="31"/>
      <c r="I67" s="31"/>
      <c r="J67" s="34"/>
      <c r="L67" s="46">
        <f t="shared" si="11"/>
        <v>0</v>
      </c>
      <c r="M67" s="46">
        <f t="shared" si="11"/>
        <v>0</v>
      </c>
      <c r="N67" s="46">
        <f t="shared" si="11"/>
        <v>0</v>
      </c>
      <c r="O67" s="46">
        <f t="shared" si="11"/>
        <v>0</v>
      </c>
      <c r="P67" s="46">
        <f t="shared" si="11"/>
        <v>0</v>
      </c>
      <c r="Q67" s="46">
        <f t="shared" si="11"/>
        <v>0</v>
      </c>
      <c r="R67" s="46">
        <f t="shared" si="11"/>
        <v>0</v>
      </c>
      <c r="S67" s="46">
        <f t="shared" si="11"/>
        <v>0</v>
      </c>
      <c r="T67" s="46">
        <f t="shared" si="11"/>
        <v>0</v>
      </c>
      <c r="U67" s="47">
        <f t="shared" si="12"/>
        <v>0</v>
      </c>
      <c r="V67" s="47">
        <f t="shared" si="12"/>
        <v>0</v>
      </c>
      <c r="W67" s="47">
        <f t="shared" si="12"/>
        <v>0</v>
      </c>
      <c r="X67" s="47">
        <f t="shared" si="2"/>
        <v>0</v>
      </c>
    </row>
    <row r="68" spans="1:24" ht="20" customHeight="1" x14ac:dyDescent="0.35">
      <c r="A68" s="29"/>
      <c r="B68" s="30"/>
      <c r="C68" s="31"/>
      <c r="D68" s="29"/>
      <c r="E68" s="31"/>
      <c r="F68" s="31"/>
      <c r="G68" s="31"/>
      <c r="H68" s="31"/>
      <c r="I68" s="29"/>
      <c r="J68" s="34"/>
      <c r="L68" s="46">
        <f t="shared" si="11"/>
        <v>0</v>
      </c>
      <c r="M68" s="46">
        <f t="shared" si="11"/>
        <v>0</v>
      </c>
      <c r="N68" s="46">
        <f t="shared" si="11"/>
        <v>0</v>
      </c>
      <c r="O68" s="46">
        <f t="shared" si="11"/>
        <v>0</v>
      </c>
      <c r="P68" s="46">
        <f t="shared" si="11"/>
        <v>0</v>
      </c>
      <c r="Q68" s="46">
        <f t="shared" si="11"/>
        <v>0</v>
      </c>
      <c r="R68" s="46">
        <f t="shared" si="11"/>
        <v>0</v>
      </c>
      <c r="S68" s="46">
        <f t="shared" si="11"/>
        <v>0</v>
      </c>
      <c r="T68" s="46">
        <f t="shared" si="11"/>
        <v>0</v>
      </c>
      <c r="U68" s="47">
        <f t="shared" si="12"/>
        <v>0</v>
      </c>
      <c r="V68" s="47">
        <f t="shared" si="12"/>
        <v>0</v>
      </c>
      <c r="W68" s="47">
        <f t="shared" si="12"/>
        <v>0</v>
      </c>
      <c r="X68" s="47">
        <f t="shared" si="2"/>
        <v>0</v>
      </c>
    </row>
    <row r="69" spans="1:24" ht="20" customHeight="1" x14ac:dyDescent="0.35">
      <c r="A69" s="29"/>
      <c r="B69" s="30"/>
      <c r="C69" s="31"/>
      <c r="D69" s="29"/>
      <c r="E69" s="31"/>
      <c r="F69" s="31"/>
      <c r="G69" s="31"/>
      <c r="H69" s="31"/>
      <c r="I69" s="29"/>
      <c r="J69" s="34"/>
      <c r="L69" s="46">
        <f t="shared" si="11"/>
        <v>0</v>
      </c>
      <c r="M69" s="46">
        <f t="shared" si="11"/>
        <v>0</v>
      </c>
      <c r="N69" s="46">
        <f t="shared" si="11"/>
        <v>0</v>
      </c>
      <c r="O69" s="46">
        <f t="shared" si="11"/>
        <v>0</v>
      </c>
      <c r="P69" s="46">
        <f t="shared" si="11"/>
        <v>0</v>
      </c>
      <c r="Q69" s="46">
        <f t="shared" si="11"/>
        <v>0</v>
      </c>
      <c r="R69" s="46">
        <f t="shared" si="11"/>
        <v>0</v>
      </c>
      <c r="S69" s="46">
        <f t="shared" si="11"/>
        <v>0</v>
      </c>
      <c r="T69" s="46">
        <f t="shared" si="11"/>
        <v>0</v>
      </c>
      <c r="U69" s="47">
        <f t="shared" si="12"/>
        <v>0</v>
      </c>
      <c r="V69" s="47">
        <f t="shared" si="12"/>
        <v>0</v>
      </c>
      <c r="W69" s="47">
        <f t="shared" si="12"/>
        <v>0</v>
      </c>
      <c r="X69" s="47">
        <f t="shared" si="2"/>
        <v>0</v>
      </c>
    </row>
    <row r="70" spans="1:24" ht="20" customHeight="1" x14ac:dyDescent="0.35">
      <c r="A70" s="29"/>
      <c r="B70" s="30"/>
      <c r="C70" s="31"/>
      <c r="D70" s="29"/>
      <c r="E70" s="31"/>
      <c r="F70" s="31"/>
      <c r="G70" s="31"/>
      <c r="H70" s="31"/>
      <c r="I70" s="29"/>
      <c r="J70" s="34"/>
      <c r="L70" s="46">
        <f t="shared" si="11"/>
        <v>0</v>
      </c>
      <c r="M70" s="46">
        <f t="shared" si="11"/>
        <v>0</v>
      </c>
      <c r="N70" s="46">
        <f t="shared" si="11"/>
        <v>0</v>
      </c>
      <c r="O70" s="46">
        <f t="shared" si="11"/>
        <v>0</v>
      </c>
      <c r="P70" s="46">
        <f t="shared" si="11"/>
        <v>0</v>
      </c>
      <c r="Q70" s="46">
        <f t="shared" si="11"/>
        <v>0</v>
      </c>
      <c r="R70" s="46">
        <f t="shared" si="11"/>
        <v>0</v>
      </c>
      <c r="S70" s="46">
        <f t="shared" si="11"/>
        <v>0</v>
      </c>
      <c r="T70" s="46">
        <f t="shared" si="11"/>
        <v>0</v>
      </c>
      <c r="U70" s="47">
        <f t="shared" si="12"/>
        <v>0</v>
      </c>
      <c r="V70" s="47">
        <f t="shared" si="12"/>
        <v>0</v>
      </c>
      <c r="W70" s="47">
        <f t="shared" si="12"/>
        <v>0</v>
      </c>
      <c r="X70" s="47">
        <f t="shared" si="2"/>
        <v>0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11"/>
        <v>0</v>
      </c>
      <c r="M71" s="46">
        <f t="shared" si="11"/>
        <v>0</v>
      </c>
      <c r="N71" s="46">
        <f t="shared" si="11"/>
        <v>0</v>
      </c>
      <c r="O71" s="46">
        <f t="shared" si="11"/>
        <v>0</v>
      </c>
      <c r="P71" s="46">
        <f t="shared" si="11"/>
        <v>0</v>
      </c>
      <c r="Q71" s="46">
        <f t="shared" si="11"/>
        <v>0</v>
      </c>
      <c r="R71" s="46">
        <f t="shared" si="11"/>
        <v>0</v>
      </c>
      <c r="S71" s="46">
        <f t="shared" si="11"/>
        <v>0</v>
      </c>
      <c r="T71" s="46">
        <f t="shared" si="11"/>
        <v>0</v>
      </c>
      <c r="U71" s="47">
        <f t="shared" si="12"/>
        <v>0</v>
      </c>
      <c r="V71" s="47">
        <f t="shared" si="12"/>
        <v>0</v>
      </c>
      <c r="W71" s="47">
        <f t="shared" si="12"/>
        <v>0</v>
      </c>
      <c r="X71" s="47">
        <f t="shared" si="2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11"/>
        <v>0</v>
      </c>
      <c r="M72" s="46">
        <f t="shared" si="11"/>
        <v>0</v>
      </c>
      <c r="N72" s="46">
        <f t="shared" si="11"/>
        <v>0</v>
      </c>
      <c r="O72" s="46">
        <f t="shared" ref="O72:T114" si="13">IFERROR(E73-E72,0)</f>
        <v>0</v>
      </c>
      <c r="P72" s="46">
        <f t="shared" si="13"/>
        <v>0</v>
      </c>
      <c r="Q72" s="46">
        <f t="shared" si="13"/>
        <v>0</v>
      </c>
      <c r="R72" s="46">
        <f t="shared" si="13"/>
        <v>0</v>
      </c>
      <c r="S72" s="46">
        <f t="shared" si="13"/>
        <v>0</v>
      </c>
      <c r="T72" s="46">
        <f t="shared" si="13"/>
        <v>0</v>
      </c>
      <c r="U72" s="47">
        <f t="shared" si="12"/>
        <v>0</v>
      </c>
      <c r="V72" s="47">
        <f t="shared" si="12"/>
        <v>0</v>
      </c>
      <c r="W72" s="47">
        <f t="shared" si="12"/>
        <v>0</v>
      </c>
      <c r="X72" s="47">
        <f t="shared" si="2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ref="L73:Q136" si="14">IFERROR(B74-B73,0)</f>
        <v>0</v>
      </c>
      <c r="M73" s="46">
        <f t="shared" si="14"/>
        <v>0</v>
      </c>
      <c r="N73" s="46">
        <f t="shared" si="14"/>
        <v>0</v>
      </c>
      <c r="O73" s="46">
        <f t="shared" si="13"/>
        <v>0</v>
      </c>
      <c r="P73" s="46">
        <f t="shared" si="13"/>
        <v>0</v>
      </c>
      <c r="Q73" s="46">
        <f t="shared" si="13"/>
        <v>0</v>
      </c>
      <c r="R73" s="46">
        <f t="shared" si="13"/>
        <v>0</v>
      </c>
      <c r="S73" s="46">
        <f t="shared" si="13"/>
        <v>0</v>
      </c>
      <c r="T73" s="46">
        <f t="shared" si="13"/>
        <v>0</v>
      </c>
      <c r="U73" s="47">
        <f t="shared" si="12"/>
        <v>0</v>
      </c>
      <c r="V73" s="47">
        <f t="shared" si="12"/>
        <v>0</v>
      </c>
      <c r="W73" s="47">
        <f t="shared" si="12"/>
        <v>0</v>
      </c>
      <c r="X73" s="47">
        <f t="shared" ref="X73:X136" si="15">O73+P73+T73</f>
        <v>0</v>
      </c>
    </row>
    <row r="74" spans="1:24" ht="20" customHeight="1" x14ac:dyDescent="0.35">
      <c r="A74" s="29"/>
      <c r="B74" s="30"/>
      <c r="C74" s="31"/>
      <c r="D74" s="31"/>
      <c r="E74" s="31"/>
      <c r="F74" s="31"/>
      <c r="G74" s="31"/>
      <c r="H74" s="31"/>
      <c r="I74" s="31"/>
      <c r="J74" s="34"/>
      <c r="L74" s="46">
        <f t="shared" si="14"/>
        <v>0</v>
      </c>
      <c r="M74" s="46">
        <f t="shared" si="14"/>
        <v>0</v>
      </c>
      <c r="N74" s="46">
        <f t="shared" si="14"/>
        <v>0</v>
      </c>
      <c r="O74" s="46">
        <f t="shared" si="13"/>
        <v>0</v>
      </c>
      <c r="P74" s="46">
        <f t="shared" si="13"/>
        <v>0</v>
      </c>
      <c r="Q74" s="46">
        <f t="shared" si="13"/>
        <v>0</v>
      </c>
      <c r="R74" s="46">
        <f t="shared" si="13"/>
        <v>0</v>
      </c>
      <c r="S74" s="46">
        <f t="shared" si="13"/>
        <v>0</v>
      </c>
      <c r="T74" s="46">
        <f t="shared" si="13"/>
        <v>0</v>
      </c>
      <c r="U74" s="47">
        <f t="shared" si="12"/>
        <v>0</v>
      </c>
      <c r="V74" s="47">
        <f t="shared" si="12"/>
        <v>0</v>
      </c>
      <c r="W74" s="47">
        <f t="shared" si="12"/>
        <v>0</v>
      </c>
      <c r="X74" s="47">
        <f t="shared" si="15"/>
        <v>0</v>
      </c>
    </row>
    <row r="75" spans="1:24" ht="20" customHeight="1" x14ac:dyDescent="0.35">
      <c r="A75" s="29"/>
      <c r="B75" s="30"/>
      <c r="C75" s="31"/>
      <c r="D75" s="29"/>
      <c r="E75" s="31"/>
      <c r="F75" s="31"/>
      <c r="G75" s="31"/>
      <c r="H75" s="31"/>
      <c r="I75" s="29"/>
      <c r="J75" s="34"/>
      <c r="L75" s="46">
        <f t="shared" si="14"/>
        <v>0</v>
      </c>
      <c r="M75" s="46">
        <f t="shared" si="14"/>
        <v>0</v>
      </c>
      <c r="N75" s="46">
        <f t="shared" si="14"/>
        <v>0</v>
      </c>
      <c r="O75" s="46">
        <f t="shared" si="13"/>
        <v>0</v>
      </c>
      <c r="P75" s="46">
        <f t="shared" si="13"/>
        <v>0</v>
      </c>
      <c r="Q75" s="46">
        <f t="shared" si="13"/>
        <v>0</v>
      </c>
      <c r="R75" s="46">
        <f t="shared" si="13"/>
        <v>0</v>
      </c>
      <c r="S75" s="46">
        <f t="shared" si="13"/>
        <v>0</v>
      </c>
      <c r="T75" s="46">
        <f t="shared" si="13"/>
        <v>0</v>
      </c>
      <c r="U75" s="47">
        <f t="shared" si="12"/>
        <v>0</v>
      </c>
      <c r="V75" s="47">
        <f t="shared" si="12"/>
        <v>0</v>
      </c>
      <c r="W75" s="47">
        <f t="shared" si="12"/>
        <v>0</v>
      </c>
      <c r="X75" s="47">
        <f t="shared" si="15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14"/>
        <v>0</v>
      </c>
      <c r="M76" s="46">
        <f t="shared" si="14"/>
        <v>0</v>
      </c>
      <c r="N76" s="46">
        <f t="shared" si="14"/>
        <v>0</v>
      </c>
      <c r="O76" s="46">
        <f t="shared" si="13"/>
        <v>0</v>
      </c>
      <c r="P76" s="46">
        <f t="shared" si="13"/>
        <v>0</v>
      </c>
      <c r="Q76" s="46">
        <f t="shared" si="13"/>
        <v>0</v>
      </c>
      <c r="R76" s="46">
        <f t="shared" si="13"/>
        <v>0</v>
      </c>
      <c r="S76" s="46">
        <f t="shared" si="13"/>
        <v>0</v>
      </c>
      <c r="T76" s="46">
        <f t="shared" si="13"/>
        <v>0</v>
      </c>
      <c r="U76" s="47">
        <f t="shared" si="12"/>
        <v>0</v>
      </c>
      <c r="V76" s="47">
        <f t="shared" si="12"/>
        <v>0</v>
      </c>
      <c r="W76" s="47">
        <f t="shared" si="12"/>
        <v>0</v>
      </c>
      <c r="X76" s="47">
        <f t="shared" si="15"/>
        <v>0</v>
      </c>
    </row>
    <row r="77" spans="1:24" ht="20" customHeight="1" x14ac:dyDescent="0.35">
      <c r="A77" s="29"/>
      <c r="B77" s="30"/>
      <c r="C77" s="31"/>
      <c r="D77" s="31"/>
      <c r="E77" s="31"/>
      <c r="F77" s="31"/>
      <c r="G77" s="31"/>
      <c r="H77" s="31"/>
      <c r="I77" s="31"/>
      <c r="J77" s="34"/>
      <c r="L77" s="46">
        <f t="shared" si="14"/>
        <v>0</v>
      </c>
      <c r="M77" s="46">
        <f t="shared" si="14"/>
        <v>0</v>
      </c>
      <c r="N77" s="46">
        <f t="shared" si="14"/>
        <v>0</v>
      </c>
      <c r="O77" s="46">
        <f t="shared" si="13"/>
        <v>0</v>
      </c>
      <c r="P77" s="46">
        <f t="shared" si="13"/>
        <v>0</v>
      </c>
      <c r="Q77" s="46">
        <f t="shared" si="13"/>
        <v>0</v>
      </c>
      <c r="R77" s="46">
        <f t="shared" si="13"/>
        <v>0</v>
      </c>
      <c r="S77" s="46">
        <f t="shared" si="13"/>
        <v>0</v>
      </c>
      <c r="T77" s="46">
        <f t="shared" si="13"/>
        <v>0</v>
      </c>
      <c r="U77" s="47">
        <f t="shared" si="12"/>
        <v>0</v>
      </c>
      <c r="V77" s="47">
        <f t="shared" si="12"/>
        <v>0</v>
      </c>
      <c r="W77" s="47">
        <f t="shared" si="12"/>
        <v>0</v>
      </c>
      <c r="X77" s="47">
        <f t="shared" si="15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14"/>
        <v>0</v>
      </c>
      <c r="M78" s="46">
        <f t="shared" si="14"/>
        <v>0</v>
      </c>
      <c r="N78" s="46">
        <f t="shared" si="14"/>
        <v>0</v>
      </c>
      <c r="O78" s="46">
        <f t="shared" si="13"/>
        <v>0</v>
      </c>
      <c r="P78" s="46">
        <f t="shared" si="13"/>
        <v>0</v>
      </c>
      <c r="Q78" s="46">
        <f t="shared" si="13"/>
        <v>0</v>
      </c>
      <c r="R78" s="46">
        <f t="shared" si="13"/>
        <v>0</v>
      </c>
      <c r="S78" s="46">
        <f t="shared" si="13"/>
        <v>0</v>
      </c>
      <c r="T78" s="46">
        <f t="shared" si="13"/>
        <v>0</v>
      </c>
      <c r="U78" s="47">
        <f t="shared" si="12"/>
        <v>0</v>
      </c>
      <c r="V78" s="47">
        <f t="shared" si="12"/>
        <v>0</v>
      </c>
      <c r="W78" s="47">
        <f t="shared" si="12"/>
        <v>0</v>
      </c>
      <c r="X78" s="47">
        <f t="shared" si="15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14"/>
        <v>0</v>
      </c>
      <c r="M79" s="46">
        <f t="shared" si="14"/>
        <v>0</v>
      </c>
      <c r="N79" s="46">
        <f t="shared" si="14"/>
        <v>0</v>
      </c>
      <c r="O79" s="46">
        <f t="shared" si="13"/>
        <v>0</v>
      </c>
      <c r="P79" s="46">
        <f t="shared" si="13"/>
        <v>0</v>
      </c>
      <c r="Q79" s="46">
        <f t="shared" si="13"/>
        <v>0</v>
      </c>
      <c r="R79" s="46">
        <f t="shared" si="13"/>
        <v>0</v>
      </c>
      <c r="S79" s="46">
        <f t="shared" si="13"/>
        <v>0</v>
      </c>
      <c r="T79" s="46">
        <f t="shared" si="13"/>
        <v>0</v>
      </c>
      <c r="U79" s="47">
        <f t="shared" si="12"/>
        <v>0</v>
      </c>
      <c r="V79" s="47">
        <f t="shared" si="12"/>
        <v>0</v>
      </c>
      <c r="W79" s="47">
        <f t="shared" si="12"/>
        <v>0</v>
      </c>
      <c r="X79" s="47">
        <f t="shared" si="15"/>
        <v>0</v>
      </c>
    </row>
    <row r="80" spans="1:24" ht="16.75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14"/>
        <v>0</v>
      </c>
      <c r="M80" s="46">
        <f t="shared" si="14"/>
        <v>0</v>
      </c>
      <c r="N80" s="46">
        <f t="shared" si="14"/>
        <v>0</v>
      </c>
      <c r="O80" s="46">
        <f t="shared" si="13"/>
        <v>0</v>
      </c>
      <c r="P80" s="46">
        <f t="shared" si="13"/>
        <v>0</v>
      </c>
      <c r="Q80" s="46">
        <f t="shared" si="13"/>
        <v>0</v>
      </c>
      <c r="R80" s="46">
        <f t="shared" si="13"/>
        <v>0</v>
      </c>
      <c r="S80" s="46">
        <f t="shared" si="13"/>
        <v>0</v>
      </c>
      <c r="T80" s="46">
        <f t="shared" si="13"/>
        <v>0</v>
      </c>
      <c r="U80" s="47">
        <f t="shared" si="12"/>
        <v>0</v>
      </c>
      <c r="V80" s="47">
        <f t="shared" si="12"/>
        <v>0</v>
      </c>
      <c r="W80" s="47">
        <f t="shared" si="12"/>
        <v>0</v>
      </c>
      <c r="X80" s="47">
        <f t="shared" si="15"/>
        <v>0</v>
      </c>
    </row>
    <row r="81" spans="1:24" ht="20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14"/>
        <v>0</v>
      </c>
      <c r="M81" s="46">
        <f t="shared" si="14"/>
        <v>0</v>
      </c>
      <c r="N81" s="46">
        <f t="shared" si="14"/>
        <v>0</v>
      </c>
      <c r="O81" s="46">
        <f t="shared" si="13"/>
        <v>0</v>
      </c>
      <c r="P81" s="46">
        <f t="shared" si="13"/>
        <v>0</v>
      </c>
      <c r="Q81" s="46">
        <f t="shared" si="13"/>
        <v>0</v>
      </c>
      <c r="R81" s="46">
        <f t="shared" si="13"/>
        <v>0</v>
      </c>
      <c r="S81" s="46">
        <f t="shared" si="13"/>
        <v>0</v>
      </c>
      <c r="T81" s="46">
        <f t="shared" si="13"/>
        <v>0</v>
      </c>
      <c r="U81" s="47">
        <f t="shared" si="12"/>
        <v>0</v>
      </c>
      <c r="V81" s="47">
        <f t="shared" si="12"/>
        <v>0</v>
      </c>
      <c r="W81" s="47">
        <f t="shared" si="12"/>
        <v>0</v>
      </c>
      <c r="X81" s="47">
        <f t="shared" si="15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14"/>
        <v>0</v>
      </c>
      <c r="M82" s="46">
        <f t="shared" si="14"/>
        <v>0</v>
      </c>
      <c r="N82" s="46">
        <f t="shared" si="14"/>
        <v>0</v>
      </c>
      <c r="O82" s="46">
        <f t="shared" si="13"/>
        <v>0</v>
      </c>
      <c r="P82" s="46">
        <f t="shared" si="13"/>
        <v>0</v>
      </c>
      <c r="Q82" s="46">
        <f t="shared" si="13"/>
        <v>0</v>
      </c>
      <c r="R82" s="46">
        <f t="shared" si="13"/>
        <v>0</v>
      </c>
      <c r="S82" s="46">
        <f t="shared" si="13"/>
        <v>0</v>
      </c>
      <c r="T82" s="46">
        <f t="shared" si="13"/>
        <v>0</v>
      </c>
      <c r="U82" s="47">
        <f t="shared" si="12"/>
        <v>0</v>
      </c>
      <c r="V82" s="47">
        <f t="shared" si="12"/>
        <v>0</v>
      </c>
      <c r="W82" s="47">
        <f t="shared" si="12"/>
        <v>0</v>
      </c>
      <c r="X82" s="47">
        <f t="shared" si="15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14"/>
        <v>0</v>
      </c>
      <c r="M83" s="46">
        <f t="shared" si="14"/>
        <v>0</v>
      </c>
      <c r="N83" s="46">
        <f t="shared" si="14"/>
        <v>0</v>
      </c>
      <c r="O83" s="46">
        <f t="shared" si="13"/>
        <v>0</v>
      </c>
      <c r="P83" s="46">
        <f t="shared" si="13"/>
        <v>0</v>
      </c>
      <c r="Q83" s="46">
        <f t="shared" si="13"/>
        <v>0</v>
      </c>
      <c r="R83" s="46">
        <f t="shared" si="13"/>
        <v>0</v>
      </c>
      <c r="S83" s="46">
        <f t="shared" si="13"/>
        <v>0</v>
      </c>
      <c r="T83" s="46">
        <f t="shared" si="13"/>
        <v>0</v>
      </c>
      <c r="U83" s="47">
        <f t="shared" si="12"/>
        <v>0</v>
      </c>
      <c r="V83" s="47">
        <f t="shared" si="12"/>
        <v>0</v>
      </c>
      <c r="W83" s="47">
        <f t="shared" si="12"/>
        <v>0</v>
      </c>
      <c r="X83" s="47">
        <f t="shared" si="15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14"/>
        <v>0</v>
      </c>
      <c r="M84" s="46">
        <f t="shared" si="14"/>
        <v>0</v>
      </c>
      <c r="N84" s="46">
        <f t="shared" si="14"/>
        <v>0</v>
      </c>
      <c r="O84" s="46">
        <f t="shared" si="13"/>
        <v>0</v>
      </c>
      <c r="P84" s="46">
        <f t="shared" si="13"/>
        <v>0</v>
      </c>
      <c r="Q84" s="46">
        <f t="shared" si="13"/>
        <v>0</v>
      </c>
      <c r="R84" s="46">
        <f t="shared" si="13"/>
        <v>0</v>
      </c>
      <c r="S84" s="46">
        <f t="shared" si="13"/>
        <v>0</v>
      </c>
      <c r="T84" s="46">
        <f t="shared" si="13"/>
        <v>0</v>
      </c>
      <c r="U84" s="47">
        <f t="shared" si="12"/>
        <v>0</v>
      </c>
      <c r="V84" s="47">
        <f t="shared" si="12"/>
        <v>0</v>
      </c>
      <c r="W84" s="47">
        <f t="shared" si="12"/>
        <v>0</v>
      </c>
      <c r="X84" s="47">
        <f t="shared" si="15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14"/>
        <v>0</v>
      </c>
      <c r="M85" s="46">
        <f t="shared" si="14"/>
        <v>0</v>
      </c>
      <c r="N85" s="46">
        <f t="shared" si="14"/>
        <v>0</v>
      </c>
      <c r="O85" s="46">
        <f t="shared" si="13"/>
        <v>0</v>
      </c>
      <c r="P85" s="46">
        <f t="shared" si="13"/>
        <v>0</v>
      </c>
      <c r="Q85" s="46">
        <f t="shared" si="13"/>
        <v>0</v>
      </c>
      <c r="R85" s="46">
        <f t="shared" si="13"/>
        <v>0</v>
      </c>
      <c r="S85" s="46">
        <f t="shared" si="13"/>
        <v>0</v>
      </c>
      <c r="T85" s="46">
        <f t="shared" si="13"/>
        <v>0</v>
      </c>
      <c r="U85" s="47">
        <f t="shared" si="12"/>
        <v>0</v>
      </c>
      <c r="V85" s="47">
        <f t="shared" si="12"/>
        <v>0</v>
      </c>
      <c r="W85" s="47">
        <f t="shared" si="12"/>
        <v>0</v>
      </c>
      <c r="X85" s="47">
        <f t="shared" si="15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14"/>
        <v>0</v>
      </c>
      <c r="M86" s="46">
        <f t="shared" si="14"/>
        <v>0</v>
      </c>
      <c r="N86" s="46">
        <f t="shared" si="14"/>
        <v>0</v>
      </c>
      <c r="O86" s="46">
        <f t="shared" si="13"/>
        <v>0</v>
      </c>
      <c r="P86" s="46">
        <f t="shared" si="13"/>
        <v>0</v>
      </c>
      <c r="Q86" s="46">
        <f t="shared" si="13"/>
        <v>0</v>
      </c>
      <c r="R86" s="46">
        <f t="shared" si="13"/>
        <v>0</v>
      </c>
      <c r="S86" s="46">
        <f t="shared" si="13"/>
        <v>0</v>
      </c>
      <c r="T86" s="46">
        <f t="shared" si="13"/>
        <v>0</v>
      </c>
      <c r="U86" s="47">
        <f t="shared" si="12"/>
        <v>0</v>
      </c>
      <c r="V86" s="47">
        <f t="shared" si="12"/>
        <v>0</v>
      </c>
      <c r="W86" s="47">
        <f t="shared" si="12"/>
        <v>0</v>
      </c>
      <c r="X86" s="47">
        <f t="shared" si="15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14"/>
        <v>0</v>
      </c>
      <c r="M87" s="46">
        <f t="shared" si="14"/>
        <v>0</v>
      </c>
      <c r="N87" s="46">
        <f t="shared" si="14"/>
        <v>0</v>
      </c>
      <c r="O87" s="46">
        <f t="shared" si="13"/>
        <v>0</v>
      </c>
      <c r="P87" s="46">
        <f t="shared" si="13"/>
        <v>0</v>
      </c>
      <c r="Q87" s="46">
        <f t="shared" si="13"/>
        <v>0</v>
      </c>
      <c r="R87" s="46">
        <f t="shared" si="13"/>
        <v>0</v>
      </c>
      <c r="S87" s="46">
        <f t="shared" si="13"/>
        <v>0</v>
      </c>
      <c r="T87" s="46">
        <f t="shared" si="13"/>
        <v>0</v>
      </c>
      <c r="U87" s="47">
        <f t="shared" si="12"/>
        <v>0</v>
      </c>
      <c r="V87" s="47">
        <f t="shared" si="12"/>
        <v>0</v>
      </c>
      <c r="W87" s="47">
        <f t="shared" si="12"/>
        <v>0</v>
      </c>
      <c r="X87" s="47">
        <f t="shared" si="15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14"/>
        <v>0</v>
      </c>
      <c r="M88" s="46">
        <f t="shared" si="14"/>
        <v>0</v>
      </c>
      <c r="N88" s="46">
        <f t="shared" si="14"/>
        <v>0</v>
      </c>
      <c r="O88" s="46">
        <f t="shared" si="13"/>
        <v>0</v>
      </c>
      <c r="P88" s="46">
        <f t="shared" si="13"/>
        <v>0</v>
      </c>
      <c r="Q88" s="46">
        <f t="shared" si="13"/>
        <v>0</v>
      </c>
      <c r="R88" s="46">
        <f t="shared" si="13"/>
        <v>0</v>
      </c>
      <c r="S88" s="46">
        <f t="shared" si="13"/>
        <v>0</v>
      </c>
      <c r="T88" s="46">
        <f t="shared" si="13"/>
        <v>0</v>
      </c>
      <c r="U88" s="47">
        <f t="shared" si="12"/>
        <v>0</v>
      </c>
      <c r="V88" s="47">
        <f t="shared" si="12"/>
        <v>0</v>
      </c>
      <c r="W88" s="47">
        <f t="shared" si="12"/>
        <v>0</v>
      </c>
      <c r="X88" s="47">
        <f t="shared" si="15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14"/>
        <v>0</v>
      </c>
      <c r="M89" s="46">
        <f t="shared" si="14"/>
        <v>0</v>
      </c>
      <c r="N89" s="46">
        <f t="shared" si="14"/>
        <v>0</v>
      </c>
      <c r="O89" s="46">
        <f t="shared" si="13"/>
        <v>0</v>
      </c>
      <c r="P89" s="46">
        <f t="shared" si="13"/>
        <v>0</v>
      </c>
      <c r="Q89" s="46">
        <f t="shared" si="13"/>
        <v>0</v>
      </c>
      <c r="R89" s="46">
        <f t="shared" si="13"/>
        <v>0</v>
      </c>
      <c r="S89" s="46">
        <f t="shared" si="13"/>
        <v>0</v>
      </c>
      <c r="T89" s="46">
        <f t="shared" si="13"/>
        <v>0</v>
      </c>
      <c r="U89" s="47">
        <f t="shared" si="12"/>
        <v>0</v>
      </c>
      <c r="V89" s="47">
        <f t="shared" si="12"/>
        <v>0</v>
      </c>
      <c r="W89" s="47">
        <f t="shared" si="12"/>
        <v>0</v>
      </c>
      <c r="X89" s="47">
        <f t="shared" si="15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14"/>
        <v>0</v>
      </c>
      <c r="M90" s="46">
        <f t="shared" si="14"/>
        <v>0</v>
      </c>
      <c r="N90" s="46">
        <f t="shared" si="14"/>
        <v>0</v>
      </c>
      <c r="O90" s="46">
        <f t="shared" si="13"/>
        <v>0</v>
      </c>
      <c r="P90" s="46">
        <f t="shared" si="13"/>
        <v>0</v>
      </c>
      <c r="Q90" s="46">
        <f t="shared" si="13"/>
        <v>0</v>
      </c>
      <c r="R90" s="46">
        <f t="shared" si="13"/>
        <v>0</v>
      </c>
      <c r="S90" s="46">
        <f t="shared" si="13"/>
        <v>0</v>
      </c>
      <c r="T90" s="46">
        <f t="shared" si="13"/>
        <v>0</v>
      </c>
      <c r="U90" s="47">
        <f t="shared" si="12"/>
        <v>0</v>
      </c>
      <c r="V90" s="47">
        <f t="shared" si="12"/>
        <v>0</v>
      </c>
      <c r="W90" s="47">
        <f t="shared" si="12"/>
        <v>0</v>
      </c>
      <c r="X90" s="47">
        <f t="shared" si="15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14"/>
        <v>0</v>
      </c>
      <c r="M91" s="46">
        <f t="shared" si="14"/>
        <v>0</v>
      </c>
      <c r="N91" s="46">
        <f t="shared" si="14"/>
        <v>0</v>
      </c>
      <c r="O91" s="46">
        <f t="shared" si="13"/>
        <v>0</v>
      </c>
      <c r="P91" s="46">
        <f t="shared" si="13"/>
        <v>0</v>
      </c>
      <c r="Q91" s="46">
        <f t="shared" si="13"/>
        <v>0</v>
      </c>
      <c r="R91" s="46">
        <f t="shared" si="13"/>
        <v>0</v>
      </c>
      <c r="S91" s="46">
        <f t="shared" si="13"/>
        <v>0</v>
      </c>
      <c r="T91" s="46">
        <f t="shared" si="13"/>
        <v>0</v>
      </c>
      <c r="U91" s="47">
        <f t="shared" si="12"/>
        <v>0</v>
      </c>
      <c r="V91" s="47">
        <f t="shared" si="12"/>
        <v>0</v>
      </c>
      <c r="W91" s="47">
        <f t="shared" si="12"/>
        <v>0</v>
      </c>
      <c r="X91" s="47">
        <f t="shared" si="15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14"/>
        <v>0</v>
      </c>
      <c r="M92" s="46">
        <f t="shared" si="14"/>
        <v>0</v>
      </c>
      <c r="N92" s="46">
        <f t="shared" si="14"/>
        <v>0</v>
      </c>
      <c r="O92" s="46">
        <f t="shared" si="13"/>
        <v>0</v>
      </c>
      <c r="P92" s="46">
        <f t="shared" si="13"/>
        <v>0</v>
      </c>
      <c r="Q92" s="46">
        <f t="shared" si="13"/>
        <v>0</v>
      </c>
      <c r="R92" s="46">
        <f t="shared" si="13"/>
        <v>0</v>
      </c>
      <c r="S92" s="46">
        <f t="shared" si="13"/>
        <v>0</v>
      </c>
      <c r="T92" s="46">
        <f t="shared" si="13"/>
        <v>0</v>
      </c>
      <c r="U92" s="47">
        <f t="shared" si="12"/>
        <v>0</v>
      </c>
      <c r="V92" s="47">
        <f t="shared" si="12"/>
        <v>0</v>
      </c>
      <c r="W92" s="47">
        <f t="shared" si="12"/>
        <v>0</v>
      </c>
      <c r="X92" s="47">
        <f t="shared" si="15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14"/>
        <v>0</v>
      </c>
      <c r="M93" s="46">
        <f t="shared" si="14"/>
        <v>0</v>
      </c>
      <c r="N93" s="46">
        <f t="shared" si="14"/>
        <v>0</v>
      </c>
      <c r="O93" s="46">
        <f t="shared" si="13"/>
        <v>0</v>
      </c>
      <c r="P93" s="46">
        <f t="shared" si="13"/>
        <v>0</v>
      </c>
      <c r="Q93" s="46">
        <f t="shared" si="13"/>
        <v>0</v>
      </c>
      <c r="R93" s="46">
        <f t="shared" si="13"/>
        <v>0</v>
      </c>
      <c r="S93" s="46">
        <f t="shared" si="13"/>
        <v>0</v>
      </c>
      <c r="T93" s="46">
        <f t="shared" si="13"/>
        <v>0</v>
      </c>
      <c r="U93" s="47">
        <f t="shared" si="12"/>
        <v>0</v>
      </c>
      <c r="V93" s="47">
        <f t="shared" si="12"/>
        <v>0</v>
      </c>
      <c r="W93" s="47">
        <f t="shared" si="12"/>
        <v>0</v>
      </c>
      <c r="X93" s="47">
        <f t="shared" si="15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14"/>
        <v>0</v>
      </c>
      <c r="M94" s="46">
        <f t="shared" si="14"/>
        <v>0</v>
      </c>
      <c r="N94" s="46">
        <f t="shared" si="14"/>
        <v>0</v>
      </c>
      <c r="O94" s="46">
        <f t="shared" si="13"/>
        <v>0</v>
      </c>
      <c r="P94" s="46">
        <f t="shared" si="13"/>
        <v>0</v>
      </c>
      <c r="Q94" s="46">
        <f t="shared" si="13"/>
        <v>0</v>
      </c>
      <c r="R94" s="46">
        <f t="shared" si="13"/>
        <v>0</v>
      </c>
      <c r="S94" s="46">
        <f t="shared" si="13"/>
        <v>0</v>
      </c>
      <c r="T94" s="46">
        <f t="shared" si="13"/>
        <v>0</v>
      </c>
      <c r="U94" s="47">
        <f t="shared" si="12"/>
        <v>0</v>
      </c>
      <c r="V94" s="47">
        <f t="shared" si="12"/>
        <v>0</v>
      </c>
      <c r="W94" s="47">
        <f t="shared" si="12"/>
        <v>0</v>
      </c>
      <c r="X94" s="47">
        <f t="shared" si="15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14"/>
        <v>0</v>
      </c>
      <c r="M95" s="46">
        <f t="shared" si="14"/>
        <v>0</v>
      </c>
      <c r="N95" s="46">
        <f t="shared" si="14"/>
        <v>0</v>
      </c>
      <c r="O95" s="46">
        <f t="shared" si="13"/>
        <v>0</v>
      </c>
      <c r="P95" s="46">
        <f t="shared" si="13"/>
        <v>0</v>
      </c>
      <c r="Q95" s="46">
        <f t="shared" si="13"/>
        <v>0</v>
      </c>
      <c r="R95" s="46">
        <f t="shared" si="13"/>
        <v>0</v>
      </c>
      <c r="S95" s="46">
        <f t="shared" si="13"/>
        <v>0</v>
      </c>
      <c r="T95" s="46">
        <f t="shared" si="13"/>
        <v>0</v>
      </c>
      <c r="U95" s="47">
        <f t="shared" si="12"/>
        <v>0</v>
      </c>
      <c r="V95" s="47">
        <f t="shared" si="12"/>
        <v>0</v>
      </c>
      <c r="W95" s="47">
        <f t="shared" si="12"/>
        <v>0</v>
      </c>
      <c r="X95" s="47">
        <f t="shared" si="15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14"/>
        <v>0</v>
      </c>
      <c r="M96" s="46">
        <f t="shared" si="14"/>
        <v>0</v>
      </c>
      <c r="N96" s="46">
        <f t="shared" si="14"/>
        <v>0</v>
      </c>
      <c r="O96" s="46">
        <f t="shared" si="13"/>
        <v>0</v>
      </c>
      <c r="P96" s="46">
        <f t="shared" si="13"/>
        <v>0</v>
      </c>
      <c r="Q96" s="46">
        <f t="shared" si="13"/>
        <v>0</v>
      </c>
      <c r="R96" s="46">
        <f t="shared" si="13"/>
        <v>0</v>
      </c>
      <c r="S96" s="46">
        <f t="shared" si="13"/>
        <v>0</v>
      </c>
      <c r="T96" s="46">
        <f t="shared" si="13"/>
        <v>0</v>
      </c>
      <c r="U96" s="47">
        <f t="shared" si="12"/>
        <v>0</v>
      </c>
      <c r="V96" s="47">
        <f t="shared" si="12"/>
        <v>0</v>
      </c>
      <c r="W96" s="47">
        <f t="shared" si="12"/>
        <v>0</v>
      </c>
      <c r="X96" s="47">
        <f t="shared" si="15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14"/>
        <v>0</v>
      </c>
      <c r="M97" s="46">
        <f t="shared" si="14"/>
        <v>0</v>
      </c>
      <c r="N97" s="46">
        <f t="shared" si="14"/>
        <v>0</v>
      </c>
      <c r="O97" s="46">
        <f t="shared" si="13"/>
        <v>0</v>
      </c>
      <c r="P97" s="46">
        <f t="shared" si="13"/>
        <v>0</v>
      </c>
      <c r="Q97" s="46">
        <f t="shared" si="13"/>
        <v>0</v>
      </c>
      <c r="R97" s="46">
        <f t="shared" si="13"/>
        <v>0</v>
      </c>
      <c r="S97" s="46">
        <f t="shared" si="13"/>
        <v>0</v>
      </c>
      <c r="T97" s="46">
        <f t="shared" si="13"/>
        <v>0</v>
      </c>
      <c r="U97" s="47">
        <f t="shared" si="12"/>
        <v>0</v>
      </c>
      <c r="V97" s="47">
        <f t="shared" si="12"/>
        <v>0</v>
      </c>
      <c r="W97" s="47">
        <f t="shared" si="12"/>
        <v>0</v>
      </c>
      <c r="X97" s="47">
        <f t="shared" si="15"/>
        <v>0</v>
      </c>
    </row>
    <row r="98" spans="1:24" ht="16.75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14"/>
        <v>0</v>
      </c>
      <c r="M98" s="46">
        <f t="shared" si="14"/>
        <v>0</v>
      </c>
      <c r="N98" s="46">
        <f t="shared" si="14"/>
        <v>0</v>
      </c>
      <c r="O98" s="46">
        <f t="shared" si="13"/>
        <v>0</v>
      </c>
      <c r="P98" s="46">
        <f t="shared" si="13"/>
        <v>0</v>
      </c>
      <c r="Q98" s="46">
        <f t="shared" si="13"/>
        <v>0</v>
      </c>
      <c r="R98" s="46">
        <f t="shared" si="13"/>
        <v>0</v>
      </c>
      <c r="S98" s="46">
        <f t="shared" si="13"/>
        <v>0</v>
      </c>
      <c r="T98" s="46">
        <f t="shared" si="13"/>
        <v>0</v>
      </c>
      <c r="U98" s="47">
        <f t="shared" si="12"/>
        <v>0</v>
      </c>
      <c r="V98" s="47">
        <f t="shared" si="12"/>
        <v>0</v>
      </c>
      <c r="W98" s="47">
        <f t="shared" si="12"/>
        <v>0</v>
      </c>
      <c r="X98" s="47">
        <f t="shared" si="15"/>
        <v>0</v>
      </c>
    </row>
    <row r="99" spans="1:24" ht="20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14"/>
        <v>0</v>
      </c>
      <c r="M99" s="46">
        <f t="shared" si="14"/>
        <v>0</v>
      </c>
      <c r="N99" s="46">
        <f t="shared" si="14"/>
        <v>0</v>
      </c>
      <c r="O99" s="46">
        <f t="shared" si="13"/>
        <v>0</v>
      </c>
      <c r="P99" s="46">
        <f t="shared" si="13"/>
        <v>0</v>
      </c>
      <c r="Q99" s="46">
        <f t="shared" si="13"/>
        <v>0</v>
      </c>
      <c r="R99" s="46">
        <f t="shared" si="13"/>
        <v>0</v>
      </c>
      <c r="S99" s="46">
        <f t="shared" si="13"/>
        <v>0</v>
      </c>
      <c r="T99" s="46">
        <f t="shared" si="13"/>
        <v>0</v>
      </c>
      <c r="U99" s="47">
        <f t="shared" si="12"/>
        <v>0</v>
      </c>
      <c r="V99" s="47">
        <f t="shared" si="12"/>
        <v>0</v>
      </c>
      <c r="W99" s="47">
        <f t="shared" si="12"/>
        <v>0</v>
      </c>
      <c r="X99" s="47">
        <f t="shared" si="15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14"/>
        <v>0</v>
      </c>
      <c r="M100" s="46">
        <f t="shared" si="14"/>
        <v>0</v>
      </c>
      <c r="N100" s="46">
        <f t="shared" si="14"/>
        <v>0</v>
      </c>
      <c r="O100" s="46">
        <f t="shared" si="13"/>
        <v>0</v>
      </c>
      <c r="P100" s="46">
        <f t="shared" si="13"/>
        <v>0</v>
      </c>
      <c r="Q100" s="46">
        <f t="shared" si="13"/>
        <v>0</v>
      </c>
      <c r="R100" s="46">
        <f t="shared" si="13"/>
        <v>0</v>
      </c>
      <c r="S100" s="46">
        <f t="shared" si="13"/>
        <v>0</v>
      </c>
      <c r="T100" s="46">
        <f t="shared" si="13"/>
        <v>0</v>
      </c>
      <c r="U100" s="47">
        <f t="shared" si="12"/>
        <v>0</v>
      </c>
      <c r="V100" s="47">
        <f t="shared" si="12"/>
        <v>0</v>
      </c>
      <c r="W100" s="47">
        <f t="shared" si="12"/>
        <v>0</v>
      </c>
      <c r="X100" s="47">
        <f t="shared" si="15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14"/>
        <v>0</v>
      </c>
      <c r="M101" s="46">
        <f t="shared" si="14"/>
        <v>0</v>
      </c>
      <c r="N101" s="46">
        <f t="shared" si="14"/>
        <v>0</v>
      </c>
      <c r="O101" s="46">
        <f t="shared" si="13"/>
        <v>0</v>
      </c>
      <c r="P101" s="46">
        <f t="shared" si="13"/>
        <v>0</v>
      </c>
      <c r="Q101" s="46">
        <f t="shared" si="13"/>
        <v>0</v>
      </c>
      <c r="R101" s="46">
        <f t="shared" si="13"/>
        <v>0</v>
      </c>
      <c r="S101" s="46">
        <f t="shared" si="13"/>
        <v>0</v>
      </c>
      <c r="T101" s="46">
        <f t="shared" si="13"/>
        <v>0</v>
      </c>
      <c r="U101" s="47">
        <f t="shared" si="12"/>
        <v>0</v>
      </c>
      <c r="V101" s="47">
        <f t="shared" si="12"/>
        <v>0</v>
      </c>
      <c r="W101" s="47">
        <f t="shared" si="12"/>
        <v>0</v>
      </c>
      <c r="X101" s="47">
        <f t="shared" si="15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14"/>
        <v>0</v>
      </c>
      <c r="M102" s="46">
        <f t="shared" si="14"/>
        <v>0</v>
      </c>
      <c r="N102" s="46">
        <f t="shared" si="14"/>
        <v>0</v>
      </c>
      <c r="O102" s="46">
        <f t="shared" si="13"/>
        <v>0</v>
      </c>
      <c r="P102" s="46">
        <f t="shared" si="13"/>
        <v>0</v>
      </c>
      <c r="Q102" s="46">
        <f t="shared" si="13"/>
        <v>0</v>
      </c>
      <c r="R102" s="46">
        <f t="shared" si="13"/>
        <v>0</v>
      </c>
      <c r="S102" s="46">
        <f t="shared" si="13"/>
        <v>0</v>
      </c>
      <c r="T102" s="46">
        <f t="shared" si="13"/>
        <v>0</v>
      </c>
      <c r="U102" s="47">
        <f t="shared" si="12"/>
        <v>0</v>
      </c>
      <c r="V102" s="47">
        <f t="shared" si="12"/>
        <v>0</v>
      </c>
      <c r="W102" s="47">
        <f t="shared" si="12"/>
        <v>0</v>
      </c>
      <c r="X102" s="47">
        <f t="shared" si="15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14"/>
        <v>0</v>
      </c>
      <c r="M103" s="46">
        <f t="shared" si="14"/>
        <v>0</v>
      </c>
      <c r="N103" s="46">
        <f t="shared" si="14"/>
        <v>0</v>
      </c>
      <c r="O103" s="46">
        <f t="shared" si="13"/>
        <v>0</v>
      </c>
      <c r="P103" s="46">
        <f t="shared" si="13"/>
        <v>0</v>
      </c>
      <c r="Q103" s="46">
        <f t="shared" si="13"/>
        <v>0</v>
      </c>
      <c r="R103" s="46">
        <f t="shared" si="13"/>
        <v>0</v>
      </c>
      <c r="S103" s="46">
        <f t="shared" si="13"/>
        <v>0</v>
      </c>
      <c r="T103" s="46">
        <f t="shared" si="13"/>
        <v>0</v>
      </c>
      <c r="U103" s="47">
        <f t="shared" si="12"/>
        <v>0</v>
      </c>
      <c r="V103" s="47">
        <f t="shared" si="12"/>
        <v>0</v>
      </c>
      <c r="W103" s="47">
        <f t="shared" si="12"/>
        <v>0</v>
      </c>
      <c r="X103" s="47">
        <f t="shared" si="15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14"/>
        <v>0</v>
      </c>
      <c r="M104" s="46">
        <f t="shared" si="14"/>
        <v>0</v>
      </c>
      <c r="N104" s="46">
        <f t="shared" si="14"/>
        <v>0</v>
      </c>
      <c r="O104" s="46">
        <f t="shared" si="13"/>
        <v>0</v>
      </c>
      <c r="P104" s="46">
        <f t="shared" si="13"/>
        <v>0</v>
      </c>
      <c r="Q104" s="46">
        <f t="shared" si="13"/>
        <v>0</v>
      </c>
      <c r="R104" s="46">
        <f t="shared" si="13"/>
        <v>0</v>
      </c>
      <c r="S104" s="46">
        <f t="shared" si="13"/>
        <v>0</v>
      </c>
      <c r="T104" s="46">
        <f t="shared" si="13"/>
        <v>0</v>
      </c>
      <c r="U104" s="47">
        <f t="shared" si="12"/>
        <v>0</v>
      </c>
      <c r="V104" s="47">
        <f t="shared" si="12"/>
        <v>0</v>
      </c>
      <c r="W104" s="47">
        <f t="shared" si="12"/>
        <v>0</v>
      </c>
      <c r="X104" s="47">
        <f t="shared" si="15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14"/>
        <v>0</v>
      </c>
      <c r="M105" s="46">
        <f t="shared" si="14"/>
        <v>0</v>
      </c>
      <c r="N105" s="46">
        <f t="shared" si="14"/>
        <v>0</v>
      </c>
      <c r="O105" s="46">
        <f t="shared" si="13"/>
        <v>0</v>
      </c>
      <c r="P105" s="46">
        <f t="shared" si="13"/>
        <v>0</v>
      </c>
      <c r="Q105" s="46">
        <f t="shared" si="13"/>
        <v>0</v>
      </c>
      <c r="R105" s="46">
        <f t="shared" si="13"/>
        <v>0</v>
      </c>
      <c r="S105" s="46">
        <f t="shared" si="13"/>
        <v>0</v>
      </c>
      <c r="T105" s="46">
        <f t="shared" si="13"/>
        <v>0</v>
      </c>
      <c r="U105" s="47">
        <f t="shared" si="12"/>
        <v>0</v>
      </c>
      <c r="V105" s="47">
        <f t="shared" si="12"/>
        <v>0</v>
      </c>
      <c r="W105" s="47">
        <f t="shared" si="12"/>
        <v>0</v>
      </c>
      <c r="X105" s="47">
        <f t="shared" si="15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14"/>
        <v>0</v>
      </c>
      <c r="M106" s="46">
        <f t="shared" si="14"/>
        <v>0</v>
      </c>
      <c r="N106" s="46">
        <f t="shared" si="14"/>
        <v>0</v>
      </c>
      <c r="O106" s="46">
        <f t="shared" si="13"/>
        <v>0</v>
      </c>
      <c r="P106" s="46">
        <f t="shared" si="13"/>
        <v>0</v>
      </c>
      <c r="Q106" s="46">
        <f t="shared" si="13"/>
        <v>0</v>
      </c>
      <c r="R106" s="46">
        <f t="shared" si="13"/>
        <v>0</v>
      </c>
      <c r="S106" s="46">
        <f t="shared" si="13"/>
        <v>0</v>
      </c>
      <c r="T106" s="46">
        <f t="shared" si="13"/>
        <v>0</v>
      </c>
      <c r="U106" s="47">
        <f t="shared" si="12"/>
        <v>0</v>
      </c>
      <c r="V106" s="47">
        <f t="shared" si="12"/>
        <v>0</v>
      </c>
      <c r="W106" s="47">
        <f t="shared" si="12"/>
        <v>0</v>
      </c>
      <c r="X106" s="47">
        <f t="shared" si="15"/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14"/>
        <v>0</v>
      </c>
      <c r="M107" s="46">
        <f t="shared" si="14"/>
        <v>0</v>
      </c>
      <c r="N107" s="46">
        <f t="shared" si="14"/>
        <v>0</v>
      </c>
      <c r="O107" s="46">
        <f t="shared" si="13"/>
        <v>0</v>
      </c>
      <c r="P107" s="46">
        <f t="shared" si="13"/>
        <v>0</v>
      </c>
      <c r="Q107" s="46">
        <f t="shared" si="13"/>
        <v>0</v>
      </c>
      <c r="R107" s="46">
        <f t="shared" si="13"/>
        <v>0</v>
      </c>
      <c r="S107" s="46">
        <f t="shared" si="13"/>
        <v>0</v>
      </c>
      <c r="T107" s="46">
        <f t="shared" si="13"/>
        <v>0</v>
      </c>
      <c r="U107" s="47">
        <f t="shared" si="12"/>
        <v>0</v>
      </c>
      <c r="V107" s="47">
        <f t="shared" si="12"/>
        <v>0</v>
      </c>
      <c r="W107" s="47">
        <f t="shared" si="12"/>
        <v>0</v>
      </c>
      <c r="X107" s="47">
        <f t="shared" si="15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14"/>
        <v>0</v>
      </c>
      <c r="M108" s="46">
        <f t="shared" si="14"/>
        <v>0</v>
      </c>
      <c r="N108" s="46">
        <f t="shared" si="14"/>
        <v>0</v>
      </c>
      <c r="O108" s="46">
        <f t="shared" si="13"/>
        <v>0</v>
      </c>
      <c r="P108" s="46">
        <f t="shared" si="13"/>
        <v>0</v>
      </c>
      <c r="Q108" s="46">
        <f t="shared" si="13"/>
        <v>0</v>
      </c>
      <c r="R108" s="46">
        <f t="shared" si="13"/>
        <v>0</v>
      </c>
      <c r="S108" s="46">
        <f t="shared" si="13"/>
        <v>0</v>
      </c>
      <c r="T108" s="46">
        <f t="shared" si="13"/>
        <v>0</v>
      </c>
      <c r="U108" s="47">
        <f t="shared" ref="U108:W151" si="16">L108+Q108</f>
        <v>0</v>
      </c>
      <c r="V108" s="47">
        <f t="shared" si="16"/>
        <v>0</v>
      </c>
      <c r="W108" s="47">
        <f t="shared" si="16"/>
        <v>0</v>
      </c>
      <c r="X108" s="47">
        <f t="shared" si="15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14"/>
        <v>0</v>
      </c>
      <c r="M109" s="46">
        <f t="shared" si="14"/>
        <v>0</v>
      </c>
      <c r="N109" s="46">
        <f t="shared" si="14"/>
        <v>0</v>
      </c>
      <c r="O109" s="46">
        <f t="shared" si="13"/>
        <v>0</v>
      </c>
      <c r="P109" s="46">
        <f t="shared" si="13"/>
        <v>0</v>
      </c>
      <c r="Q109" s="46">
        <f t="shared" si="13"/>
        <v>0</v>
      </c>
      <c r="R109" s="46">
        <f t="shared" si="13"/>
        <v>0</v>
      </c>
      <c r="S109" s="46">
        <f t="shared" si="13"/>
        <v>0</v>
      </c>
      <c r="T109" s="46">
        <f t="shared" si="13"/>
        <v>0</v>
      </c>
      <c r="U109" s="47">
        <f t="shared" si="16"/>
        <v>0</v>
      </c>
      <c r="V109" s="47">
        <f t="shared" si="16"/>
        <v>0</v>
      </c>
      <c r="W109" s="47">
        <f t="shared" si="16"/>
        <v>0</v>
      </c>
      <c r="X109" s="47">
        <f t="shared" si="15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14"/>
        <v>0</v>
      </c>
      <c r="M110" s="46">
        <f t="shared" si="14"/>
        <v>0</v>
      </c>
      <c r="N110" s="46">
        <f t="shared" si="14"/>
        <v>0</v>
      </c>
      <c r="O110" s="46">
        <f t="shared" si="13"/>
        <v>0</v>
      </c>
      <c r="P110" s="46">
        <f t="shared" si="13"/>
        <v>0</v>
      </c>
      <c r="Q110" s="46">
        <f t="shared" si="13"/>
        <v>0</v>
      </c>
      <c r="R110" s="46">
        <f t="shared" si="13"/>
        <v>0</v>
      </c>
      <c r="S110" s="46">
        <f t="shared" si="13"/>
        <v>0</v>
      </c>
      <c r="T110" s="46">
        <f t="shared" si="13"/>
        <v>0</v>
      </c>
      <c r="U110" s="47">
        <f t="shared" si="16"/>
        <v>0</v>
      </c>
      <c r="V110" s="47">
        <f t="shared" si="16"/>
        <v>0</v>
      </c>
      <c r="W110" s="47">
        <f t="shared" si="16"/>
        <v>0</v>
      </c>
      <c r="X110" s="47">
        <f t="shared" si="15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14"/>
        <v>0</v>
      </c>
      <c r="M111" s="46">
        <f t="shared" si="14"/>
        <v>0</v>
      </c>
      <c r="N111" s="46">
        <f t="shared" si="14"/>
        <v>0</v>
      </c>
      <c r="O111" s="46">
        <f t="shared" si="13"/>
        <v>0</v>
      </c>
      <c r="P111" s="46">
        <f t="shared" si="13"/>
        <v>0</v>
      </c>
      <c r="Q111" s="46">
        <f t="shared" si="13"/>
        <v>0</v>
      </c>
      <c r="R111" s="46">
        <f t="shared" si="13"/>
        <v>0</v>
      </c>
      <c r="S111" s="46">
        <f t="shared" si="13"/>
        <v>0</v>
      </c>
      <c r="T111" s="46">
        <f t="shared" si="13"/>
        <v>0</v>
      </c>
      <c r="U111" s="47">
        <f t="shared" si="16"/>
        <v>0</v>
      </c>
      <c r="V111" s="47">
        <f t="shared" si="16"/>
        <v>0</v>
      </c>
      <c r="W111" s="47">
        <f t="shared" si="16"/>
        <v>0</v>
      </c>
      <c r="X111" s="47">
        <f t="shared" si="15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14"/>
        <v>0</v>
      </c>
      <c r="M112" s="46">
        <f t="shared" si="14"/>
        <v>0</v>
      </c>
      <c r="N112" s="46">
        <f t="shared" si="14"/>
        <v>0</v>
      </c>
      <c r="O112" s="46">
        <f t="shared" si="13"/>
        <v>0</v>
      </c>
      <c r="P112" s="46">
        <f t="shared" si="13"/>
        <v>0</v>
      </c>
      <c r="Q112" s="46">
        <f t="shared" si="13"/>
        <v>0</v>
      </c>
      <c r="R112" s="46">
        <f t="shared" si="13"/>
        <v>0</v>
      </c>
      <c r="S112" s="46">
        <f t="shared" si="13"/>
        <v>0</v>
      </c>
      <c r="T112" s="46">
        <f t="shared" si="13"/>
        <v>0</v>
      </c>
      <c r="U112" s="47">
        <f t="shared" si="16"/>
        <v>0</v>
      </c>
      <c r="V112" s="47">
        <f t="shared" si="16"/>
        <v>0</v>
      </c>
      <c r="W112" s="47">
        <f t="shared" si="16"/>
        <v>0</v>
      </c>
      <c r="X112" s="47">
        <f t="shared" si="15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14"/>
        <v>0</v>
      </c>
      <c r="M113" s="46">
        <f t="shared" si="14"/>
        <v>0</v>
      </c>
      <c r="N113" s="46">
        <f t="shared" si="14"/>
        <v>0</v>
      </c>
      <c r="O113" s="46">
        <f t="shared" si="13"/>
        <v>0</v>
      </c>
      <c r="P113" s="46">
        <f t="shared" si="13"/>
        <v>0</v>
      </c>
      <c r="Q113" s="46">
        <f t="shared" si="13"/>
        <v>0</v>
      </c>
      <c r="R113" s="46">
        <f t="shared" si="13"/>
        <v>0</v>
      </c>
      <c r="S113" s="46">
        <f t="shared" si="13"/>
        <v>0</v>
      </c>
      <c r="T113" s="46">
        <f t="shared" si="13"/>
        <v>0</v>
      </c>
      <c r="U113" s="47">
        <f t="shared" si="16"/>
        <v>0</v>
      </c>
      <c r="V113" s="47">
        <f t="shared" si="16"/>
        <v>0</v>
      </c>
      <c r="W113" s="47">
        <f t="shared" si="16"/>
        <v>0</v>
      </c>
      <c r="X113" s="47">
        <f t="shared" si="15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14"/>
        <v>0</v>
      </c>
      <c r="M114" s="46">
        <f t="shared" si="14"/>
        <v>0</v>
      </c>
      <c r="N114" s="46">
        <f t="shared" si="14"/>
        <v>0</v>
      </c>
      <c r="O114" s="46">
        <f t="shared" si="13"/>
        <v>0</v>
      </c>
      <c r="P114" s="46">
        <f t="shared" si="13"/>
        <v>0</v>
      </c>
      <c r="Q114" s="46">
        <f t="shared" si="13"/>
        <v>0</v>
      </c>
      <c r="R114" s="46">
        <f t="shared" ref="R114:T151" si="17">IFERROR(H115-H114,0)</f>
        <v>0</v>
      </c>
      <c r="S114" s="46">
        <f t="shared" si="17"/>
        <v>0</v>
      </c>
      <c r="T114" s="46">
        <f t="shared" si="17"/>
        <v>0</v>
      </c>
      <c r="U114" s="47">
        <f t="shared" si="16"/>
        <v>0</v>
      </c>
      <c r="V114" s="47">
        <f t="shared" si="16"/>
        <v>0</v>
      </c>
      <c r="W114" s="47">
        <f t="shared" si="16"/>
        <v>0</v>
      </c>
      <c r="X114" s="47">
        <f t="shared" si="15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14"/>
        <v>0</v>
      </c>
      <c r="M115" s="46">
        <f t="shared" si="14"/>
        <v>0</v>
      </c>
      <c r="N115" s="46">
        <f t="shared" si="14"/>
        <v>0</v>
      </c>
      <c r="O115" s="46">
        <f t="shared" si="14"/>
        <v>0</v>
      </c>
      <c r="P115" s="46">
        <f t="shared" si="14"/>
        <v>0</v>
      </c>
      <c r="Q115" s="46">
        <f t="shared" si="14"/>
        <v>0</v>
      </c>
      <c r="R115" s="46">
        <f t="shared" si="17"/>
        <v>0</v>
      </c>
      <c r="S115" s="46">
        <f t="shared" si="17"/>
        <v>0</v>
      </c>
      <c r="T115" s="46">
        <f t="shared" si="17"/>
        <v>0</v>
      </c>
      <c r="U115" s="47">
        <f t="shared" si="16"/>
        <v>0</v>
      </c>
      <c r="V115" s="47">
        <f t="shared" si="16"/>
        <v>0</v>
      </c>
      <c r="W115" s="47">
        <f t="shared" si="16"/>
        <v>0</v>
      </c>
      <c r="X115" s="47">
        <f t="shared" si="15"/>
        <v>0</v>
      </c>
    </row>
    <row r="116" spans="1:24" ht="16.75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14"/>
        <v>0</v>
      </c>
      <c r="M116" s="46">
        <f t="shared" si="14"/>
        <v>0</v>
      </c>
      <c r="N116" s="46">
        <f t="shared" si="14"/>
        <v>0</v>
      </c>
      <c r="O116" s="46">
        <f t="shared" si="14"/>
        <v>0</v>
      </c>
      <c r="P116" s="46">
        <f t="shared" si="14"/>
        <v>0</v>
      </c>
      <c r="Q116" s="46">
        <f t="shared" si="14"/>
        <v>0</v>
      </c>
      <c r="R116" s="46">
        <f t="shared" si="17"/>
        <v>0</v>
      </c>
      <c r="S116" s="46">
        <f t="shared" si="17"/>
        <v>0</v>
      </c>
      <c r="T116" s="46">
        <f t="shared" si="17"/>
        <v>0</v>
      </c>
      <c r="U116" s="47">
        <f t="shared" si="16"/>
        <v>0</v>
      </c>
      <c r="V116" s="47">
        <f t="shared" si="16"/>
        <v>0</v>
      </c>
      <c r="W116" s="47">
        <f t="shared" si="16"/>
        <v>0</v>
      </c>
      <c r="X116" s="47">
        <f t="shared" si="15"/>
        <v>0</v>
      </c>
    </row>
    <row r="117" spans="1:24" ht="20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14"/>
        <v>0</v>
      </c>
      <c r="M117" s="46">
        <f t="shared" si="14"/>
        <v>0</v>
      </c>
      <c r="N117" s="46">
        <f t="shared" si="14"/>
        <v>0</v>
      </c>
      <c r="O117" s="46">
        <f t="shared" si="14"/>
        <v>0</v>
      </c>
      <c r="P117" s="46">
        <f t="shared" si="14"/>
        <v>0</v>
      </c>
      <c r="Q117" s="46">
        <f t="shared" si="14"/>
        <v>0</v>
      </c>
      <c r="R117" s="46">
        <f t="shared" si="17"/>
        <v>0</v>
      </c>
      <c r="S117" s="46">
        <f t="shared" si="17"/>
        <v>0</v>
      </c>
      <c r="T117" s="46">
        <f t="shared" si="17"/>
        <v>0</v>
      </c>
      <c r="U117" s="47">
        <f t="shared" si="16"/>
        <v>0</v>
      </c>
      <c r="V117" s="47">
        <f t="shared" si="16"/>
        <v>0</v>
      </c>
      <c r="W117" s="47">
        <f t="shared" si="16"/>
        <v>0</v>
      </c>
      <c r="X117" s="47">
        <f t="shared" si="15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14"/>
        <v>0</v>
      </c>
      <c r="M118" s="46">
        <f t="shared" si="14"/>
        <v>0</v>
      </c>
      <c r="N118" s="46">
        <f t="shared" si="14"/>
        <v>0</v>
      </c>
      <c r="O118" s="46">
        <f t="shared" si="14"/>
        <v>0</v>
      </c>
      <c r="P118" s="46">
        <f t="shared" si="14"/>
        <v>0</v>
      </c>
      <c r="Q118" s="46">
        <f t="shared" si="14"/>
        <v>0</v>
      </c>
      <c r="R118" s="46">
        <f t="shared" si="17"/>
        <v>0</v>
      </c>
      <c r="S118" s="46">
        <f t="shared" si="17"/>
        <v>0</v>
      </c>
      <c r="T118" s="46">
        <f t="shared" si="17"/>
        <v>0</v>
      </c>
      <c r="U118" s="47">
        <f t="shared" si="16"/>
        <v>0</v>
      </c>
      <c r="V118" s="47">
        <f t="shared" si="16"/>
        <v>0</v>
      </c>
      <c r="W118" s="47">
        <f t="shared" si="16"/>
        <v>0</v>
      </c>
      <c r="X118" s="47">
        <f t="shared" si="15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14"/>
        <v>0</v>
      </c>
      <c r="M119" s="46">
        <f t="shared" si="14"/>
        <v>0</v>
      </c>
      <c r="N119" s="46">
        <f t="shared" si="14"/>
        <v>0</v>
      </c>
      <c r="O119" s="46">
        <f t="shared" si="14"/>
        <v>0</v>
      </c>
      <c r="P119" s="46">
        <f t="shared" si="14"/>
        <v>0</v>
      </c>
      <c r="Q119" s="46">
        <f t="shared" si="14"/>
        <v>0</v>
      </c>
      <c r="R119" s="46">
        <f t="shared" si="17"/>
        <v>0</v>
      </c>
      <c r="S119" s="46">
        <f t="shared" si="17"/>
        <v>0</v>
      </c>
      <c r="T119" s="46">
        <f t="shared" si="17"/>
        <v>0</v>
      </c>
      <c r="U119" s="47">
        <f t="shared" si="16"/>
        <v>0</v>
      </c>
      <c r="V119" s="47">
        <f t="shared" si="16"/>
        <v>0</v>
      </c>
      <c r="W119" s="47">
        <f t="shared" si="16"/>
        <v>0</v>
      </c>
      <c r="X119" s="47">
        <f t="shared" si="15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14"/>
        <v>0</v>
      </c>
      <c r="M120" s="46">
        <f t="shared" si="14"/>
        <v>0</v>
      </c>
      <c r="N120" s="46">
        <f t="shared" si="14"/>
        <v>0</v>
      </c>
      <c r="O120" s="46">
        <f t="shared" si="14"/>
        <v>0</v>
      </c>
      <c r="P120" s="46">
        <f t="shared" si="14"/>
        <v>0</v>
      </c>
      <c r="Q120" s="46">
        <f t="shared" si="14"/>
        <v>0</v>
      </c>
      <c r="R120" s="46">
        <f t="shared" si="17"/>
        <v>0</v>
      </c>
      <c r="S120" s="46">
        <f t="shared" si="17"/>
        <v>0</v>
      </c>
      <c r="T120" s="46">
        <f t="shared" si="17"/>
        <v>0</v>
      </c>
      <c r="U120" s="47">
        <f t="shared" si="16"/>
        <v>0</v>
      </c>
      <c r="V120" s="47">
        <f t="shared" si="16"/>
        <v>0</v>
      </c>
      <c r="W120" s="47">
        <f t="shared" si="16"/>
        <v>0</v>
      </c>
      <c r="X120" s="47">
        <f t="shared" si="15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14"/>
        <v>0</v>
      </c>
      <c r="M121" s="46">
        <f t="shared" si="14"/>
        <v>0</v>
      </c>
      <c r="N121" s="46">
        <f t="shared" si="14"/>
        <v>0</v>
      </c>
      <c r="O121" s="46">
        <f t="shared" si="14"/>
        <v>0</v>
      </c>
      <c r="P121" s="46">
        <f t="shared" si="14"/>
        <v>0</v>
      </c>
      <c r="Q121" s="46">
        <f t="shared" si="14"/>
        <v>0</v>
      </c>
      <c r="R121" s="46">
        <f t="shared" si="17"/>
        <v>0</v>
      </c>
      <c r="S121" s="46">
        <f t="shared" si="17"/>
        <v>0</v>
      </c>
      <c r="T121" s="46">
        <f t="shared" si="17"/>
        <v>0</v>
      </c>
      <c r="U121" s="47">
        <f t="shared" si="16"/>
        <v>0</v>
      </c>
      <c r="V121" s="47">
        <f t="shared" si="16"/>
        <v>0</v>
      </c>
      <c r="W121" s="47">
        <f t="shared" si="16"/>
        <v>0</v>
      </c>
      <c r="X121" s="47">
        <f t="shared" si="15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14"/>
        <v>0</v>
      </c>
      <c r="M122" s="46">
        <f t="shared" si="14"/>
        <v>0</v>
      </c>
      <c r="N122" s="46">
        <f t="shared" si="14"/>
        <v>0</v>
      </c>
      <c r="O122" s="46">
        <f t="shared" si="14"/>
        <v>0</v>
      </c>
      <c r="P122" s="46">
        <f t="shared" si="14"/>
        <v>0</v>
      </c>
      <c r="Q122" s="46">
        <f t="shared" si="14"/>
        <v>0</v>
      </c>
      <c r="R122" s="46">
        <f t="shared" si="17"/>
        <v>0</v>
      </c>
      <c r="S122" s="46">
        <f t="shared" si="17"/>
        <v>0</v>
      </c>
      <c r="T122" s="46">
        <f t="shared" si="17"/>
        <v>0</v>
      </c>
      <c r="U122" s="47">
        <f t="shared" si="16"/>
        <v>0</v>
      </c>
      <c r="V122" s="47">
        <f t="shared" si="16"/>
        <v>0</v>
      </c>
      <c r="W122" s="47">
        <f t="shared" si="16"/>
        <v>0</v>
      </c>
      <c r="X122" s="47">
        <f t="shared" si="15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14"/>
        <v>0</v>
      </c>
      <c r="M123" s="46">
        <f t="shared" si="14"/>
        <v>0</v>
      </c>
      <c r="N123" s="46">
        <f t="shared" si="14"/>
        <v>0</v>
      </c>
      <c r="O123" s="46">
        <f t="shared" si="14"/>
        <v>0</v>
      </c>
      <c r="P123" s="46">
        <f t="shared" si="14"/>
        <v>0</v>
      </c>
      <c r="Q123" s="46">
        <f t="shared" si="14"/>
        <v>0</v>
      </c>
      <c r="R123" s="46">
        <f t="shared" si="17"/>
        <v>0</v>
      </c>
      <c r="S123" s="46">
        <f t="shared" si="17"/>
        <v>0</v>
      </c>
      <c r="T123" s="46">
        <f t="shared" si="17"/>
        <v>0</v>
      </c>
      <c r="U123" s="47">
        <f t="shared" si="16"/>
        <v>0</v>
      </c>
      <c r="V123" s="47">
        <f t="shared" si="16"/>
        <v>0</v>
      </c>
      <c r="W123" s="47">
        <f t="shared" si="16"/>
        <v>0</v>
      </c>
      <c r="X123" s="47">
        <f t="shared" si="15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14"/>
        <v>0</v>
      </c>
      <c r="M124" s="46">
        <f t="shared" si="14"/>
        <v>0</v>
      </c>
      <c r="N124" s="46">
        <f t="shared" si="14"/>
        <v>0</v>
      </c>
      <c r="O124" s="46">
        <f t="shared" si="14"/>
        <v>0</v>
      </c>
      <c r="P124" s="46">
        <f t="shared" si="14"/>
        <v>0</v>
      </c>
      <c r="Q124" s="46">
        <f t="shared" si="14"/>
        <v>0</v>
      </c>
      <c r="R124" s="46">
        <f t="shared" si="17"/>
        <v>0</v>
      </c>
      <c r="S124" s="46">
        <f t="shared" si="17"/>
        <v>0</v>
      </c>
      <c r="T124" s="46">
        <f t="shared" si="17"/>
        <v>0</v>
      </c>
      <c r="U124" s="47">
        <f t="shared" si="16"/>
        <v>0</v>
      </c>
      <c r="V124" s="47">
        <f t="shared" si="16"/>
        <v>0</v>
      </c>
      <c r="W124" s="47">
        <f t="shared" si="16"/>
        <v>0</v>
      </c>
      <c r="X124" s="47">
        <f t="shared" si="15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14"/>
        <v>0</v>
      </c>
      <c r="M125" s="46">
        <f t="shared" si="14"/>
        <v>0</v>
      </c>
      <c r="N125" s="46">
        <f t="shared" si="14"/>
        <v>0</v>
      </c>
      <c r="O125" s="46">
        <f t="shared" si="14"/>
        <v>0</v>
      </c>
      <c r="P125" s="46">
        <f t="shared" si="14"/>
        <v>0</v>
      </c>
      <c r="Q125" s="46">
        <f t="shared" si="14"/>
        <v>0</v>
      </c>
      <c r="R125" s="46">
        <f t="shared" si="17"/>
        <v>0</v>
      </c>
      <c r="S125" s="46">
        <f t="shared" si="17"/>
        <v>0</v>
      </c>
      <c r="T125" s="46">
        <f t="shared" si="17"/>
        <v>0</v>
      </c>
      <c r="U125" s="47">
        <f t="shared" si="16"/>
        <v>0</v>
      </c>
      <c r="V125" s="47">
        <f t="shared" si="16"/>
        <v>0</v>
      </c>
      <c r="W125" s="47">
        <f t="shared" si="16"/>
        <v>0</v>
      </c>
      <c r="X125" s="47">
        <f t="shared" si="15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14"/>
        <v>0</v>
      </c>
      <c r="M126" s="46">
        <f t="shared" si="14"/>
        <v>0</v>
      </c>
      <c r="N126" s="46">
        <f t="shared" si="14"/>
        <v>0</v>
      </c>
      <c r="O126" s="46">
        <f t="shared" si="14"/>
        <v>0</v>
      </c>
      <c r="P126" s="46">
        <f t="shared" si="14"/>
        <v>0</v>
      </c>
      <c r="Q126" s="46">
        <f t="shared" si="14"/>
        <v>0</v>
      </c>
      <c r="R126" s="46">
        <f t="shared" si="17"/>
        <v>0</v>
      </c>
      <c r="S126" s="46">
        <f t="shared" si="17"/>
        <v>0</v>
      </c>
      <c r="T126" s="46">
        <f t="shared" si="17"/>
        <v>0</v>
      </c>
      <c r="U126" s="47">
        <f t="shared" si="16"/>
        <v>0</v>
      </c>
      <c r="V126" s="47">
        <f t="shared" si="16"/>
        <v>0</v>
      </c>
      <c r="W126" s="47">
        <f t="shared" si="16"/>
        <v>0</v>
      </c>
      <c r="X126" s="47">
        <f t="shared" si="15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14"/>
        <v>0</v>
      </c>
      <c r="M127" s="46">
        <f t="shared" si="14"/>
        <v>0</v>
      </c>
      <c r="N127" s="46">
        <f t="shared" si="14"/>
        <v>0</v>
      </c>
      <c r="O127" s="46">
        <f t="shared" si="14"/>
        <v>0</v>
      </c>
      <c r="P127" s="46">
        <f t="shared" si="14"/>
        <v>0</v>
      </c>
      <c r="Q127" s="46">
        <f t="shared" si="14"/>
        <v>0</v>
      </c>
      <c r="R127" s="46">
        <f t="shared" si="17"/>
        <v>0</v>
      </c>
      <c r="S127" s="46">
        <f t="shared" si="17"/>
        <v>0</v>
      </c>
      <c r="T127" s="46">
        <f t="shared" si="17"/>
        <v>0</v>
      </c>
      <c r="U127" s="47">
        <f t="shared" si="16"/>
        <v>0</v>
      </c>
      <c r="V127" s="47">
        <f t="shared" si="16"/>
        <v>0</v>
      </c>
      <c r="W127" s="47">
        <f t="shared" si="16"/>
        <v>0</v>
      </c>
      <c r="X127" s="47">
        <f t="shared" si="15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14"/>
        <v>0</v>
      </c>
      <c r="M128" s="46">
        <f t="shared" si="14"/>
        <v>0</v>
      </c>
      <c r="N128" s="46">
        <f t="shared" si="14"/>
        <v>0</v>
      </c>
      <c r="O128" s="46">
        <f t="shared" si="14"/>
        <v>0</v>
      </c>
      <c r="P128" s="46">
        <f t="shared" si="14"/>
        <v>0</v>
      </c>
      <c r="Q128" s="46">
        <f t="shared" si="14"/>
        <v>0</v>
      </c>
      <c r="R128" s="46">
        <f t="shared" si="17"/>
        <v>0</v>
      </c>
      <c r="S128" s="46">
        <f t="shared" si="17"/>
        <v>0</v>
      </c>
      <c r="T128" s="46">
        <f t="shared" si="17"/>
        <v>0</v>
      </c>
      <c r="U128" s="47">
        <f t="shared" si="16"/>
        <v>0</v>
      </c>
      <c r="V128" s="47">
        <f t="shared" si="16"/>
        <v>0</v>
      </c>
      <c r="W128" s="47">
        <f t="shared" si="16"/>
        <v>0</v>
      </c>
      <c r="X128" s="47">
        <f t="shared" si="15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14"/>
        <v>0</v>
      </c>
      <c r="M129" s="46">
        <f t="shared" si="14"/>
        <v>0</v>
      </c>
      <c r="N129" s="46">
        <f t="shared" si="14"/>
        <v>0</v>
      </c>
      <c r="O129" s="46">
        <f t="shared" si="14"/>
        <v>0</v>
      </c>
      <c r="P129" s="46">
        <f t="shared" si="14"/>
        <v>0</v>
      </c>
      <c r="Q129" s="46">
        <f t="shared" si="14"/>
        <v>0</v>
      </c>
      <c r="R129" s="46">
        <f t="shared" si="17"/>
        <v>0</v>
      </c>
      <c r="S129" s="46">
        <f t="shared" si="17"/>
        <v>0</v>
      </c>
      <c r="T129" s="46">
        <f t="shared" si="17"/>
        <v>0</v>
      </c>
      <c r="U129" s="47">
        <f t="shared" si="16"/>
        <v>0</v>
      </c>
      <c r="V129" s="47">
        <f t="shared" si="16"/>
        <v>0</v>
      </c>
      <c r="W129" s="47">
        <f t="shared" si="16"/>
        <v>0</v>
      </c>
      <c r="X129" s="47">
        <f t="shared" si="15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14"/>
        <v>0</v>
      </c>
      <c r="M130" s="46">
        <f t="shared" si="14"/>
        <v>0</v>
      </c>
      <c r="N130" s="46">
        <f t="shared" si="14"/>
        <v>0</v>
      </c>
      <c r="O130" s="46">
        <f t="shared" si="14"/>
        <v>0</v>
      </c>
      <c r="P130" s="46">
        <f t="shared" si="14"/>
        <v>0</v>
      </c>
      <c r="Q130" s="46">
        <f t="shared" si="14"/>
        <v>0</v>
      </c>
      <c r="R130" s="46">
        <f t="shared" si="17"/>
        <v>0</v>
      </c>
      <c r="S130" s="46">
        <f t="shared" si="17"/>
        <v>0</v>
      </c>
      <c r="T130" s="46">
        <f t="shared" si="17"/>
        <v>0</v>
      </c>
      <c r="U130" s="47">
        <f t="shared" si="16"/>
        <v>0</v>
      </c>
      <c r="V130" s="47">
        <f t="shared" si="16"/>
        <v>0</v>
      </c>
      <c r="W130" s="47">
        <f t="shared" si="16"/>
        <v>0</v>
      </c>
      <c r="X130" s="47">
        <f t="shared" si="15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14"/>
        <v>0</v>
      </c>
      <c r="M131" s="46">
        <f t="shared" si="14"/>
        <v>0</v>
      </c>
      <c r="N131" s="46">
        <f t="shared" si="14"/>
        <v>0</v>
      </c>
      <c r="O131" s="46">
        <f t="shared" si="14"/>
        <v>0</v>
      </c>
      <c r="P131" s="46">
        <f t="shared" si="14"/>
        <v>0</v>
      </c>
      <c r="Q131" s="46">
        <f t="shared" si="14"/>
        <v>0</v>
      </c>
      <c r="R131" s="46">
        <f t="shared" si="17"/>
        <v>0</v>
      </c>
      <c r="S131" s="46">
        <f t="shared" si="17"/>
        <v>0</v>
      </c>
      <c r="T131" s="46">
        <f t="shared" si="17"/>
        <v>0</v>
      </c>
      <c r="U131" s="47">
        <f t="shared" si="16"/>
        <v>0</v>
      </c>
      <c r="V131" s="47">
        <f t="shared" si="16"/>
        <v>0</v>
      </c>
      <c r="W131" s="47">
        <f t="shared" si="16"/>
        <v>0</v>
      </c>
      <c r="X131" s="47">
        <f t="shared" si="15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14"/>
        <v>0</v>
      </c>
      <c r="M132" s="46">
        <f t="shared" si="14"/>
        <v>0</v>
      </c>
      <c r="N132" s="46">
        <f t="shared" si="14"/>
        <v>0</v>
      </c>
      <c r="O132" s="46">
        <f t="shared" si="14"/>
        <v>0</v>
      </c>
      <c r="P132" s="46">
        <f t="shared" si="14"/>
        <v>0</v>
      </c>
      <c r="Q132" s="46">
        <f t="shared" si="14"/>
        <v>0</v>
      </c>
      <c r="R132" s="46">
        <f t="shared" si="17"/>
        <v>0</v>
      </c>
      <c r="S132" s="46">
        <f t="shared" si="17"/>
        <v>0</v>
      </c>
      <c r="T132" s="46">
        <f t="shared" si="17"/>
        <v>0</v>
      </c>
      <c r="U132" s="47">
        <f t="shared" si="16"/>
        <v>0</v>
      </c>
      <c r="V132" s="47">
        <f t="shared" si="16"/>
        <v>0</v>
      </c>
      <c r="W132" s="47">
        <f t="shared" si="16"/>
        <v>0</v>
      </c>
      <c r="X132" s="47">
        <f t="shared" si="15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14"/>
        <v>0</v>
      </c>
      <c r="M133" s="46">
        <f t="shared" si="14"/>
        <v>0</v>
      </c>
      <c r="N133" s="46">
        <f t="shared" si="14"/>
        <v>0</v>
      </c>
      <c r="O133" s="46">
        <f t="shared" si="14"/>
        <v>0</v>
      </c>
      <c r="P133" s="46">
        <f t="shared" si="14"/>
        <v>0</v>
      </c>
      <c r="Q133" s="46">
        <f t="shared" si="14"/>
        <v>0</v>
      </c>
      <c r="R133" s="46">
        <f t="shared" si="17"/>
        <v>0</v>
      </c>
      <c r="S133" s="46">
        <f t="shared" si="17"/>
        <v>0</v>
      </c>
      <c r="T133" s="46">
        <f t="shared" si="17"/>
        <v>0</v>
      </c>
      <c r="U133" s="47">
        <f t="shared" si="16"/>
        <v>0</v>
      </c>
      <c r="V133" s="47">
        <f t="shared" si="16"/>
        <v>0</v>
      </c>
      <c r="W133" s="47">
        <f t="shared" si="16"/>
        <v>0</v>
      </c>
      <c r="X133" s="47">
        <f t="shared" si="15"/>
        <v>0</v>
      </c>
    </row>
    <row r="134" spans="1:24" ht="16.75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14"/>
        <v>0</v>
      </c>
      <c r="M134" s="46">
        <f t="shared" si="14"/>
        <v>0</v>
      </c>
      <c r="N134" s="46">
        <f t="shared" si="14"/>
        <v>0</v>
      </c>
      <c r="O134" s="46">
        <f t="shared" si="14"/>
        <v>0</v>
      </c>
      <c r="P134" s="46">
        <f t="shared" si="14"/>
        <v>0</v>
      </c>
      <c r="Q134" s="46">
        <f t="shared" si="14"/>
        <v>0</v>
      </c>
      <c r="R134" s="46">
        <f t="shared" si="17"/>
        <v>0</v>
      </c>
      <c r="S134" s="46">
        <f t="shared" si="17"/>
        <v>0</v>
      </c>
      <c r="T134" s="46">
        <f t="shared" si="17"/>
        <v>0</v>
      </c>
      <c r="U134" s="47">
        <f t="shared" si="16"/>
        <v>0</v>
      </c>
      <c r="V134" s="47">
        <f t="shared" si="16"/>
        <v>0</v>
      </c>
      <c r="W134" s="47">
        <f t="shared" si="16"/>
        <v>0</v>
      </c>
      <c r="X134" s="47">
        <f t="shared" si="15"/>
        <v>0</v>
      </c>
    </row>
    <row r="135" spans="1:24" ht="20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14"/>
        <v>0</v>
      </c>
      <c r="M135" s="46">
        <f t="shared" si="14"/>
        <v>0</v>
      </c>
      <c r="N135" s="46">
        <f t="shared" si="14"/>
        <v>0</v>
      </c>
      <c r="O135" s="46">
        <f t="shared" si="14"/>
        <v>0</v>
      </c>
      <c r="P135" s="46">
        <f t="shared" si="14"/>
        <v>0</v>
      </c>
      <c r="Q135" s="46">
        <f t="shared" si="14"/>
        <v>0</v>
      </c>
      <c r="R135" s="46">
        <f t="shared" si="17"/>
        <v>0</v>
      </c>
      <c r="S135" s="46">
        <f t="shared" si="17"/>
        <v>0</v>
      </c>
      <c r="T135" s="46">
        <f t="shared" si="17"/>
        <v>0</v>
      </c>
      <c r="U135" s="47">
        <f t="shared" si="16"/>
        <v>0</v>
      </c>
      <c r="V135" s="47">
        <f t="shared" si="16"/>
        <v>0</v>
      </c>
      <c r="W135" s="47">
        <f t="shared" si="16"/>
        <v>0</v>
      </c>
      <c r="X135" s="47">
        <f t="shared" si="15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14"/>
        <v>0</v>
      </c>
      <c r="M136" s="46">
        <f t="shared" si="14"/>
        <v>0</v>
      </c>
      <c r="N136" s="46">
        <f t="shared" si="14"/>
        <v>0</v>
      </c>
      <c r="O136" s="46">
        <f t="shared" ref="O136:Q151" si="18">IFERROR(E137-E136,0)</f>
        <v>0</v>
      </c>
      <c r="P136" s="46">
        <f t="shared" si="18"/>
        <v>0</v>
      </c>
      <c r="Q136" s="46">
        <f t="shared" si="18"/>
        <v>0</v>
      </c>
      <c r="R136" s="46">
        <f t="shared" si="17"/>
        <v>0</v>
      </c>
      <c r="S136" s="46">
        <f t="shared" si="17"/>
        <v>0</v>
      </c>
      <c r="T136" s="46">
        <f t="shared" si="17"/>
        <v>0</v>
      </c>
      <c r="U136" s="47">
        <f t="shared" si="16"/>
        <v>0</v>
      </c>
      <c r="V136" s="47">
        <f t="shared" si="16"/>
        <v>0</v>
      </c>
      <c r="W136" s="47">
        <f t="shared" si="16"/>
        <v>0</v>
      </c>
      <c r="X136" s="47">
        <f t="shared" si="15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ref="L137:N151" si="19">IFERROR(B138-B137,0)</f>
        <v>0</v>
      </c>
      <c r="M137" s="46">
        <f t="shared" si="19"/>
        <v>0</v>
      </c>
      <c r="N137" s="46">
        <f t="shared" si="19"/>
        <v>0</v>
      </c>
      <c r="O137" s="46">
        <f t="shared" si="18"/>
        <v>0</v>
      </c>
      <c r="P137" s="46">
        <f t="shared" si="18"/>
        <v>0</v>
      </c>
      <c r="Q137" s="46">
        <f t="shared" si="18"/>
        <v>0</v>
      </c>
      <c r="R137" s="46">
        <f t="shared" si="17"/>
        <v>0</v>
      </c>
      <c r="S137" s="46">
        <f t="shared" si="17"/>
        <v>0</v>
      </c>
      <c r="T137" s="46">
        <f t="shared" si="17"/>
        <v>0</v>
      </c>
      <c r="U137" s="47">
        <f t="shared" si="16"/>
        <v>0</v>
      </c>
      <c r="V137" s="47">
        <f t="shared" si="16"/>
        <v>0</v>
      </c>
      <c r="W137" s="47">
        <f t="shared" si="16"/>
        <v>0</v>
      </c>
      <c r="X137" s="47">
        <f t="shared" ref="X137:X152" si="20">O137+P137+T137</f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si="19"/>
        <v>0</v>
      </c>
      <c r="M138" s="46">
        <f t="shared" si="19"/>
        <v>0</v>
      </c>
      <c r="N138" s="46">
        <f t="shared" si="19"/>
        <v>0</v>
      </c>
      <c r="O138" s="46">
        <f t="shared" si="18"/>
        <v>0</v>
      </c>
      <c r="P138" s="46">
        <f t="shared" si="18"/>
        <v>0</v>
      </c>
      <c r="Q138" s="46">
        <f t="shared" si="18"/>
        <v>0</v>
      </c>
      <c r="R138" s="46">
        <f t="shared" si="17"/>
        <v>0</v>
      </c>
      <c r="S138" s="46">
        <f t="shared" si="17"/>
        <v>0</v>
      </c>
      <c r="T138" s="46">
        <f t="shared" si="17"/>
        <v>0</v>
      </c>
      <c r="U138" s="47">
        <f t="shared" si="16"/>
        <v>0</v>
      </c>
      <c r="V138" s="47">
        <f t="shared" si="16"/>
        <v>0</v>
      </c>
      <c r="W138" s="47">
        <f t="shared" si="16"/>
        <v>0</v>
      </c>
      <c r="X138" s="47">
        <f t="shared" si="20"/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19"/>
        <v>0</v>
      </c>
      <c r="M139" s="46">
        <f t="shared" si="19"/>
        <v>0</v>
      </c>
      <c r="N139" s="46">
        <f t="shared" si="19"/>
        <v>0</v>
      </c>
      <c r="O139" s="46">
        <f t="shared" si="18"/>
        <v>0</v>
      </c>
      <c r="P139" s="46">
        <f t="shared" si="18"/>
        <v>0</v>
      </c>
      <c r="Q139" s="46">
        <f t="shared" si="18"/>
        <v>0</v>
      </c>
      <c r="R139" s="46">
        <f t="shared" si="17"/>
        <v>0</v>
      </c>
      <c r="S139" s="46">
        <f t="shared" si="17"/>
        <v>0</v>
      </c>
      <c r="T139" s="46">
        <f t="shared" si="17"/>
        <v>0</v>
      </c>
      <c r="U139" s="47">
        <f t="shared" si="16"/>
        <v>0</v>
      </c>
      <c r="V139" s="47">
        <f t="shared" si="16"/>
        <v>0</v>
      </c>
      <c r="W139" s="47">
        <f t="shared" si="16"/>
        <v>0</v>
      </c>
      <c r="X139" s="47">
        <f t="shared" si="20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19"/>
        <v>0</v>
      </c>
      <c r="M140" s="46">
        <f t="shared" si="19"/>
        <v>0</v>
      </c>
      <c r="N140" s="46">
        <f t="shared" si="19"/>
        <v>0</v>
      </c>
      <c r="O140" s="46">
        <f t="shared" si="18"/>
        <v>0</v>
      </c>
      <c r="P140" s="46">
        <f t="shared" si="18"/>
        <v>0</v>
      </c>
      <c r="Q140" s="46">
        <f t="shared" si="18"/>
        <v>0</v>
      </c>
      <c r="R140" s="46">
        <f t="shared" si="17"/>
        <v>0</v>
      </c>
      <c r="S140" s="46">
        <f t="shared" si="17"/>
        <v>0</v>
      </c>
      <c r="T140" s="46">
        <f t="shared" si="17"/>
        <v>0</v>
      </c>
      <c r="U140" s="47">
        <f t="shared" si="16"/>
        <v>0</v>
      </c>
      <c r="V140" s="47">
        <f t="shared" si="16"/>
        <v>0</v>
      </c>
      <c r="W140" s="47">
        <f t="shared" si="16"/>
        <v>0</v>
      </c>
      <c r="X140" s="47">
        <f t="shared" si="20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19"/>
        <v>0</v>
      </c>
      <c r="M141" s="46">
        <f t="shared" si="19"/>
        <v>0</v>
      </c>
      <c r="N141" s="46">
        <f t="shared" si="19"/>
        <v>0</v>
      </c>
      <c r="O141" s="46">
        <f t="shared" si="18"/>
        <v>0</v>
      </c>
      <c r="P141" s="46">
        <f t="shared" si="18"/>
        <v>0</v>
      </c>
      <c r="Q141" s="46">
        <f t="shared" si="18"/>
        <v>0</v>
      </c>
      <c r="R141" s="46">
        <f t="shared" si="17"/>
        <v>0</v>
      </c>
      <c r="S141" s="46">
        <f t="shared" si="17"/>
        <v>0</v>
      </c>
      <c r="T141" s="46">
        <f t="shared" si="17"/>
        <v>0</v>
      </c>
      <c r="U141" s="47">
        <f t="shared" si="16"/>
        <v>0</v>
      </c>
      <c r="V141" s="47">
        <f t="shared" si="16"/>
        <v>0</v>
      </c>
      <c r="W141" s="47">
        <f t="shared" si="16"/>
        <v>0</v>
      </c>
      <c r="X141" s="47">
        <f t="shared" si="20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19"/>
        <v>0</v>
      </c>
      <c r="M142" s="46">
        <f t="shared" si="19"/>
        <v>0</v>
      </c>
      <c r="N142" s="46">
        <f t="shared" si="19"/>
        <v>0</v>
      </c>
      <c r="O142" s="46">
        <f t="shared" si="18"/>
        <v>0</v>
      </c>
      <c r="P142" s="46">
        <f t="shared" si="18"/>
        <v>0</v>
      </c>
      <c r="Q142" s="46">
        <f t="shared" si="18"/>
        <v>0</v>
      </c>
      <c r="R142" s="46">
        <f t="shared" si="17"/>
        <v>0</v>
      </c>
      <c r="S142" s="46">
        <f t="shared" si="17"/>
        <v>0</v>
      </c>
      <c r="T142" s="46">
        <f t="shared" si="17"/>
        <v>0</v>
      </c>
      <c r="U142" s="47">
        <f t="shared" si="16"/>
        <v>0</v>
      </c>
      <c r="V142" s="47">
        <f t="shared" si="16"/>
        <v>0</v>
      </c>
      <c r="W142" s="47">
        <f t="shared" si="16"/>
        <v>0</v>
      </c>
      <c r="X142" s="47">
        <f t="shared" si="20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19"/>
        <v>0</v>
      </c>
      <c r="M143" s="46">
        <f t="shared" si="19"/>
        <v>0</v>
      </c>
      <c r="N143" s="46">
        <f t="shared" si="19"/>
        <v>0</v>
      </c>
      <c r="O143" s="46">
        <f t="shared" si="18"/>
        <v>0</v>
      </c>
      <c r="P143" s="46">
        <f t="shared" si="18"/>
        <v>0</v>
      </c>
      <c r="Q143" s="46">
        <f t="shared" si="18"/>
        <v>0</v>
      </c>
      <c r="R143" s="46">
        <f t="shared" si="17"/>
        <v>0</v>
      </c>
      <c r="S143" s="46">
        <f t="shared" si="17"/>
        <v>0</v>
      </c>
      <c r="T143" s="46">
        <f t="shared" si="17"/>
        <v>0</v>
      </c>
      <c r="U143" s="47">
        <f t="shared" si="16"/>
        <v>0</v>
      </c>
      <c r="V143" s="47">
        <f t="shared" si="16"/>
        <v>0</v>
      </c>
      <c r="W143" s="47">
        <f t="shared" si="16"/>
        <v>0</v>
      </c>
      <c r="X143" s="47">
        <f t="shared" si="20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19"/>
        <v>0</v>
      </c>
      <c r="M144" s="46">
        <f t="shared" si="19"/>
        <v>0</v>
      </c>
      <c r="N144" s="46">
        <f t="shared" si="19"/>
        <v>0</v>
      </c>
      <c r="O144" s="46">
        <f t="shared" si="18"/>
        <v>0</v>
      </c>
      <c r="P144" s="46">
        <f t="shared" si="18"/>
        <v>0</v>
      </c>
      <c r="Q144" s="46">
        <f t="shared" si="18"/>
        <v>0</v>
      </c>
      <c r="R144" s="46">
        <f t="shared" si="17"/>
        <v>0</v>
      </c>
      <c r="S144" s="46">
        <f t="shared" si="17"/>
        <v>0</v>
      </c>
      <c r="T144" s="46">
        <f t="shared" si="17"/>
        <v>0</v>
      </c>
      <c r="U144" s="47">
        <f t="shared" si="16"/>
        <v>0</v>
      </c>
      <c r="V144" s="47">
        <f t="shared" si="16"/>
        <v>0</v>
      </c>
      <c r="W144" s="47">
        <f t="shared" si="16"/>
        <v>0</v>
      </c>
      <c r="X144" s="47">
        <f t="shared" si="20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19"/>
        <v>0</v>
      </c>
      <c r="M145" s="46">
        <f t="shared" si="19"/>
        <v>0</v>
      </c>
      <c r="N145" s="46">
        <f t="shared" si="19"/>
        <v>0</v>
      </c>
      <c r="O145" s="46">
        <f t="shared" si="18"/>
        <v>0</v>
      </c>
      <c r="P145" s="46">
        <f t="shared" si="18"/>
        <v>0</v>
      </c>
      <c r="Q145" s="46">
        <f t="shared" si="18"/>
        <v>0</v>
      </c>
      <c r="R145" s="46">
        <f t="shared" si="17"/>
        <v>0</v>
      </c>
      <c r="S145" s="46">
        <f t="shared" si="17"/>
        <v>0</v>
      </c>
      <c r="T145" s="46">
        <f t="shared" si="17"/>
        <v>0</v>
      </c>
      <c r="U145" s="47">
        <f t="shared" si="16"/>
        <v>0</v>
      </c>
      <c r="V145" s="47">
        <f t="shared" si="16"/>
        <v>0</v>
      </c>
      <c r="W145" s="47">
        <f t="shared" si="16"/>
        <v>0</v>
      </c>
      <c r="X145" s="47">
        <f t="shared" si="20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19"/>
        <v>0</v>
      </c>
      <c r="M146" s="46">
        <f t="shared" si="19"/>
        <v>0</v>
      </c>
      <c r="N146" s="46">
        <f t="shared" si="19"/>
        <v>0</v>
      </c>
      <c r="O146" s="46">
        <f t="shared" si="18"/>
        <v>0</v>
      </c>
      <c r="P146" s="46">
        <f t="shared" si="18"/>
        <v>0</v>
      </c>
      <c r="Q146" s="46">
        <f t="shared" si="18"/>
        <v>0</v>
      </c>
      <c r="R146" s="46">
        <f t="shared" si="17"/>
        <v>0</v>
      </c>
      <c r="S146" s="46">
        <f t="shared" si="17"/>
        <v>0</v>
      </c>
      <c r="T146" s="46">
        <f t="shared" si="17"/>
        <v>0</v>
      </c>
      <c r="U146" s="47">
        <f t="shared" si="16"/>
        <v>0</v>
      </c>
      <c r="V146" s="47">
        <f t="shared" si="16"/>
        <v>0</v>
      </c>
      <c r="W146" s="47">
        <f t="shared" si="16"/>
        <v>0</v>
      </c>
      <c r="X146" s="47">
        <f t="shared" si="20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19"/>
        <v>0</v>
      </c>
      <c r="M147" s="46">
        <f t="shared" si="19"/>
        <v>0</v>
      </c>
      <c r="N147" s="46">
        <f t="shared" si="19"/>
        <v>0</v>
      </c>
      <c r="O147" s="46">
        <f t="shared" si="18"/>
        <v>0</v>
      </c>
      <c r="P147" s="46">
        <f t="shared" si="18"/>
        <v>0</v>
      </c>
      <c r="Q147" s="46">
        <f t="shared" si="18"/>
        <v>0</v>
      </c>
      <c r="R147" s="46">
        <f t="shared" si="17"/>
        <v>0</v>
      </c>
      <c r="S147" s="46">
        <f t="shared" si="17"/>
        <v>0</v>
      </c>
      <c r="T147" s="46">
        <f t="shared" si="17"/>
        <v>0</v>
      </c>
      <c r="U147" s="47">
        <f t="shared" si="16"/>
        <v>0</v>
      </c>
      <c r="V147" s="47">
        <f t="shared" si="16"/>
        <v>0</v>
      </c>
      <c r="W147" s="47">
        <f t="shared" si="16"/>
        <v>0</v>
      </c>
      <c r="X147" s="47">
        <f t="shared" si="20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19"/>
        <v>0</v>
      </c>
      <c r="M148" s="46">
        <f t="shared" si="19"/>
        <v>0</v>
      </c>
      <c r="N148" s="46">
        <f t="shared" si="19"/>
        <v>0</v>
      </c>
      <c r="O148" s="46">
        <f t="shared" si="18"/>
        <v>0</v>
      </c>
      <c r="P148" s="46">
        <f t="shared" si="18"/>
        <v>0</v>
      </c>
      <c r="Q148" s="46">
        <f t="shared" si="18"/>
        <v>0</v>
      </c>
      <c r="R148" s="46">
        <f t="shared" si="17"/>
        <v>0</v>
      </c>
      <c r="S148" s="46">
        <f t="shared" si="17"/>
        <v>0</v>
      </c>
      <c r="T148" s="46">
        <f t="shared" si="17"/>
        <v>0</v>
      </c>
      <c r="U148" s="47">
        <f t="shared" si="16"/>
        <v>0</v>
      </c>
      <c r="V148" s="47">
        <f t="shared" si="16"/>
        <v>0</v>
      </c>
      <c r="W148" s="47">
        <f t="shared" si="16"/>
        <v>0</v>
      </c>
      <c r="X148" s="47">
        <f t="shared" si="20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19"/>
        <v>0</v>
      </c>
      <c r="M149" s="46">
        <f t="shared" si="19"/>
        <v>0</v>
      </c>
      <c r="N149" s="46">
        <f t="shared" si="19"/>
        <v>0</v>
      </c>
      <c r="O149" s="46">
        <f t="shared" si="18"/>
        <v>0</v>
      </c>
      <c r="P149" s="46">
        <f t="shared" si="18"/>
        <v>0</v>
      </c>
      <c r="Q149" s="46">
        <f t="shared" si="18"/>
        <v>0</v>
      </c>
      <c r="R149" s="46">
        <f t="shared" si="17"/>
        <v>0</v>
      </c>
      <c r="S149" s="46">
        <f t="shared" si="17"/>
        <v>0</v>
      </c>
      <c r="T149" s="46">
        <f t="shared" si="17"/>
        <v>0</v>
      </c>
      <c r="U149" s="47">
        <f t="shared" si="16"/>
        <v>0</v>
      </c>
      <c r="V149" s="47">
        <f t="shared" si="16"/>
        <v>0</v>
      </c>
      <c r="W149" s="47">
        <f t="shared" si="16"/>
        <v>0</v>
      </c>
      <c r="X149" s="47">
        <f t="shared" si="20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19"/>
        <v>0</v>
      </c>
      <c r="M150" s="46">
        <f t="shared" si="19"/>
        <v>0</v>
      </c>
      <c r="N150" s="46">
        <f t="shared" si="19"/>
        <v>0</v>
      </c>
      <c r="O150" s="46">
        <f t="shared" si="18"/>
        <v>0</v>
      </c>
      <c r="P150" s="46">
        <f t="shared" si="18"/>
        <v>0</v>
      </c>
      <c r="Q150" s="46">
        <f t="shared" si="18"/>
        <v>0</v>
      </c>
      <c r="R150" s="46">
        <f t="shared" si="17"/>
        <v>0</v>
      </c>
      <c r="S150" s="46">
        <f t="shared" si="17"/>
        <v>0</v>
      </c>
      <c r="T150" s="46">
        <f t="shared" si="17"/>
        <v>0</v>
      </c>
      <c r="U150" s="47">
        <f t="shared" si="16"/>
        <v>0</v>
      </c>
      <c r="V150" s="47">
        <f t="shared" si="16"/>
        <v>0</v>
      </c>
      <c r="W150" s="47">
        <f t="shared" si="16"/>
        <v>0</v>
      </c>
      <c r="X150" s="47">
        <f t="shared" si="20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19"/>
        <v>0</v>
      </c>
      <c r="M151" s="46">
        <f t="shared" si="19"/>
        <v>0</v>
      </c>
      <c r="N151" s="46">
        <f t="shared" si="19"/>
        <v>0</v>
      </c>
      <c r="O151" s="46">
        <f t="shared" si="18"/>
        <v>0</v>
      </c>
      <c r="P151" s="46">
        <f t="shared" si="18"/>
        <v>0</v>
      </c>
      <c r="Q151" s="46">
        <f t="shared" si="18"/>
        <v>0</v>
      </c>
      <c r="R151" s="46">
        <f t="shared" si="17"/>
        <v>0</v>
      </c>
      <c r="S151" s="46">
        <f t="shared" si="17"/>
        <v>0</v>
      </c>
      <c r="T151" s="46">
        <f t="shared" si="17"/>
        <v>0</v>
      </c>
      <c r="U151" s="47">
        <f t="shared" si="16"/>
        <v>0</v>
      </c>
      <c r="V151" s="47">
        <f t="shared" si="16"/>
        <v>0</v>
      </c>
      <c r="W151" s="47">
        <f t="shared" si="16"/>
        <v>0</v>
      </c>
      <c r="X151" s="47">
        <f t="shared" si="20"/>
        <v>0</v>
      </c>
    </row>
    <row r="152" spans="1:24" ht="16.75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35"/>
      <c r="M152" s="35"/>
      <c r="N152" s="35"/>
      <c r="O152" s="35"/>
      <c r="P152" s="35"/>
      <c r="Q152" s="35"/>
      <c r="R152" s="35"/>
      <c r="S152" s="35"/>
      <c r="T152" s="35"/>
      <c r="U152" s="36">
        <f t="shared" ref="U152:W152" si="21">L152+Q152</f>
        <v>0</v>
      </c>
      <c r="V152" s="36">
        <f t="shared" si="21"/>
        <v>0</v>
      </c>
      <c r="W152" s="36">
        <f t="shared" si="21"/>
        <v>0</v>
      </c>
      <c r="X152" s="36">
        <f t="shared" si="20"/>
        <v>0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Freon Meter reading</vt:lpstr>
      <vt:lpstr>Freon Meter reading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Rituraj Changmai</dc:creator>
  <cp:lastModifiedBy>Rituraj Changmai</cp:lastModifiedBy>
  <dcterms:created xsi:type="dcterms:W3CDTF">2026-06-30T09:32:03Z</dcterms:created>
  <dcterms:modified xsi:type="dcterms:W3CDTF">2026-07-14T12:27:23Z</dcterms:modified>
</cp:coreProperties>
</file>