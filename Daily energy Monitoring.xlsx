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Rituraj Data\Desktop\Electricity bill\Energy Monitoring\"/>
    </mc:Choice>
  </mc:AlternateContent>
  <bookViews>
    <workbookView xWindow="0" yWindow="0" windowWidth="19200" windowHeight="8130"/>
  </bookViews>
  <sheets>
    <sheet name="Sheet2" sheetId="2" r:id="rId1"/>
    <sheet name="Freon Meter reading" sheetId="3" r:id="rId2"/>
    <sheet name="Freon Meter reading (2)" sheetId="4" state="hidden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V56" i="2" l="1"/>
  <c r="DU56" i="2"/>
  <c r="I56" i="2"/>
  <c r="DW56" i="2"/>
  <c r="I55" i="2"/>
  <c r="I54" i="2"/>
  <c r="I53" i="2"/>
  <c r="CV55" i="2"/>
  <c r="CV54" i="2"/>
  <c r="CV53" i="2"/>
  <c r="DI54" i="2"/>
  <c r="DJ54" i="2"/>
  <c r="DK54" i="2"/>
  <c r="DL54" i="2"/>
  <c r="DM54" i="2"/>
  <c r="DN54" i="2"/>
  <c r="DO54" i="2"/>
  <c r="DP54" i="2"/>
  <c r="DQ54" i="2"/>
  <c r="DR54" i="2"/>
  <c r="DS54" i="2"/>
  <c r="DT54" i="2"/>
  <c r="DU54" i="2"/>
  <c r="DV54" i="2"/>
  <c r="DX54" i="2"/>
  <c r="DY54" i="2"/>
  <c r="DZ54" i="2"/>
  <c r="EA54" i="2"/>
  <c r="EB54" i="2"/>
  <c r="EC54" i="2"/>
  <c r="ED54" i="2"/>
  <c r="EE54" i="2"/>
  <c r="EF54" i="2"/>
  <c r="EG54" i="2"/>
  <c r="EH54" i="2"/>
  <c r="EI54" i="2"/>
  <c r="EJ54" i="2"/>
  <c r="EK54" i="2"/>
  <c r="EL54" i="2"/>
  <c r="EM54" i="2"/>
  <c r="EN54" i="2"/>
  <c r="EO54" i="2"/>
  <c r="EP54" i="2"/>
  <c r="EQ54" i="2"/>
  <c r="ER54" i="2"/>
  <c r="ES54" i="2"/>
  <c r="ET54" i="2"/>
  <c r="EU54" i="2"/>
  <c r="EV54" i="2"/>
  <c r="EW54" i="2"/>
  <c r="EX54" i="2"/>
  <c r="EY54" i="2"/>
  <c r="EZ54" i="2"/>
  <c r="FA54" i="2"/>
  <c r="FB54" i="2"/>
  <c r="FC54" i="2"/>
  <c r="FD54" i="2"/>
  <c r="FE54" i="2"/>
  <c r="FF54" i="2"/>
  <c r="FG54" i="2"/>
  <c r="FH54" i="2"/>
  <c r="FI54" i="2"/>
  <c r="FJ54" i="2"/>
  <c r="FK54" i="2"/>
  <c r="FL54" i="2"/>
  <c r="FM54" i="2"/>
  <c r="FN54" i="2"/>
  <c r="FO54" i="2"/>
  <c r="FP54" i="2"/>
  <c r="FQ54" i="2"/>
  <c r="FR54" i="2"/>
  <c r="FS54" i="2"/>
  <c r="FT54" i="2"/>
  <c r="FU54" i="2"/>
  <c r="FV54" i="2"/>
  <c r="FW54" i="2"/>
  <c r="FX54" i="2"/>
  <c r="FY54" i="2"/>
  <c r="FZ54" i="2"/>
  <c r="GA54" i="2"/>
  <c r="DI55" i="2"/>
  <c r="DJ55" i="2"/>
  <c r="DK55" i="2"/>
  <c r="DL55" i="2"/>
  <c r="DM55" i="2"/>
  <c r="DN55" i="2"/>
  <c r="DO55" i="2"/>
  <c r="DP55" i="2"/>
  <c r="DQ55" i="2"/>
  <c r="DR55" i="2"/>
  <c r="DS55" i="2"/>
  <c r="DT55" i="2"/>
  <c r="DV55" i="2"/>
  <c r="DX55" i="2"/>
  <c r="DY55" i="2"/>
  <c r="DZ55" i="2"/>
  <c r="EA55" i="2"/>
  <c r="EB55" i="2"/>
  <c r="EC55" i="2"/>
  <c r="ED55" i="2"/>
  <c r="EE55" i="2"/>
  <c r="EF55" i="2"/>
  <c r="EG55" i="2"/>
  <c r="EH55" i="2"/>
  <c r="EI55" i="2"/>
  <c r="EJ55" i="2"/>
  <c r="EK55" i="2"/>
  <c r="EL55" i="2"/>
  <c r="EM55" i="2"/>
  <c r="EN55" i="2"/>
  <c r="EO55" i="2"/>
  <c r="EP55" i="2"/>
  <c r="EQ55" i="2"/>
  <c r="ER55" i="2"/>
  <c r="ES55" i="2"/>
  <c r="ET55" i="2"/>
  <c r="EU55" i="2"/>
  <c r="EV55" i="2"/>
  <c r="EW55" i="2"/>
  <c r="EX55" i="2"/>
  <c r="EY55" i="2"/>
  <c r="EZ55" i="2"/>
  <c r="FA55" i="2"/>
  <c r="FB55" i="2"/>
  <c r="FC55" i="2"/>
  <c r="FD55" i="2"/>
  <c r="FE55" i="2"/>
  <c r="FF55" i="2"/>
  <c r="FG55" i="2"/>
  <c r="FH55" i="2"/>
  <c r="FI55" i="2"/>
  <c r="FJ55" i="2"/>
  <c r="FK55" i="2"/>
  <c r="FL55" i="2"/>
  <c r="FM55" i="2"/>
  <c r="FN55" i="2"/>
  <c r="FO55" i="2"/>
  <c r="FP55" i="2"/>
  <c r="FQ55" i="2"/>
  <c r="FR55" i="2"/>
  <c r="FS55" i="2"/>
  <c r="FT55" i="2"/>
  <c r="FU55" i="2"/>
  <c r="FV55" i="2"/>
  <c r="FW55" i="2"/>
  <c r="FX55" i="2"/>
  <c r="FY55" i="2"/>
  <c r="FZ55" i="2"/>
  <c r="GA55" i="2"/>
  <c r="DI56" i="2"/>
  <c r="DJ56" i="2"/>
  <c r="DK56" i="2"/>
  <c r="DL56" i="2"/>
  <c r="DM56" i="2"/>
  <c r="DN56" i="2"/>
  <c r="DO56" i="2"/>
  <c r="DP56" i="2"/>
  <c r="DQ56" i="2"/>
  <c r="DR56" i="2"/>
  <c r="DS56" i="2"/>
  <c r="DT56" i="2"/>
  <c r="DV56" i="2"/>
  <c r="DX56" i="2"/>
  <c r="DY56" i="2"/>
  <c r="DZ56" i="2"/>
  <c r="EA56" i="2"/>
  <c r="EB56" i="2"/>
  <c r="EC56" i="2"/>
  <c r="ED56" i="2"/>
  <c r="EE56" i="2"/>
  <c r="EF56" i="2"/>
  <c r="EG56" i="2"/>
  <c r="EH56" i="2"/>
  <c r="EI56" i="2"/>
  <c r="EJ56" i="2"/>
  <c r="EK56" i="2"/>
  <c r="EL56" i="2"/>
  <c r="EM56" i="2"/>
  <c r="EN56" i="2"/>
  <c r="EO56" i="2"/>
  <c r="EP56" i="2"/>
  <c r="EQ56" i="2"/>
  <c r="ER56" i="2"/>
  <c r="ES56" i="2"/>
  <c r="ET56" i="2"/>
  <c r="EU56" i="2"/>
  <c r="EV56" i="2"/>
  <c r="EW56" i="2"/>
  <c r="EX56" i="2"/>
  <c r="EY56" i="2"/>
  <c r="EZ56" i="2"/>
  <c r="FA56" i="2"/>
  <c r="FB56" i="2"/>
  <c r="FC56" i="2"/>
  <c r="FD56" i="2"/>
  <c r="FE56" i="2"/>
  <c r="FF56" i="2"/>
  <c r="FG56" i="2"/>
  <c r="FH56" i="2"/>
  <c r="FI56" i="2"/>
  <c r="FJ56" i="2"/>
  <c r="FK56" i="2"/>
  <c r="FL56" i="2"/>
  <c r="FM56" i="2"/>
  <c r="FN56" i="2"/>
  <c r="FO56" i="2"/>
  <c r="FP56" i="2"/>
  <c r="FQ56" i="2"/>
  <c r="FR56" i="2"/>
  <c r="FS56" i="2"/>
  <c r="FT56" i="2"/>
  <c r="FU56" i="2"/>
  <c r="FV56" i="2"/>
  <c r="FW56" i="2"/>
  <c r="FX56" i="2"/>
  <c r="FY56" i="2"/>
  <c r="FZ56" i="2"/>
  <c r="GA56" i="2"/>
  <c r="DI57" i="2"/>
  <c r="DJ57" i="2"/>
  <c r="DK57" i="2"/>
  <c r="DL57" i="2"/>
  <c r="DM57" i="2"/>
  <c r="DN57" i="2"/>
  <c r="DO57" i="2"/>
  <c r="DP57" i="2"/>
  <c r="DQ57" i="2"/>
  <c r="DR57" i="2"/>
  <c r="DS57" i="2"/>
  <c r="DT57" i="2"/>
  <c r="DU57" i="2"/>
  <c r="DV57" i="2"/>
  <c r="DW57" i="2"/>
  <c r="DX57" i="2"/>
  <c r="DY57" i="2"/>
  <c r="DZ57" i="2"/>
  <c r="EA57" i="2"/>
  <c r="EB57" i="2"/>
  <c r="EC57" i="2"/>
  <c r="ED57" i="2"/>
  <c r="EE57" i="2"/>
  <c r="EF57" i="2"/>
  <c r="EG57" i="2"/>
  <c r="EH57" i="2"/>
  <c r="EI57" i="2"/>
  <c r="EJ57" i="2"/>
  <c r="EK57" i="2"/>
  <c r="EL57" i="2"/>
  <c r="EM57" i="2"/>
  <c r="EN57" i="2"/>
  <c r="EO57" i="2"/>
  <c r="EP57" i="2"/>
  <c r="EQ57" i="2"/>
  <c r="ER57" i="2"/>
  <c r="ES57" i="2"/>
  <c r="ET57" i="2"/>
  <c r="EU57" i="2"/>
  <c r="EV57" i="2"/>
  <c r="EW57" i="2"/>
  <c r="EX57" i="2"/>
  <c r="EY57" i="2"/>
  <c r="EZ57" i="2"/>
  <c r="FA57" i="2"/>
  <c r="FB57" i="2"/>
  <c r="FC57" i="2"/>
  <c r="FD57" i="2"/>
  <c r="FE57" i="2"/>
  <c r="FF57" i="2"/>
  <c r="FG57" i="2"/>
  <c r="FH57" i="2"/>
  <c r="FI57" i="2"/>
  <c r="FJ57" i="2"/>
  <c r="FK57" i="2"/>
  <c r="FL57" i="2"/>
  <c r="FM57" i="2"/>
  <c r="FN57" i="2"/>
  <c r="FO57" i="2"/>
  <c r="FP57" i="2"/>
  <c r="FQ57" i="2"/>
  <c r="FR57" i="2"/>
  <c r="FS57" i="2"/>
  <c r="FT57" i="2"/>
  <c r="FU57" i="2"/>
  <c r="FV57" i="2"/>
  <c r="FW57" i="2"/>
  <c r="FX57" i="2"/>
  <c r="FY57" i="2"/>
  <c r="FZ57" i="2"/>
  <c r="GA57" i="2"/>
  <c r="DI58" i="2"/>
  <c r="DJ58" i="2"/>
  <c r="DK58" i="2"/>
  <c r="DL58" i="2"/>
  <c r="DM58" i="2"/>
  <c r="DN58" i="2"/>
  <c r="DO58" i="2"/>
  <c r="DP58" i="2"/>
  <c r="DQ58" i="2"/>
  <c r="DR58" i="2"/>
  <c r="DS58" i="2"/>
  <c r="DT58" i="2"/>
  <c r="DU58" i="2"/>
  <c r="DV58" i="2"/>
  <c r="DW58" i="2"/>
  <c r="DX58" i="2"/>
  <c r="DY58" i="2"/>
  <c r="DZ58" i="2"/>
  <c r="EA58" i="2"/>
  <c r="EB58" i="2"/>
  <c r="EC58" i="2"/>
  <c r="ED58" i="2"/>
  <c r="EE58" i="2"/>
  <c r="EF58" i="2"/>
  <c r="EG58" i="2"/>
  <c r="EH58" i="2"/>
  <c r="EI58" i="2"/>
  <c r="EJ58" i="2"/>
  <c r="EK58" i="2"/>
  <c r="EL58" i="2"/>
  <c r="EM58" i="2"/>
  <c r="EN58" i="2"/>
  <c r="EO58" i="2"/>
  <c r="EP58" i="2"/>
  <c r="EQ58" i="2"/>
  <c r="ER58" i="2"/>
  <c r="ES58" i="2"/>
  <c r="ET58" i="2"/>
  <c r="EU58" i="2"/>
  <c r="EV58" i="2"/>
  <c r="EW58" i="2"/>
  <c r="EX58" i="2"/>
  <c r="EY58" i="2"/>
  <c r="EZ58" i="2"/>
  <c r="FA58" i="2"/>
  <c r="FB58" i="2"/>
  <c r="FC58" i="2"/>
  <c r="FD58" i="2"/>
  <c r="FE58" i="2"/>
  <c r="FF58" i="2"/>
  <c r="FG58" i="2"/>
  <c r="FH58" i="2"/>
  <c r="FI58" i="2"/>
  <c r="FJ58" i="2"/>
  <c r="FK58" i="2"/>
  <c r="FL58" i="2"/>
  <c r="FM58" i="2"/>
  <c r="FN58" i="2"/>
  <c r="FO58" i="2"/>
  <c r="FP58" i="2"/>
  <c r="FQ58" i="2"/>
  <c r="FR58" i="2"/>
  <c r="FS58" i="2"/>
  <c r="FT58" i="2"/>
  <c r="FU58" i="2"/>
  <c r="FV58" i="2"/>
  <c r="FW58" i="2"/>
  <c r="FX58" i="2"/>
  <c r="FY58" i="2"/>
  <c r="FZ58" i="2"/>
  <c r="GA58" i="2"/>
  <c r="DI59" i="2"/>
  <c r="DI60" i="2"/>
  <c r="DJ51" i="2"/>
  <c r="DK51" i="2"/>
  <c r="DL51" i="2"/>
  <c r="DM51" i="2"/>
  <c r="DN51" i="2"/>
  <c r="DO51" i="2"/>
  <c r="DP51" i="2"/>
  <c r="DQ51" i="2"/>
  <c r="DR51" i="2"/>
  <c r="DS51" i="2"/>
  <c r="DT51" i="2"/>
  <c r="DU51" i="2"/>
  <c r="DV51" i="2"/>
  <c r="DW51" i="2"/>
  <c r="DX51" i="2"/>
  <c r="DY51" i="2"/>
  <c r="DZ51" i="2"/>
  <c r="EA51" i="2"/>
  <c r="EB51" i="2"/>
  <c r="EC51" i="2"/>
  <c r="ED51" i="2"/>
  <c r="EE51" i="2"/>
  <c r="EF51" i="2"/>
  <c r="EG51" i="2"/>
  <c r="EH51" i="2"/>
  <c r="EI51" i="2"/>
  <c r="EJ51" i="2"/>
  <c r="EK51" i="2"/>
  <c r="EL51" i="2"/>
  <c r="EM51" i="2"/>
  <c r="EN51" i="2"/>
  <c r="EO51" i="2"/>
  <c r="EP51" i="2"/>
  <c r="EQ51" i="2"/>
  <c r="ER51" i="2"/>
  <c r="ES51" i="2"/>
  <c r="ET51" i="2"/>
  <c r="EU51" i="2"/>
  <c r="EV51" i="2"/>
  <c r="EW51" i="2"/>
  <c r="EX51" i="2"/>
  <c r="EY51" i="2"/>
  <c r="EZ51" i="2"/>
  <c r="FA51" i="2"/>
  <c r="FB51" i="2"/>
  <c r="FC51" i="2"/>
  <c r="FD51" i="2"/>
  <c r="FE51" i="2"/>
  <c r="FF51" i="2"/>
  <c r="FG51" i="2"/>
  <c r="FH51" i="2"/>
  <c r="FI51" i="2"/>
  <c r="FJ51" i="2"/>
  <c r="FK51" i="2"/>
  <c r="FL51" i="2"/>
  <c r="FM51" i="2"/>
  <c r="FN51" i="2"/>
  <c r="FO51" i="2"/>
  <c r="FP51" i="2"/>
  <c r="FQ51" i="2"/>
  <c r="FR51" i="2"/>
  <c r="FS51" i="2"/>
  <c r="FT51" i="2"/>
  <c r="FU51" i="2"/>
  <c r="FV51" i="2"/>
  <c r="FW51" i="2"/>
  <c r="FX51" i="2"/>
  <c r="FY51" i="2"/>
  <c r="FZ51" i="2"/>
  <c r="GA51" i="2"/>
  <c r="DJ52" i="2"/>
  <c r="DK52" i="2"/>
  <c r="DL52" i="2"/>
  <c r="DM52" i="2"/>
  <c r="DN52" i="2"/>
  <c r="DO52" i="2"/>
  <c r="DP52" i="2"/>
  <c r="DQ52" i="2"/>
  <c r="DR52" i="2"/>
  <c r="DS52" i="2"/>
  <c r="DT52" i="2"/>
  <c r="DU52" i="2"/>
  <c r="DV52" i="2"/>
  <c r="DW52" i="2"/>
  <c r="DX52" i="2"/>
  <c r="DY52" i="2"/>
  <c r="DZ52" i="2"/>
  <c r="EA52" i="2"/>
  <c r="EB52" i="2"/>
  <c r="EC52" i="2"/>
  <c r="ED52" i="2"/>
  <c r="EE52" i="2"/>
  <c r="EF52" i="2"/>
  <c r="EG52" i="2"/>
  <c r="EH52" i="2"/>
  <c r="EI52" i="2"/>
  <c r="EJ52" i="2"/>
  <c r="EK52" i="2"/>
  <c r="EL52" i="2"/>
  <c r="EM52" i="2"/>
  <c r="EN52" i="2"/>
  <c r="EO52" i="2"/>
  <c r="EP52" i="2"/>
  <c r="EQ52" i="2"/>
  <c r="ER52" i="2"/>
  <c r="ES52" i="2"/>
  <c r="ET52" i="2"/>
  <c r="EU52" i="2"/>
  <c r="EV52" i="2"/>
  <c r="EW52" i="2"/>
  <c r="EX52" i="2"/>
  <c r="EY52" i="2"/>
  <c r="EZ52" i="2"/>
  <c r="FA52" i="2"/>
  <c r="FB52" i="2"/>
  <c r="FC52" i="2"/>
  <c r="FD52" i="2"/>
  <c r="FE52" i="2"/>
  <c r="FF52" i="2"/>
  <c r="FG52" i="2"/>
  <c r="FH52" i="2"/>
  <c r="FI52" i="2"/>
  <c r="FJ52" i="2"/>
  <c r="FK52" i="2"/>
  <c r="FL52" i="2"/>
  <c r="FM52" i="2"/>
  <c r="FN52" i="2"/>
  <c r="FO52" i="2"/>
  <c r="FP52" i="2"/>
  <c r="FQ52" i="2"/>
  <c r="FR52" i="2"/>
  <c r="FS52" i="2"/>
  <c r="FT52" i="2"/>
  <c r="FU52" i="2"/>
  <c r="FV52" i="2"/>
  <c r="FW52" i="2"/>
  <c r="FX52" i="2"/>
  <c r="FY52" i="2"/>
  <c r="FZ52" i="2"/>
  <c r="GA52" i="2"/>
  <c r="DJ53" i="2"/>
  <c r="DK53" i="2"/>
  <c r="DL53" i="2"/>
  <c r="DM53" i="2"/>
  <c r="DN53" i="2"/>
  <c r="DO53" i="2"/>
  <c r="DP53" i="2"/>
  <c r="DQ53" i="2"/>
  <c r="DR53" i="2"/>
  <c r="DS53" i="2"/>
  <c r="DT53" i="2"/>
  <c r="DU53" i="2"/>
  <c r="DV53" i="2"/>
  <c r="DX53" i="2"/>
  <c r="DY53" i="2"/>
  <c r="DZ53" i="2"/>
  <c r="EA53" i="2"/>
  <c r="EB53" i="2"/>
  <c r="EC53" i="2"/>
  <c r="ED53" i="2"/>
  <c r="EE53" i="2"/>
  <c r="EF53" i="2"/>
  <c r="EG53" i="2"/>
  <c r="EH53" i="2"/>
  <c r="EI53" i="2"/>
  <c r="EJ53" i="2"/>
  <c r="EK53" i="2"/>
  <c r="EL53" i="2"/>
  <c r="EM53" i="2"/>
  <c r="EN53" i="2"/>
  <c r="EO53" i="2"/>
  <c r="EP53" i="2"/>
  <c r="EQ53" i="2"/>
  <c r="ER53" i="2"/>
  <c r="ES53" i="2"/>
  <c r="ET53" i="2"/>
  <c r="EU53" i="2"/>
  <c r="EV53" i="2"/>
  <c r="EW53" i="2"/>
  <c r="EX53" i="2"/>
  <c r="EY53" i="2"/>
  <c r="EZ53" i="2"/>
  <c r="FA53" i="2"/>
  <c r="FB53" i="2"/>
  <c r="FC53" i="2"/>
  <c r="FD53" i="2"/>
  <c r="FE53" i="2"/>
  <c r="FF53" i="2"/>
  <c r="FG53" i="2"/>
  <c r="FH53" i="2"/>
  <c r="FI53" i="2"/>
  <c r="FJ53" i="2"/>
  <c r="FK53" i="2"/>
  <c r="FL53" i="2"/>
  <c r="FM53" i="2"/>
  <c r="FN53" i="2"/>
  <c r="FO53" i="2"/>
  <c r="FP53" i="2"/>
  <c r="FQ53" i="2"/>
  <c r="FR53" i="2"/>
  <c r="FS53" i="2"/>
  <c r="FT53" i="2"/>
  <c r="FU53" i="2"/>
  <c r="FV53" i="2"/>
  <c r="FW53" i="2"/>
  <c r="FX53" i="2"/>
  <c r="FY53" i="2"/>
  <c r="FZ53" i="2"/>
  <c r="GA53" i="2"/>
  <c r="DJ59" i="2"/>
  <c r="DK59" i="2"/>
  <c r="DL59" i="2"/>
  <c r="DM59" i="2"/>
  <c r="DN59" i="2"/>
  <c r="DO59" i="2"/>
  <c r="DP59" i="2"/>
  <c r="DQ59" i="2"/>
  <c r="DR59" i="2"/>
  <c r="DS59" i="2"/>
  <c r="DT59" i="2"/>
  <c r="DU59" i="2"/>
  <c r="DV59" i="2"/>
  <c r="DW59" i="2"/>
  <c r="DX59" i="2"/>
  <c r="DY59" i="2"/>
  <c r="DZ59" i="2"/>
  <c r="EA59" i="2"/>
  <c r="EB59" i="2"/>
  <c r="EC59" i="2"/>
  <c r="ED59" i="2"/>
  <c r="EE59" i="2"/>
  <c r="EF59" i="2"/>
  <c r="EG59" i="2"/>
  <c r="EH59" i="2"/>
  <c r="EI59" i="2"/>
  <c r="EJ59" i="2"/>
  <c r="EK59" i="2"/>
  <c r="EL59" i="2"/>
  <c r="EM59" i="2"/>
  <c r="EN59" i="2"/>
  <c r="EO59" i="2"/>
  <c r="EP59" i="2"/>
  <c r="EQ59" i="2"/>
  <c r="ER59" i="2"/>
  <c r="ES59" i="2"/>
  <c r="ET59" i="2"/>
  <c r="EU59" i="2"/>
  <c r="EV59" i="2"/>
  <c r="EW59" i="2"/>
  <c r="EX59" i="2"/>
  <c r="EY59" i="2"/>
  <c r="EZ59" i="2"/>
  <c r="FA59" i="2"/>
  <c r="FB59" i="2"/>
  <c r="FC59" i="2"/>
  <c r="FD59" i="2"/>
  <c r="FE59" i="2"/>
  <c r="FF59" i="2"/>
  <c r="FG59" i="2"/>
  <c r="FH59" i="2"/>
  <c r="FI59" i="2"/>
  <c r="FJ59" i="2"/>
  <c r="FK59" i="2"/>
  <c r="FL59" i="2"/>
  <c r="FM59" i="2"/>
  <c r="FN59" i="2"/>
  <c r="FO59" i="2"/>
  <c r="FP59" i="2"/>
  <c r="FQ59" i="2"/>
  <c r="FR59" i="2"/>
  <c r="FS59" i="2"/>
  <c r="FT59" i="2"/>
  <c r="FU59" i="2"/>
  <c r="FV59" i="2"/>
  <c r="FW59" i="2"/>
  <c r="FX59" i="2"/>
  <c r="FY59" i="2"/>
  <c r="FZ59" i="2"/>
  <c r="GA59" i="2"/>
  <c r="DJ60" i="2"/>
  <c r="DK60" i="2"/>
  <c r="DL60" i="2"/>
  <c r="DM60" i="2"/>
  <c r="DN60" i="2"/>
  <c r="DO60" i="2"/>
  <c r="DP60" i="2"/>
  <c r="DQ60" i="2"/>
  <c r="DR60" i="2"/>
  <c r="DS60" i="2"/>
  <c r="DT60" i="2"/>
  <c r="DU60" i="2"/>
  <c r="DV60" i="2"/>
  <c r="DW60" i="2"/>
  <c r="DX60" i="2"/>
  <c r="DY60" i="2"/>
  <c r="DZ60" i="2"/>
  <c r="EA60" i="2"/>
  <c r="EB60" i="2"/>
  <c r="EC60" i="2"/>
  <c r="ED60" i="2"/>
  <c r="EE60" i="2"/>
  <c r="EF60" i="2"/>
  <c r="EG60" i="2"/>
  <c r="EH60" i="2"/>
  <c r="EI60" i="2"/>
  <c r="EJ60" i="2"/>
  <c r="EK60" i="2"/>
  <c r="EL60" i="2"/>
  <c r="EM60" i="2"/>
  <c r="EN60" i="2"/>
  <c r="EO60" i="2"/>
  <c r="EP60" i="2"/>
  <c r="EQ60" i="2"/>
  <c r="ER60" i="2"/>
  <c r="ES60" i="2"/>
  <c r="ET60" i="2"/>
  <c r="EU60" i="2"/>
  <c r="EV60" i="2"/>
  <c r="EW60" i="2"/>
  <c r="EX60" i="2"/>
  <c r="EY60" i="2"/>
  <c r="EZ60" i="2"/>
  <c r="FA60" i="2"/>
  <c r="FB60" i="2"/>
  <c r="FC60" i="2"/>
  <c r="FD60" i="2"/>
  <c r="FE60" i="2"/>
  <c r="FF60" i="2"/>
  <c r="FG60" i="2"/>
  <c r="FH60" i="2"/>
  <c r="FI60" i="2"/>
  <c r="FJ60" i="2"/>
  <c r="FK60" i="2"/>
  <c r="FL60" i="2"/>
  <c r="FM60" i="2"/>
  <c r="FN60" i="2"/>
  <c r="FO60" i="2"/>
  <c r="FP60" i="2"/>
  <c r="FQ60" i="2"/>
  <c r="FR60" i="2"/>
  <c r="FS60" i="2"/>
  <c r="FT60" i="2"/>
  <c r="FU60" i="2"/>
  <c r="FV60" i="2"/>
  <c r="FW60" i="2"/>
  <c r="FX60" i="2"/>
  <c r="FY60" i="2"/>
  <c r="FZ60" i="2"/>
  <c r="GA60" i="2"/>
  <c r="DD51" i="2"/>
  <c r="DD52" i="2" s="1"/>
  <c r="DU55" i="2" l="1"/>
  <c r="DW54" i="2"/>
  <c r="DW53" i="2"/>
  <c r="DW55" i="2"/>
  <c r="DI51" i="2"/>
  <c r="DD53" i="2"/>
  <c r="DH60" i="2"/>
  <c r="DH59" i="2"/>
  <c r="DH58" i="2"/>
  <c r="DH57" i="2"/>
  <c r="DH56" i="2"/>
  <c r="DH55" i="2"/>
  <c r="DH54" i="2"/>
  <c r="DH53" i="2"/>
  <c r="DH52" i="2"/>
  <c r="DH51" i="2"/>
  <c r="GA50" i="2"/>
  <c r="FZ50" i="2"/>
  <c r="FY50" i="2"/>
  <c r="FX50" i="2"/>
  <c r="FW50" i="2"/>
  <c r="FV50" i="2"/>
  <c r="FU50" i="2"/>
  <c r="FT50" i="2"/>
  <c r="FS50" i="2"/>
  <c r="FR50" i="2"/>
  <c r="FQ50" i="2"/>
  <c r="FP50" i="2"/>
  <c r="FO50" i="2"/>
  <c r="FN50" i="2"/>
  <c r="FM50" i="2"/>
  <c r="FL50" i="2"/>
  <c r="FK50" i="2"/>
  <c r="FJ50" i="2"/>
  <c r="FI50" i="2"/>
  <c r="FH50" i="2"/>
  <c r="FG50" i="2"/>
  <c r="FF50" i="2"/>
  <c r="FE50" i="2"/>
  <c r="FD50" i="2"/>
  <c r="FC50" i="2"/>
  <c r="FB50" i="2"/>
  <c r="FA50" i="2"/>
  <c r="EZ50" i="2"/>
  <c r="EY50" i="2"/>
  <c r="EX50" i="2"/>
  <c r="EW50" i="2"/>
  <c r="EV50" i="2"/>
  <c r="EU50" i="2"/>
  <c r="ET50" i="2"/>
  <c r="ES50" i="2"/>
  <c r="ER50" i="2"/>
  <c r="EQ50" i="2"/>
  <c r="EP50" i="2"/>
  <c r="EO50" i="2"/>
  <c r="EN50" i="2"/>
  <c r="EM50" i="2"/>
  <c r="EL50" i="2"/>
  <c r="EK50" i="2"/>
  <c r="EJ50" i="2"/>
  <c r="EI50" i="2"/>
  <c r="EH50" i="2"/>
  <c r="EG50" i="2"/>
  <c r="EF50" i="2"/>
  <c r="EE50" i="2"/>
  <c r="ED50" i="2"/>
  <c r="EC50" i="2"/>
  <c r="EB50" i="2"/>
  <c r="EA50" i="2"/>
  <c r="DZ50" i="2"/>
  <c r="DY50" i="2"/>
  <c r="DX50" i="2"/>
  <c r="DW50" i="2"/>
  <c r="DV50" i="2"/>
  <c r="DU50" i="2"/>
  <c r="DT50" i="2"/>
  <c r="DS50" i="2"/>
  <c r="DR50" i="2"/>
  <c r="DQ50" i="2"/>
  <c r="DP50" i="2"/>
  <c r="DO50" i="2"/>
  <c r="DN50" i="2"/>
  <c r="DM50" i="2"/>
  <c r="DL50" i="2"/>
  <c r="DK50" i="2"/>
  <c r="DJ50" i="2"/>
  <c r="DI50" i="2"/>
  <c r="DH50" i="2"/>
  <c r="GA49" i="2"/>
  <c r="FZ49" i="2"/>
  <c r="FY49" i="2"/>
  <c r="FX49" i="2"/>
  <c r="FW49" i="2"/>
  <c r="FV49" i="2"/>
  <c r="FU49" i="2"/>
  <c r="FT49" i="2"/>
  <c r="FS49" i="2"/>
  <c r="FR49" i="2"/>
  <c r="FQ49" i="2"/>
  <c r="FP49" i="2"/>
  <c r="FO49" i="2"/>
  <c r="FN49" i="2"/>
  <c r="FM49" i="2"/>
  <c r="FL49" i="2"/>
  <c r="FK49" i="2"/>
  <c r="FJ49" i="2"/>
  <c r="FI49" i="2"/>
  <c r="FH49" i="2"/>
  <c r="FG49" i="2"/>
  <c r="FF49" i="2"/>
  <c r="FE49" i="2"/>
  <c r="FD49" i="2"/>
  <c r="FC49" i="2"/>
  <c r="FB49" i="2"/>
  <c r="FA49" i="2"/>
  <c r="EZ49" i="2"/>
  <c r="EY49" i="2"/>
  <c r="EX49" i="2"/>
  <c r="EW49" i="2"/>
  <c r="EV49" i="2"/>
  <c r="EU49" i="2"/>
  <c r="ET49" i="2"/>
  <c r="ES49" i="2"/>
  <c r="ER49" i="2"/>
  <c r="EQ49" i="2"/>
  <c r="EP49" i="2"/>
  <c r="EO49" i="2"/>
  <c r="EN49" i="2"/>
  <c r="EM49" i="2"/>
  <c r="EL49" i="2"/>
  <c r="EK49" i="2"/>
  <c r="EJ49" i="2"/>
  <c r="EI49" i="2"/>
  <c r="EH49" i="2"/>
  <c r="EG49" i="2"/>
  <c r="EF49" i="2"/>
  <c r="EE49" i="2"/>
  <c r="ED49" i="2"/>
  <c r="EC49" i="2"/>
  <c r="EB49" i="2"/>
  <c r="EA49" i="2"/>
  <c r="DZ49" i="2"/>
  <c r="DY49" i="2"/>
  <c r="DX49" i="2"/>
  <c r="DW49" i="2"/>
  <c r="DV49" i="2"/>
  <c r="DU49" i="2"/>
  <c r="DT49" i="2"/>
  <c r="DS49" i="2"/>
  <c r="DR49" i="2"/>
  <c r="DQ49" i="2"/>
  <c r="DP49" i="2"/>
  <c r="DO49" i="2"/>
  <c r="DN49" i="2"/>
  <c r="DM49" i="2"/>
  <c r="DL49" i="2"/>
  <c r="DK49" i="2"/>
  <c r="DJ49" i="2"/>
  <c r="DI49" i="2"/>
  <c r="DH49" i="2"/>
  <c r="GA48" i="2"/>
  <c r="FZ48" i="2"/>
  <c r="FY48" i="2"/>
  <c r="FX48" i="2"/>
  <c r="FW48" i="2"/>
  <c r="FV48" i="2"/>
  <c r="FU48" i="2"/>
  <c r="FT48" i="2"/>
  <c r="FS48" i="2"/>
  <c r="FR48" i="2"/>
  <c r="FQ48" i="2"/>
  <c r="FP48" i="2"/>
  <c r="FO48" i="2"/>
  <c r="FN48" i="2"/>
  <c r="FM48" i="2"/>
  <c r="FL48" i="2"/>
  <c r="FK48" i="2"/>
  <c r="FJ48" i="2"/>
  <c r="FI48" i="2"/>
  <c r="FH48" i="2"/>
  <c r="FG48" i="2"/>
  <c r="FF48" i="2"/>
  <c r="FE48" i="2"/>
  <c r="FD48" i="2"/>
  <c r="FC48" i="2"/>
  <c r="FB48" i="2"/>
  <c r="FA48" i="2"/>
  <c r="EZ48" i="2"/>
  <c r="EY48" i="2"/>
  <c r="EX48" i="2"/>
  <c r="EW48" i="2"/>
  <c r="EV48" i="2"/>
  <c r="EU48" i="2"/>
  <c r="ET48" i="2"/>
  <c r="ES48" i="2"/>
  <c r="ER48" i="2"/>
  <c r="EQ48" i="2"/>
  <c r="EP48" i="2"/>
  <c r="EO48" i="2"/>
  <c r="EN48" i="2"/>
  <c r="EM48" i="2"/>
  <c r="EL48" i="2"/>
  <c r="EK48" i="2"/>
  <c r="EJ48" i="2"/>
  <c r="EI48" i="2"/>
  <c r="EH48" i="2"/>
  <c r="EG48" i="2"/>
  <c r="EF48" i="2"/>
  <c r="EE48" i="2"/>
  <c r="ED48" i="2"/>
  <c r="EC48" i="2"/>
  <c r="EB48" i="2"/>
  <c r="EA48" i="2"/>
  <c r="DZ48" i="2"/>
  <c r="DY48" i="2"/>
  <c r="DX48" i="2"/>
  <c r="DW48" i="2"/>
  <c r="DV48" i="2"/>
  <c r="DU48" i="2"/>
  <c r="DT48" i="2"/>
  <c r="DS48" i="2"/>
  <c r="DR48" i="2"/>
  <c r="DQ48" i="2"/>
  <c r="DP48" i="2"/>
  <c r="DO48" i="2"/>
  <c r="DN48" i="2"/>
  <c r="DM48" i="2"/>
  <c r="DL48" i="2"/>
  <c r="DK48" i="2"/>
  <c r="DJ48" i="2"/>
  <c r="DI48" i="2"/>
  <c r="DH48" i="2"/>
  <c r="GA47" i="2"/>
  <c r="FZ47" i="2"/>
  <c r="FY47" i="2"/>
  <c r="FX47" i="2"/>
  <c r="FW47" i="2"/>
  <c r="FV47" i="2"/>
  <c r="FU47" i="2"/>
  <c r="FT47" i="2"/>
  <c r="FS47" i="2"/>
  <c r="FR47" i="2"/>
  <c r="FQ47" i="2"/>
  <c r="FP47" i="2"/>
  <c r="FO47" i="2"/>
  <c r="FN47" i="2"/>
  <c r="FM47" i="2"/>
  <c r="FL47" i="2"/>
  <c r="FK47" i="2"/>
  <c r="FJ47" i="2"/>
  <c r="FI47" i="2"/>
  <c r="FH47" i="2"/>
  <c r="FG47" i="2"/>
  <c r="FF47" i="2"/>
  <c r="FE47" i="2"/>
  <c r="FD47" i="2"/>
  <c r="FC47" i="2"/>
  <c r="FB47" i="2"/>
  <c r="FA47" i="2"/>
  <c r="EZ47" i="2"/>
  <c r="EY47" i="2"/>
  <c r="EX47" i="2"/>
  <c r="EW47" i="2"/>
  <c r="EV47" i="2"/>
  <c r="EU47" i="2"/>
  <c r="ET47" i="2"/>
  <c r="ES47" i="2"/>
  <c r="ER47" i="2"/>
  <c r="EQ47" i="2"/>
  <c r="EP47" i="2"/>
  <c r="EO47" i="2"/>
  <c r="EN47" i="2"/>
  <c r="EM47" i="2"/>
  <c r="EL47" i="2"/>
  <c r="EK47" i="2"/>
  <c r="EJ47" i="2"/>
  <c r="EI47" i="2"/>
  <c r="EH47" i="2"/>
  <c r="EG47" i="2"/>
  <c r="EF47" i="2"/>
  <c r="EE47" i="2"/>
  <c r="ED47" i="2"/>
  <c r="EC47" i="2"/>
  <c r="EB47" i="2"/>
  <c r="EA47" i="2"/>
  <c r="DZ47" i="2"/>
  <c r="DY47" i="2"/>
  <c r="DX47" i="2"/>
  <c r="DW47" i="2"/>
  <c r="DV47" i="2"/>
  <c r="DU47" i="2"/>
  <c r="DT47" i="2"/>
  <c r="DS47" i="2"/>
  <c r="DR47" i="2"/>
  <c r="DQ47" i="2"/>
  <c r="DP47" i="2"/>
  <c r="DO47" i="2"/>
  <c r="DN47" i="2"/>
  <c r="DM47" i="2"/>
  <c r="DL47" i="2"/>
  <c r="DK47" i="2"/>
  <c r="DJ47" i="2"/>
  <c r="DI47" i="2"/>
  <c r="DH47" i="2"/>
  <c r="GA46" i="2"/>
  <c r="FZ46" i="2"/>
  <c r="FY46" i="2"/>
  <c r="FX46" i="2"/>
  <c r="FW46" i="2"/>
  <c r="FV46" i="2"/>
  <c r="FU46" i="2"/>
  <c r="FT46" i="2"/>
  <c r="FS46" i="2"/>
  <c r="FR46" i="2"/>
  <c r="FQ46" i="2"/>
  <c r="FP46" i="2"/>
  <c r="FO46" i="2"/>
  <c r="FN46" i="2"/>
  <c r="FM46" i="2"/>
  <c r="FL46" i="2"/>
  <c r="FK46" i="2"/>
  <c r="FJ46" i="2"/>
  <c r="FI46" i="2"/>
  <c r="FH46" i="2"/>
  <c r="FG46" i="2"/>
  <c r="FF46" i="2"/>
  <c r="FE46" i="2"/>
  <c r="FD46" i="2"/>
  <c r="FC46" i="2"/>
  <c r="FB46" i="2"/>
  <c r="FA46" i="2"/>
  <c r="EZ46" i="2"/>
  <c r="EY46" i="2"/>
  <c r="EX46" i="2"/>
  <c r="EW46" i="2"/>
  <c r="EV46" i="2"/>
  <c r="EU46" i="2"/>
  <c r="ET46" i="2"/>
  <c r="ES46" i="2"/>
  <c r="ER46" i="2"/>
  <c r="EQ46" i="2"/>
  <c r="EP46" i="2"/>
  <c r="EO46" i="2"/>
  <c r="EN46" i="2"/>
  <c r="EM46" i="2"/>
  <c r="EL46" i="2"/>
  <c r="EK46" i="2"/>
  <c r="EJ46" i="2"/>
  <c r="EI46" i="2"/>
  <c r="EH46" i="2"/>
  <c r="EG46" i="2"/>
  <c r="EF46" i="2"/>
  <c r="EE46" i="2"/>
  <c r="ED46" i="2"/>
  <c r="EC46" i="2"/>
  <c r="EB46" i="2"/>
  <c r="EA46" i="2"/>
  <c r="DZ46" i="2"/>
  <c r="DY46" i="2"/>
  <c r="DX46" i="2"/>
  <c r="DW46" i="2"/>
  <c r="DV46" i="2"/>
  <c r="DU46" i="2"/>
  <c r="DT46" i="2"/>
  <c r="DS46" i="2"/>
  <c r="DR46" i="2"/>
  <c r="DQ46" i="2"/>
  <c r="DP46" i="2"/>
  <c r="DO46" i="2"/>
  <c r="DN46" i="2"/>
  <c r="DM46" i="2"/>
  <c r="DL46" i="2"/>
  <c r="DK46" i="2"/>
  <c r="DJ46" i="2"/>
  <c r="DI46" i="2"/>
  <c r="DH46" i="2"/>
  <c r="GA45" i="2"/>
  <c r="FZ45" i="2"/>
  <c r="FY45" i="2"/>
  <c r="FX45" i="2"/>
  <c r="FW45" i="2"/>
  <c r="FV45" i="2"/>
  <c r="FU45" i="2"/>
  <c r="FT45" i="2"/>
  <c r="FS45" i="2"/>
  <c r="FR45" i="2"/>
  <c r="FQ45" i="2"/>
  <c r="FP45" i="2"/>
  <c r="FO45" i="2"/>
  <c r="FN45" i="2"/>
  <c r="FM45" i="2"/>
  <c r="FL45" i="2"/>
  <c r="FK45" i="2"/>
  <c r="FJ45" i="2"/>
  <c r="FI45" i="2"/>
  <c r="FH45" i="2"/>
  <c r="FG45" i="2"/>
  <c r="FF45" i="2"/>
  <c r="FE45" i="2"/>
  <c r="FD45" i="2"/>
  <c r="FC45" i="2"/>
  <c r="FB45" i="2"/>
  <c r="FA45" i="2"/>
  <c r="EZ45" i="2"/>
  <c r="EY45" i="2"/>
  <c r="EX45" i="2"/>
  <c r="EW45" i="2"/>
  <c r="EV45" i="2"/>
  <c r="EU45" i="2"/>
  <c r="ET45" i="2"/>
  <c r="ES45" i="2"/>
  <c r="ER45" i="2"/>
  <c r="EQ45" i="2"/>
  <c r="EP45" i="2"/>
  <c r="EO45" i="2"/>
  <c r="EN45" i="2"/>
  <c r="EM45" i="2"/>
  <c r="EL45" i="2"/>
  <c r="EK45" i="2"/>
  <c r="EJ45" i="2"/>
  <c r="EI45" i="2"/>
  <c r="EH45" i="2"/>
  <c r="EG45" i="2"/>
  <c r="EF45" i="2"/>
  <c r="EE45" i="2"/>
  <c r="ED45" i="2"/>
  <c r="EC45" i="2"/>
  <c r="EB45" i="2"/>
  <c r="EA45" i="2"/>
  <c r="DZ45" i="2"/>
  <c r="DY45" i="2"/>
  <c r="DX45" i="2"/>
  <c r="DW45" i="2"/>
  <c r="DV45" i="2"/>
  <c r="DU45" i="2"/>
  <c r="DT45" i="2"/>
  <c r="DS45" i="2"/>
  <c r="DR45" i="2"/>
  <c r="DQ45" i="2"/>
  <c r="DP45" i="2"/>
  <c r="DO45" i="2"/>
  <c r="DN45" i="2"/>
  <c r="DM45" i="2"/>
  <c r="DL45" i="2"/>
  <c r="DK45" i="2"/>
  <c r="DJ45" i="2"/>
  <c r="DI45" i="2"/>
  <c r="DH45" i="2"/>
  <c r="GA44" i="2"/>
  <c r="FZ44" i="2"/>
  <c r="FY44" i="2"/>
  <c r="FX44" i="2"/>
  <c r="FW44" i="2"/>
  <c r="FV44" i="2"/>
  <c r="FU44" i="2"/>
  <c r="FT44" i="2"/>
  <c r="FS44" i="2"/>
  <c r="FR44" i="2"/>
  <c r="FQ44" i="2"/>
  <c r="FP44" i="2"/>
  <c r="FO44" i="2"/>
  <c r="FN44" i="2"/>
  <c r="FM44" i="2"/>
  <c r="FL44" i="2"/>
  <c r="FK44" i="2"/>
  <c r="FJ44" i="2"/>
  <c r="FI44" i="2"/>
  <c r="FH44" i="2"/>
  <c r="FG44" i="2"/>
  <c r="FF44" i="2"/>
  <c r="FE44" i="2"/>
  <c r="FD44" i="2"/>
  <c r="FC44" i="2"/>
  <c r="FB44" i="2"/>
  <c r="FA44" i="2"/>
  <c r="EZ44" i="2"/>
  <c r="EY44" i="2"/>
  <c r="EX44" i="2"/>
  <c r="EW44" i="2"/>
  <c r="EV44" i="2"/>
  <c r="EU44" i="2"/>
  <c r="ET44" i="2"/>
  <c r="ES44" i="2"/>
  <c r="ER44" i="2"/>
  <c r="EQ44" i="2"/>
  <c r="EP44" i="2"/>
  <c r="EO44" i="2"/>
  <c r="EN44" i="2"/>
  <c r="EM44" i="2"/>
  <c r="EL44" i="2"/>
  <c r="EK44" i="2"/>
  <c r="EJ44" i="2"/>
  <c r="EI44" i="2"/>
  <c r="EH44" i="2"/>
  <c r="EG44" i="2"/>
  <c r="EF44" i="2"/>
  <c r="EE44" i="2"/>
  <c r="ED44" i="2"/>
  <c r="EC44" i="2"/>
  <c r="EB44" i="2"/>
  <c r="EA44" i="2"/>
  <c r="DZ44" i="2"/>
  <c r="DY44" i="2"/>
  <c r="DX44" i="2"/>
  <c r="DW44" i="2"/>
  <c r="DV44" i="2"/>
  <c r="DU44" i="2"/>
  <c r="DT44" i="2"/>
  <c r="DS44" i="2"/>
  <c r="DR44" i="2"/>
  <c r="DQ44" i="2"/>
  <c r="DP44" i="2"/>
  <c r="DO44" i="2"/>
  <c r="DN44" i="2"/>
  <c r="DM44" i="2"/>
  <c r="DL44" i="2"/>
  <c r="DK44" i="2"/>
  <c r="DJ44" i="2"/>
  <c r="DI44" i="2"/>
  <c r="DH44" i="2"/>
  <c r="GA43" i="2"/>
  <c r="FZ43" i="2"/>
  <c r="FY43" i="2"/>
  <c r="FX43" i="2"/>
  <c r="FW43" i="2"/>
  <c r="FV43" i="2"/>
  <c r="FU43" i="2"/>
  <c r="FT43" i="2"/>
  <c r="FS43" i="2"/>
  <c r="FR43" i="2"/>
  <c r="FQ43" i="2"/>
  <c r="FP43" i="2"/>
  <c r="FO43" i="2"/>
  <c r="FN43" i="2"/>
  <c r="FM43" i="2"/>
  <c r="FL43" i="2"/>
  <c r="FK43" i="2"/>
  <c r="FJ43" i="2"/>
  <c r="FI43" i="2"/>
  <c r="FH43" i="2"/>
  <c r="FG43" i="2"/>
  <c r="FF43" i="2"/>
  <c r="FE43" i="2"/>
  <c r="FD43" i="2"/>
  <c r="FC43" i="2"/>
  <c r="FB43" i="2"/>
  <c r="FA43" i="2"/>
  <c r="EZ43" i="2"/>
  <c r="EY43" i="2"/>
  <c r="EX43" i="2"/>
  <c r="EW43" i="2"/>
  <c r="EV43" i="2"/>
  <c r="EU43" i="2"/>
  <c r="ET43" i="2"/>
  <c r="ES43" i="2"/>
  <c r="ER43" i="2"/>
  <c r="EQ43" i="2"/>
  <c r="EP43" i="2"/>
  <c r="EO43" i="2"/>
  <c r="EN43" i="2"/>
  <c r="EM43" i="2"/>
  <c r="EL43" i="2"/>
  <c r="EK43" i="2"/>
  <c r="EJ43" i="2"/>
  <c r="EI43" i="2"/>
  <c r="EH43" i="2"/>
  <c r="EG43" i="2"/>
  <c r="EF43" i="2"/>
  <c r="EE43" i="2"/>
  <c r="ED43" i="2"/>
  <c r="EC43" i="2"/>
  <c r="EB43" i="2"/>
  <c r="EA43" i="2"/>
  <c r="DZ43" i="2"/>
  <c r="DY43" i="2"/>
  <c r="DX43" i="2"/>
  <c r="DW43" i="2"/>
  <c r="DV43" i="2"/>
  <c r="DU43" i="2"/>
  <c r="DT43" i="2"/>
  <c r="DS43" i="2"/>
  <c r="DR43" i="2"/>
  <c r="DQ43" i="2"/>
  <c r="DP43" i="2"/>
  <c r="DO43" i="2"/>
  <c r="DN43" i="2"/>
  <c r="DM43" i="2"/>
  <c r="DL43" i="2"/>
  <c r="DK43" i="2"/>
  <c r="DJ43" i="2"/>
  <c r="DI43" i="2"/>
  <c r="DH43" i="2"/>
  <c r="GA42" i="2"/>
  <c r="FZ42" i="2"/>
  <c r="FY42" i="2"/>
  <c r="FX42" i="2"/>
  <c r="FW42" i="2"/>
  <c r="FV42" i="2"/>
  <c r="FU42" i="2"/>
  <c r="FT42" i="2"/>
  <c r="FS42" i="2"/>
  <c r="FR42" i="2"/>
  <c r="FQ42" i="2"/>
  <c r="FP42" i="2"/>
  <c r="FO42" i="2"/>
  <c r="FN42" i="2"/>
  <c r="FM42" i="2"/>
  <c r="FL42" i="2"/>
  <c r="FK42" i="2"/>
  <c r="FJ42" i="2"/>
  <c r="FI42" i="2"/>
  <c r="FH42" i="2"/>
  <c r="FG42" i="2"/>
  <c r="FF42" i="2"/>
  <c r="FE42" i="2"/>
  <c r="FD42" i="2"/>
  <c r="FC42" i="2"/>
  <c r="FB42" i="2"/>
  <c r="FA42" i="2"/>
  <c r="EZ42" i="2"/>
  <c r="EY42" i="2"/>
  <c r="EX42" i="2"/>
  <c r="EW42" i="2"/>
  <c r="EV42" i="2"/>
  <c r="EU42" i="2"/>
  <c r="ET42" i="2"/>
  <c r="ES42" i="2"/>
  <c r="ER42" i="2"/>
  <c r="EQ42" i="2"/>
  <c r="EP42" i="2"/>
  <c r="EO42" i="2"/>
  <c r="EN42" i="2"/>
  <c r="EM42" i="2"/>
  <c r="EL42" i="2"/>
  <c r="EK42" i="2"/>
  <c r="EJ42" i="2"/>
  <c r="EI42" i="2"/>
  <c r="EH42" i="2"/>
  <c r="EG42" i="2"/>
  <c r="EF42" i="2"/>
  <c r="EE42" i="2"/>
  <c r="ED42" i="2"/>
  <c r="EC42" i="2"/>
  <c r="EB42" i="2"/>
  <c r="EA42" i="2"/>
  <c r="DZ42" i="2"/>
  <c r="DY42" i="2"/>
  <c r="DX42" i="2"/>
  <c r="DW42" i="2"/>
  <c r="DV42" i="2"/>
  <c r="DU42" i="2"/>
  <c r="DT42" i="2"/>
  <c r="DS42" i="2"/>
  <c r="DR42" i="2"/>
  <c r="DQ42" i="2"/>
  <c r="DP42" i="2"/>
  <c r="DO42" i="2"/>
  <c r="DN42" i="2"/>
  <c r="DM42" i="2"/>
  <c r="DL42" i="2"/>
  <c r="DK42" i="2"/>
  <c r="DJ42" i="2"/>
  <c r="DI42" i="2"/>
  <c r="DH42" i="2"/>
  <c r="GA41" i="2"/>
  <c r="FZ41" i="2"/>
  <c r="FY41" i="2"/>
  <c r="FX41" i="2"/>
  <c r="FW41" i="2"/>
  <c r="FV41" i="2"/>
  <c r="FU41" i="2"/>
  <c r="FT41" i="2"/>
  <c r="FS41" i="2"/>
  <c r="FR41" i="2"/>
  <c r="FQ41" i="2"/>
  <c r="FP41" i="2"/>
  <c r="FO41" i="2"/>
  <c r="FN41" i="2"/>
  <c r="FM41" i="2"/>
  <c r="FL41" i="2"/>
  <c r="FK41" i="2"/>
  <c r="FJ41" i="2"/>
  <c r="FI41" i="2"/>
  <c r="FH41" i="2"/>
  <c r="FG41" i="2"/>
  <c r="FF41" i="2"/>
  <c r="FE41" i="2"/>
  <c r="FD41" i="2"/>
  <c r="FC41" i="2"/>
  <c r="FB41" i="2"/>
  <c r="FA41" i="2"/>
  <c r="EZ41" i="2"/>
  <c r="EY41" i="2"/>
  <c r="EX41" i="2"/>
  <c r="EW41" i="2"/>
  <c r="EV41" i="2"/>
  <c r="EU41" i="2"/>
  <c r="ET41" i="2"/>
  <c r="ES41" i="2"/>
  <c r="ER41" i="2"/>
  <c r="EQ41" i="2"/>
  <c r="EP41" i="2"/>
  <c r="EO41" i="2"/>
  <c r="EN41" i="2"/>
  <c r="EM41" i="2"/>
  <c r="EL41" i="2"/>
  <c r="EK41" i="2"/>
  <c r="EJ41" i="2"/>
  <c r="EI41" i="2"/>
  <c r="EH41" i="2"/>
  <c r="EG41" i="2"/>
  <c r="EF41" i="2"/>
  <c r="EE41" i="2"/>
  <c r="ED41" i="2"/>
  <c r="EC41" i="2"/>
  <c r="EB41" i="2"/>
  <c r="EA41" i="2"/>
  <c r="DZ41" i="2"/>
  <c r="DY41" i="2"/>
  <c r="DX41" i="2"/>
  <c r="DW41" i="2"/>
  <c r="DV41" i="2"/>
  <c r="DU41" i="2"/>
  <c r="DT41" i="2"/>
  <c r="DS41" i="2"/>
  <c r="DR41" i="2"/>
  <c r="DQ41" i="2"/>
  <c r="DP41" i="2"/>
  <c r="DO41" i="2"/>
  <c r="DN41" i="2"/>
  <c r="DM41" i="2"/>
  <c r="DL41" i="2"/>
  <c r="DK41" i="2"/>
  <c r="DJ41" i="2"/>
  <c r="DI41" i="2"/>
  <c r="DH41" i="2"/>
  <c r="DI52" i="2" l="1"/>
  <c r="DI53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DH26" i="2"/>
  <c r="DI26" i="2"/>
  <c r="DJ26" i="2"/>
  <c r="DK26" i="2"/>
  <c r="DL26" i="2"/>
  <c r="DM26" i="2"/>
  <c r="DN26" i="2"/>
  <c r="DO26" i="2"/>
  <c r="DP26" i="2"/>
  <c r="DQ26" i="2"/>
  <c r="DR26" i="2"/>
  <c r="DS26" i="2"/>
  <c r="DT26" i="2"/>
  <c r="DU26" i="2"/>
  <c r="DV26" i="2"/>
  <c r="DW26" i="2"/>
  <c r="DX26" i="2"/>
  <c r="DY26" i="2"/>
  <c r="DZ26" i="2"/>
  <c r="EA26" i="2"/>
  <c r="EB26" i="2"/>
  <c r="EC26" i="2"/>
  <c r="ED26" i="2"/>
  <c r="EE26" i="2"/>
  <c r="EF26" i="2"/>
  <c r="EG26" i="2"/>
  <c r="EH26" i="2"/>
  <c r="EI26" i="2"/>
  <c r="EJ26" i="2"/>
  <c r="EK26" i="2"/>
  <c r="EL26" i="2"/>
  <c r="EM26" i="2"/>
  <c r="EN26" i="2"/>
  <c r="EO26" i="2"/>
  <c r="EP26" i="2"/>
  <c r="EQ26" i="2"/>
  <c r="ER26" i="2"/>
  <c r="ES26" i="2"/>
  <c r="ET26" i="2"/>
  <c r="EU26" i="2"/>
  <c r="EV26" i="2"/>
  <c r="EW26" i="2"/>
  <c r="EX26" i="2"/>
  <c r="EY26" i="2"/>
  <c r="EZ26" i="2"/>
  <c r="FA26" i="2"/>
  <c r="FB26" i="2"/>
  <c r="FC26" i="2"/>
  <c r="FD26" i="2"/>
  <c r="FE26" i="2"/>
  <c r="FF26" i="2"/>
  <c r="FG26" i="2"/>
  <c r="FH26" i="2"/>
  <c r="FI26" i="2"/>
  <c r="FJ26" i="2"/>
  <c r="FK26" i="2"/>
  <c r="FL26" i="2"/>
  <c r="FM26" i="2"/>
  <c r="FN26" i="2"/>
  <c r="FO26" i="2"/>
  <c r="FP26" i="2"/>
  <c r="FQ26" i="2"/>
  <c r="FR26" i="2"/>
  <c r="FS26" i="2"/>
  <c r="FT26" i="2"/>
  <c r="FU26" i="2"/>
  <c r="FV26" i="2"/>
  <c r="FW26" i="2"/>
  <c r="FX26" i="2"/>
  <c r="FY26" i="2"/>
  <c r="FZ26" i="2"/>
  <c r="GA26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DH29" i="2"/>
  <c r="DI29" i="2"/>
  <c r="DJ29" i="2"/>
  <c r="DK29" i="2"/>
  <c r="DL29" i="2"/>
  <c r="DM29" i="2"/>
  <c r="DN29" i="2"/>
  <c r="DO29" i="2"/>
  <c r="DP29" i="2"/>
  <c r="DQ29" i="2"/>
  <c r="DR29" i="2"/>
  <c r="DS29" i="2"/>
  <c r="DT29" i="2"/>
  <c r="DU29" i="2"/>
  <c r="DV29" i="2"/>
  <c r="DW29" i="2"/>
  <c r="DX29" i="2"/>
  <c r="DY29" i="2"/>
  <c r="DZ29" i="2"/>
  <c r="EA29" i="2"/>
  <c r="EB29" i="2"/>
  <c r="EC29" i="2"/>
  <c r="ED29" i="2"/>
  <c r="EE29" i="2"/>
  <c r="EF29" i="2"/>
  <c r="EG29" i="2"/>
  <c r="EH29" i="2"/>
  <c r="EI29" i="2"/>
  <c r="EJ29" i="2"/>
  <c r="EK29" i="2"/>
  <c r="EL29" i="2"/>
  <c r="EM29" i="2"/>
  <c r="EN29" i="2"/>
  <c r="EO29" i="2"/>
  <c r="EP29" i="2"/>
  <c r="EQ29" i="2"/>
  <c r="ER29" i="2"/>
  <c r="ES29" i="2"/>
  <c r="ET29" i="2"/>
  <c r="EU29" i="2"/>
  <c r="EV29" i="2"/>
  <c r="EW29" i="2"/>
  <c r="EX29" i="2"/>
  <c r="EY29" i="2"/>
  <c r="EZ29" i="2"/>
  <c r="FA29" i="2"/>
  <c r="FB29" i="2"/>
  <c r="FC29" i="2"/>
  <c r="FD29" i="2"/>
  <c r="FE29" i="2"/>
  <c r="FF29" i="2"/>
  <c r="FG29" i="2"/>
  <c r="FH29" i="2"/>
  <c r="FI29" i="2"/>
  <c r="FJ29" i="2"/>
  <c r="FK29" i="2"/>
  <c r="FL29" i="2"/>
  <c r="FM29" i="2"/>
  <c r="FN29" i="2"/>
  <c r="FO29" i="2"/>
  <c r="FP29" i="2"/>
  <c r="FQ29" i="2"/>
  <c r="FR29" i="2"/>
  <c r="FS29" i="2"/>
  <c r="FT29" i="2"/>
  <c r="FU29" i="2"/>
  <c r="FV29" i="2"/>
  <c r="FW29" i="2"/>
  <c r="FX29" i="2"/>
  <c r="FY29" i="2"/>
  <c r="FZ29" i="2"/>
  <c r="GA29" i="2"/>
  <c r="DH30" i="2"/>
  <c r="DI30" i="2"/>
  <c r="DJ30" i="2"/>
  <c r="DK30" i="2"/>
  <c r="DL30" i="2"/>
  <c r="DM30" i="2"/>
  <c r="DN30" i="2"/>
  <c r="DO30" i="2"/>
  <c r="DP30" i="2"/>
  <c r="DQ30" i="2"/>
  <c r="DR30" i="2"/>
  <c r="DS30" i="2"/>
  <c r="DT30" i="2"/>
  <c r="DU30" i="2"/>
  <c r="DV30" i="2"/>
  <c r="DW30" i="2"/>
  <c r="DX30" i="2"/>
  <c r="DY30" i="2"/>
  <c r="DZ30" i="2"/>
  <c r="EA30" i="2"/>
  <c r="EB30" i="2"/>
  <c r="EC30" i="2"/>
  <c r="ED30" i="2"/>
  <c r="EE30" i="2"/>
  <c r="EF30" i="2"/>
  <c r="EG30" i="2"/>
  <c r="EH30" i="2"/>
  <c r="EI30" i="2"/>
  <c r="EJ30" i="2"/>
  <c r="EK30" i="2"/>
  <c r="EL30" i="2"/>
  <c r="EM30" i="2"/>
  <c r="EN30" i="2"/>
  <c r="EO30" i="2"/>
  <c r="EP30" i="2"/>
  <c r="EQ30" i="2"/>
  <c r="ER30" i="2"/>
  <c r="ES30" i="2"/>
  <c r="ET30" i="2"/>
  <c r="EU30" i="2"/>
  <c r="EV30" i="2"/>
  <c r="EW30" i="2"/>
  <c r="EX30" i="2"/>
  <c r="EY30" i="2"/>
  <c r="EZ30" i="2"/>
  <c r="FA30" i="2"/>
  <c r="FB30" i="2"/>
  <c r="FC30" i="2"/>
  <c r="FD30" i="2"/>
  <c r="FE30" i="2"/>
  <c r="FF30" i="2"/>
  <c r="FG30" i="2"/>
  <c r="FH30" i="2"/>
  <c r="FI30" i="2"/>
  <c r="FJ30" i="2"/>
  <c r="FK30" i="2"/>
  <c r="FL30" i="2"/>
  <c r="FM30" i="2"/>
  <c r="FN30" i="2"/>
  <c r="FO30" i="2"/>
  <c r="FP30" i="2"/>
  <c r="FQ30" i="2"/>
  <c r="FR30" i="2"/>
  <c r="FS30" i="2"/>
  <c r="FT30" i="2"/>
  <c r="FU30" i="2"/>
  <c r="FV30" i="2"/>
  <c r="FW30" i="2"/>
  <c r="FX30" i="2"/>
  <c r="FY30" i="2"/>
  <c r="FZ30" i="2"/>
  <c r="GA30" i="2"/>
  <c r="DH31" i="2"/>
  <c r="DI31" i="2"/>
  <c r="DJ31" i="2"/>
  <c r="DK31" i="2"/>
  <c r="DL31" i="2"/>
  <c r="DM31" i="2"/>
  <c r="DN31" i="2"/>
  <c r="DO31" i="2"/>
  <c r="DP31" i="2"/>
  <c r="DQ31" i="2"/>
  <c r="DR31" i="2"/>
  <c r="DS31" i="2"/>
  <c r="DT31" i="2"/>
  <c r="DU31" i="2"/>
  <c r="DV31" i="2"/>
  <c r="DW31" i="2"/>
  <c r="DX31" i="2"/>
  <c r="DY31" i="2"/>
  <c r="DZ31" i="2"/>
  <c r="EA31" i="2"/>
  <c r="EB31" i="2"/>
  <c r="EC31" i="2"/>
  <c r="ED31" i="2"/>
  <c r="EE31" i="2"/>
  <c r="EF31" i="2"/>
  <c r="EG31" i="2"/>
  <c r="EH31" i="2"/>
  <c r="EI31" i="2"/>
  <c r="EJ31" i="2"/>
  <c r="EK31" i="2"/>
  <c r="EL31" i="2"/>
  <c r="EM31" i="2"/>
  <c r="EN31" i="2"/>
  <c r="EO31" i="2"/>
  <c r="EP31" i="2"/>
  <c r="EQ31" i="2"/>
  <c r="ER31" i="2"/>
  <c r="ES31" i="2"/>
  <c r="ET31" i="2"/>
  <c r="EU31" i="2"/>
  <c r="EV31" i="2"/>
  <c r="EW31" i="2"/>
  <c r="EX31" i="2"/>
  <c r="EY31" i="2"/>
  <c r="EZ31" i="2"/>
  <c r="FA31" i="2"/>
  <c r="FB31" i="2"/>
  <c r="FC31" i="2"/>
  <c r="FD31" i="2"/>
  <c r="FE31" i="2"/>
  <c r="FF31" i="2"/>
  <c r="FG31" i="2"/>
  <c r="FH31" i="2"/>
  <c r="FI31" i="2"/>
  <c r="FJ31" i="2"/>
  <c r="FK31" i="2"/>
  <c r="FL31" i="2"/>
  <c r="FM31" i="2"/>
  <c r="FN31" i="2"/>
  <c r="FO31" i="2"/>
  <c r="FP31" i="2"/>
  <c r="FQ31" i="2"/>
  <c r="FR31" i="2"/>
  <c r="FS31" i="2"/>
  <c r="FT31" i="2"/>
  <c r="FU31" i="2"/>
  <c r="FV31" i="2"/>
  <c r="FW31" i="2"/>
  <c r="FX31" i="2"/>
  <c r="FY31" i="2"/>
  <c r="FZ31" i="2"/>
  <c r="GA31" i="2"/>
  <c r="DH32" i="2"/>
  <c r="DI32" i="2"/>
  <c r="DJ32" i="2"/>
  <c r="DK32" i="2"/>
  <c r="DL32" i="2"/>
  <c r="DM32" i="2"/>
  <c r="DN32" i="2"/>
  <c r="DO32" i="2"/>
  <c r="DP32" i="2"/>
  <c r="DQ32" i="2"/>
  <c r="DR32" i="2"/>
  <c r="DS32" i="2"/>
  <c r="DT32" i="2"/>
  <c r="DU32" i="2"/>
  <c r="DV32" i="2"/>
  <c r="DW32" i="2"/>
  <c r="DX32" i="2"/>
  <c r="DY32" i="2"/>
  <c r="DZ32" i="2"/>
  <c r="EA32" i="2"/>
  <c r="EB32" i="2"/>
  <c r="EC32" i="2"/>
  <c r="ED32" i="2"/>
  <c r="EE32" i="2"/>
  <c r="EF32" i="2"/>
  <c r="EG32" i="2"/>
  <c r="EH32" i="2"/>
  <c r="EI32" i="2"/>
  <c r="EJ32" i="2"/>
  <c r="EK32" i="2"/>
  <c r="EL32" i="2"/>
  <c r="EM32" i="2"/>
  <c r="EN32" i="2"/>
  <c r="EO32" i="2"/>
  <c r="EP32" i="2"/>
  <c r="EQ32" i="2"/>
  <c r="ER32" i="2"/>
  <c r="ES32" i="2"/>
  <c r="ET32" i="2"/>
  <c r="EU32" i="2"/>
  <c r="EV32" i="2"/>
  <c r="EW32" i="2"/>
  <c r="EX32" i="2"/>
  <c r="EY32" i="2"/>
  <c r="EZ32" i="2"/>
  <c r="FA32" i="2"/>
  <c r="FB32" i="2"/>
  <c r="FC32" i="2"/>
  <c r="FD32" i="2"/>
  <c r="FE32" i="2"/>
  <c r="FF32" i="2"/>
  <c r="FG32" i="2"/>
  <c r="FH32" i="2"/>
  <c r="FI32" i="2"/>
  <c r="FJ32" i="2"/>
  <c r="FK32" i="2"/>
  <c r="FL32" i="2"/>
  <c r="FM32" i="2"/>
  <c r="FN32" i="2"/>
  <c r="FO32" i="2"/>
  <c r="FP32" i="2"/>
  <c r="FQ32" i="2"/>
  <c r="FR32" i="2"/>
  <c r="FS32" i="2"/>
  <c r="FT32" i="2"/>
  <c r="FU32" i="2"/>
  <c r="FV32" i="2"/>
  <c r="FW32" i="2"/>
  <c r="FX32" i="2"/>
  <c r="FY32" i="2"/>
  <c r="FZ32" i="2"/>
  <c r="GA32" i="2"/>
  <c r="DH33" i="2"/>
  <c r="DI33" i="2"/>
  <c r="DJ33" i="2"/>
  <c r="DK33" i="2"/>
  <c r="DL33" i="2"/>
  <c r="DM33" i="2"/>
  <c r="DN33" i="2"/>
  <c r="DO33" i="2"/>
  <c r="DP33" i="2"/>
  <c r="DQ33" i="2"/>
  <c r="DR33" i="2"/>
  <c r="DS33" i="2"/>
  <c r="DT33" i="2"/>
  <c r="DU33" i="2"/>
  <c r="DV33" i="2"/>
  <c r="DW33" i="2"/>
  <c r="DX33" i="2"/>
  <c r="DY33" i="2"/>
  <c r="DZ33" i="2"/>
  <c r="EA33" i="2"/>
  <c r="EB33" i="2"/>
  <c r="EC33" i="2"/>
  <c r="ED33" i="2"/>
  <c r="EE33" i="2"/>
  <c r="EF33" i="2"/>
  <c r="EG33" i="2"/>
  <c r="EH33" i="2"/>
  <c r="EI33" i="2"/>
  <c r="EJ33" i="2"/>
  <c r="EK33" i="2"/>
  <c r="EL33" i="2"/>
  <c r="EM33" i="2"/>
  <c r="EN33" i="2"/>
  <c r="EO33" i="2"/>
  <c r="EP33" i="2"/>
  <c r="EQ33" i="2"/>
  <c r="ER33" i="2"/>
  <c r="ES33" i="2"/>
  <c r="ET33" i="2"/>
  <c r="EU33" i="2"/>
  <c r="EV33" i="2"/>
  <c r="EW33" i="2"/>
  <c r="EX33" i="2"/>
  <c r="EY33" i="2"/>
  <c r="EZ33" i="2"/>
  <c r="FA33" i="2"/>
  <c r="FB33" i="2"/>
  <c r="FC33" i="2"/>
  <c r="FD33" i="2"/>
  <c r="FE33" i="2"/>
  <c r="FF33" i="2"/>
  <c r="FG33" i="2"/>
  <c r="FH33" i="2"/>
  <c r="FI33" i="2"/>
  <c r="FJ33" i="2"/>
  <c r="FK33" i="2"/>
  <c r="FL33" i="2"/>
  <c r="FM33" i="2"/>
  <c r="FN33" i="2"/>
  <c r="FO33" i="2"/>
  <c r="FP33" i="2"/>
  <c r="FQ33" i="2"/>
  <c r="FR33" i="2"/>
  <c r="FS33" i="2"/>
  <c r="FT33" i="2"/>
  <c r="FU33" i="2"/>
  <c r="FV33" i="2"/>
  <c r="FW33" i="2"/>
  <c r="FX33" i="2"/>
  <c r="FY33" i="2"/>
  <c r="FZ33" i="2"/>
  <c r="GA33" i="2"/>
  <c r="DH34" i="2"/>
  <c r="DI34" i="2"/>
  <c r="DJ34" i="2"/>
  <c r="DK34" i="2"/>
  <c r="DL34" i="2"/>
  <c r="DM34" i="2"/>
  <c r="DN34" i="2"/>
  <c r="DO34" i="2"/>
  <c r="DP34" i="2"/>
  <c r="DQ34" i="2"/>
  <c r="DR34" i="2"/>
  <c r="DS34" i="2"/>
  <c r="DT34" i="2"/>
  <c r="DU34" i="2"/>
  <c r="DV34" i="2"/>
  <c r="DW34" i="2"/>
  <c r="DX34" i="2"/>
  <c r="DY34" i="2"/>
  <c r="DZ34" i="2"/>
  <c r="EA34" i="2"/>
  <c r="EB34" i="2"/>
  <c r="EC34" i="2"/>
  <c r="ED34" i="2"/>
  <c r="EE34" i="2"/>
  <c r="EF34" i="2"/>
  <c r="EG34" i="2"/>
  <c r="EH34" i="2"/>
  <c r="EI34" i="2"/>
  <c r="EJ34" i="2"/>
  <c r="EK34" i="2"/>
  <c r="EL34" i="2"/>
  <c r="EM34" i="2"/>
  <c r="EN34" i="2"/>
  <c r="EO34" i="2"/>
  <c r="EP34" i="2"/>
  <c r="EQ34" i="2"/>
  <c r="ER34" i="2"/>
  <c r="ES34" i="2"/>
  <c r="ET34" i="2"/>
  <c r="EU34" i="2"/>
  <c r="EV34" i="2"/>
  <c r="EW34" i="2"/>
  <c r="EX34" i="2"/>
  <c r="EY34" i="2"/>
  <c r="EZ34" i="2"/>
  <c r="FA34" i="2"/>
  <c r="FB34" i="2"/>
  <c r="FC34" i="2"/>
  <c r="FD34" i="2"/>
  <c r="FE34" i="2"/>
  <c r="FF34" i="2"/>
  <c r="FG34" i="2"/>
  <c r="FH34" i="2"/>
  <c r="FI34" i="2"/>
  <c r="FJ34" i="2"/>
  <c r="FK34" i="2"/>
  <c r="FL34" i="2"/>
  <c r="FM34" i="2"/>
  <c r="FN34" i="2"/>
  <c r="FO34" i="2"/>
  <c r="FP34" i="2"/>
  <c r="FQ34" i="2"/>
  <c r="FR34" i="2"/>
  <c r="FS34" i="2"/>
  <c r="FT34" i="2"/>
  <c r="FU34" i="2"/>
  <c r="FV34" i="2"/>
  <c r="FW34" i="2"/>
  <c r="FX34" i="2"/>
  <c r="FY34" i="2"/>
  <c r="FZ34" i="2"/>
  <c r="GA34" i="2"/>
  <c r="DH35" i="2"/>
  <c r="DI35" i="2"/>
  <c r="DJ35" i="2"/>
  <c r="DK35" i="2"/>
  <c r="DL35" i="2"/>
  <c r="DM35" i="2"/>
  <c r="DN35" i="2"/>
  <c r="DO35" i="2"/>
  <c r="DP35" i="2"/>
  <c r="DQ35" i="2"/>
  <c r="DR35" i="2"/>
  <c r="DS35" i="2"/>
  <c r="DT35" i="2"/>
  <c r="DU35" i="2"/>
  <c r="DV35" i="2"/>
  <c r="DW35" i="2"/>
  <c r="DX35" i="2"/>
  <c r="DY35" i="2"/>
  <c r="DZ35" i="2"/>
  <c r="EA35" i="2"/>
  <c r="EB35" i="2"/>
  <c r="EC35" i="2"/>
  <c r="ED35" i="2"/>
  <c r="EE35" i="2"/>
  <c r="EF35" i="2"/>
  <c r="EG35" i="2"/>
  <c r="EH35" i="2"/>
  <c r="EI35" i="2"/>
  <c r="EJ35" i="2"/>
  <c r="EK35" i="2"/>
  <c r="EL35" i="2"/>
  <c r="EM35" i="2"/>
  <c r="EN35" i="2"/>
  <c r="EO35" i="2"/>
  <c r="EP35" i="2"/>
  <c r="EQ35" i="2"/>
  <c r="ER35" i="2"/>
  <c r="ES35" i="2"/>
  <c r="ET35" i="2"/>
  <c r="EU35" i="2"/>
  <c r="EV35" i="2"/>
  <c r="EW35" i="2"/>
  <c r="EX35" i="2"/>
  <c r="EY35" i="2"/>
  <c r="EZ35" i="2"/>
  <c r="FA35" i="2"/>
  <c r="FB35" i="2"/>
  <c r="FC35" i="2"/>
  <c r="FD35" i="2"/>
  <c r="FE35" i="2"/>
  <c r="FF35" i="2"/>
  <c r="FG35" i="2"/>
  <c r="FH35" i="2"/>
  <c r="FI35" i="2"/>
  <c r="FJ35" i="2"/>
  <c r="FK35" i="2"/>
  <c r="FL35" i="2"/>
  <c r="FM35" i="2"/>
  <c r="FN35" i="2"/>
  <c r="FO35" i="2"/>
  <c r="FP35" i="2"/>
  <c r="FQ35" i="2"/>
  <c r="FR35" i="2"/>
  <c r="FS35" i="2"/>
  <c r="FT35" i="2"/>
  <c r="FU35" i="2"/>
  <c r="FV35" i="2"/>
  <c r="FW35" i="2"/>
  <c r="FX35" i="2"/>
  <c r="FY35" i="2"/>
  <c r="FZ35" i="2"/>
  <c r="GA35" i="2"/>
  <c r="DH36" i="2"/>
  <c r="DI36" i="2"/>
  <c r="DJ36" i="2"/>
  <c r="DK36" i="2"/>
  <c r="DL36" i="2"/>
  <c r="DM36" i="2"/>
  <c r="DN36" i="2"/>
  <c r="DO36" i="2"/>
  <c r="DP36" i="2"/>
  <c r="DQ36" i="2"/>
  <c r="DR36" i="2"/>
  <c r="DS36" i="2"/>
  <c r="DT36" i="2"/>
  <c r="DU36" i="2"/>
  <c r="DV36" i="2"/>
  <c r="DW36" i="2"/>
  <c r="DX36" i="2"/>
  <c r="DY36" i="2"/>
  <c r="DZ36" i="2"/>
  <c r="EA36" i="2"/>
  <c r="EB36" i="2"/>
  <c r="EC36" i="2"/>
  <c r="ED36" i="2"/>
  <c r="EE36" i="2"/>
  <c r="EF36" i="2"/>
  <c r="EG36" i="2"/>
  <c r="EH36" i="2"/>
  <c r="EI36" i="2"/>
  <c r="EJ36" i="2"/>
  <c r="EK36" i="2"/>
  <c r="EL36" i="2"/>
  <c r="EM36" i="2"/>
  <c r="EN36" i="2"/>
  <c r="EO36" i="2"/>
  <c r="EP36" i="2"/>
  <c r="EQ36" i="2"/>
  <c r="ER36" i="2"/>
  <c r="ES36" i="2"/>
  <c r="ET36" i="2"/>
  <c r="EU36" i="2"/>
  <c r="EV36" i="2"/>
  <c r="EW36" i="2"/>
  <c r="EX36" i="2"/>
  <c r="EY36" i="2"/>
  <c r="EZ36" i="2"/>
  <c r="FA36" i="2"/>
  <c r="FB36" i="2"/>
  <c r="FC36" i="2"/>
  <c r="FD36" i="2"/>
  <c r="FE36" i="2"/>
  <c r="FF36" i="2"/>
  <c r="FG36" i="2"/>
  <c r="FH36" i="2"/>
  <c r="FI36" i="2"/>
  <c r="FJ36" i="2"/>
  <c r="FK36" i="2"/>
  <c r="FL36" i="2"/>
  <c r="FM36" i="2"/>
  <c r="FN36" i="2"/>
  <c r="FO36" i="2"/>
  <c r="FP36" i="2"/>
  <c r="FQ36" i="2"/>
  <c r="FR36" i="2"/>
  <c r="FS36" i="2"/>
  <c r="FT36" i="2"/>
  <c r="FU36" i="2"/>
  <c r="FV36" i="2"/>
  <c r="FW36" i="2"/>
  <c r="FX36" i="2"/>
  <c r="FY36" i="2"/>
  <c r="FZ36" i="2"/>
  <c r="GA36" i="2"/>
  <c r="DH37" i="2"/>
  <c r="DI37" i="2"/>
  <c r="DJ37" i="2"/>
  <c r="DK37" i="2"/>
  <c r="DL37" i="2"/>
  <c r="DM37" i="2"/>
  <c r="DN37" i="2"/>
  <c r="DO37" i="2"/>
  <c r="DP37" i="2"/>
  <c r="DQ37" i="2"/>
  <c r="DR37" i="2"/>
  <c r="DS37" i="2"/>
  <c r="DT37" i="2"/>
  <c r="DU37" i="2"/>
  <c r="DV37" i="2"/>
  <c r="DW37" i="2"/>
  <c r="DX37" i="2"/>
  <c r="DY37" i="2"/>
  <c r="DZ37" i="2"/>
  <c r="EA37" i="2"/>
  <c r="EB37" i="2"/>
  <c r="EC37" i="2"/>
  <c r="ED37" i="2"/>
  <c r="EE37" i="2"/>
  <c r="EF37" i="2"/>
  <c r="EG37" i="2"/>
  <c r="EH37" i="2"/>
  <c r="EI37" i="2"/>
  <c r="EJ37" i="2"/>
  <c r="EK37" i="2"/>
  <c r="EL37" i="2"/>
  <c r="EM37" i="2"/>
  <c r="EN37" i="2"/>
  <c r="EO37" i="2"/>
  <c r="EP37" i="2"/>
  <c r="EQ37" i="2"/>
  <c r="ER37" i="2"/>
  <c r="ES37" i="2"/>
  <c r="ET37" i="2"/>
  <c r="EU37" i="2"/>
  <c r="EV37" i="2"/>
  <c r="EW37" i="2"/>
  <c r="EX37" i="2"/>
  <c r="EY37" i="2"/>
  <c r="EZ37" i="2"/>
  <c r="FA37" i="2"/>
  <c r="FB37" i="2"/>
  <c r="FC37" i="2"/>
  <c r="FD37" i="2"/>
  <c r="FE37" i="2"/>
  <c r="FF37" i="2"/>
  <c r="FG37" i="2"/>
  <c r="FH37" i="2"/>
  <c r="FI37" i="2"/>
  <c r="FJ37" i="2"/>
  <c r="FK37" i="2"/>
  <c r="FL37" i="2"/>
  <c r="FM37" i="2"/>
  <c r="FN37" i="2"/>
  <c r="FO37" i="2"/>
  <c r="FP37" i="2"/>
  <c r="FQ37" i="2"/>
  <c r="FR37" i="2"/>
  <c r="FS37" i="2"/>
  <c r="FT37" i="2"/>
  <c r="FU37" i="2"/>
  <c r="FV37" i="2"/>
  <c r="FW37" i="2"/>
  <c r="FX37" i="2"/>
  <c r="FY37" i="2"/>
  <c r="FZ37" i="2"/>
  <c r="GA37" i="2"/>
  <c r="DH38" i="2"/>
  <c r="DI38" i="2"/>
  <c r="DJ38" i="2"/>
  <c r="DK38" i="2"/>
  <c r="DL38" i="2"/>
  <c r="DM38" i="2"/>
  <c r="DN38" i="2"/>
  <c r="DO38" i="2"/>
  <c r="DP38" i="2"/>
  <c r="DQ38" i="2"/>
  <c r="DR38" i="2"/>
  <c r="DS38" i="2"/>
  <c r="DT38" i="2"/>
  <c r="DU38" i="2"/>
  <c r="DV38" i="2"/>
  <c r="DW38" i="2"/>
  <c r="DX38" i="2"/>
  <c r="DY38" i="2"/>
  <c r="DZ38" i="2"/>
  <c r="EA38" i="2"/>
  <c r="EB38" i="2"/>
  <c r="EC38" i="2"/>
  <c r="ED38" i="2"/>
  <c r="EE38" i="2"/>
  <c r="EF38" i="2"/>
  <c r="EG38" i="2"/>
  <c r="EH38" i="2"/>
  <c r="EI38" i="2"/>
  <c r="EJ38" i="2"/>
  <c r="EK38" i="2"/>
  <c r="EL38" i="2"/>
  <c r="EM38" i="2"/>
  <c r="EN38" i="2"/>
  <c r="EO38" i="2"/>
  <c r="EP38" i="2"/>
  <c r="EQ38" i="2"/>
  <c r="ER38" i="2"/>
  <c r="ES38" i="2"/>
  <c r="ET38" i="2"/>
  <c r="EU38" i="2"/>
  <c r="EV38" i="2"/>
  <c r="EW38" i="2"/>
  <c r="EX38" i="2"/>
  <c r="EY38" i="2"/>
  <c r="EZ38" i="2"/>
  <c r="FA38" i="2"/>
  <c r="FB38" i="2"/>
  <c r="FC38" i="2"/>
  <c r="FD38" i="2"/>
  <c r="FE38" i="2"/>
  <c r="FF38" i="2"/>
  <c r="FG38" i="2"/>
  <c r="FH38" i="2"/>
  <c r="FI38" i="2"/>
  <c r="FJ38" i="2"/>
  <c r="FK38" i="2"/>
  <c r="FL38" i="2"/>
  <c r="FM38" i="2"/>
  <c r="FN38" i="2"/>
  <c r="FO38" i="2"/>
  <c r="FP38" i="2"/>
  <c r="FQ38" i="2"/>
  <c r="FR38" i="2"/>
  <c r="FS38" i="2"/>
  <c r="FT38" i="2"/>
  <c r="FU38" i="2"/>
  <c r="FV38" i="2"/>
  <c r="FW38" i="2"/>
  <c r="FX38" i="2"/>
  <c r="FY38" i="2"/>
  <c r="FZ38" i="2"/>
  <c r="GA38" i="2"/>
  <c r="DH39" i="2"/>
  <c r="DI39" i="2"/>
  <c r="DJ39" i="2"/>
  <c r="DK39" i="2"/>
  <c r="DL39" i="2"/>
  <c r="DM39" i="2"/>
  <c r="DN39" i="2"/>
  <c r="DO39" i="2"/>
  <c r="DP39" i="2"/>
  <c r="DQ39" i="2"/>
  <c r="DR39" i="2"/>
  <c r="DS39" i="2"/>
  <c r="DT39" i="2"/>
  <c r="DU39" i="2"/>
  <c r="DV39" i="2"/>
  <c r="DW39" i="2"/>
  <c r="DX39" i="2"/>
  <c r="DY39" i="2"/>
  <c r="DZ39" i="2"/>
  <c r="EA39" i="2"/>
  <c r="EB39" i="2"/>
  <c r="EC39" i="2"/>
  <c r="ED39" i="2"/>
  <c r="EE39" i="2"/>
  <c r="EF39" i="2"/>
  <c r="EG39" i="2"/>
  <c r="EH39" i="2"/>
  <c r="EI39" i="2"/>
  <c r="EJ39" i="2"/>
  <c r="EK39" i="2"/>
  <c r="EL39" i="2"/>
  <c r="EM39" i="2"/>
  <c r="EN39" i="2"/>
  <c r="EO39" i="2"/>
  <c r="EP39" i="2"/>
  <c r="EQ39" i="2"/>
  <c r="ER39" i="2"/>
  <c r="ES39" i="2"/>
  <c r="ET39" i="2"/>
  <c r="EU39" i="2"/>
  <c r="EV39" i="2"/>
  <c r="EW39" i="2"/>
  <c r="EX39" i="2"/>
  <c r="EY39" i="2"/>
  <c r="EZ39" i="2"/>
  <c r="FA39" i="2"/>
  <c r="FB39" i="2"/>
  <c r="FC39" i="2"/>
  <c r="FD39" i="2"/>
  <c r="FE39" i="2"/>
  <c r="FF39" i="2"/>
  <c r="FG39" i="2"/>
  <c r="FH39" i="2"/>
  <c r="FI39" i="2"/>
  <c r="FJ39" i="2"/>
  <c r="FK39" i="2"/>
  <c r="FL39" i="2"/>
  <c r="FM39" i="2"/>
  <c r="FN39" i="2"/>
  <c r="FO39" i="2"/>
  <c r="FP39" i="2"/>
  <c r="FQ39" i="2"/>
  <c r="FR39" i="2"/>
  <c r="FS39" i="2"/>
  <c r="FT39" i="2"/>
  <c r="FU39" i="2"/>
  <c r="FV39" i="2"/>
  <c r="FW39" i="2"/>
  <c r="FX39" i="2"/>
  <c r="FY39" i="2"/>
  <c r="FZ39" i="2"/>
  <c r="GA39" i="2"/>
  <c r="DH40" i="2"/>
  <c r="DI40" i="2"/>
  <c r="DJ40" i="2"/>
  <c r="DK40" i="2"/>
  <c r="DL40" i="2"/>
  <c r="DM40" i="2"/>
  <c r="DN40" i="2"/>
  <c r="DO40" i="2"/>
  <c r="DP40" i="2"/>
  <c r="DQ40" i="2"/>
  <c r="DR40" i="2"/>
  <c r="DS40" i="2"/>
  <c r="DT40" i="2"/>
  <c r="DU40" i="2"/>
  <c r="DV40" i="2"/>
  <c r="DW40" i="2"/>
  <c r="DX40" i="2"/>
  <c r="DY40" i="2"/>
  <c r="DZ40" i="2"/>
  <c r="EA40" i="2"/>
  <c r="EB40" i="2"/>
  <c r="EC40" i="2"/>
  <c r="ED40" i="2"/>
  <c r="EE40" i="2"/>
  <c r="EF40" i="2"/>
  <c r="EG40" i="2"/>
  <c r="EH40" i="2"/>
  <c r="EI40" i="2"/>
  <c r="EJ40" i="2"/>
  <c r="EK40" i="2"/>
  <c r="EL40" i="2"/>
  <c r="EM40" i="2"/>
  <c r="EN40" i="2"/>
  <c r="EO40" i="2"/>
  <c r="EP40" i="2"/>
  <c r="EQ40" i="2"/>
  <c r="ER40" i="2"/>
  <c r="ES40" i="2"/>
  <c r="ET40" i="2"/>
  <c r="EU40" i="2"/>
  <c r="EV40" i="2"/>
  <c r="EW40" i="2"/>
  <c r="EX40" i="2"/>
  <c r="EY40" i="2"/>
  <c r="EZ40" i="2"/>
  <c r="FA40" i="2"/>
  <c r="FB40" i="2"/>
  <c r="FC40" i="2"/>
  <c r="FD40" i="2"/>
  <c r="FE40" i="2"/>
  <c r="FF40" i="2"/>
  <c r="FG40" i="2"/>
  <c r="FH40" i="2"/>
  <c r="FI40" i="2"/>
  <c r="FJ40" i="2"/>
  <c r="FK40" i="2"/>
  <c r="FL40" i="2"/>
  <c r="FM40" i="2"/>
  <c r="FN40" i="2"/>
  <c r="FO40" i="2"/>
  <c r="FP40" i="2"/>
  <c r="FQ40" i="2"/>
  <c r="FR40" i="2"/>
  <c r="FS40" i="2"/>
  <c r="FT40" i="2"/>
  <c r="FU40" i="2"/>
  <c r="FV40" i="2"/>
  <c r="FW40" i="2"/>
  <c r="FX40" i="2"/>
  <c r="FY40" i="2"/>
  <c r="FZ40" i="2"/>
  <c r="GA40" i="2"/>
  <c r="EI19" i="2" l="1"/>
  <c r="T39" i="4" l="1"/>
  <c r="S39" i="4"/>
  <c r="R39" i="4"/>
  <c r="Q39" i="4"/>
  <c r="P39" i="4"/>
  <c r="O39" i="4"/>
  <c r="X39" i="4" s="1"/>
  <c r="N39" i="4"/>
  <c r="W39" i="4" s="1"/>
  <c r="M39" i="4"/>
  <c r="V39" i="4" s="1"/>
  <c r="L39" i="4"/>
  <c r="U39" i="4" s="1"/>
  <c r="L40" i="4"/>
  <c r="M40" i="4"/>
  <c r="N40" i="4"/>
  <c r="O40" i="4"/>
  <c r="P40" i="4"/>
  <c r="Q40" i="4"/>
  <c r="R40" i="4"/>
  <c r="S40" i="4"/>
  <c r="T40" i="4"/>
  <c r="V40" i="4"/>
  <c r="W40" i="4"/>
  <c r="X40" i="4"/>
  <c r="U40" i="4" l="1"/>
  <c r="GA24" i="2"/>
  <c r="FZ24" i="2"/>
  <c r="FY24" i="2"/>
  <c r="FX24" i="2"/>
  <c r="GA23" i="2"/>
  <c r="FZ23" i="2"/>
  <c r="FY23" i="2"/>
  <c r="FX23" i="2"/>
  <c r="GA22" i="2"/>
  <c r="FZ22" i="2"/>
  <c r="FY22" i="2"/>
  <c r="FX22" i="2"/>
  <c r="GA21" i="2"/>
  <c r="FZ21" i="2"/>
  <c r="FY21" i="2"/>
  <c r="FX21" i="2"/>
  <c r="GA20" i="2"/>
  <c r="FZ20" i="2"/>
  <c r="FY20" i="2"/>
  <c r="FX20" i="2"/>
  <c r="GA19" i="2"/>
  <c r="FZ19" i="2"/>
  <c r="FY19" i="2"/>
  <c r="FX19" i="2"/>
  <c r="GA18" i="2"/>
  <c r="FZ18" i="2"/>
  <c r="FY18" i="2"/>
  <c r="FX18" i="2"/>
  <c r="GA17" i="2"/>
  <c r="FZ17" i="2"/>
  <c r="FY17" i="2"/>
  <c r="FX17" i="2"/>
  <c r="GA16" i="2" l="1"/>
  <c r="FZ16" i="2"/>
  <c r="FY16" i="2"/>
  <c r="FX16" i="2"/>
  <c r="GA13" i="2" l="1"/>
  <c r="FZ13" i="2"/>
  <c r="FY13" i="2"/>
  <c r="FX13" i="2"/>
  <c r="FW13" i="2"/>
  <c r="FV13" i="2"/>
  <c r="FU13" i="2"/>
  <c r="FT13" i="2"/>
  <c r="FS13" i="2"/>
  <c r="FR13" i="2"/>
  <c r="FQ13" i="2"/>
  <c r="FP13" i="2"/>
  <c r="FO13" i="2"/>
  <c r="FN13" i="2"/>
  <c r="FM13" i="2"/>
  <c r="FL13" i="2"/>
  <c r="FK13" i="2"/>
  <c r="FJ13" i="2"/>
  <c r="FI13" i="2"/>
  <c r="FH13" i="2"/>
  <c r="FG13" i="2"/>
  <c r="FF13" i="2"/>
  <c r="FE13" i="2"/>
  <c r="FD13" i="2"/>
  <c r="FC13" i="2"/>
  <c r="FB13" i="2"/>
  <c r="FA13" i="2"/>
  <c r="EZ13" i="2"/>
  <c r="EY13" i="2"/>
  <c r="EX13" i="2"/>
  <c r="EW13" i="2"/>
  <c r="EV13" i="2"/>
  <c r="EU13" i="2"/>
  <c r="ET13" i="2"/>
  <c r="ES13" i="2"/>
  <c r="ER13" i="2"/>
  <c r="EQ13" i="2"/>
  <c r="EP13" i="2"/>
  <c r="EO13" i="2"/>
  <c r="EN13" i="2"/>
  <c r="EM13" i="2"/>
  <c r="EL13" i="2"/>
  <c r="EK13" i="2"/>
  <c r="EJ13" i="2"/>
  <c r="EI13" i="2"/>
  <c r="EH13" i="2"/>
  <c r="EG13" i="2"/>
  <c r="EF13" i="2"/>
  <c r="EE13" i="2"/>
  <c r="ED13" i="2"/>
  <c r="EC13" i="2"/>
  <c r="EB13" i="2"/>
  <c r="EA13" i="2"/>
  <c r="DZ13" i="2"/>
  <c r="DY13" i="2"/>
  <c r="DX13" i="2"/>
  <c r="DW13" i="2"/>
  <c r="DV13" i="2"/>
  <c r="DU13" i="2"/>
  <c r="DT13" i="2"/>
  <c r="DS13" i="2"/>
  <c r="DR13" i="2"/>
  <c r="DQ13" i="2"/>
  <c r="DP13" i="2"/>
  <c r="DO13" i="2"/>
  <c r="DN13" i="2"/>
  <c r="DM13" i="2"/>
  <c r="DL13" i="2"/>
  <c r="DK13" i="2"/>
  <c r="DJ13" i="2"/>
  <c r="DI13" i="2"/>
  <c r="L34" i="4" l="1"/>
  <c r="M34" i="4"/>
  <c r="N34" i="4"/>
  <c r="O34" i="4"/>
  <c r="P34" i="4"/>
  <c r="Q34" i="4"/>
  <c r="R34" i="4"/>
  <c r="S34" i="4"/>
  <c r="T34" i="4"/>
  <c r="X152" i="4"/>
  <c r="W152" i="4"/>
  <c r="V152" i="4"/>
  <c r="U152" i="4"/>
  <c r="T151" i="4"/>
  <c r="S151" i="4"/>
  <c r="R151" i="4"/>
  <c r="Q151" i="4"/>
  <c r="P151" i="4"/>
  <c r="O151" i="4"/>
  <c r="N151" i="4"/>
  <c r="M151" i="4"/>
  <c r="L151" i="4"/>
  <c r="T150" i="4"/>
  <c r="S150" i="4"/>
  <c r="R150" i="4"/>
  <c r="Q150" i="4"/>
  <c r="P150" i="4"/>
  <c r="O150" i="4"/>
  <c r="N150" i="4"/>
  <c r="M150" i="4"/>
  <c r="L150" i="4"/>
  <c r="T149" i="4"/>
  <c r="S149" i="4"/>
  <c r="R149" i="4"/>
  <c r="Q149" i="4"/>
  <c r="P149" i="4"/>
  <c r="O149" i="4"/>
  <c r="N149" i="4"/>
  <c r="M149" i="4"/>
  <c r="L149" i="4"/>
  <c r="T148" i="4"/>
  <c r="S148" i="4"/>
  <c r="R148" i="4"/>
  <c r="Q148" i="4"/>
  <c r="P148" i="4"/>
  <c r="O148" i="4"/>
  <c r="N148" i="4"/>
  <c r="M148" i="4"/>
  <c r="L148" i="4"/>
  <c r="T147" i="4"/>
  <c r="S147" i="4"/>
  <c r="R147" i="4"/>
  <c r="Q147" i="4"/>
  <c r="P147" i="4"/>
  <c r="O147" i="4"/>
  <c r="N147" i="4"/>
  <c r="M147" i="4"/>
  <c r="L147" i="4"/>
  <c r="T146" i="4"/>
  <c r="S146" i="4"/>
  <c r="R146" i="4"/>
  <c r="Q146" i="4"/>
  <c r="P146" i="4"/>
  <c r="O146" i="4"/>
  <c r="N146" i="4"/>
  <c r="M146" i="4"/>
  <c r="L146" i="4"/>
  <c r="T145" i="4"/>
  <c r="S145" i="4"/>
  <c r="R145" i="4"/>
  <c r="Q145" i="4"/>
  <c r="P145" i="4"/>
  <c r="O145" i="4"/>
  <c r="N145" i="4"/>
  <c r="M145" i="4"/>
  <c r="L145" i="4"/>
  <c r="T144" i="4"/>
  <c r="S144" i="4"/>
  <c r="R144" i="4"/>
  <c r="Q144" i="4"/>
  <c r="P144" i="4"/>
  <c r="O144" i="4"/>
  <c r="N144" i="4"/>
  <c r="M144" i="4"/>
  <c r="L144" i="4"/>
  <c r="T143" i="4"/>
  <c r="S143" i="4"/>
  <c r="R143" i="4"/>
  <c r="Q143" i="4"/>
  <c r="P143" i="4"/>
  <c r="O143" i="4"/>
  <c r="N143" i="4"/>
  <c r="M143" i="4"/>
  <c r="L143" i="4"/>
  <c r="T142" i="4"/>
  <c r="S142" i="4"/>
  <c r="R142" i="4"/>
  <c r="Q142" i="4"/>
  <c r="P142" i="4"/>
  <c r="O142" i="4"/>
  <c r="N142" i="4"/>
  <c r="M142" i="4"/>
  <c r="L142" i="4"/>
  <c r="T141" i="4"/>
  <c r="S141" i="4"/>
  <c r="R141" i="4"/>
  <c r="Q141" i="4"/>
  <c r="P141" i="4"/>
  <c r="O141" i="4"/>
  <c r="N141" i="4"/>
  <c r="M141" i="4"/>
  <c r="L141" i="4"/>
  <c r="T140" i="4"/>
  <c r="S140" i="4"/>
  <c r="R140" i="4"/>
  <c r="Q140" i="4"/>
  <c r="P140" i="4"/>
  <c r="O140" i="4"/>
  <c r="N140" i="4"/>
  <c r="M140" i="4"/>
  <c r="L140" i="4"/>
  <c r="T139" i="4"/>
  <c r="S139" i="4"/>
  <c r="R139" i="4"/>
  <c r="Q139" i="4"/>
  <c r="P139" i="4"/>
  <c r="O139" i="4"/>
  <c r="N139" i="4"/>
  <c r="M139" i="4"/>
  <c r="L139" i="4"/>
  <c r="T138" i="4"/>
  <c r="S138" i="4"/>
  <c r="R138" i="4"/>
  <c r="Q138" i="4"/>
  <c r="P138" i="4"/>
  <c r="O138" i="4"/>
  <c r="N138" i="4"/>
  <c r="M138" i="4"/>
  <c r="L138" i="4"/>
  <c r="T137" i="4"/>
  <c r="S137" i="4"/>
  <c r="R137" i="4"/>
  <c r="Q137" i="4"/>
  <c r="P137" i="4"/>
  <c r="O137" i="4"/>
  <c r="N137" i="4"/>
  <c r="M137" i="4"/>
  <c r="L137" i="4"/>
  <c r="T136" i="4"/>
  <c r="S136" i="4"/>
  <c r="R136" i="4"/>
  <c r="Q136" i="4"/>
  <c r="P136" i="4"/>
  <c r="O136" i="4"/>
  <c r="N136" i="4"/>
  <c r="M136" i="4"/>
  <c r="L136" i="4"/>
  <c r="T135" i="4"/>
  <c r="S135" i="4"/>
  <c r="R135" i="4"/>
  <c r="Q135" i="4"/>
  <c r="P135" i="4"/>
  <c r="O135" i="4"/>
  <c r="N135" i="4"/>
  <c r="M135" i="4"/>
  <c r="L135" i="4"/>
  <c r="T134" i="4"/>
  <c r="S134" i="4"/>
  <c r="R134" i="4"/>
  <c r="Q134" i="4"/>
  <c r="P134" i="4"/>
  <c r="O134" i="4"/>
  <c r="N134" i="4"/>
  <c r="M134" i="4"/>
  <c r="L134" i="4"/>
  <c r="T133" i="4"/>
  <c r="S133" i="4"/>
  <c r="R133" i="4"/>
  <c r="Q133" i="4"/>
  <c r="P133" i="4"/>
  <c r="O133" i="4"/>
  <c r="N133" i="4"/>
  <c r="M133" i="4"/>
  <c r="L133" i="4"/>
  <c r="T132" i="4"/>
  <c r="S132" i="4"/>
  <c r="R132" i="4"/>
  <c r="Q132" i="4"/>
  <c r="P132" i="4"/>
  <c r="O132" i="4"/>
  <c r="N132" i="4"/>
  <c r="M132" i="4"/>
  <c r="L132" i="4"/>
  <c r="T131" i="4"/>
  <c r="S131" i="4"/>
  <c r="R131" i="4"/>
  <c r="Q131" i="4"/>
  <c r="P131" i="4"/>
  <c r="O131" i="4"/>
  <c r="N131" i="4"/>
  <c r="M131" i="4"/>
  <c r="L131" i="4"/>
  <c r="T130" i="4"/>
  <c r="S130" i="4"/>
  <c r="R130" i="4"/>
  <c r="Q130" i="4"/>
  <c r="P130" i="4"/>
  <c r="O130" i="4"/>
  <c r="N130" i="4"/>
  <c r="M130" i="4"/>
  <c r="L130" i="4"/>
  <c r="T129" i="4"/>
  <c r="S129" i="4"/>
  <c r="R129" i="4"/>
  <c r="Q129" i="4"/>
  <c r="P129" i="4"/>
  <c r="O129" i="4"/>
  <c r="N129" i="4"/>
  <c r="M129" i="4"/>
  <c r="L129" i="4"/>
  <c r="T128" i="4"/>
  <c r="S128" i="4"/>
  <c r="R128" i="4"/>
  <c r="Q128" i="4"/>
  <c r="P128" i="4"/>
  <c r="O128" i="4"/>
  <c r="N128" i="4"/>
  <c r="M128" i="4"/>
  <c r="L128" i="4"/>
  <c r="T127" i="4"/>
  <c r="S127" i="4"/>
  <c r="R127" i="4"/>
  <c r="Q127" i="4"/>
  <c r="P127" i="4"/>
  <c r="O127" i="4"/>
  <c r="N127" i="4"/>
  <c r="M127" i="4"/>
  <c r="L127" i="4"/>
  <c r="T126" i="4"/>
  <c r="S126" i="4"/>
  <c r="R126" i="4"/>
  <c r="Q126" i="4"/>
  <c r="P126" i="4"/>
  <c r="O126" i="4"/>
  <c r="N126" i="4"/>
  <c r="M126" i="4"/>
  <c r="L126" i="4"/>
  <c r="T125" i="4"/>
  <c r="S125" i="4"/>
  <c r="R125" i="4"/>
  <c r="Q125" i="4"/>
  <c r="P125" i="4"/>
  <c r="O125" i="4"/>
  <c r="N125" i="4"/>
  <c r="M125" i="4"/>
  <c r="L125" i="4"/>
  <c r="T124" i="4"/>
  <c r="S124" i="4"/>
  <c r="R124" i="4"/>
  <c r="Q124" i="4"/>
  <c r="P124" i="4"/>
  <c r="O124" i="4"/>
  <c r="N124" i="4"/>
  <c r="M124" i="4"/>
  <c r="L124" i="4"/>
  <c r="T123" i="4"/>
  <c r="S123" i="4"/>
  <c r="R123" i="4"/>
  <c r="Q123" i="4"/>
  <c r="P123" i="4"/>
  <c r="O123" i="4"/>
  <c r="N123" i="4"/>
  <c r="M123" i="4"/>
  <c r="L123" i="4"/>
  <c r="T122" i="4"/>
  <c r="S122" i="4"/>
  <c r="R122" i="4"/>
  <c r="Q122" i="4"/>
  <c r="P122" i="4"/>
  <c r="O122" i="4"/>
  <c r="N122" i="4"/>
  <c r="M122" i="4"/>
  <c r="L122" i="4"/>
  <c r="T121" i="4"/>
  <c r="S121" i="4"/>
  <c r="R121" i="4"/>
  <c r="Q121" i="4"/>
  <c r="P121" i="4"/>
  <c r="O121" i="4"/>
  <c r="N121" i="4"/>
  <c r="M121" i="4"/>
  <c r="L121" i="4"/>
  <c r="T120" i="4"/>
  <c r="S120" i="4"/>
  <c r="R120" i="4"/>
  <c r="Q120" i="4"/>
  <c r="P120" i="4"/>
  <c r="O120" i="4"/>
  <c r="N120" i="4"/>
  <c r="M120" i="4"/>
  <c r="L120" i="4"/>
  <c r="T119" i="4"/>
  <c r="S119" i="4"/>
  <c r="R119" i="4"/>
  <c r="Q119" i="4"/>
  <c r="P119" i="4"/>
  <c r="O119" i="4"/>
  <c r="N119" i="4"/>
  <c r="M119" i="4"/>
  <c r="L119" i="4"/>
  <c r="T118" i="4"/>
  <c r="S118" i="4"/>
  <c r="R118" i="4"/>
  <c r="Q118" i="4"/>
  <c r="P118" i="4"/>
  <c r="O118" i="4"/>
  <c r="N118" i="4"/>
  <c r="M118" i="4"/>
  <c r="L118" i="4"/>
  <c r="T117" i="4"/>
  <c r="S117" i="4"/>
  <c r="R117" i="4"/>
  <c r="Q117" i="4"/>
  <c r="P117" i="4"/>
  <c r="O117" i="4"/>
  <c r="N117" i="4"/>
  <c r="M117" i="4"/>
  <c r="L117" i="4"/>
  <c r="T116" i="4"/>
  <c r="S116" i="4"/>
  <c r="R116" i="4"/>
  <c r="Q116" i="4"/>
  <c r="P116" i="4"/>
  <c r="O116" i="4"/>
  <c r="N116" i="4"/>
  <c r="M116" i="4"/>
  <c r="L116" i="4"/>
  <c r="T115" i="4"/>
  <c r="S115" i="4"/>
  <c r="R115" i="4"/>
  <c r="Q115" i="4"/>
  <c r="P115" i="4"/>
  <c r="O115" i="4"/>
  <c r="N115" i="4"/>
  <c r="M115" i="4"/>
  <c r="L115" i="4"/>
  <c r="T114" i="4"/>
  <c r="S114" i="4"/>
  <c r="R114" i="4"/>
  <c r="Q114" i="4"/>
  <c r="P114" i="4"/>
  <c r="O114" i="4"/>
  <c r="N114" i="4"/>
  <c r="M114" i="4"/>
  <c r="L114" i="4"/>
  <c r="T113" i="4"/>
  <c r="S113" i="4"/>
  <c r="R113" i="4"/>
  <c r="Q113" i="4"/>
  <c r="P113" i="4"/>
  <c r="O113" i="4"/>
  <c r="N113" i="4"/>
  <c r="M113" i="4"/>
  <c r="L113" i="4"/>
  <c r="T112" i="4"/>
  <c r="S112" i="4"/>
  <c r="R112" i="4"/>
  <c r="Q112" i="4"/>
  <c r="P112" i="4"/>
  <c r="O112" i="4"/>
  <c r="N112" i="4"/>
  <c r="M112" i="4"/>
  <c r="L112" i="4"/>
  <c r="T111" i="4"/>
  <c r="S111" i="4"/>
  <c r="R111" i="4"/>
  <c r="Q111" i="4"/>
  <c r="P111" i="4"/>
  <c r="O111" i="4"/>
  <c r="N111" i="4"/>
  <c r="M111" i="4"/>
  <c r="L111" i="4"/>
  <c r="T110" i="4"/>
  <c r="S110" i="4"/>
  <c r="R110" i="4"/>
  <c r="Q110" i="4"/>
  <c r="P110" i="4"/>
  <c r="O110" i="4"/>
  <c r="N110" i="4"/>
  <c r="M110" i="4"/>
  <c r="L110" i="4"/>
  <c r="T109" i="4"/>
  <c r="S109" i="4"/>
  <c r="R109" i="4"/>
  <c r="Q109" i="4"/>
  <c r="P109" i="4"/>
  <c r="O109" i="4"/>
  <c r="N109" i="4"/>
  <c r="M109" i="4"/>
  <c r="L109" i="4"/>
  <c r="T108" i="4"/>
  <c r="S108" i="4"/>
  <c r="R108" i="4"/>
  <c r="Q108" i="4"/>
  <c r="P108" i="4"/>
  <c r="O108" i="4"/>
  <c r="N108" i="4"/>
  <c r="M108" i="4"/>
  <c r="L108" i="4"/>
  <c r="T107" i="4"/>
  <c r="S107" i="4"/>
  <c r="R107" i="4"/>
  <c r="Q107" i="4"/>
  <c r="P107" i="4"/>
  <c r="O107" i="4"/>
  <c r="N107" i="4"/>
  <c r="M107" i="4"/>
  <c r="L107" i="4"/>
  <c r="T106" i="4"/>
  <c r="S106" i="4"/>
  <c r="R106" i="4"/>
  <c r="Q106" i="4"/>
  <c r="P106" i="4"/>
  <c r="O106" i="4"/>
  <c r="N106" i="4"/>
  <c r="M106" i="4"/>
  <c r="L106" i="4"/>
  <c r="T105" i="4"/>
  <c r="S105" i="4"/>
  <c r="R105" i="4"/>
  <c r="Q105" i="4"/>
  <c r="P105" i="4"/>
  <c r="O105" i="4"/>
  <c r="N105" i="4"/>
  <c r="W105" i="4" s="1"/>
  <c r="M105" i="4"/>
  <c r="L105" i="4"/>
  <c r="T104" i="4"/>
  <c r="S104" i="4"/>
  <c r="R104" i="4"/>
  <c r="Q104" i="4"/>
  <c r="P104" i="4"/>
  <c r="O104" i="4"/>
  <c r="N104" i="4"/>
  <c r="M104" i="4"/>
  <c r="L104" i="4"/>
  <c r="T103" i="4"/>
  <c r="S103" i="4"/>
  <c r="R103" i="4"/>
  <c r="Q103" i="4"/>
  <c r="P103" i="4"/>
  <c r="O103" i="4"/>
  <c r="N103" i="4"/>
  <c r="M103" i="4"/>
  <c r="L103" i="4"/>
  <c r="T102" i="4"/>
  <c r="S102" i="4"/>
  <c r="R102" i="4"/>
  <c r="Q102" i="4"/>
  <c r="P102" i="4"/>
  <c r="O102" i="4"/>
  <c r="N102" i="4"/>
  <c r="M102" i="4"/>
  <c r="L102" i="4"/>
  <c r="T101" i="4"/>
  <c r="S101" i="4"/>
  <c r="R101" i="4"/>
  <c r="Q101" i="4"/>
  <c r="P101" i="4"/>
  <c r="O101" i="4"/>
  <c r="N101" i="4"/>
  <c r="M101" i="4"/>
  <c r="L101" i="4"/>
  <c r="T100" i="4"/>
  <c r="S100" i="4"/>
  <c r="R100" i="4"/>
  <c r="Q100" i="4"/>
  <c r="P100" i="4"/>
  <c r="O100" i="4"/>
  <c r="N100" i="4"/>
  <c r="M100" i="4"/>
  <c r="L100" i="4"/>
  <c r="T99" i="4"/>
  <c r="S99" i="4"/>
  <c r="R99" i="4"/>
  <c r="Q99" i="4"/>
  <c r="P99" i="4"/>
  <c r="O99" i="4"/>
  <c r="N99" i="4"/>
  <c r="M99" i="4"/>
  <c r="L99" i="4"/>
  <c r="T98" i="4"/>
  <c r="S98" i="4"/>
  <c r="R98" i="4"/>
  <c r="Q98" i="4"/>
  <c r="P98" i="4"/>
  <c r="O98" i="4"/>
  <c r="N98" i="4"/>
  <c r="M98" i="4"/>
  <c r="L98" i="4"/>
  <c r="T97" i="4"/>
  <c r="S97" i="4"/>
  <c r="R97" i="4"/>
  <c r="Q97" i="4"/>
  <c r="P97" i="4"/>
  <c r="O97" i="4"/>
  <c r="N97" i="4"/>
  <c r="M97" i="4"/>
  <c r="L97" i="4"/>
  <c r="T96" i="4"/>
  <c r="S96" i="4"/>
  <c r="R96" i="4"/>
  <c r="Q96" i="4"/>
  <c r="P96" i="4"/>
  <c r="O96" i="4"/>
  <c r="N96" i="4"/>
  <c r="M96" i="4"/>
  <c r="L96" i="4"/>
  <c r="T95" i="4"/>
  <c r="S95" i="4"/>
  <c r="R95" i="4"/>
  <c r="Q95" i="4"/>
  <c r="P95" i="4"/>
  <c r="O95" i="4"/>
  <c r="N95" i="4"/>
  <c r="M95" i="4"/>
  <c r="L95" i="4"/>
  <c r="T94" i="4"/>
  <c r="S94" i="4"/>
  <c r="R94" i="4"/>
  <c r="Q94" i="4"/>
  <c r="P94" i="4"/>
  <c r="O94" i="4"/>
  <c r="N94" i="4"/>
  <c r="M94" i="4"/>
  <c r="L94" i="4"/>
  <c r="T93" i="4"/>
  <c r="S93" i="4"/>
  <c r="R93" i="4"/>
  <c r="Q93" i="4"/>
  <c r="P93" i="4"/>
  <c r="O93" i="4"/>
  <c r="N93" i="4"/>
  <c r="M93" i="4"/>
  <c r="L93" i="4"/>
  <c r="T92" i="4"/>
  <c r="S92" i="4"/>
  <c r="R92" i="4"/>
  <c r="Q92" i="4"/>
  <c r="P92" i="4"/>
  <c r="O92" i="4"/>
  <c r="N92" i="4"/>
  <c r="M92" i="4"/>
  <c r="L92" i="4"/>
  <c r="T91" i="4"/>
  <c r="S91" i="4"/>
  <c r="R91" i="4"/>
  <c r="Q91" i="4"/>
  <c r="P91" i="4"/>
  <c r="O91" i="4"/>
  <c r="N91" i="4"/>
  <c r="M91" i="4"/>
  <c r="L91" i="4"/>
  <c r="T90" i="4"/>
  <c r="S90" i="4"/>
  <c r="R90" i="4"/>
  <c r="Q90" i="4"/>
  <c r="P90" i="4"/>
  <c r="O90" i="4"/>
  <c r="N90" i="4"/>
  <c r="M90" i="4"/>
  <c r="L90" i="4"/>
  <c r="T89" i="4"/>
  <c r="S89" i="4"/>
  <c r="R89" i="4"/>
  <c r="Q89" i="4"/>
  <c r="P89" i="4"/>
  <c r="O89" i="4"/>
  <c r="N89" i="4"/>
  <c r="M89" i="4"/>
  <c r="L89" i="4"/>
  <c r="T88" i="4"/>
  <c r="S88" i="4"/>
  <c r="R88" i="4"/>
  <c r="Q88" i="4"/>
  <c r="P88" i="4"/>
  <c r="O88" i="4"/>
  <c r="N88" i="4"/>
  <c r="W88" i="4" s="1"/>
  <c r="M88" i="4"/>
  <c r="L88" i="4"/>
  <c r="T87" i="4"/>
  <c r="S87" i="4"/>
  <c r="R87" i="4"/>
  <c r="Q87" i="4"/>
  <c r="P87" i="4"/>
  <c r="O87" i="4"/>
  <c r="N87" i="4"/>
  <c r="M87" i="4"/>
  <c r="L87" i="4"/>
  <c r="T86" i="4"/>
  <c r="S86" i="4"/>
  <c r="R86" i="4"/>
  <c r="Q86" i="4"/>
  <c r="P86" i="4"/>
  <c r="O86" i="4"/>
  <c r="N86" i="4"/>
  <c r="M86" i="4"/>
  <c r="L86" i="4"/>
  <c r="T85" i="4"/>
  <c r="S85" i="4"/>
  <c r="R85" i="4"/>
  <c r="Q85" i="4"/>
  <c r="P85" i="4"/>
  <c r="O85" i="4"/>
  <c r="N85" i="4"/>
  <c r="M85" i="4"/>
  <c r="V85" i="4" s="1"/>
  <c r="L85" i="4"/>
  <c r="T84" i="4"/>
  <c r="S84" i="4"/>
  <c r="R84" i="4"/>
  <c r="Q84" i="4"/>
  <c r="P84" i="4"/>
  <c r="O84" i="4"/>
  <c r="N84" i="4"/>
  <c r="M84" i="4"/>
  <c r="L84" i="4"/>
  <c r="T83" i="4"/>
  <c r="S83" i="4"/>
  <c r="R83" i="4"/>
  <c r="Q83" i="4"/>
  <c r="P83" i="4"/>
  <c r="O83" i="4"/>
  <c r="N83" i="4"/>
  <c r="M83" i="4"/>
  <c r="L83" i="4"/>
  <c r="T82" i="4"/>
  <c r="S82" i="4"/>
  <c r="R82" i="4"/>
  <c r="Q82" i="4"/>
  <c r="P82" i="4"/>
  <c r="O82" i="4"/>
  <c r="N82" i="4"/>
  <c r="M82" i="4"/>
  <c r="L82" i="4"/>
  <c r="T81" i="4"/>
  <c r="S81" i="4"/>
  <c r="R81" i="4"/>
  <c r="Q81" i="4"/>
  <c r="P81" i="4"/>
  <c r="O81" i="4"/>
  <c r="N81" i="4"/>
  <c r="M81" i="4"/>
  <c r="L81" i="4"/>
  <c r="T80" i="4"/>
  <c r="S80" i="4"/>
  <c r="R80" i="4"/>
  <c r="Q80" i="4"/>
  <c r="P80" i="4"/>
  <c r="O80" i="4"/>
  <c r="N80" i="4"/>
  <c r="M80" i="4"/>
  <c r="L80" i="4"/>
  <c r="T79" i="4"/>
  <c r="S79" i="4"/>
  <c r="R79" i="4"/>
  <c r="Q79" i="4"/>
  <c r="P79" i="4"/>
  <c r="O79" i="4"/>
  <c r="N79" i="4"/>
  <c r="M79" i="4"/>
  <c r="L79" i="4"/>
  <c r="T78" i="4"/>
  <c r="S78" i="4"/>
  <c r="R78" i="4"/>
  <c r="Q78" i="4"/>
  <c r="P78" i="4"/>
  <c r="O78" i="4"/>
  <c r="N78" i="4"/>
  <c r="M78" i="4"/>
  <c r="L78" i="4"/>
  <c r="T77" i="4"/>
  <c r="S77" i="4"/>
  <c r="R77" i="4"/>
  <c r="Q77" i="4"/>
  <c r="P77" i="4"/>
  <c r="O77" i="4"/>
  <c r="N77" i="4"/>
  <c r="M77" i="4"/>
  <c r="L77" i="4"/>
  <c r="T76" i="4"/>
  <c r="S76" i="4"/>
  <c r="R76" i="4"/>
  <c r="Q76" i="4"/>
  <c r="P76" i="4"/>
  <c r="O76" i="4"/>
  <c r="N76" i="4"/>
  <c r="M76" i="4"/>
  <c r="L76" i="4"/>
  <c r="T75" i="4"/>
  <c r="S75" i="4"/>
  <c r="R75" i="4"/>
  <c r="Q75" i="4"/>
  <c r="P75" i="4"/>
  <c r="O75" i="4"/>
  <c r="N75" i="4"/>
  <c r="M75" i="4"/>
  <c r="L75" i="4"/>
  <c r="T74" i="4"/>
  <c r="S74" i="4"/>
  <c r="R74" i="4"/>
  <c r="Q74" i="4"/>
  <c r="P74" i="4"/>
  <c r="O74" i="4"/>
  <c r="N74" i="4"/>
  <c r="M74" i="4"/>
  <c r="L74" i="4"/>
  <c r="T73" i="4"/>
  <c r="S73" i="4"/>
  <c r="R73" i="4"/>
  <c r="Q73" i="4"/>
  <c r="P73" i="4"/>
  <c r="O73" i="4"/>
  <c r="N73" i="4"/>
  <c r="M73" i="4"/>
  <c r="L73" i="4"/>
  <c r="T72" i="4"/>
  <c r="S72" i="4"/>
  <c r="R72" i="4"/>
  <c r="Q72" i="4"/>
  <c r="P72" i="4"/>
  <c r="O72" i="4"/>
  <c r="N72" i="4"/>
  <c r="M72" i="4"/>
  <c r="L72" i="4"/>
  <c r="T71" i="4"/>
  <c r="S71" i="4"/>
  <c r="R71" i="4"/>
  <c r="Q71" i="4"/>
  <c r="P71" i="4"/>
  <c r="O71" i="4"/>
  <c r="N71" i="4"/>
  <c r="M71" i="4"/>
  <c r="V71" i="4" s="1"/>
  <c r="L71" i="4"/>
  <c r="T70" i="4"/>
  <c r="S70" i="4"/>
  <c r="R70" i="4"/>
  <c r="Q70" i="4"/>
  <c r="P70" i="4"/>
  <c r="O70" i="4"/>
  <c r="N70" i="4"/>
  <c r="M70" i="4"/>
  <c r="L70" i="4"/>
  <c r="T69" i="4"/>
  <c r="S69" i="4"/>
  <c r="R69" i="4"/>
  <c r="Q69" i="4"/>
  <c r="P69" i="4"/>
  <c r="O69" i="4"/>
  <c r="N69" i="4"/>
  <c r="M69" i="4"/>
  <c r="L69" i="4"/>
  <c r="T68" i="4"/>
  <c r="S68" i="4"/>
  <c r="R68" i="4"/>
  <c r="Q68" i="4"/>
  <c r="P68" i="4"/>
  <c r="O68" i="4"/>
  <c r="N68" i="4"/>
  <c r="M68" i="4"/>
  <c r="L68" i="4"/>
  <c r="T67" i="4"/>
  <c r="S67" i="4"/>
  <c r="R67" i="4"/>
  <c r="Q67" i="4"/>
  <c r="P67" i="4"/>
  <c r="O67" i="4"/>
  <c r="N67" i="4"/>
  <c r="M67" i="4"/>
  <c r="L67" i="4"/>
  <c r="T66" i="4"/>
  <c r="S66" i="4"/>
  <c r="R66" i="4"/>
  <c r="Q66" i="4"/>
  <c r="P66" i="4"/>
  <c r="O66" i="4"/>
  <c r="N66" i="4"/>
  <c r="M66" i="4"/>
  <c r="L66" i="4"/>
  <c r="T65" i="4"/>
  <c r="S65" i="4"/>
  <c r="R65" i="4"/>
  <c r="Q65" i="4"/>
  <c r="P65" i="4"/>
  <c r="O65" i="4"/>
  <c r="N65" i="4"/>
  <c r="M65" i="4"/>
  <c r="L65" i="4"/>
  <c r="T64" i="4"/>
  <c r="S64" i="4"/>
  <c r="R64" i="4"/>
  <c r="Q64" i="4"/>
  <c r="P64" i="4"/>
  <c r="O64" i="4"/>
  <c r="N64" i="4"/>
  <c r="M64" i="4"/>
  <c r="L64" i="4"/>
  <c r="T63" i="4"/>
  <c r="S63" i="4"/>
  <c r="R63" i="4"/>
  <c r="Q63" i="4"/>
  <c r="P63" i="4"/>
  <c r="O63" i="4"/>
  <c r="N63" i="4"/>
  <c r="M63" i="4"/>
  <c r="L63" i="4"/>
  <c r="T62" i="4"/>
  <c r="S62" i="4"/>
  <c r="R62" i="4"/>
  <c r="Q62" i="4"/>
  <c r="P62" i="4"/>
  <c r="O62" i="4"/>
  <c r="N62" i="4"/>
  <c r="M62" i="4"/>
  <c r="L62" i="4"/>
  <c r="T61" i="4"/>
  <c r="S61" i="4"/>
  <c r="R61" i="4"/>
  <c r="Q61" i="4"/>
  <c r="P61" i="4"/>
  <c r="O61" i="4"/>
  <c r="N61" i="4"/>
  <c r="M61" i="4"/>
  <c r="L61" i="4"/>
  <c r="T60" i="4"/>
  <c r="S60" i="4"/>
  <c r="R60" i="4"/>
  <c r="Q60" i="4"/>
  <c r="P60" i="4"/>
  <c r="O60" i="4"/>
  <c r="N60" i="4"/>
  <c r="M60" i="4"/>
  <c r="L60" i="4"/>
  <c r="T59" i="4"/>
  <c r="S59" i="4"/>
  <c r="R59" i="4"/>
  <c r="Q59" i="4"/>
  <c r="P59" i="4"/>
  <c r="O59" i="4"/>
  <c r="N59" i="4"/>
  <c r="M59" i="4"/>
  <c r="L59" i="4"/>
  <c r="T58" i="4"/>
  <c r="S58" i="4"/>
  <c r="R58" i="4"/>
  <c r="Q58" i="4"/>
  <c r="P58" i="4"/>
  <c r="O58" i="4"/>
  <c r="N58" i="4"/>
  <c r="M58" i="4"/>
  <c r="L58" i="4"/>
  <c r="T57" i="4"/>
  <c r="S57" i="4"/>
  <c r="R57" i="4"/>
  <c r="Q57" i="4"/>
  <c r="P57" i="4"/>
  <c r="O57" i="4"/>
  <c r="N57" i="4"/>
  <c r="M57" i="4"/>
  <c r="V57" i="4" s="1"/>
  <c r="L57" i="4"/>
  <c r="T56" i="4"/>
  <c r="S56" i="4"/>
  <c r="R56" i="4"/>
  <c r="Q56" i="4"/>
  <c r="P56" i="4"/>
  <c r="O56" i="4"/>
  <c r="N56" i="4"/>
  <c r="M56" i="4"/>
  <c r="L56" i="4"/>
  <c r="T55" i="4"/>
  <c r="S55" i="4"/>
  <c r="R55" i="4"/>
  <c r="Q55" i="4"/>
  <c r="P55" i="4"/>
  <c r="O55" i="4"/>
  <c r="N55" i="4"/>
  <c r="M55" i="4"/>
  <c r="L55" i="4"/>
  <c r="T54" i="4"/>
  <c r="S54" i="4"/>
  <c r="R54" i="4"/>
  <c r="Q54" i="4"/>
  <c r="P54" i="4"/>
  <c r="O54" i="4"/>
  <c r="N54" i="4"/>
  <c r="M54" i="4"/>
  <c r="L54" i="4"/>
  <c r="T53" i="4"/>
  <c r="S53" i="4"/>
  <c r="R53" i="4"/>
  <c r="Q53" i="4"/>
  <c r="P53" i="4"/>
  <c r="O53" i="4"/>
  <c r="N53" i="4"/>
  <c r="M53" i="4"/>
  <c r="L53" i="4"/>
  <c r="T52" i="4"/>
  <c r="S52" i="4"/>
  <c r="R52" i="4"/>
  <c r="Q52" i="4"/>
  <c r="P52" i="4"/>
  <c r="O52" i="4"/>
  <c r="N52" i="4"/>
  <c r="M52" i="4"/>
  <c r="L52" i="4"/>
  <c r="T51" i="4"/>
  <c r="S51" i="4"/>
  <c r="R51" i="4"/>
  <c r="Q51" i="4"/>
  <c r="P51" i="4"/>
  <c r="O51" i="4"/>
  <c r="N51" i="4"/>
  <c r="M51" i="4"/>
  <c r="L51" i="4"/>
  <c r="T50" i="4"/>
  <c r="S50" i="4"/>
  <c r="R50" i="4"/>
  <c r="Q50" i="4"/>
  <c r="P50" i="4"/>
  <c r="O50" i="4"/>
  <c r="N50" i="4"/>
  <c r="M50" i="4"/>
  <c r="L50" i="4"/>
  <c r="T49" i="4"/>
  <c r="S49" i="4"/>
  <c r="R49" i="4"/>
  <c r="Q49" i="4"/>
  <c r="P49" i="4"/>
  <c r="O49" i="4"/>
  <c r="X49" i="4" s="1"/>
  <c r="N49" i="4"/>
  <c r="M49" i="4"/>
  <c r="L49" i="4"/>
  <c r="T48" i="4"/>
  <c r="S48" i="4"/>
  <c r="R48" i="4"/>
  <c r="Q48" i="4"/>
  <c r="P48" i="4"/>
  <c r="O48" i="4"/>
  <c r="N48" i="4"/>
  <c r="M48" i="4"/>
  <c r="L48" i="4"/>
  <c r="T47" i="4"/>
  <c r="S47" i="4"/>
  <c r="R47" i="4"/>
  <c r="Q47" i="4"/>
  <c r="P47" i="4"/>
  <c r="O47" i="4"/>
  <c r="N47" i="4"/>
  <c r="M47" i="4"/>
  <c r="L47" i="4"/>
  <c r="T46" i="4"/>
  <c r="S46" i="4"/>
  <c r="R46" i="4"/>
  <c r="Q46" i="4"/>
  <c r="P46" i="4"/>
  <c r="O46" i="4"/>
  <c r="N46" i="4"/>
  <c r="W46" i="4" s="1"/>
  <c r="M46" i="4"/>
  <c r="L46" i="4"/>
  <c r="T45" i="4"/>
  <c r="S45" i="4"/>
  <c r="R45" i="4"/>
  <c r="Q45" i="4"/>
  <c r="P45" i="4"/>
  <c r="O45" i="4"/>
  <c r="N45" i="4"/>
  <c r="M45" i="4"/>
  <c r="L45" i="4"/>
  <c r="T44" i="4"/>
  <c r="S44" i="4"/>
  <c r="R44" i="4"/>
  <c r="V44" i="4" s="1"/>
  <c r="Q44" i="4"/>
  <c r="U44" i="4" s="1"/>
  <c r="P44" i="4"/>
  <c r="O44" i="4"/>
  <c r="N44" i="4"/>
  <c r="M44" i="4"/>
  <c r="L44" i="4"/>
  <c r="T43" i="4"/>
  <c r="S43" i="4"/>
  <c r="R43" i="4"/>
  <c r="Q43" i="4"/>
  <c r="P43" i="4"/>
  <c r="O43" i="4"/>
  <c r="N43" i="4"/>
  <c r="M43" i="4"/>
  <c r="L43" i="4"/>
  <c r="T42" i="4"/>
  <c r="S42" i="4"/>
  <c r="R42" i="4"/>
  <c r="Q42" i="4"/>
  <c r="P42" i="4"/>
  <c r="O42" i="4"/>
  <c r="N42" i="4"/>
  <c r="M42" i="4"/>
  <c r="L42" i="4"/>
  <c r="T41" i="4"/>
  <c r="S41" i="4"/>
  <c r="R41" i="4"/>
  <c r="Q41" i="4"/>
  <c r="P41" i="4"/>
  <c r="O41" i="4"/>
  <c r="N41" i="4"/>
  <c r="M41" i="4"/>
  <c r="L41" i="4"/>
  <c r="T38" i="4"/>
  <c r="S38" i="4"/>
  <c r="R38" i="4"/>
  <c r="Q38" i="4"/>
  <c r="P38" i="4"/>
  <c r="O38" i="4"/>
  <c r="N38" i="4"/>
  <c r="M38" i="4"/>
  <c r="L38" i="4"/>
  <c r="T37" i="4"/>
  <c r="S37" i="4"/>
  <c r="R37" i="4"/>
  <c r="Q37" i="4"/>
  <c r="P37" i="4"/>
  <c r="O37" i="4"/>
  <c r="N37" i="4"/>
  <c r="M37" i="4"/>
  <c r="L37" i="4"/>
  <c r="T36" i="4"/>
  <c r="S36" i="4"/>
  <c r="R36" i="4"/>
  <c r="Q36" i="4"/>
  <c r="P36" i="4"/>
  <c r="O36" i="4"/>
  <c r="N36" i="4"/>
  <c r="M36" i="4"/>
  <c r="L36" i="4"/>
  <c r="T35" i="4"/>
  <c r="S35" i="4"/>
  <c r="R35" i="4"/>
  <c r="Q35" i="4"/>
  <c r="P35" i="4"/>
  <c r="O35" i="4"/>
  <c r="N35" i="4"/>
  <c r="M35" i="4"/>
  <c r="L35" i="4"/>
  <c r="T33" i="4"/>
  <c r="S33" i="4"/>
  <c r="R33" i="4"/>
  <c r="Q33" i="4"/>
  <c r="P33" i="4"/>
  <c r="O33" i="4"/>
  <c r="N33" i="4"/>
  <c r="M33" i="4"/>
  <c r="L33" i="4"/>
  <c r="T32" i="4"/>
  <c r="S32" i="4"/>
  <c r="R32" i="4"/>
  <c r="Q32" i="4"/>
  <c r="P32" i="4"/>
  <c r="O32" i="4"/>
  <c r="N32" i="4"/>
  <c r="M32" i="4"/>
  <c r="L32" i="4"/>
  <c r="T31" i="4"/>
  <c r="S31" i="4"/>
  <c r="R31" i="4"/>
  <c r="Q31" i="4"/>
  <c r="P31" i="4"/>
  <c r="O31" i="4"/>
  <c r="N31" i="4"/>
  <c r="M31" i="4"/>
  <c r="L31" i="4"/>
  <c r="T30" i="4"/>
  <c r="S30" i="4"/>
  <c r="R30" i="4"/>
  <c r="Q30" i="4"/>
  <c r="P30" i="4"/>
  <c r="O30" i="4"/>
  <c r="N30" i="4"/>
  <c r="W30" i="4" s="1"/>
  <c r="M30" i="4"/>
  <c r="L30" i="4"/>
  <c r="T29" i="4"/>
  <c r="S29" i="4"/>
  <c r="R29" i="4"/>
  <c r="Q29" i="4"/>
  <c r="P29" i="4"/>
  <c r="O29" i="4"/>
  <c r="N29" i="4"/>
  <c r="M29" i="4"/>
  <c r="L29" i="4"/>
  <c r="T28" i="4"/>
  <c r="S28" i="4"/>
  <c r="R28" i="4"/>
  <c r="Q28" i="4"/>
  <c r="P28" i="4"/>
  <c r="O28" i="4"/>
  <c r="N28" i="4"/>
  <c r="M28" i="4"/>
  <c r="L28" i="4"/>
  <c r="T27" i="4"/>
  <c r="S27" i="4"/>
  <c r="R27" i="4"/>
  <c r="Q27" i="4"/>
  <c r="P27" i="4"/>
  <c r="O27" i="4"/>
  <c r="N27" i="4"/>
  <c r="M27" i="4"/>
  <c r="L27" i="4"/>
  <c r="T26" i="4"/>
  <c r="S26" i="4"/>
  <c r="R26" i="4"/>
  <c r="Q26" i="4"/>
  <c r="P26" i="4"/>
  <c r="O26" i="4"/>
  <c r="N26" i="4"/>
  <c r="M26" i="4"/>
  <c r="L26" i="4"/>
  <c r="T25" i="4"/>
  <c r="S25" i="4"/>
  <c r="R25" i="4"/>
  <c r="Q25" i="4"/>
  <c r="P25" i="4"/>
  <c r="O25" i="4"/>
  <c r="N25" i="4"/>
  <c r="M25" i="4"/>
  <c r="L25" i="4"/>
  <c r="T24" i="4"/>
  <c r="S24" i="4"/>
  <c r="R24" i="4"/>
  <c r="Q24" i="4"/>
  <c r="P24" i="4"/>
  <c r="O24" i="4"/>
  <c r="N24" i="4"/>
  <c r="M24" i="4"/>
  <c r="L24" i="4"/>
  <c r="T23" i="4"/>
  <c r="S23" i="4"/>
  <c r="R23" i="4"/>
  <c r="Q23" i="4"/>
  <c r="P23" i="4"/>
  <c r="O23" i="4"/>
  <c r="N23" i="4"/>
  <c r="M23" i="4"/>
  <c r="L23" i="4"/>
  <c r="T22" i="4"/>
  <c r="S22" i="4"/>
  <c r="R22" i="4"/>
  <c r="Q22" i="4"/>
  <c r="P22" i="4"/>
  <c r="O22" i="4"/>
  <c r="N22" i="4"/>
  <c r="M22" i="4"/>
  <c r="L22" i="4"/>
  <c r="T21" i="4"/>
  <c r="S21" i="4"/>
  <c r="R21" i="4"/>
  <c r="Q21" i="4"/>
  <c r="P21" i="4"/>
  <c r="O21" i="4"/>
  <c r="N21" i="4"/>
  <c r="M21" i="4"/>
  <c r="L21" i="4"/>
  <c r="T20" i="4"/>
  <c r="S20" i="4"/>
  <c r="R20" i="4"/>
  <c r="Q20" i="4"/>
  <c r="P20" i="4"/>
  <c r="O20" i="4"/>
  <c r="N20" i="4"/>
  <c r="M20" i="4"/>
  <c r="L20" i="4"/>
  <c r="T19" i="4"/>
  <c r="S19" i="4"/>
  <c r="R19" i="4"/>
  <c r="Q19" i="4"/>
  <c r="P19" i="4"/>
  <c r="O19" i="4"/>
  <c r="N19" i="4"/>
  <c r="M19" i="4"/>
  <c r="L19" i="4"/>
  <c r="T18" i="4"/>
  <c r="S18" i="4"/>
  <c r="R18" i="4"/>
  <c r="Q18" i="4"/>
  <c r="P18" i="4"/>
  <c r="O18" i="4"/>
  <c r="N18" i="4"/>
  <c r="M18" i="4"/>
  <c r="L18" i="4"/>
  <c r="T17" i="4"/>
  <c r="S17" i="4"/>
  <c r="R17" i="4"/>
  <c r="Q17" i="4"/>
  <c r="P17" i="4"/>
  <c r="O17" i="4"/>
  <c r="N17" i="4"/>
  <c r="M17" i="4"/>
  <c r="L17" i="4"/>
  <c r="T16" i="4"/>
  <c r="S16" i="4"/>
  <c r="R16" i="4"/>
  <c r="Q16" i="4"/>
  <c r="P16" i="4"/>
  <c r="O16" i="4"/>
  <c r="N16" i="4"/>
  <c r="W16" i="4" s="1"/>
  <c r="M16" i="4"/>
  <c r="L16" i="4"/>
  <c r="T15" i="4"/>
  <c r="S15" i="4"/>
  <c r="R15" i="4"/>
  <c r="Q15" i="4"/>
  <c r="P15" i="4"/>
  <c r="O15" i="4"/>
  <c r="N15" i="4"/>
  <c r="M15" i="4"/>
  <c r="L15" i="4"/>
  <c r="T14" i="4"/>
  <c r="S14" i="4"/>
  <c r="R14" i="4"/>
  <c r="Q14" i="4"/>
  <c r="P14" i="4"/>
  <c r="O14" i="4"/>
  <c r="N14" i="4"/>
  <c r="M14" i="4"/>
  <c r="L14" i="4"/>
  <c r="T13" i="4"/>
  <c r="S13" i="4"/>
  <c r="R13" i="4"/>
  <c r="Q13" i="4"/>
  <c r="P13" i="4"/>
  <c r="O13" i="4"/>
  <c r="N13" i="4"/>
  <c r="M13" i="4"/>
  <c r="L13" i="4"/>
  <c r="T12" i="4"/>
  <c r="S12" i="4"/>
  <c r="R12" i="4"/>
  <c r="Q12" i="4"/>
  <c r="P12" i="4"/>
  <c r="O12" i="4"/>
  <c r="N12" i="4"/>
  <c r="M12" i="4"/>
  <c r="L12" i="4"/>
  <c r="T11" i="4"/>
  <c r="S11" i="4"/>
  <c r="R11" i="4"/>
  <c r="Q11" i="4"/>
  <c r="P11" i="4"/>
  <c r="O11" i="4"/>
  <c r="N11" i="4"/>
  <c r="M11" i="4"/>
  <c r="L11" i="4"/>
  <c r="T10" i="4"/>
  <c r="S10" i="4"/>
  <c r="R10" i="4"/>
  <c r="Q10" i="4"/>
  <c r="P10" i="4"/>
  <c r="O10" i="4"/>
  <c r="N10" i="4"/>
  <c r="M10" i="4"/>
  <c r="L10" i="4"/>
  <c r="W42" i="4" l="1"/>
  <c r="W71" i="4"/>
  <c r="U79" i="4"/>
  <c r="W85" i="4"/>
  <c r="V36" i="4"/>
  <c r="X71" i="4"/>
  <c r="U76" i="4"/>
  <c r="V79" i="4"/>
  <c r="X85" i="4"/>
  <c r="W51" i="4"/>
  <c r="X68" i="4"/>
  <c r="U42" i="4"/>
  <c r="V45" i="4"/>
  <c r="V54" i="4"/>
  <c r="V42" i="4"/>
  <c r="W45" i="4"/>
  <c r="U100" i="4"/>
  <c r="U115" i="4"/>
  <c r="V117" i="4"/>
  <c r="W120" i="4"/>
  <c r="U142" i="4"/>
  <c r="W148" i="4"/>
  <c r="X151" i="4"/>
  <c r="V87" i="4"/>
  <c r="U97" i="4"/>
  <c r="V100" i="4"/>
  <c r="V114" i="4"/>
  <c r="X148" i="4"/>
  <c r="X34" i="4"/>
  <c r="W58" i="4"/>
  <c r="X61" i="4"/>
  <c r="V83" i="4"/>
  <c r="V97" i="4"/>
  <c r="W100" i="4"/>
  <c r="W114" i="4"/>
  <c r="X117" i="4"/>
  <c r="W142" i="4"/>
  <c r="X145" i="4"/>
  <c r="W34" i="4"/>
  <c r="W11" i="4"/>
  <c r="X45" i="4"/>
  <c r="U49" i="4"/>
  <c r="V52" i="4"/>
  <c r="V53" i="4"/>
  <c r="W55" i="4"/>
  <c r="X58" i="4"/>
  <c r="U78" i="4"/>
  <c r="W37" i="4"/>
  <c r="W38" i="4"/>
  <c r="V49" i="4"/>
  <c r="W52" i="4"/>
  <c r="U74" i="4"/>
  <c r="V77" i="4"/>
  <c r="V91" i="4"/>
  <c r="V105" i="4"/>
  <c r="W108" i="4"/>
  <c r="U130" i="4"/>
  <c r="U34" i="4"/>
  <c r="X42" i="4"/>
  <c r="X107" i="4"/>
  <c r="V116" i="4"/>
  <c r="U126" i="4"/>
  <c r="U127" i="4"/>
  <c r="V129" i="4"/>
  <c r="W132" i="4"/>
  <c r="X135" i="4"/>
  <c r="U140" i="4"/>
  <c r="W101" i="4"/>
  <c r="W116" i="4"/>
  <c r="U123" i="4"/>
  <c r="V126" i="4"/>
  <c r="V127" i="4"/>
  <c r="W129" i="4"/>
  <c r="U151" i="4"/>
  <c r="V11" i="4"/>
  <c r="V12" i="4"/>
  <c r="X17" i="4"/>
  <c r="V26" i="4"/>
  <c r="W98" i="4"/>
  <c r="X101" i="4"/>
  <c r="U106" i="4"/>
  <c r="X115" i="4"/>
  <c r="X116" i="4"/>
  <c r="U120" i="4"/>
  <c r="W141" i="4"/>
  <c r="U148" i="4"/>
  <c r="V151" i="4"/>
  <c r="W25" i="4"/>
  <c r="V58" i="4"/>
  <c r="X64" i="4"/>
  <c r="U69" i="4"/>
  <c r="V93" i="4"/>
  <c r="W95" i="4"/>
  <c r="V120" i="4"/>
  <c r="V148" i="4"/>
  <c r="W151" i="4"/>
  <c r="U36" i="4"/>
  <c r="W43" i="4"/>
  <c r="W49" i="4"/>
  <c r="U57" i="4"/>
  <c r="X80" i="4"/>
  <c r="U91" i="4"/>
  <c r="V94" i="4"/>
  <c r="W97" i="4"/>
  <c r="V108" i="4"/>
  <c r="W111" i="4"/>
  <c r="X114" i="4"/>
  <c r="X74" i="4"/>
  <c r="V34" i="4"/>
  <c r="X75" i="4"/>
  <c r="X149" i="4"/>
  <c r="X72" i="4"/>
  <c r="V72" i="4"/>
  <c r="W115" i="4"/>
  <c r="V140" i="4"/>
  <c r="U143" i="4"/>
  <c r="W72" i="4"/>
  <c r="V109" i="4"/>
  <c r="W146" i="4"/>
  <c r="W66" i="4"/>
  <c r="X128" i="4"/>
  <c r="W102" i="4"/>
  <c r="W103" i="4"/>
  <c r="X105" i="4"/>
  <c r="X108" i="4"/>
  <c r="U113" i="4"/>
  <c r="U114" i="4"/>
  <c r="V150" i="4"/>
  <c r="V41" i="4"/>
  <c r="X56" i="4"/>
  <c r="W59" i="4"/>
  <c r="U67" i="4"/>
  <c r="U70" i="4"/>
  <c r="U71" i="4"/>
  <c r="X102" i="4"/>
  <c r="V113" i="4"/>
  <c r="W130" i="4"/>
  <c r="W131" i="4"/>
  <c r="U138" i="4"/>
  <c r="U141" i="4"/>
  <c r="V147" i="4"/>
  <c r="W150" i="4"/>
  <c r="X59" i="4"/>
  <c r="U64" i="4"/>
  <c r="V70" i="4"/>
  <c r="W113" i="4"/>
  <c r="W127" i="4"/>
  <c r="W128" i="4"/>
  <c r="X130" i="4"/>
  <c r="U135" i="4"/>
  <c r="V138" i="4"/>
  <c r="V141" i="4"/>
  <c r="U17" i="4"/>
  <c r="U18" i="4"/>
  <c r="W23" i="4"/>
  <c r="U55" i="4"/>
  <c r="U61" i="4"/>
  <c r="V64" i="4"/>
  <c r="W67" i="4"/>
  <c r="W70" i="4"/>
  <c r="W90" i="4"/>
  <c r="U99" i="4"/>
  <c r="X113" i="4"/>
  <c r="U132" i="4"/>
  <c r="V135" i="4"/>
  <c r="V17" i="4"/>
  <c r="V55" i="4"/>
  <c r="V56" i="4"/>
  <c r="V61" i="4"/>
  <c r="W64" i="4"/>
  <c r="X88" i="4"/>
  <c r="V101" i="4"/>
  <c r="X110" i="4"/>
  <c r="V132" i="4"/>
  <c r="W135" i="4"/>
  <c r="X83" i="4"/>
  <c r="X146" i="4"/>
  <c r="U59" i="4"/>
  <c r="U136" i="4"/>
  <c r="X46" i="4"/>
  <c r="V74" i="4"/>
  <c r="U98" i="4"/>
  <c r="U28" i="4"/>
  <c r="V31" i="4"/>
  <c r="W74" i="4"/>
  <c r="X89" i="4"/>
  <c r="V98" i="4"/>
  <c r="U101" i="4"/>
  <c r="X118" i="4"/>
  <c r="V142" i="4"/>
  <c r="W31" i="4"/>
  <c r="V46" i="4"/>
  <c r="W80" i="4"/>
  <c r="V95" i="4"/>
  <c r="U26" i="4"/>
  <c r="V29" i="4"/>
  <c r="V30" i="4"/>
  <c r="U47" i="4"/>
  <c r="V50" i="4"/>
  <c r="V51" i="4"/>
  <c r="W78" i="4"/>
  <c r="W81" i="4"/>
  <c r="W82" i="4"/>
  <c r="X84" i="4"/>
  <c r="W87" i="4"/>
  <c r="V96" i="4"/>
  <c r="X103" i="4"/>
  <c r="X109" i="4"/>
  <c r="U111" i="4"/>
  <c r="V115" i="4"/>
  <c r="U124" i="4"/>
  <c r="U125" i="4"/>
  <c r="V143" i="4"/>
  <c r="V47" i="4"/>
  <c r="W50" i="4"/>
  <c r="U66" i="4"/>
  <c r="X73" i="4"/>
  <c r="X78" i="4"/>
  <c r="X87" i="4"/>
  <c r="V90" i="4"/>
  <c r="W93" i="4"/>
  <c r="V111" i="4"/>
  <c r="U118" i="4"/>
  <c r="U121" i="4"/>
  <c r="U122" i="4"/>
  <c r="X131" i="4"/>
  <c r="X132" i="4"/>
  <c r="W143" i="4"/>
  <c r="X139" i="4"/>
  <c r="W124" i="4"/>
  <c r="X47" i="4"/>
  <c r="V59" i="4"/>
  <c r="W68" i="4"/>
  <c r="X90" i="4"/>
  <c r="V102" i="4"/>
  <c r="W144" i="4"/>
  <c r="W48" i="4"/>
  <c r="X54" i="4"/>
  <c r="W57" i="4"/>
  <c r="U58" i="4"/>
  <c r="V66" i="4"/>
  <c r="V69" i="4"/>
  <c r="X79" i="4"/>
  <c r="U84" i="4"/>
  <c r="X86" i="4"/>
  <c r="W91" i="4"/>
  <c r="W94" i="4"/>
  <c r="U103" i="4"/>
  <c r="V123" i="4"/>
  <c r="W125" i="4"/>
  <c r="X129" i="4"/>
  <c r="X57" i="4"/>
  <c r="W69" i="4"/>
  <c r="U81" i="4"/>
  <c r="V84" i="4"/>
  <c r="W89" i="4"/>
  <c r="W122" i="4"/>
  <c r="U128" i="4"/>
  <c r="W140" i="4"/>
  <c r="X144" i="4"/>
  <c r="U146" i="4"/>
  <c r="U29" i="4"/>
  <c r="U50" i="4"/>
  <c r="U53" i="4"/>
  <c r="U56" i="4"/>
  <c r="W60" i="4"/>
  <c r="W63" i="4"/>
  <c r="W84" i="4"/>
  <c r="U96" i="4"/>
  <c r="V99" i="4"/>
  <c r="X119" i="4"/>
  <c r="X122" i="4"/>
  <c r="W137" i="4"/>
  <c r="X140" i="4"/>
  <c r="U144" i="4"/>
  <c r="X95" i="4"/>
  <c r="X125" i="4"/>
  <c r="U16" i="4"/>
  <c r="U31" i="4"/>
  <c r="W36" i="4"/>
  <c r="X62" i="4"/>
  <c r="X76" i="4"/>
  <c r="X91" i="4"/>
  <c r="V118" i="4"/>
  <c r="V121" i="4"/>
  <c r="V124" i="4"/>
  <c r="V128" i="4"/>
  <c r="V16" i="4"/>
  <c r="W19" i="4"/>
  <c r="X36" i="4"/>
  <c r="U41" i="4"/>
  <c r="X53" i="4"/>
  <c r="U60" i="4"/>
  <c r="U77" i="4"/>
  <c r="U83" i="4"/>
  <c r="X100" i="4"/>
  <c r="V107" i="4"/>
  <c r="W118" i="4"/>
  <c r="W121" i="4"/>
  <c r="U129" i="4"/>
  <c r="U134" i="4"/>
  <c r="U147" i="4"/>
  <c r="W47" i="4"/>
  <c r="U94" i="4"/>
  <c r="W61" i="4"/>
  <c r="V67" i="4"/>
  <c r="W138" i="4"/>
  <c r="X52" i="4"/>
  <c r="X60" i="4"/>
  <c r="X63" i="4"/>
  <c r="X66" i="4"/>
  <c r="V73" i="4"/>
  <c r="U86" i="4"/>
  <c r="X93" i="4"/>
  <c r="X96" i="4"/>
  <c r="W99" i="4"/>
  <c r="X127" i="4"/>
  <c r="X134" i="4"/>
  <c r="X150" i="4"/>
  <c r="U15" i="4"/>
  <c r="X41" i="4"/>
  <c r="W44" i="4"/>
  <c r="X69" i="4"/>
  <c r="U72" i="4"/>
  <c r="W73" i="4"/>
  <c r="V86" i="4"/>
  <c r="V103" i="4"/>
  <c r="V106" i="4"/>
  <c r="U109" i="4"/>
  <c r="U112" i="4"/>
  <c r="X137" i="4"/>
  <c r="U139" i="4"/>
  <c r="X44" i="4"/>
  <c r="U62" i="4"/>
  <c r="U65" i="4"/>
  <c r="U68" i="4"/>
  <c r="U82" i="4"/>
  <c r="W86" i="4"/>
  <c r="U92" i="4"/>
  <c r="W106" i="4"/>
  <c r="V112" i="4"/>
  <c r="X120" i="4"/>
  <c r="W123" i="4"/>
  <c r="W126" i="4"/>
  <c r="U133" i="4"/>
  <c r="V139" i="4"/>
  <c r="V146" i="4"/>
  <c r="U149" i="4"/>
  <c r="X19" i="4"/>
  <c r="U23" i="4"/>
  <c r="U37" i="4"/>
  <c r="U38" i="4"/>
  <c r="U43" i="4"/>
  <c r="V60" i="4"/>
  <c r="V62" i="4"/>
  <c r="V65" i="4"/>
  <c r="V76" i="4"/>
  <c r="U80" i="4"/>
  <c r="V82" i="4"/>
  <c r="U85" i="4"/>
  <c r="U89" i="4"/>
  <c r="X106" i="4"/>
  <c r="U116" i="4"/>
  <c r="V133" i="4"/>
  <c r="V136" i="4"/>
  <c r="X143" i="4"/>
  <c r="V144" i="4"/>
  <c r="V23" i="4"/>
  <c r="V37" i="4"/>
  <c r="V43" i="4"/>
  <c r="X51" i="4"/>
  <c r="U73" i="4"/>
  <c r="W76" i="4"/>
  <c r="W79" i="4"/>
  <c r="W96" i="4"/>
  <c r="X98" i="4"/>
  <c r="U102" i="4"/>
  <c r="W133" i="4"/>
  <c r="W136" i="4"/>
  <c r="V32" i="4"/>
  <c r="X37" i="4"/>
  <c r="U45" i="4"/>
  <c r="U48" i="4"/>
  <c r="U51" i="4"/>
  <c r="X55" i="4"/>
  <c r="U63" i="4"/>
  <c r="X70" i="4"/>
  <c r="U75" i="4"/>
  <c r="X82" i="4"/>
  <c r="V88" i="4"/>
  <c r="X94" i="4"/>
  <c r="X104" i="4"/>
  <c r="W109" i="4"/>
  <c r="W110" i="4"/>
  <c r="W112" i="4"/>
  <c r="X121" i="4"/>
  <c r="X133" i="4"/>
  <c r="V137" i="4"/>
  <c r="W139" i="4"/>
  <c r="V145" i="4"/>
  <c r="V14" i="4"/>
  <c r="W18" i="4"/>
  <c r="X20" i="4"/>
  <c r="V28" i="4"/>
  <c r="X43" i="4"/>
  <c r="V48" i="4"/>
  <c r="U52" i="4"/>
  <c r="U54" i="4"/>
  <c r="V63" i="4"/>
  <c r="X67" i="4"/>
  <c r="V75" i="4"/>
  <c r="V78" i="4"/>
  <c r="U87" i="4"/>
  <c r="U90" i="4"/>
  <c r="U93" i="4"/>
  <c r="X97" i="4"/>
  <c r="U105" i="4"/>
  <c r="X112" i="4"/>
  <c r="U117" i="4"/>
  <c r="X124" i="4"/>
  <c r="V130" i="4"/>
  <c r="X136" i="4"/>
  <c r="W145" i="4"/>
  <c r="W147" i="4"/>
  <c r="U150" i="4"/>
  <c r="X123" i="4"/>
  <c r="X81" i="4"/>
  <c r="V89" i="4"/>
  <c r="V92" i="4"/>
  <c r="U104" i="4"/>
  <c r="U107" i="4"/>
  <c r="X111" i="4"/>
  <c r="U119" i="4"/>
  <c r="X126" i="4"/>
  <c r="U131" i="4"/>
  <c r="X138" i="4"/>
  <c r="X142" i="4"/>
  <c r="V149" i="4"/>
  <c r="V24" i="4"/>
  <c r="W41" i="4"/>
  <c r="U46" i="4"/>
  <c r="X50" i="4"/>
  <c r="W62" i="4"/>
  <c r="W65" i="4"/>
  <c r="V68" i="4"/>
  <c r="W75" i="4"/>
  <c r="W77" i="4"/>
  <c r="V80" i="4"/>
  <c r="W92" i="4"/>
  <c r="U95" i="4"/>
  <c r="X99" i="4"/>
  <c r="V104" i="4"/>
  <c r="U108" i="4"/>
  <c r="U110" i="4"/>
  <c r="V119" i="4"/>
  <c r="V131" i="4"/>
  <c r="V134" i="4"/>
  <c r="X147" i="4"/>
  <c r="W149" i="4"/>
  <c r="W10" i="4"/>
  <c r="X13" i="4"/>
  <c r="X48" i="4"/>
  <c r="W53" i="4"/>
  <c r="W54" i="4"/>
  <c r="W56" i="4"/>
  <c r="X65" i="4"/>
  <c r="X77" i="4"/>
  <c r="V81" i="4"/>
  <c r="W83" i="4"/>
  <c r="U88" i="4"/>
  <c r="X92" i="4"/>
  <c r="W104" i="4"/>
  <c r="W107" i="4"/>
  <c r="V110" i="4"/>
  <c r="W117" i="4"/>
  <c r="W119" i="4"/>
  <c r="V122" i="4"/>
  <c r="V125" i="4"/>
  <c r="W134" i="4"/>
  <c r="U137" i="4"/>
  <c r="X141" i="4"/>
  <c r="U145" i="4"/>
  <c r="U33" i="4"/>
  <c r="X33" i="4"/>
  <c r="W33" i="4"/>
  <c r="X32" i="4"/>
  <c r="W32" i="4"/>
  <c r="U32" i="4"/>
  <c r="X31" i="4"/>
  <c r="X29" i="4"/>
  <c r="X30" i="4"/>
  <c r="U30" i="4"/>
  <c r="W29" i="4"/>
  <c r="W28" i="4"/>
  <c r="W27" i="4"/>
  <c r="U35" i="4"/>
  <c r="V35" i="4"/>
  <c r="W35" i="4"/>
  <c r="V38" i="4"/>
  <c r="X35" i="4"/>
  <c r="X38" i="4"/>
  <c r="X28" i="4"/>
  <c r="V33" i="4"/>
  <c r="X25" i="4"/>
  <c r="U25" i="4"/>
  <c r="X22" i="4"/>
  <c r="X21" i="4"/>
  <c r="V20" i="4"/>
  <c r="X18" i="4"/>
  <c r="V19" i="4"/>
  <c r="V18" i="4"/>
  <c r="W17" i="4"/>
  <c r="V15" i="4"/>
  <c r="U14" i="4"/>
  <c r="X14" i="4"/>
  <c r="T8" i="4"/>
  <c r="S8" i="4"/>
  <c r="X12" i="4"/>
  <c r="X10" i="4"/>
  <c r="W14" i="4"/>
  <c r="X23" i="4"/>
  <c r="X11" i="4"/>
  <c r="U22" i="4"/>
  <c r="U10" i="4"/>
  <c r="U11" i="4"/>
  <c r="U13" i="4"/>
  <c r="V22" i="4"/>
  <c r="X26" i="4"/>
  <c r="N8" i="4"/>
  <c r="U19" i="4"/>
  <c r="W26" i="4"/>
  <c r="V10" i="4"/>
  <c r="R8" i="4"/>
  <c r="V13" i="4"/>
  <c r="W20" i="4"/>
  <c r="W22" i="4"/>
  <c r="V25" i="4"/>
  <c r="P8" i="4"/>
  <c r="U21" i="4"/>
  <c r="U24" i="4"/>
  <c r="Q8" i="4"/>
  <c r="U12" i="4"/>
  <c r="X16" i="4"/>
  <c r="V21" i="4"/>
  <c r="U27" i="4"/>
  <c r="W21" i="4"/>
  <c r="W24" i="4"/>
  <c r="V27" i="4"/>
  <c r="W13" i="4"/>
  <c r="X24" i="4"/>
  <c r="M8" i="4"/>
  <c r="W12" i="4"/>
  <c r="W15" i="4"/>
  <c r="X15" i="4"/>
  <c r="U20" i="4"/>
  <c r="X27" i="4"/>
  <c r="L8" i="4"/>
  <c r="O8" i="4"/>
  <c r="X8" i="4" l="1"/>
  <c r="W8" i="4"/>
  <c r="V8" i="4"/>
  <c r="U8" i="4"/>
  <c r="DH8" i="2" l="1"/>
  <c r="DI8" i="2"/>
  <c r="DJ8" i="2"/>
  <c r="DK8" i="2"/>
  <c r="DL8" i="2"/>
  <c r="DM8" i="2"/>
  <c r="DN8" i="2"/>
  <c r="DO8" i="2"/>
  <c r="DP8" i="2"/>
  <c r="DQ8" i="2"/>
  <c r="DR8" i="2"/>
  <c r="DS8" i="2"/>
  <c r="DT8" i="2"/>
  <c r="DU8" i="2"/>
  <c r="DV8" i="2"/>
  <c r="DW8" i="2"/>
  <c r="DX8" i="2"/>
  <c r="DY8" i="2"/>
  <c r="DZ8" i="2"/>
  <c r="EA8" i="2"/>
  <c r="EB8" i="2"/>
  <c r="EC8" i="2"/>
  <c r="ED8" i="2"/>
  <c r="EE8" i="2"/>
  <c r="EF8" i="2"/>
  <c r="EG8" i="2"/>
  <c r="EH8" i="2"/>
  <c r="EI8" i="2"/>
  <c r="EJ8" i="2"/>
  <c r="EK8" i="2"/>
  <c r="EL8" i="2"/>
  <c r="EM8" i="2"/>
  <c r="EN8" i="2"/>
  <c r="EO8" i="2"/>
  <c r="EP8" i="2"/>
  <c r="EQ8" i="2"/>
  <c r="ER8" i="2"/>
  <c r="ES8" i="2"/>
  <c r="ET8" i="2"/>
  <c r="EU8" i="2"/>
  <c r="EV8" i="2"/>
  <c r="EW8" i="2"/>
  <c r="EX8" i="2"/>
  <c r="EY8" i="2"/>
  <c r="EZ8" i="2"/>
  <c r="FA8" i="2"/>
  <c r="FB8" i="2"/>
  <c r="FC8" i="2"/>
  <c r="FD8" i="2"/>
  <c r="FE8" i="2"/>
  <c r="FF8" i="2"/>
  <c r="FG8" i="2"/>
  <c r="FH8" i="2"/>
  <c r="FI8" i="2"/>
  <c r="FJ8" i="2"/>
  <c r="FK8" i="2"/>
  <c r="FL8" i="2"/>
  <c r="FN8" i="2"/>
  <c r="FO8" i="2"/>
  <c r="FP8" i="2"/>
  <c r="FQ8" i="2"/>
  <c r="FR8" i="2"/>
  <c r="FS8" i="2"/>
  <c r="FT8" i="2"/>
  <c r="FU8" i="2"/>
  <c r="FV8" i="2"/>
  <c r="FW8" i="2"/>
  <c r="FX8" i="2"/>
  <c r="FY8" i="2"/>
  <c r="FZ8" i="2"/>
  <c r="GA8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DH11" i="2"/>
  <c r="DI11" i="2"/>
  <c r="DJ11" i="2"/>
  <c r="DK11" i="2"/>
  <c r="DL11" i="2"/>
  <c r="DM11" i="2"/>
  <c r="DN11" i="2"/>
  <c r="DO11" i="2"/>
  <c r="DP11" i="2"/>
  <c r="DQ11" i="2"/>
  <c r="DR11" i="2"/>
  <c r="DS11" i="2"/>
  <c r="DT11" i="2"/>
  <c r="DU11" i="2"/>
  <c r="DV11" i="2"/>
  <c r="DW11" i="2"/>
  <c r="DX11" i="2"/>
  <c r="DY11" i="2"/>
  <c r="DZ11" i="2"/>
  <c r="EA11" i="2"/>
  <c r="EB11" i="2"/>
  <c r="EC11" i="2"/>
  <c r="ED11" i="2"/>
  <c r="EE11" i="2"/>
  <c r="EF11" i="2"/>
  <c r="EG11" i="2"/>
  <c r="EH11" i="2"/>
  <c r="EI11" i="2"/>
  <c r="EJ11" i="2"/>
  <c r="EK11" i="2"/>
  <c r="EL11" i="2"/>
  <c r="EM11" i="2"/>
  <c r="EN11" i="2"/>
  <c r="EO11" i="2"/>
  <c r="EP11" i="2"/>
  <c r="EQ11" i="2"/>
  <c r="ER11" i="2"/>
  <c r="ES11" i="2"/>
  <c r="ET11" i="2"/>
  <c r="EU11" i="2"/>
  <c r="EV11" i="2"/>
  <c r="EW11" i="2"/>
  <c r="EX11" i="2"/>
  <c r="EY11" i="2"/>
  <c r="EZ11" i="2"/>
  <c r="FA11" i="2"/>
  <c r="FB11" i="2"/>
  <c r="FC11" i="2"/>
  <c r="FD11" i="2"/>
  <c r="FE11" i="2"/>
  <c r="FF11" i="2"/>
  <c r="FG11" i="2"/>
  <c r="FH11" i="2"/>
  <c r="FI11" i="2"/>
  <c r="FJ11" i="2"/>
  <c r="FK11" i="2"/>
  <c r="FL11" i="2"/>
  <c r="FN11" i="2"/>
  <c r="FO11" i="2"/>
  <c r="FP11" i="2"/>
  <c r="FQ11" i="2"/>
  <c r="FR11" i="2"/>
  <c r="FS11" i="2"/>
  <c r="FT11" i="2"/>
  <c r="FU11" i="2"/>
  <c r="FV11" i="2"/>
  <c r="FW11" i="2"/>
  <c r="FX11" i="2"/>
  <c r="FY11" i="2"/>
  <c r="FZ11" i="2"/>
  <c r="GA11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DH13" i="2"/>
  <c r="DT3" i="2" l="1"/>
  <c r="DT4" i="2"/>
  <c r="DT5" i="2"/>
  <c r="DT6" i="2"/>
  <c r="DT7" i="2"/>
  <c r="DT14" i="2"/>
  <c r="DT15" i="2"/>
  <c r="DT16" i="2"/>
  <c r="DT17" i="2"/>
  <c r="DT18" i="2"/>
  <c r="DT19" i="2"/>
  <c r="DT20" i="2"/>
  <c r="DT21" i="2"/>
  <c r="DT22" i="2"/>
  <c r="DT23" i="2"/>
  <c r="DT24" i="2"/>
  <c r="X153" i="3" l="1"/>
  <c r="W153" i="3"/>
  <c r="V153" i="3"/>
  <c r="U153" i="3"/>
  <c r="T152" i="3"/>
  <c r="S152" i="3"/>
  <c r="R152" i="3"/>
  <c r="Q152" i="3"/>
  <c r="P152" i="3"/>
  <c r="O152" i="3"/>
  <c r="X152" i="3" s="1"/>
  <c r="N152" i="3"/>
  <c r="M152" i="3"/>
  <c r="L152" i="3"/>
  <c r="T151" i="3"/>
  <c r="S151" i="3"/>
  <c r="R151" i="3"/>
  <c r="Q151" i="3"/>
  <c r="P151" i="3"/>
  <c r="O151" i="3"/>
  <c r="N151" i="3"/>
  <c r="W151" i="3" s="1"/>
  <c r="M151" i="3"/>
  <c r="L151" i="3"/>
  <c r="T150" i="3"/>
  <c r="S150" i="3"/>
  <c r="R150" i="3"/>
  <c r="Q150" i="3"/>
  <c r="U150" i="3" s="1"/>
  <c r="P150" i="3"/>
  <c r="O150" i="3"/>
  <c r="N150" i="3"/>
  <c r="M150" i="3"/>
  <c r="L150" i="3"/>
  <c r="T149" i="3"/>
  <c r="S149" i="3"/>
  <c r="R149" i="3"/>
  <c r="Q149" i="3"/>
  <c r="P149" i="3"/>
  <c r="O149" i="3"/>
  <c r="X149" i="3" s="1"/>
  <c r="N149" i="3"/>
  <c r="M149" i="3"/>
  <c r="L149" i="3"/>
  <c r="T148" i="3"/>
  <c r="S148" i="3"/>
  <c r="R148" i="3"/>
  <c r="Q148" i="3"/>
  <c r="P148" i="3"/>
  <c r="O148" i="3"/>
  <c r="N148" i="3"/>
  <c r="W148" i="3" s="1"/>
  <c r="M148" i="3"/>
  <c r="V148" i="3" s="1"/>
  <c r="L148" i="3"/>
  <c r="U148" i="3" s="1"/>
  <c r="T147" i="3"/>
  <c r="S147" i="3"/>
  <c r="R147" i="3"/>
  <c r="Q147" i="3"/>
  <c r="P147" i="3"/>
  <c r="X147" i="3" s="1"/>
  <c r="O147" i="3"/>
  <c r="N147" i="3"/>
  <c r="M147" i="3"/>
  <c r="L147" i="3"/>
  <c r="T146" i="3"/>
  <c r="S146" i="3"/>
  <c r="R146" i="3"/>
  <c r="Q146" i="3"/>
  <c r="P146" i="3"/>
  <c r="O146" i="3"/>
  <c r="X146" i="3" s="1"/>
  <c r="N146" i="3"/>
  <c r="W146" i="3" s="1"/>
  <c r="M146" i="3"/>
  <c r="V146" i="3" s="1"/>
  <c r="L146" i="3"/>
  <c r="T145" i="3"/>
  <c r="S145" i="3"/>
  <c r="R145" i="3"/>
  <c r="Q145" i="3"/>
  <c r="P145" i="3"/>
  <c r="O145" i="3"/>
  <c r="X145" i="3" s="1"/>
  <c r="N145" i="3"/>
  <c r="W145" i="3" s="1"/>
  <c r="M145" i="3"/>
  <c r="V145" i="3" s="1"/>
  <c r="L145" i="3"/>
  <c r="U145" i="3" s="1"/>
  <c r="X144" i="3"/>
  <c r="V144" i="3"/>
  <c r="T144" i="3"/>
  <c r="S144" i="3"/>
  <c r="R144" i="3"/>
  <c r="Q144" i="3"/>
  <c r="P144" i="3"/>
  <c r="O144" i="3"/>
  <c r="N144" i="3"/>
  <c r="W144" i="3" s="1"/>
  <c r="M144" i="3"/>
  <c r="L144" i="3"/>
  <c r="U144" i="3" s="1"/>
  <c r="U143" i="3"/>
  <c r="T143" i="3"/>
  <c r="X143" i="3" s="1"/>
  <c r="S143" i="3"/>
  <c r="W143" i="3" s="1"/>
  <c r="R143" i="3"/>
  <c r="Q143" i="3"/>
  <c r="P143" i="3"/>
  <c r="O143" i="3"/>
  <c r="N143" i="3"/>
  <c r="M143" i="3"/>
  <c r="V143" i="3" s="1"/>
  <c r="L143" i="3"/>
  <c r="T142" i="3"/>
  <c r="S142" i="3"/>
  <c r="W142" i="3" s="1"/>
  <c r="R142" i="3"/>
  <c r="V142" i="3" s="1"/>
  <c r="Q142" i="3"/>
  <c r="P142" i="3"/>
  <c r="O142" i="3"/>
  <c r="N142" i="3"/>
  <c r="M142" i="3"/>
  <c r="L142" i="3"/>
  <c r="T141" i="3"/>
  <c r="S141" i="3"/>
  <c r="R141" i="3"/>
  <c r="Q141" i="3"/>
  <c r="P141" i="3"/>
  <c r="O141" i="3"/>
  <c r="N141" i="3"/>
  <c r="M141" i="3"/>
  <c r="L141" i="3"/>
  <c r="U141" i="3" s="1"/>
  <c r="X140" i="3"/>
  <c r="T140" i="3"/>
  <c r="S140" i="3"/>
  <c r="R140" i="3"/>
  <c r="Q140" i="3"/>
  <c r="P140" i="3"/>
  <c r="O140" i="3"/>
  <c r="N140" i="3"/>
  <c r="M140" i="3"/>
  <c r="L140" i="3"/>
  <c r="T139" i="3"/>
  <c r="S139" i="3"/>
  <c r="W139" i="3" s="1"/>
  <c r="R139" i="3"/>
  <c r="V139" i="3" s="1"/>
  <c r="Q139" i="3"/>
  <c r="P139" i="3"/>
  <c r="O139" i="3"/>
  <c r="N139" i="3"/>
  <c r="M139" i="3"/>
  <c r="L139" i="3"/>
  <c r="T138" i="3"/>
  <c r="S138" i="3"/>
  <c r="W138" i="3" s="1"/>
  <c r="R138" i="3"/>
  <c r="V138" i="3" s="1"/>
  <c r="Q138" i="3"/>
  <c r="U138" i="3" s="1"/>
  <c r="P138" i="3"/>
  <c r="O138" i="3"/>
  <c r="N138" i="3"/>
  <c r="M138" i="3"/>
  <c r="L138" i="3"/>
  <c r="T137" i="3"/>
  <c r="S137" i="3"/>
  <c r="R137" i="3"/>
  <c r="Q137" i="3"/>
  <c r="P137" i="3"/>
  <c r="O137" i="3"/>
  <c r="X137" i="3" s="1"/>
  <c r="N137" i="3"/>
  <c r="M137" i="3"/>
  <c r="L137" i="3"/>
  <c r="T136" i="3"/>
  <c r="S136" i="3"/>
  <c r="R136" i="3"/>
  <c r="Q136" i="3"/>
  <c r="P136" i="3"/>
  <c r="O136" i="3"/>
  <c r="N136" i="3"/>
  <c r="M136" i="3"/>
  <c r="V136" i="3" s="1"/>
  <c r="L136" i="3"/>
  <c r="T135" i="3"/>
  <c r="S135" i="3"/>
  <c r="R135" i="3"/>
  <c r="Q135" i="3"/>
  <c r="P135" i="3"/>
  <c r="O135" i="3"/>
  <c r="X135" i="3" s="1"/>
  <c r="N135" i="3"/>
  <c r="M135" i="3"/>
  <c r="L135" i="3"/>
  <c r="T134" i="3"/>
  <c r="S134" i="3"/>
  <c r="R134" i="3"/>
  <c r="Q134" i="3"/>
  <c r="P134" i="3"/>
  <c r="O134" i="3"/>
  <c r="X134" i="3" s="1"/>
  <c r="N134" i="3"/>
  <c r="W134" i="3" s="1"/>
  <c r="M134" i="3"/>
  <c r="L134" i="3"/>
  <c r="T133" i="3"/>
  <c r="S133" i="3"/>
  <c r="R133" i="3"/>
  <c r="Q133" i="3"/>
  <c r="P133" i="3"/>
  <c r="O133" i="3"/>
  <c r="N133" i="3"/>
  <c r="M133" i="3"/>
  <c r="L133" i="3"/>
  <c r="U133" i="3" s="1"/>
  <c r="T132" i="3"/>
  <c r="S132" i="3"/>
  <c r="W132" i="3" s="1"/>
  <c r="R132" i="3"/>
  <c r="Q132" i="3"/>
  <c r="P132" i="3"/>
  <c r="O132" i="3"/>
  <c r="N132" i="3"/>
  <c r="M132" i="3"/>
  <c r="L132" i="3"/>
  <c r="T131" i="3"/>
  <c r="S131" i="3"/>
  <c r="R131" i="3"/>
  <c r="Q131" i="3"/>
  <c r="P131" i="3"/>
  <c r="O131" i="3"/>
  <c r="X131" i="3" s="1"/>
  <c r="N131" i="3"/>
  <c r="W131" i="3" s="1"/>
  <c r="M131" i="3"/>
  <c r="L131" i="3"/>
  <c r="T130" i="3"/>
  <c r="S130" i="3"/>
  <c r="R130" i="3"/>
  <c r="Q130" i="3"/>
  <c r="P130" i="3"/>
  <c r="O130" i="3"/>
  <c r="X130" i="3" s="1"/>
  <c r="N130" i="3"/>
  <c r="W130" i="3" s="1"/>
  <c r="M130" i="3"/>
  <c r="V130" i="3" s="1"/>
  <c r="L130" i="3"/>
  <c r="U130" i="3" s="1"/>
  <c r="T129" i="3"/>
  <c r="X129" i="3" s="1"/>
  <c r="S129" i="3"/>
  <c r="R129" i="3"/>
  <c r="Q129" i="3"/>
  <c r="P129" i="3"/>
  <c r="O129" i="3"/>
  <c r="N129" i="3"/>
  <c r="M129" i="3"/>
  <c r="L129" i="3"/>
  <c r="T128" i="3"/>
  <c r="S128" i="3"/>
  <c r="R128" i="3"/>
  <c r="Q128" i="3"/>
  <c r="U128" i="3" s="1"/>
  <c r="P128" i="3"/>
  <c r="O128" i="3"/>
  <c r="N128" i="3"/>
  <c r="M128" i="3"/>
  <c r="L128" i="3"/>
  <c r="T127" i="3"/>
  <c r="X127" i="3" s="1"/>
  <c r="S127" i="3"/>
  <c r="R127" i="3"/>
  <c r="Q127" i="3"/>
  <c r="P127" i="3"/>
  <c r="O127" i="3"/>
  <c r="N127" i="3"/>
  <c r="M127" i="3"/>
  <c r="L127" i="3"/>
  <c r="U127" i="3" s="1"/>
  <c r="T126" i="3"/>
  <c r="X126" i="3" s="1"/>
  <c r="S126" i="3"/>
  <c r="W126" i="3" s="1"/>
  <c r="R126" i="3"/>
  <c r="V126" i="3" s="1"/>
  <c r="Q126" i="3"/>
  <c r="P126" i="3"/>
  <c r="O126" i="3"/>
  <c r="N126" i="3"/>
  <c r="M126" i="3"/>
  <c r="L126" i="3"/>
  <c r="T125" i="3"/>
  <c r="S125" i="3"/>
  <c r="R125" i="3"/>
  <c r="V125" i="3" s="1"/>
  <c r="Q125" i="3"/>
  <c r="U125" i="3" s="1"/>
  <c r="P125" i="3"/>
  <c r="O125" i="3"/>
  <c r="N125" i="3"/>
  <c r="M125" i="3"/>
  <c r="L125" i="3"/>
  <c r="T124" i="3"/>
  <c r="S124" i="3"/>
  <c r="W124" i="3" s="1"/>
  <c r="R124" i="3"/>
  <c r="Q124" i="3"/>
  <c r="P124" i="3"/>
  <c r="O124" i="3"/>
  <c r="N124" i="3"/>
  <c r="M124" i="3"/>
  <c r="L124" i="3"/>
  <c r="U123" i="3"/>
  <c r="T123" i="3"/>
  <c r="S123" i="3"/>
  <c r="R123" i="3"/>
  <c r="V123" i="3" s="1"/>
  <c r="Q123" i="3"/>
  <c r="P123" i="3"/>
  <c r="O123" i="3"/>
  <c r="N123" i="3"/>
  <c r="M123" i="3"/>
  <c r="L123" i="3"/>
  <c r="T122" i="3"/>
  <c r="S122" i="3"/>
  <c r="R122" i="3"/>
  <c r="Q122" i="3"/>
  <c r="U122" i="3" s="1"/>
  <c r="P122" i="3"/>
  <c r="O122" i="3"/>
  <c r="X122" i="3" s="1"/>
  <c r="N122" i="3"/>
  <c r="W122" i="3" s="1"/>
  <c r="M122" i="3"/>
  <c r="L122" i="3"/>
  <c r="T121" i="3"/>
  <c r="S121" i="3"/>
  <c r="R121" i="3"/>
  <c r="Q121" i="3"/>
  <c r="P121" i="3"/>
  <c r="O121" i="3"/>
  <c r="N121" i="3"/>
  <c r="M121" i="3"/>
  <c r="V121" i="3" s="1"/>
  <c r="L121" i="3"/>
  <c r="U121" i="3" s="1"/>
  <c r="T120" i="3"/>
  <c r="S120" i="3"/>
  <c r="R120" i="3"/>
  <c r="Q120" i="3"/>
  <c r="P120" i="3"/>
  <c r="O120" i="3"/>
  <c r="N120" i="3"/>
  <c r="M120" i="3"/>
  <c r="L120" i="3"/>
  <c r="T119" i="3"/>
  <c r="S119" i="3"/>
  <c r="R119" i="3"/>
  <c r="Q119" i="3"/>
  <c r="P119" i="3"/>
  <c r="O119" i="3"/>
  <c r="X119" i="3" s="1"/>
  <c r="N119" i="3"/>
  <c r="W119" i="3" s="1"/>
  <c r="M119" i="3"/>
  <c r="V119" i="3" s="1"/>
  <c r="L119" i="3"/>
  <c r="T118" i="3"/>
  <c r="S118" i="3"/>
  <c r="R118" i="3"/>
  <c r="Q118" i="3"/>
  <c r="P118" i="3"/>
  <c r="O118" i="3"/>
  <c r="X118" i="3" s="1"/>
  <c r="N118" i="3"/>
  <c r="M118" i="3"/>
  <c r="L118" i="3"/>
  <c r="U118" i="3" s="1"/>
  <c r="T117" i="3"/>
  <c r="X117" i="3" s="1"/>
  <c r="S117" i="3"/>
  <c r="R117" i="3"/>
  <c r="Q117" i="3"/>
  <c r="P117" i="3"/>
  <c r="O117" i="3"/>
  <c r="N117" i="3"/>
  <c r="M117" i="3"/>
  <c r="L117" i="3"/>
  <c r="T116" i="3"/>
  <c r="S116" i="3"/>
  <c r="R116" i="3"/>
  <c r="Q116" i="3"/>
  <c r="P116" i="3"/>
  <c r="O116" i="3"/>
  <c r="X116" i="3" s="1"/>
  <c r="N116" i="3"/>
  <c r="M116" i="3"/>
  <c r="L116" i="3"/>
  <c r="T115" i="3"/>
  <c r="S115" i="3"/>
  <c r="R115" i="3"/>
  <c r="Q115" i="3"/>
  <c r="P115" i="3"/>
  <c r="O115" i="3"/>
  <c r="X115" i="3" s="1"/>
  <c r="N115" i="3"/>
  <c r="W115" i="3" s="1"/>
  <c r="M115" i="3"/>
  <c r="V115" i="3" s="1"/>
  <c r="L115" i="3"/>
  <c r="U115" i="3" s="1"/>
  <c r="W114" i="3"/>
  <c r="T114" i="3"/>
  <c r="S114" i="3"/>
  <c r="R114" i="3"/>
  <c r="Q114" i="3"/>
  <c r="P114" i="3"/>
  <c r="O114" i="3"/>
  <c r="N114" i="3"/>
  <c r="M114" i="3"/>
  <c r="V114" i="3" s="1"/>
  <c r="L114" i="3"/>
  <c r="U114" i="3" s="1"/>
  <c r="V113" i="3"/>
  <c r="U113" i="3"/>
  <c r="T113" i="3"/>
  <c r="X113" i="3" s="1"/>
  <c r="S113" i="3"/>
  <c r="R113" i="3"/>
  <c r="Q113" i="3"/>
  <c r="P113" i="3"/>
  <c r="O113" i="3"/>
  <c r="N113" i="3"/>
  <c r="M113" i="3"/>
  <c r="L113" i="3"/>
  <c r="T112" i="3"/>
  <c r="S112" i="3"/>
  <c r="W112" i="3" s="1"/>
  <c r="R112" i="3"/>
  <c r="V112" i="3" s="1"/>
  <c r="Q112" i="3"/>
  <c r="U112" i="3" s="1"/>
  <c r="P112" i="3"/>
  <c r="O112" i="3"/>
  <c r="N112" i="3"/>
  <c r="M112" i="3"/>
  <c r="L112" i="3"/>
  <c r="T111" i="3"/>
  <c r="S111" i="3"/>
  <c r="R111" i="3"/>
  <c r="Q111" i="3"/>
  <c r="P111" i="3"/>
  <c r="O111" i="3"/>
  <c r="N111" i="3"/>
  <c r="M111" i="3"/>
  <c r="L111" i="3"/>
  <c r="T110" i="3"/>
  <c r="S110" i="3"/>
  <c r="R110" i="3"/>
  <c r="Q110" i="3"/>
  <c r="P110" i="3"/>
  <c r="O110" i="3"/>
  <c r="N110" i="3"/>
  <c r="M110" i="3"/>
  <c r="L110" i="3"/>
  <c r="T109" i="3"/>
  <c r="S109" i="3"/>
  <c r="R109" i="3"/>
  <c r="V109" i="3" s="1"/>
  <c r="Q109" i="3"/>
  <c r="U109" i="3" s="1"/>
  <c r="P109" i="3"/>
  <c r="O109" i="3"/>
  <c r="X109" i="3" s="1"/>
  <c r="N109" i="3"/>
  <c r="M109" i="3"/>
  <c r="L109" i="3"/>
  <c r="T108" i="3"/>
  <c r="S108" i="3"/>
  <c r="R108" i="3"/>
  <c r="Q108" i="3"/>
  <c r="P108" i="3"/>
  <c r="O108" i="3"/>
  <c r="N108" i="3"/>
  <c r="W108" i="3" s="1"/>
  <c r="M108" i="3"/>
  <c r="V108" i="3" s="1"/>
  <c r="L108" i="3"/>
  <c r="U108" i="3" s="1"/>
  <c r="T107" i="3"/>
  <c r="S107" i="3"/>
  <c r="R107" i="3"/>
  <c r="Q107" i="3"/>
  <c r="P107" i="3"/>
  <c r="O107" i="3"/>
  <c r="N107" i="3"/>
  <c r="M107" i="3"/>
  <c r="L107" i="3"/>
  <c r="T106" i="3"/>
  <c r="S106" i="3"/>
  <c r="R106" i="3"/>
  <c r="Q106" i="3"/>
  <c r="P106" i="3"/>
  <c r="O106" i="3"/>
  <c r="X106" i="3" s="1"/>
  <c r="N106" i="3"/>
  <c r="W106" i="3" s="1"/>
  <c r="M106" i="3"/>
  <c r="L106" i="3"/>
  <c r="T105" i="3"/>
  <c r="S105" i="3"/>
  <c r="R105" i="3"/>
  <c r="Q105" i="3"/>
  <c r="P105" i="3"/>
  <c r="O105" i="3"/>
  <c r="X105" i="3" s="1"/>
  <c r="N105" i="3"/>
  <c r="W105" i="3" s="1"/>
  <c r="M105" i="3"/>
  <c r="V105" i="3" s="1"/>
  <c r="L105" i="3"/>
  <c r="U105" i="3" s="1"/>
  <c r="W104" i="3"/>
  <c r="T104" i="3"/>
  <c r="X104" i="3" s="1"/>
  <c r="S104" i="3"/>
  <c r="R104" i="3"/>
  <c r="Q104" i="3"/>
  <c r="P104" i="3"/>
  <c r="O104" i="3"/>
  <c r="N104" i="3"/>
  <c r="M104" i="3"/>
  <c r="V104" i="3" s="1"/>
  <c r="L104" i="3"/>
  <c r="T103" i="3"/>
  <c r="S103" i="3"/>
  <c r="W103" i="3" s="1"/>
  <c r="R103" i="3"/>
  <c r="V103" i="3" s="1"/>
  <c r="Q103" i="3"/>
  <c r="P103" i="3"/>
  <c r="O103" i="3"/>
  <c r="N103" i="3"/>
  <c r="M103" i="3"/>
  <c r="L103" i="3"/>
  <c r="T102" i="3"/>
  <c r="S102" i="3"/>
  <c r="R102" i="3"/>
  <c r="V102" i="3" s="1"/>
  <c r="Q102" i="3"/>
  <c r="U102" i="3" s="1"/>
  <c r="P102" i="3"/>
  <c r="O102" i="3"/>
  <c r="X102" i="3" s="1"/>
  <c r="N102" i="3"/>
  <c r="W102" i="3" s="1"/>
  <c r="M102" i="3"/>
  <c r="L102" i="3"/>
  <c r="T101" i="3"/>
  <c r="S101" i="3"/>
  <c r="R101" i="3"/>
  <c r="Q101" i="3"/>
  <c r="P101" i="3"/>
  <c r="O101" i="3"/>
  <c r="N101" i="3"/>
  <c r="W101" i="3" s="1"/>
  <c r="M101" i="3"/>
  <c r="V101" i="3" s="1"/>
  <c r="L101" i="3"/>
  <c r="U101" i="3" s="1"/>
  <c r="T100" i="3"/>
  <c r="X100" i="3" s="1"/>
  <c r="S100" i="3"/>
  <c r="W100" i="3" s="1"/>
  <c r="R100" i="3"/>
  <c r="Q100" i="3"/>
  <c r="P100" i="3"/>
  <c r="O100" i="3"/>
  <c r="N100" i="3"/>
  <c r="M100" i="3"/>
  <c r="L100" i="3"/>
  <c r="U100" i="3" s="1"/>
  <c r="T99" i="3"/>
  <c r="S99" i="3"/>
  <c r="R99" i="3"/>
  <c r="Q99" i="3"/>
  <c r="P99" i="3"/>
  <c r="O99" i="3"/>
  <c r="N99" i="3"/>
  <c r="M99" i="3"/>
  <c r="L99" i="3"/>
  <c r="T98" i="3"/>
  <c r="S98" i="3"/>
  <c r="R98" i="3"/>
  <c r="Q98" i="3"/>
  <c r="P98" i="3"/>
  <c r="O98" i="3"/>
  <c r="X98" i="3" s="1"/>
  <c r="N98" i="3"/>
  <c r="M98" i="3"/>
  <c r="L98" i="3"/>
  <c r="W97" i="3"/>
  <c r="T97" i="3"/>
  <c r="X97" i="3" s="1"/>
  <c r="S97" i="3"/>
  <c r="R97" i="3"/>
  <c r="Q97" i="3"/>
  <c r="P97" i="3"/>
  <c r="O97" i="3"/>
  <c r="N97" i="3"/>
  <c r="M97" i="3"/>
  <c r="L97" i="3"/>
  <c r="U96" i="3"/>
  <c r="T96" i="3"/>
  <c r="S96" i="3"/>
  <c r="W96" i="3" s="1"/>
  <c r="R96" i="3"/>
  <c r="V96" i="3" s="1"/>
  <c r="Q96" i="3"/>
  <c r="P96" i="3"/>
  <c r="O96" i="3"/>
  <c r="N96" i="3"/>
  <c r="M96" i="3"/>
  <c r="L96" i="3"/>
  <c r="T95" i="3"/>
  <c r="S95" i="3"/>
  <c r="R95" i="3"/>
  <c r="V95" i="3" s="1"/>
  <c r="Q95" i="3"/>
  <c r="U95" i="3" s="1"/>
  <c r="P95" i="3"/>
  <c r="O95" i="3"/>
  <c r="N95" i="3"/>
  <c r="M95" i="3"/>
  <c r="L95" i="3"/>
  <c r="T94" i="3"/>
  <c r="S94" i="3"/>
  <c r="R94" i="3"/>
  <c r="Q94" i="3"/>
  <c r="P94" i="3"/>
  <c r="O94" i="3"/>
  <c r="X94" i="3" s="1"/>
  <c r="N94" i="3"/>
  <c r="W94" i="3" s="1"/>
  <c r="M94" i="3"/>
  <c r="L94" i="3"/>
  <c r="T93" i="3"/>
  <c r="S93" i="3"/>
  <c r="R93" i="3"/>
  <c r="Q93" i="3"/>
  <c r="P93" i="3"/>
  <c r="O93" i="3"/>
  <c r="N93" i="3"/>
  <c r="M93" i="3"/>
  <c r="L93" i="3"/>
  <c r="U93" i="3" s="1"/>
  <c r="T92" i="3"/>
  <c r="S92" i="3"/>
  <c r="R92" i="3"/>
  <c r="Q92" i="3"/>
  <c r="P92" i="3"/>
  <c r="O92" i="3"/>
  <c r="X92" i="3" s="1"/>
  <c r="N92" i="3"/>
  <c r="M92" i="3"/>
  <c r="L92" i="3"/>
  <c r="T91" i="3"/>
  <c r="S91" i="3"/>
  <c r="R91" i="3"/>
  <c r="Q91" i="3"/>
  <c r="P91" i="3"/>
  <c r="O91" i="3"/>
  <c r="X91" i="3" s="1"/>
  <c r="N91" i="3"/>
  <c r="W91" i="3" s="1"/>
  <c r="M91" i="3"/>
  <c r="L91" i="3"/>
  <c r="T90" i="3"/>
  <c r="S90" i="3"/>
  <c r="R90" i="3"/>
  <c r="Q90" i="3"/>
  <c r="P90" i="3"/>
  <c r="O90" i="3"/>
  <c r="N90" i="3"/>
  <c r="M90" i="3"/>
  <c r="L90" i="3"/>
  <c r="T89" i="3"/>
  <c r="S89" i="3"/>
  <c r="R89" i="3"/>
  <c r="Q89" i="3"/>
  <c r="P89" i="3"/>
  <c r="O89" i="3"/>
  <c r="X89" i="3" s="1"/>
  <c r="N89" i="3"/>
  <c r="W89" i="3" s="1"/>
  <c r="M89" i="3"/>
  <c r="V89" i="3" s="1"/>
  <c r="L89" i="3"/>
  <c r="T88" i="3"/>
  <c r="S88" i="3"/>
  <c r="R88" i="3"/>
  <c r="Q88" i="3"/>
  <c r="P88" i="3"/>
  <c r="O88" i="3"/>
  <c r="X88" i="3" s="1"/>
  <c r="N88" i="3"/>
  <c r="W88" i="3" s="1"/>
  <c r="M88" i="3"/>
  <c r="V88" i="3" s="1"/>
  <c r="L88" i="3"/>
  <c r="U87" i="3"/>
  <c r="T87" i="3"/>
  <c r="X87" i="3" s="1"/>
  <c r="S87" i="3"/>
  <c r="R87" i="3"/>
  <c r="Q87" i="3"/>
  <c r="P87" i="3"/>
  <c r="O87" i="3"/>
  <c r="N87" i="3"/>
  <c r="W87" i="3" s="1"/>
  <c r="M87" i="3"/>
  <c r="V87" i="3" s="1"/>
  <c r="L87" i="3"/>
  <c r="T86" i="3"/>
  <c r="S86" i="3"/>
  <c r="W86" i="3" s="1"/>
  <c r="R86" i="3"/>
  <c r="V86" i="3" s="1"/>
  <c r="Q86" i="3"/>
  <c r="P86" i="3"/>
  <c r="O86" i="3"/>
  <c r="N86" i="3"/>
  <c r="M86" i="3"/>
  <c r="L86" i="3"/>
  <c r="V85" i="3"/>
  <c r="U85" i="3"/>
  <c r="T85" i="3"/>
  <c r="S85" i="3"/>
  <c r="R85" i="3"/>
  <c r="Q85" i="3"/>
  <c r="P85" i="3"/>
  <c r="O85" i="3"/>
  <c r="N85" i="3"/>
  <c r="M85" i="3"/>
  <c r="L85" i="3"/>
  <c r="T84" i="3"/>
  <c r="S84" i="3"/>
  <c r="W84" i="3" s="1"/>
  <c r="R84" i="3"/>
  <c r="V84" i="3" s="1"/>
  <c r="Q84" i="3"/>
  <c r="P84" i="3"/>
  <c r="O84" i="3"/>
  <c r="N84" i="3"/>
  <c r="M84" i="3"/>
  <c r="L84" i="3"/>
  <c r="T83" i="3"/>
  <c r="X83" i="3" s="1"/>
  <c r="S83" i="3"/>
  <c r="W83" i="3" s="1"/>
  <c r="R83" i="3"/>
  <c r="Q83" i="3"/>
  <c r="P83" i="3"/>
  <c r="O83" i="3"/>
  <c r="N83" i="3"/>
  <c r="M83" i="3"/>
  <c r="L83" i="3"/>
  <c r="T82" i="3"/>
  <c r="S82" i="3"/>
  <c r="R82" i="3"/>
  <c r="Q82" i="3"/>
  <c r="P82" i="3"/>
  <c r="O82" i="3"/>
  <c r="X82" i="3" s="1"/>
  <c r="N82" i="3"/>
  <c r="M82" i="3"/>
  <c r="L82" i="3"/>
  <c r="T81" i="3"/>
  <c r="S81" i="3"/>
  <c r="R81" i="3"/>
  <c r="V81" i="3" s="1"/>
  <c r="Q81" i="3"/>
  <c r="U81" i="3" s="1"/>
  <c r="P81" i="3"/>
  <c r="O81" i="3"/>
  <c r="N81" i="3"/>
  <c r="W81" i="3" s="1"/>
  <c r="M81" i="3"/>
  <c r="L81" i="3"/>
  <c r="T80" i="3"/>
  <c r="S80" i="3"/>
  <c r="R80" i="3"/>
  <c r="Q80" i="3"/>
  <c r="P80" i="3"/>
  <c r="O80" i="3"/>
  <c r="N80" i="3"/>
  <c r="M80" i="3"/>
  <c r="L80" i="3"/>
  <c r="T79" i="3"/>
  <c r="S79" i="3"/>
  <c r="R79" i="3"/>
  <c r="Q79" i="3"/>
  <c r="P79" i="3"/>
  <c r="O79" i="3"/>
  <c r="N79" i="3"/>
  <c r="M79" i="3"/>
  <c r="L79" i="3"/>
  <c r="T78" i="3"/>
  <c r="S78" i="3"/>
  <c r="R78" i="3"/>
  <c r="Q78" i="3"/>
  <c r="P78" i="3"/>
  <c r="O78" i="3"/>
  <c r="X78" i="3" s="1"/>
  <c r="N78" i="3"/>
  <c r="W78" i="3" s="1"/>
  <c r="M78" i="3"/>
  <c r="V78" i="3" s="1"/>
  <c r="L78" i="3"/>
  <c r="T77" i="3"/>
  <c r="S77" i="3"/>
  <c r="R77" i="3"/>
  <c r="Q77" i="3"/>
  <c r="P77" i="3"/>
  <c r="O77" i="3"/>
  <c r="X77" i="3" s="1"/>
  <c r="N77" i="3"/>
  <c r="M77" i="3"/>
  <c r="L77" i="3"/>
  <c r="X76" i="3"/>
  <c r="W76" i="3"/>
  <c r="T76" i="3"/>
  <c r="S76" i="3"/>
  <c r="R76" i="3"/>
  <c r="Q76" i="3"/>
  <c r="P76" i="3"/>
  <c r="O76" i="3"/>
  <c r="N76" i="3"/>
  <c r="M76" i="3"/>
  <c r="V76" i="3" s="1"/>
  <c r="L76" i="3"/>
  <c r="U76" i="3" s="1"/>
  <c r="T75" i="3"/>
  <c r="X75" i="3" s="1"/>
  <c r="S75" i="3"/>
  <c r="R75" i="3"/>
  <c r="Q75" i="3"/>
  <c r="P75" i="3"/>
  <c r="O75" i="3"/>
  <c r="N75" i="3"/>
  <c r="M75" i="3"/>
  <c r="L75" i="3"/>
  <c r="T74" i="3"/>
  <c r="S74" i="3"/>
  <c r="W74" i="3" s="1"/>
  <c r="R74" i="3"/>
  <c r="Q74" i="3"/>
  <c r="P74" i="3"/>
  <c r="X74" i="3" s="1"/>
  <c r="O74" i="3"/>
  <c r="N74" i="3"/>
  <c r="M74" i="3"/>
  <c r="V74" i="3" s="1"/>
  <c r="L74" i="3"/>
  <c r="U74" i="3" s="1"/>
  <c r="W73" i="3"/>
  <c r="T73" i="3"/>
  <c r="S73" i="3"/>
  <c r="R73" i="3"/>
  <c r="V73" i="3" s="1"/>
  <c r="Q73" i="3"/>
  <c r="U73" i="3" s="1"/>
  <c r="P73" i="3"/>
  <c r="O73" i="3"/>
  <c r="N73" i="3"/>
  <c r="M73" i="3"/>
  <c r="L73" i="3"/>
  <c r="V72" i="3"/>
  <c r="U72" i="3"/>
  <c r="T72" i="3"/>
  <c r="X72" i="3" s="1"/>
  <c r="S72" i="3"/>
  <c r="R72" i="3"/>
  <c r="Q72" i="3"/>
  <c r="P72" i="3"/>
  <c r="O72" i="3"/>
  <c r="N72" i="3"/>
  <c r="M72" i="3"/>
  <c r="L72" i="3"/>
  <c r="T71" i="3"/>
  <c r="S71" i="3"/>
  <c r="R71" i="3"/>
  <c r="V71" i="3" s="1"/>
  <c r="Q71" i="3"/>
  <c r="U71" i="3" s="1"/>
  <c r="P71" i="3"/>
  <c r="O71" i="3"/>
  <c r="N71" i="3"/>
  <c r="M71" i="3"/>
  <c r="L71" i="3"/>
  <c r="T70" i="3"/>
  <c r="S70" i="3"/>
  <c r="R70" i="3"/>
  <c r="Q70" i="3"/>
  <c r="P70" i="3"/>
  <c r="O70" i="3"/>
  <c r="N70" i="3"/>
  <c r="M70" i="3"/>
  <c r="L70" i="3"/>
  <c r="T69" i="3"/>
  <c r="S69" i="3"/>
  <c r="R69" i="3"/>
  <c r="Q69" i="3"/>
  <c r="P69" i="3"/>
  <c r="O69" i="3"/>
  <c r="N69" i="3"/>
  <c r="M69" i="3"/>
  <c r="L69" i="3"/>
  <c r="T68" i="3"/>
  <c r="S68" i="3"/>
  <c r="W68" i="3" s="1"/>
  <c r="R68" i="3"/>
  <c r="V68" i="3" s="1"/>
  <c r="Q68" i="3"/>
  <c r="U68" i="3" s="1"/>
  <c r="P68" i="3"/>
  <c r="O68" i="3"/>
  <c r="N68" i="3"/>
  <c r="M68" i="3"/>
  <c r="L68" i="3"/>
  <c r="T67" i="3"/>
  <c r="S67" i="3"/>
  <c r="R67" i="3"/>
  <c r="Q67" i="3"/>
  <c r="P67" i="3"/>
  <c r="O67" i="3"/>
  <c r="N67" i="3"/>
  <c r="W67" i="3" s="1"/>
  <c r="M67" i="3"/>
  <c r="V67" i="3" s="1"/>
  <c r="L67" i="3"/>
  <c r="U67" i="3" s="1"/>
  <c r="T66" i="3"/>
  <c r="S66" i="3"/>
  <c r="R66" i="3"/>
  <c r="Q66" i="3"/>
  <c r="P66" i="3"/>
  <c r="O66" i="3"/>
  <c r="N66" i="3"/>
  <c r="M66" i="3"/>
  <c r="L66" i="3"/>
  <c r="T65" i="3"/>
  <c r="S65" i="3"/>
  <c r="R65" i="3"/>
  <c r="Q65" i="3"/>
  <c r="P65" i="3"/>
  <c r="O65" i="3"/>
  <c r="N65" i="3"/>
  <c r="M65" i="3"/>
  <c r="L65" i="3"/>
  <c r="T64" i="3"/>
  <c r="S64" i="3"/>
  <c r="R64" i="3"/>
  <c r="Q64" i="3"/>
  <c r="P64" i="3"/>
  <c r="O64" i="3"/>
  <c r="N64" i="3"/>
  <c r="M64" i="3"/>
  <c r="V64" i="3" s="1"/>
  <c r="L64" i="3"/>
  <c r="U64" i="3" s="1"/>
  <c r="T63" i="3"/>
  <c r="S63" i="3"/>
  <c r="R63" i="3"/>
  <c r="Q63" i="3"/>
  <c r="P63" i="3"/>
  <c r="O63" i="3"/>
  <c r="N63" i="3"/>
  <c r="W63" i="3" s="1"/>
  <c r="M63" i="3"/>
  <c r="L63" i="3"/>
  <c r="T62" i="3"/>
  <c r="S62" i="3"/>
  <c r="R62" i="3"/>
  <c r="Q62" i="3"/>
  <c r="P62" i="3"/>
  <c r="O62" i="3"/>
  <c r="N62" i="3"/>
  <c r="M62" i="3"/>
  <c r="L62" i="3"/>
  <c r="T61" i="3"/>
  <c r="S61" i="3"/>
  <c r="R61" i="3"/>
  <c r="Q61" i="3"/>
  <c r="P61" i="3"/>
  <c r="O61" i="3"/>
  <c r="N61" i="3"/>
  <c r="M61" i="3"/>
  <c r="V61" i="3" s="1"/>
  <c r="L61" i="3"/>
  <c r="U61" i="3" s="1"/>
  <c r="X60" i="3"/>
  <c r="T60" i="3"/>
  <c r="S60" i="3"/>
  <c r="R60" i="3"/>
  <c r="Q60" i="3"/>
  <c r="P60" i="3"/>
  <c r="O60" i="3"/>
  <c r="N60" i="3"/>
  <c r="M60" i="3"/>
  <c r="L60" i="3"/>
  <c r="T59" i="3"/>
  <c r="S59" i="3"/>
  <c r="R59" i="3"/>
  <c r="Q59" i="3"/>
  <c r="P59" i="3"/>
  <c r="O59" i="3"/>
  <c r="N59" i="3"/>
  <c r="M59" i="3"/>
  <c r="L59" i="3"/>
  <c r="T58" i="3"/>
  <c r="S58" i="3"/>
  <c r="R58" i="3"/>
  <c r="Q58" i="3"/>
  <c r="P58" i="3"/>
  <c r="O58" i="3"/>
  <c r="N58" i="3"/>
  <c r="W58" i="3" s="1"/>
  <c r="M58" i="3"/>
  <c r="L58" i="3"/>
  <c r="U57" i="3"/>
  <c r="T57" i="3"/>
  <c r="S57" i="3"/>
  <c r="R57" i="3"/>
  <c r="Q57" i="3"/>
  <c r="P57" i="3"/>
  <c r="O57" i="3"/>
  <c r="N57" i="3"/>
  <c r="W57" i="3" s="1"/>
  <c r="M57" i="3"/>
  <c r="L57" i="3"/>
  <c r="T56" i="3"/>
  <c r="S56" i="3"/>
  <c r="R56" i="3"/>
  <c r="Q56" i="3"/>
  <c r="P56" i="3"/>
  <c r="O56" i="3"/>
  <c r="N56" i="3"/>
  <c r="M56" i="3"/>
  <c r="L56" i="3"/>
  <c r="T55" i="3"/>
  <c r="S55" i="3"/>
  <c r="R55" i="3"/>
  <c r="Q55" i="3"/>
  <c r="P55" i="3"/>
  <c r="O55" i="3"/>
  <c r="N55" i="3"/>
  <c r="M55" i="3"/>
  <c r="V55" i="3" s="1"/>
  <c r="L55" i="3"/>
  <c r="U55" i="3" s="1"/>
  <c r="T54" i="3"/>
  <c r="S54" i="3"/>
  <c r="R54" i="3"/>
  <c r="Q54" i="3"/>
  <c r="P54" i="3"/>
  <c r="O54" i="3"/>
  <c r="N54" i="3"/>
  <c r="M54" i="3"/>
  <c r="L54" i="3"/>
  <c r="T53" i="3"/>
  <c r="S53" i="3"/>
  <c r="R53" i="3"/>
  <c r="Q53" i="3"/>
  <c r="P53" i="3"/>
  <c r="O53" i="3"/>
  <c r="N53" i="3"/>
  <c r="M53" i="3"/>
  <c r="L53" i="3"/>
  <c r="T52" i="3"/>
  <c r="S52" i="3"/>
  <c r="R52" i="3"/>
  <c r="Q52" i="3"/>
  <c r="P52" i="3"/>
  <c r="O52" i="3"/>
  <c r="X52" i="3" s="1"/>
  <c r="N52" i="3"/>
  <c r="W52" i="3" s="1"/>
  <c r="M52" i="3"/>
  <c r="L52" i="3"/>
  <c r="T51" i="3"/>
  <c r="S51" i="3"/>
  <c r="R51" i="3"/>
  <c r="Q51" i="3"/>
  <c r="P51" i="3"/>
  <c r="O51" i="3"/>
  <c r="N51" i="3"/>
  <c r="M51" i="3"/>
  <c r="L51" i="3"/>
  <c r="T50" i="3"/>
  <c r="S50" i="3"/>
  <c r="R50" i="3"/>
  <c r="Q50" i="3"/>
  <c r="P50" i="3"/>
  <c r="O50" i="3"/>
  <c r="N50" i="3"/>
  <c r="M50" i="3"/>
  <c r="L50" i="3"/>
  <c r="T49" i="3"/>
  <c r="S49" i="3"/>
  <c r="R49" i="3"/>
  <c r="Q49" i="3"/>
  <c r="P49" i="3"/>
  <c r="O49" i="3"/>
  <c r="N49" i="3"/>
  <c r="W49" i="3" s="1"/>
  <c r="M49" i="3"/>
  <c r="V49" i="3" s="1"/>
  <c r="L49" i="3"/>
  <c r="T48" i="3"/>
  <c r="S48" i="3"/>
  <c r="W48" i="3" s="1"/>
  <c r="R48" i="3"/>
  <c r="Q48" i="3"/>
  <c r="P48" i="3"/>
  <c r="O48" i="3"/>
  <c r="N48" i="3"/>
  <c r="M48" i="3"/>
  <c r="L48" i="3"/>
  <c r="T47" i="3"/>
  <c r="S47" i="3"/>
  <c r="R47" i="3"/>
  <c r="Q47" i="3"/>
  <c r="P47" i="3"/>
  <c r="O47" i="3"/>
  <c r="N47" i="3"/>
  <c r="M47" i="3"/>
  <c r="L47" i="3"/>
  <c r="T46" i="3"/>
  <c r="S46" i="3"/>
  <c r="R46" i="3"/>
  <c r="Q46" i="3"/>
  <c r="P46" i="3"/>
  <c r="O46" i="3"/>
  <c r="N46" i="3"/>
  <c r="M46" i="3"/>
  <c r="V46" i="3" s="1"/>
  <c r="L46" i="3"/>
  <c r="U46" i="3" s="1"/>
  <c r="T45" i="3"/>
  <c r="S45" i="3"/>
  <c r="R45" i="3"/>
  <c r="Q45" i="3"/>
  <c r="P45" i="3"/>
  <c r="O45" i="3"/>
  <c r="N45" i="3"/>
  <c r="M45" i="3"/>
  <c r="L45" i="3"/>
  <c r="T44" i="3"/>
  <c r="S44" i="3"/>
  <c r="R44" i="3"/>
  <c r="Q44" i="3"/>
  <c r="P44" i="3"/>
  <c r="O44" i="3"/>
  <c r="N44" i="3"/>
  <c r="M44" i="3"/>
  <c r="L44" i="3"/>
  <c r="T43" i="3"/>
  <c r="S43" i="3"/>
  <c r="R43" i="3"/>
  <c r="Q43" i="3"/>
  <c r="P43" i="3"/>
  <c r="O43" i="3"/>
  <c r="N43" i="3"/>
  <c r="M43" i="3"/>
  <c r="L43" i="3"/>
  <c r="U43" i="3" s="1"/>
  <c r="T42" i="3"/>
  <c r="S42" i="3"/>
  <c r="R42" i="3"/>
  <c r="Q42" i="3"/>
  <c r="P42" i="3"/>
  <c r="O42" i="3"/>
  <c r="N42" i="3"/>
  <c r="M42" i="3"/>
  <c r="L42" i="3"/>
  <c r="T41" i="3"/>
  <c r="S41" i="3"/>
  <c r="R41" i="3"/>
  <c r="Q41" i="3"/>
  <c r="P41" i="3"/>
  <c r="O41" i="3"/>
  <c r="N41" i="3"/>
  <c r="M41" i="3"/>
  <c r="L41" i="3"/>
  <c r="T40" i="3"/>
  <c r="S40" i="3"/>
  <c r="R40" i="3"/>
  <c r="Q40" i="3"/>
  <c r="P40" i="3"/>
  <c r="O40" i="3"/>
  <c r="N40" i="3"/>
  <c r="M40" i="3"/>
  <c r="L40" i="3"/>
  <c r="V39" i="3"/>
  <c r="T39" i="3"/>
  <c r="S39" i="3"/>
  <c r="R39" i="3"/>
  <c r="Q39" i="3"/>
  <c r="P39" i="3"/>
  <c r="O39" i="3"/>
  <c r="N39" i="3"/>
  <c r="M39" i="3"/>
  <c r="L39" i="3"/>
  <c r="T38" i="3"/>
  <c r="S38" i="3"/>
  <c r="R38" i="3"/>
  <c r="Q38" i="3"/>
  <c r="P38" i="3"/>
  <c r="O38" i="3"/>
  <c r="N38" i="3"/>
  <c r="M38" i="3"/>
  <c r="L38" i="3"/>
  <c r="T37" i="3"/>
  <c r="S37" i="3"/>
  <c r="R37" i="3"/>
  <c r="Q37" i="3"/>
  <c r="P37" i="3"/>
  <c r="O37" i="3"/>
  <c r="N37" i="3"/>
  <c r="M37" i="3"/>
  <c r="L37" i="3"/>
  <c r="T36" i="3"/>
  <c r="S36" i="3"/>
  <c r="R36" i="3"/>
  <c r="Q36" i="3"/>
  <c r="P36" i="3"/>
  <c r="O36" i="3"/>
  <c r="N36" i="3"/>
  <c r="M36" i="3"/>
  <c r="L36" i="3"/>
  <c r="T35" i="3"/>
  <c r="S35" i="3"/>
  <c r="R35" i="3"/>
  <c r="Q35" i="3"/>
  <c r="P35" i="3"/>
  <c r="O35" i="3"/>
  <c r="N35" i="3"/>
  <c r="M35" i="3"/>
  <c r="L35" i="3"/>
  <c r="T34" i="3"/>
  <c r="S34" i="3"/>
  <c r="R34" i="3"/>
  <c r="Q34" i="3"/>
  <c r="P34" i="3"/>
  <c r="O34" i="3"/>
  <c r="N34" i="3"/>
  <c r="M34" i="3"/>
  <c r="V34" i="3" s="1"/>
  <c r="L34" i="3"/>
  <c r="T33" i="3"/>
  <c r="S33" i="3"/>
  <c r="R33" i="3"/>
  <c r="Q33" i="3"/>
  <c r="P33" i="3"/>
  <c r="O33" i="3"/>
  <c r="N33" i="3"/>
  <c r="M33" i="3"/>
  <c r="L33" i="3"/>
  <c r="T32" i="3"/>
  <c r="S32" i="3"/>
  <c r="R32" i="3"/>
  <c r="Q32" i="3"/>
  <c r="P32" i="3"/>
  <c r="O32" i="3"/>
  <c r="N32" i="3"/>
  <c r="M32" i="3"/>
  <c r="V32" i="3" s="1"/>
  <c r="L32" i="3"/>
  <c r="T31" i="3"/>
  <c r="S31" i="3"/>
  <c r="R31" i="3"/>
  <c r="Q31" i="3"/>
  <c r="P31" i="3"/>
  <c r="O31" i="3"/>
  <c r="N31" i="3"/>
  <c r="M31" i="3"/>
  <c r="L31" i="3"/>
  <c r="T30" i="3"/>
  <c r="S30" i="3"/>
  <c r="W30" i="3" s="1"/>
  <c r="R30" i="3"/>
  <c r="Q30" i="3"/>
  <c r="P30" i="3"/>
  <c r="O30" i="3"/>
  <c r="N30" i="3"/>
  <c r="M30" i="3"/>
  <c r="L30" i="3"/>
  <c r="T29" i="3"/>
  <c r="S29" i="3"/>
  <c r="R29" i="3"/>
  <c r="Q29" i="3"/>
  <c r="P29" i="3"/>
  <c r="O29" i="3"/>
  <c r="X29" i="3" s="1"/>
  <c r="N29" i="3"/>
  <c r="M29" i="3"/>
  <c r="L29" i="3"/>
  <c r="X28" i="3"/>
  <c r="T28" i="3"/>
  <c r="S28" i="3"/>
  <c r="R28" i="3"/>
  <c r="Q28" i="3"/>
  <c r="P28" i="3"/>
  <c r="O28" i="3"/>
  <c r="N28" i="3"/>
  <c r="M28" i="3"/>
  <c r="V28" i="3" s="1"/>
  <c r="L28" i="3"/>
  <c r="T27" i="3"/>
  <c r="S27" i="3"/>
  <c r="R27" i="3"/>
  <c r="Q27" i="3"/>
  <c r="P27" i="3"/>
  <c r="O27" i="3"/>
  <c r="N27" i="3"/>
  <c r="M27" i="3"/>
  <c r="L27" i="3"/>
  <c r="T26" i="3"/>
  <c r="S26" i="3"/>
  <c r="R26" i="3"/>
  <c r="Q26" i="3"/>
  <c r="P26" i="3"/>
  <c r="O26" i="3"/>
  <c r="N26" i="3"/>
  <c r="M26" i="3"/>
  <c r="V26" i="3" s="1"/>
  <c r="L26" i="3"/>
  <c r="T25" i="3"/>
  <c r="S25" i="3"/>
  <c r="R25" i="3"/>
  <c r="Q25" i="3"/>
  <c r="P25" i="3"/>
  <c r="O25" i="3"/>
  <c r="N25" i="3"/>
  <c r="M25" i="3"/>
  <c r="L25" i="3"/>
  <c r="T24" i="3"/>
  <c r="S24" i="3"/>
  <c r="R24" i="3"/>
  <c r="Q24" i="3"/>
  <c r="P24" i="3"/>
  <c r="O24" i="3"/>
  <c r="N24" i="3"/>
  <c r="M24" i="3"/>
  <c r="L24" i="3"/>
  <c r="T23" i="3"/>
  <c r="S23" i="3"/>
  <c r="R23" i="3"/>
  <c r="Q23" i="3"/>
  <c r="P23" i="3"/>
  <c r="O23" i="3"/>
  <c r="N23" i="3"/>
  <c r="M23" i="3"/>
  <c r="L23" i="3"/>
  <c r="T22" i="3"/>
  <c r="S22" i="3"/>
  <c r="R22" i="3"/>
  <c r="Q22" i="3"/>
  <c r="P22" i="3"/>
  <c r="O22" i="3"/>
  <c r="N22" i="3"/>
  <c r="M22" i="3"/>
  <c r="L22" i="3"/>
  <c r="T21" i="3"/>
  <c r="S21" i="3"/>
  <c r="R21" i="3"/>
  <c r="Q21" i="3"/>
  <c r="P21" i="3"/>
  <c r="O21" i="3"/>
  <c r="N21" i="3"/>
  <c r="M21" i="3"/>
  <c r="L21" i="3"/>
  <c r="T20" i="3"/>
  <c r="S20" i="3"/>
  <c r="R20" i="3"/>
  <c r="Q20" i="3"/>
  <c r="P20" i="3"/>
  <c r="O20" i="3"/>
  <c r="N20" i="3"/>
  <c r="M20" i="3"/>
  <c r="L20" i="3"/>
  <c r="T19" i="3"/>
  <c r="S19" i="3"/>
  <c r="R19" i="3"/>
  <c r="Q19" i="3"/>
  <c r="P19" i="3"/>
  <c r="O19" i="3"/>
  <c r="N19" i="3"/>
  <c r="M19" i="3"/>
  <c r="L19" i="3"/>
  <c r="T18" i="3"/>
  <c r="S18" i="3"/>
  <c r="R18" i="3"/>
  <c r="Q18" i="3"/>
  <c r="P18" i="3"/>
  <c r="O18" i="3"/>
  <c r="X18" i="3" s="1"/>
  <c r="N18" i="3"/>
  <c r="M18" i="3"/>
  <c r="L18" i="3"/>
  <c r="T17" i="3"/>
  <c r="S17" i="3"/>
  <c r="R17" i="3"/>
  <c r="Q17" i="3"/>
  <c r="P17" i="3"/>
  <c r="O17" i="3"/>
  <c r="N17" i="3"/>
  <c r="W17" i="3" s="1"/>
  <c r="M17" i="3"/>
  <c r="V17" i="3" s="1"/>
  <c r="L17" i="3"/>
  <c r="U17" i="3" s="1"/>
  <c r="V16" i="3"/>
  <c r="T16" i="3"/>
  <c r="S16" i="3"/>
  <c r="R16" i="3"/>
  <c r="Q16" i="3"/>
  <c r="P16" i="3"/>
  <c r="O16" i="3"/>
  <c r="N16" i="3"/>
  <c r="M16" i="3"/>
  <c r="L16" i="3"/>
  <c r="U16" i="3" s="1"/>
  <c r="T15" i="3"/>
  <c r="S15" i="3"/>
  <c r="W15" i="3" s="1"/>
  <c r="R15" i="3"/>
  <c r="V15" i="3" s="1"/>
  <c r="Q15" i="3"/>
  <c r="U15" i="3" s="1"/>
  <c r="P15" i="3"/>
  <c r="O15" i="3"/>
  <c r="N15" i="3"/>
  <c r="M15" i="3"/>
  <c r="L15" i="3"/>
  <c r="T14" i="3"/>
  <c r="S14" i="3"/>
  <c r="R14" i="3"/>
  <c r="Q14" i="3"/>
  <c r="P14" i="3"/>
  <c r="O14" i="3"/>
  <c r="N14" i="3"/>
  <c r="M14" i="3"/>
  <c r="L14" i="3"/>
  <c r="T13" i="3"/>
  <c r="S13" i="3"/>
  <c r="R13" i="3"/>
  <c r="Q13" i="3"/>
  <c r="P13" i="3"/>
  <c r="O13" i="3"/>
  <c r="N13" i="3"/>
  <c r="M13" i="3"/>
  <c r="L13" i="3"/>
  <c r="T12" i="3"/>
  <c r="S12" i="3"/>
  <c r="R12" i="3"/>
  <c r="V12" i="3" s="1"/>
  <c r="Q12" i="3"/>
  <c r="U12" i="3" s="1"/>
  <c r="P12" i="3"/>
  <c r="O12" i="3"/>
  <c r="N12" i="3"/>
  <c r="M12" i="3"/>
  <c r="L12" i="3"/>
  <c r="T11" i="3"/>
  <c r="S11" i="3"/>
  <c r="R11" i="3"/>
  <c r="Q11" i="3"/>
  <c r="P11" i="3"/>
  <c r="O11" i="3"/>
  <c r="N11" i="3"/>
  <c r="W11" i="3" s="1"/>
  <c r="M11" i="3"/>
  <c r="L11" i="3"/>
  <c r="U10" i="3"/>
  <c r="T10" i="3"/>
  <c r="S10" i="3"/>
  <c r="R10" i="3"/>
  <c r="Q10" i="3"/>
  <c r="P10" i="3"/>
  <c r="O10" i="3"/>
  <c r="N10" i="3"/>
  <c r="M10" i="3"/>
  <c r="V10" i="3" s="1"/>
  <c r="L10" i="3"/>
  <c r="W70" i="3" l="1"/>
  <c r="U66" i="3"/>
  <c r="W64" i="3"/>
  <c r="W62" i="3"/>
  <c r="X65" i="3"/>
  <c r="W60" i="3"/>
  <c r="V60" i="3"/>
  <c r="U60" i="3"/>
  <c r="X58" i="3"/>
  <c r="V58" i="3"/>
  <c r="V57" i="3"/>
  <c r="U56" i="3"/>
  <c r="W55" i="3"/>
  <c r="W54" i="3"/>
  <c r="V54" i="3"/>
  <c r="U54" i="3"/>
  <c r="X53" i="3"/>
  <c r="U52" i="3"/>
  <c r="X50" i="3"/>
  <c r="W50" i="3"/>
  <c r="W46" i="3"/>
  <c r="X47" i="3"/>
  <c r="W47" i="3"/>
  <c r="X46" i="3"/>
  <c r="V44" i="3"/>
  <c r="V45" i="3"/>
  <c r="U45" i="3"/>
  <c r="W44" i="3"/>
  <c r="U44" i="3"/>
  <c r="X43" i="3"/>
  <c r="W43" i="3"/>
  <c r="V43" i="3"/>
  <c r="X41" i="3"/>
  <c r="W41" i="3"/>
  <c r="V40" i="3"/>
  <c r="W40" i="3"/>
  <c r="U40" i="3"/>
  <c r="W39" i="3"/>
  <c r="X39" i="3"/>
  <c r="V36" i="3"/>
  <c r="X36" i="3"/>
  <c r="W36" i="3"/>
  <c r="U36" i="3"/>
  <c r="W35" i="3"/>
  <c r="W33" i="3"/>
  <c r="V33" i="3"/>
  <c r="X33" i="3"/>
  <c r="X35" i="3"/>
  <c r="W34" i="3"/>
  <c r="V30" i="3"/>
  <c r="U31" i="3"/>
  <c r="X31" i="3"/>
  <c r="U29" i="3"/>
  <c r="U30" i="3"/>
  <c r="X30" i="3"/>
  <c r="W28" i="3"/>
  <c r="V27" i="3"/>
  <c r="U27" i="3"/>
  <c r="X27" i="3"/>
  <c r="W27" i="3"/>
  <c r="W26" i="3"/>
  <c r="V25" i="3"/>
  <c r="U26" i="3"/>
  <c r="U25" i="3"/>
  <c r="V24" i="3"/>
  <c r="W24" i="3"/>
  <c r="W32" i="3"/>
  <c r="W29" i="3"/>
  <c r="W12" i="3"/>
  <c r="X11" i="3"/>
  <c r="X19" i="3"/>
  <c r="U21" i="3"/>
  <c r="W16" i="3"/>
  <c r="U18" i="3"/>
  <c r="V21" i="3"/>
  <c r="X16" i="3"/>
  <c r="V18" i="3"/>
  <c r="W18" i="3"/>
  <c r="W13" i="3"/>
  <c r="T8" i="3"/>
  <c r="X12" i="3"/>
  <c r="P8" i="3"/>
  <c r="X125" i="3"/>
  <c r="X15" i="3"/>
  <c r="O8" i="3"/>
  <c r="U14" i="3"/>
  <c r="U152" i="3"/>
  <c r="U11" i="3"/>
  <c r="V14" i="3"/>
  <c r="X112" i="3"/>
  <c r="V152" i="3"/>
  <c r="U70" i="3"/>
  <c r="V99" i="3"/>
  <c r="X111" i="3"/>
  <c r="W152" i="3"/>
  <c r="X20" i="3"/>
  <c r="W45" i="3"/>
  <c r="X57" i="3"/>
  <c r="V70" i="3"/>
  <c r="U84" i="3"/>
  <c r="U88" i="3"/>
  <c r="W99" i="3"/>
  <c r="U111" i="3"/>
  <c r="U38" i="3"/>
  <c r="U39" i="3"/>
  <c r="U42" i="3"/>
  <c r="U75" i="3"/>
  <c r="X99" i="3"/>
  <c r="V111" i="3"/>
  <c r="X132" i="3"/>
  <c r="X142" i="3"/>
  <c r="U19" i="3"/>
  <c r="U32" i="3"/>
  <c r="U35" i="3"/>
  <c r="V42" i="3"/>
  <c r="V75" i="3"/>
  <c r="W85" i="3"/>
  <c r="W111" i="3"/>
  <c r="V128" i="3"/>
  <c r="V13" i="3"/>
  <c r="V19" i="3"/>
  <c r="V47" i="3"/>
  <c r="V56" i="3"/>
  <c r="W75" i="3"/>
  <c r="W82" i="3"/>
  <c r="X85" i="3"/>
  <c r="V116" i="3"/>
  <c r="W19" i="3"/>
  <c r="W53" i="3"/>
  <c r="W56" i="3"/>
  <c r="X81" i="3"/>
  <c r="W116" i="3"/>
  <c r="V131" i="3"/>
  <c r="X49" i="3"/>
  <c r="X56" i="3"/>
  <c r="X63" i="3"/>
  <c r="U65" i="3"/>
  <c r="X70" i="3"/>
  <c r="U77" i="3"/>
  <c r="V80" i="3"/>
  <c r="U86" i="3"/>
  <c r="U94" i="3"/>
  <c r="U98" i="3"/>
  <c r="V100" i="3"/>
  <c r="U103" i="3"/>
  <c r="U117" i="3"/>
  <c r="U120" i="3"/>
  <c r="U124" i="3"/>
  <c r="V127" i="3"/>
  <c r="X148" i="3"/>
  <c r="X151" i="3"/>
  <c r="W10" i="3"/>
  <c r="V11" i="3"/>
  <c r="W14" i="3"/>
  <c r="U23" i="3"/>
  <c r="U24" i="3"/>
  <c r="U28" i="3"/>
  <c r="V31" i="3"/>
  <c r="V37" i="3"/>
  <c r="U41" i="3"/>
  <c r="X45" i="3"/>
  <c r="U48" i="3"/>
  <c r="U51" i="3"/>
  <c r="U59" i="3"/>
  <c r="V65" i="3"/>
  <c r="X69" i="3"/>
  <c r="V77" i="3"/>
  <c r="W80" i="3"/>
  <c r="X84" i="3"/>
  <c r="U90" i="3"/>
  <c r="V93" i="3"/>
  <c r="V98" i="3"/>
  <c r="V117" i="3"/>
  <c r="V124" i="3"/>
  <c r="W127" i="3"/>
  <c r="U129" i="3"/>
  <c r="U137" i="3"/>
  <c r="V141" i="3"/>
  <c r="U147" i="3"/>
  <c r="U20" i="3"/>
  <c r="V23" i="3"/>
  <c r="W31" i="3"/>
  <c r="X34" i="3"/>
  <c r="W37" i="3"/>
  <c r="V41" i="3"/>
  <c r="V48" i="3"/>
  <c r="V51" i="3"/>
  <c r="V59" i="3"/>
  <c r="V62" i="3"/>
  <c r="W65" i="3"/>
  <c r="U69" i="3"/>
  <c r="X73" i="3"/>
  <c r="W77" i="3"/>
  <c r="X80" i="3"/>
  <c r="V90" i="3"/>
  <c r="W93" i="3"/>
  <c r="W98" i="3"/>
  <c r="X101" i="3"/>
  <c r="U110" i="3"/>
  <c r="X114" i="3"/>
  <c r="W117" i="3"/>
  <c r="W120" i="3"/>
  <c r="V129" i="3"/>
  <c r="V137" i="3"/>
  <c r="W141" i="3"/>
  <c r="V20" i="3"/>
  <c r="W23" i="3"/>
  <c r="X37" i="3"/>
  <c r="X55" i="3"/>
  <c r="U58" i="3"/>
  <c r="W59" i="3"/>
  <c r="V69" i="3"/>
  <c r="U83" i="3"/>
  <c r="W90" i="3"/>
  <c r="X93" i="3"/>
  <c r="X96" i="3"/>
  <c r="U97" i="3"/>
  <c r="U106" i="3"/>
  <c r="V110" i="3"/>
  <c r="X120" i="3"/>
  <c r="W129" i="3"/>
  <c r="V133" i="3"/>
  <c r="W136" i="3"/>
  <c r="X141" i="3"/>
  <c r="U13" i="3"/>
  <c r="X17" i="3"/>
  <c r="W20" i="3"/>
  <c r="X23" i="3"/>
  <c r="U33" i="3"/>
  <c r="X40" i="3"/>
  <c r="X44" i="3"/>
  <c r="U47" i="3"/>
  <c r="X48" i="3"/>
  <c r="X59" i="3"/>
  <c r="X62" i="3"/>
  <c r="X68" i="3"/>
  <c r="W69" i="3"/>
  <c r="W72" i="3"/>
  <c r="U80" i="3"/>
  <c r="V83" i="3"/>
  <c r="V106" i="3"/>
  <c r="W109" i="3"/>
  <c r="W110" i="3"/>
  <c r="W113" i="3"/>
  <c r="U116" i="3"/>
  <c r="U126" i="3"/>
  <c r="W133" i="3"/>
  <c r="X136" i="3"/>
  <c r="U140" i="3"/>
  <c r="U132" i="3"/>
  <c r="X133" i="3"/>
  <c r="V140" i="3"/>
  <c r="U142" i="3"/>
  <c r="V147" i="3"/>
  <c r="V150" i="3"/>
  <c r="U151" i="3"/>
  <c r="X14" i="3"/>
  <c r="W21" i="3"/>
  <c r="X24" i="3"/>
  <c r="X32" i="3"/>
  <c r="W42" i="3"/>
  <c r="U53" i="3"/>
  <c r="W61" i="3"/>
  <c r="X64" i="3"/>
  <c r="W71" i="3"/>
  <c r="U82" i="3"/>
  <c r="X86" i="3"/>
  <c r="X90" i="3"/>
  <c r="V97" i="3"/>
  <c r="X107" i="3"/>
  <c r="X110" i="3"/>
  <c r="V118" i="3"/>
  <c r="W121" i="3"/>
  <c r="W125" i="3"/>
  <c r="W128" i="3"/>
  <c r="V132" i="3"/>
  <c r="U135" i="3"/>
  <c r="U136" i="3"/>
  <c r="X139" i="3"/>
  <c r="W140" i="3"/>
  <c r="W147" i="3"/>
  <c r="W150" i="3"/>
  <c r="V151" i="3"/>
  <c r="X13" i="3"/>
  <c r="L8" i="3"/>
  <c r="X21" i="3"/>
  <c r="V29" i="3"/>
  <c r="X42" i="3"/>
  <c r="U49" i="3"/>
  <c r="V52" i="3"/>
  <c r="V53" i="3"/>
  <c r="X61" i="3"/>
  <c r="X71" i="3"/>
  <c r="U78" i="3"/>
  <c r="V82" i="3"/>
  <c r="U89" i="3"/>
  <c r="U92" i="3"/>
  <c r="U99" i="3"/>
  <c r="X103" i="3"/>
  <c r="W118" i="3"/>
  <c r="X121" i="3"/>
  <c r="X124" i="3"/>
  <c r="X128" i="3"/>
  <c r="U131" i="3"/>
  <c r="V135" i="3"/>
  <c r="U139" i="3"/>
  <c r="U146" i="3"/>
  <c r="S8" i="3"/>
  <c r="Q8" i="3"/>
  <c r="R8" i="3"/>
  <c r="X10" i="3"/>
  <c r="V35" i="3"/>
  <c r="V38" i="3"/>
  <c r="W51" i="3"/>
  <c r="X67" i="3"/>
  <c r="U79" i="3"/>
  <c r="V92" i="3"/>
  <c r="U104" i="3"/>
  <c r="X108" i="3"/>
  <c r="V120" i="3"/>
  <c r="W123" i="3"/>
  <c r="W135" i="3"/>
  <c r="U22" i="3"/>
  <c r="X26" i="3"/>
  <c r="W38" i="3"/>
  <c r="X51" i="3"/>
  <c r="U63" i="3"/>
  <c r="V79" i="3"/>
  <c r="W92" i="3"/>
  <c r="W95" i="3"/>
  <c r="X123" i="3"/>
  <c r="X138" i="3"/>
  <c r="V22" i="3"/>
  <c r="U34" i="3"/>
  <c r="X38" i="3"/>
  <c r="V63" i="3"/>
  <c r="V66" i="3"/>
  <c r="W79" i="3"/>
  <c r="X95" i="3"/>
  <c r="U107" i="3"/>
  <c r="U149" i="3"/>
  <c r="M8" i="3"/>
  <c r="W22" i="3"/>
  <c r="W25" i="3"/>
  <c r="U50" i="3"/>
  <c r="X54" i="3"/>
  <c r="W66" i="3"/>
  <c r="X79" i="3"/>
  <c r="U91" i="3"/>
  <c r="V107" i="3"/>
  <c r="U119" i="3"/>
  <c r="U134" i="3"/>
  <c r="V149" i="3"/>
  <c r="X150" i="3"/>
  <c r="N8" i="3"/>
  <c r="X22" i="3"/>
  <c r="X25" i="3"/>
  <c r="U37" i="3"/>
  <c r="V50" i="3"/>
  <c r="U62" i="3"/>
  <c r="X66" i="3"/>
  <c r="V91" i="3"/>
  <c r="V94" i="3"/>
  <c r="W107" i="3"/>
  <c r="V122" i="3"/>
  <c r="V134" i="3"/>
  <c r="W137" i="3"/>
  <c r="W149" i="3"/>
  <c r="W8" i="3" l="1"/>
  <c r="V8" i="3"/>
  <c r="U8" i="3"/>
  <c r="X8" i="3"/>
  <c r="DI4" i="2" l="1"/>
  <c r="DI5" i="2"/>
  <c r="DI6" i="2"/>
  <c r="DI7" i="2"/>
  <c r="DI14" i="2"/>
  <c r="DI15" i="2"/>
  <c r="DI16" i="2"/>
  <c r="DI17" i="2"/>
  <c r="DI18" i="2"/>
  <c r="DI19" i="2"/>
  <c r="DI20" i="2"/>
  <c r="DI21" i="2"/>
  <c r="DI22" i="2"/>
  <c r="DI23" i="2"/>
  <c r="DI24" i="2"/>
  <c r="DI3" i="2"/>
  <c r="GA4" i="2"/>
  <c r="GA5" i="2"/>
  <c r="GA6" i="2"/>
  <c r="GA7" i="2"/>
  <c r="GA14" i="2"/>
  <c r="GA15" i="2"/>
  <c r="GA3" i="2"/>
  <c r="FZ4" i="2"/>
  <c r="FZ5" i="2"/>
  <c r="FZ6" i="2"/>
  <c r="FZ7" i="2"/>
  <c r="FZ14" i="2"/>
  <c r="FZ15" i="2"/>
  <c r="FZ3" i="2"/>
  <c r="FY4" i="2"/>
  <c r="FY5" i="2"/>
  <c r="FY6" i="2"/>
  <c r="FY7" i="2"/>
  <c r="FY14" i="2"/>
  <c r="FY15" i="2"/>
  <c r="FY3" i="2"/>
  <c r="FX4" i="2"/>
  <c r="FX5" i="2"/>
  <c r="FX6" i="2"/>
  <c r="FX7" i="2"/>
  <c r="FX14" i="2"/>
  <c r="FX15" i="2"/>
  <c r="FX3" i="2"/>
  <c r="FR4" i="2"/>
  <c r="FR5" i="2"/>
  <c r="FR6" i="2"/>
  <c r="FR7" i="2"/>
  <c r="FR14" i="2"/>
  <c r="FR15" i="2"/>
  <c r="FR16" i="2"/>
  <c r="FR17" i="2"/>
  <c r="FR18" i="2"/>
  <c r="FR19" i="2"/>
  <c r="FR20" i="2"/>
  <c r="FR21" i="2"/>
  <c r="FR22" i="2"/>
  <c r="FR23" i="2"/>
  <c r="FR24" i="2"/>
  <c r="FR3" i="2"/>
  <c r="FQ4" i="2"/>
  <c r="FQ5" i="2"/>
  <c r="FQ6" i="2"/>
  <c r="FQ7" i="2"/>
  <c r="FQ14" i="2"/>
  <c r="FQ15" i="2"/>
  <c r="FQ16" i="2"/>
  <c r="FQ17" i="2"/>
  <c r="FQ18" i="2"/>
  <c r="FQ19" i="2"/>
  <c r="FQ20" i="2"/>
  <c r="FQ21" i="2"/>
  <c r="FQ22" i="2"/>
  <c r="FQ23" i="2"/>
  <c r="FQ24" i="2"/>
  <c r="FQ3" i="2"/>
  <c r="FU4" i="2"/>
  <c r="FU5" i="2"/>
  <c r="FU6" i="2"/>
  <c r="FU7" i="2"/>
  <c r="FU14" i="2"/>
  <c r="FU15" i="2"/>
  <c r="FU16" i="2"/>
  <c r="FU17" i="2"/>
  <c r="FU18" i="2"/>
  <c r="FU19" i="2"/>
  <c r="FU20" i="2"/>
  <c r="FU21" i="2"/>
  <c r="FU22" i="2"/>
  <c r="FU23" i="2"/>
  <c r="FU24" i="2"/>
  <c r="FU3" i="2"/>
  <c r="FT4" i="2"/>
  <c r="FT5" i="2"/>
  <c r="FT6" i="2"/>
  <c r="FT7" i="2"/>
  <c r="FT14" i="2"/>
  <c r="FT15" i="2"/>
  <c r="FT16" i="2"/>
  <c r="FT17" i="2"/>
  <c r="FT18" i="2"/>
  <c r="FT19" i="2"/>
  <c r="FT20" i="2"/>
  <c r="FT21" i="2"/>
  <c r="FT22" i="2"/>
  <c r="FT23" i="2"/>
  <c r="FT24" i="2"/>
  <c r="FT3" i="2"/>
  <c r="FW4" i="2"/>
  <c r="FW5" i="2"/>
  <c r="FW6" i="2"/>
  <c r="FW7" i="2"/>
  <c r="FW14" i="2"/>
  <c r="FW15" i="2"/>
  <c r="FW16" i="2"/>
  <c r="FW17" i="2"/>
  <c r="FW18" i="2"/>
  <c r="FW19" i="2"/>
  <c r="FW20" i="2"/>
  <c r="FW21" i="2"/>
  <c r="FW22" i="2"/>
  <c r="FW23" i="2"/>
  <c r="FW24" i="2"/>
  <c r="FW3" i="2"/>
  <c r="FV4" i="2"/>
  <c r="FV5" i="2"/>
  <c r="FV6" i="2"/>
  <c r="FV7" i="2"/>
  <c r="FV14" i="2"/>
  <c r="FV15" i="2"/>
  <c r="FV16" i="2"/>
  <c r="FV17" i="2"/>
  <c r="FV18" i="2"/>
  <c r="FV19" i="2"/>
  <c r="FV20" i="2"/>
  <c r="FV21" i="2"/>
  <c r="FV22" i="2"/>
  <c r="FV23" i="2"/>
  <c r="FV24" i="2"/>
  <c r="FV3" i="2"/>
  <c r="FS4" i="2"/>
  <c r="FS5" i="2"/>
  <c r="FS6" i="2"/>
  <c r="FS7" i="2"/>
  <c r="FS14" i="2"/>
  <c r="FS15" i="2"/>
  <c r="FS16" i="2"/>
  <c r="FS17" i="2"/>
  <c r="FS18" i="2"/>
  <c r="FS19" i="2"/>
  <c r="FS20" i="2"/>
  <c r="FS21" i="2"/>
  <c r="FS22" i="2"/>
  <c r="FS23" i="2"/>
  <c r="FS24" i="2"/>
  <c r="FS3" i="2"/>
  <c r="FP4" i="2"/>
  <c r="FP5" i="2"/>
  <c r="FP6" i="2"/>
  <c r="FP7" i="2"/>
  <c r="FP14" i="2"/>
  <c r="FP15" i="2"/>
  <c r="FP16" i="2"/>
  <c r="FP17" i="2"/>
  <c r="FP18" i="2"/>
  <c r="FP19" i="2"/>
  <c r="FP20" i="2"/>
  <c r="FP21" i="2"/>
  <c r="FP22" i="2"/>
  <c r="FP23" i="2"/>
  <c r="FP24" i="2"/>
  <c r="FP3" i="2"/>
  <c r="FO4" i="2"/>
  <c r="FO5" i="2"/>
  <c r="FO6" i="2"/>
  <c r="FO7" i="2"/>
  <c r="FO14" i="2"/>
  <c r="FO15" i="2"/>
  <c r="FO16" i="2"/>
  <c r="FO17" i="2"/>
  <c r="FO18" i="2"/>
  <c r="FO19" i="2"/>
  <c r="FO20" i="2"/>
  <c r="FO21" i="2"/>
  <c r="FO22" i="2"/>
  <c r="FO23" i="2"/>
  <c r="FO24" i="2"/>
  <c r="FO3" i="2"/>
  <c r="FN4" i="2"/>
  <c r="FN5" i="2"/>
  <c r="FN6" i="2"/>
  <c r="FN7" i="2"/>
  <c r="FN14" i="2"/>
  <c r="FN15" i="2"/>
  <c r="FN16" i="2"/>
  <c r="FN17" i="2"/>
  <c r="FN18" i="2"/>
  <c r="FN19" i="2"/>
  <c r="FN20" i="2"/>
  <c r="FN21" i="2"/>
  <c r="FN22" i="2"/>
  <c r="FN23" i="2"/>
  <c r="FN24" i="2"/>
  <c r="FN3" i="2"/>
  <c r="FM14" i="2"/>
  <c r="FM15" i="2"/>
  <c r="FM18" i="2"/>
  <c r="FM19" i="2"/>
  <c r="FM20" i="2"/>
  <c r="FM21" i="2"/>
  <c r="FM22" i="2"/>
  <c r="FM23" i="2"/>
  <c r="FM24" i="2"/>
  <c r="FL4" i="2"/>
  <c r="FL5" i="2"/>
  <c r="FL6" i="2"/>
  <c r="FL7" i="2"/>
  <c r="FL14" i="2"/>
  <c r="FL15" i="2"/>
  <c r="FL16" i="2"/>
  <c r="FL17" i="2"/>
  <c r="FL18" i="2"/>
  <c r="FL19" i="2"/>
  <c r="FL20" i="2"/>
  <c r="FL21" i="2"/>
  <c r="FL22" i="2"/>
  <c r="FL23" i="2"/>
  <c r="FL24" i="2"/>
  <c r="FL3" i="2"/>
  <c r="FK4" i="2"/>
  <c r="FK5" i="2"/>
  <c r="FK6" i="2"/>
  <c r="FK7" i="2"/>
  <c r="FK14" i="2"/>
  <c r="FK15" i="2"/>
  <c r="FK16" i="2"/>
  <c r="FK17" i="2"/>
  <c r="FK18" i="2"/>
  <c r="FK19" i="2"/>
  <c r="FK20" i="2"/>
  <c r="FK21" i="2"/>
  <c r="FK22" i="2"/>
  <c r="FK23" i="2"/>
  <c r="FK24" i="2"/>
  <c r="FK3" i="2"/>
  <c r="FJ4" i="2"/>
  <c r="FJ5" i="2"/>
  <c r="FJ6" i="2"/>
  <c r="FJ7" i="2"/>
  <c r="FJ14" i="2"/>
  <c r="FJ15" i="2"/>
  <c r="FJ16" i="2"/>
  <c r="FJ17" i="2"/>
  <c r="FJ18" i="2"/>
  <c r="FJ19" i="2"/>
  <c r="FJ20" i="2"/>
  <c r="FJ21" i="2"/>
  <c r="FJ22" i="2"/>
  <c r="FJ23" i="2"/>
  <c r="FJ24" i="2"/>
  <c r="FJ3" i="2"/>
  <c r="FI4" i="2"/>
  <c r="FI5" i="2"/>
  <c r="FI6" i="2"/>
  <c r="FI7" i="2"/>
  <c r="FI14" i="2"/>
  <c r="FI15" i="2"/>
  <c r="FI16" i="2"/>
  <c r="FI17" i="2"/>
  <c r="FI18" i="2"/>
  <c r="FI19" i="2"/>
  <c r="FI20" i="2"/>
  <c r="FI21" i="2"/>
  <c r="FI22" i="2"/>
  <c r="FI23" i="2"/>
  <c r="FI24" i="2"/>
  <c r="FI3" i="2"/>
  <c r="FH4" i="2"/>
  <c r="FH5" i="2"/>
  <c r="FH6" i="2"/>
  <c r="FH7" i="2"/>
  <c r="FH14" i="2"/>
  <c r="FH15" i="2"/>
  <c r="FH16" i="2"/>
  <c r="FH17" i="2"/>
  <c r="FH18" i="2"/>
  <c r="FH19" i="2"/>
  <c r="FH20" i="2"/>
  <c r="FH21" i="2"/>
  <c r="FH22" i="2"/>
  <c r="FH23" i="2"/>
  <c r="FH24" i="2"/>
  <c r="FH3" i="2"/>
  <c r="FG4" i="2"/>
  <c r="FG5" i="2"/>
  <c r="FG6" i="2"/>
  <c r="FG7" i="2"/>
  <c r="FG14" i="2"/>
  <c r="FG15" i="2"/>
  <c r="FG16" i="2"/>
  <c r="FG17" i="2"/>
  <c r="FG18" i="2"/>
  <c r="FG19" i="2"/>
  <c r="FG20" i="2"/>
  <c r="FG21" i="2"/>
  <c r="FG22" i="2"/>
  <c r="FG23" i="2"/>
  <c r="FG24" i="2"/>
  <c r="FG3" i="2"/>
  <c r="FF4" i="2"/>
  <c r="FF5" i="2"/>
  <c r="FF6" i="2"/>
  <c r="FF7" i="2"/>
  <c r="FF14" i="2"/>
  <c r="FF15" i="2"/>
  <c r="FF16" i="2"/>
  <c r="FF17" i="2"/>
  <c r="FF18" i="2"/>
  <c r="FF19" i="2"/>
  <c r="FF20" i="2"/>
  <c r="FF21" i="2"/>
  <c r="FF22" i="2"/>
  <c r="FF23" i="2"/>
  <c r="FF24" i="2"/>
  <c r="FF3" i="2"/>
  <c r="FE4" i="2"/>
  <c r="FE5" i="2"/>
  <c r="FE6" i="2"/>
  <c r="FE7" i="2"/>
  <c r="FE14" i="2"/>
  <c r="FE15" i="2"/>
  <c r="FE16" i="2"/>
  <c r="FE17" i="2"/>
  <c r="FE18" i="2"/>
  <c r="FE19" i="2"/>
  <c r="FE20" i="2"/>
  <c r="FE21" i="2"/>
  <c r="FE22" i="2"/>
  <c r="FE23" i="2"/>
  <c r="FE24" i="2"/>
  <c r="FE3" i="2"/>
  <c r="FD4" i="2"/>
  <c r="FD5" i="2"/>
  <c r="FD6" i="2"/>
  <c r="FD7" i="2"/>
  <c r="FD14" i="2"/>
  <c r="FD15" i="2"/>
  <c r="FD16" i="2"/>
  <c r="FD17" i="2"/>
  <c r="FD18" i="2"/>
  <c r="FD19" i="2"/>
  <c r="FD20" i="2"/>
  <c r="FD21" i="2"/>
  <c r="FD22" i="2"/>
  <c r="FD23" i="2"/>
  <c r="FD24" i="2"/>
  <c r="FD3" i="2"/>
  <c r="FC4" i="2"/>
  <c r="FC5" i="2"/>
  <c r="FC6" i="2"/>
  <c r="FC7" i="2"/>
  <c r="FC14" i="2"/>
  <c r="FC15" i="2"/>
  <c r="FC16" i="2"/>
  <c r="FC17" i="2"/>
  <c r="FC18" i="2"/>
  <c r="FC19" i="2"/>
  <c r="FC20" i="2"/>
  <c r="FC21" i="2"/>
  <c r="FC22" i="2"/>
  <c r="FC23" i="2"/>
  <c r="FC24" i="2"/>
  <c r="FC3" i="2"/>
  <c r="FB4" i="2"/>
  <c r="FB5" i="2"/>
  <c r="FB6" i="2"/>
  <c r="FB7" i="2"/>
  <c r="FB14" i="2"/>
  <c r="FB15" i="2"/>
  <c r="FB16" i="2"/>
  <c r="FB17" i="2"/>
  <c r="FB18" i="2"/>
  <c r="FB19" i="2"/>
  <c r="FB20" i="2"/>
  <c r="FB21" i="2"/>
  <c r="FB22" i="2"/>
  <c r="FB23" i="2"/>
  <c r="FB24" i="2"/>
  <c r="FB3" i="2"/>
  <c r="FA4" i="2"/>
  <c r="FA5" i="2"/>
  <c r="FA6" i="2"/>
  <c r="FA7" i="2"/>
  <c r="FA14" i="2"/>
  <c r="FA15" i="2"/>
  <c r="FA16" i="2"/>
  <c r="FA17" i="2"/>
  <c r="FA18" i="2"/>
  <c r="FA19" i="2"/>
  <c r="FA20" i="2"/>
  <c r="FA21" i="2"/>
  <c r="FA22" i="2"/>
  <c r="FA23" i="2"/>
  <c r="FA24" i="2"/>
  <c r="FA3" i="2"/>
  <c r="DH4" i="2"/>
  <c r="DH5" i="2"/>
  <c r="DH6" i="2"/>
  <c r="DH7" i="2"/>
  <c r="DH14" i="2"/>
  <c r="DH15" i="2"/>
  <c r="DH16" i="2"/>
  <c r="DH17" i="2"/>
  <c r="DH18" i="2"/>
  <c r="DH19" i="2"/>
  <c r="DH20" i="2"/>
  <c r="DH21" i="2"/>
  <c r="DH22" i="2"/>
  <c r="DH23" i="2"/>
  <c r="DH24" i="2"/>
  <c r="EZ4" i="2"/>
  <c r="EZ5" i="2"/>
  <c r="EZ6" i="2"/>
  <c r="EZ7" i="2"/>
  <c r="EZ14" i="2"/>
  <c r="EZ15" i="2"/>
  <c r="EZ16" i="2"/>
  <c r="EZ17" i="2"/>
  <c r="EZ18" i="2"/>
  <c r="EZ19" i="2"/>
  <c r="EZ20" i="2"/>
  <c r="EZ21" i="2"/>
  <c r="EZ22" i="2"/>
  <c r="EZ23" i="2"/>
  <c r="EZ24" i="2"/>
  <c r="EZ3" i="2"/>
  <c r="EY4" i="2"/>
  <c r="EY5" i="2"/>
  <c r="EY6" i="2"/>
  <c r="EY7" i="2"/>
  <c r="EY14" i="2"/>
  <c r="EY15" i="2"/>
  <c r="EY16" i="2"/>
  <c r="EY17" i="2"/>
  <c r="EY18" i="2"/>
  <c r="EY19" i="2"/>
  <c r="EY20" i="2"/>
  <c r="EY21" i="2"/>
  <c r="EY22" i="2"/>
  <c r="EY23" i="2"/>
  <c r="EY24" i="2"/>
  <c r="EY3" i="2"/>
  <c r="EX4" i="2"/>
  <c r="EX5" i="2"/>
  <c r="EX6" i="2"/>
  <c r="EX7" i="2"/>
  <c r="EX14" i="2"/>
  <c r="EX15" i="2"/>
  <c r="EX16" i="2"/>
  <c r="EX17" i="2"/>
  <c r="EX18" i="2"/>
  <c r="EX19" i="2"/>
  <c r="EX20" i="2"/>
  <c r="EX21" i="2"/>
  <c r="EX22" i="2"/>
  <c r="EX23" i="2"/>
  <c r="EX24" i="2"/>
  <c r="EX3" i="2"/>
  <c r="EU4" i="2"/>
  <c r="EU5" i="2"/>
  <c r="EU6" i="2"/>
  <c r="EU7" i="2"/>
  <c r="EU14" i="2"/>
  <c r="EU15" i="2"/>
  <c r="EU16" i="2"/>
  <c r="EU17" i="2"/>
  <c r="EU18" i="2"/>
  <c r="EU19" i="2"/>
  <c r="EU20" i="2"/>
  <c r="EU21" i="2"/>
  <c r="EU22" i="2"/>
  <c r="EU23" i="2"/>
  <c r="EU24" i="2"/>
  <c r="EU3" i="2"/>
  <c r="EW4" i="2"/>
  <c r="EW5" i="2"/>
  <c r="EW6" i="2"/>
  <c r="EW7" i="2"/>
  <c r="EW14" i="2"/>
  <c r="EW15" i="2"/>
  <c r="EW16" i="2"/>
  <c r="EW17" i="2"/>
  <c r="EW18" i="2"/>
  <c r="EW19" i="2"/>
  <c r="EW20" i="2"/>
  <c r="EW21" i="2"/>
  <c r="EW22" i="2"/>
  <c r="EW23" i="2"/>
  <c r="EW24" i="2"/>
  <c r="EW3" i="2"/>
  <c r="EV4" i="2"/>
  <c r="EV5" i="2"/>
  <c r="EV6" i="2"/>
  <c r="EV7" i="2"/>
  <c r="EV14" i="2"/>
  <c r="EV15" i="2"/>
  <c r="EV16" i="2"/>
  <c r="EV17" i="2"/>
  <c r="EV18" i="2"/>
  <c r="EV19" i="2"/>
  <c r="EV20" i="2"/>
  <c r="EV21" i="2"/>
  <c r="EV22" i="2"/>
  <c r="EV23" i="2"/>
  <c r="EV24" i="2"/>
  <c r="EV3" i="2"/>
  <c r="ET4" i="2"/>
  <c r="ET5" i="2"/>
  <c r="ET6" i="2"/>
  <c r="ET7" i="2"/>
  <c r="ET14" i="2"/>
  <c r="ET15" i="2"/>
  <c r="ET16" i="2"/>
  <c r="ET17" i="2"/>
  <c r="ET18" i="2"/>
  <c r="ET19" i="2"/>
  <c r="ET20" i="2"/>
  <c r="ET21" i="2"/>
  <c r="ET22" i="2"/>
  <c r="ET23" i="2"/>
  <c r="ET24" i="2"/>
  <c r="ET3" i="2"/>
  <c r="ES4" i="2"/>
  <c r="ES5" i="2"/>
  <c r="ES6" i="2"/>
  <c r="ES7" i="2"/>
  <c r="ES14" i="2"/>
  <c r="ES15" i="2"/>
  <c r="ES16" i="2"/>
  <c r="ES17" i="2"/>
  <c r="ES18" i="2"/>
  <c r="ES19" i="2"/>
  <c r="ES20" i="2"/>
  <c r="ES21" i="2"/>
  <c r="ES22" i="2"/>
  <c r="ES23" i="2"/>
  <c r="ES24" i="2"/>
  <c r="ES3" i="2"/>
  <c r="ER4" i="2"/>
  <c r="ER5" i="2"/>
  <c r="ER6" i="2"/>
  <c r="ER7" i="2"/>
  <c r="ER14" i="2"/>
  <c r="ER15" i="2"/>
  <c r="ER16" i="2"/>
  <c r="ER17" i="2"/>
  <c r="ER18" i="2"/>
  <c r="ER19" i="2"/>
  <c r="ER20" i="2"/>
  <c r="ER21" i="2"/>
  <c r="ER22" i="2"/>
  <c r="ER23" i="2"/>
  <c r="ER24" i="2"/>
  <c r="ER3" i="2"/>
  <c r="EQ4" i="2"/>
  <c r="EQ5" i="2"/>
  <c r="EQ6" i="2"/>
  <c r="EQ7" i="2"/>
  <c r="EQ14" i="2"/>
  <c r="EQ15" i="2"/>
  <c r="EQ16" i="2"/>
  <c r="EQ17" i="2"/>
  <c r="EQ18" i="2"/>
  <c r="EQ19" i="2"/>
  <c r="EQ20" i="2"/>
  <c r="EQ21" i="2"/>
  <c r="EQ22" i="2"/>
  <c r="EQ23" i="2"/>
  <c r="EQ24" i="2"/>
  <c r="EQ3" i="2"/>
  <c r="EP4" i="2"/>
  <c r="EP5" i="2"/>
  <c r="EP6" i="2"/>
  <c r="EP7" i="2"/>
  <c r="EP14" i="2"/>
  <c r="EP15" i="2"/>
  <c r="EP16" i="2"/>
  <c r="EP17" i="2"/>
  <c r="EP18" i="2"/>
  <c r="EP19" i="2"/>
  <c r="EP20" i="2"/>
  <c r="EP21" i="2"/>
  <c r="EP22" i="2"/>
  <c r="EP23" i="2"/>
  <c r="EP24" i="2"/>
  <c r="EP3" i="2"/>
  <c r="EO4" i="2"/>
  <c r="EO5" i="2"/>
  <c r="EO6" i="2"/>
  <c r="EO7" i="2"/>
  <c r="EO14" i="2"/>
  <c r="EO15" i="2"/>
  <c r="EO16" i="2"/>
  <c r="EO17" i="2"/>
  <c r="EO18" i="2"/>
  <c r="EO19" i="2"/>
  <c r="EO20" i="2"/>
  <c r="EO21" i="2"/>
  <c r="EO22" i="2"/>
  <c r="EO23" i="2"/>
  <c r="EO24" i="2"/>
  <c r="EO3" i="2"/>
  <c r="EN4" i="2"/>
  <c r="EN5" i="2"/>
  <c r="EN6" i="2"/>
  <c r="EN7" i="2"/>
  <c r="EN14" i="2"/>
  <c r="EN15" i="2"/>
  <c r="EN16" i="2"/>
  <c r="EN17" i="2"/>
  <c r="EN18" i="2"/>
  <c r="EN19" i="2"/>
  <c r="EN20" i="2"/>
  <c r="EN21" i="2"/>
  <c r="EN22" i="2"/>
  <c r="EN23" i="2"/>
  <c r="EN24" i="2"/>
  <c r="EN3" i="2"/>
  <c r="EM4" i="2"/>
  <c r="EM5" i="2"/>
  <c r="EM6" i="2"/>
  <c r="EM7" i="2"/>
  <c r="EM14" i="2"/>
  <c r="EM15" i="2"/>
  <c r="EM16" i="2"/>
  <c r="EM17" i="2"/>
  <c r="EM18" i="2"/>
  <c r="EM19" i="2"/>
  <c r="EM20" i="2"/>
  <c r="EM21" i="2"/>
  <c r="EM22" i="2"/>
  <c r="EM23" i="2"/>
  <c r="EM24" i="2"/>
  <c r="EM3" i="2"/>
  <c r="EL4" i="2"/>
  <c r="EL5" i="2"/>
  <c r="EL6" i="2"/>
  <c r="EL7" i="2"/>
  <c r="EL14" i="2"/>
  <c r="EL15" i="2"/>
  <c r="EL16" i="2"/>
  <c r="EL17" i="2"/>
  <c r="EL18" i="2"/>
  <c r="EL19" i="2"/>
  <c r="EL20" i="2"/>
  <c r="EL21" i="2"/>
  <c r="EL22" i="2"/>
  <c r="EL23" i="2"/>
  <c r="EL24" i="2"/>
  <c r="EL3" i="2"/>
  <c r="EK4" i="2"/>
  <c r="EK5" i="2"/>
  <c r="EK6" i="2"/>
  <c r="EK7" i="2"/>
  <c r="EK14" i="2"/>
  <c r="EK15" i="2"/>
  <c r="EK16" i="2"/>
  <c r="EK17" i="2"/>
  <c r="EK18" i="2"/>
  <c r="EK19" i="2"/>
  <c r="EK20" i="2"/>
  <c r="EK21" i="2"/>
  <c r="EK22" i="2"/>
  <c r="EK23" i="2"/>
  <c r="EK24" i="2"/>
  <c r="EK3" i="2"/>
  <c r="EJ4" i="2"/>
  <c r="EJ5" i="2"/>
  <c r="EJ6" i="2"/>
  <c r="EJ7" i="2"/>
  <c r="EJ14" i="2"/>
  <c r="EJ15" i="2"/>
  <c r="EJ16" i="2"/>
  <c r="EJ17" i="2"/>
  <c r="EJ18" i="2"/>
  <c r="EJ19" i="2"/>
  <c r="EJ20" i="2"/>
  <c r="EJ21" i="2"/>
  <c r="EJ22" i="2"/>
  <c r="EJ23" i="2"/>
  <c r="EJ24" i="2"/>
  <c r="EJ3" i="2"/>
  <c r="EI4" i="2"/>
  <c r="EI5" i="2"/>
  <c r="EI6" i="2"/>
  <c r="EI7" i="2"/>
  <c r="EI14" i="2"/>
  <c r="EI15" i="2"/>
  <c r="EI16" i="2"/>
  <c r="EI17" i="2"/>
  <c r="EI18" i="2"/>
  <c r="EI20" i="2"/>
  <c r="EI21" i="2"/>
  <c r="EI22" i="2"/>
  <c r="EI23" i="2"/>
  <c r="EI24" i="2"/>
  <c r="EI3" i="2"/>
  <c r="EH4" i="2"/>
  <c r="EH5" i="2"/>
  <c r="EH6" i="2"/>
  <c r="EH7" i="2"/>
  <c r="EH14" i="2"/>
  <c r="EH15" i="2"/>
  <c r="EH16" i="2"/>
  <c r="EH17" i="2"/>
  <c r="EH18" i="2"/>
  <c r="EH19" i="2"/>
  <c r="EH20" i="2"/>
  <c r="EH21" i="2"/>
  <c r="EH22" i="2"/>
  <c r="EH23" i="2"/>
  <c r="EH24" i="2"/>
  <c r="EH3" i="2"/>
  <c r="EG4" i="2"/>
  <c r="EG5" i="2"/>
  <c r="EG6" i="2"/>
  <c r="EG7" i="2"/>
  <c r="EG14" i="2"/>
  <c r="EG15" i="2"/>
  <c r="EG16" i="2"/>
  <c r="EG17" i="2"/>
  <c r="EG18" i="2"/>
  <c r="EG19" i="2"/>
  <c r="EG20" i="2"/>
  <c r="EG21" i="2"/>
  <c r="EG22" i="2"/>
  <c r="EG23" i="2"/>
  <c r="EG24" i="2"/>
  <c r="EG3" i="2"/>
  <c r="EF4" i="2"/>
  <c r="EF5" i="2"/>
  <c r="EF6" i="2"/>
  <c r="EF7" i="2"/>
  <c r="EF14" i="2"/>
  <c r="EF15" i="2"/>
  <c r="EF16" i="2"/>
  <c r="EF17" i="2"/>
  <c r="EF18" i="2"/>
  <c r="EF19" i="2"/>
  <c r="EF20" i="2"/>
  <c r="EF21" i="2"/>
  <c r="EF22" i="2"/>
  <c r="EF23" i="2"/>
  <c r="EF24" i="2"/>
  <c r="EF3" i="2"/>
  <c r="EE4" i="2"/>
  <c r="EE5" i="2"/>
  <c r="EE6" i="2"/>
  <c r="EE7" i="2"/>
  <c r="EE14" i="2"/>
  <c r="EE15" i="2"/>
  <c r="EE16" i="2"/>
  <c r="EE17" i="2"/>
  <c r="EE18" i="2"/>
  <c r="EE19" i="2"/>
  <c r="EE20" i="2"/>
  <c r="EE21" i="2"/>
  <c r="EE22" i="2"/>
  <c r="EE23" i="2"/>
  <c r="EE24" i="2"/>
  <c r="EE3" i="2"/>
  <c r="ED4" i="2"/>
  <c r="ED5" i="2"/>
  <c r="ED6" i="2"/>
  <c r="ED7" i="2"/>
  <c r="ED14" i="2"/>
  <c r="ED15" i="2"/>
  <c r="ED16" i="2"/>
  <c r="ED17" i="2"/>
  <c r="ED18" i="2"/>
  <c r="ED19" i="2"/>
  <c r="ED20" i="2"/>
  <c r="ED21" i="2"/>
  <c r="ED22" i="2"/>
  <c r="ED23" i="2"/>
  <c r="ED24" i="2"/>
  <c r="ED3" i="2"/>
  <c r="EC4" i="2"/>
  <c r="EC5" i="2"/>
  <c r="EC6" i="2"/>
  <c r="EC7" i="2"/>
  <c r="EC14" i="2"/>
  <c r="EC15" i="2"/>
  <c r="EC16" i="2"/>
  <c r="EC17" i="2"/>
  <c r="EC18" i="2"/>
  <c r="EC19" i="2"/>
  <c r="EC20" i="2"/>
  <c r="EC21" i="2"/>
  <c r="EC22" i="2"/>
  <c r="EC23" i="2"/>
  <c r="EC24" i="2"/>
  <c r="EC3" i="2"/>
  <c r="EB4" i="2"/>
  <c r="EB5" i="2"/>
  <c r="EB6" i="2"/>
  <c r="EB7" i="2"/>
  <c r="EB14" i="2"/>
  <c r="EB15" i="2"/>
  <c r="EB16" i="2"/>
  <c r="EB17" i="2"/>
  <c r="EB18" i="2"/>
  <c r="EB19" i="2"/>
  <c r="EB20" i="2"/>
  <c r="EB21" i="2"/>
  <c r="EB22" i="2"/>
  <c r="EB23" i="2"/>
  <c r="EB24" i="2"/>
  <c r="EB3" i="2"/>
  <c r="EA4" i="2"/>
  <c r="EA5" i="2"/>
  <c r="EA6" i="2"/>
  <c r="EA7" i="2"/>
  <c r="EA14" i="2"/>
  <c r="EA15" i="2"/>
  <c r="EA16" i="2"/>
  <c r="EA17" i="2"/>
  <c r="EA18" i="2"/>
  <c r="EA19" i="2"/>
  <c r="EA20" i="2"/>
  <c r="EA21" i="2"/>
  <c r="EA22" i="2"/>
  <c r="EA23" i="2"/>
  <c r="EA24" i="2"/>
  <c r="EA3" i="2"/>
  <c r="DZ4" i="2"/>
  <c r="DZ5" i="2"/>
  <c r="DZ6" i="2"/>
  <c r="DZ7" i="2"/>
  <c r="DZ14" i="2"/>
  <c r="DZ15" i="2"/>
  <c r="DZ16" i="2"/>
  <c r="DZ17" i="2"/>
  <c r="DZ18" i="2"/>
  <c r="DZ19" i="2"/>
  <c r="DZ20" i="2"/>
  <c r="DZ21" i="2"/>
  <c r="DZ22" i="2"/>
  <c r="DZ23" i="2"/>
  <c r="DZ24" i="2"/>
  <c r="DZ3" i="2"/>
  <c r="DY4" i="2"/>
  <c r="DY5" i="2"/>
  <c r="DY6" i="2"/>
  <c r="DY7" i="2"/>
  <c r="DY14" i="2"/>
  <c r="DY15" i="2"/>
  <c r="DY16" i="2"/>
  <c r="DY17" i="2"/>
  <c r="DY18" i="2"/>
  <c r="DY19" i="2"/>
  <c r="DY20" i="2"/>
  <c r="DY21" i="2"/>
  <c r="DY22" i="2"/>
  <c r="DY23" i="2"/>
  <c r="DY24" i="2"/>
  <c r="DY3" i="2"/>
  <c r="DX4" i="2"/>
  <c r="DX5" i="2"/>
  <c r="DX6" i="2"/>
  <c r="DX7" i="2"/>
  <c r="DX14" i="2"/>
  <c r="DX15" i="2"/>
  <c r="DX16" i="2"/>
  <c r="DX17" i="2"/>
  <c r="DX18" i="2"/>
  <c r="DX19" i="2"/>
  <c r="DX20" i="2"/>
  <c r="DX21" i="2"/>
  <c r="DX22" i="2"/>
  <c r="DX23" i="2"/>
  <c r="DX24" i="2"/>
  <c r="DX3" i="2"/>
  <c r="DW4" i="2"/>
  <c r="DW5" i="2"/>
  <c r="DW6" i="2"/>
  <c r="DW7" i="2"/>
  <c r="DW14" i="2"/>
  <c r="DW15" i="2"/>
  <c r="DW16" i="2"/>
  <c r="DW17" i="2"/>
  <c r="DW18" i="2"/>
  <c r="DW19" i="2"/>
  <c r="DW20" i="2"/>
  <c r="DW21" i="2"/>
  <c r="DW22" i="2"/>
  <c r="DW23" i="2"/>
  <c r="DW24" i="2"/>
  <c r="DW3" i="2"/>
  <c r="DV4" i="2"/>
  <c r="DV5" i="2"/>
  <c r="DV6" i="2"/>
  <c r="DV7" i="2"/>
  <c r="DV14" i="2"/>
  <c r="DV15" i="2"/>
  <c r="DV16" i="2"/>
  <c r="DV17" i="2"/>
  <c r="DV18" i="2"/>
  <c r="DV19" i="2"/>
  <c r="DV20" i="2"/>
  <c r="DV21" i="2"/>
  <c r="DV22" i="2"/>
  <c r="DV23" i="2"/>
  <c r="DV24" i="2"/>
  <c r="DV3" i="2"/>
  <c r="DU4" i="2"/>
  <c r="DU5" i="2"/>
  <c r="DU6" i="2"/>
  <c r="DU7" i="2"/>
  <c r="DU14" i="2"/>
  <c r="DU15" i="2"/>
  <c r="DU16" i="2"/>
  <c r="DU17" i="2"/>
  <c r="DU18" i="2"/>
  <c r="DU19" i="2"/>
  <c r="DU20" i="2"/>
  <c r="DU21" i="2"/>
  <c r="DU22" i="2"/>
  <c r="DU23" i="2"/>
  <c r="DU24" i="2"/>
  <c r="DU3" i="2"/>
  <c r="DS4" i="2"/>
  <c r="DS5" i="2"/>
  <c r="DS6" i="2"/>
  <c r="DS7" i="2"/>
  <c r="DS14" i="2"/>
  <c r="DS15" i="2"/>
  <c r="DS16" i="2"/>
  <c r="DS17" i="2"/>
  <c r="DS18" i="2"/>
  <c r="DS19" i="2"/>
  <c r="DS20" i="2"/>
  <c r="DS21" i="2"/>
  <c r="DS22" i="2"/>
  <c r="DS23" i="2"/>
  <c r="DS24" i="2"/>
  <c r="DS3" i="2"/>
  <c r="DR4" i="2"/>
  <c r="DR5" i="2"/>
  <c r="DR6" i="2"/>
  <c r="DR7" i="2"/>
  <c r="DR14" i="2"/>
  <c r="DR15" i="2"/>
  <c r="DR16" i="2"/>
  <c r="DR17" i="2"/>
  <c r="DR18" i="2"/>
  <c r="DR19" i="2"/>
  <c r="DR20" i="2"/>
  <c r="DR21" i="2"/>
  <c r="DR22" i="2"/>
  <c r="DR23" i="2"/>
  <c r="DR24" i="2"/>
  <c r="DR3" i="2"/>
  <c r="DQ4" i="2"/>
  <c r="DQ5" i="2"/>
  <c r="DQ6" i="2"/>
  <c r="DQ7" i="2"/>
  <c r="DQ14" i="2"/>
  <c r="DQ15" i="2"/>
  <c r="DQ16" i="2"/>
  <c r="DQ17" i="2"/>
  <c r="DQ18" i="2"/>
  <c r="DQ19" i="2"/>
  <c r="DQ20" i="2"/>
  <c r="DQ21" i="2"/>
  <c r="DQ22" i="2"/>
  <c r="DQ23" i="2"/>
  <c r="DQ24" i="2"/>
  <c r="DQ3" i="2"/>
  <c r="DP4" i="2"/>
  <c r="DP5" i="2"/>
  <c r="DP6" i="2"/>
  <c r="DP7" i="2"/>
  <c r="DP14" i="2"/>
  <c r="DP15" i="2"/>
  <c r="DP16" i="2"/>
  <c r="DP17" i="2"/>
  <c r="DP18" i="2"/>
  <c r="DP19" i="2"/>
  <c r="DP20" i="2"/>
  <c r="DP21" i="2"/>
  <c r="DP22" i="2"/>
  <c r="DP23" i="2"/>
  <c r="DP24" i="2"/>
  <c r="DP3" i="2"/>
  <c r="DO4" i="2"/>
  <c r="DO5" i="2"/>
  <c r="DO6" i="2"/>
  <c r="DO7" i="2"/>
  <c r="DO14" i="2"/>
  <c r="DO15" i="2"/>
  <c r="DO16" i="2"/>
  <c r="DO17" i="2"/>
  <c r="DO18" i="2"/>
  <c r="DO19" i="2"/>
  <c r="DO20" i="2"/>
  <c r="DO21" i="2"/>
  <c r="DO22" i="2"/>
  <c r="DO23" i="2"/>
  <c r="DO24" i="2"/>
  <c r="DO3" i="2"/>
  <c r="DN4" i="2"/>
  <c r="DN5" i="2"/>
  <c r="DN6" i="2"/>
  <c r="DN7" i="2"/>
  <c r="DN14" i="2"/>
  <c r="DN15" i="2"/>
  <c r="DN16" i="2"/>
  <c r="DN17" i="2"/>
  <c r="DN18" i="2"/>
  <c r="DN19" i="2"/>
  <c r="DN20" i="2"/>
  <c r="DN21" i="2"/>
  <c r="DN22" i="2"/>
  <c r="DN23" i="2"/>
  <c r="DN24" i="2"/>
  <c r="DN3" i="2"/>
  <c r="DM4" i="2"/>
  <c r="DM5" i="2"/>
  <c r="DM6" i="2"/>
  <c r="DM7" i="2"/>
  <c r="DM14" i="2"/>
  <c r="DM15" i="2"/>
  <c r="DM16" i="2"/>
  <c r="DM17" i="2"/>
  <c r="DM18" i="2"/>
  <c r="DM19" i="2"/>
  <c r="DM20" i="2"/>
  <c r="DM21" i="2"/>
  <c r="DM22" i="2"/>
  <c r="DM23" i="2"/>
  <c r="DM24" i="2"/>
  <c r="DM3" i="2"/>
  <c r="DL4" i="2"/>
  <c r="DL5" i="2"/>
  <c r="DL6" i="2"/>
  <c r="DL7" i="2"/>
  <c r="DL14" i="2"/>
  <c r="DL15" i="2"/>
  <c r="DL16" i="2"/>
  <c r="DL17" i="2"/>
  <c r="DL18" i="2"/>
  <c r="DL19" i="2"/>
  <c r="DL20" i="2"/>
  <c r="DL21" i="2"/>
  <c r="DL22" i="2"/>
  <c r="DL23" i="2"/>
  <c r="DL24" i="2"/>
  <c r="DL3" i="2"/>
  <c r="DK4" i="2"/>
  <c r="DK5" i="2"/>
  <c r="DK6" i="2"/>
  <c r="DK7" i="2"/>
  <c r="DK14" i="2"/>
  <c r="DK15" i="2"/>
  <c r="DK16" i="2"/>
  <c r="DK17" i="2"/>
  <c r="DK18" i="2"/>
  <c r="DK19" i="2"/>
  <c r="DK20" i="2"/>
  <c r="DK21" i="2"/>
  <c r="DK22" i="2"/>
  <c r="DK23" i="2"/>
  <c r="DK24" i="2"/>
  <c r="DK3" i="2"/>
  <c r="DJ4" i="2"/>
  <c r="DJ5" i="2"/>
  <c r="DJ6" i="2"/>
  <c r="DJ7" i="2"/>
  <c r="DJ14" i="2"/>
  <c r="DJ15" i="2"/>
  <c r="DJ16" i="2"/>
  <c r="DJ17" i="2"/>
  <c r="DJ18" i="2"/>
  <c r="DJ19" i="2"/>
  <c r="DJ20" i="2"/>
  <c r="DJ21" i="2"/>
  <c r="DJ22" i="2"/>
  <c r="DJ23" i="2"/>
  <c r="DJ24" i="2"/>
  <c r="DJ3" i="2"/>
  <c r="DH3" i="2"/>
  <c r="FM5" i="2" l="1"/>
  <c r="FM6" i="2"/>
  <c r="FM12" i="2"/>
  <c r="FM11" i="2"/>
  <c r="FM7" i="2"/>
  <c r="FM8" i="2"/>
  <c r="FM9" i="2"/>
  <c r="FM10" i="2"/>
  <c r="FM4" i="2" l="1"/>
  <c r="FM3" i="2"/>
  <c r="FM17" i="2"/>
  <c r="FM16" i="2"/>
</calcChain>
</file>

<file path=xl/sharedStrings.xml><?xml version="1.0" encoding="utf-8"?>
<sst xmlns="http://schemas.openxmlformats.org/spreadsheetml/2006/main" count="715" uniqueCount="306">
  <si>
    <t>ID</t>
  </si>
  <si>
    <t>Start time</t>
  </si>
  <si>
    <t>Completion time</t>
  </si>
  <si>
    <t>Email</t>
  </si>
  <si>
    <t>Name</t>
  </si>
  <si>
    <t>Last modified time</t>
  </si>
  <si>
    <t>Date</t>
  </si>
  <si>
    <t>Name2</t>
  </si>
  <si>
    <t>Popeyes Meter </t>
  </si>
  <si>
    <t>DG 1010KVA Running Hours</t>
  </si>
  <si>
    <t>DG 1010 KVA Meter Reading</t>
  </si>
  <si>
    <t>GG 1010 KVA Running Hours</t>
  </si>
  <si>
    <t>GG 1010 KVA Meter Reading</t>
  </si>
  <si>
    <t>4F1 Main UPS 1/C -1</t>
  </si>
  <si>
    <t>5F1 Utility</t>
  </si>
  <si>
    <t>5F3 Admin Area</t>
  </si>
  <si>
    <t>6F1 Power Panel - 2 (I/C-2 Production Area)</t>
  </si>
  <si>
    <t>7F1 Freon System Panel</t>
  </si>
  <si>
    <t>7F2 Traywasher Panel - 1A ( + Old Ck)</t>
  </si>
  <si>
    <t>8F1 1600KVA Transformer</t>
  </si>
  <si>
    <t>13F1 Power Panel - 2  I/C -1 </t>
  </si>
  <si>
    <t>13F2 AC Panel I/C -2</t>
  </si>
  <si>
    <t>13F3 Water &amp; Lift Old CK</t>
  </si>
  <si>
    <t>14F1 Traywasher Panel -1B</t>
  </si>
  <si>
    <t>14F2 New CK</t>
  </si>
  <si>
    <t>15F1 Main UPS Panel - I/C - 2</t>
  </si>
  <si>
    <t>15F2 New ETP Panel</t>
  </si>
  <si>
    <t>15F4 Indoor Panel -1</t>
  </si>
  <si>
    <t>16F1 Tray washer Panel for Light</t>
  </si>
  <si>
    <t>19F1 2500KVA Transformer</t>
  </si>
  <si>
    <t>21F1 Refrigeration Ammonia</t>
  </si>
  <si>
    <t>2F1 RO Plant</t>
  </si>
  <si>
    <t>2F3 Air Compressor</t>
  </si>
  <si>
    <t>2F5 Main Gate-1 Piller -1</t>
  </si>
  <si>
    <t>3F1 Maintenance Workshop</t>
  </si>
  <si>
    <t>3F2 Truck Washing Panel</t>
  </si>
  <si>
    <t>3F3 Fire Hydrant Panel</t>
  </si>
  <si>
    <t>3F4 Old ETP Panel</t>
  </si>
  <si>
    <t>4F1 Incomer -2</t>
  </si>
  <si>
    <t>Air Flow</t>
  </si>
  <si>
    <t>Pressure</t>
  </si>
  <si>
    <t>Air Consumption</t>
  </si>
  <si>
    <t>Comp 1 Running Hours</t>
  </si>
  <si>
    <t>Comp 1 Running load</t>
  </si>
  <si>
    <t>Comp 2 Running Hours</t>
  </si>
  <si>
    <t>Comp 2 Running Load</t>
  </si>
  <si>
    <t>Comp 3 Running Hours</t>
  </si>
  <si>
    <t>Comp 3 Running Load</t>
  </si>
  <si>
    <t>1F1 Ammonia Refrigeration Room Panel</t>
  </si>
  <si>
    <t>Solar Reading Panel II</t>
  </si>
  <si>
    <t>1F1 MCC Indoor-1</t>
  </si>
  <si>
    <t>2F WH Chiller, Segregation Area</t>
  </si>
  <si>
    <t>3F1 AC Unit WH dock cooling - 2 Nos</t>
  </si>
  <si>
    <t>3F2 AC Unit WH dock cooling - 3 Nos</t>
  </si>
  <si>
    <t>4F Old BMC cooling Unit</t>
  </si>
  <si>
    <t>4F B2B unit </t>
  </si>
  <si>
    <t>1F1 MCC Indoor Panel -2 </t>
  </si>
  <si>
    <t>2F CLC -1 AC unit - 2</t>
  </si>
  <si>
    <t>2F CLC Anti room</t>
  </si>
  <si>
    <t>3F Dough cooler - 2 </t>
  </si>
  <si>
    <t>3F Dough Cooler- 1</t>
  </si>
  <si>
    <t>4F Dough Production cooling Unit</t>
  </si>
  <si>
    <t>5F WH Perishable</t>
  </si>
  <si>
    <t>2F1 - PDB 6 - Bread, B2B section</t>
  </si>
  <si>
    <t>2F2 - PDB 3 - WH Truck &amp; Battery Charging</t>
  </si>
  <si>
    <t>2F3 - PDB 9 - WH Dock Leveler Door </t>
  </si>
  <si>
    <t>2F4 - Old BMC</t>
  </si>
  <si>
    <t>3F1 - PDB 5 - WH HSD</t>
  </si>
  <si>
    <t>3F2 - PDB 3 - Dough Production Area</t>
  </si>
  <si>
    <t>3F3 - PDB 4 - Dough Area</t>
  </si>
  <si>
    <t>4F1 Metering PP2 </t>
  </si>
  <si>
    <t>6F1 Metering PP2 </t>
  </si>
  <si>
    <t>7F1 Donut Production area</t>
  </si>
  <si>
    <t>7F2 Flour Silo</t>
  </si>
  <si>
    <t>7F3 CLC Power Panel</t>
  </si>
  <si>
    <t>8F1 WH Dock AHU - Ventilation</t>
  </si>
  <si>
    <t>8F2 ACPDB - 3 SILO Ventilation</t>
  </si>
  <si>
    <t>8F3 ACPDB - 4 WH Dock air curtain</t>
  </si>
  <si>
    <t>8F4 WH Light</t>
  </si>
  <si>
    <t>8F5 Donut Ban Bary</t>
  </si>
  <si>
    <t>9F1 - PDB 10 - WH Dock door &amp; Office</t>
  </si>
  <si>
    <t>9F2 - PDB 11 - WH flycatchers</t>
  </si>
  <si>
    <t>9F3 - PDB 12 - Other items</t>
  </si>
  <si>
    <t>9F4 - PDB 13 - Donut Sink Geyser area</t>
  </si>
  <si>
    <t>9F5 - PDB 14 - Bread Lift</t>
  </si>
  <si>
    <t>9F6 - PDB 7 - Stagging Area</t>
  </si>
  <si>
    <t>PDB - 17 CLC Section </t>
  </si>
  <si>
    <t>PDB - 16 Bread Section</t>
  </si>
  <si>
    <t>PDB - 11 Truck Charging</t>
  </si>
  <si>
    <t>OLD Ck Panel-1</t>
  </si>
  <si>
    <t>2F4 Old CK Blast (Blue star)</t>
  </si>
  <si>
    <t>3F6 Old CK Blast (Carrier)</t>
  </si>
  <si>
    <t>Old CK Panel -2</t>
  </si>
  <si>
    <t>Tray Washer light Panel</t>
  </si>
  <si>
    <t>2F1 Tray Washer - 1</t>
  </si>
  <si>
    <t>2F3 - PDB 1 - Dock 1 to 4 </t>
  </si>
  <si>
    <t>2F5 Destacker</t>
  </si>
  <si>
    <t>3F1 Metering (TW-1)</t>
  </si>
  <si>
    <t>5F1 Metering (TW-2)</t>
  </si>
  <si>
    <t>6F1 Pre soaker Tray washer</t>
  </si>
  <si>
    <t>6F2 Ground Floor AC</t>
  </si>
  <si>
    <t>6F3 ACBD -1 (First floor AC)</t>
  </si>
  <si>
    <t>6F4 ACBD - 2 (Second &amp; Third floor AC)</t>
  </si>
  <si>
    <t>6F5 Vent tray Storage</t>
  </si>
  <si>
    <t>PNG Meter (Outside)</t>
  </si>
  <si>
    <t>PNG Meter (Inside)</t>
  </si>
  <si>
    <t>MWH Imp</t>
  </si>
  <si>
    <t>MWH Total</t>
  </si>
  <si>
    <t>MVAH Imp</t>
  </si>
  <si>
    <t>Power Factor (PF)</t>
  </si>
  <si>
    <t>Timing of Meter reading</t>
  </si>
  <si>
    <t>anonymous</t>
  </si>
  <si>
    <t xml:space="preserve">Prateek chamoli </t>
  </si>
  <si>
    <t>4:39</t>
  </si>
  <si>
    <t>Popeyes</t>
  </si>
  <si>
    <t>Freon Refrigeration</t>
  </si>
  <si>
    <t>Traywasher</t>
  </si>
  <si>
    <t>New CK</t>
  </si>
  <si>
    <t>ETP</t>
  </si>
  <si>
    <t>Ammonia Refrigeration</t>
  </si>
  <si>
    <t>Air compressor</t>
  </si>
  <si>
    <t>RO Plant</t>
  </si>
  <si>
    <t>Admin</t>
  </si>
  <si>
    <t>Engineering</t>
  </si>
  <si>
    <t>Transport</t>
  </si>
  <si>
    <t>EHS</t>
  </si>
  <si>
    <t>Rooftop Solar</t>
  </si>
  <si>
    <t>Warehouse</t>
  </si>
  <si>
    <t>BMC</t>
  </si>
  <si>
    <t>B2B</t>
  </si>
  <si>
    <t>CLC</t>
  </si>
  <si>
    <t>Dough</t>
  </si>
  <si>
    <t>Bread</t>
  </si>
  <si>
    <t>Donut</t>
  </si>
  <si>
    <t>Silo</t>
  </si>
  <si>
    <t>OLD Ck</t>
  </si>
  <si>
    <t>OLD CK</t>
  </si>
  <si>
    <t>NPCL</t>
  </si>
  <si>
    <t>UPS</t>
  </si>
  <si>
    <t>Utility</t>
  </si>
  <si>
    <t>WTP</t>
  </si>
  <si>
    <t>Overall PNG</t>
  </si>
  <si>
    <t>Old CK</t>
  </si>
  <si>
    <t>DG</t>
  </si>
  <si>
    <t>GG</t>
  </si>
  <si>
    <t>NPCL Injection + Open source</t>
  </si>
  <si>
    <r>
      <rPr>
        <sz val="10"/>
        <rFont val="Arial"/>
        <family val="2"/>
      </rPr>
      <t>v1: DUNKIN IDU+CT - Active energy</t>
    </r>
  </si>
  <si>
    <r>
      <rPr>
        <sz val="10"/>
        <rFont val="Arial"/>
        <family val="2"/>
      </rPr>
      <t>v9: DEEP RACK - Active energy</t>
    </r>
  </si>
  <si>
    <r>
      <rPr>
        <sz val="10"/>
        <rFont val="Arial"/>
        <family val="2"/>
      </rPr>
      <t>v2: BMC IDU+CT - Active energy</t>
    </r>
  </si>
  <si>
    <r>
      <rPr>
        <sz val="10"/>
        <rFont val="Arial"/>
        <family val="2"/>
      </rPr>
      <t>v3: CLC IDU+CT - Active energy</t>
    </r>
  </si>
  <si>
    <r>
      <rPr>
        <sz val="10"/>
        <rFont val="Arial"/>
        <family val="2"/>
      </rPr>
      <t>v4: DEEP 1 IDU+CT - Active energy</t>
    </r>
  </si>
  <si>
    <r>
      <rPr>
        <sz val="10"/>
        <rFont val="Arial"/>
        <family val="2"/>
      </rPr>
      <t>v5: DEEP 2 IDU - Active energy</t>
    </r>
  </si>
  <si>
    <r>
      <rPr>
        <sz val="10"/>
        <rFont val="Arial"/>
        <family val="2"/>
      </rPr>
      <t>v6: DUNKIN RACK - Active energy</t>
    </r>
  </si>
  <si>
    <r>
      <rPr>
        <sz val="10"/>
        <rFont val="Arial"/>
        <family val="2"/>
      </rPr>
      <t>v7: BMC RACK - Active energy</t>
    </r>
  </si>
  <si>
    <r>
      <rPr>
        <sz val="10"/>
        <rFont val="Arial"/>
        <family val="2"/>
      </rPr>
      <t>v8: CLC RACK - Active energy</t>
    </r>
  </si>
  <si>
    <r>
      <rPr>
        <sz val="10"/>
        <rFont val="Arial"/>
        <family val="2"/>
      </rPr>
      <t>Timestamp</t>
    </r>
  </si>
  <si>
    <r>
      <rPr>
        <sz val="10"/>
        <rFont val="Arial"/>
        <family val="2"/>
      </rPr>
      <t>v1</t>
    </r>
  </si>
  <si>
    <r>
      <rPr>
        <sz val="10"/>
        <rFont val="Arial"/>
        <family val="2"/>
      </rPr>
      <t>v2</t>
    </r>
  </si>
  <si>
    <r>
      <rPr>
        <sz val="10"/>
        <rFont val="Arial"/>
        <family val="2"/>
      </rPr>
      <t>v3</t>
    </r>
  </si>
  <si>
    <r>
      <rPr>
        <sz val="10"/>
        <rFont val="Arial"/>
        <family val="2"/>
      </rPr>
      <t>v4</t>
    </r>
  </si>
  <si>
    <r>
      <rPr>
        <sz val="10"/>
        <rFont val="Arial"/>
        <family val="2"/>
      </rPr>
      <t>v5</t>
    </r>
  </si>
  <si>
    <r>
      <rPr>
        <sz val="10"/>
        <rFont val="Arial"/>
        <family val="2"/>
      </rPr>
      <t>v6</t>
    </r>
  </si>
  <si>
    <r>
      <rPr>
        <sz val="10"/>
        <rFont val="Arial"/>
        <family val="2"/>
      </rPr>
      <t>v7</t>
    </r>
  </si>
  <si>
    <r>
      <rPr>
        <sz val="10"/>
        <rFont val="Arial"/>
        <family val="2"/>
      </rPr>
      <t>v8</t>
    </r>
  </si>
  <si>
    <r>
      <rPr>
        <sz val="10"/>
        <rFont val="Arial"/>
        <family val="2"/>
      </rPr>
      <t>v9</t>
    </r>
  </si>
  <si>
    <t>Dunkin</t>
  </si>
  <si>
    <t>Deep</t>
  </si>
  <si>
    <t>v1: DUNKIN IDU+CT - Active energy</t>
  </si>
  <si>
    <t>v2: BMC IDU+CT - Active energy</t>
  </si>
  <si>
    <t>v3: CLC IDU+CT - Active energy</t>
  </si>
  <si>
    <t>v4: DEEP 1 IDU+CT - Active energy</t>
  </si>
  <si>
    <t>v5: DEEP 2 IDU - Active energy</t>
  </si>
  <si>
    <t>v6: DUNKIN RACK - Active energy</t>
  </si>
  <si>
    <t>v7: BMC RACK - Active energy</t>
  </si>
  <si>
    <t>v8: CLC RACK - Active energy</t>
  </si>
  <si>
    <t>v9: DEEP RACK - Active energy</t>
  </si>
  <si>
    <t>5:15</t>
  </si>
  <si>
    <t>Plant Lights</t>
  </si>
  <si>
    <t>2026/06/25 00.00</t>
  </si>
  <si>
    <t>---</t>
  </si>
  <si>
    <t>2026/06/26 00.00</t>
  </si>
  <si>
    <t>2026/06/27 00.00</t>
  </si>
  <si>
    <t>2026/06/28 00.00</t>
  </si>
  <si>
    <t>2026/06/29 00.00</t>
  </si>
  <si>
    <t>2026/06/30 00.00</t>
  </si>
  <si>
    <t>11:30</t>
  </si>
  <si>
    <t xml:space="preserve">Prateek Chamoli </t>
  </si>
  <si>
    <t>5:10</t>
  </si>
  <si>
    <t>11:00</t>
  </si>
  <si>
    <t>10:38</t>
  </si>
  <si>
    <t>9:55</t>
  </si>
  <si>
    <t>2026/07/01 00.00</t>
  </si>
  <si>
    <t>2026/07/02 00.00</t>
  </si>
  <si>
    <t>2026/07/03 00.00</t>
  </si>
  <si>
    <t>2026/07/04 00.00</t>
  </si>
  <si>
    <t>2026/07/05 00.00</t>
  </si>
  <si>
    <t>2026/07/06 00.00</t>
  </si>
  <si>
    <t>9:50</t>
  </si>
  <si>
    <t>2026/06/01 00.00</t>
  </si>
  <si>
    <t>2026/06/02 00.00</t>
  </si>
  <si>
    <t>2026/06/03 00.00</t>
  </si>
  <si>
    <t>2026/06/04 00.00</t>
  </si>
  <si>
    <t>2026/06/05 00.00</t>
  </si>
  <si>
    <t>2026/06/06 00.00</t>
  </si>
  <si>
    <t>2026/06/07 00.00</t>
  </si>
  <si>
    <t>2026/06/08 00.00</t>
  </si>
  <si>
    <t>2026/06/09 00.00</t>
  </si>
  <si>
    <t>2026/06/10 00.00</t>
  </si>
  <si>
    <t>2026/06/11 00.00</t>
  </si>
  <si>
    <t>2026/06/12 00.00</t>
  </si>
  <si>
    <t>2026/06/13 00.00</t>
  </si>
  <si>
    <t>2026/06/14 00.00</t>
  </si>
  <si>
    <t>2026/06/15 00.00</t>
  </si>
  <si>
    <t>2026/06/16 00.00</t>
  </si>
  <si>
    <t>2026/06/17 00.00</t>
  </si>
  <si>
    <t>2026/06/18 00.00</t>
  </si>
  <si>
    <t>2026/06/19 00.00</t>
  </si>
  <si>
    <t>2026/06/20 00.00</t>
  </si>
  <si>
    <t>2026/06/21 00.00</t>
  </si>
  <si>
    <t>2026/06/22 00.00</t>
  </si>
  <si>
    <t>2026/06/23 00.00</t>
  </si>
  <si>
    <t>2026/06/24 00.00</t>
  </si>
  <si>
    <t>2026/07/07 00.00</t>
  </si>
  <si>
    <t xml:space="preserve">2026/07/09 00.00 </t>
  </si>
  <si>
    <t>2026/07/08 00.00</t>
  </si>
  <si>
    <t>11:28</t>
  </si>
  <si>
    <t>10:04</t>
  </si>
  <si>
    <t>2026/07/10 00.00</t>
  </si>
  <si>
    <t>PNG-4159</t>
  </si>
  <si>
    <t>PNG-3605</t>
  </si>
  <si>
    <t>9:46</t>
  </si>
  <si>
    <t>2026/07/11 00.00</t>
  </si>
  <si>
    <t xml:space="preserve">Muhammad Hasnain </t>
  </si>
  <si>
    <t>4:25</t>
  </si>
  <si>
    <t xml:space="preserve">Om prakash </t>
  </si>
  <si>
    <t>5:30</t>
  </si>
  <si>
    <t>2026/07/12 00.00</t>
  </si>
  <si>
    <t>-</t>
  </si>
  <si>
    <t>2026/07/13 00.00</t>
  </si>
  <si>
    <t>2026/07/14 00.00</t>
  </si>
  <si>
    <t>2026/07/15 00.00</t>
  </si>
  <si>
    <t>10:00</t>
  </si>
  <si>
    <t>10:35</t>
  </si>
  <si>
    <t>2026/07/16 00.00</t>
  </si>
  <si>
    <t>2026/07/17 00.00</t>
  </si>
  <si>
    <t>10:34</t>
  </si>
  <si>
    <t>10:11</t>
  </si>
  <si>
    <t>4:45</t>
  </si>
  <si>
    <t>10:55</t>
  </si>
  <si>
    <t>2026/07/18 00.00</t>
  </si>
  <si>
    <t>2026/07/19 00.00</t>
  </si>
  <si>
    <t>2026/07/20 00.00</t>
  </si>
  <si>
    <t>2026/07/21 00.00</t>
  </si>
  <si>
    <t>10:44</t>
  </si>
  <si>
    <t>10:45</t>
  </si>
  <si>
    <t>10:49</t>
  </si>
  <si>
    <t>10:59</t>
  </si>
  <si>
    <t>4:55</t>
  </si>
  <si>
    <t>11:42</t>
  </si>
  <si>
    <t>2026/07/22 00.00</t>
  </si>
  <si>
    <t>2026/07/23 00.00</t>
  </si>
  <si>
    <t>2026/07/24 00.00</t>
  </si>
  <si>
    <t>2026/07/25 00.00</t>
  </si>
  <si>
    <t>2026/07/26 00.00</t>
  </si>
  <si>
    <t>2026/07/27 00.00</t>
  </si>
  <si>
    <t>2026/07/28 00.00</t>
  </si>
  <si>
    <t>2026/07/29 00.00</t>
  </si>
  <si>
    <t>10:16</t>
  </si>
  <si>
    <t>2026/07/30 00.00</t>
  </si>
  <si>
    <t>2026/07/31 00.00</t>
  </si>
  <si>
    <t>2026/08/01 00.00</t>
  </si>
  <si>
    <t>10:47</t>
  </si>
  <si>
    <t>10:56</t>
  </si>
  <si>
    <t>10:58</t>
  </si>
  <si>
    <t>2026/08/02 00.00</t>
  </si>
  <si>
    <t>2026/08/03 00.00</t>
  </si>
  <si>
    <t>2026/08/04 00.00</t>
  </si>
  <si>
    <t>2026/08/05 00.00</t>
  </si>
  <si>
    <t>2026/08/06 00.00</t>
  </si>
  <si>
    <t>11:15</t>
  </si>
  <si>
    <t>10:40</t>
  </si>
  <si>
    <t>10:25</t>
  </si>
  <si>
    <t>11:18</t>
  </si>
  <si>
    <t>10:41</t>
  </si>
  <si>
    <t>2026/08/07 00.00</t>
  </si>
  <si>
    <t xml:space="preserve">2026/08/08 00.00 </t>
  </si>
  <si>
    <t>2026/08/09 00.00</t>
  </si>
  <si>
    <t>2026/08/10 00.00</t>
  </si>
  <si>
    <t>2026/08/11 00.00</t>
  </si>
  <si>
    <t>2026/08/12 00.00</t>
  </si>
  <si>
    <t>2026/08/13 00.00</t>
  </si>
  <si>
    <t>Prateek Chamoli</t>
  </si>
  <si>
    <t>11:32</t>
  </si>
  <si>
    <t>10:50</t>
  </si>
  <si>
    <t>5:03</t>
  </si>
  <si>
    <t>2026/08/14 00.00</t>
  </si>
  <si>
    <t>2026/08/15 00.00</t>
  </si>
  <si>
    <t xml:space="preserve">2026/08/16 00.00 </t>
  </si>
  <si>
    <t>2026/08/17 00.00</t>
  </si>
  <si>
    <t>2026/08/18 00.00</t>
  </si>
  <si>
    <t>2026/08/19 00.00</t>
  </si>
  <si>
    <t>2026/08/20 00.00</t>
  </si>
  <si>
    <t>2026/08/21 00.00</t>
  </si>
  <si>
    <t>2026/08/22 00.00</t>
  </si>
  <si>
    <t>2026/08/23 00.00</t>
  </si>
  <si>
    <t>2026/08/24 00.00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</si>
</sst>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\ h:mm:ss"/>
    <numFmt numFmtId="165" formatCode="0.0"/>
    <numFmt numFmtId="166" formatCode="0.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1"/>
      <color rgb="FFFFFF00"/>
      <name val="Times New Roman"/>
      <family val="1"/>
    </font>
    <font>
      <sz val="11"/>
      <color rgb="FF000000"/>
      <name val="Times New Roman"/>
      <family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3" fillId="0" borderId="0"/>
  </cellStyleXfs>
  <cellXfs count="69">
    <xf numFmtId="0" fontId="0" fillId="0" borderId="0" xfId="0"/>
    <xf numFmtId="0" fontId="0" fillId="0" borderId="0" xfId="0" applyFill="1"/>
    <xf numFmtId="164" fontId="0" fillId="0" borderId="1" xfId="0" applyNumberFormat="1" applyFont="1" applyFill="1" applyBorder="1"/>
    <xf numFmtId="14" fontId="0" fillId="0" borderId="1" xfId="0" applyNumberFormat="1" applyFont="1" applyFill="1" applyBorder="1"/>
    <xf numFmtId="14" fontId="0" fillId="0" borderId="0" xfId="0" applyNumberFormat="1"/>
    <xf numFmtId="0" fontId="0" fillId="0" borderId="0" xfId="0" applyFill="1" applyAlignment="1">
      <alignment horizontal="left"/>
    </xf>
    <xf numFmtId="0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2" fillId="3" borderId="2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4" fillId="0" borderId="0" xfId="1" applyFont="1" applyFill="1" applyBorder="1" applyAlignment="1">
      <alignment vertical="top" wrapText="1"/>
    </xf>
    <xf numFmtId="0" fontId="3" fillId="0" borderId="0" xfId="1" applyFill="1" applyBorder="1" applyAlignment="1">
      <alignment horizontal="left" wrapText="1"/>
    </xf>
    <xf numFmtId="0" fontId="3" fillId="0" borderId="0" xfId="1" applyFill="1" applyBorder="1" applyAlignment="1">
      <alignment horizontal="left" vertical="top"/>
    </xf>
    <xf numFmtId="0" fontId="3" fillId="0" borderId="0" xfId="1" applyFill="1" applyBorder="1" applyAlignment="1">
      <alignment horizontal="left" vertical="top" wrapText="1"/>
    </xf>
    <xf numFmtId="0" fontId="4" fillId="0" borderId="10" xfId="1" applyFont="1" applyFill="1" applyBorder="1" applyAlignment="1">
      <alignment vertical="top" wrapText="1"/>
    </xf>
    <xf numFmtId="0" fontId="3" fillId="0" borderId="10" xfId="1" applyFill="1" applyBorder="1" applyAlignment="1">
      <alignment horizontal="left" wrapText="1"/>
    </xf>
    <xf numFmtId="0" fontId="4" fillId="0" borderId="11" xfId="1" applyFont="1" applyFill="1" applyBorder="1" applyAlignment="1">
      <alignment horizontal="left" vertical="top" wrapText="1"/>
    </xf>
    <xf numFmtId="0" fontId="4" fillId="0" borderId="11" xfId="1" applyFont="1" applyFill="1" applyBorder="1" applyAlignment="1">
      <alignment horizontal="left" vertical="top" wrapText="1" indent="1"/>
    </xf>
    <xf numFmtId="0" fontId="4" fillId="0" borderId="11" xfId="1" applyFont="1" applyFill="1" applyBorder="1" applyAlignment="1">
      <alignment horizontal="center" vertical="top" wrapText="1"/>
    </xf>
    <xf numFmtId="0" fontId="4" fillId="0" borderId="11" xfId="1" applyFont="1" applyFill="1" applyBorder="1" applyAlignment="1">
      <alignment horizontal="left" vertical="top" wrapText="1" indent="4"/>
    </xf>
    <xf numFmtId="0" fontId="4" fillId="0" borderId="0" xfId="1" applyFont="1" applyFill="1" applyBorder="1" applyAlignment="1">
      <alignment horizontal="left" vertical="top" wrapText="1"/>
    </xf>
    <xf numFmtId="165" fontId="5" fillId="0" borderId="0" xfId="1" applyNumberFormat="1" applyFont="1" applyFill="1" applyBorder="1" applyAlignment="1">
      <alignment horizontal="left" vertical="top" indent="1" shrinkToFit="1"/>
    </xf>
    <xf numFmtId="165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Font="1" applyFill="1" applyBorder="1" applyAlignment="1">
      <alignment horizontal="center" vertical="top" wrapText="1"/>
    </xf>
    <xf numFmtId="165" fontId="5" fillId="0" borderId="0" xfId="1" applyNumberFormat="1" applyFont="1" applyFill="1" applyBorder="1" applyAlignment="1">
      <alignment horizontal="left" vertical="top" indent="4" shrinkToFit="1"/>
    </xf>
    <xf numFmtId="166" fontId="5" fillId="0" borderId="0" xfId="1" applyNumberFormat="1" applyFont="1" applyFill="1" applyBorder="1" applyAlignment="1">
      <alignment horizontal="left" vertical="top" shrinkToFit="1"/>
    </xf>
    <xf numFmtId="165" fontId="3" fillId="0" borderId="0" xfId="1" applyNumberFormat="1" applyFill="1" applyBorder="1" applyAlignment="1">
      <alignment horizontal="left" vertical="top" wrapText="1"/>
    </xf>
    <xf numFmtId="165" fontId="3" fillId="0" borderId="0" xfId="1" applyNumberFormat="1" applyFill="1" applyBorder="1" applyAlignment="1">
      <alignment horizontal="left" vertical="top"/>
    </xf>
    <xf numFmtId="0" fontId="4" fillId="0" borderId="10" xfId="1" applyFont="1" applyFill="1" applyBorder="1" applyAlignment="1">
      <alignment horizontal="left" vertical="top" wrapText="1"/>
    </xf>
    <xf numFmtId="165" fontId="5" fillId="0" borderId="10" xfId="1" applyNumberFormat="1" applyFont="1" applyFill="1" applyBorder="1" applyAlignment="1">
      <alignment horizontal="left" vertical="top" indent="1" shrinkToFit="1"/>
    </xf>
    <xf numFmtId="165" fontId="5" fillId="0" borderId="10" xfId="1" applyNumberFormat="1" applyFont="1" applyFill="1" applyBorder="1" applyAlignment="1">
      <alignment horizontal="left" vertical="top" shrinkToFit="1"/>
    </xf>
    <xf numFmtId="0" fontId="4" fillId="0" borderId="10" xfId="1" applyFont="1" applyFill="1" applyBorder="1" applyAlignment="1">
      <alignment horizontal="center" vertical="top" wrapText="1"/>
    </xf>
    <xf numFmtId="165" fontId="5" fillId="0" borderId="10" xfId="1" applyNumberFormat="1" applyFont="1" applyFill="1" applyBorder="1" applyAlignment="1">
      <alignment horizontal="left" vertical="top" indent="4" shrinkToFit="1"/>
    </xf>
    <xf numFmtId="166" fontId="5" fillId="0" borderId="10" xfId="1" applyNumberFormat="1" applyFont="1" applyFill="1" applyBorder="1" applyAlignment="1">
      <alignment horizontal="left" vertical="top" shrinkToFit="1"/>
    </xf>
    <xf numFmtId="0" fontId="7" fillId="7" borderId="2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vertical="center" wrapText="1"/>
    </xf>
    <xf numFmtId="0" fontId="8" fillId="8" borderId="2" xfId="1" applyFont="1" applyFill="1" applyBorder="1" applyAlignment="1">
      <alignment horizontal="left" vertical="center"/>
    </xf>
    <xf numFmtId="165" fontId="9" fillId="0" borderId="2" xfId="1" applyNumberFormat="1" applyFont="1" applyFill="1" applyBorder="1" applyAlignment="1">
      <alignment horizontal="left" vertical="top" wrapText="1"/>
    </xf>
    <xf numFmtId="165" fontId="9" fillId="0" borderId="2" xfId="1" applyNumberFormat="1" applyFont="1" applyFill="1" applyBorder="1" applyAlignment="1">
      <alignment horizontal="left" vertical="top"/>
    </xf>
    <xf numFmtId="0" fontId="0" fillId="2" borderId="0" xfId="0" applyNumberFormat="1" applyFill="1"/>
    <xf numFmtId="0" fontId="0" fillId="2" borderId="0" xfId="0" applyFill="1"/>
    <xf numFmtId="2" fontId="0" fillId="0" borderId="0" xfId="0" applyNumberFormat="1" applyFill="1"/>
    <xf numFmtId="0" fontId="5" fillId="0" borderId="0" xfId="1" applyNumberFormat="1" applyFont="1" applyFill="1" applyBorder="1" applyAlignment="1">
      <alignment horizontal="left" vertical="top" indent="1" shrinkToFit="1"/>
    </xf>
    <xf numFmtId="0" fontId="5" fillId="0" borderId="0" xfId="1" applyNumberFormat="1" applyFont="1" applyFill="1" applyBorder="1" applyAlignment="1">
      <alignment horizontal="left" vertical="top" shrinkToFit="1"/>
    </xf>
    <xf numFmtId="0" fontId="4" fillId="0" borderId="0" xfId="1" applyNumberFormat="1" applyFont="1" applyFill="1" applyBorder="1" applyAlignment="1">
      <alignment horizontal="left" vertical="top" wrapText="1"/>
    </xf>
    <xf numFmtId="0" fontId="4" fillId="0" borderId="0" xfId="1" applyNumberFormat="1" applyFont="1" applyFill="1" applyBorder="1" applyAlignment="1">
      <alignment horizontal="center" vertical="top" wrapText="1"/>
    </xf>
    <xf numFmtId="0" fontId="5" fillId="0" borderId="0" xfId="1" applyNumberFormat="1" applyFont="1" applyFill="1" applyBorder="1" applyAlignment="1">
      <alignment horizontal="left" vertical="top" indent="4" shrinkToFit="1"/>
    </xf>
    <xf numFmtId="0" fontId="5" fillId="0" borderId="10" xfId="1" applyNumberFormat="1" applyFont="1" applyFill="1" applyBorder="1" applyAlignment="1">
      <alignment horizontal="left" vertical="top" indent="1" shrinkToFit="1"/>
    </xf>
    <xf numFmtId="0" fontId="5" fillId="0" borderId="10" xfId="1" applyNumberFormat="1" applyFont="1" applyFill="1" applyBorder="1" applyAlignment="1">
      <alignment horizontal="left" vertical="top" shrinkToFit="1"/>
    </xf>
    <xf numFmtId="0" fontId="5" fillId="0" borderId="10" xfId="1" applyNumberFormat="1" applyFont="1" applyFill="1" applyBorder="1" applyAlignment="1">
      <alignment horizontal="left" vertical="top" indent="4" shrinkToFit="1"/>
    </xf>
    <xf numFmtId="14" fontId="4" fillId="0" borderId="0" xfId="1" applyNumberFormat="1" applyFont="1" applyFill="1" applyBorder="1" applyAlignment="1">
      <alignment horizontal="left" vertical="top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0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164" fontId="0" fillId="0" borderId="0" xfId="0" applyNumberFormat="1" applyFont="1" applyFill="1" applyBorder="1"/>
  </cellXfs>
  <cellStyles count="2">
    <cellStyle name="Normal" xfId="0" builtinId="0"/>
    <cellStyle name="Normal 2" xfId="1"/>
  </cellStyles>
  <dxfs count="11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le2" displayName="Table2" ref="A2:DG56" totalsRowShown="0" headerRowDxfId="112" dataDxfId="111">
  <autoFilter ref="A2:DG56"/>
  <tableColumns count="111">
    <tableColumn id="1" name="ID" dataDxfId="110"/>
    <tableColumn id="2" name="Start time" dataDxfId="109"/>
    <tableColumn id="3" name="Completion time" dataDxfId="108"/>
    <tableColumn id="4" name="Email" dataDxfId="107"/>
    <tableColumn id="5" name="Name" dataDxfId="106"/>
    <tableColumn id="6" name="Last modified time" dataDxfId="105"/>
    <tableColumn id="7" name="Date" dataDxfId="104"/>
    <tableColumn id="8" name="Name2" dataDxfId="103"/>
    <tableColumn id="9" name="Popeyes Meter " dataDxfId="102"/>
    <tableColumn id="10" name="DG 1010KVA Running Hours" dataDxfId="101"/>
    <tableColumn id="11" name="DG 1010 KVA Meter Reading" dataDxfId="100"/>
    <tableColumn id="12" name="GG 1010 KVA Running Hours" dataDxfId="99"/>
    <tableColumn id="13" name="GG 1010 KVA Meter Reading" dataDxfId="98"/>
    <tableColumn id="14" name="4F1 Main UPS 1/C -1" dataDxfId="97"/>
    <tableColumn id="15" name="5F1 Utility" dataDxfId="96"/>
    <tableColumn id="16" name="5F3 Admin Area" dataDxfId="95"/>
    <tableColumn id="17" name="6F1 Power Panel - 2 (I/C-2 Production Area)" dataDxfId="94"/>
    <tableColumn id="18" name="7F1 Freon System Panel" dataDxfId="93"/>
    <tableColumn id="19" name="7F2 Traywasher Panel - 1A ( + Old Ck)" dataDxfId="92"/>
    <tableColumn id="20" name="8F1 1600KVA Transformer" dataDxfId="91"/>
    <tableColumn id="21" name="13F1 Power Panel - 2  I/C -1 " dataDxfId="90"/>
    <tableColumn id="22" name="13F2 AC Panel I/C -2" dataDxfId="89"/>
    <tableColumn id="23" name="13F3 Water &amp; Lift Old CK" dataDxfId="88"/>
    <tableColumn id="24" name="14F1 Traywasher Panel -1B" dataDxfId="87"/>
    <tableColumn id="25" name="14F2 New CK" dataDxfId="86"/>
    <tableColumn id="26" name="15F1 Main UPS Panel - I/C - 2" dataDxfId="85"/>
    <tableColumn id="27" name="15F2 New ETP Panel" dataDxfId="84"/>
    <tableColumn id="28" name="15F4 Indoor Panel -1" dataDxfId="83"/>
    <tableColumn id="29" name="16F1 Tray washer Panel for Light" dataDxfId="82"/>
    <tableColumn id="30" name="19F1 2500KVA Transformer" dataDxfId="81"/>
    <tableColumn id="31" name="21F1 Refrigeration Ammonia" dataDxfId="80"/>
    <tableColumn id="32" name="2F1 RO Plant" dataDxfId="79"/>
    <tableColumn id="33" name="2F3 Air Compressor" dataDxfId="78"/>
    <tableColumn id="34" name="2F5 Main Gate-1 Piller -1" dataDxfId="77"/>
    <tableColumn id="35" name="3F1 Maintenance Workshop" dataDxfId="76"/>
    <tableColumn id="36" name="3F2 Truck Washing Panel" dataDxfId="75"/>
    <tableColumn id="37" name="3F3 Fire Hydrant Panel" dataDxfId="74"/>
    <tableColumn id="38" name="3F4 Old ETP Panel" dataDxfId="73"/>
    <tableColumn id="39" name="4F1 Incomer -2" dataDxfId="72"/>
    <tableColumn id="40" name="Air Flow" dataDxfId="71"/>
    <tableColumn id="41" name="Pressure" dataDxfId="70"/>
    <tableColumn id="42" name="Air Consumption" dataDxfId="69"/>
    <tableColumn id="43" name="Comp 1 Running Hours" dataDxfId="68"/>
    <tableColumn id="44" name="Comp 1 Running load" dataDxfId="67"/>
    <tableColumn id="45" name="Comp 2 Running Hours" dataDxfId="66"/>
    <tableColumn id="46" name="Comp 2 Running Load" dataDxfId="65"/>
    <tableColumn id="47" name="Comp 3 Running Hours" dataDxfId="64"/>
    <tableColumn id="48" name="Comp 3 Running Load" dataDxfId="63"/>
    <tableColumn id="49" name="1F1 Ammonia Refrigeration Room Panel" dataDxfId="62"/>
    <tableColumn id="50" name="Solar Reading Panel II" dataDxfId="61"/>
    <tableColumn id="51" name="1F1 MCC Indoor-1" dataDxfId="60"/>
    <tableColumn id="52" name="2F WH Chiller, Segregation Area" dataDxfId="59"/>
    <tableColumn id="53" name="3F1 AC Unit WH dock cooling - 2 Nos" dataDxfId="58"/>
    <tableColumn id="54" name="3F2 AC Unit WH dock cooling - 3 Nos" dataDxfId="57"/>
    <tableColumn id="55" name="4F Old BMC cooling Unit" dataDxfId="56"/>
    <tableColumn id="56" name="4F B2B unit " dataDxfId="55"/>
    <tableColumn id="57" name="1F1 MCC Indoor Panel -2 " dataDxfId="54"/>
    <tableColumn id="58" name="2F CLC -1 AC unit - 2" dataDxfId="53"/>
    <tableColumn id="59" name="2F CLC Anti room" dataDxfId="52"/>
    <tableColumn id="60" name="3F Dough cooler - 2 " dataDxfId="51"/>
    <tableColumn id="61" name="3F Dough Cooler- 1" dataDxfId="50"/>
    <tableColumn id="62" name="4F Dough Production cooling Unit" dataDxfId="49"/>
    <tableColumn id="63" name="5F WH Perishable" dataDxfId="48"/>
    <tableColumn id="64" name="2F1 - PDB 6 - Bread, B2B section" dataDxfId="47"/>
    <tableColumn id="65" name="2F2 - PDB 3 - WH Truck &amp; Battery Charging" dataDxfId="46"/>
    <tableColumn id="66" name="2F3 - PDB 9 - WH Dock Leveler Door " dataDxfId="45"/>
    <tableColumn id="67" name="2F4 - Old BMC" dataDxfId="44"/>
    <tableColumn id="68" name="3F1 - PDB 5 - WH HSD" dataDxfId="43"/>
    <tableColumn id="69" name="3F2 - PDB 3 - Dough Production Area" dataDxfId="42"/>
    <tableColumn id="70" name="3F3 - PDB 4 - Dough Area" dataDxfId="41"/>
    <tableColumn id="71" name="4F1 Metering PP2 " dataDxfId="40"/>
    <tableColumn id="72" name="6F1 Metering PP2 " dataDxfId="39"/>
    <tableColumn id="73" name="7F1 Donut Production area" dataDxfId="38"/>
    <tableColumn id="74" name="7F2 Flour Silo" dataDxfId="37"/>
    <tableColumn id="75" name="7F3 CLC Power Panel" dataDxfId="36"/>
    <tableColumn id="76" name="8F1 WH Dock AHU - Ventilation" dataDxfId="35"/>
    <tableColumn id="77" name="8F2 ACPDB - 3 SILO Ventilation" dataDxfId="34"/>
    <tableColumn id="78" name="8F3 ACPDB - 4 WH Dock air curtain" dataDxfId="33"/>
    <tableColumn id="79" name="8F4 WH Light" dataDxfId="32"/>
    <tableColumn id="80" name="8F5 Donut Ban Bary" dataDxfId="31"/>
    <tableColumn id="81" name="9F1 - PDB 10 - WH Dock door &amp; Office" dataDxfId="30"/>
    <tableColumn id="82" name="9F2 - PDB 11 - WH flycatchers" dataDxfId="29"/>
    <tableColumn id="83" name="9F3 - PDB 12 - Other items" dataDxfId="28"/>
    <tableColumn id="84" name="9F4 - PDB 13 - Donut Sink Geyser area" dataDxfId="27"/>
    <tableColumn id="85" name="9F5 - PDB 14 - Bread Lift" dataDxfId="26"/>
    <tableColumn id="86" name="9F6 - PDB 7 - Stagging Area" dataDxfId="25"/>
    <tableColumn id="87" name="PDB - 17 CLC Section " dataDxfId="24"/>
    <tableColumn id="88" name="PDB - 16 Bread Section" dataDxfId="23"/>
    <tableColumn id="89" name="PDB - 11 Truck Charging" dataDxfId="22"/>
    <tableColumn id="90" name="OLD Ck Panel-1" dataDxfId="21"/>
    <tableColumn id="91" name="2F4 Old CK Blast (Blue star)" dataDxfId="20"/>
    <tableColumn id="92" name="3F6 Old CK Blast (Carrier)" dataDxfId="19"/>
    <tableColumn id="93" name="Old CK Panel -2" dataDxfId="18"/>
    <tableColumn id="94" name="Tray Washer light Panel" dataDxfId="17"/>
    <tableColumn id="95" name="2F1 Tray Washer - 1" dataDxfId="16"/>
    <tableColumn id="96" name="2F3 - PDB 1 - Dock 1 to 4 " dataDxfId="15"/>
    <tableColumn id="97" name="2F5 Destacker" dataDxfId="14"/>
    <tableColumn id="98" name="3F1 Metering (TW-1)" dataDxfId="13"/>
    <tableColumn id="99" name="5F1 Metering (TW-2)" dataDxfId="12"/>
    <tableColumn id="100" name="6F1 Pre soaker Tray washer" dataDxfId="11"/>
    <tableColumn id="101" name="6F2 Ground Floor AC" dataDxfId="10"/>
    <tableColumn id="102" name="6F3 ACBD -1 (First floor AC)" dataDxfId="9"/>
    <tableColumn id="103" name="6F4 ACBD - 2 (Second &amp; Third floor AC)" dataDxfId="8"/>
    <tableColumn id="104" name="6F5 Vent tray Storage" dataDxfId="7"/>
    <tableColumn id="105" name="PNG Meter (Outside)" dataDxfId="6"/>
    <tableColumn id="106" name="PNG Meter (Inside)" dataDxfId="5"/>
    <tableColumn id="107" name="MWH Imp" dataDxfId="4"/>
    <tableColumn id="108" name="MWH Total" dataDxfId="3"/>
    <tableColumn id="109" name="MVAH Imp" dataDxfId="2"/>
    <tableColumn id="110" name="Power Factor (PF)" dataDxfId="1"/>
    <tableColumn id="111" name="Timing of Meter rea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A60"/>
  <sheetViews>
    <sheetView tabSelected="1" workbookViewId="0">
      <pane xSplit="1" ySplit="2" topLeftCell="FL47" activePane="bottomRight" state="frozen"/>
      <selection pane="topRight" activeCell="B1" sqref="B1"/>
      <selection pane="bottomLeft" activeCell="A3" sqref="A3"/>
      <selection pane="bottomRight" activeCell="FQ55" sqref="FQ55"/>
    </sheetView>
  </sheetViews>
  <sheetFormatPr defaultRowHeight="14.5" x14ac:dyDescent="0.35"/>
  <cols>
    <col min="2" max="3" width="14.6328125" customWidth="1"/>
    <col min="4" max="111" width="12.26953125" customWidth="1"/>
    <col min="112" max="112" width="10.08984375" bestFit="1" customWidth="1"/>
    <col min="114" max="140" width="9.81640625" customWidth="1"/>
    <col min="147" max="147" width="10.26953125" customWidth="1"/>
    <col min="155" max="155" width="9.453125" customWidth="1"/>
    <col min="166" max="166" width="11.81640625" customWidth="1"/>
    <col min="167" max="167" width="12" customWidth="1"/>
    <col min="168" max="168" width="11" customWidth="1"/>
    <col min="169" max="169" width="11.6328125" customWidth="1"/>
    <col min="170" max="170" width="14.08984375" customWidth="1"/>
  </cols>
  <sheetData>
    <row r="1" spans="1:183" s="11" customFormat="1" ht="58" customHeight="1" x14ac:dyDescent="0.35">
      <c r="I1" s="9" t="s">
        <v>114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138</v>
      </c>
      <c r="O1" s="9" t="s">
        <v>139</v>
      </c>
      <c r="P1" s="9" t="s">
        <v>122</v>
      </c>
      <c r="Q1" s="12"/>
      <c r="R1" s="9" t="s">
        <v>115</v>
      </c>
      <c r="S1" s="9" t="s">
        <v>116</v>
      </c>
      <c r="T1" s="12"/>
      <c r="U1" s="12"/>
      <c r="V1" s="12"/>
      <c r="W1" s="9" t="s">
        <v>140</v>
      </c>
      <c r="X1" s="9" t="s">
        <v>116</v>
      </c>
      <c r="Y1" s="9" t="s">
        <v>117</v>
      </c>
      <c r="Z1" s="9" t="s">
        <v>138</v>
      </c>
      <c r="AA1" s="13" t="s">
        <v>118</v>
      </c>
      <c r="AB1" s="12"/>
      <c r="AC1" s="9" t="s">
        <v>116</v>
      </c>
      <c r="AD1" s="12"/>
      <c r="AE1" s="9" t="s">
        <v>119</v>
      </c>
      <c r="AF1" s="9" t="s">
        <v>121</v>
      </c>
      <c r="AG1" s="9" t="s">
        <v>120</v>
      </c>
      <c r="AH1" s="9" t="s">
        <v>122</v>
      </c>
      <c r="AI1" s="9" t="s">
        <v>123</v>
      </c>
      <c r="AJ1" s="9" t="s">
        <v>124</v>
      </c>
      <c r="AK1" s="9" t="s">
        <v>125</v>
      </c>
      <c r="AL1" s="9" t="s">
        <v>118</v>
      </c>
      <c r="AM1" s="12"/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  <c r="AS1" s="18" t="s">
        <v>44</v>
      </c>
      <c r="AT1" s="18" t="s">
        <v>45</v>
      </c>
      <c r="AU1" s="18" t="s">
        <v>46</v>
      </c>
      <c r="AV1" s="18" t="s">
        <v>47</v>
      </c>
      <c r="AW1" s="9" t="s">
        <v>119</v>
      </c>
      <c r="AX1" s="9" t="s">
        <v>126</v>
      </c>
      <c r="AY1" s="12"/>
      <c r="AZ1" s="9" t="s">
        <v>127</v>
      </c>
      <c r="BA1" s="9" t="s">
        <v>127</v>
      </c>
      <c r="BB1" s="9" t="s">
        <v>127</v>
      </c>
      <c r="BC1" s="9" t="s">
        <v>128</v>
      </c>
      <c r="BD1" s="9" t="s">
        <v>129</v>
      </c>
      <c r="BE1" s="12"/>
      <c r="BF1" s="9" t="s">
        <v>130</v>
      </c>
      <c r="BG1" s="9" t="s">
        <v>130</v>
      </c>
      <c r="BH1" s="9" t="s">
        <v>131</v>
      </c>
      <c r="BI1" s="9" t="s">
        <v>131</v>
      </c>
      <c r="BJ1" s="9" t="s">
        <v>131</v>
      </c>
      <c r="BK1" s="9" t="s">
        <v>127</v>
      </c>
      <c r="BL1" s="9" t="s">
        <v>132</v>
      </c>
      <c r="BM1" s="9" t="s">
        <v>124</v>
      </c>
      <c r="BN1" s="9" t="s">
        <v>127</v>
      </c>
      <c r="BO1" s="9" t="s">
        <v>128</v>
      </c>
      <c r="BP1" s="9" t="s">
        <v>127</v>
      </c>
      <c r="BQ1" s="9" t="s">
        <v>131</v>
      </c>
      <c r="BR1" s="9" t="s">
        <v>131</v>
      </c>
      <c r="BS1" s="12"/>
      <c r="BT1" s="12"/>
      <c r="BU1" s="9" t="s">
        <v>133</v>
      </c>
      <c r="BV1" s="9" t="s">
        <v>134</v>
      </c>
      <c r="BW1" s="9" t="s">
        <v>130</v>
      </c>
      <c r="BX1" s="9" t="s">
        <v>127</v>
      </c>
      <c r="BY1" s="9" t="s">
        <v>134</v>
      </c>
      <c r="BZ1" s="9" t="s">
        <v>127</v>
      </c>
      <c r="CA1" s="9" t="s">
        <v>127</v>
      </c>
      <c r="CB1" s="9" t="s">
        <v>133</v>
      </c>
      <c r="CC1" s="9" t="s">
        <v>127</v>
      </c>
      <c r="CD1" s="9" t="s">
        <v>127</v>
      </c>
      <c r="CE1" s="9" t="s">
        <v>127</v>
      </c>
      <c r="CF1" s="9" t="s">
        <v>133</v>
      </c>
      <c r="CG1" s="9" t="s">
        <v>132</v>
      </c>
      <c r="CH1" s="9" t="s">
        <v>127</v>
      </c>
      <c r="CI1" s="9" t="s">
        <v>130</v>
      </c>
      <c r="CJ1" s="9" t="s">
        <v>132</v>
      </c>
      <c r="CK1" s="9" t="s">
        <v>124</v>
      </c>
      <c r="CL1" s="9" t="s">
        <v>135</v>
      </c>
      <c r="CM1" s="9" t="s">
        <v>136</v>
      </c>
      <c r="CN1" s="9" t="s">
        <v>136</v>
      </c>
      <c r="CO1" s="9" t="s">
        <v>136</v>
      </c>
      <c r="CP1" s="9" t="s">
        <v>116</v>
      </c>
      <c r="CQ1" s="9" t="s">
        <v>116</v>
      </c>
      <c r="CR1" s="9" t="s">
        <v>127</v>
      </c>
      <c r="CS1" s="9" t="s">
        <v>116</v>
      </c>
      <c r="CT1" s="9" t="s">
        <v>116</v>
      </c>
      <c r="CU1" s="9" t="s">
        <v>116</v>
      </c>
      <c r="CV1" s="9" t="s">
        <v>116</v>
      </c>
      <c r="CW1" s="9" t="s">
        <v>122</v>
      </c>
      <c r="CX1" s="9" t="s">
        <v>122</v>
      </c>
      <c r="CY1" s="9" t="s">
        <v>122</v>
      </c>
      <c r="CZ1" s="9" t="s">
        <v>116</v>
      </c>
      <c r="DA1" s="9" t="s">
        <v>228</v>
      </c>
      <c r="DB1" s="9" t="s">
        <v>229</v>
      </c>
      <c r="DC1" s="12"/>
      <c r="DD1" s="9" t="s">
        <v>137</v>
      </c>
      <c r="DE1" s="12"/>
      <c r="DF1" s="17" t="s">
        <v>109</v>
      </c>
      <c r="DG1" s="12"/>
      <c r="DI1" s="15" t="s">
        <v>137</v>
      </c>
      <c r="DJ1" s="61" t="s">
        <v>141</v>
      </c>
      <c r="DK1" s="62"/>
      <c r="DL1" s="60" t="s">
        <v>131</v>
      </c>
      <c r="DM1" s="60"/>
      <c r="DN1" s="60"/>
      <c r="DO1" s="60"/>
      <c r="DP1" s="60"/>
      <c r="DQ1" s="15" t="s">
        <v>177</v>
      </c>
      <c r="DR1" s="63" t="s">
        <v>116</v>
      </c>
      <c r="DS1" s="63"/>
      <c r="DT1" s="63"/>
      <c r="DU1" s="63"/>
      <c r="DV1" s="64"/>
      <c r="DW1" s="14" t="s">
        <v>114</v>
      </c>
      <c r="DX1" s="60" t="s">
        <v>127</v>
      </c>
      <c r="DY1" s="60"/>
      <c r="DZ1" s="60"/>
      <c r="EA1" s="60"/>
      <c r="EB1" s="60"/>
      <c r="EC1" s="60"/>
      <c r="ED1" s="60"/>
      <c r="EE1" s="60"/>
      <c r="EF1" s="60"/>
      <c r="EG1" s="60"/>
      <c r="EH1" s="60"/>
      <c r="EI1" s="60"/>
      <c r="EJ1" s="60"/>
      <c r="EK1" s="60" t="s">
        <v>124</v>
      </c>
      <c r="EL1" s="60"/>
      <c r="EM1" s="61" t="s">
        <v>122</v>
      </c>
      <c r="EN1" s="62"/>
      <c r="EO1" s="62"/>
      <c r="EP1" s="62"/>
      <c r="EQ1" s="62"/>
      <c r="ER1" s="60" t="s">
        <v>128</v>
      </c>
      <c r="ES1" s="60"/>
      <c r="ET1" s="15" t="s">
        <v>117</v>
      </c>
      <c r="EU1" s="60" t="s">
        <v>142</v>
      </c>
      <c r="EV1" s="60"/>
      <c r="EW1" s="60"/>
      <c r="EX1" s="60"/>
      <c r="EY1" s="65" t="s">
        <v>138</v>
      </c>
      <c r="EZ1" s="66"/>
      <c r="FA1" s="60" t="s">
        <v>130</v>
      </c>
      <c r="FB1" s="60"/>
      <c r="FC1" s="60"/>
      <c r="FD1" s="60"/>
      <c r="FE1" s="14" t="s">
        <v>140</v>
      </c>
      <c r="FF1" s="60" t="s">
        <v>118</v>
      </c>
      <c r="FG1" s="60"/>
      <c r="FH1" s="14" t="s">
        <v>121</v>
      </c>
      <c r="FI1" s="14" t="s">
        <v>125</v>
      </c>
      <c r="FJ1" s="14" t="s">
        <v>115</v>
      </c>
      <c r="FK1" s="15" t="s">
        <v>119</v>
      </c>
      <c r="FL1" s="14" t="s">
        <v>120</v>
      </c>
      <c r="FM1" s="14" t="s">
        <v>126</v>
      </c>
      <c r="FN1" s="14" t="s">
        <v>123</v>
      </c>
      <c r="FO1" s="14" t="s">
        <v>129</v>
      </c>
      <c r="FP1" s="61" t="s">
        <v>132</v>
      </c>
      <c r="FQ1" s="62"/>
      <c r="FR1" s="67"/>
      <c r="FS1" s="61" t="s">
        <v>133</v>
      </c>
      <c r="FT1" s="62"/>
      <c r="FU1" s="67"/>
      <c r="FV1" s="65" t="s">
        <v>134</v>
      </c>
      <c r="FW1" s="66"/>
      <c r="FX1" s="65" t="s">
        <v>143</v>
      </c>
      <c r="FY1" s="66"/>
      <c r="FZ1" s="60" t="s">
        <v>144</v>
      </c>
      <c r="GA1" s="60"/>
    </row>
    <row r="2" spans="1:183" s="8" customFormat="1" ht="87" x14ac:dyDescent="0.35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14</v>
      </c>
      <c r="P2" s="7" t="s">
        <v>15</v>
      </c>
      <c r="Q2" s="7" t="s">
        <v>16</v>
      </c>
      <c r="R2" s="7" t="s">
        <v>17</v>
      </c>
      <c r="S2" s="7" t="s">
        <v>18</v>
      </c>
      <c r="T2" s="7" t="s">
        <v>19</v>
      </c>
      <c r="U2" s="7" t="s">
        <v>20</v>
      </c>
      <c r="V2" s="7" t="s">
        <v>21</v>
      </c>
      <c r="W2" s="7" t="s">
        <v>22</v>
      </c>
      <c r="X2" s="7" t="s">
        <v>23</v>
      </c>
      <c r="Y2" s="7" t="s">
        <v>24</v>
      </c>
      <c r="Z2" s="7" t="s">
        <v>25</v>
      </c>
      <c r="AA2" s="7" t="s">
        <v>26</v>
      </c>
      <c r="AB2" s="7" t="s">
        <v>27</v>
      </c>
      <c r="AC2" s="7" t="s">
        <v>28</v>
      </c>
      <c r="AD2" s="7" t="s">
        <v>29</v>
      </c>
      <c r="AE2" s="7" t="s">
        <v>30</v>
      </c>
      <c r="AF2" s="7" t="s">
        <v>31</v>
      </c>
      <c r="AG2" s="7" t="s">
        <v>32</v>
      </c>
      <c r="AH2" s="7" t="s">
        <v>33</v>
      </c>
      <c r="AI2" s="7" t="s">
        <v>34</v>
      </c>
      <c r="AJ2" s="7" t="s">
        <v>35</v>
      </c>
      <c r="AK2" s="7" t="s">
        <v>36</v>
      </c>
      <c r="AL2" s="7" t="s">
        <v>37</v>
      </c>
      <c r="AM2" s="7" t="s">
        <v>38</v>
      </c>
      <c r="AN2" s="7" t="s">
        <v>39</v>
      </c>
      <c r="AO2" s="7" t="s">
        <v>40</v>
      </c>
      <c r="AP2" s="7" t="s">
        <v>41</v>
      </c>
      <c r="AQ2" s="7" t="s">
        <v>42</v>
      </c>
      <c r="AR2" s="7" t="s">
        <v>43</v>
      </c>
      <c r="AS2" s="7" t="s">
        <v>44</v>
      </c>
      <c r="AT2" s="7" t="s">
        <v>45</v>
      </c>
      <c r="AU2" s="7" t="s">
        <v>46</v>
      </c>
      <c r="AV2" s="7" t="s">
        <v>47</v>
      </c>
      <c r="AW2" s="7" t="s">
        <v>48</v>
      </c>
      <c r="AX2" s="7" t="s">
        <v>49</v>
      </c>
      <c r="AY2" s="7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7" t="s">
        <v>76</v>
      </c>
      <c r="BZ2" s="7" t="s">
        <v>77</v>
      </c>
      <c r="CA2" s="7" t="s">
        <v>78</v>
      </c>
      <c r="CB2" s="7" t="s">
        <v>79</v>
      </c>
      <c r="CC2" s="7" t="s">
        <v>80</v>
      </c>
      <c r="CD2" s="7" t="s">
        <v>81</v>
      </c>
      <c r="CE2" s="7" t="s">
        <v>82</v>
      </c>
      <c r="CF2" s="7" t="s">
        <v>83</v>
      </c>
      <c r="CG2" s="7" t="s">
        <v>84</v>
      </c>
      <c r="CH2" s="7" t="s">
        <v>85</v>
      </c>
      <c r="CI2" s="7" t="s">
        <v>86</v>
      </c>
      <c r="CJ2" s="7" t="s">
        <v>87</v>
      </c>
      <c r="CK2" s="7" t="s">
        <v>88</v>
      </c>
      <c r="CL2" s="7" t="s">
        <v>89</v>
      </c>
      <c r="CM2" s="7" t="s">
        <v>90</v>
      </c>
      <c r="CN2" s="7" t="s">
        <v>91</v>
      </c>
      <c r="CO2" s="7" t="s">
        <v>92</v>
      </c>
      <c r="CP2" s="7" t="s">
        <v>93</v>
      </c>
      <c r="CQ2" s="7" t="s">
        <v>94</v>
      </c>
      <c r="CR2" s="7" t="s">
        <v>95</v>
      </c>
      <c r="CS2" s="7" t="s">
        <v>96</v>
      </c>
      <c r="CT2" s="7" t="s">
        <v>97</v>
      </c>
      <c r="CU2" s="7" t="s">
        <v>98</v>
      </c>
      <c r="CV2" s="7" t="s">
        <v>99</v>
      </c>
      <c r="CW2" s="7" t="s">
        <v>100</v>
      </c>
      <c r="CX2" s="7" t="s">
        <v>101</v>
      </c>
      <c r="CY2" s="7" t="s">
        <v>102</v>
      </c>
      <c r="CZ2" s="7" t="s">
        <v>103</v>
      </c>
      <c r="DA2" s="7" t="s">
        <v>104</v>
      </c>
      <c r="DB2" s="7" t="s">
        <v>105</v>
      </c>
      <c r="DC2" s="7" t="s">
        <v>106</v>
      </c>
      <c r="DD2" s="7" t="s">
        <v>107</v>
      </c>
      <c r="DE2" s="7" t="s">
        <v>108</v>
      </c>
      <c r="DF2" s="7" t="s">
        <v>109</v>
      </c>
      <c r="DG2" s="7" t="s">
        <v>110</v>
      </c>
      <c r="DH2" s="8" t="s">
        <v>6</v>
      </c>
      <c r="DI2" s="9" t="s">
        <v>145</v>
      </c>
      <c r="DJ2" s="9" t="s">
        <v>228</v>
      </c>
      <c r="DK2" s="9" t="s">
        <v>229</v>
      </c>
      <c r="DL2" s="9" t="s">
        <v>59</v>
      </c>
      <c r="DM2" s="9" t="s">
        <v>60</v>
      </c>
      <c r="DN2" s="9" t="s">
        <v>61</v>
      </c>
      <c r="DO2" s="9" t="s">
        <v>68</v>
      </c>
      <c r="DP2" s="9" t="s">
        <v>69</v>
      </c>
      <c r="DQ2" s="9" t="s">
        <v>28</v>
      </c>
      <c r="DR2" s="9" t="s">
        <v>94</v>
      </c>
      <c r="DS2" s="9" t="s">
        <v>96</v>
      </c>
      <c r="DT2" s="9" t="s">
        <v>98</v>
      </c>
      <c r="DU2" s="9" t="s">
        <v>99</v>
      </c>
      <c r="DV2" s="9" t="s">
        <v>103</v>
      </c>
      <c r="DW2" s="9" t="s">
        <v>8</v>
      </c>
      <c r="DX2" s="9" t="s">
        <v>51</v>
      </c>
      <c r="DY2" s="9" t="s">
        <v>52</v>
      </c>
      <c r="DZ2" s="9" t="s">
        <v>53</v>
      </c>
      <c r="EA2" s="9" t="s">
        <v>62</v>
      </c>
      <c r="EB2" s="9" t="s">
        <v>65</v>
      </c>
      <c r="EC2" s="9" t="s">
        <v>67</v>
      </c>
      <c r="ED2" s="9" t="s">
        <v>75</v>
      </c>
      <c r="EE2" s="9" t="s">
        <v>77</v>
      </c>
      <c r="EF2" s="9" t="s">
        <v>78</v>
      </c>
      <c r="EG2" s="9" t="s">
        <v>80</v>
      </c>
      <c r="EH2" s="9" t="s">
        <v>81</v>
      </c>
      <c r="EI2" s="9" t="s">
        <v>82</v>
      </c>
      <c r="EJ2" s="9" t="s">
        <v>85</v>
      </c>
      <c r="EK2" s="9" t="s">
        <v>64</v>
      </c>
      <c r="EL2" s="9" t="s">
        <v>88</v>
      </c>
      <c r="EM2" s="9" t="s">
        <v>15</v>
      </c>
      <c r="EN2" s="9" t="s">
        <v>33</v>
      </c>
      <c r="EO2" s="9" t="s">
        <v>100</v>
      </c>
      <c r="EP2" s="9" t="s">
        <v>101</v>
      </c>
      <c r="EQ2" s="9" t="s">
        <v>102</v>
      </c>
      <c r="ER2" s="10" t="s">
        <v>54</v>
      </c>
      <c r="ES2" s="10" t="s">
        <v>66</v>
      </c>
      <c r="ET2" s="10" t="s">
        <v>24</v>
      </c>
      <c r="EU2" s="9" t="s">
        <v>89</v>
      </c>
      <c r="EV2" s="9" t="s">
        <v>90</v>
      </c>
      <c r="EW2" s="9" t="s">
        <v>91</v>
      </c>
      <c r="EX2" s="9" t="s">
        <v>92</v>
      </c>
      <c r="EY2" s="9" t="s">
        <v>13</v>
      </c>
      <c r="EZ2" s="9" t="s">
        <v>25</v>
      </c>
      <c r="FA2" s="9" t="s">
        <v>57</v>
      </c>
      <c r="FB2" s="9" t="s">
        <v>58</v>
      </c>
      <c r="FC2" s="9" t="s">
        <v>74</v>
      </c>
      <c r="FD2" s="9" t="s">
        <v>86</v>
      </c>
      <c r="FE2" s="9" t="s">
        <v>22</v>
      </c>
      <c r="FF2" s="9" t="s">
        <v>26</v>
      </c>
      <c r="FG2" s="9" t="s">
        <v>37</v>
      </c>
      <c r="FH2" s="9" t="s">
        <v>31</v>
      </c>
      <c r="FI2" s="9" t="s">
        <v>36</v>
      </c>
      <c r="FJ2" s="9" t="s">
        <v>17</v>
      </c>
      <c r="FK2" s="9" t="s">
        <v>30</v>
      </c>
      <c r="FL2" s="9" t="s">
        <v>32</v>
      </c>
      <c r="FM2" s="9" t="s">
        <v>49</v>
      </c>
      <c r="FN2" s="9" t="s">
        <v>34</v>
      </c>
      <c r="FO2" s="9" t="s">
        <v>55</v>
      </c>
      <c r="FP2" s="9" t="s">
        <v>63</v>
      </c>
      <c r="FQ2" s="9" t="s">
        <v>84</v>
      </c>
      <c r="FR2" s="9" t="s">
        <v>87</v>
      </c>
      <c r="FS2" s="9" t="s">
        <v>72</v>
      </c>
      <c r="FT2" s="9" t="s">
        <v>79</v>
      </c>
      <c r="FU2" s="9" t="s">
        <v>83</v>
      </c>
      <c r="FV2" s="9" t="s">
        <v>73</v>
      </c>
      <c r="FW2" s="9" t="s">
        <v>76</v>
      </c>
      <c r="FX2" s="16" t="s">
        <v>9</v>
      </c>
      <c r="FY2" s="9" t="s">
        <v>10</v>
      </c>
      <c r="FZ2" s="16" t="s">
        <v>11</v>
      </c>
      <c r="GA2" s="9" t="s">
        <v>12</v>
      </c>
    </row>
    <row r="3" spans="1:183" x14ac:dyDescent="0.35">
      <c r="A3" s="1">
        <v>5</v>
      </c>
      <c r="B3" s="2">
        <v>46202.409837963001</v>
      </c>
      <c r="C3" s="2">
        <v>46202.435474537</v>
      </c>
      <c r="D3" s="1" t="s">
        <v>111</v>
      </c>
      <c r="E3" s="1"/>
      <c r="F3" s="1"/>
      <c r="G3" s="3">
        <v>46201</v>
      </c>
      <c r="H3" s="1" t="s">
        <v>112</v>
      </c>
      <c r="I3" s="6">
        <v>5107.7420000000002</v>
      </c>
      <c r="J3" s="6">
        <v>4245.2</v>
      </c>
      <c r="K3" s="6">
        <v>1764267</v>
      </c>
      <c r="L3" s="6">
        <v>427</v>
      </c>
      <c r="M3" s="6">
        <v>177.61</v>
      </c>
      <c r="N3" s="6">
        <v>1835501.6</v>
      </c>
      <c r="O3" s="6">
        <v>4533767.3600000003</v>
      </c>
      <c r="P3" s="6">
        <v>631436.92799999996</v>
      </c>
      <c r="Q3" s="6">
        <v>7988215.6799999997</v>
      </c>
      <c r="R3" s="6">
        <v>5343896.96</v>
      </c>
      <c r="S3" s="6">
        <v>7246316.7999999998</v>
      </c>
      <c r="T3" s="6">
        <v>42340702.340000004</v>
      </c>
      <c r="U3" s="6">
        <v>2058636.32</v>
      </c>
      <c r="V3" s="6">
        <v>5057417.5999999996</v>
      </c>
      <c r="W3" s="6">
        <v>1569.5613000000001</v>
      </c>
      <c r="X3" s="6">
        <v>763711.36</v>
      </c>
      <c r="Y3" s="6">
        <v>1050942.72</v>
      </c>
      <c r="Z3" s="6">
        <v>2777.8894</v>
      </c>
      <c r="AA3" s="6">
        <v>658139.45600000001</v>
      </c>
      <c r="AB3" s="6">
        <v>420904.44799999997</v>
      </c>
      <c r="AC3" s="6">
        <v>2112810.2400000002</v>
      </c>
      <c r="AD3" s="6">
        <v>2335959.051</v>
      </c>
      <c r="AE3" s="6">
        <v>12549.0592</v>
      </c>
      <c r="AF3" s="6">
        <v>854092.22400000005</v>
      </c>
      <c r="AG3" s="6">
        <v>1359.2619999999999</v>
      </c>
      <c r="AH3" s="6">
        <v>128837.36</v>
      </c>
      <c r="AI3" s="6">
        <v>14432.824000000001</v>
      </c>
      <c r="AJ3" s="6">
        <v>145246.38399999999</v>
      </c>
      <c r="AK3" s="6">
        <v>104825.96799999999</v>
      </c>
      <c r="AL3" s="6">
        <v>327910.36800000002</v>
      </c>
      <c r="AM3" s="6">
        <v>969.59699999999998</v>
      </c>
      <c r="AN3" s="6">
        <v>185.9</v>
      </c>
      <c r="AO3" s="6">
        <v>7.4</v>
      </c>
      <c r="AP3" s="6">
        <v>109713</v>
      </c>
      <c r="AQ3" s="6">
        <v>42271</v>
      </c>
      <c r="AR3" s="6">
        <v>41727</v>
      </c>
      <c r="AS3" s="6">
        <v>32307</v>
      </c>
      <c r="AT3" s="6">
        <v>22056</v>
      </c>
      <c r="AU3" s="6">
        <v>14760</v>
      </c>
      <c r="AV3" s="6">
        <v>5832</v>
      </c>
      <c r="AW3" s="6">
        <v>20.675252</v>
      </c>
      <c r="AX3" s="50">
        <v>7139.1620000000003</v>
      </c>
      <c r="AY3" s="6">
        <v>674.11055999999996</v>
      </c>
      <c r="AZ3" s="6">
        <v>20.788</v>
      </c>
      <c r="BA3" s="6">
        <v>9654.3070000000007</v>
      </c>
      <c r="BB3" s="6">
        <v>43.072000000000003</v>
      </c>
      <c r="BC3" s="6">
        <v>113969.24800000001</v>
      </c>
      <c r="BD3" s="6">
        <v>274220.288</v>
      </c>
      <c r="BE3" s="6">
        <v>3681.4612000000002</v>
      </c>
      <c r="BF3" s="6">
        <v>1712.0419999999999</v>
      </c>
      <c r="BG3" s="6">
        <v>73.968000000000004</v>
      </c>
      <c r="BH3" s="6">
        <v>352.06700000000001</v>
      </c>
      <c r="BI3" s="6">
        <v>897.99800000000005</v>
      </c>
      <c r="BJ3" s="6">
        <v>12.988</v>
      </c>
      <c r="BK3" s="6">
        <v>553.54399999999998</v>
      </c>
      <c r="BL3" s="6">
        <v>68097.625</v>
      </c>
      <c r="BM3" s="6">
        <v>290533.34399999998</v>
      </c>
      <c r="BN3" s="6">
        <v>7099.1696000000002</v>
      </c>
      <c r="BO3" s="6">
        <v>53497.487999999998</v>
      </c>
      <c r="BP3" s="6">
        <v>309556.35200000001</v>
      </c>
      <c r="BQ3" s="6">
        <v>317.83800000000002</v>
      </c>
      <c r="BR3" s="6">
        <v>177.14</v>
      </c>
      <c r="BS3" s="6">
        <v>968560.41500000004</v>
      </c>
      <c r="BT3" s="6">
        <v>1400428.004</v>
      </c>
      <c r="BU3" s="6">
        <v>621285.31200000003</v>
      </c>
      <c r="BV3" s="6">
        <v>1006186</v>
      </c>
      <c r="BW3" s="6">
        <v>560503.6</v>
      </c>
      <c r="BX3" s="6">
        <v>910044.67200000002</v>
      </c>
      <c r="BY3" s="6">
        <v>155944.68799999999</v>
      </c>
      <c r="BZ3" s="6">
        <v>114008.38400000001</v>
      </c>
      <c r="CA3" s="6">
        <v>0</v>
      </c>
      <c r="CB3" s="6">
        <v>106618.96</v>
      </c>
      <c r="CC3" s="6">
        <v>146382.11199999999</v>
      </c>
      <c r="CD3" s="6">
        <v>440058.72</v>
      </c>
      <c r="CE3" s="6">
        <v>49125.260799999996</v>
      </c>
      <c r="CF3" s="6">
        <v>155098.17600000001</v>
      </c>
      <c r="CG3" s="6">
        <v>360734.304</v>
      </c>
      <c r="CH3" s="6">
        <v>2385.87</v>
      </c>
      <c r="CI3" s="6">
        <v>209.17500000000001</v>
      </c>
      <c r="CJ3" s="6">
        <v>1165.4000000000001</v>
      </c>
      <c r="CK3" s="6">
        <v>76.322000000000003</v>
      </c>
      <c r="CL3" s="6">
        <v>715.41099999999994</v>
      </c>
      <c r="CM3" s="6">
        <v>551.4</v>
      </c>
      <c r="CN3" s="6">
        <v>30708</v>
      </c>
      <c r="CO3" s="6">
        <v>1617.7950000000001</v>
      </c>
      <c r="CP3" s="6">
        <v>288891.40500000003</v>
      </c>
      <c r="CQ3" s="6">
        <v>3642854.46</v>
      </c>
      <c r="CR3" s="6">
        <v>128694.936</v>
      </c>
      <c r="CS3" s="6">
        <v>502850.272</v>
      </c>
      <c r="CT3" s="6">
        <v>2816136.5040000002</v>
      </c>
      <c r="CU3" s="6">
        <v>288995.674</v>
      </c>
      <c r="CV3" s="6">
        <v>30102.2624</v>
      </c>
      <c r="CW3" s="6">
        <v>61866.099199999997</v>
      </c>
      <c r="CX3" s="6">
        <v>33026.851199999997</v>
      </c>
      <c r="CY3" s="6">
        <v>163436.72</v>
      </c>
      <c r="CZ3" s="6">
        <v>215399.50399999999</v>
      </c>
      <c r="DA3" s="6">
        <v>17576.919999999998</v>
      </c>
      <c r="DB3" s="6">
        <v>146726.18</v>
      </c>
      <c r="DC3" s="6">
        <v>2823.97</v>
      </c>
      <c r="DD3" s="6">
        <v>2823.84</v>
      </c>
      <c r="DE3" s="6">
        <v>2845.87</v>
      </c>
      <c r="DF3" s="6">
        <v>0.995</v>
      </c>
      <c r="DG3" s="1"/>
      <c r="DH3" s="4">
        <f>Table2[[#This Row],[Date]]</f>
        <v>46201</v>
      </c>
      <c r="DI3">
        <f>(DD4-Table2[[#This Row],[MWH Total]])*4000</f>
        <v>16840.000000000146</v>
      </c>
      <c r="DJ3">
        <f>(DA4-Table2[[#This Row],[PNG Meter (Outside)]])*2.936</f>
        <v>0.35232000000769037</v>
      </c>
      <c r="DK3">
        <f>(DB4-Table2[[#This Row],[PNG Meter (Inside)]])*2.936</f>
        <v>58.003615999982223</v>
      </c>
      <c r="DL3">
        <f>(BH4-Table2[[#This Row],[3F Dough cooler - 2 ]])*1000</f>
        <v>372.0000000000141</v>
      </c>
      <c r="DM3">
        <f>(BI4-Table2[[#This Row],[3F Dough Cooler- 1]])*1000</f>
        <v>444.99999999993634</v>
      </c>
      <c r="DN3">
        <f>(BJ4-Table2[[#This Row],[4F Dough Production cooling Unit]])*1000</f>
        <v>41.000000000000369</v>
      </c>
      <c r="DO3">
        <f>(BQ4-Table2[[#This Row],[3F2 - PDB 3 - Dough Production Area]])*1000</f>
        <v>178.99999999997362</v>
      </c>
      <c r="DP3">
        <f>(BR4-Table2[[#This Row],[3F3 - PDB 4 - Dough Area]])*1000</f>
        <v>100.00000000002274</v>
      </c>
      <c r="DQ3">
        <f>AC4-Table2[[#This Row],[16F1 Tray washer Panel for Light]]</f>
        <v>616.79999999981374</v>
      </c>
      <c r="DR3">
        <f>CQ4-Table2[[#This Row],[2F1 Tray Washer - 1]]</f>
        <v>1192.8999999999069</v>
      </c>
      <c r="DS3">
        <f>CS4-Table2[[#This Row],[2F5 Destacker]]</f>
        <v>278.04800000000978</v>
      </c>
      <c r="DT3">
        <f>CU4-Table2[[#This Row],[5F1 Metering (TW-2)]]</f>
        <v>242.85899999999674</v>
      </c>
      <c r="DU3">
        <f>CV4-Table2[[#This Row],[6F1 Pre soaker Tray washer]]</f>
        <v>0</v>
      </c>
      <c r="DV3">
        <f>CZ4-Table2[[#This Row],[6F5 Vent tray Storage]]</f>
        <v>14.982000000018161</v>
      </c>
      <c r="DW3">
        <f>I4-Table2[[#This Row],[Popeyes Meter ]]</f>
        <v>0</v>
      </c>
      <c r="DX3">
        <f>AZ4-Table2[[#This Row],[2F WH Chiller, Segregation Area]]</f>
        <v>0</v>
      </c>
      <c r="DY3">
        <f>BA4-Table2[[#This Row],[3F1 AC Unit WH dock cooling - 2 Nos]]</f>
        <v>12.779999999998836</v>
      </c>
      <c r="DZ3">
        <f>BB4-Table2[[#This Row],[3F2 AC Unit WH dock cooling - 3 Nos]]</f>
        <v>5.0999999999994827E-2</v>
      </c>
      <c r="EA3">
        <f>(BK4-Table2[[#This Row],[5F WH Perishable]])*1000</f>
        <v>291.00000000005366</v>
      </c>
      <c r="EB3">
        <f>BN4-Table2[[#This Row],[2F3 - PDB 9 - WH Dock Leveler Door ]]</f>
        <v>2.568000000000211</v>
      </c>
      <c r="EC3">
        <f>BP4-Table2[[#This Row],[3F1 - PDB 5 - WH HSD]]</f>
        <v>87.679999999993015</v>
      </c>
      <c r="ED3">
        <f>BX4-Table2[[#This Row],[8F1 WH Dock AHU - Ventilation]]</f>
        <v>0</v>
      </c>
      <c r="EE3">
        <f>BZ4-Table2[[#This Row],[8F3 ACPDB - 4 WH Dock air curtain]]</f>
        <v>18.695999999996275</v>
      </c>
      <c r="EF3">
        <f>CA4-Table2[[#This Row],[8F4 WH Light]]</f>
        <v>0</v>
      </c>
      <c r="EG3">
        <f>CC4-Table2[[#This Row],[9F1 - PDB 10 - WH Dock door &amp; Office]]</f>
        <v>80.831999999994878</v>
      </c>
      <c r="EH3">
        <f>CD4-Table2[[#This Row],[9F2 - PDB 11 - WH flycatchers]]</f>
        <v>146.4320000000298</v>
      </c>
      <c r="EI3">
        <f>CE4-Table2[[#This Row],[9F3 - PDB 12 - Other items]]</f>
        <v>0</v>
      </c>
      <c r="EJ3">
        <f>CR4-Table2[[#This Row],[2F3 - PDB 1 - Dock 1 to 4 ]]</f>
        <v>75.792000000001281</v>
      </c>
      <c r="EK3">
        <f>BM4-Table2[[#This Row],[2F2 - PDB 3 - WH Truck &amp; Battery Charging]]</f>
        <v>791.20000000001164</v>
      </c>
      <c r="EL3">
        <f>(CK4-Table2[[#This Row],[PDB - 11 Truck Charging]])*1000</f>
        <v>45.999999999992269</v>
      </c>
      <c r="EM3">
        <f>P4-Table2[[#This Row],[5F3 Admin Area]]</f>
        <v>320.76800000004005</v>
      </c>
      <c r="EN3">
        <f>AH4-Table2[[#This Row],[2F5 Main Gate-1 Piller -1]]</f>
        <v>181.36800000000221</v>
      </c>
      <c r="EO3">
        <f>CW4-Table2[[#This Row],[6F2 Ground Floor AC]]</f>
        <v>34.995200000004843</v>
      </c>
      <c r="EP3">
        <f>CX4-Table2[[#This Row],[6F3 ACBD -1 (First floor AC)]]</f>
        <v>24.380800000006275</v>
      </c>
      <c r="EQ3">
        <f>CY4-Table2[[#This Row],[6F4 ACBD - 2 (Second &amp; Third floor AC)]]</f>
        <v>132.04800000000978</v>
      </c>
      <c r="ER3">
        <f>(BC4-Table2[[#This Row],[4F Old BMC cooling Unit]])</f>
        <v>0</v>
      </c>
      <c r="ES3">
        <f>BO4-Table2[[#This Row],[2F4 - Old BMC]]</f>
        <v>1.6000000003259629E-2</v>
      </c>
      <c r="ET3">
        <f>Y4-Table2[[#This Row],[14F2 New CK]]</f>
        <v>261.88000000012107</v>
      </c>
      <c r="EU3">
        <f>(CL4-Table2[[#This Row],[OLD Ck Panel-1]])*1000</f>
        <v>90.000000000031832</v>
      </c>
      <c r="EV3">
        <f>CM4-Table2[[#This Row],[2F4 Old CK Blast (Blue star)]]</f>
        <v>0</v>
      </c>
      <c r="EW3">
        <f>CN4-Table2[[#This Row],[3F6 Old CK Blast (Carrier)]]</f>
        <v>0</v>
      </c>
      <c r="EX3">
        <f>(CO4-Table2[[#This Row],[Old CK Panel -2]])*1000</f>
        <v>900.99999999983993</v>
      </c>
      <c r="EY3">
        <f>N4-Table2[[#This Row],[4F1 Main UPS 1/C -1]]</f>
        <v>767.52000000001863</v>
      </c>
      <c r="EZ3">
        <f>Z4-Table2[[#This Row],[15F1 Main UPS Panel - I/C - 2]]</f>
        <v>0</v>
      </c>
      <c r="FA3">
        <f>BF4-Table2[[#This Row],[2F CLC -1 AC unit - 2]]</f>
        <v>0</v>
      </c>
      <c r="FB3">
        <f>(BG4-Table2[[#This Row],[2F CLC Anti room]])*1000</f>
        <v>7.9999999999955662</v>
      </c>
      <c r="FC3">
        <f>BW4-Table2[[#This Row],[7F3 CLC Power Panel]]</f>
        <v>145.93599999998696</v>
      </c>
      <c r="FD3">
        <f>(CI4-Table2[[#This Row],[PDB - 17 CLC Section ]])*1000</f>
        <v>107.99999999997567</v>
      </c>
      <c r="FE3">
        <f>(W4-Table2[[#This Row],[13F3 Water &amp; Lift Old CK]])*1000</f>
        <v>195.19999999988613</v>
      </c>
      <c r="FF3">
        <f>AA4-Table2[[#This Row],[15F2 New ETP Panel]]</f>
        <v>289.08799999998882</v>
      </c>
      <c r="FG3">
        <f>AL4-Table2[[#This Row],[3F4 Old ETP Panel]]</f>
        <v>88.791999999957625</v>
      </c>
      <c r="FH3">
        <f>AF4-Table2[[#This Row],[2F1 RO Plant]]</f>
        <v>586.94399999990128</v>
      </c>
      <c r="FI3">
        <f>AK4-Table2[[#This Row],[3F3 Fire Hydrant Panel]]</f>
        <v>10.240000000005239</v>
      </c>
      <c r="FJ3">
        <f>R4-Table2[[#This Row],[7F1 Freon System Panel]]</f>
        <v>2448.9599999999627</v>
      </c>
      <c r="FK3">
        <f>(AE4-Table2[[#This Row],[21F1 Refrigeration Ammonia]])*1000</f>
        <v>6017.600000001039</v>
      </c>
      <c r="FL3">
        <f>(AG4-Table2[[#This Row],[2F3 Air Compressor]])*1000</f>
        <v>1013.0000000001473</v>
      </c>
      <c r="FM3">
        <f>(AX4-Table2[[#This Row],[Solar Reading Panel II]])*1000</f>
        <v>3750</v>
      </c>
      <c r="FN3">
        <f>AI4-Table2[[#This Row],[3F1 Maintenance Workshop]]</f>
        <v>5.8544000000001688</v>
      </c>
      <c r="FO3">
        <f>BD4-Table2[[#This Row],[4F B2B unit ]]</f>
        <v>14.400000000023283</v>
      </c>
      <c r="FP3">
        <f>BL4-Table2[[#This Row],[2F1 - PDB 6 - Bread, B2B section]]</f>
        <v>3.7189999999973224</v>
      </c>
      <c r="FQ3">
        <f>(CG4-Table2[[#This Row],[9F5 - PDB 14 - Bread Lift]])</f>
        <v>0.2559999999939464</v>
      </c>
      <c r="FR3">
        <f>CJ4-Table2[[#This Row],[PDB - 16 Bread Section]]</f>
        <v>0</v>
      </c>
      <c r="FS3">
        <f>BU4-Table2[[#This Row],[7F1 Donut Production area]]</f>
        <v>224</v>
      </c>
      <c r="FT3">
        <f>CB4-Table2[[#This Row],[8F5 Donut Ban Bary]]</f>
        <v>55.319999999992433</v>
      </c>
      <c r="FU3">
        <f>CF4-Table2[[#This Row],[9F4 - PDB 13 - Donut Sink Geyser area]]</f>
        <v>13.071999999985565</v>
      </c>
      <c r="FV3">
        <f>BV4-Table2[[#This Row],[7F2 Flour Silo]]</f>
        <v>353.11999999999534</v>
      </c>
      <c r="FW3">
        <f>BY4-Table2[[#This Row],[8F2 ACPDB - 3 SILO Ventilation]]</f>
        <v>48.032000000006519</v>
      </c>
      <c r="FX3">
        <f>J4-Table2[[#This Row],[DG 1010KVA Running Hours]]</f>
        <v>0</v>
      </c>
      <c r="FY3">
        <f>K4-Table2[[#This Row],[DG 1010 KVA Meter Reading]]</f>
        <v>0</v>
      </c>
      <c r="FZ3">
        <f>L4-Table2[[#This Row],[GG 1010 KVA Running Hours]]</f>
        <v>0</v>
      </c>
      <c r="GA3">
        <f>M4-Table2[[#This Row],[GG 1010 KVA Meter Reading]]</f>
        <v>0</v>
      </c>
    </row>
    <row r="4" spans="1:183" x14ac:dyDescent="0.35">
      <c r="A4" s="1">
        <v>6</v>
      </c>
      <c r="B4" s="2">
        <v>46202.441215277802</v>
      </c>
      <c r="C4" s="2">
        <v>46202.476863425902</v>
      </c>
      <c r="D4" s="1" t="s">
        <v>111</v>
      </c>
      <c r="E4" s="1"/>
      <c r="F4" s="1"/>
      <c r="G4" s="3">
        <v>46202</v>
      </c>
      <c r="H4" s="1" t="s">
        <v>112</v>
      </c>
      <c r="I4" s="6">
        <v>5107.7420000000002</v>
      </c>
      <c r="J4" s="6">
        <v>4245.2</v>
      </c>
      <c r="K4" s="6">
        <v>1764267</v>
      </c>
      <c r="L4" s="6">
        <v>427</v>
      </c>
      <c r="M4" s="6">
        <v>177.61</v>
      </c>
      <c r="N4" s="6">
        <v>1836269.12</v>
      </c>
      <c r="O4" s="6">
        <v>4535500.4800000004</v>
      </c>
      <c r="P4" s="6">
        <v>631757.696</v>
      </c>
      <c r="Q4" s="6">
        <v>7991880.96</v>
      </c>
      <c r="R4" s="6">
        <v>5346345.92</v>
      </c>
      <c r="S4" s="6">
        <v>7249356.1600000001</v>
      </c>
      <c r="T4" s="6">
        <v>42347165.092</v>
      </c>
      <c r="U4" s="6">
        <v>2059836.8</v>
      </c>
      <c r="V4" s="6">
        <v>5058681.92</v>
      </c>
      <c r="W4" s="6">
        <v>1569.7565</v>
      </c>
      <c r="X4" s="6">
        <v>763954.304</v>
      </c>
      <c r="Y4" s="6">
        <v>1051204.6000000001</v>
      </c>
      <c r="Z4" s="6">
        <v>2777.8894</v>
      </c>
      <c r="AA4" s="6">
        <v>658428.54399999999</v>
      </c>
      <c r="AB4" s="6">
        <v>420911.26400000002</v>
      </c>
      <c r="AC4" s="6">
        <v>2113427.04</v>
      </c>
      <c r="AD4" s="6">
        <v>2342878.8629999999</v>
      </c>
      <c r="AE4" s="6">
        <v>12555.076800000001</v>
      </c>
      <c r="AF4" s="6">
        <v>854679.16799999995</v>
      </c>
      <c r="AG4" s="6">
        <v>1360.2750000000001</v>
      </c>
      <c r="AH4" s="6">
        <v>129018.728</v>
      </c>
      <c r="AI4" s="6">
        <v>14438.678400000001</v>
      </c>
      <c r="AJ4" s="6">
        <v>145249.264</v>
      </c>
      <c r="AK4" s="6">
        <v>104836.208</v>
      </c>
      <c r="AL4" s="6">
        <v>327999.15999999997</v>
      </c>
      <c r="AM4" s="6">
        <v>970.12300000000005</v>
      </c>
      <c r="AN4" s="6">
        <v>253.6</v>
      </c>
      <c r="AO4" s="6">
        <v>7.3</v>
      </c>
      <c r="AP4" s="6">
        <v>118548</v>
      </c>
      <c r="AQ4" s="6">
        <v>42271</v>
      </c>
      <c r="AR4" s="6">
        <v>41727</v>
      </c>
      <c r="AS4" s="6">
        <v>32307</v>
      </c>
      <c r="AT4" s="6">
        <v>22056</v>
      </c>
      <c r="AU4" s="6">
        <v>14784</v>
      </c>
      <c r="AV4" s="6">
        <v>5847</v>
      </c>
      <c r="AW4" s="6">
        <v>20.681042000000001</v>
      </c>
      <c r="AX4" s="50">
        <v>7142.9120000000003</v>
      </c>
      <c r="AY4" s="6">
        <v>674.19312000000002</v>
      </c>
      <c r="AZ4" s="6">
        <v>20.788</v>
      </c>
      <c r="BA4" s="6">
        <v>9667.0869999999995</v>
      </c>
      <c r="BB4" s="6">
        <v>43.122999999999998</v>
      </c>
      <c r="BC4" s="6">
        <v>113969.24800000001</v>
      </c>
      <c r="BD4" s="6">
        <v>274234.68800000002</v>
      </c>
      <c r="BE4" s="6">
        <v>3682.5315999999998</v>
      </c>
      <c r="BF4" s="6">
        <v>1712.0419999999999</v>
      </c>
      <c r="BG4" s="6">
        <v>73.975999999999999</v>
      </c>
      <c r="BH4" s="6">
        <v>352.43900000000002</v>
      </c>
      <c r="BI4" s="6">
        <v>898.44299999999998</v>
      </c>
      <c r="BJ4" s="6">
        <v>13.029</v>
      </c>
      <c r="BK4" s="6">
        <v>553.83500000000004</v>
      </c>
      <c r="BL4" s="6">
        <v>68101.343999999997</v>
      </c>
      <c r="BM4" s="6">
        <v>291324.54399999999</v>
      </c>
      <c r="BN4" s="6">
        <v>7101.7376000000004</v>
      </c>
      <c r="BO4" s="6">
        <v>53497.504000000001</v>
      </c>
      <c r="BP4" s="6">
        <v>309644.03200000001</v>
      </c>
      <c r="BQ4" s="6">
        <v>318.017</v>
      </c>
      <c r="BR4" s="6">
        <v>177.24</v>
      </c>
      <c r="BS4" s="6">
        <v>969742.04799999995</v>
      </c>
      <c r="BT4" s="6">
        <v>1400449.11</v>
      </c>
      <c r="BU4" s="6">
        <v>621509.31200000003</v>
      </c>
      <c r="BV4" s="6">
        <v>1006539.12</v>
      </c>
      <c r="BW4" s="6">
        <v>560649.53599999996</v>
      </c>
      <c r="BX4" s="6">
        <v>910044.67200000002</v>
      </c>
      <c r="BY4" s="6">
        <v>155992.72</v>
      </c>
      <c r="BZ4" s="6">
        <v>114027.08</v>
      </c>
      <c r="CA4" s="6">
        <v>0</v>
      </c>
      <c r="CB4" s="6">
        <v>106674.28</v>
      </c>
      <c r="CC4" s="6">
        <v>146462.94399999999</v>
      </c>
      <c r="CD4" s="6">
        <v>440205.152</v>
      </c>
      <c r="CE4" s="6">
        <v>49125.260799999996</v>
      </c>
      <c r="CF4" s="6">
        <v>155111.24799999999</v>
      </c>
      <c r="CG4" s="6">
        <v>360734.56</v>
      </c>
      <c r="CH4" s="6">
        <v>2385.87</v>
      </c>
      <c r="CI4" s="6">
        <v>209.28299999999999</v>
      </c>
      <c r="CJ4" s="6">
        <v>1165.4000000000001</v>
      </c>
      <c r="CK4" s="6">
        <v>76.367999999999995</v>
      </c>
      <c r="CL4" s="6">
        <v>715.50099999999998</v>
      </c>
      <c r="CM4" s="6">
        <v>551.4</v>
      </c>
      <c r="CN4" s="6">
        <v>30708</v>
      </c>
      <c r="CO4" s="6">
        <v>1618.6959999999999</v>
      </c>
      <c r="CP4" s="6">
        <v>289082.07400000002</v>
      </c>
      <c r="CQ4" s="6">
        <v>3644047.3599999999</v>
      </c>
      <c r="CR4" s="6">
        <v>128770.728</v>
      </c>
      <c r="CS4" s="6">
        <v>503128.32000000001</v>
      </c>
      <c r="CT4" s="6">
        <v>2819246.82</v>
      </c>
      <c r="CU4" s="6">
        <v>289238.533</v>
      </c>
      <c r="CV4" s="6">
        <v>30102.2624</v>
      </c>
      <c r="CW4" s="6">
        <v>61901.094400000002</v>
      </c>
      <c r="CX4" s="6">
        <v>33051.232000000004</v>
      </c>
      <c r="CY4" s="6">
        <v>163568.76800000001</v>
      </c>
      <c r="CZ4" s="6">
        <v>215414.486</v>
      </c>
      <c r="DA4" s="5">
        <v>17577.04</v>
      </c>
      <c r="DB4" s="6">
        <v>146745.93599999999</v>
      </c>
      <c r="DC4" s="6">
        <v>2828.18</v>
      </c>
      <c r="DD4" s="6">
        <v>2828.05</v>
      </c>
      <c r="DE4" s="6">
        <v>2850.11</v>
      </c>
      <c r="DF4" s="6">
        <v>0.997</v>
      </c>
      <c r="DG4" s="1" t="s">
        <v>113</v>
      </c>
      <c r="DH4" s="4">
        <f>Table2[[#This Row],[Date]]</f>
        <v>46202</v>
      </c>
      <c r="DI4">
        <f>(DD5-Table2[[#This Row],[MWH Total]])*4000</f>
        <v>21840.000000000146</v>
      </c>
      <c r="DJ4">
        <f>(DA5-Table2[[#This Row],[PNG Meter (Outside)]])*2.936</f>
        <v>4.4039999999999999</v>
      </c>
      <c r="DK4">
        <f>(DB5-Table2[[#This Row],[PNG Meter (Inside)]])*2.936</f>
        <v>314.86544800004918</v>
      </c>
      <c r="DL4">
        <f>(BH5-Table2[[#This Row],[3F Dough cooler - 2 ]])*1000</f>
        <v>311.99999999995498</v>
      </c>
      <c r="DM4">
        <f>(BI5-Table2[[#This Row],[3F Dough Cooler- 1]])*1000</f>
        <v>486.99999999996635</v>
      </c>
      <c r="DN4">
        <f>(BJ5-Table2[[#This Row],[4F Dough Production cooling Unit]])*1000</f>
        <v>51.999999999999602</v>
      </c>
      <c r="DO4">
        <f>(BQ5-Table2[[#This Row],[3F2 - PDB 3 - Dough Production Area]])*1000</f>
        <v>189.00000000002137</v>
      </c>
      <c r="DP4">
        <f>(BR5-Table2[[#This Row],[3F3 - PDB 4 - Dough Area]])*1000</f>
        <v>102.99999999998022</v>
      </c>
      <c r="DQ4">
        <f>AC5-Table2[[#This Row],[16F1 Tray washer Panel for Light]]</f>
        <v>652.47999999998137</v>
      </c>
      <c r="DR4">
        <f>CQ5-Table2[[#This Row],[2F1 Tray Washer - 1]]</f>
        <v>1118.7200000002049</v>
      </c>
      <c r="DS4">
        <f>CS5-Table2[[#This Row],[2F5 Destacker]]</f>
        <v>322.27199999999721</v>
      </c>
      <c r="DT4">
        <f>CU5-Table2[[#This Row],[5F1 Metering (TW-2)]]</f>
        <v>374.75400000001537</v>
      </c>
      <c r="DU4">
        <f>CV5-Table2[[#This Row],[6F1 Pre soaker Tray washer]]</f>
        <v>0</v>
      </c>
      <c r="DV4">
        <f>CZ5-Table2[[#This Row],[6F5 Vent tray Storage]]</f>
        <v>127.8179999999993</v>
      </c>
      <c r="DW4">
        <f>I5-Table2[[#This Row],[Popeyes Meter ]]</f>
        <v>70.470000000000255</v>
      </c>
      <c r="DX4">
        <f>AZ5-Table2[[#This Row],[2F WH Chiller, Segregation Area]]</f>
        <v>0</v>
      </c>
      <c r="DY4">
        <f>BA5-Table2[[#This Row],[3F1 AC Unit WH dock cooling - 2 Nos]]</f>
        <v>25.600000000000364</v>
      </c>
      <c r="DZ4">
        <f>BB5-Table2[[#This Row],[3F2 AC Unit WH dock cooling - 3 Nos]]</f>
        <v>5.4999999999999716E-2</v>
      </c>
      <c r="EA4">
        <f>(BK5-Table2[[#This Row],[5F WH Perishable]])*1000</f>
        <v>317.99999999998363</v>
      </c>
      <c r="EB4">
        <f>BN5-Table2[[#This Row],[2F3 - PDB 9 - WH Dock Leveler Door ]]</f>
        <v>1.6927999999998065</v>
      </c>
      <c r="EC4">
        <f>BP5-Table2[[#This Row],[3F1 - PDB 5 - WH HSD]]</f>
        <v>111.55199999996694</v>
      </c>
      <c r="ED4">
        <f>BX5-Table2[[#This Row],[8F1 WH Dock AHU - Ventilation]]</f>
        <v>0</v>
      </c>
      <c r="EE4">
        <f>BZ5-Table2[[#This Row],[8F3 ACPDB - 4 WH Dock air curtain]]</f>
        <v>18.959999999991851</v>
      </c>
      <c r="EF4">
        <f>CA5-Table2[[#This Row],[8F4 WH Light]]</f>
        <v>0</v>
      </c>
      <c r="EG4">
        <f>CC5-Table2[[#This Row],[9F1 - PDB 10 - WH Dock door &amp; Office]]</f>
        <v>138.50200000000768</v>
      </c>
      <c r="EH4">
        <f>CD5-Table2[[#This Row],[9F2 - PDB 11 - WH flycatchers]]</f>
        <v>233.63199999998324</v>
      </c>
      <c r="EI4">
        <f>CE5-Table2[[#This Row],[9F3 - PDB 12 - Other items]]</f>
        <v>0</v>
      </c>
      <c r="EJ4">
        <f>CR5-Table2[[#This Row],[2F3 - PDB 1 - Dock 1 to 4 ]]</f>
        <v>83.103999999992084</v>
      </c>
      <c r="EK4">
        <f>BM5-Table2[[#This Row],[2F2 - PDB 3 - WH Truck &amp; Battery Charging]]</f>
        <v>618.91200000001118</v>
      </c>
      <c r="EL4">
        <f>(CK5-Table2[[#This Row],[PDB - 11 Truck Charging]])*1000</f>
        <v>56.000000000011596</v>
      </c>
      <c r="EM4">
        <f>P5-Table2[[#This Row],[5F3 Admin Area]]</f>
        <v>419.13600000005681</v>
      </c>
      <c r="EN4">
        <f>AH5-Table2[[#This Row],[2F5 Main Gate-1 Piller -1]]</f>
        <v>153.23999999999069</v>
      </c>
      <c r="EO4">
        <f>CW5-Table2[[#This Row],[6F2 Ground Floor AC]]</f>
        <v>35.583999999995285</v>
      </c>
      <c r="EP4">
        <f>CX5-Table2[[#This Row],[6F3 ACBD -1 (First floor AC)]]</f>
        <v>24.531199999997625</v>
      </c>
      <c r="EQ4">
        <f>CY5-Table2[[#This Row],[6F4 ACBD - 2 (Second &amp; Third floor AC)]]</f>
        <v>143.11999999999534</v>
      </c>
      <c r="ER4">
        <f>(BC5-Table2[[#This Row],[4F Old BMC cooling Unit]])</f>
        <v>0.23199999998905696</v>
      </c>
      <c r="ES4">
        <f>BO5-Table2[[#This Row],[2F4 - Old BMC]]</f>
        <v>1.5999999995983671E-2</v>
      </c>
      <c r="ET4">
        <f>Y5-Table2[[#This Row],[14F2 New CK]]</f>
        <v>650.11999999987893</v>
      </c>
      <c r="EU4">
        <f>(CL5-Table2[[#This Row],[OLD Ck Panel-1]])*1000</f>
        <v>574.00000000006912</v>
      </c>
      <c r="EV4">
        <f>CM5-Table2[[#This Row],[2F4 Old CK Blast (Blue star)]]</f>
        <v>0</v>
      </c>
      <c r="EW4">
        <f>CN5-Table2[[#This Row],[3F6 Old CK Blast (Carrier)]]</f>
        <v>749.09999999999854</v>
      </c>
      <c r="EX4">
        <f>(CO5-Table2[[#This Row],[Old CK Panel -2]])*1000</f>
        <v>1056.00000000004</v>
      </c>
      <c r="EY4">
        <f>N5-Table2[[#This Row],[4F1 Main UPS 1/C -1]]</f>
        <v>886.55999999982305</v>
      </c>
      <c r="EZ4">
        <f>Z5-Table2[[#This Row],[15F1 Main UPS Panel - I/C - 2]]</f>
        <v>0</v>
      </c>
      <c r="FA4">
        <f>BF5-Table2[[#This Row],[2F CLC -1 AC unit - 2]]</f>
        <v>0</v>
      </c>
      <c r="FB4">
        <f>(BG5-Table2[[#This Row],[2F CLC Anti room]])*1000</f>
        <v>30.000000000001137</v>
      </c>
      <c r="FC4">
        <f>BW5-Table2[[#This Row],[7F3 CLC Power Panel]]</f>
        <v>250.23999999999069</v>
      </c>
      <c r="FD4">
        <f>(CI5-Table2[[#This Row],[PDB - 17 CLC Section ]])*1000</f>
        <v>176.00000000001614</v>
      </c>
      <c r="FE4">
        <f>(W5-Table2[[#This Row],[13F3 Water &amp; Lift Old CK]])*1000</f>
        <v>634.40000000014152</v>
      </c>
      <c r="FF4">
        <f>AA5-Table2[[#This Row],[15F2 New ETP Panel]]</f>
        <v>294.33600000001024</v>
      </c>
      <c r="FG4">
        <f>AL5-Table2[[#This Row],[3F4 Old ETP Panel]]</f>
        <v>57.704000000027008</v>
      </c>
      <c r="FH4">
        <f>AF5-Table2[[#This Row],[2F1 RO Plant]]</f>
        <v>604.35200000007171</v>
      </c>
      <c r="FI4">
        <f>AK5-Table2[[#This Row],[3F3 Fire Hydrant Panel]]</f>
        <v>11.152000000001863</v>
      </c>
      <c r="FJ4">
        <f>R5-Table2[[#This Row],[7F1 Freon System Panel]]</f>
        <v>3952.6399999996647</v>
      </c>
      <c r="FK4">
        <f>(AE5-Table2[[#This Row],[21F1 Refrigeration Ammonia]])*1000</f>
        <v>7523.9999999994325</v>
      </c>
      <c r="FL4">
        <f>(AG5-Table2[[#This Row],[2F3 Air Compressor]])*1000</f>
        <v>1032.9999999999018</v>
      </c>
      <c r="FM4">
        <f>(AX5-Table2[[#This Row],[Solar Reading Panel II]])*1000</f>
        <v>2849.9999999994543</v>
      </c>
      <c r="FN4">
        <f>AI5-Table2[[#This Row],[3F1 Maintenance Workshop]]</f>
        <v>6.438399999999092</v>
      </c>
      <c r="FO4">
        <f>BD5-Table2[[#This Row],[4F B2B unit ]]</f>
        <v>21.535999999963678</v>
      </c>
      <c r="FP4">
        <f>BL5-Table2[[#This Row],[2F1 - PDB 6 - Bread, B2B section]]</f>
        <v>2.5400000000081491</v>
      </c>
      <c r="FQ4">
        <f>(CG5-Table2[[#This Row],[9F5 - PDB 14 - Bread Lift]])</f>
        <v>0.28800000000046566</v>
      </c>
      <c r="FR4">
        <f>CJ5-Table2[[#This Row],[PDB - 16 Bread Section]]</f>
        <v>0</v>
      </c>
      <c r="FS4">
        <f>BU5-Table2[[#This Row],[7F1 Donut Production area]]</f>
        <v>231.48800000001211</v>
      </c>
      <c r="FT4">
        <f>CB5-Table2[[#This Row],[8F5 Donut Ban Bary]]</f>
        <v>77.711999999999534</v>
      </c>
      <c r="FU4">
        <f>CF5-Table2[[#This Row],[9F4 - PDB 13 - Donut Sink Geyser area]]</f>
        <v>16</v>
      </c>
      <c r="FV4">
        <f>BV5-Table2[[#This Row],[7F2 Flour Silo]]</f>
        <v>373.35999999998603</v>
      </c>
      <c r="FW4">
        <f>BY5-Table2[[#This Row],[8F2 ACPDB - 3 SILO Ventilation]]</f>
        <v>49.391999999992549</v>
      </c>
      <c r="FX4">
        <f>J5-Table2[[#This Row],[DG 1010KVA Running Hours]]</f>
        <v>0</v>
      </c>
      <c r="FY4">
        <f>K5-Table2[[#This Row],[DG 1010 KVA Meter Reading]]</f>
        <v>0</v>
      </c>
      <c r="FZ4">
        <f>L5-Table2[[#This Row],[GG 1010 KVA Running Hours]]</f>
        <v>0</v>
      </c>
      <c r="GA4">
        <f>M5-Table2[[#This Row],[GG 1010 KVA Meter Reading]]</f>
        <v>0</v>
      </c>
    </row>
    <row r="5" spans="1:183" x14ac:dyDescent="0.35">
      <c r="A5" s="1">
        <v>7</v>
      </c>
      <c r="B5" s="2">
        <v>46203.384236111102</v>
      </c>
      <c r="C5" s="2">
        <v>46203.412881944401</v>
      </c>
      <c r="D5" s="1" t="s">
        <v>111</v>
      </c>
      <c r="E5" s="1"/>
      <c r="F5" s="1"/>
      <c r="G5" s="3">
        <v>46203</v>
      </c>
      <c r="H5" s="1" t="s">
        <v>112</v>
      </c>
      <c r="I5" s="6">
        <v>5178.2120000000004</v>
      </c>
      <c r="J5" s="6">
        <v>4245.2</v>
      </c>
      <c r="K5" s="6">
        <v>1764267</v>
      </c>
      <c r="L5" s="6">
        <v>427</v>
      </c>
      <c r="M5" s="6">
        <v>177.61</v>
      </c>
      <c r="N5" s="6">
        <v>1837155.68</v>
      </c>
      <c r="O5" s="6">
        <v>4537246.4000000004</v>
      </c>
      <c r="P5" s="6">
        <v>632176.83200000005</v>
      </c>
      <c r="Q5" s="6">
        <v>7995491.2000000002</v>
      </c>
      <c r="R5" s="6">
        <v>5350298.5599999996</v>
      </c>
      <c r="S5" s="6">
        <v>7252523.5199999996</v>
      </c>
      <c r="T5" s="6">
        <v>42356561.044</v>
      </c>
      <c r="U5" s="6">
        <v>2060892.1599999999</v>
      </c>
      <c r="V5" s="6">
        <v>5059988.4800000004</v>
      </c>
      <c r="W5" s="6">
        <v>1570.3909000000001</v>
      </c>
      <c r="X5" s="6">
        <v>764332.99199999997</v>
      </c>
      <c r="Y5" s="6">
        <v>1051854.72</v>
      </c>
      <c r="Z5" s="6">
        <v>2777.8894</v>
      </c>
      <c r="AA5" s="6">
        <v>658722.88</v>
      </c>
      <c r="AB5" s="6">
        <v>420920.25599999999</v>
      </c>
      <c r="AC5" s="6">
        <v>2114079.52</v>
      </c>
      <c r="AD5" s="6">
        <v>235133.91</v>
      </c>
      <c r="AE5" s="6">
        <v>12562.6008</v>
      </c>
      <c r="AF5" s="6">
        <v>855283.52</v>
      </c>
      <c r="AG5" s="6">
        <v>1361.308</v>
      </c>
      <c r="AH5" s="6">
        <v>129171.96799999999</v>
      </c>
      <c r="AI5" s="6">
        <v>14445.1168</v>
      </c>
      <c r="AJ5" s="6">
        <v>145255.024</v>
      </c>
      <c r="AK5" s="6">
        <v>104847.36</v>
      </c>
      <c r="AL5" s="6">
        <v>328056.864</v>
      </c>
      <c r="AM5" s="6">
        <v>970.66399999999999</v>
      </c>
      <c r="AN5" s="6">
        <v>211.3</v>
      </c>
      <c r="AO5" s="6">
        <v>6.9</v>
      </c>
      <c r="AP5" s="6">
        <v>127729</v>
      </c>
      <c r="AQ5" s="6">
        <v>42271</v>
      </c>
      <c r="AR5" s="6">
        <v>41727</v>
      </c>
      <c r="AS5" s="6">
        <v>32307</v>
      </c>
      <c r="AT5" s="6">
        <v>22056</v>
      </c>
      <c r="AU5" s="6">
        <v>14808</v>
      </c>
      <c r="AV5" s="6">
        <v>5864</v>
      </c>
      <c r="AW5" s="6">
        <v>20.688365999999998</v>
      </c>
      <c r="AX5" s="50">
        <v>7145.7619999999997</v>
      </c>
      <c r="AY5" s="6">
        <v>674.3356</v>
      </c>
      <c r="AZ5" s="6">
        <v>20.788</v>
      </c>
      <c r="BA5" s="6">
        <v>9692.6869999999999</v>
      </c>
      <c r="BB5" s="6">
        <v>43.177999999999997</v>
      </c>
      <c r="BC5" s="6">
        <v>113969.48</v>
      </c>
      <c r="BD5" s="6">
        <v>274256.22399999999</v>
      </c>
      <c r="BE5" s="6">
        <v>3683.6435999999999</v>
      </c>
      <c r="BF5" s="6">
        <v>1712.0419999999999</v>
      </c>
      <c r="BG5" s="6">
        <v>74.006</v>
      </c>
      <c r="BH5" s="6">
        <v>352.75099999999998</v>
      </c>
      <c r="BI5" s="6">
        <v>898.93</v>
      </c>
      <c r="BJ5" s="6">
        <v>13.081</v>
      </c>
      <c r="BK5" s="6">
        <v>554.15300000000002</v>
      </c>
      <c r="BL5" s="6">
        <v>68103.884000000005</v>
      </c>
      <c r="BM5" s="6">
        <v>291943.45600000001</v>
      </c>
      <c r="BN5" s="6">
        <v>7103.4304000000002</v>
      </c>
      <c r="BO5" s="6">
        <v>53497.52</v>
      </c>
      <c r="BP5" s="6">
        <v>309755.58399999997</v>
      </c>
      <c r="BQ5" s="6">
        <v>318.20600000000002</v>
      </c>
      <c r="BR5" s="6">
        <v>177.34299999999999</v>
      </c>
      <c r="BS5" s="6">
        <v>976879.68799999997</v>
      </c>
      <c r="BT5" s="6">
        <v>1400454.263</v>
      </c>
      <c r="BU5" s="6">
        <v>621740.80000000005</v>
      </c>
      <c r="BV5" s="6">
        <v>1006912.48</v>
      </c>
      <c r="BW5" s="6">
        <v>560899.77599999995</v>
      </c>
      <c r="BX5" s="6">
        <v>910044.67200000002</v>
      </c>
      <c r="BY5" s="6">
        <v>156042.11199999999</v>
      </c>
      <c r="BZ5" s="6">
        <v>114046.04</v>
      </c>
      <c r="CA5" s="6">
        <v>0</v>
      </c>
      <c r="CB5" s="6">
        <v>106751.992</v>
      </c>
      <c r="CC5" s="6">
        <v>146601.446</v>
      </c>
      <c r="CD5" s="6">
        <v>440438.78399999999</v>
      </c>
      <c r="CE5" s="6">
        <v>49125.260799999996</v>
      </c>
      <c r="CF5" s="6">
        <v>155127.24799999999</v>
      </c>
      <c r="CG5" s="6">
        <v>360734.848</v>
      </c>
      <c r="CH5" s="6">
        <v>2385.87</v>
      </c>
      <c r="CI5" s="6">
        <v>209.459</v>
      </c>
      <c r="CJ5" s="6">
        <v>1165.4000000000001</v>
      </c>
      <c r="CK5" s="6">
        <v>76.424000000000007</v>
      </c>
      <c r="CL5" s="6">
        <v>716.07500000000005</v>
      </c>
      <c r="CM5" s="6">
        <v>551.4</v>
      </c>
      <c r="CN5" s="6">
        <v>31457.1</v>
      </c>
      <c r="CO5" s="6">
        <v>1619.752</v>
      </c>
      <c r="CP5" s="6">
        <v>289238.86499999999</v>
      </c>
      <c r="CQ5" s="6">
        <v>3645166.08</v>
      </c>
      <c r="CR5" s="6">
        <v>128853.83199999999</v>
      </c>
      <c r="CS5" s="6">
        <v>503450.592</v>
      </c>
      <c r="CT5" s="6">
        <v>2822474.3229999999</v>
      </c>
      <c r="CU5" s="6">
        <v>289613.28700000001</v>
      </c>
      <c r="CV5" s="6">
        <v>30102.2624</v>
      </c>
      <c r="CW5" s="6">
        <v>61936.678399999997</v>
      </c>
      <c r="CX5" s="6">
        <v>33075.763200000001</v>
      </c>
      <c r="CY5" s="6">
        <v>163711.88800000001</v>
      </c>
      <c r="CZ5" s="6">
        <v>215542.304</v>
      </c>
      <c r="DA5" s="6">
        <v>17578.54</v>
      </c>
      <c r="DB5" s="6">
        <v>146853.179</v>
      </c>
      <c r="DC5" s="6">
        <v>2833.64</v>
      </c>
      <c r="DD5" s="6">
        <v>2833.51</v>
      </c>
      <c r="DE5" s="6">
        <v>2855.67</v>
      </c>
      <c r="DF5" s="6">
        <v>0.995</v>
      </c>
      <c r="DG5" s="1" t="s">
        <v>113</v>
      </c>
      <c r="DH5" s="4">
        <f>Table2[[#This Row],[Date]]</f>
        <v>46203</v>
      </c>
      <c r="DI5">
        <f>(DD6-Table2[[#This Row],[MWH Total]])*4000</f>
        <v>24519.999999998618</v>
      </c>
      <c r="DJ5">
        <f>(DA6-Table2[[#This Row],[PNG Meter (Outside)]])*2.936</f>
        <v>1.1743999999935912</v>
      </c>
      <c r="DK5">
        <f>(DB6-Table2[[#This Row],[PNG Meter (Inside)]])*2.936</f>
        <v>262.54299199997467</v>
      </c>
      <c r="DL5">
        <f>(BH6-Table2[[#This Row],[3F Dough cooler - 2 ]])*1000</f>
        <v>314.00000000002137</v>
      </c>
      <c r="DM5">
        <f>(BI6-Table2[[#This Row],[3F Dough Cooler- 1]])*1000</f>
        <v>487.00000000008004</v>
      </c>
      <c r="DN5">
        <f>(BJ6-Table2[[#This Row],[4F Dough Production cooling Unit]])*1000</f>
        <v>25.000000000000355</v>
      </c>
      <c r="DO5">
        <f>(BQ6-Table2[[#This Row],[3F2 - PDB 3 - Dough Production Area]])*1000</f>
        <v>185.99999999997863</v>
      </c>
      <c r="DP5">
        <f>(BR6-Table2[[#This Row],[3F3 - PDB 4 - Dough Area]])*1000</f>
        <v>98.000000000013188</v>
      </c>
      <c r="DQ5">
        <f>AC6-Table2[[#This Row],[16F1 Tray washer Panel for Light]]</f>
        <v>674.72000000020489</v>
      </c>
      <c r="DR5">
        <f>CQ6-Table2[[#This Row],[2F1 Tray Washer - 1]]</f>
        <v>1118.7199999997392</v>
      </c>
      <c r="DS5">
        <f>CS6-Table2[[#This Row],[2F5 Destacker]]</f>
        <v>319.48800000001211</v>
      </c>
      <c r="DT5">
        <f>CU6-Table2[[#This Row],[5F1 Metering (TW-2)]]</f>
        <v>366.27199999999721</v>
      </c>
      <c r="DU5">
        <f>CV6-Table2[[#This Row],[6F1 Pre soaker Tray washer]]</f>
        <v>3.8048000000017055</v>
      </c>
      <c r="DV5">
        <f>CZ6-Table2[[#This Row],[6F5 Vent tray Storage]]</f>
        <v>110</v>
      </c>
      <c r="DW5">
        <f>I6-Table2[[#This Row],[Popeyes Meter ]]</f>
        <v>37.309999999999491</v>
      </c>
      <c r="DX5">
        <f>AZ6-Table2[[#This Row],[2F WH Chiller, Segregation Area]]</f>
        <v>0</v>
      </c>
      <c r="DY5">
        <f>BA6-Table2[[#This Row],[3F1 AC Unit WH dock cooling - 2 Nos]]</f>
        <v>25.559999999999491</v>
      </c>
      <c r="DZ5">
        <f>BB6-Table2[[#This Row],[3F2 AC Unit WH dock cooling - 3 Nos]]</f>
        <v>5.6000000000004491E-2</v>
      </c>
      <c r="EA5">
        <f>(BK6-Table2[[#This Row],[5F WH Perishable]])*1000</f>
        <v>316.00000000003092</v>
      </c>
      <c r="EB5">
        <f>BN6-Table2[[#This Row],[2F3 - PDB 9 - WH Dock Leveler Door ]]</f>
        <v>1.8999999999996362</v>
      </c>
      <c r="EC5">
        <f>BP6-Table2[[#This Row],[3F1 - PDB 5 - WH HSD]]</f>
        <v>150.49600000004284</v>
      </c>
      <c r="ED5">
        <f>BX6-Table2[[#This Row],[8F1 WH Dock AHU - Ventilation]]</f>
        <v>5315.5840000000317</v>
      </c>
      <c r="EE5">
        <f>BZ6-Table2[[#This Row],[8F3 ACPDB - 4 WH Dock air curtain]]</f>
        <v>18.912000000011176</v>
      </c>
      <c r="EF5">
        <f>CA6-Table2[[#This Row],[8F4 WH Light]]</f>
        <v>1154.0123000000001</v>
      </c>
      <c r="EG5">
        <f>CC6-Table2[[#This Row],[9F1 - PDB 10 - WH Dock door &amp; Office]]</f>
        <v>131.06599999999162</v>
      </c>
      <c r="EH5">
        <f>CD6-Table2[[#This Row],[9F2 - PDB 11 - WH flycatchers]]</f>
        <v>171.67999999999302</v>
      </c>
      <c r="EI5">
        <f>CE6-Table2[[#This Row],[9F3 - PDB 12 - Other items]]</f>
        <v>0</v>
      </c>
      <c r="EJ5">
        <f>CR6-Table2[[#This Row],[2F3 - PDB 1 - Dock 1 to 4 ]]</f>
        <v>76.00800000000163</v>
      </c>
      <c r="EK5">
        <f>BM6-Table2[[#This Row],[2F2 - PDB 3 - WH Truck &amp; Battery Charging]]</f>
        <v>816.03200000000652</v>
      </c>
      <c r="EL5">
        <f>(CK6-Table2[[#This Row],[PDB - 11 Truck Charging]])*1000</f>
        <v>50.999999999987722</v>
      </c>
      <c r="EM5">
        <f>P6-Table2[[#This Row],[5F3 Admin Area]]</f>
        <v>413.0559999999823</v>
      </c>
      <c r="EN5">
        <f>AH6-Table2[[#This Row],[2F5 Main Gate-1 Piller -1]]</f>
        <v>152.3920000000071</v>
      </c>
      <c r="EO5">
        <f>CW6-Table2[[#This Row],[6F2 Ground Floor AC]]</f>
        <v>35.718400000005204</v>
      </c>
      <c r="EP5">
        <f>CX6-Table2[[#This Row],[6F3 ACBD -1 (First floor AC)]]</f>
        <v>24.288000000000466</v>
      </c>
      <c r="EQ5">
        <f>CY6-Table2[[#This Row],[6F4 ACBD - 2 (Second &amp; Third floor AC)]]</f>
        <v>152.06500000000233</v>
      </c>
      <c r="ER5">
        <f>(BC6-Table2[[#This Row],[4F Old BMC cooling Unit]])</f>
        <v>1.5599999999976717</v>
      </c>
      <c r="ES5">
        <f>BO6-Table2[[#This Row],[2F4 - Old BMC]]</f>
        <v>0.36800000000221189</v>
      </c>
      <c r="ET5">
        <f>Y6-Table2[[#This Row],[14F2 New CK]]</f>
        <v>612.56000000005588</v>
      </c>
      <c r="EU5">
        <f>(CL6-Table2[[#This Row],[OLD Ck Panel-1]])*1000</f>
        <v>623.99999999990996</v>
      </c>
      <c r="EV5">
        <f>CM6-Table2[[#This Row],[2F4 Old CK Blast (Blue star)]]</f>
        <v>0</v>
      </c>
      <c r="EW5">
        <f>CN6-Table2[[#This Row],[3F6 Old CK Blast (Carrier)]]</f>
        <v>30</v>
      </c>
      <c r="EX5">
        <f>(CO6-Table2[[#This Row],[Old CK Panel -2]])*1000</f>
        <v>1009.9999999999909</v>
      </c>
      <c r="EY5">
        <f>N6-Table2[[#This Row],[4F1 Main UPS 1/C -1]]</f>
        <v>876.47999999998137</v>
      </c>
      <c r="EZ5">
        <f>Z6-Table2[[#This Row],[15F1 Main UPS Panel - I/C - 2]]</f>
        <v>0</v>
      </c>
      <c r="FA5">
        <f>BF6-Table2[[#This Row],[2F CLC -1 AC unit - 2]]</f>
        <v>0</v>
      </c>
      <c r="FB5">
        <f>(BG6-Table2[[#This Row],[2F CLC Anti room]])*1000</f>
        <v>24.000000000000909</v>
      </c>
      <c r="FC5">
        <f>BW6-Table2[[#This Row],[7F3 CLC Power Panel]]</f>
        <v>216.76800000004005</v>
      </c>
      <c r="FD5">
        <f>(CI6-Table2[[#This Row],[PDB - 17 CLC Section ]])*1000</f>
        <v>151.00000000001046</v>
      </c>
      <c r="FE5">
        <f>(W6-Table2[[#This Row],[13F3 Water &amp; Lift Old CK]])*1000</f>
        <v>445.89999999993779</v>
      </c>
      <c r="FF5">
        <f>AA6-Table2[[#This Row],[15F2 New ETP Panel]]</f>
        <v>287.48800000001211</v>
      </c>
      <c r="FG5">
        <f>AL6-Table2[[#This Row],[3F4 Old ETP Panel]]</f>
        <v>70.368000000016764</v>
      </c>
      <c r="FH5">
        <f>AF6-Table2[[#This Row],[2F1 RO Plant]]</f>
        <v>641.72800000000279</v>
      </c>
      <c r="FI5">
        <f>AK6-Table2[[#This Row],[3F3 Fire Hydrant Panel]]</f>
        <v>11.168000000005122</v>
      </c>
      <c r="FJ5">
        <f>R6-Table2[[#This Row],[7F1 Freon System Panel]]</f>
        <v>4060.8000000007451</v>
      </c>
      <c r="FK5">
        <f>(AE6-Table2[[#This Row],[21F1 Refrigeration Ammonia]])*1000</f>
        <v>7995.1999999993859</v>
      </c>
      <c r="FL5">
        <f>(AG6-Table2[[#This Row],[2F3 Air Compressor]])*1000</f>
        <v>1041.9999999999163</v>
      </c>
      <c r="FM5">
        <f>(AX6-Table2[[#This Row],[Solar Reading Panel II]])*1000</f>
        <v>2550.0000000001819</v>
      </c>
      <c r="FN5">
        <f>AI6-Table2[[#This Row],[3F1 Maintenance Workshop]]</f>
        <v>6.5727999999999156</v>
      </c>
      <c r="FO5">
        <f>BD6-Table2[[#This Row],[4F B2B unit ]]</f>
        <v>50.048000000009779</v>
      </c>
      <c r="FP5">
        <f>BL6-Table2[[#This Row],[2F1 - PDB 6 - Bread, B2B section]]</f>
        <v>25.517599999991944</v>
      </c>
      <c r="FQ5">
        <f>(CG6-Table2[[#This Row],[9F5 - PDB 14 - Bread Lift]])</f>
        <v>4.1599999999743886</v>
      </c>
      <c r="FR5">
        <f>CJ6-Table2[[#This Row],[PDB - 16 Bread Section]]</f>
        <v>0</v>
      </c>
      <c r="FS5">
        <f>BU6-Table2[[#This Row],[7F1 Donut Production area]]</f>
        <v>217.72800000000279</v>
      </c>
      <c r="FT5">
        <f>CB6-Table2[[#This Row],[8F5 Donut Ban Bary]]</f>
        <v>58.968000000008033</v>
      </c>
      <c r="FU5">
        <f>CF6-Table2[[#This Row],[9F4 - PDB 13 - Donut Sink Geyser area]]</f>
        <v>14.224000000016531</v>
      </c>
      <c r="FV5">
        <f>BV6-Table2[[#This Row],[7F2 Flour Silo]]</f>
        <v>380</v>
      </c>
      <c r="FW5">
        <f>BY6-Table2[[#This Row],[8F2 ACPDB - 3 SILO Ventilation]]</f>
        <v>49.312000000005355</v>
      </c>
      <c r="FX5">
        <f>J6-Table2[[#This Row],[DG 1010KVA Running Hours]]</f>
        <v>0</v>
      </c>
      <c r="FY5">
        <f>K6-Table2[[#This Row],[DG 1010 KVA Meter Reading]]</f>
        <v>0</v>
      </c>
      <c r="FZ5">
        <f>L6-Table2[[#This Row],[GG 1010 KVA Running Hours]]</f>
        <v>0</v>
      </c>
      <c r="GA5">
        <f>M6-Table2[[#This Row],[GG 1010 KVA Meter Reading]]</f>
        <v>0</v>
      </c>
    </row>
    <row r="6" spans="1:183" x14ac:dyDescent="0.35">
      <c r="A6" s="1">
        <v>8</v>
      </c>
      <c r="B6" s="2">
        <v>46204.385613425897</v>
      </c>
      <c r="C6" s="2">
        <v>46204.407662037003</v>
      </c>
      <c r="D6" s="1" t="s">
        <v>111</v>
      </c>
      <c r="E6" s="1"/>
      <c r="F6" s="1"/>
      <c r="G6" s="3">
        <v>46204</v>
      </c>
      <c r="H6" s="1" t="s">
        <v>112</v>
      </c>
      <c r="I6" s="6">
        <v>5215.5219999999999</v>
      </c>
      <c r="J6" s="6">
        <v>4245.2</v>
      </c>
      <c r="K6" s="6">
        <v>1764267</v>
      </c>
      <c r="L6" s="6">
        <v>427</v>
      </c>
      <c r="M6" s="6">
        <v>177.61</v>
      </c>
      <c r="N6" s="6">
        <v>1838032.16</v>
      </c>
      <c r="O6" s="6">
        <v>4539050.88</v>
      </c>
      <c r="P6" s="6">
        <v>632589.88800000004</v>
      </c>
      <c r="Q6" s="6">
        <v>7997456.6399999997</v>
      </c>
      <c r="R6" s="6">
        <v>5354359.3600000003</v>
      </c>
      <c r="S6" s="6">
        <v>7255693.4400000004</v>
      </c>
      <c r="T6" s="6">
        <v>370296.353</v>
      </c>
      <c r="U6" s="6">
        <v>2062242.72</v>
      </c>
      <c r="V6" s="6">
        <v>5061232</v>
      </c>
      <c r="W6" s="6">
        <v>1570.8368</v>
      </c>
      <c r="X6" s="6">
        <v>764700.41599999997</v>
      </c>
      <c r="Y6" s="6">
        <v>1052467.28</v>
      </c>
      <c r="Z6" s="6">
        <v>2777.8894</v>
      </c>
      <c r="AA6" s="6">
        <v>659010.36800000002</v>
      </c>
      <c r="AB6" s="6">
        <v>420931.00799999997</v>
      </c>
      <c r="AC6" s="6">
        <v>2114754.2400000002</v>
      </c>
      <c r="AD6" s="6">
        <v>2359852.7200000002</v>
      </c>
      <c r="AE6" s="6">
        <v>12570.596</v>
      </c>
      <c r="AF6" s="6">
        <v>855925.24800000002</v>
      </c>
      <c r="AG6" s="6">
        <v>1362.35</v>
      </c>
      <c r="AH6" s="6">
        <v>129324.36</v>
      </c>
      <c r="AI6" s="6">
        <v>14451.6896</v>
      </c>
      <c r="AJ6" s="6">
        <v>145259.40900000001</v>
      </c>
      <c r="AK6" s="6">
        <v>104858.52800000001</v>
      </c>
      <c r="AL6" s="6">
        <v>328127.23200000002</v>
      </c>
      <c r="AM6" s="6">
        <v>971.44899999999996</v>
      </c>
      <c r="AN6" s="6">
        <v>195.1</v>
      </c>
      <c r="AO6" s="6">
        <v>6.8</v>
      </c>
      <c r="AP6" s="6">
        <v>137055</v>
      </c>
      <c r="AQ6" s="6">
        <v>42271</v>
      </c>
      <c r="AR6" s="6">
        <v>41726</v>
      </c>
      <c r="AS6" s="6">
        <v>32307</v>
      </c>
      <c r="AT6" s="6">
        <v>22056</v>
      </c>
      <c r="AU6" s="6">
        <v>14832</v>
      </c>
      <c r="AV6" s="6">
        <v>5881</v>
      </c>
      <c r="AW6" s="6">
        <v>20.696202</v>
      </c>
      <c r="AX6" s="50">
        <v>7148.3119999999999</v>
      </c>
      <c r="AY6" s="6">
        <v>674.49032</v>
      </c>
      <c r="AZ6" s="6">
        <v>20.788</v>
      </c>
      <c r="BA6" s="6">
        <v>9718.2469999999994</v>
      </c>
      <c r="BB6" s="6">
        <v>43.234000000000002</v>
      </c>
      <c r="BC6" s="6">
        <v>113971.04</v>
      </c>
      <c r="BD6" s="6">
        <v>274306.272</v>
      </c>
      <c r="BE6" s="6">
        <v>3684.7271999999998</v>
      </c>
      <c r="BF6" s="6">
        <v>1712.0419999999999</v>
      </c>
      <c r="BG6" s="6">
        <v>74.03</v>
      </c>
      <c r="BH6" s="6">
        <v>353.065</v>
      </c>
      <c r="BI6" s="6">
        <v>899.41700000000003</v>
      </c>
      <c r="BJ6" s="6">
        <v>13.106</v>
      </c>
      <c r="BK6" s="6">
        <v>554.46900000000005</v>
      </c>
      <c r="BL6" s="6">
        <v>68129.401599999997</v>
      </c>
      <c r="BM6" s="6">
        <v>292759.48800000001</v>
      </c>
      <c r="BN6" s="6">
        <v>7105.3303999999998</v>
      </c>
      <c r="BO6" s="6">
        <v>53497.887999999999</v>
      </c>
      <c r="BP6" s="6">
        <v>309906.08</v>
      </c>
      <c r="BQ6" s="6">
        <v>318.392</v>
      </c>
      <c r="BR6" s="6">
        <v>177.441</v>
      </c>
      <c r="BS6" s="6">
        <v>9721753.8819999993</v>
      </c>
      <c r="BT6" s="6">
        <v>1400455.7</v>
      </c>
      <c r="BU6" s="6">
        <v>621958.52800000005</v>
      </c>
      <c r="BV6" s="6">
        <v>1007292.48</v>
      </c>
      <c r="BW6" s="6">
        <v>561116.54399999999</v>
      </c>
      <c r="BX6" s="6">
        <v>915360.25600000005</v>
      </c>
      <c r="BY6" s="6">
        <v>156091.424</v>
      </c>
      <c r="BZ6" s="6">
        <v>114064.952</v>
      </c>
      <c r="CA6" s="6">
        <v>1154.0123000000001</v>
      </c>
      <c r="CB6" s="6">
        <v>106810.96</v>
      </c>
      <c r="CC6" s="6">
        <v>146732.51199999999</v>
      </c>
      <c r="CD6" s="6">
        <v>440610.46399999998</v>
      </c>
      <c r="CE6" s="6">
        <v>49125.260799999996</v>
      </c>
      <c r="CF6" s="6">
        <v>155141.47200000001</v>
      </c>
      <c r="CG6" s="6">
        <v>360739.00799999997</v>
      </c>
      <c r="CH6" s="6">
        <v>2385.8710000000001</v>
      </c>
      <c r="CI6" s="6">
        <v>209.61</v>
      </c>
      <c r="CJ6" s="6">
        <v>1165.4000000000001</v>
      </c>
      <c r="CK6" s="6">
        <v>76.474999999999994</v>
      </c>
      <c r="CL6" s="6">
        <v>716.69899999999996</v>
      </c>
      <c r="CM6" s="6">
        <v>551.4</v>
      </c>
      <c r="CN6" s="6">
        <v>31487.1</v>
      </c>
      <c r="CO6" s="6">
        <v>1620.7619999999999</v>
      </c>
      <c r="CP6" s="6">
        <v>289406.06</v>
      </c>
      <c r="CQ6" s="6">
        <v>3646284.8</v>
      </c>
      <c r="CR6" s="6">
        <v>128929.84</v>
      </c>
      <c r="CS6" s="6">
        <v>503770.08</v>
      </c>
      <c r="CT6" s="6">
        <v>2825657.7760000001</v>
      </c>
      <c r="CU6" s="6">
        <v>289979.55900000001</v>
      </c>
      <c r="CV6" s="6">
        <v>30106.067200000001</v>
      </c>
      <c r="CW6" s="6">
        <v>61972.396800000002</v>
      </c>
      <c r="CX6" s="6">
        <v>33100.051200000002</v>
      </c>
      <c r="CY6" s="6">
        <v>163863.95300000001</v>
      </c>
      <c r="CZ6" s="6">
        <v>215652.304</v>
      </c>
      <c r="DA6" s="6">
        <v>17578.939999999999</v>
      </c>
      <c r="DB6" s="6">
        <v>146942.601</v>
      </c>
      <c r="DC6" s="6">
        <v>2839.77</v>
      </c>
      <c r="DD6" s="6">
        <v>2839.64</v>
      </c>
      <c r="DE6" s="6">
        <v>2861.89</v>
      </c>
      <c r="DF6" s="6">
        <v>0.98899999999999999</v>
      </c>
      <c r="DG6" s="1" t="s">
        <v>113</v>
      </c>
      <c r="DH6" s="4">
        <f>Table2[[#This Row],[Date]]</f>
        <v>46204</v>
      </c>
      <c r="DI6">
        <f>(DD7-Table2[[#This Row],[MWH Total]])*4000</f>
        <v>24560.00000000131</v>
      </c>
      <c r="DJ6">
        <f>(DA7-Table2[[#This Row],[PNG Meter (Outside)]])*2.936</f>
        <v>1.468</v>
      </c>
      <c r="DK6">
        <f>(DB7-Table2[[#This Row],[PNG Meter (Inside)]])*2.936</f>
        <v>265.57588000004785</v>
      </c>
      <c r="DL6">
        <f>(BH7-Table2[[#This Row],[3F Dough cooler - 2 ]])*1000</f>
        <v>276.00000000001046</v>
      </c>
      <c r="DM6">
        <f>(BI7-Table2[[#This Row],[3F Dough Cooler- 1]])*1000</f>
        <v>491.9999999999618</v>
      </c>
      <c r="DN6">
        <f>(BJ7-Table2[[#This Row],[4F Dough Production cooling Unit]])*1000</f>
        <v>54.00000000000027</v>
      </c>
      <c r="DO6">
        <f>(BQ7-Table2[[#This Row],[3F2 - PDB 3 - Dough Production Area]])*1000</f>
        <v>250</v>
      </c>
      <c r="DP6">
        <f>(BR7-Table2[[#This Row],[3F3 - PDB 4 - Dough Area]])*1000</f>
        <v>128.99999999999068</v>
      </c>
      <c r="DQ6">
        <f>AC7-Table2[[#This Row],[16F1 Tray washer Panel for Light]]</f>
        <v>674.07999999960884</v>
      </c>
      <c r="DR6">
        <f>CQ7-Table2[[#This Row],[2F1 Tray Washer - 1]]</f>
        <v>1272</v>
      </c>
      <c r="DS6">
        <f>CS7-Table2[[#This Row],[2F5 Destacker]]</f>
        <v>387.8399999999674</v>
      </c>
      <c r="DT6">
        <f>CU7-Table2[[#This Row],[5F1 Metering (TW-2)]]</f>
        <v>245.34700000000885</v>
      </c>
      <c r="DU6">
        <f>CV7-Table2[[#This Row],[6F1 Pre soaker Tray washer]]</f>
        <v>2.3655999999973574</v>
      </c>
      <c r="DV6">
        <f>CZ7-Table2[[#This Row],[6F5 Vent tray Storage]]</f>
        <v>48.495999999984633</v>
      </c>
      <c r="DW6">
        <f>I7-Table2[[#This Row],[Popeyes Meter ]]</f>
        <v>68.960000000000036</v>
      </c>
      <c r="DX6">
        <f>AZ7-Table2[[#This Row],[2F WH Chiller, Segregation Area]]</f>
        <v>0</v>
      </c>
      <c r="DY6">
        <f>BA7-Table2[[#This Row],[3F1 AC Unit WH dock cooling - 2 Nos]]</f>
        <v>19.480000000001382</v>
      </c>
      <c r="DZ6">
        <f>BB7-Table2[[#This Row],[3F2 AC Unit WH dock cooling - 3 Nos]]</f>
        <v>4.9999999999997158E-2</v>
      </c>
      <c r="EA6">
        <f>(BK7-Table2[[#This Row],[5F WH Perishable]])*1000</f>
        <v>322.00000000000273</v>
      </c>
      <c r="EB6">
        <f>BN7-Table2[[#This Row],[2F3 - PDB 9 - WH Dock Leveler Door ]]</f>
        <v>2.0376000000005661</v>
      </c>
      <c r="EC6">
        <f>BP7-Table2[[#This Row],[3F1 - PDB 5 - WH HSD]]</f>
        <v>160.73599999997532</v>
      </c>
      <c r="ED6">
        <f>BX7-Table2[[#This Row],[8F1 WH Dock AHU - Ventilation]]</f>
        <v>3640.0639999998966</v>
      </c>
      <c r="EE6">
        <f>BZ7-Table2[[#This Row],[8F3 ACPDB - 4 WH Dock air curtain]]</f>
        <v>20.711999999999534</v>
      </c>
      <c r="EF6">
        <f>CA7-Table2[[#This Row],[8F4 WH Light]]</f>
        <v>2.8304999999998017</v>
      </c>
      <c r="EG6">
        <f>CC7-Table2[[#This Row],[9F1 - PDB 10 - WH Dock door &amp; Office]]</f>
        <v>106.67200000002049</v>
      </c>
      <c r="EH6">
        <f>CD7-Table2[[#This Row],[9F2 - PDB 11 - WH flycatchers]]</f>
        <v>184.99200000002747</v>
      </c>
      <c r="EI6">
        <f>CE7-Table2[[#This Row],[9F3 - PDB 12 - Other items]]</f>
        <v>0</v>
      </c>
      <c r="EJ6">
        <f>CR7-Table2[[#This Row],[2F3 - PDB 1 - Dock 1 to 4 ]]</f>
        <v>70.911999999996624</v>
      </c>
      <c r="EK6">
        <f>BM7-Table2[[#This Row],[2F2 - PDB 3 - WH Truck &amp; Battery Charging]]</f>
        <v>752.3520000000135</v>
      </c>
      <c r="EL6">
        <f>(CK7-Table2[[#This Row],[PDB - 11 Truck Charging]])*1000</f>
        <v>56.000000000011596</v>
      </c>
      <c r="EM6">
        <f>P7-Table2[[#This Row],[5F3 Admin Area]]</f>
        <v>376.1919999999227</v>
      </c>
      <c r="EN6">
        <f>AH7-Table2[[#This Row],[2F5 Main Gate-1 Piller -1]]</f>
        <v>150</v>
      </c>
      <c r="EO6">
        <f>CW7-Table2[[#This Row],[6F2 Ground Floor AC]]</f>
        <v>24.499199999998382</v>
      </c>
      <c r="EP6">
        <f>CX7-Table2[[#This Row],[6F3 ACBD -1 (First floor AC)]]</f>
        <v>16.387199999997392</v>
      </c>
      <c r="EQ6">
        <f>CY7-Table2[[#This Row],[6F4 ACBD - 2 (Second &amp; Third floor AC)]]</f>
        <v>114.47899999999208</v>
      </c>
      <c r="ER6">
        <f>(BC7-Table2[[#This Row],[4F Old BMC cooling Unit]])</f>
        <v>5.4720000000088476</v>
      </c>
      <c r="ES6">
        <f>BO7-Table2[[#This Row],[2F4 - Old BMC]]</f>
        <v>1.3340000000025611</v>
      </c>
      <c r="ET6">
        <f>Y7-Table2[[#This Row],[14F2 New CK]]</f>
        <v>717.5999999998603</v>
      </c>
      <c r="EU6">
        <f>(CL7-Table2[[#This Row],[OLD Ck Panel-1]])*1000</f>
        <v>417.00000000003001</v>
      </c>
      <c r="EV6">
        <f>CM7-Table2[[#This Row],[2F4 Old CK Blast (Blue star)]]</f>
        <v>0</v>
      </c>
      <c r="EW6">
        <f>CN7-Table2[[#This Row],[3F6 Old CK Blast (Carrier)]]</f>
        <v>0</v>
      </c>
      <c r="EX6">
        <f>(CO7-Table2[[#This Row],[Old CK Panel -2]])*1000</f>
        <v>1112.00000000008</v>
      </c>
      <c r="EY6">
        <f>N7-Table2[[#This Row],[4F1 Main UPS 1/C -1]]</f>
        <v>902.4000000001397</v>
      </c>
      <c r="EZ6">
        <f>Z7-Table2[[#This Row],[15F1 Main UPS Panel - I/C - 2]]</f>
        <v>0</v>
      </c>
      <c r="FA6">
        <f>BF7-Table2[[#This Row],[2F CLC -1 AC unit - 2]]</f>
        <v>0</v>
      </c>
      <c r="FB6">
        <f>(BG7-Table2[[#This Row],[2F CLC Anti room]])*1000</f>
        <v>31.000000000005912</v>
      </c>
      <c r="FC6">
        <f>BW7-Table2[[#This Row],[7F3 CLC Power Panel]]</f>
        <v>247.35999999998603</v>
      </c>
      <c r="FD6">
        <f>(CI7-Table2[[#This Row],[PDB - 17 CLC Section ]])*1000</f>
        <v>166.99999999997317</v>
      </c>
      <c r="FE6">
        <f>(W7-Table2[[#This Row],[13F3 Water &amp; Lift Old CK]])*1000</f>
        <v>305.39999999996326</v>
      </c>
      <c r="FF6">
        <f>AA7-Table2[[#This Row],[15F2 New ETP Panel]]</f>
        <v>279.35999999998603</v>
      </c>
      <c r="FG6">
        <f>AL7-Table2[[#This Row],[3F4 Old ETP Panel]]</f>
        <v>74.048000000009779</v>
      </c>
      <c r="FH6">
        <f>AF7-Table2[[#This Row],[2F1 RO Plant]]</f>
        <v>600.95999999996275</v>
      </c>
      <c r="FI6">
        <f>AK7-Table2[[#This Row],[3F3 Fire Hydrant Panel]]</f>
        <v>18.37599999998929</v>
      </c>
      <c r="FJ6">
        <f>R7-Table2[[#This Row],[7F1 Freon System Panel]]</f>
        <v>5363.519999999553</v>
      </c>
      <c r="FK6">
        <f>(AE7-Table2[[#This Row],[21F1 Refrigeration Ammonia]])*1000</f>
        <v>7549.6000000002823</v>
      </c>
      <c r="FL6">
        <f>(AG7-Table2[[#This Row],[2F3 Air Compressor]])*1000</f>
        <v>1518.0000000000291</v>
      </c>
      <c r="FM6">
        <f>(AX7-Table2[[#This Row],[Solar Reading Panel II]])*1000</f>
        <v>3680.000000000291</v>
      </c>
      <c r="FN6">
        <f>AI7-Table2[[#This Row],[3F1 Maintenance Workshop]]</f>
        <v>6.4367999999994936</v>
      </c>
      <c r="FO6">
        <f>BD7-Table2[[#This Row],[4F B2B unit ]]</f>
        <v>55.008000000030734</v>
      </c>
      <c r="FP6">
        <f>BL7-Table2[[#This Row],[2F1 - PDB 6 - Bread, B2B section]]</f>
        <v>28.767999999996391</v>
      </c>
      <c r="FQ6">
        <f>(CG7-Table2[[#This Row],[9F5 - PDB 14 - Bread Lift]])</f>
        <v>1.2864000000408851</v>
      </c>
      <c r="FR6">
        <f>CJ7-Table2[[#This Row],[PDB - 16 Bread Section]]</f>
        <v>0</v>
      </c>
      <c r="FS6">
        <f>BU7-Table2[[#This Row],[7F1 Donut Production area]]</f>
        <v>253.0559999999823</v>
      </c>
      <c r="FT6">
        <f>CB7-Table2[[#This Row],[8F5 Donut Ban Bary]]</f>
        <v>59.711999999999534</v>
      </c>
      <c r="FU6">
        <f>CF7-Table2[[#This Row],[9F4 - PDB 13 - Donut Sink Geyser area]]</f>
        <v>26.335999999981141</v>
      </c>
      <c r="FV6">
        <f>BV7-Table2[[#This Row],[7F2 Flour Silo]]</f>
        <v>371.52000000001863</v>
      </c>
      <c r="FW6">
        <f>BY7-Table2[[#This Row],[8F2 ACPDB - 3 SILO Ventilation]]</f>
        <v>49.823999999993248</v>
      </c>
      <c r="FX6">
        <f>J7-Table2[[#This Row],[DG 1010KVA Running Hours]]</f>
        <v>0.8000000000001819</v>
      </c>
      <c r="FY6">
        <f>K7-Table2[[#This Row],[DG 1010 KVA Meter Reading]]</f>
        <v>413</v>
      </c>
      <c r="FZ6">
        <f>L7-Table2[[#This Row],[GG 1010 KVA Running Hours]]</f>
        <v>1</v>
      </c>
      <c r="GA6">
        <f>M7-Table2[[#This Row],[GG 1010 KVA Meter Reading]]</f>
        <v>0.43999999999999773</v>
      </c>
    </row>
    <row r="7" spans="1:183" x14ac:dyDescent="0.35">
      <c r="A7" s="1">
        <v>9</v>
      </c>
      <c r="B7" s="2">
        <v>46205.404826388898</v>
      </c>
      <c r="C7" s="2">
        <v>46205.419525463003</v>
      </c>
      <c r="D7" s="1" t="s">
        <v>111</v>
      </c>
      <c r="E7" s="1"/>
      <c r="F7" s="1"/>
      <c r="G7" s="3">
        <v>46205</v>
      </c>
      <c r="H7" s="1" t="s">
        <v>112</v>
      </c>
      <c r="I7" s="6">
        <v>5284.482</v>
      </c>
      <c r="J7" s="6">
        <v>4246</v>
      </c>
      <c r="K7" s="6">
        <v>1764680</v>
      </c>
      <c r="L7" s="6">
        <v>428</v>
      </c>
      <c r="M7" s="6">
        <v>178.05</v>
      </c>
      <c r="N7" s="6">
        <v>1838934.56</v>
      </c>
      <c r="O7" s="6">
        <v>4541101.12</v>
      </c>
      <c r="P7" s="6">
        <v>632966.07999999996</v>
      </c>
      <c r="Q7" s="6">
        <v>7999699.8399999999</v>
      </c>
      <c r="R7" s="6">
        <v>5359722.88</v>
      </c>
      <c r="S7" s="6">
        <v>7259189.1200000001</v>
      </c>
      <c r="T7" s="6">
        <v>370296.353</v>
      </c>
      <c r="U7" s="6">
        <v>2063619.84</v>
      </c>
      <c r="V7" s="6">
        <v>5062514.5599999996</v>
      </c>
      <c r="W7" s="6">
        <v>1571.1422</v>
      </c>
      <c r="X7" s="6">
        <v>764943.93599999999</v>
      </c>
      <c r="Y7" s="6">
        <v>1053184.8799999999</v>
      </c>
      <c r="Z7" s="6">
        <v>2777.8894</v>
      </c>
      <c r="AA7" s="6">
        <v>659289.728</v>
      </c>
      <c r="AB7" s="6">
        <v>420939.136</v>
      </c>
      <c r="AC7" s="6">
        <v>2115428.3199999998</v>
      </c>
      <c r="AD7" s="6">
        <v>2368613.4130000002</v>
      </c>
      <c r="AE7" s="6">
        <v>12578.1456</v>
      </c>
      <c r="AF7" s="6">
        <v>856526.20799999998</v>
      </c>
      <c r="AG7" s="6">
        <v>1363.8679999999999</v>
      </c>
      <c r="AH7" s="6">
        <v>129474.36</v>
      </c>
      <c r="AI7" s="6">
        <v>14458.126399999999</v>
      </c>
      <c r="AJ7" s="6">
        <v>145263.66399999999</v>
      </c>
      <c r="AK7" s="6">
        <v>104876.90399999999</v>
      </c>
      <c r="AL7" s="6">
        <v>328201.28000000003</v>
      </c>
      <c r="AM7" s="6">
        <v>971.995</v>
      </c>
      <c r="AN7" s="6">
        <v>170.5</v>
      </c>
      <c r="AO7" s="6">
        <v>7.3</v>
      </c>
      <c r="AP7" s="6">
        <v>146786</v>
      </c>
      <c r="AQ7" s="6">
        <v>42271</v>
      </c>
      <c r="AR7" s="6">
        <v>41726</v>
      </c>
      <c r="AS7" s="6">
        <v>32307</v>
      </c>
      <c r="AT7" s="6">
        <v>22056</v>
      </c>
      <c r="AU7" s="6">
        <v>14857</v>
      </c>
      <c r="AV7" s="6">
        <v>5894</v>
      </c>
      <c r="AW7" s="6">
        <v>20.703544000000001</v>
      </c>
      <c r="AX7" s="50">
        <v>7151.9920000000002</v>
      </c>
      <c r="AY7" s="6">
        <v>674.62248</v>
      </c>
      <c r="AZ7" s="6">
        <v>20.788</v>
      </c>
      <c r="BA7" s="6">
        <v>9737.7270000000008</v>
      </c>
      <c r="BB7" s="6">
        <v>43.283999999999999</v>
      </c>
      <c r="BC7" s="6">
        <v>113976.512</v>
      </c>
      <c r="BD7" s="6">
        <v>274361.28000000003</v>
      </c>
      <c r="BE7" s="6">
        <v>3685.8335999999999</v>
      </c>
      <c r="BF7" s="6">
        <v>1712.0419999999999</v>
      </c>
      <c r="BG7" s="6">
        <v>74.061000000000007</v>
      </c>
      <c r="BH7" s="6">
        <v>353.34100000000001</v>
      </c>
      <c r="BI7" s="6">
        <v>899.90899999999999</v>
      </c>
      <c r="BJ7" s="6">
        <v>13.16</v>
      </c>
      <c r="BK7" s="6">
        <v>554.79100000000005</v>
      </c>
      <c r="BL7" s="6">
        <v>68158.169599999994</v>
      </c>
      <c r="BM7" s="6">
        <v>293511.84000000003</v>
      </c>
      <c r="BN7" s="6">
        <v>7107.3680000000004</v>
      </c>
      <c r="BO7" s="6">
        <v>53499.222000000002</v>
      </c>
      <c r="BP7" s="6">
        <v>310066.81599999999</v>
      </c>
      <c r="BQ7" s="6">
        <v>318.642</v>
      </c>
      <c r="BR7" s="6">
        <v>177.57</v>
      </c>
      <c r="BS7" s="6">
        <v>973536.21</v>
      </c>
      <c r="BT7" s="6">
        <v>1400462.3189999999</v>
      </c>
      <c r="BU7" s="6">
        <v>622211.58400000003</v>
      </c>
      <c r="BV7" s="6">
        <v>1007664</v>
      </c>
      <c r="BW7" s="6">
        <v>561363.90399999998</v>
      </c>
      <c r="BX7" s="6">
        <v>919000.32</v>
      </c>
      <c r="BY7" s="6">
        <v>156141.24799999999</v>
      </c>
      <c r="BZ7" s="6">
        <v>114085.664</v>
      </c>
      <c r="CA7" s="6">
        <v>1156.8427999999999</v>
      </c>
      <c r="CB7" s="6">
        <v>106870.67200000001</v>
      </c>
      <c r="CC7" s="6">
        <v>146839.18400000001</v>
      </c>
      <c r="CD7" s="6">
        <v>440795.45600000001</v>
      </c>
      <c r="CE7" s="6">
        <v>49125.260799999996</v>
      </c>
      <c r="CF7" s="6">
        <v>155167.80799999999</v>
      </c>
      <c r="CG7" s="48">
        <v>360740.29440000001</v>
      </c>
      <c r="CH7" s="6">
        <v>2385.8710000000001</v>
      </c>
      <c r="CI7" s="6">
        <v>209.77699999999999</v>
      </c>
      <c r="CJ7" s="6">
        <v>1165.4000000000001</v>
      </c>
      <c r="CK7" s="6">
        <v>76.531000000000006</v>
      </c>
      <c r="CL7" s="6">
        <v>717.11599999999999</v>
      </c>
      <c r="CM7" s="6">
        <v>551.4</v>
      </c>
      <c r="CN7" s="6">
        <v>31487.1</v>
      </c>
      <c r="CO7" s="6">
        <v>1621.874</v>
      </c>
      <c r="CP7" s="6">
        <v>289607.09999999998</v>
      </c>
      <c r="CQ7" s="6">
        <v>3647556.8</v>
      </c>
      <c r="CR7" s="6">
        <v>129000.75199999999</v>
      </c>
      <c r="CS7" s="6">
        <v>504157.92</v>
      </c>
      <c r="CT7" s="6">
        <v>2829247.9309999999</v>
      </c>
      <c r="CU7" s="6">
        <v>290224.90600000002</v>
      </c>
      <c r="CV7" s="6">
        <v>30108.432799999999</v>
      </c>
      <c r="CW7" s="6">
        <v>61996.896000000001</v>
      </c>
      <c r="CX7" s="6">
        <v>33116.438399999999</v>
      </c>
      <c r="CY7" s="6">
        <v>163978.432</v>
      </c>
      <c r="CZ7" s="6">
        <v>215700.8</v>
      </c>
      <c r="DA7" s="6">
        <v>17579.439999999999</v>
      </c>
      <c r="DB7" s="6">
        <v>147033.05600000001</v>
      </c>
      <c r="DC7" s="6">
        <v>2845.91</v>
      </c>
      <c r="DD7" s="6">
        <v>2845.78</v>
      </c>
      <c r="DE7" s="6">
        <v>2868.18</v>
      </c>
      <c r="DF7" s="6">
        <v>0.99099999999999999</v>
      </c>
      <c r="DG7" s="1" t="s">
        <v>176</v>
      </c>
      <c r="DH7" s="4">
        <f>Table2[[#This Row],[Date]]</f>
        <v>46205</v>
      </c>
      <c r="DI7">
        <f>(DD8-Table2[[#This Row],[MWH Total]])*4000</f>
        <v>24799.999999999272</v>
      </c>
      <c r="DJ7">
        <f>(DA8-Table2[[#This Row],[PNG Meter (Outside)]])*2.936</f>
        <v>122.84224000000043</v>
      </c>
      <c r="DK7">
        <f>(DB8-Table2[[#This Row],[PNG Meter (Inside)]])*2.936</f>
        <v>498.18928799997059</v>
      </c>
      <c r="DL7">
        <f>(BH8-Table2[[#This Row],[3F Dough cooler - 2 ]])*1000</f>
        <v>421.99999999996862</v>
      </c>
      <c r="DM7">
        <f>(BI8-Table2[[#This Row],[3F Dough Cooler- 1]])*1000</f>
        <v>616.9999999999618</v>
      </c>
      <c r="DN7">
        <f>(BJ8-Table2[[#This Row],[4F Dough Production cooling Unit]])*1000</f>
        <v>76.999999999999957</v>
      </c>
      <c r="DO7">
        <f>(BQ8-Table2[[#This Row],[3F2 - PDB 3 - Dough Production Area]])*1000</f>
        <v>336.00000000001273</v>
      </c>
      <c r="DP7">
        <f>(BR8-Table2[[#This Row],[3F3 - PDB 4 - Dough Area]])*1000</f>
        <v>171.00000000002069</v>
      </c>
      <c r="DQ7">
        <f>AC8-Table2[[#This Row],[16F1 Tray washer Panel for Light]]</f>
        <v>836.64000000013039</v>
      </c>
      <c r="DR7">
        <f>CQ8-Table2[[#This Row],[2F1 Tray Washer - 1]]</f>
        <v>1577.6000000000931</v>
      </c>
      <c r="DS7">
        <f>CS8-Table2[[#This Row],[2F5 Destacker]]</f>
        <v>467.2960000000312</v>
      </c>
      <c r="DT7">
        <f>CU8-Table2[[#This Row],[5F1 Metering (TW-2)]]</f>
        <v>444.65799999999581</v>
      </c>
      <c r="DU7">
        <f>CV8-Table2[[#This Row],[6F1 Pre soaker Tray washer]]</f>
        <v>4.2551999999996042</v>
      </c>
      <c r="DV7">
        <f>CZ8-Table2[[#This Row],[6F5 Vent tray Storage]]</f>
        <v>153.96800000002258</v>
      </c>
      <c r="DW7">
        <f>I8-Table2[[#This Row],[Popeyes Meter ]]</f>
        <v>54.010000000000218</v>
      </c>
      <c r="DX7">
        <f>AZ8-Table2[[#This Row],[2F WH Chiller, Segregation Area]]</f>
        <v>0</v>
      </c>
      <c r="DY7">
        <f>BA8-Table2[[#This Row],[3F1 AC Unit WH dock cooling - 2 Nos]]</f>
        <v>24.219999999999345</v>
      </c>
      <c r="DZ7">
        <f>BB8-Table2[[#This Row],[3F2 AC Unit WH dock cooling - 3 Nos]]</f>
        <v>5.4999999999999716E-2</v>
      </c>
      <c r="EA7">
        <f>(BK8-Table2[[#This Row],[5F WH Perishable]])*1000</f>
        <v>399.99999999997726</v>
      </c>
      <c r="EB7">
        <f>BN8-Table2[[#This Row],[2F3 - PDB 9 - WH Dock Leveler Door ]]</f>
        <v>3.2895999999991545</v>
      </c>
      <c r="EC7">
        <f>BP8-Table2[[#This Row],[3F1 - PDB 5 - WH HSD]]</f>
        <v>201.08799999998882</v>
      </c>
      <c r="ED7">
        <f>BX8-Table2[[#This Row],[8F1 WH Dock AHU - Ventilation]]</f>
        <v>4522.816000000108</v>
      </c>
      <c r="EE7">
        <f>BZ8-Table2[[#This Row],[8F3 ACPDB - 4 WH Dock air curtain]]</f>
        <v>24.159999999988941</v>
      </c>
      <c r="EF7">
        <f>CA8-Table2[[#This Row],[8F4 WH Light]]</f>
        <v>3.5307000000000244</v>
      </c>
      <c r="EG7">
        <f>CC8-Table2[[#This Row],[9F1 - PDB 10 - WH Dock door &amp; Office]]</f>
        <v>133.88799999997718</v>
      </c>
      <c r="EH7">
        <f>CD8-Table2[[#This Row],[9F2 - PDB 11 - WH flycatchers]]</f>
        <v>285.88799999997718</v>
      </c>
      <c r="EI7">
        <f>CE8-Table2[[#This Row],[9F3 - PDB 12 - Other items]]</f>
        <v>0</v>
      </c>
      <c r="EJ7">
        <f>CR8-Table2[[#This Row],[2F3 - PDB 1 - Dock 1 to 4 ]]</f>
        <v>93.720000000001164</v>
      </c>
      <c r="EK7">
        <f>BM8-Table2[[#This Row],[2F2 - PDB 3 - WH Truck &amp; Battery Charging]]</f>
        <v>610.07999999995809</v>
      </c>
      <c r="EL7">
        <f>(CK8-Table2[[#This Row],[PDB - 11 Truck Charging]])*1000</f>
        <v>94.999999999998863</v>
      </c>
      <c r="EM7">
        <f>P8-Table2[[#This Row],[5F3 Admin Area]]</f>
        <v>482.62400000006892</v>
      </c>
      <c r="EN7">
        <f>AH8-Table2[[#This Row],[2F5 Main Gate-1 Piller -1]]</f>
        <v>158.52000000000407</v>
      </c>
      <c r="EO7">
        <f>CW8-Table2[[#This Row],[6F2 Ground Floor AC]]</f>
        <v>31.564899999997579</v>
      </c>
      <c r="EP7">
        <f>CX8-Table2[[#This Row],[6F3 ACBD -1 (First floor AC)]]</f>
        <v>28.566400000003341</v>
      </c>
      <c r="EQ7">
        <f>CY8-Table2[[#This Row],[6F4 ACBD - 2 (Second &amp; Third floor AC)]]</f>
        <v>171.5679999999993</v>
      </c>
      <c r="ER7">
        <f>(BC8-Table2[[#This Row],[4F Old BMC cooling Unit]])</f>
        <v>1.9919999999983702</v>
      </c>
      <c r="ES7">
        <f>BO8-Table2[[#This Row],[2F4 - Old BMC]]</f>
        <v>1.7667999999976018</v>
      </c>
      <c r="ET7">
        <f>Y8-Table2[[#This Row],[14F2 New CK]]</f>
        <v>762.24000000022352</v>
      </c>
      <c r="EU7">
        <f>(CL8-Table2[[#This Row],[OLD Ck Panel-1]])*1000</f>
        <v>714.00000000005548</v>
      </c>
      <c r="EV7">
        <f>CM8-Table2[[#This Row],[2F4 Old CK Blast (Blue star)]]</f>
        <v>0</v>
      </c>
      <c r="EW7">
        <f>CN8-Table2[[#This Row],[3F6 Old CK Blast (Carrier)]]</f>
        <v>1724.0500000000029</v>
      </c>
      <c r="EX7">
        <f>(CO8-Table2[[#This Row],[Old CK Panel -2]])*1000</f>
        <v>912.00000000003456</v>
      </c>
      <c r="EY7">
        <f>N8-Table2[[#This Row],[4F1 Main UPS 1/C -1]]</f>
        <v>1069.7600000000093</v>
      </c>
      <c r="EZ7">
        <f>Z8-Table2[[#This Row],[15F1 Main UPS Panel - I/C - 2]]</f>
        <v>0</v>
      </c>
      <c r="FA7">
        <f>BF8-Table2[[#This Row],[2F CLC -1 AC unit - 2]]</f>
        <v>0</v>
      </c>
      <c r="FB7">
        <f>(BG8-Table2[[#This Row],[2F CLC Anti room]])*1000</f>
        <v>42.999999999992156</v>
      </c>
      <c r="FC7">
        <f>BW8-Table2[[#This Row],[7F3 CLC Power Panel]]</f>
        <v>213.59999999997672</v>
      </c>
      <c r="FD7">
        <f>(CI8-Table2[[#This Row],[PDB - 17 CLC Section ]])*1000</f>
        <v>204.00000000000773</v>
      </c>
      <c r="FE7">
        <f>(W8-Table2[[#This Row],[13F3 Water &amp; Lift Old CK]])*1000</f>
        <v>652.00000000004366</v>
      </c>
      <c r="FF7">
        <f>AA8-Table2[[#This Row],[15F2 New ETP Panel]]</f>
        <v>324.86399999994319</v>
      </c>
      <c r="FG7">
        <f>AL8-Table2[[#This Row],[3F4 Old ETP Panel]]</f>
        <v>83.871999999973923</v>
      </c>
      <c r="FH7">
        <f>AF8-Table2[[#This Row],[2F1 RO Plant]]</f>
        <v>710.7839999999851</v>
      </c>
      <c r="FI7">
        <f>AK8-Table2[[#This Row],[3F3 Fire Hydrant Panel]]</f>
        <v>10.440000000002328</v>
      </c>
      <c r="FJ7">
        <f>R8-Table2[[#This Row],[7F1 Freon System Panel]]</f>
        <v>6178.5600000005215</v>
      </c>
      <c r="FK7">
        <f>(AE8-Table2[[#This Row],[21F1 Refrigeration Ammonia]])*1000</f>
        <v>9368.0000000003929</v>
      </c>
      <c r="FL7">
        <f>(AG8-Table2[[#This Row],[2F3 Air Compressor]])*1000</f>
        <v>1133.0000000000382</v>
      </c>
      <c r="FM7" s="49">
        <f>(AX8-Table2[[#This Row],[Solar Reading Panel II]])*1000</f>
        <v>3720.0000000002547</v>
      </c>
      <c r="FN7">
        <f>AI8-Table2[[#This Row],[3F1 Maintenance Workshop]]</f>
        <v>7.4208000000016909</v>
      </c>
      <c r="FO7">
        <f>BD8-Table2[[#This Row],[4F B2B unit ]]</f>
        <v>56.511999999987893</v>
      </c>
      <c r="FP7">
        <f>BL8-Table2[[#This Row],[2F1 - PDB 6 - Bread, B2B section]]</f>
        <v>33.081600000004983</v>
      </c>
      <c r="FQ7">
        <f>(CG8-Table2[[#This Row],[9F5 - PDB 14 - Bread Lift]])</f>
        <v>9.73599999997532</v>
      </c>
      <c r="FR7">
        <f>CJ8-Table2[[#This Row],[PDB - 16 Bread Section]]</f>
        <v>0</v>
      </c>
      <c r="FS7">
        <f>BU8-Table2[[#This Row],[7F1 Donut Production area]]</f>
        <v>301.31199999991804</v>
      </c>
      <c r="FT7">
        <f>CB8-Table2[[#This Row],[8F5 Donut Ban Bary]]</f>
        <v>132.21600000000035</v>
      </c>
      <c r="FU7">
        <f>CF8-Table2[[#This Row],[9F4 - PDB 13 - Donut Sink Geyser area]]</f>
        <v>36.960000000020955</v>
      </c>
      <c r="FV7">
        <f>BV8-Table2[[#This Row],[7F2 Flour Silo]]</f>
        <v>612.64000000001397</v>
      </c>
      <c r="FW7">
        <f>BY8-Table2[[#This Row],[8F2 ACPDB - 3 SILO Ventilation]]</f>
        <v>62.384000000020023</v>
      </c>
      <c r="FX7">
        <f>J8-Table2[[#This Row],[DG 1010KVA Running Hours]]</f>
        <v>0</v>
      </c>
      <c r="FY7">
        <f>K8-Table2[[#This Row],[DG 1010 KVA Meter Reading]]</f>
        <v>0</v>
      </c>
      <c r="FZ7">
        <f>L8-Table2[[#This Row],[GG 1010 KVA Running Hours]]</f>
        <v>0</v>
      </c>
      <c r="GA7">
        <f>M8-Table2[[#This Row],[GG 1010 KVA Meter Reading]]</f>
        <v>0</v>
      </c>
    </row>
    <row r="8" spans="1:183" x14ac:dyDescent="0.35">
      <c r="A8" s="1">
        <v>10</v>
      </c>
      <c r="B8" s="2">
        <v>46206.426400463002</v>
      </c>
      <c r="C8" s="2">
        <v>46206.481018518498</v>
      </c>
      <c r="D8" s="1" t="s">
        <v>111</v>
      </c>
      <c r="E8" s="1"/>
      <c r="F8" s="1"/>
      <c r="G8" s="3">
        <v>46206</v>
      </c>
      <c r="H8" s="1" t="s">
        <v>112</v>
      </c>
      <c r="I8" s="6">
        <v>5338.4920000000002</v>
      </c>
      <c r="J8" s="6">
        <v>4246</v>
      </c>
      <c r="K8" s="6">
        <v>1764680</v>
      </c>
      <c r="L8" s="6">
        <v>428</v>
      </c>
      <c r="M8" s="6">
        <v>178.05</v>
      </c>
      <c r="N8" s="6">
        <v>1840004.32</v>
      </c>
      <c r="O8" s="6">
        <v>4543400.96</v>
      </c>
      <c r="P8" s="6">
        <v>633448.70400000003</v>
      </c>
      <c r="Q8" s="6">
        <v>8002851.8399999999</v>
      </c>
      <c r="R8" s="6">
        <v>5365901.4400000004</v>
      </c>
      <c r="S8" s="6">
        <v>7263293.4400000004</v>
      </c>
      <c r="T8" s="6">
        <v>380880.50199999998</v>
      </c>
      <c r="U8" s="6">
        <v>2064971.52</v>
      </c>
      <c r="V8" s="6">
        <v>5064159.3600000003</v>
      </c>
      <c r="W8" s="6">
        <v>1571.7942</v>
      </c>
      <c r="X8" s="6">
        <v>765370.304</v>
      </c>
      <c r="Y8" s="6">
        <v>1053947.1200000001</v>
      </c>
      <c r="Z8" s="6">
        <v>2777.8894</v>
      </c>
      <c r="AA8" s="6">
        <v>659614.59199999995</v>
      </c>
      <c r="AB8" s="6">
        <v>420947.90399999998</v>
      </c>
      <c r="AC8" s="6">
        <v>2116264.96</v>
      </c>
      <c r="AD8" s="6">
        <v>3627337.6690000002</v>
      </c>
      <c r="AE8" s="6">
        <v>12587.5136</v>
      </c>
      <c r="AF8" s="6">
        <v>857236.99199999997</v>
      </c>
      <c r="AG8" s="6">
        <v>1365.001</v>
      </c>
      <c r="AH8" s="6">
        <v>129632.88</v>
      </c>
      <c r="AI8" s="6">
        <v>14465.547200000001</v>
      </c>
      <c r="AJ8" s="6">
        <v>145266.22399999999</v>
      </c>
      <c r="AK8" s="6">
        <v>104887.344</v>
      </c>
      <c r="AL8" s="6">
        <v>328285.152</v>
      </c>
      <c r="AM8" s="6">
        <v>972.68799999999999</v>
      </c>
      <c r="AN8" s="6">
        <v>172.7</v>
      </c>
      <c r="AO8" s="6">
        <v>6.8</v>
      </c>
      <c r="AP8" s="6">
        <v>158614</v>
      </c>
      <c r="AQ8" s="6">
        <v>42305</v>
      </c>
      <c r="AR8" s="6">
        <v>41760</v>
      </c>
      <c r="AS8" s="6">
        <v>0</v>
      </c>
      <c r="AT8" s="6">
        <v>0</v>
      </c>
      <c r="AU8" s="6">
        <v>14886</v>
      </c>
      <c r="AV8" s="6">
        <v>5910</v>
      </c>
      <c r="AW8" s="6">
        <v>20.712862000000001</v>
      </c>
      <c r="AX8" s="50">
        <v>7155.7120000000004</v>
      </c>
      <c r="AY8" s="6">
        <v>674.78920000000005</v>
      </c>
      <c r="AZ8" s="6">
        <v>20.788</v>
      </c>
      <c r="BA8" s="6">
        <v>9761.9470000000001</v>
      </c>
      <c r="BB8" s="6">
        <v>43.338999999999999</v>
      </c>
      <c r="BC8" s="6">
        <v>113978.504</v>
      </c>
      <c r="BD8" s="6">
        <v>274417.79200000002</v>
      </c>
      <c r="BE8" s="6">
        <v>3687.3008</v>
      </c>
      <c r="BF8" s="6">
        <v>1712.0419999999999</v>
      </c>
      <c r="BG8" s="6">
        <v>74.103999999999999</v>
      </c>
      <c r="BH8" s="6">
        <v>353.76299999999998</v>
      </c>
      <c r="BI8" s="6">
        <v>900.52599999999995</v>
      </c>
      <c r="BJ8" s="6">
        <v>13.237</v>
      </c>
      <c r="BK8" s="6">
        <v>555.19100000000003</v>
      </c>
      <c r="BL8" s="6">
        <v>68191.251199999999</v>
      </c>
      <c r="BM8" s="6">
        <v>294121.92</v>
      </c>
      <c r="BN8" s="6">
        <v>7110.6575999999995</v>
      </c>
      <c r="BO8" s="6">
        <v>53500.988799999999</v>
      </c>
      <c r="BP8" s="6">
        <v>310267.90399999998</v>
      </c>
      <c r="BQ8" s="6">
        <v>318.97800000000001</v>
      </c>
      <c r="BR8" s="6">
        <v>177.74100000000001</v>
      </c>
      <c r="BS8" s="6">
        <v>974922.41599999997</v>
      </c>
      <c r="BT8" s="6">
        <v>1400465.7439999999</v>
      </c>
      <c r="BU8" s="48">
        <v>622512.89599999995</v>
      </c>
      <c r="BV8" s="6">
        <v>1008276.64</v>
      </c>
      <c r="BW8" s="6">
        <v>561577.50399999996</v>
      </c>
      <c r="BX8" s="6">
        <v>923523.13600000006</v>
      </c>
      <c r="BY8" s="6">
        <v>156203.63200000001</v>
      </c>
      <c r="BZ8" s="6">
        <v>114109.82399999999</v>
      </c>
      <c r="CA8" s="6">
        <v>1160.3734999999999</v>
      </c>
      <c r="CB8" s="6">
        <v>107002.88800000001</v>
      </c>
      <c r="CC8" s="6">
        <v>146973.07199999999</v>
      </c>
      <c r="CD8" s="6">
        <v>441081.34399999998</v>
      </c>
      <c r="CE8" s="6">
        <v>49125.260799999996</v>
      </c>
      <c r="CF8" s="6">
        <v>155204.76800000001</v>
      </c>
      <c r="CG8" s="48">
        <v>360750.03039999999</v>
      </c>
      <c r="CH8" s="6">
        <v>2385.8710000000001</v>
      </c>
      <c r="CI8" s="6">
        <v>209.98099999999999</v>
      </c>
      <c r="CJ8" s="6">
        <v>1165.4000000000001</v>
      </c>
      <c r="CK8" s="6">
        <v>76.626000000000005</v>
      </c>
      <c r="CL8" s="6">
        <v>717.83</v>
      </c>
      <c r="CM8" s="6">
        <v>551.4</v>
      </c>
      <c r="CN8" s="6">
        <v>33211.15</v>
      </c>
      <c r="CO8" s="6">
        <v>1622.7860000000001</v>
      </c>
      <c r="CP8" s="6">
        <v>2889845.7859999998</v>
      </c>
      <c r="CQ8" s="6">
        <v>3649134.4</v>
      </c>
      <c r="CR8" s="6">
        <v>129094.47199999999</v>
      </c>
      <c r="CS8" s="6">
        <v>504625.21600000001</v>
      </c>
      <c r="CT8" s="6">
        <v>2833684.5419999999</v>
      </c>
      <c r="CU8" s="6">
        <v>290669.56400000001</v>
      </c>
      <c r="CV8" s="6">
        <v>30112.687999999998</v>
      </c>
      <c r="CW8" s="6">
        <v>62028.460899999998</v>
      </c>
      <c r="CX8" s="6">
        <v>33145.004800000002</v>
      </c>
      <c r="CY8" s="6">
        <v>164150</v>
      </c>
      <c r="CZ8" s="6">
        <v>215854.76800000001</v>
      </c>
      <c r="DA8" s="6">
        <v>17621.28</v>
      </c>
      <c r="DB8" s="6">
        <v>147202.739</v>
      </c>
      <c r="DC8" s="6">
        <v>2852.11</v>
      </c>
      <c r="DD8" s="6">
        <v>2851.98</v>
      </c>
      <c r="DE8" s="6">
        <v>2874.52</v>
      </c>
      <c r="DF8" s="6">
        <v>0.99399999999999999</v>
      </c>
      <c r="DG8" s="1" t="s">
        <v>185</v>
      </c>
      <c r="DH8" s="4">
        <f>Table2[[#This Row],[Date]]</f>
        <v>46206</v>
      </c>
      <c r="DI8">
        <f>(DD9-Table2[[#This Row],[MWH Total]])*4000</f>
        <v>24000</v>
      </c>
      <c r="DJ8">
        <f>(DA9-Table2[[#This Row],[PNG Meter (Outside)]])*2.936</f>
        <v>83.059440000002567</v>
      </c>
      <c r="DK8">
        <f>(DB9-Table2[[#This Row],[PNG Meter (Inside)]])*2.936</f>
        <v>145.86635200000205</v>
      </c>
      <c r="DL8">
        <f>(BH9-Table2[[#This Row],[3F Dough cooler - 2 ]])*1000</f>
        <v>426.00000000004457</v>
      </c>
      <c r="DM8">
        <f>(BI9-Table2[[#This Row],[3F Dough Cooler- 1]])*1000</f>
        <v>463.00000000007913</v>
      </c>
      <c r="DN8">
        <f>(BJ9-Table2[[#This Row],[4F Dough Production cooling Unit]])*1000</f>
        <v>50.000000000000711</v>
      </c>
      <c r="DO8">
        <f>(BQ9-Table2[[#This Row],[3F2 - PDB 3 - Dough Production Area]])*1000</f>
        <v>224.99999999996589</v>
      </c>
      <c r="DP8">
        <f>(BR9-Table2[[#This Row],[3F3 - PDB 4 - Dough Area]])*1000</f>
        <v>121.99999999998568</v>
      </c>
      <c r="DQ8">
        <f>AC9-Table2[[#This Row],[16F1 Tray washer Panel for Light]]</f>
        <v>659.83999999985099</v>
      </c>
      <c r="DR8">
        <f>CQ9-Table2[[#This Row],[2F1 Tray Washer - 1]]</f>
        <v>890.24000000022352</v>
      </c>
      <c r="DS8">
        <f>CS9-Table2[[#This Row],[2F5 Destacker]]</f>
        <v>351.42399999999907</v>
      </c>
      <c r="DT8">
        <f>CU9-Table2[[#This Row],[5F1 Metering (TW-2)]]</f>
        <v>270.99799999996321</v>
      </c>
      <c r="DU8">
        <f>CV9-Table2[[#This Row],[6F1 Pre soaker Tray washer]]</f>
        <v>2.3872000000010303</v>
      </c>
      <c r="DV8">
        <f>CZ9-Table2[[#This Row],[6F5 Vent tray Storage]]</f>
        <v>93.855999999999767</v>
      </c>
      <c r="DW8">
        <f>I9-Table2[[#This Row],[Popeyes Meter ]]</f>
        <v>66.739999999999782</v>
      </c>
      <c r="DX8">
        <f>AZ9-Table2[[#This Row],[2F WH Chiller, Segregation Area]]</f>
        <v>0</v>
      </c>
      <c r="DY8">
        <f>BA9-Table2[[#This Row],[3F1 AC Unit WH dock cooling - 2 Nos]]</f>
        <v>31.719999999999345</v>
      </c>
      <c r="DZ8">
        <f>BB9-Table2[[#This Row],[3F2 AC Unit WH dock cooling - 3 Nos]]</f>
        <v>4.8999999999999488E-2</v>
      </c>
      <c r="EA8">
        <f>(BK9-Table2[[#This Row],[5F WH Perishable]])*1000</f>
        <v>295.99999999993543</v>
      </c>
      <c r="EB8">
        <f>BN9-Table2[[#This Row],[2F3 - PDB 9 - WH Dock Leveler Door ]]</f>
        <v>3.7288000000007742</v>
      </c>
      <c r="EC8">
        <f>BP9-Table2[[#This Row],[3F1 - PDB 5 - WH HSD]]</f>
        <v>130.52799999999115</v>
      </c>
      <c r="ED8">
        <f>BX9-Table2[[#This Row],[8F1 WH Dock AHU - Ventilation]]</f>
        <v>3424.0639999998966</v>
      </c>
      <c r="EE8">
        <f>BZ9-Table2[[#This Row],[8F3 ACPDB - 4 WH Dock air curtain]]</f>
        <v>18.400000000008731</v>
      </c>
      <c r="EF8">
        <f>CA9-Table2[[#This Row],[8F4 WH Light]]</f>
        <v>2.6983999999999924</v>
      </c>
      <c r="EG8">
        <f>CC9-Table2[[#This Row],[9F1 - PDB 10 - WH Dock door &amp; Office]]</f>
        <v>133.50400000001537</v>
      </c>
      <c r="EH8">
        <f>CD9-Table2[[#This Row],[9F2 - PDB 11 - WH flycatchers]]</f>
        <v>207.80800000001909</v>
      </c>
      <c r="EI8">
        <f>CE9-Table2[[#This Row],[9F3 - PDB 12 - Other items]]</f>
        <v>0</v>
      </c>
      <c r="EJ8">
        <f>CR9-Table2[[#This Row],[2F3 - PDB 1 - Dock 1 to 4 ]]</f>
        <v>77.495999999999185</v>
      </c>
      <c r="EK8">
        <f>BM9-Table2[[#This Row],[2F2 - PDB 3 - WH Truck &amp; Battery Charging]]</f>
        <v>462.9440000000177</v>
      </c>
      <c r="EL8">
        <f>(CK9-Table2[[#This Row],[PDB - 11 Truck Charging]])*1000</f>
        <v>60.999999999992838</v>
      </c>
      <c r="EM8">
        <f>P9-Table2[[#This Row],[5F3 Admin Area]]</f>
        <v>372.86399999994319</v>
      </c>
      <c r="EN8">
        <f>AH9-Table2[[#This Row],[2F5 Main Gate-1 Piller -1]]</f>
        <v>150.09599999999045</v>
      </c>
      <c r="EO8">
        <f>CW9-Table2[[#This Row],[6F2 Ground Floor AC]]</f>
        <v>29.70230000000447</v>
      </c>
      <c r="EP8">
        <f>CX9-Table2[[#This Row],[6F3 ACBD -1 (First floor AC)]]</f>
        <v>10.963199999998324</v>
      </c>
      <c r="EQ8">
        <f>CY9-Table2[[#This Row],[6F4 ACBD - 2 (Second &amp; Third floor AC)]]</f>
        <v>92.703999999997905</v>
      </c>
      <c r="ER8">
        <f>(BC9-Table2[[#This Row],[4F Old BMC cooling Unit]])</f>
        <v>0</v>
      </c>
      <c r="ES8">
        <f>BO9-Table2[[#This Row],[2F4 - Old BMC]]</f>
        <v>3.7759999999980209</v>
      </c>
      <c r="ET8">
        <f>Y9-Table2[[#This Row],[14F2 New CK]]</f>
        <v>853.27999999979511</v>
      </c>
      <c r="EU8">
        <f>(CL9-Table2[[#This Row],[OLD Ck Panel-1]])*1000</f>
        <v>572.99999999997908</v>
      </c>
      <c r="EV8">
        <f>CM9-Table2[[#This Row],[2F4 Old CK Blast (Blue star)]]</f>
        <v>0</v>
      </c>
      <c r="EW8">
        <f>CN9-Table2[[#This Row],[3F6 Old CK Blast (Carrier)]]</f>
        <v>4.9999999995634425E-2</v>
      </c>
      <c r="EX8">
        <f>(CO9-Table2[[#This Row],[Old CK Panel -2]])*1000</f>
        <v>1446.999999999889</v>
      </c>
      <c r="EY8">
        <f>N9-Table2[[#This Row],[4F1 Main UPS 1/C -1]]</f>
        <v>849.11999999987893</v>
      </c>
      <c r="EZ8">
        <f>Z9-Table2[[#This Row],[15F1 Main UPS Panel - I/C - 2]]</f>
        <v>0</v>
      </c>
      <c r="FA8">
        <f>BF9-Table2[[#This Row],[2F CLC -1 AC unit - 2]]</f>
        <v>0</v>
      </c>
      <c r="FB8">
        <f>(BG9-Table2[[#This Row],[2F CLC Anti room]])*1000</f>
        <v>28.000000000005798</v>
      </c>
      <c r="FC8">
        <f>BW9-Table2[[#This Row],[7F3 CLC Power Panel]]</f>
        <v>256.48000000009779</v>
      </c>
      <c r="FD8">
        <f>(CI9-Table2[[#This Row],[PDB - 17 CLC Section ]])*1000</f>
        <v>116.00000000001387</v>
      </c>
      <c r="FE8">
        <f>(W9-Table2[[#This Row],[13F3 Water &amp; Lift Old CK]])*1000</f>
        <v>478.10000000004038</v>
      </c>
      <c r="FF8">
        <f>AA9-Table2[[#This Row],[15F2 New ETP Panel]]</f>
        <v>246.65600000007544</v>
      </c>
      <c r="FG8">
        <f>AL9-Table2[[#This Row],[3F4 Old ETP Panel]]</f>
        <v>68.032000000006519</v>
      </c>
      <c r="FH8">
        <f>AF9-Table2[[#This Row],[2F1 RO Plant]]</f>
        <v>528.57600000000093</v>
      </c>
      <c r="FI8">
        <f>AK9-Table2[[#This Row],[3F3 Fire Hydrant Panel]]</f>
        <v>10.760000000009313</v>
      </c>
      <c r="FJ8">
        <f>R9-Table2[[#This Row],[7F1 Freon System Panel]]</f>
        <v>4906.8799999998882</v>
      </c>
      <c r="FK8">
        <f>(AE9-Table2[[#This Row],[21F1 Refrigeration Ammonia]])*1000</f>
        <v>7496.7999999989843</v>
      </c>
      <c r="FL8">
        <f>(AG9-Table2[[#This Row],[2F3 Air Compressor]])*1000</f>
        <v>1024.0000000001146</v>
      </c>
      <c r="FM8" s="49">
        <f>(AX9-Table2[[#This Row],[Solar Reading Panel II]])*1000</f>
        <v>3250</v>
      </c>
      <c r="FN8">
        <f>AI9-Table2[[#This Row],[3F1 Maintenance Workshop]]</f>
        <v>5.0047999999987951</v>
      </c>
      <c r="FO8">
        <f>BD9-Table2[[#This Row],[4F B2B unit ]]</f>
        <v>18.559999999997672</v>
      </c>
      <c r="FP8">
        <f>BL9-Table2[[#This Row],[2F1 - PDB 6 - Bread, B2B section]]</f>
        <v>12.569600000002538</v>
      </c>
      <c r="FQ8">
        <f>(CG9-Table2[[#This Row],[9F5 - PDB 14 - Bread Lift]])</f>
        <v>3.2000000006519258E-2</v>
      </c>
      <c r="FR8">
        <f>CJ9-Table2[[#This Row],[PDB - 16 Bread Section]]</f>
        <v>0</v>
      </c>
      <c r="FS8">
        <f>BU9-Table2[[#This Row],[7F1 Donut Production area]]</f>
        <v>269.95200000004843</v>
      </c>
      <c r="FT8">
        <f>CB9-Table2[[#This Row],[8F5 Donut Ban Bary]]</f>
        <v>45.063999999998487</v>
      </c>
      <c r="FU8">
        <f>CF9-Table2[[#This Row],[9F4 - PDB 13 - Donut Sink Geyser area]]</f>
        <v>17.951999999990221</v>
      </c>
      <c r="FV8">
        <f>BV9-Table2[[#This Row],[7F2 Flour Silo]]</f>
        <v>474.88000000000466</v>
      </c>
      <c r="FW8">
        <f>BY9-Table2[[#This Row],[8F2 ACPDB - 3 SILO Ventilation]]</f>
        <v>47.503999999986263</v>
      </c>
      <c r="FX8">
        <f>J9-Table2[[#This Row],[DG 1010KVA Running Hours]]</f>
        <v>0.6000000000003638</v>
      </c>
      <c r="FY8">
        <f>K9-Table2[[#This Row],[DG 1010 KVA Meter Reading]]</f>
        <v>224</v>
      </c>
      <c r="FZ8">
        <f>L9-Table2[[#This Row],[GG 1010 KVA Running Hours]]</f>
        <v>0</v>
      </c>
      <c r="GA8">
        <f>M9-Table2[[#This Row],[GG 1010 KVA Meter Reading]]</f>
        <v>0.25999999999999091</v>
      </c>
    </row>
    <row r="9" spans="1:183" x14ac:dyDescent="0.35">
      <c r="A9" s="1">
        <v>11</v>
      </c>
      <c r="B9" s="2">
        <v>46207.401527777802</v>
      </c>
      <c r="C9" s="2">
        <v>46207.457511574103</v>
      </c>
      <c r="D9" s="1" t="s">
        <v>111</v>
      </c>
      <c r="E9" s="1"/>
      <c r="F9" s="1"/>
      <c r="G9" s="3">
        <v>46207</v>
      </c>
      <c r="H9" s="1" t="s">
        <v>186</v>
      </c>
      <c r="I9" s="6">
        <v>5405.232</v>
      </c>
      <c r="J9" s="6">
        <v>4246.6000000000004</v>
      </c>
      <c r="K9" s="6">
        <v>1764904</v>
      </c>
      <c r="L9" s="6">
        <v>428</v>
      </c>
      <c r="M9" s="6">
        <v>178.31</v>
      </c>
      <c r="N9" s="6">
        <v>1840853.44</v>
      </c>
      <c r="O9" s="6">
        <v>4545220.4800000004</v>
      </c>
      <c r="P9" s="6">
        <v>633821.56799999997</v>
      </c>
      <c r="Q9" s="6">
        <v>8005466.2400000002</v>
      </c>
      <c r="R9" s="6">
        <v>5370808.3200000003</v>
      </c>
      <c r="S9" s="6">
        <v>7266058.8799999999</v>
      </c>
      <c r="T9" s="6">
        <v>370297.59299999999</v>
      </c>
      <c r="U9" s="6">
        <v>2065980.64</v>
      </c>
      <c r="V9" s="6">
        <v>5065526.4000000004</v>
      </c>
      <c r="W9" s="6">
        <v>1572.2723000000001</v>
      </c>
      <c r="X9" s="6">
        <v>765645.12</v>
      </c>
      <c r="Y9" s="6">
        <v>1054800.3999999999</v>
      </c>
      <c r="Z9" s="6">
        <v>2777.8894</v>
      </c>
      <c r="AA9" s="6">
        <v>659861.24800000002</v>
      </c>
      <c r="AB9" s="6">
        <v>420959.10399999999</v>
      </c>
      <c r="AC9" s="6">
        <v>2116924.7999999998</v>
      </c>
      <c r="AD9" s="6">
        <v>3640092.139</v>
      </c>
      <c r="AE9" s="6">
        <v>12595.010399999999</v>
      </c>
      <c r="AF9" s="6">
        <v>857765.56799999997</v>
      </c>
      <c r="AG9" s="6">
        <v>1366.0250000000001</v>
      </c>
      <c r="AH9" s="6">
        <v>129782.976</v>
      </c>
      <c r="AI9" s="6">
        <v>14470.552</v>
      </c>
      <c r="AJ9" s="6">
        <v>145269.84</v>
      </c>
      <c r="AK9" s="6">
        <v>104898.10400000001</v>
      </c>
      <c r="AL9" s="6">
        <v>328353.18400000001</v>
      </c>
      <c r="AM9" s="6">
        <v>973.17399999999998</v>
      </c>
      <c r="AN9" s="6">
        <v>273.3</v>
      </c>
      <c r="AO9" s="6">
        <v>7.4</v>
      </c>
      <c r="AP9" s="6">
        <v>166106</v>
      </c>
      <c r="AQ9" s="6">
        <v>42305</v>
      </c>
      <c r="AR9" s="6">
        <v>41760</v>
      </c>
      <c r="AS9" s="6">
        <v>32307</v>
      </c>
      <c r="AT9" s="6">
        <v>22056</v>
      </c>
      <c r="AU9" s="6">
        <v>14904</v>
      </c>
      <c r="AV9" s="6">
        <v>5924</v>
      </c>
      <c r="AW9" s="6">
        <v>20.720165999999999</v>
      </c>
      <c r="AX9" s="50">
        <v>7158.9620000000004</v>
      </c>
      <c r="AY9" s="6">
        <v>674.94632000000001</v>
      </c>
      <c r="AZ9" s="6">
        <v>20.788</v>
      </c>
      <c r="BA9" s="6">
        <v>9793.6669999999995</v>
      </c>
      <c r="BB9" s="6">
        <v>43.387999999999998</v>
      </c>
      <c r="BC9" s="6">
        <v>113978.504</v>
      </c>
      <c r="BD9" s="6">
        <v>274436.35200000001</v>
      </c>
      <c r="BE9" s="6">
        <v>3688.4748</v>
      </c>
      <c r="BF9" s="6">
        <v>1712.0419999999999</v>
      </c>
      <c r="BG9" s="6">
        <v>74.132000000000005</v>
      </c>
      <c r="BH9" s="6">
        <v>354.18900000000002</v>
      </c>
      <c r="BI9" s="6">
        <v>900.98900000000003</v>
      </c>
      <c r="BJ9" s="6">
        <v>13.287000000000001</v>
      </c>
      <c r="BK9" s="6">
        <v>555.48699999999997</v>
      </c>
      <c r="BL9" s="6">
        <v>68203.820800000001</v>
      </c>
      <c r="BM9" s="6">
        <v>294584.864</v>
      </c>
      <c r="BN9" s="6">
        <v>7114.3864000000003</v>
      </c>
      <c r="BO9" s="6">
        <v>53504.764799999997</v>
      </c>
      <c r="BP9" s="6">
        <v>310398.43199999997</v>
      </c>
      <c r="BQ9" s="6">
        <v>319.20299999999997</v>
      </c>
      <c r="BR9" s="6">
        <v>177.863</v>
      </c>
      <c r="BS9" s="6">
        <v>975904.67200000002</v>
      </c>
      <c r="BT9" s="6">
        <v>1400469.753</v>
      </c>
      <c r="BU9" s="6">
        <v>622782.848</v>
      </c>
      <c r="BV9" s="6">
        <v>1008751.52</v>
      </c>
      <c r="BW9" s="6">
        <v>561833.98400000005</v>
      </c>
      <c r="BX9" s="6">
        <v>926947.2</v>
      </c>
      <c r="BY9" s="6">
        <v>156251.136</v>
      </c>
      <c r="BZ9" s="6">
        <v>114128.224</v>
      </c>
      <c r="CA9" s="6">
        <v>1163.0718999999999</v>
      </c>
      <c r="CB9" s="6">
        <v>107047.952</v>
      </c>
      <c r="CC9" s="6">
        <v>147106.576</v>
      </c>
      <c r="CD9" s="6">
        <v>441289.152</v>
      </c>
      <c r="CE9" s="6">
        <v>49125.260799999996</v>
      </c>
      <c r="CF9" s="6">
        <v>155222.72</v>
      </c>
      <c r="CG9" s="6">
        <v>360750.0624</v>
      </c>
      <c r="CH9" s="6">
        <v>2385.8710000000001</v>
      </c>
      <c r="CI9" s="6">
        <v>210.09700000000001</v>
      </c>
      <c r="CJ9" s="6">
        <v>1165.4000000000001</v>
      </c>
      <c r="CK9" s="6">
        <v>76.686999999999998</v>
      </c>
      <c r="CL9" s="6">
        <v>718.40300000000002</v>
      </c>
      <c r="CM9" s="6">
        <v>551.4</v>
      </c>
      <c r="CN9" s="6">
        <v>33211.199999999997</v>
      </c>
      <c r="CO9" s="6">
        <v>1624.2329999999999</v>
      </c>
      <c r="CP9" s="6">
        <v>290031.859</v>
      </c>
      <c r="CQ9" s="6">
        <v>3650024.64</v>
      </c>
      <c r="CR9" s="6">
        <v>129171.96799999999</v>
      </c>
      <c r="CS9" s="6">
        <v>504976.64000000001</v>
      </c>
      <c r="CT9" s="6">
        <v>2836523.4539999999</v>
      </c>
      <c r="CU9" s="6">
        <v>290940.56199999998</v>
      </c>
      <c r="CV9" s="6">
        <v>30115.075199999999</v>
      </c>
      <c r="CW9" s="6">
        <v>62058.163200000003</v>
      </c>
      <c r="CX9" s="6">
        <v>33155.968000000001</v>
      </c>
      <c r="CY9" s="6">
        <v>164242.704</v>
      </c>
      <c r="CZ9" s="6">
        <v>215948.62400000001</v>
      </c>
      <c r="DA9" s="6">
        <v>17649.57</v>
      </c>
      <c r="DB9" s="6">
        <v>147252.421</v>
      </c>
      <c r="DC9" s="6">
        <v>2858.11</v>
      </c>
      <c r="DD9" s="6">
        <v>2857.98</v>
      </c>
      <c r="DE9" s="6">
        <v>2880.64</v>
      </c>
      <c r="DF9" s="6">
        <v>0.996</v>
      </c>
      <c r="DG9" s="1" t="s">
        <v>188</v>
      </c>
      <c r="DH9" s="4">
        <f>Table2[[#This Row],[Date]]</f>
        <v>46207</v>
      </c>
      <c r="DI9">
        <f>(DD10-Table2[[#This Row],[MWH Total]])*4000</f>
        <v>21479.999999999563</v>
      </c>
      <c r="DJ9">
        <f>(DA10-Table2[[#This Row],[PNG Meter (Outside)]])*2.936</f>
        <v>2.6424000000042724</v>
      </c>
      <c r="DK9">
        <f>(DB10-Table2[[#This Row],[PNG Meter (Inside)]])*2.936</f>
        <v>80.461079999996585</v>
      </c>
      <c r="DL9">
        <f>(BH10-Table2[[#This Row],[3F Dough cooler - 2 ]])*1000</f>
        <v>153.99999999999636</v>
      </c>
      <c r="DM9">
        <f>(BI10-Table2[[#This Row],[3F Dough Cooler- 1]])*1000</f>
        <v>283.99999999999181</v>
      </c>
      <c r="DN9">
        <f>(BJ10-Table2[[#This Row],[4F Dough Production cooling Unit]])*1000</f>
        <v>14.999999999998792</v>
      </c>
      <c r="DO9">
        <f>(BQ10-Table2[[#This Row],[3F2 - PDB 3 - Dough Production Area]])*1000</f>
        <v>60.000000000002274</v>
      </c>
      <c r="DP9">
        <f>(BR10-Table2[[#This Row],[3F3 - PDB 4 - Dough Area]])*1000</f>
        <v>34.999999999996589</v>
      </c>
      <c r="DQ9">
        <f>AC10-Table2[[#This Row],[16F1 Tray washer Panel for Light]]</f>
        <v>543.68000000016764</v>
      </c>
      <c r="DR9">
        <f>CQ10-Table2[[#This Row],[2F1 Tray Washer - 1]]</f>
        <v>385.27999999979511</v>
      </c>
      <c r="DS9">
        <f>CS10-Table2[[#This Row],[2F5 Destacker]]</f>
        <v>118.65599999995902</v>
      </c>
      <c r="DT9">
        <f>CU10-Table2[[#This Row],[5F1 Metering (TW-2)]]</f>
        <v>184.83699999999953</v>
      </c>
      <c r="DU9">
        <f>CV10-Table2[[#This Row],[6F1 Pre soaker Tray washer]]</f>
        <v>0.83799999999973807</v>
      </c>
      <c r="DV9">
        <f>CZ10-Table2[[#This Row],[6F5 Vent tray Storage]]</f>
        <v>50.160000000003492</v>
      </c>
      <c r="DW9">
        <f>I10-Table2[[#This Row],[Popeyes Meter ]]</f>
        <v>13.119999999999891</v>
      </c>
      <c r="DX9">
        <f>AZ10-Table2[[#This Row],[2F WH Chiller, Segregation Area]]</f>
        <v>0</v>
      </c>
      <c r="DY9">
        <f>BA10-Table2[[#This Row],[3F1 AC Unit WH dock cooling - 2 Nos]]</f>
        <v>16.159999999999854</v>
      </c>
      <c r="DZ9">
        <f>BB10-Table2[[#This Row],[3F2 AC Unit WH dock cooling - 3 Nos]]</f>
        <v>3.399999999999892E-2</v>
      </c>
      <c r="EA9">
        <f>(BK10-Table2[[#This Row],[5F WH Perishable]])*1000</f>
        <v>186.00000000003547</v>
      </c>
      <c r="EB9">
        <f>BN10-Table2[[#This Row],[2F3 - PDB 9 - WH Dock Leveler Door ]]</f>
        <v>1.3495999999995547</v>
      </c>
      <c r="EC9">
        <f>BP10-Table2[[#This Row],[3F1 - PDB 5 - WH HSD]]</f>
        <v>114.24000000004889</v>
      </c>
      <c r="ED9">
        <f>BX10-Table2[[#This Row],[8F1 WH Dock AHU - Ventilation]]</f>
        <v>2183.1689999999944</v>
      </c>
      <c r="EE9">
        <f>BZ10-Table2[[#This Row],[8F3 ACPDB - 4 WH Dock air curtain]]</f>
        <v>11.736000000004424</v>
      </c>
      <c r="EF9">
        <f>CA10-Table2[[#This Row],[8F4 WH Light]]</f>
        <v>1.7273999999999887</v>
      </c>
      <c r="EG9">
        <f>CC10-Table2[[#This Row],[9F1 - PDB 10 - WH Dock door &amp; Office]]</f>
        <v>80.768000000010943</v>
      </c>
      <c r="EH9">
        <f>CD10-Table2[[#This Row],[9F2 - PDB 11 - WH flycatchers]]</f>
        <v>133.63199999998324</v>
      </c>
      <c r="EI9">
        <f>CE10-Table2[[#This Row],[9F3 - PDB 12 - Other items]]</f>
        <v>0</v>
      </c>
      <c r="EJ9">
        <f>CR10-Table2[[#This Row],[2F3 - PDB 1 - Dock 1 to 4 ]]</f>
        <v>48.960000000006403</v>
      </c>
      <c r="EK9">
        <f>BM10-Table2[[#This Row],[2F2 - PDB 3 - WH Truck &amp; Battery Charging]]</f>
        <v>350.27199999999721</v>
      </c>
      <c r="EL9">
        <f>(CK10-Table2[[#This Row],[PDB - 11 Truck Charging]])*1000</f>
        <v>45.000000000001705</v>
      </c>
      <c r="EM9">
        <f>P10-Table2[[#This Row],[5F3 Admin Area]]</f>
        <v>312.96000000007916</v>
      </c>
      <c r="EN9">
        <f>AH10-Table2[[#This Row],[2F5 Main Gate-1 Piller -1]]</f>
        <v>130.87200000000303</v>
      </c>
      <c r="EO9">
        <f>CW10-Table2[[#This Row],[6F2 Ground Floor AC]]</f>
        <v>23.718399999997928</v>
      </c>
      <c r="EP9">
        <f>CX10-Table2[[#This Row],[6F3 ACBD -1 (First floor AC)]]</f>
        <v>6.5247999999992317</v>
      </c>
      <c r="EQ9">
        <f>CY10-Table2[[#This Row],[6F4 ACBD - 2 (Second &amp; Third floor AC)]]</f>
        <v>74.744000000006054</v>
      </c>
      <c r="ER9">
        <f>(BC10-Table2[[#This Row],[4F Old BMC cooling Unit]])</f>
        <v>0</v>
      </c>
      <c r="ES9">
        <f>BO10-Table2[[#This Row],[2F4 - Old BMC]]</f>
        <v>0</v>
      </c>
      <c r="ET9">
        <f>Y10-Table2[[#This Row],[14F2 New CK]]</f>
        <v>560.72000000020489</v>
      </c>
      <c r="EU9">
        <f>(CL10-Table2[[#This Row],[OLD Ck Panel-1]])*1000</f>
        <v>21.999999999934516</v>
      </c>
      <c r="EV9">
        <f>CM10-Table2[[#This Row],[2F4 Old CK Blast (Blue star)]]</f>
        <v>0</v>
      </c>
      <c r="EW9">
        <f>CN10-Table2[[#This Row],[3F6 Old CK Blast (Carrier)]]</f>
        <v>0.20000000000436557</v>
      </c>
      <c r="EX9">
        <f>(CO10-Table2[[#This Row],[Old CK Panel -2]])*1000</f>
        <v>689.00000000007822</v>
      </c>
      <c r="EY9">
        <f>N10-Table2[[#This Row],[4F1 Main UPS 1/C -1]]</f>
        <v>714.71999999997206</v>
      </c>
      <c r="EZ9">
        <f>Z10-Table2[[#This Row],[15F1 Main UPS Panel - I/C - 2]]</f>
        <v>0</v>
      </c>
      <c r="FA9">
        <f>BF10-Table2[[#This Row],[2F CLC -1 AC unit - 2]]</f>
        <v>0</v>
      </c>
      <c r="FB9">
        <f>(BG10-Table2[[#This Row],[2F CLC Anti room]])*1000</f>
        <v>0</v>
      </c>
      <c r="FC9">
        <f>BW10-Table2[[#This Row],[7F3 CLC Power Panel]]</f>
        <v>82.559999999939464</v>
      </c>
      <c r="FD9">
        <f>(CI10-Table2[[#This Row],[PDB - 17 CLC Section ]])*1000</f>
        <v>64.999999999997726</v>
      </c>
      <c r="FE9">
        <f>(W10-Table2[[#This Row],[13F3 Water &amp; Lift Old CK]])*1000</f>
        <v>214.29999999986649</v>
      </c>
      <c r="FF9">
        <f>AA10-Table2[[#This Row],[15F2 New ETP Panel]]</f>
        <v>220.03200000000652</v>
      </c>
      <c r="FG9">
        <f>AL10-Table2[[#This Row],[3F4 Old ETP Panel]]</f>
        <v>52.352000000013504</v>
      </c>
      <c r="FH9">
        <f>AF10-Table2[[#This Row],[2F1 RO Plant]]</f>
        <v>515.26400000008289</v>
      </c>
      <c r="FI9">
        <f>AK10-Table2[[#This Row],[3F3 Fire Hydrant Panel]]</f>
        <v>9.2160000000003492</v>
      </c>
      <c r="FJ9">
        <f>R10-Table2[[#This Row],[7F1 Freon System Panel]]</f>
        <v>3103.359999999404</v>
      </c>
      <c r="FK9">
        <f>(AE10-Table2[[#This Row],[21F1 Refrigeration Ammonia]])*1000</f>
        <v>6142.4999999999272</v>
      </c>
      <c r="FL9">
        <f>(AG10-Table2[[#This Row],[2F3 Air Compressor]])*1000</f>
        <v>832.9999999998563</v>
      </c>
      <c r="FM9" s="49">
        <f>(AX10-Table2[[#This Row],[Solar Reading Panel II]])*1000</f>
        <v>3849.9999999994543</v>
      </c>
      <c r="FN9">
        <f>AI10-Table2[[#This Row],[3F1 Maintenance Workshop]]</f>
        <v>4.2528000000002066</v>
      </c>
      <c r="FO9">
        <f>BD10-Table2[[#This Row],[4F B2B unit ]]</f>
        <v>8.5760000000009313</v>
      </c>
      <c r="FP9">
        <f>BL10-Table2[[#This Row],[2F1 - PDB 6 - Bread, B2B section]]</f>
        <v>12.281600000002072</v>
      </c>
      <c r="FQ9">
        <f>(CG10-Table2[[#This Row],[9F5 - PDB 14 - Bread Lift]])</f>
        <v>3.8400000019464642E-2</v>
      </c>
      <c r="FR9">
        <f>CJ10-Table2[[#This Row],[PDB - 16 Bread Section]]</f>
        <v>0</v>
      </c>
      <c r="FS9">
        <f>BU10-Table2[[#This Row],[7F1 Donut Production area]]</f>
        <v>164.60800000000745</v>
      </c>
      <c r="FT9">
        <f>CB10-Table2[[#This Row],[8F5 Donut Ban Bary]]</f>
        <v>20.648000000001048</v>
      </c>
      <c r="FU9">
        <f>CF10-Table2[[#This Row],[9F4 - PDB 13 - Donut Sink Geyser area]]</f>
        <v>4.7039999999979045</v>
      </c>
      <c r="FV9">
        <f>BV10-Table2[[#This Row],[7F2 Flour Silo]]</f>
        <v>134.88000000000466</v>
      </c>
      <c r="FW9">
        <f>BY10-Table2[[#This Row],[8F2 ACPDB - 3 SILO Ventilation]]</f>
        <v>30.720000000001164</v>
      </c>
      <c r="FX9">
        <f>J10-Table2[[#This Row],[DG 1010KVA Running Hours]]</f>
        <v>0</v>
      </c>
      <c r="FY9">
        <f>K10-Table2[[#This Row],[DG 1010 KVA Meter Reading]]</f>
        <v>0</v>
      </c>
      <c r="FZ9">
        <f>L10-Table2[[#This Row],[GG 1010 KVA Running Hours]]</f>
        <v>0</v>
      </c>
      <c r="GA9">
        <f>M10-Table2[[#This Row],[GG 1010 KVA Meter Reading]]</f>
        <v>0</v>
      </c>
    </row>
    <row r="10" spans="1:183" x14ac:dyDescent="0.35">
      <c r="A10" s="1">
        <v>15</v>
      </c>
      <c r="B10" s="2">
        <v>46209.3660185185</v>
      </c>
      <c r="C10" s="2">
        <v>46209.394907407397</v>
      </c>
      <c r="D10" s="1" t="s">
        <v>111</v>
      </c>
      <c r="E10" s="1"/>
      <c r="F10" s="1"/>
      <c r="G10" s="3">
        <v>46208</v>
      </c>
      <c r="H10" s="1" t="s">
        <v>186</v>
      </c>
      <c r="I10" s="6">
        <v>5418.3519999999999</v>
      </c>
      <c r="J10" s="6">
        <v>4246.6000000000004</v>
      </c>
      <c r="K10" s="6">
        <v>1764904</v>
      </c>
      <c r="L10" s="6">
        <v>428</v>
      </c>
      <c r="M10" s="6">
        <v>178.31</v>
      </c>
      <c r="N10" s="6">
        <v>1841568.16</v>
      </c>
      <c r="O10" s="6">
        <v>4546649.5999999996</v>
      </c>
      <c r="P10" s="6">
        <v>634134.52800000005</v>
      </c>
      <c r="Q10" s="6">
        <v>8007534.0800000001</v>
      </c>
      <c r="R10" s="6">
        <v>5373911.6799999997</v>
      </c>
      <c r="S10" s="6">
        <v>7268300.7999999998</v>
      </c>
      <c r="T10" s="6">
        <v>370334.98700000002</v>
      </c>
      <c r="U10" s="6">
        <v>2066757.92</v>
      </c>
      <c r="V10" s="6">
        <v>5066399.3600000003</v>
      </c>
      <c r="W10" s="6">
        <v>1572.4866</v>
      </c>
      <c r="X10" s="6">
        <v>765877.44</v>
      </c>
      <c r="Y10" s="6">
        <v>1055361.1200000001</v>
      </c>
      <c r="Z10" s="6">
        <v>2777.8894</v>
      </c>
      <c r="AA10" s="6">
        <v>660081.28</v>
      </c>
      <c r="AB10" s="6">
        <v>420966.36800000002</v>
      </c>
      <c r="AC10" s="6">
        <v>2117468.48</v>
      </c>
      <c r="AD10" s="6">
        <v>2394225.0079999999</v>
      </c>
      <c r="AE10" s="6">
        <v>12601.152899999999</v>
      </c>
      <c r="AF10" s="6">
        <v>858280.83200000005</v>
      </c>
      <c r="AG10" s="6">
        <v>1366.8579999999999</v>
      </c>
      <c r="AH10" s="6">
        <v>129913.848</v>
      </c>
      <c r="AI10" s="6">
        <v>14474.8048</v>
      </c>
      <c r="AJ10" s="6">
        <v>145272.576</v>
      </c>
      <c r="AK10" s="6">
        <v>104907.32</v>
      </c>
      <c r="AL10" s="6">
        <v>328405.53600000002</v>
      </c>
      <c r="AM10" s="6">
        <v>973.55200000000002</v>
      </c>
      <c r="AN10" s="6">
        <v>273.2</v>
      </c>
      <c r="AO10" s="6">
        <v>7.4</v>
      </c>
      <c r="AP10" s="6">
        <v>174984</v>
      </c>
      <c r="AQ10" s="6">
        <v>42304</v>
      </c>
      <c r="AR10" s="6">
        <v>41760</v>
      </c>
      <c r="AS10" s="6">
        <v>32307</v>
      </c>
      <c r="AT10" s="6">
        <v>22056</v>
      </c>
      <c r="AU10" s="6">
        <v>14928</v>
      </c>
      <c r="AV10" s="6">
        <v>5940</v>
      </c>
      <c r="AW10" s="6">
        <v>20.725898000000001</v>
      </c>
      <c r="AX10" s="50">
        <v>7162.8119999999999</v>
      </c>
      <c r="AY10" s="6">
        <v>675.03488000000004</v>
      </c>
      <c r="AZ10" s="6">
        <v>20.788</v>
      </c>
      <c r="BA10" s="6">
        <v>9809.8269999999993</v>
      </c>
      <c r="BB10" s="6">
        <v>43.421999999999997</v>
      </c>
      <c r="BC10" s="6">
        <v>113978.504</v>
      </c>
      <c r="BD10" s="6">
        <v>274444.92800000001</v>
      </c>
      <c r="BE10" s="6">
        <v>3689.0619999999999</v>
      </c>
      <c r="BF10" s="6">
        <v>1712.0419999999999</v>
      </c>
      <c r="BG10" s="6">
        <v>74.132000000000005</v>
      </c>
      <c r="BH10" s="6">
        <v>354.34300000000002</v>
      </c>
      <c r="BI10" s="6">
        <v>901.27300000000002</v>
      </c>
      <c r="BJ10" s="6">
        <v>13.302</v>
      </c>
      <c r="BK10" s="6">
        <v>555.673</v>
      </c>
      <c r="BL10" s="6">
        <v>68216.102400000003</v>
      </c>
      <c r="BM10" s="6">
        <v>294935.136</v>
      </c>
      <c r="BN10" s="6">
        <v>7115.7359999999999</v>
      </c>
      <c r="BO10" s="6">
        <v>53504.764799999997</v>
      </c>
      <c r="BP10" s="6">
        <v>310512.67200000002</v>
      </c>
      <c r="BQ10" s="6">
        <v>319.26299999999998</v>
      </c>
      <c r="BR10" s="6">
        <v>177.898</v>
      </c>
      <c r="BS10" s="6">
        <v>976527.91899999999</v>
      </c>
      <c r="BT10" s="6">
        <v>1400481.1259999999</v>
      </c>
      <c r="BU10" s="6">
        <v>622947.45600000001</v>
      </c>
      <c r="BV10" s="6">
        <v>1008886.4</v>
      </c>
      <c r="BW10" s="6">
        <v>561916.54399999999</v>
      </c>
      <c r="BX10" s="6">
        <v>929130.36899999995</v>
      </c>
      <c r="BY10" s="6">
        <v>156281.856</v>
      </c>
      <c r="BZ10" s="6">
        <v>114139.96</v>
      </c>
      <c r="CA10" s="6">
        <v>1164.7992999999999</v>
      </c>
      <c r="CB10" s="6">
        <v>107068.6</v>
      </c>
      <c r="CC10" s="6">
        <v>147187.34400000001</v>
      </c>
      <c r="CD10" s="6">
        <v>441422.78399999999</v>
      </c>
      <c r="CE10" s="6">
        <v>49125.260799999996</v>
      </c>
      <c r="CF10" s="6">
        <v>155227.424</v>
      </c>
      <c r="CG10" s="6">
        <v>360750.10080000001</v>
      </c>
      <c r="CH10" s="6">
        <v>2385.8710000000001</v>
      </c>
      <c r="CI10" s="6">
        <v>210.16200000000001</v>
      </c>
      <c r="CJ10" s="6">
        <v>1165.4000000000001</v>
      </c>
      <c r="CK10" s="6">
        <v>76.731999999999999</v>
      </c>
      <c r="CL10" s="6">
        <v>718.42499999999995</v>
      </c>
      <c r="CM10" s="6">
        <v>551.4</v>
      </c>
      <c r="CN10" s="6">
        <v>33211.4</v>
      </c>
      <c r="CO10" s="6">
        <v>1624.922</v>
      </c>
      <c r="CP10" s="6">
        <v>280150.68300000002</v>
      </c>
      <c r="CQ10" s="6">
        <v>3650409.92</v>
      </c>
      <c r="CR10" s="6">
        <v>129220.928</v>
      </c>
      <c r="CS10" s="6">
        <v>505095.29599999997</v>
      </c>
      <c r="CT10" s="6">
        <v>2838022.8470000001</v>
      </c>
      <c r="CU10" s="6">
        <v>291125.39899999998</v>
      </c>
      <c r="CV10" s="6">
        <v>30115.913199999999</v>
      </c>
      <c r="CW10" s="6">
        <v>62081.881600000001</v>
      </c>
      <c r="CX10" s="6">
        <v>33162.4928</v>
      </c>
      <c r="CY10" s="6">
        <v>164317.448</v>
      </c>
      <c r="CZ10" s="6">
        <v>215998.78400000001</v>
      </c>
      <c r="DA10" s="6">
        <v>17650.47</v>
      </c>
      <c r="DB10" s="6">
        <v>147279.826</v>
      </c>
      <c r="DC10" s="6">
        <v>2863.48</v>
      </c>
      <c r="DD10" s="6">
        <v>2863.35</v>
      </c>
      <c r="DE10" s="6">
        <v>2886.07</v>
      </c>
      <c r="DF10" s="6">
        <v>0.998</v>
      </c>
      <c r="DG10" s="1" t="s">
        <v>187</v>
      </c>
      <c r="DH10" s="4">
        <f>Table2[[#This Row],[Date]]</f>
        <v>46208</v>
      </c>
      <c r="DI10">
        <f>(DD11-Table2[[#This Row],[MWH Total]])*4000</f>
        <v>17720.000000001164</v>
      </c>
      <c r="DJ10">
        <f>(DA11-Table2[[#This Row],[PNG Meter (Outside)]])*2.936</f>
        <v>98.94319999999145</v>
      </c>
      <c r="DK10">
        <f>(DB11-Table2[[#This Row],[PNG Meter (Inside)]])*2.936</f>
        <v>187.20816800001845</v>
      </c>
      <c r="DL10">
        <f>(BH11-Table2[[#This Row],[3F Dough cooler - 2 ]])*1000</f>
        <v>315.99999999997408</v>
      </c>
      <c r="DM10">
        <f>(BI11-Table2[[#This Row],[3F Dough Cooler- 1]])*1000</f>
        <v>629.99999999999545</v>
      </c>
      <c r="DN10">
        <f>(BJ11-Table2[[#This Row],[4F Dough Production cooling Unit]])*1000</f>
        <v>65.000000000001279</v>
      </c>
      <c r="DO10">
        <f>(BQ11-Table2[[#This Row],[3F2 - PDB 3 - Dough Production Area]])*1000</f>
        <v>274.00000000000091</v>
      </c>
      <c r="DP10">
        <f>(BR11-Table2[[#This Row],[3F3 - PDB 4 - Dough Area]])*1000</f>
        <v>158.00000000001546</v>
      </c>
      <c r="DQ10">
        <f>AC11-Table2[[#This Row],[16F1 Tray washer Panel for Light]]</f>
        <v>711.20000000018626</v>
      </c>
      <c r="DR10">
        <f>CQ11-Table2[[#This Row],[2F1 Tray Washer - 1]]</f>
        <v>1769.9199999999255</v>
      </c>
      <c r="DS10">
        <f>CS11-Table2[[#This Row],[2F5 Destacker]]</f>
        <v>529.31200000003446</v>
      </c>
      <c r="DT10">
        <f>CU11-Table2[[#This Row],[5F1 Metering (TW-2)]]</f>
        <v>277.66600000002654</v>
      </c>
      <c r="DU10">
        <f>CV11-Table2[[#This Row],[6F1 Pre soaker Tray washer]]</f>
        <v>2.9999999969732016E-4</v>
      </c>
      <c r="DV10">
        <f>CZ11-Table2[[#This Row],[6F5 Vent tray Storage]]</f>
        <v>52.031999999977415</v>
      </c>
      <c r="DW10">
        <f>I11-Table2[[#This Row],[Popeyes Meter ]]</f>
        <v>15.800000000000182</v>
      </c>
      <c r="DX10">
        <f>AZ11-Table2[[#This Row],[2F WH Chiller, Segregation Area]]</f>
        <v>0</v>
      </c>
      <c r="DY10">
        <f>BA11-Table2[[#This Row],[3F1 AC Unit WH dock cooling - 2 Nos]]</f>
        <v>21.360000000000582</v>
      </c>
      <c r="DZ10">
        <f>BB11-Table2[[#This Row],[3F2 AC Unit WH dock cooling - 3 Nos]]</f>
        <v>7.0000000000000284E-2</v>
      </c>
      <c r="EA10">
        <f>(BK11-Table2[[#This Row],[5F WH Perishable]])*1000</f>
        <v>413.00000000001091</v>
      </c>
      <c r="EB10">
        <f>BN11-Table2[[#This Row],[2F3 - PDB 9 - WH Dock Leveler Door ]]</f>
        <v>11.695200000000114</v>
      </c>
      <c r="EC10">
        <f>BP11-Table2[[#This Row],[3F1 - PDB 5 - WH HSD]]</f>
        <v>137.69599999999627</v>
      </c>
      <c r="ED10">
        <f>BX11-Table2[[#This Row],[8F1 WH Dock AHU - Ventilation]]</f>
        <v>3761.2790000000969</v>
      </c>
      <c r="EE10">
        <f>BZ11-Table2[[#This Row],[8F3 ACPDB - 4 WH Dock air curtain]]</f>
        <v>25.719999999986612</v>
      </c>
      <c r="EF10">
        <f>CA11-Table2[[#This Row],[8F4 WH Light]]</f>
        <v>3.7877000000000862</v>
      </c>
      <c r="EG10">
        <f>CC11-Table2[[#This Row],[9F1 - PDB 10 - WH Dock door &amp; Office]]</f>
        <v>123.63199999998324</v>
      </c>
      <c r="EH10">
        <f>CD11-Table2[[#This Row],[9F2 - PDB 11 - WH flycatchers]]</f>
        <v>106.68800000002375</v>
      </c>
      <c r="EI10">
        <f>CE11-Table2[[#This Row],[9F3 - PDB 12 - Other items]]</f>
        <v>0</v>
      </c>
      <c r="EJ10">
        <f>CR11-Table2[[#This Row],[2F3 - PDB 1 - Dock 1 to 4 ]]</f>
        <v>79.81600000000617</v>
      </c>
      <c r="EK10">
        <f>BM11-Table2[[#This Row],[2F2 - PDB 3 - WH Truck &amp; Battery Charging]]</f>
        <v>520.60800000000745</v>
      </c>
      <c r="EL10">
        <f>(CK11-Table2[[#This Row],[PDB - 11 Truck Charging]])*1000</f>
        <v>22.000000000005571</v>
      </c>
      <c r="EM10">
        <f>P11-Table2[[#This Row],[5F3 Admin Area]]</f>
        <v>547.8399999999674</v>
      </c>
      <c r="EN10">
        <f>AH11-Table2[[#This Row],[2F5 Main Gate-1 Piller -1]]</f>
        <v>142.9600000000064</v>
      </c>
      <c r="EO10">
        <f>CW11-Table2[[#This Row],[6F2 Ground Floor AC]]</f>
        <v>43.334399999999732</v>
      </c>
      <c r="EP10">
        <f>CX11-Table2[[#This Row],[6F3 ACBD -1 (First floor AC)]]</f>
        <v>15.238400000002002</v>
      </c>
      <c r="EQ10">
        <f>CY11-Table2[[#This Row],[6F4 ACBD - 2 (Second &amp; Third floor AC)]]</f>
        <v>122.76000000000931</v>
      </c>
      <c r="ER10">
        <f>(BC11-Table2[[#This Row],[4F Old BMC cooling Unit]])</f>
        <v>0</v>
      </c>
      <c r="ES10">
        <f>BO11-Table2[[#This Row],[2F4 - Old BMC]]</f>
        <v>0.95360000000073342</v>
      </c>
      <c r="ET10">
        <f>Y11-Table2[[#This Row],[14F2 New CK]]</f>
        <v>548.15999999991618</v>
      </c>
      <c r="EU10">
        <f>(CL11-Table2[[#This Row],[OLD Ck Panel-1]])*1000</f>
        <v>123.00000000004729</v>
      </c>
      <c r="EV10">
        <f>CM11-Table2[[#This Row],[2F4 Old CK Blast (Blue star)]]</f>
        <v>0</v>
      </c>
      <c r="EW10">
        <f>CN11-Table2[[#This Row],[3F6 Old CK Blast (Carrier)]]</f>
        <v>0.29999999999563443</v>
      </c>
      <c r="EX10">
        <f>(CO11-Table2[[#This Row],[Old CK Panel -2]])*1000</f>
        <v>947.99999999986539</v>
      </c>
      <c r="EY10">
        <f>N11-Table2[[#This Row],[4F1 Main UPS 1/C -1]]</f>
        <v>949.28000000002794</v>
      </c>
      <c r="EZ10">
        <f>Z11-Table2[[#This Row],[15F1 Main UPS Panel - I/C - 2]]</f>
        <v>0</v>
      </c>
      <c r="FA10">
        <f>BF11-Table2[[#This Row],[2F CLC -1 AC unit - 2]]</f>
        <v>0</v>
      </c>
      <c r="FB10">
        <f>(BG11-Table2[[#This Row],[2F CLC Anti room]])*1000</f>
        <v>4.9999999999954525</v>
      </c>
      <c r="FC10">
        <f>BW11-Table2[[#This Row],[7F3 CLC Power Panel]]</f>
        <v>170.49600000004284</v>
      </c>
      <c r="FD10">
        <f>(CI11-Table2[[#This Row],[PDB - 17 CLC Section ]])*1000</f>
        <v>122.99999999999045</v>
      </c>
      <c r="FE10">
        <f>(W11-Table2[[#This Row],[13F3 Water &amp; Lift Old CK]])*1000</f>
        <v>1315.0000000000546</v>
      </c>
      <c r="FF10">
        <f>AA11-Table2[[#This Row],[15F2 New ETP Panel]]</f>
        <v>293.76000000000931</v>
      </c>
      <c r="FG10">
        <f>AL11-Table2[[#This Row],[3F4 Old ETP Panel]]</f>
        <v>77.759999999951106</v>
      </c>
      <c r="FH10">
        <f>AF11-Table2[[#This Row],[2F1 RO Plant]]</f>
        <v>725.24799999990501</v>
      </c>
      <c r="FI10">
        <f>AK11-Table2[[#This Row],[3F3 Fire Hydrant Panel]]</f>
        <v>14.144000000000233</v>
      </c>
      <c r="FJ10">
        <f>R11-Table2[[#This Row],[7F1 Freon System Panel]]</f>
        <v>4631.0400000000373</v>
      </c>
      <c r="FK10">
        <f>(AE11-Table2[[#This Row],[21F1 Refrigeration Ammonia]])*1000</f>
        <v>7341.5000000004511</v>
      </c>
      <c r="FL10">
        <f>(AG11-Table2[[#This Row],[2F3 Air Compressor]])*1000</f>
        <v>1180.0000000000637</v>
      </c>
      <c r="FM10" s="49">
        <f>(AX11-Table2[[#This Row],[Solar Reading Panel II]])*1000</f>
        <v>3449.9999999998181</v>
      </c>
      <c r="FN10">
        <f>AI11-Table2[[#This Row],[3F1 Maintenance Workshop]]</f>
        <v>5.9104000000006636</v>
      </c>
      <c r="FO10">
        <f>BD11-Table2[[#This Row],[4F B2B unit ]]</f>
        <v>18.11199999996461</v>
      </c>
      <c r="FP10">
        <f>BL11-Table2[[#This Row],[2F1 - PDB 6 - Bread, B2B section]]</f>
        <v>15.724799999996321</v>
      </c>
      <c r="FQ10">
        <f>(CG11-Table2[[#This Row],[9F5 - PDB 14 - Bread Lift]])</f>
        <v>0.23040000000037253</v>
      </c>
      <c r="FR10">
        <f>CJ11-Table2[[#This Row],[PDB - 16 Bread Section]]</f>
        <v>0</v>
      </c>
      <c r="FS10">
        <f>BU11-Table2[[#This Row],[7F1 Donut Production area]]</f>
        <v>256.95999999996275</v>
      </c>
      <c r="FT10">
        <f>CB11-Table2[[#This Row],[8F5 Donut Ban Bary]]</f>
        <v>75.423999999999069</v>
      </c>
      <c r="FU10">
        <f>CF11-Table2[[#This Row],[9F4 - PDB 13 - Donut Sink Geyser area]]</f>
        <v>30.703999999997905</v>
      </c>
      <c r="FV10">
        <f>BV11-Table2[[#This Row],[7F2 Flour Silo]]</f>
        <v>592</v>
      </c>
      <c r="FW10">
        <f>BY11-Table2[[#This Row],[8F2 ACPDB - 3 SILO Ventilation]]</f>
        <v>66.079999999987194</v>
      </c>
      <c r="FX10">
        <f>J11-Table2[[#This Row],[DG 1010KVA Running Hours]]</f>
        <v>1</v>
      </c>
      <c r="FY10">
        <f>K11-Table2[[#This Row],[DG 1010 KVA Meter Reading]]</f>
        <v>340</v>
      </c>
      <c r="FZ10">
        <f>L11-Table2[[#This Row],[GG 1010 KVA Running Hours]]</f>
        <v>1</v>
      </c>
      <c r="GA10">
        <f>M11-Table2[[#This Row],[GG 1010 KVA Meter Reading]]</f>
        <v>0.30000000000001137</v>
      </c>
    </row>
    <row r="11" spans="1:183" x14ac:dyDescent="0.35">
      <c r="A11" s="1">
        <v>16</v>
      </c>
      <c r="B11" s="2">
        <v>46209.395324074103</v>
      </c>
      <c r="C11" s="2">
        <v>46209.443171296298</v>
      </c>
      <c r="D11" s="1" t="s">
        <v>111</v>
      </c>
      <c r="E11" s="1"/>
      <c r="F11" s="1"/>
      <c r="G11" s="3">
        <v>46209</v>
      </c>
      <c r="H11" s="1" t="s">
        <v>112</v>
      </c>
      <c r="I11" s="6">
        <v>5434.152</v>
      </c>
      <c r="J11" s="6">
        <v>4247.6000000000004</v>
      </c>
      <c r="K11" s="6">
        <v>1765244</v>
      </c>
      <c r="L11" s="6">
        <v>429</v>
      </c>
      <c r="M11" s="6">
        <v>178.61</v>
      </c>
      <c r="N11" s="6">
        <v>1842517.44</v>
      </c>
      <c r="O11" s="6">
        <v>4548634.88</v>
      </c>
      <c r="P11" s="6">
        <v>634682.36800000002</v>
      </c>
      <c r="Q11" s="6">
        <v>8010314.8799999999</v>
      </c>
      <c r="R11" s="6">
        <v>5378542.7199999997</v>
      </c>
      <c r="S11" s="6">
        <v>7271792</v>
      </c>
      <c r="T11" s="6">
        <v>42850238.284000002</v>
      </c>
      <c r="U11" s="6">
        <v>2067743.2</v>
      </c>
      <c r="V11" s="6">
        <v>5067736</v>
      </c>
      <c r="W11" s="6">
        <v>1573.8016</v>
      </c>
      <c r="X11" s="6">
        <v>766110.20799999998</v>
      </c>
      <c r="Y11" s="6">
        <v>1055909.28</v>
      </c>
      <c r="Z11" s="6">
        <v>2777.8894</v>
      </c>
      <c r="AA11" s="6">
        <v>660375.04000000004</v>
      </c>
      <c r="AB11" s="6">
        <v>420976.35200000001</v>
      </c>
      <c r="AC11" s="6">
        <v>2118179.6800000002</v>
      </c>
      <c r="AD11" s="6">
        <v>2402991.3149999999</v>
      </c>
      <c r="AE11" s="6">
        <v>12608.4944</v>
      </c>
      <c r="AF11" s="6">
        <v>859006.08</v>
      </c>
      <c r="AG11" s="6">
        <v>1368.038</v>
      </c>
      <c r="AH11" s="6">
        <v>130056.808</v>
      </c>
      <c r="AI11" s="6">
        <v>14480.715200000001</v>
      </c>
      <c r="AJ11" s="6">
        <v>145274.75200000001</v>
      </c>
      <c r="AK11" s="6">
        <v>104921.46400000001</v>
      </c>
      <c r="AL11" s="6">
        <v>328483.29599999997</v>
      </c>
      <c r="AM11" s="6">
        <v>974.26400000000001</v>
      </c>
      <c r="AN11" s="6">
        <v>263.8</v>
      </c>
      <c r="AO11" s="6">
        <v>7.1</v>
      </c>
      <c r="AP11" s="6">
        <v>185275</v>
      </c>
      <c r="AQ11" s="6">
        <v>42305</v>
      </c>
      <c r="AR11" s="6">
        <v>41760</v>
      </c>
      <c r="AS11" s="6">
        <v>0</v>
      </c>
      <c r="AT11" s="6">
        <v>0</v>
      </c>
      <c r="AU11" s="6">
        <v>14956</v>
      </c>
      <c r="AV11" s="6">
        <v>5959</v>
      </c>
      <c r="AW11" s="6">
        <v>20.733248</v>
      </c>
      <c r="AX11" s="50">
        <v>7166.2619999999997</v>
      </c>
      <c r="AY11" s="6">
        <v>675.16368</v>
      </c>
      <c r="AZ11" s="6">
        <v>20.788</v>
      </c>
      <c r="BA11" s="6">
        <v>9831.1869999999999</v>
      </c>
      <c r="BB11" s="6">
        <v>43.491999999999997</v>
      </c>
      <c r="BC11" s="6">
        <v>113978.504</v>
      </c>
      <c r="BD11" s="6">
        <v>274463.03999999998</v>
      </c>
      <c r="BE11" s="6">
        <v>3690.4140000000002</v>
      </c>
      <c r="BF11" s="6">
        <v>1712.0419999999999</v>
      </c>
      <c r="BG11" s="6">
        <v>74.137</v>
      </c>
      <c r="BH11" s="6">
        <v>354.65899999999999</v>
      </c>
      <c r="BI11" s="6">
        <v>901.90300000000002</v>
      </c>
      <c r="BJ11" s="6">
        <v>13.367000000000001</v>
      </c>
      <c r="BK11" s="6">
        <v>556.08600000000001</v>
      </c>
      <c r="BL11" s="6">
        <v>68231.8272</v>
      </c>
      <c r="BM11" s="6">
        <v>295455.74400000001</v>
      </c>
      <c r="BN11" s="6">
        <v>7127.4312</v>
      </c>
      <c r="BO11" s="6">
        <v>53505.718399999998</v>
      </c>
      <c r="BP11" s="6">
        <v>310650.36800000002</v>
      </c>
      <c r="BQ11" s="6">
        <v>319.53699999999998</v>
      </c>
      <c r="BR11" s="6">
        <v>178.05600000000001</v>
      </c>
      <c r="BS11" s="6">
        <v>977657.59900000005</v>
      </c>
      <c r="BT11" s="6">
        <v>1400509.4129999999</v>
      </c>
      <c r="BU11" s="6">
        <v>623204.41599999997</v>
      </c>
      <c r="BV11" s="6">
        <v>1009478.4</v>
      </c>
      <c r="BW11" s="6">
        <v>562087.04</v>
      </c>
      <c r="BX11" s="6">
        <v>932891.64800000004</v>
      </c>
      <c r="BY11" s="6">
        <v>156347.93599999999</v>
      </c>
      <c r="BZ11" s="6">
        <v>114165.68</v>
      </c>
      <c r="CA11" s="6">
        <v>1168.587</v>
      </c>
      <c r="CB11" s="6">
        <v>107144.024</v>
      </c>
      <c r="CC11" s="6">
        <v>147310.976</v>
      </c>
      <c r="CD11" s="6">
        <v>441529.47200000001</v>
      </c>
      <c r="CE11" s="6">
        <v>49125.260799999996</v>
      </c>
      <c r="CF11" s="6">
        <v>155258.128</v>
      </c>
      <c r="CG11" s="6">
        <v>360750.33120000002</v>
      </c>
      <c r="CH11" s="6">
        <v>2385.8710000000001</v>
      </c>
      <c r="CI11" s="6">
        <v>210.285</v>
      </c>
      <c r="CJ11" s="6">
        <v>1165.4000000000001</v>
      </c>
      <c r="CK11" s="6">
        <v>76.754000000000005</v>
      </c>
      <c r="CL11" s="6">
        <v>718.548</v>
      </c>
      <c r="CM11" s="6">
        <v>551.4</v>
      </c>
      <c r="CN11" s="6">
        <v>33211.699999999997</v>
      </c>
      <c r="CO11" s="6">
        <v>1625.87</v>
      </c>
      <c r="CP11" s="6">
        <v>290373.33299999998</v>
      </c>
      <c r="CQ11" s="6">
        <v>3652179.84</v>
      </c>
      <c r="CR11" s="6">
        <v>129300.74400000001</v>
      </c>
      <c r="CS11" s="6">
        <v>505624.60800000001</v>
      </c>
      <c r="CT11" s="6">
        <v>2842347.7949999999</v>
      </c>
      <c r="CU11" s="6">
        <v>291403.065</v>
      </c>
      <c r="CV11" s="6">
        <v>30115.913499999999</v>
      </c>
      <c r="CW11" s="6">
        <v>62125.216</v>
      </c>
      <c r="CX11" s="6">
        <v>33177.731200000002</v>
      </c>
      <c r="CY11" s="6">
        <v>164440.20800000001</v>
      </c>
      <c r="CZ11" s="6">
        <v>216050.81599999999</v>
      </c>
      <c r="DA11" s="6">
        <v>17684.169999999998</v>
      </c>
      <c r="DB11" s="6">
        <v>147343.58900000001</v>
      </c>
      <c r="DC11" s="6">
        <v>2867.91</v>
      </c>
      <c r="DD11" s="6">
        <v>2867.78</v>
      </c>
      <c r="DE11" s="6">
        <v>2890.55</v>
      </c>
      <c r="DF11" s="6">
        <v>0.998</v>
      </c>
      <c r="DG11" s="1" t="s">
        <v>189</v>
      </c>
      <c r="DH11" s="4">
        <f>Table2[[#This Row],[Date]]</f>
        <v>46209</v>
      </c>
      <c r="DI11">
        <f>(DD12-Table2[[#This Row],[MWH Total]])*4000</f>
        <v>23839.999999998327</v>
      </c>
      <c r="DJ11">
        <f>(DA12-Table2[[#This Row],[PNG Meter (Outside)]])*2.936</f>
        <v>203.64096000000171</v>
      </c>
      <c r="DK11">
        <f>(DB12-Table2[[#This Row],[PNG Meter (Inside)]])*2.936</f>
        <v>291.01338400001777</v>
      </c>
      <c r="DL11">
        <f>(BH12-Table2[[#This Row],[3F Dough cooler - 2 ]])*1000</f>
        <v>275.00000000003411</v>
      </c>
      <c r="DM11">
        <f>(BI12-Table2[[#This Row],[3F Dough Cooler- 1]])*1000</f>
        <v>463.99999999994179</v>
      </c>
      <c r="DN11">
        <f>(BJ12-Table2[[#This Row],[4F Dough Production cooling Unit]])*1000</f>
        <v>42.999999999999261</v>
      </c>
      <c r="DO11">
        <f>(BQ12-Table2[[#This Row],[3F2 - PDB 3 - Dough Production Area]])*1000</f>
        <v>189.99999999999773</v>
      </c>
      <c r="DP11">
        <f>(BR12-Table2[[#This Row],[3F3 - PDB 4 - Dough Area]])*1000</f>
        <v>110.99999999999</v>
      </c>
      <c r="DQ11">
        <f>AC12-Table2[[#This Row],[16F1 Tray washer Panel for Light]]</f>
        <v>636.63999999966472</v>
      </c>
      <c r="DR11">
        <f>CQ12-Table2[[#This Row],[2F1 Tray Washer - 1]]</f>
        <v>1072.9599999999627</v>
      </c>
      <c r="DS11">
        <f>CS12-Table2[[#This Row],[2F5 Destacker]]</f>
        <v>359.93599999998696</v>
      </c>
      <c r="DT11">
        <f>CU12-Table2[[#This Row],[5F1 Metering (TW-2)]]</f>
        <v>245.98599999997532</v>
      </c>
      <c r="DU11">
        <f>CV12-Table2[[#This Row],[6F1 Pre soaker Tray washer]]</f>
        <v>2.1473000000005413</v>
      </c>
      <c r="DV11">
        <f>CZ12-Table2[[#This Row],[6F5 Vent tray Storage]]</f>
        <v>62.271999999997206</v>
      </c>
      <c r="DW11">
        <f>I12-Table2[[#This Row],[Popeyes Meter ]]</f>
        <v>63.519999999999527</v>
      </c>
      <c r="DX11">
        <f>AZ12-Table2[[#This Row],[2F WH Chiller, Segregation Area]]</f>
        <v>0</v>
      </c>
      <c r="DY11">
        <f>BA12-Table2[[#This Row],[3F1 AC Unit WH dock cooling - 2 Nos]]</f>
        <v>18.020000000000437</v>
      </c>
      <c r="DZ11">
        <f>BB12-Table2[[#This Row],[3F2 AC Unit WH dock cooling - 3 Nos]]</f>
        <v>4.700000000000415E-2</v>
      </c>
      <c r="EA11">
        <f>(BK12-Table2[[#This Row],[5F WH Perishable]])*1000</f>
        <v>303.99999999997362</v>
      </c>
      <c r="EB11">
        <f>BN12-Table2[[#This Row],[2F3 - PDB 9 - WH Dock Leveler Door ]]</f>
        <v>5.5432000000000698</v>
      </c>
      <c r="EC11">
        <f>BP12-Table2[[#This Row],[3F1 - PDB 5 - WH HSD]]</f>
        <v>153.31199999997625</v>
      </c>
      <c r="ED11">
        <f>BX12-Table2[[#This Row],[8F1 WH Dock AHU - Ventilation]]</f>
        <v>2320.8319999999367</v>
      </c>
      <c r="EE11">
        <f>BZ12-Table2[[#This Row],[8F3 ACPDB - 4 WH Dock air curtain]]</f>
        <v>24.552000000010594</v>
      </c>
      <c r="EF11">
        <f>CA12-Table2[[#This Row],[8F4 WH Light]]</f>
        <v>2.6750999999999294</v>
      </c>
      <c r="EG11">
        <f>CC12-Table2[[#This Row],[9F1 - PDB 10 - WH Dock door &amp; Office]]</f>
        <v>98.38399999999092</v>
      </c>
      <c r="EH11">
        <f>CD12-Table2[[#This Row],[9F2 - PDB 11 - WH flycatchers]]</f>
        <v>209.79200000001583</v>
      </c>
      <c r="EI11">
        <f>CE12-Table2[[#This Row],[9F3 - PDB 12 - Other items]]</f>
        <v>0</v>
      </c>
      <c r="EJ11">
        <f>CR12-Table2[[#This Row],[2F3 - PDB 1 - Dock 1 to 4 ]]</f>
        <v>69.007999999987078</v>
      </c>
      <c r="EK11">
        <f>BM12-Table2[[#This Row],[2F2 - PDB 3 - WH Truck &amp; Battery Charging]]</f>
        <v>653.0559999999823</v>
      </c>
      <c r="EL11">
        <f>(CK12-Table2[[#This Row],[PDB - 11 Truck Charging]])*1000</f>
        <v>70.999999999997954</v>
      </c>
      <c r="EM11">
        <f>P12-Table2[[#This Row],[5F3 Admin Area]]</f>
        <v>374.52799999993294</v>
      </c>
      <c r="EN11">
        <f>AH12-Table2[[#This Row],[2F5 Main Gate-1 Piller -1]]</f>
        <v>145.45599999999104</v>
      </c>
      <c r="EO11">
        <f>CW12-Table2[[#This Row],[6F2 Ground Floor AC]]</f>
        <v>29.99040000000241</v>
      </c>
      <c r="EP11">
        <f>CX12-Table2[[#This Row],[6F3 ACBD -1 (First floor AC)]]</f>
        <v>17.929599999995844</v>
      </c>
      <c r="EQ11">
        <f>CY12-Table2[[#This Row],[6F4 ACBD - 2 (Second &amp; Third floor AC)]]</f>
        <v>94.271999999997206</v>
      </c>
      <c r="ER11">
        <f>(BC12-Table2[[#This Row],[4F Old BMC cooling Unit]])</f>
        <v>0</v>
      </c>
      <c r="ES11">
        <f>BO12-Table2[[#This Row],[2F4 - Old BMC]]</f>
        <v>0</v>
      </c>
      <c r="ET11">
        <f>Y12-Table2[[#This Row],[14F2 New CK]]</f>
        <v>1339.4399999999441</v>
      </c>
      <c r="EU11">
        <f>(CL12-Table2[[#This Row],[OLD Ck Panel-1]])*1000</f>
        <v>634.99999999999091</v>
      </c>
      <c r="EV11">
        <f>CM12-Table2[[#This Row],[2F4 Old CK Blast (Blue star)]]</f>
        <v>0</v>
      </c>
      <c r="EW11">
        <f>CN12-Table2[[#This Row],[3F6 Old CK Blast (Carrier)]]</f>
        <v>530.20000000000437</v>
      </c>
      <c r="EX11">
        <f>(CO12-Table2[[#This Row],[Old CK Panel -2]])*1000</f>
        <v>900.00000000009095</v>
      </c>
      <c r="EY11">
        <f>N12-Table2[[#This Row],[4F1 Main UPS 1/C -1]]</f>
        <v>875.19999999995343</v>
      </c>
      <c r="EZ11">
        <f>Z12-Table2[[#This Row],[15F1 Main UPS Panel - I/C - 2]]</f>
        <v>0</v>
      </c>
      <c r="FA11">
        <f>BF12-Table2[[#This Row],[2F CLC -1 AC unit - 2]]</f>
        <v>0</v>
      </c>
      <c r="FB11">
        <f>(BG12-Table2[[#This Row],[2F CLC Anti room]])*1000</f>
        <v>33.000000000001251</v>
      </c>
      <c r="FC11">
        <f>BW12-Table2[[#This Row],[7F3 CLC Power Panel]]</f>
        <v>198.14399999997113</v>
      </c>
      <c r="FD11">
        <f>(CI12-Table2[[#This Row],[PDB - 17 CLC Section ]])*1000</f>
        <v>134.99999999999091</v>
      </c>
      <c r="FE11">
        <f>(W12-Table2[[#This Row],[13F3 Water &amp; Lift Old CK]])*1000</f>
        <v>496.10000000006949</v>
      </c>
      <c r="FF11">
        <f>AA12-Table2[[#This Row],[15F2 New ETP Panel]]</f>
        <v>256.89599999994971</v>
      </c>
      <c r="FG11">
        <f>AL12-Table2[[#This Row],[3F4 Old ETP Panel]]</f>
        <v>74.496000000042841</v>
      </c>
      <c r="FH11">
        <f>AF12-Table2[[#This Row],[2F1 RO Plant]]</f>
        <v>595.96799999999348</v>
      </c>
      <c r="FI11">
        <f>AK12-Table2[[#This Row],[3F3 Fire Hydrant Panel]]</f>
        <v>8.8399999999965075</v>
      </c>
      <c r="FJ11">
        <f>R12-Table2[[#This Row],[7F1 Freon System Panel]]</f>
        <v>5694.0800000000745</v>
      </c>
      <c r="FK11">
        <f>(AE12-Table2[[#This Row],[21F1 Refrigeration Ammonia]])*1000</f>
        <v>7471.1999999999534</v>
      </c>
      <c r="FL11">
        <f>(AG12-Table2[[#This Row],[2F3 Air Compressor]])*1000</f>
        <v>1004.9999999998818</v>
      </c>
      <c r="FM11">
        <f>(AX12-Table2[[#This Row],[Solar Reading Panel II]])*1000</f>
        <v>3650.0000000005457</v>
      </c>
      <c r="FN11">
        <f>AI12-Table2[[#This Row],[3F1 Maintenance Workshop]]</f>
        <v>4.5615999999990891</v>
      </c>
      <c r="FO11">
        <f>BD12-Table2[[#This Row],[4F B2B unit ]]</f>
        <v>34.592000000004191</v>
      </c>
      <c r="FP11">
        <f>BL12-Table2[[#This Row],[2F1 - PDB 6 - Bread, B2B section]]</f>
        <v>56.14079999999376</v>
      </c>
      <c r="FQ11">
        <f>(CG12-Table2[[#This Row],[9F5 - PDB 14 - Bread Lift]])</f>
        <v>0.12479999999050051</v>
      </c>
      <c r="FR11">
        <f>CJ12-Table2[[#This Row],[PDB - 16 Bread Section]]</f>
        <v>0</v>
      </c>
      <c r="FS11">
        <f>BU12-Table2[[#This Row],[7F1 Donut Production area]]</f>
        <v>223.23200000007637</v>
      </c>
      <c r="FT11">
        <f>CB12-Table2[[#This Row],[8F5 Donut Ban Bary]]</f>
        <v>65.072000000000116</v>
      </c>
      <c r="FU11">
        <f>CF12-Table2[[#This Row],[9F4 - PDB 13 - Donut Sink Geyser area]]</f>
        <v>12.512000000016997</v>
      </c>
      <c r="FV11">
        <f>BV12-Table2[[#This Row],[7F2 Flour Silo]]</f>
        <v>419.43999999994412</v>
      </c>
      <c r="FW11">
        <f>BY12-Table2[[#This Row],[8F2 ACPDB - 3 SILO Ventilation]]</f>
        <v>46.960000000020955</v>
      </c>
      <c r="FX11">
        <f>J12-Table2[[#This Row],[DG 1010KVA Running Hours]]</f>
        <v>0.7999999999992724</v>
      </c>
      <c r="FY11">
        <f>K12-Table2[[#This Row],[DG 1010 KVA Meter Reading]]</f>
        <v>447</v>
      </c>
      <c r="FZ11">
        <f>L12-Table2[[#This Row],[GG 1010 KVA Running Hours]]</f>
        <v>1</v>
      </c>
      <c r="GA11">
        <f>M12-Table2[[#This Row],[GG 1010 KVA Meter Reading]]</f>
        <v>0.45999999999997954</v>
      </c>
    </row>
    <row r="12" spans="1:183" x14ac:dyDescent="0.35">
      <c r="A12" s="1">
        <v>18</v>
      </c>
      <c r="B12" s="2">
        <v>46210.355231481502</v>
      </c>
      <c r="C12" s="2">
        <v>46210.413530092599</v>
      </c>
      <c r="D12" s="1" t="s">
        <v>111</v>
      </c>
      <c r="E12" s="1"/>
      <c r="F12" s="1"/>
      <c r="G12" s="3">
        <v>46210</v>
      </c>
      <c r="H12" s="1" t="s">
        <v>112</v>
      </c>
      <c r="I12" s="6">
        <v>5497.6719999999996</v>
      </c>
      <c r="J12" s="6">
        <v>4248.3999999999996</v>
      </c>
      <c r="K12" s="6">
        <v>1765691</v>
      </c>
      <c r="L12" s="6">
        <v>430</v>
      </c>
      <c r="M12" s="6">
        <v>179.07</v>
      </c>
      <c r="N12" s="6">
        <v>1843392.64</v>
      </c>
      <c r="O12" s="6">
        <v>4550341.12</v>
      </c>
      <c r="P12" s="6">
        <v>635056.89599999995</v>
      </c>
      <c r="Q12" s="6">
        <v>8013418.8799999999</v>
      </c>
      <c r="R12" s="6">
        <v>5384236.7999999998</v>
      </c>
      <c r="S12" s="6">
        <v>7274763.5199999996</v>
      </c>
      <c r="T12" s="6">
        <v>42434965.545999996</v>
      </c>
      <c r="U12" s="6">
        <v>2068987.04</v>
      </c>
      <c r="V12" s="6">
        <v>5068927.3600000003</v>
      </c>
      <c r="W12" s="6">
        <v>1574.2977000000001</v>
      </c>
      <c r="X12" s="6">
        <v>766362.17599999998</v>
      </c>
      <c r="Y12" s="6">
        <v>1057248.72</v>
      </c>
      <c r="Z12" s="6">
        <v>2777.8894</v>
      </c>
      <c r="AA12" s="6">
        <v>660631.93599999999</v>
      </c>
      <c r="AB12" s="6">
        <v>420988.70400000003</v>
      </c>
      <c r="AC12" s="6">
        <v>2118816.3199999998</v>
      </c>
      <c r="AD12" s="6">
        <v>2411364.199</v>
      </c>
      <c r="AE12" s="6">
        <v>12615.9656</v>
      </c>
      <c r="AF12" s="6">
        <v>859602.04799999995</v>
      </c>
      <c r="AG12" s="6">
        <v>1369.0429999999999</v>
      </c>
      <c r="AH12" s="6">
        <v>130202.264</v>
      </c>
      <c r="AI12" s="6">
        <v>14485.2768</v>
      </c>
      <c r="AJ12" s="6">
        <v>145278.68799999999</v>
      </c>
      <c r="AK12" s="6">
        <v>104930.304</v>
      </c>
      <c r="AL12" s="6">
        <v>328557.79200000002</v>
      </c>
      <c r="AM12" s="6">
        <v>974.79399999999998</v>
      </c>
      <c r="AN12" s="6">
        <v>221</v>
      </c>
      <c r="AO12" s="6">
        <v>7</v>
      </c>
      <c r="AP12" s="6">
        <v>194225</v>
      </c>
      <c r="AQ12" s="6">
        <v>42305</v>
      </c>
      <c r="AR12" s="6">
        <v>41760</v>
      </c>
      <c r="AS12" s="6">
        <v>0</v>
      </c>
      <c r="AT12" s="6">
        <v>0</v>
      </c>
      <c r="AU12" s="6">
        <v>14979</v>
      </c>
      <c r="AV12" s="6">
        <v>5975</v>
      </c>
      <c r="AW12" s="6">
        <v>20.740563999999999</v>
      </c>
      <c r="AX12" s="50">
        <v>7169.9120000000003</v>
      </c>
      <c r="AY12" s="6">
        <v>675.27927999999997</v>
      </c>
      <c r="AZ12" s="6">
        <v>20.788</v>
      </c>
      <c r="BA12" s="6">
        <v>9849.2070000000003</v>
      </c>
      <c r="BB12" s="6">
        <v>43.539000000000001</v>
      </c>
      <c r="BC12" s="6">
        <v>113978.504</v>
      </c>
      <c r="BD12" s="6">
        <v>274497.63199999998</v>
      </c>
      <c r="BE12" s="6">
        <v>3691.4476</v>
      </c>
      <c r="BF12" s="6">
        <v>1712.0419999999999</v>
      </c>
      <c r="BG12" s="6">
        <v>74.17</v>
      </c>
      <c r="BH12" s="6">
        <v>354.93400000000003</v>
      </c>
      <c r="BI12" s="6">
        <v>902.36699999999996</v>
      </c>
      <c r="BJ12" s="6">
        <v>13.41</v>
      </c>
      <c r="BK12" s="6">
        <v>556.39</v>
      </c>
      <c r="BL12" s="6">
        <v>68287.967999999993</v>
      </c>
      <c r="BM12" s="6">
        <v>296108.79999999999</v>
      </c>
      <c r="BN12" s="6">
        <v>7132.9744000000001</v>
      </c>
      <c r="BO12" s="6">
        <v>53505.718399999998</v>
      </c>
      <c r="BP12" s="6">
        <v>310803.68</v>
      </c>
      <c r="BQ12" s="6">
        <v>319.72699999999998</v>
      </c>
      <c r="BR12" s="6">
        <v>178.167</v>
      </c>
      <c r="BS12" s="6">
        <v>978889.29599999997</v>
      </c>
      <c r="BT12" s="6">
        <v>1400514.5959999999</v>
      </c>
      <c r="BU12" s="6">
        <v>623427.64800000004</v>
      </c>
      <c r="BV12" s="6">
        <v>1009897.84</v>
      </c>
      <c r="BW12" s="6">
        <v>562285.18400000001</v>
      </c>
      <c r="BX12" s="6">
        <v>935212.48</v>
      </c>
      <c r="BY12" s="6">
        <v>156394.89600000001</v>
      </c>
      <c r="BZ12" s="6">
        <v>114190.232</v>
      </c>
      <c r="CA12" s="6">
        <v>1171.2620999999999</v>
      </c>
      <c r="CB12" s="6">
        <v>107209.09600000001</v>
      </c>
      <c r="CC12" s="6">
        <v>147409.35999999999</v>
      </c>
      <c r="CD12" s="6">
        <v>441739.26400000002</v>
      </c>
      <c r="CE12" s="6">
        <v>49125.260799999996</v>
      </c>
      <c r="CF12" s="6">
        <v>155270.64000000001</v>
      </c>
      <c r="CG12" s="6">
        <v>360750.45600000001</v>
      </c>
      <c r="CH12" s="6">
        <v>2385.8710000000001</v>
      </c>
      <c r="CI12" s="6">
        <v>210.42</v>
      </c>
      <c r="CJ12" s="6">
        <v>1165.4000000000001</v>
      </c>
      <c r="CK12" s="6">
        <v>76.825000000000003</v>
      </c>
      <c r="CL12" s="6">
        <v>719.18299999999999</v>
      </c>
      <c r="CM12" s="6">
        <v>551.4</v>
      </c>
      <c r="CN12" s="6">
        <v>33741.9</v>
      </c>
      <c r="CO12" s="6">
        <v>1626.77</v>
      </c>
      <c r="CP12" s="6">
        <v>290484.39299999998</v>
      </c>
      <c r="CQ12" s="6">
        <v>3653252.8</v>
      </c>
      <c r="CR12" s="6">
        <v>129369.75199999999</v>
      </c>
      <c r="CS12" s="6">
        <v>505984.54399999999</v>
      </c>
      <c r="CT12" s="6">
        <v>2845397.8220000002</v>
      </c>
      <c r="CU12" s="6">
        <v>291649.05099999998</v>
      </c>
      <c r="CV12" s="6">
        <v>30118.060799999999</v>
      </c>
      <c r="CW12" s="6">
        <v>62155.206400000003</v>
      </c>
      <c r="CX12" s="6">
        <v>33195.660799999998</v>
      </c>
      <c r="CY12" s="6">
        <v>164534.48000000001</v>
      </c>
      <c r="CZ12" s="6">
        <v>216113.08799999999</v>
      </c>
      <c r="DA12" s="6">
        <v>17753.53</v>
      </c>
      <c r="DB12" s="6">
        <v>147442.70800000001</v>
      </c>
      <c r="DC12" s="6">
        <v>2873.83</v>
      </c>
      <c r="DD12" s="6">
        <v>2873.74</v>
      </c>
      <c r="DE12" s="6">
        <v>2896.7</v>
      </c>
      <c r="DF12" s="6">
        <v>0.997</v>
      </c>
      <c r="DG12" s="1" t="s">
        <v>190</v>
      </c>
      <c r="DH12" s="4">
        <f>Table2[[#This Row],[Date]]</f>
        <v>46210</v>
      </c>
      <c r="DI12">
        <f>(DD13-Table2[[#This Row],[MWH Total]])*4000</f>
        <v>26960.000000000946</v>
      </c>
      <c r="DJ12">
        <f>(DA13-Table2[[#This Row],[PNG Meter (Outside)]])*2.936</f>
        <v>12.566080000007263</v>
      </c>
      <c r="DK12">
        <f>(DB13-Table2[[#This Row],[PNG Meter (Inside)]])*2.936</f>
        <v>227.73083999992139</v>
      </c>
      <c r="DL12">
        <f>(BH13-Table2[[#This Row],[3F Dough cooler - 2 ]])*1000</f>
        <v>292.99999999994952</v>
      </c>
      <c r="DM12">
        <f>(BI13-Table2[[#This Row],[3F Dough Cooler- 1]])*1000</f>
        <v>488.00000000005639</v>
      </c>
      <c r="DN12">
        <f>(BJ13-Table2[[#This Row],[4F Dough Production cooling Unit]])*1000</f>
        <v>44.999999999999929</v>
      </c>
      <c r="DO12">
        <f>(BQ13-Table2[[#This Row],[3F2 - PDB 3 - Dough Production Area]])*1000</f>
        <v>191.00000000003092</v>
      </c>
      <c r="DP12">
        <f>(BR13-Table2[[#This Row],[3F3 - PDB 4 - Dough Area]])*1000</f>
        <v>109.00000000000887</v>
      </c>
      <c r="DQ12">
        <f>AC13-Table2[[#This Row],[16F1 Tray washer Panel for Light]]</f>
        <v>699.20000000018626</v>
      </c>
      <c r="DR12">
        <f>CQ13-Table2[[#This Row],[2F1 Tray Washer - 1]]</f>
        <v>1120.9599999999627</v>
      </c>
      <c r="DS12">
        <f>CS13-Table2[[#This Row],[2F5 Destacker]]</f>
        <v>357.53600000002189</v>
      </c>
      <c r="DT12">
        <f>CU13-Table2[[#This Row],[5F1 Metering (TW-2)]]</f>
        <v>254.35700000001816</v>
      </c>
      <c r="DU12">
        <f>CV13-Table2[[#This Row],[6F1 Pre soaker Tray washer]]</f>
        <v>1.6000000000021828</v>
      </c>
      <c r="DV12">
        <f>CZ13-Table2[[#This Row],[6F5 Vent tray Storage]]</f>
        <v>76.320000000006985</v>
      </c>
      <c r="DW12">
        <f>I13-Table2[[#This Row],[Popeyes Meter ]]</f>
        <v>26.3100000000004</v>
      </c>
      <c r="DX12">
        <f>AZ13-Table2[[#This Row],[2F WH Chiller, Segregation Area]]</f>
        <v>0</v>
      </c>
      <c r="DY12">
        <f>BA13-Table2[[#This Row],[3F1 AC Unit WH dock cooling - 2 Nos]]</f>
        <v>22.899999999999636</v>
      </c>
      <c r="DZ12">
        <f>BB13-Table2[[#This Row],[3F2 AC Unit WH dock cooling - 3 Nos]]</f>
        <v>4.6999999999997044E-2</v>
      </c>
      <c r="EA12">
        <f>(BK13-Table2[[#This Row],[5F WH Perishable]])*1000</f>
        <v>316.00000000003092</v>
      </c>
      <c r="EB12">
        <f>BN13-Table2[[#This Row],[2F3 - PDB 9 - WH Dock Leveler Door ]]</f>
        <v>1.5519999999996799</v>
      </c>
      <c r="EC12">
        <f>BP13-Table2[[#This Row],[3F1 - PDB 5 - WH HSD]]</f>
        <v>172.64000000001397</v>
      </c>
      <c r="ED12">
        <f>BX13-Table2[[#This Row],[8F1 WH Dock AHU - Ventilation]]</f>
        <v>2448.704000000027</v>
      </c>
      <c r="EE12">
        <f>BZ13-Table2[[#This Row],[8F3 ACPDB - 4 WH Dock air curtain]]</f>
        <v>18.959999999991851</v>
      </c>
      <c r="EF12">
        <f>CA13-Table2[[#This Row],[8F4 WH Light]]</f>
        <v>2.7932000000000698</v>
      </c>
      <c r="EG12">
        <f>CC13-Table2[[#This Row],[9F1 - PDB 10 - WH Dock door &amp; Office]]</f>
        <v>79.28000000002794</v>
      </c>
      <c r="EH12">
        <f>CD13-Table2[[#This Row],[9F2 - PDB 11 - WH flycatchers]]</f>
        <v>96</v>
      </c>
      <c r="EI12">
        <f>CE13-Table2[[#This Row],[9F3 - PDB 12 - Other items]]</f>
        <v>0</v>
      </c>
      <c r="EJ12">
        <f>CR13-Table2[[#This Row],[2F3 - PDB 1 - Dock 1 to 4 ]]</f>
        <v>52.104000000006636</v>
      </c>
      <c r="EK12">
        <f>BM13-Table2[[#This Row],[2F2 - PDB 3 - WH Truck &amp; Battery Charging]]</f>
        <v>475.04000000003725</v>
      </c>
      <c r="EL12">
        <f>(CK13-Table2[[#This Row],[PDB - 11 Truck Charging]])*1000</f>
        <v>18.999999999991246</v>
      </c>
      <c r="EM12">
        <f>P13-Table2[[#This Row],[5F3 Admin Area]]</f>
        <v>367.48800000001211</v>
      </c>
      <c r="EN12">
        <f>AH13-Table2[[#This Row],[2F5 Main Gate-1 Piller -1]]</f>
        <v>111.07200000000012</v>
      </c>
      <c r="EO12">
        <f>CW13-Table2[[#This Row],[6F2 Ground Floor AC]]</f>
        <v>28.051199999994424</v>
      </c>
      <c r="EP12">
        <f>CX13-Table2[[#This Row],[6F3 ACBD -1 (First floor AC)]]</f>
        <v>10.582399999999325</v>
      </c>
      <c r="EQ12">
        <f>CY13-Table2[[#This Row],[6F4 ACBD - 2 (Second &amp; Third floor AC)]]</f>
        <v>100.09599999999045</v>
      </c>
      <c r="ER12">
        <f>(BC13-Table2[[#This Row],[4F Old BMC cooling Unit]])</f>
        <v>0</v>
      </c>
      <c r="ES12">
        <f>BO13-Table2[[#This Row],[2F4 - Old BMC]]</f>
        <v>3.9328000000023167</v>
      </c>
      <c r="ET12">
        <f>Y13-Table2[[#This Row],[14F2 New CK]]</f>
        <v>1388.5600000000559</v>
      </c>
      <c r="EU12">
        <f>(CL13-Table2[[#This Row],[OLD Ck Panel-1]])*1000</f>
        <v>305.00000000006366</v>
      </c>
      <c r="EV12">
        <f>CM13-Table2[[#This Row],[2F4 Old CK Blast (Blue star)]]</f>
        <v>0</v>
      </c>
      <c r="EW12">
        <f>CN13-Table2[[#This Row],[3F6 Old CK Blast (Carrier)]]</f>
        <v>227.40000000000146</v>
      </c>
      <c r="EX12">
        <f>(CO13-Table2[[#This Row],[Old CK Panel -2]])*1000</f>
        <v>716.00000000012187</v>
      </c>
      <c r="EY12">
        <f>N13-Table2[[#This Row],[4F1 Main UPS 1/C -1]]</f>
        <v>929.76000000000931</v>
      </c>
      <c r="EZ12">
        <f>Z13-Table2[[#This Row],[15F1 Main UPS Panel - I/C - 2]]</f>
        <v>0</v>
      </c>
      <c r="FA12">
        <f>BF13-Table2[[#This Row],[2F CLC -1 AC unit - 2]]</f>
        <v>0</v>
      </c>
      <c r="FB12">
        <f>(BG13-Table2[[#This Row],[2F CLC Anti room]])*1000</f>
        <v>34.999999999996589</v>
      </c>
      <c r="FC12">
        <f>BW13-Table2[[#This Row],[7F3 CLC Power Panel]]</f>
        <v>230.52800000004936</v>
      </c>
      <c r="FD12">
        <f>(CI13-Table2[[#This Row],[PDB - 17 CLC Section ]])*1000</f>
        <v>154.00000000002478</v>
      </c>
      <c r="FE12">
        <f>(W13-Table2[[#This Row],[13F3 Water &amp; Lift Old CK]])*1000</f>
        <v>859.50000000002547</v>
      </c>
      <c r="FF12">
        <f>AA13-Table2[[#This Row],[15F2 New ETP Panel]]</f>
        <v>291.90399999998044</v>
      </c>
      <c r="FG12">
        <f>AL13-Table2[[#This Row],[3F4 Old ETP Panel]]</f>
        <v>71.231999999959953</v>
      </c>
      <c r="FH12">
        <f>AF13-Table2[[#This Row],[2F1 RO Plant]]</f>
        <v>604.67200000002049</v>
      </c>
      <c r="FI12">
        <f>AK13-Table2[[#This Row],[3F3 Fire Hydrant Panel]]</f>
        <v>11.152000000001863</v>
      </c>
      <c r="FJ12">
        <f>R13-Table2[[#This Row],[7F1 Freon System Panel]]</f>
        <v>5899.5300000002608</v>
      </c>
      <c r="FK12">
        <f>(AE13-Table2[[#This Row],[21F1 Refrigeration Ammonia]])*1000</f>
        <v>7273.6000000004424</v>
      </c>
      <c r="FL12">
        <f>(AG13-Table2[[#This Row],[2F3 Air Compressor]])*1000</f>
        <v>1058.0000000002201</v>
      </c>
      <c r="FM12">
        <f>(AX13-Table2[[#This Row],[Solar Reading Panel II]])*1000</f>
        <v>3099.9999999994543</v>
      </c>
      <c r="FN12">
        <f>AI13-Table2[[#This Row],[3F1 Maintenance Workshop]]</f>
        <v>6.1648000000004686</v>
      </c>
      <c r="FO12">
        <f>BD13-Table2[[#This Row],[4F B2B unit ]]</f>
        <v>22.368000000016764</v>
      </c>
      <c r="FP12">
        <f>BL13-Table2[[#This Row],[2F1 - PDB 6 - Bread, B2B section]]</f>
        <v>53.280000000013388</v>
      </c>
      <c r="FQ12">
        <f>(CG13-Table2[[#This Row],[9F5 - PDB 14 - Bread Lift]])</f>
        <v>0.41920000000391155</v>
      </c>
      <c r="FR12">
        <f>CJ13-Table2[[#This Row],[PDB - 16 Bread Section]]</f>
        <v>0.79999999999995453</v>
      </c>
      <c r="FS12">
        <f>BU13-Table2[[#This Row],[7F1 Donut Production area]]</f>
        <v>206.07999999995809</v>
      </c>
      <c r="FT12">
        <f>CB13-Table2[[#This Row],[8F5 Donut Ban Bary]]</f>
        <v>78.335999999995693</v>
      </c>
      <c r="FU12">
        <f>CF13-Table2[[#This Row],[9F4 - PDB 13 - Donut Sink Geyser area]]</f>
        <v>15.839999999996508</v>
      </c>
      <c r="FV12">
        <f>BV13-Table2[[#This Row],[7F2 Flour Silo]]</f>
        <v>360.32000000006519</v>
      </c>
      <c r="FW12">
        <f>BY13-Table2[[#This Row],[8F2 ACPDB - 3 SILO Ventilation]]</f>
        <v>49.024000000004889</v>
      </c>
      <c r="FX12">
        <f>J13-Table2[[#This Row],[DG 1010KVA Running Hours]]</f>
        <v>0.4000000000005457</v>
      </c>
      <c r="FY12">
        <f>K13-Table2[[#This Row],[DG 1010 KVA Meter Reading]]</f>
        <v>181</v>
      </c>
      <c r="FZ12">
        <f>L13-Table2[[#This Row],[GG 1010 KVA Running Hours]]</f>
        <v>0</v>
      </c>
      <c r="GA12">
        <f>M13-Table2[[#This Row],[GG 1010 KVA Meter Reading]]</f>
        <v>0.15999999999999659</v>
      </c>
    </row>
    <row r="13" spans="1:183" x14ac:dyDescent="0.35">
      <c r="A13" s="1">
        <v>19</v>
      </c>
      <c r="B13" s="2">
        <v>46211.370555555601</v>
      </c>
      <c r="C13" s="2">
        <v>46211.409606481502</v>
      </c>
      <c r="D13" s="1" t="s">
        <v>111</v>
      </c>
      <c r="E13" s="1"/>
      <c r="F13" s="1"/>
      <c r="G13" s="3">
        <v>46211</v>
      </c>
      <c r="H13" s="1" t="s">
        <v>186</v>
      </c>
      <c r="I13" s="6">
        <v>5523.982</v>
      </c>
      <c r="J13" s="6">
        <v>4248.8</v>
      </c>
      <c r="K13" s="6">
        <v>1765872</v>
      </c>
      <c r="L13" s="6">
        <v>430</v>
      </c>
      <c r="M13" s="6">
        <v>179.23</v>
      </c>
      <c r="N13" s="6">
        <v>1844322.4</v>
      </c>
      <c r="O13" s="6">
        <v>4552084.4800000004</v>
      </c>
      <c r="P13" s="6">
        <v>635424.38399999996</v>
      </c>
      <c r="Q13" s="6">
        <v>8015516.7999999998</v>
      </c>
      <c r="R13" s="6">
        <v>5390136.3300000001</v>
      </c>
      <c r="S13" s="6">
        <v>7277673.5999999996</v>
      </c>
      <c r="T13" s="6">
        <v>4287510.8020000001</v>
      </c>
      <c r="U13" s="6">
        <v>2070064.32</v>
      </c>
      <c r="V13" s="6">
        <v>5070192</v>
      </c>
      <c r="W13" s="6">
        <v>1575.1572000000001</v>
      </c>
      <c r="X13" s="6">
        <v>766615.23199999996</v>
      </c>
      <c r="Y13" s="6">
        <v>1058637.28</v>
      </c>
      <c r="Z13" s="6">
        <v>2777.8894</v>
      </c>
      <c r="AA13" s="6">
        <v>660923.84</v>
      </c>
      <c r="AB13" s="6">
        <v>420994.94400000002</v>
      </c>
      <c r="AC13" s="6">
        <v>2119515.52</v>
      </c>
      <c r="AD13" s="6">
        <v>3688898.9780000001</v>
      </c>
      <c r="AE13" s="6">
        <v>12623.2392</v>
      </c>
      <c r="AF13" s="6">
        <v>860206.72</v>
      </c>
      <c r="AG13" s="6">
        <v>1370.1010000000001</v>
      </c>
      <c r="AH13" s="6">
        <v>130313.336</v>
      </c>
      <c r="AI13" s="6">
        <v>14491.4416</v>
      </c>
      <c r="AJ13" s="6">
        <v>145280.79999999999</v>
      </c>
      <c r="AK13" s="6">
        <v>104941.45600000001</v>
      </c>
      <c r="AL13" s="6">
        <v>328629.02399999998</v>
      </c>
      <c r="AM13" s="6">
        <v>975.61400000000003</v>
      </c>
      <c r="AN13" s="6">
        <v>285.89999999999998</v>
      </c>
      <c r="AO13" s="6">
        <v>7.7</v>
      </c>
      <c r="AP13" s="6">
        <v>203771</v>
      </c>
      <c r="AQ13" s="6">
        <v>42305</v>
      </c>
      <c r="AR13" s="6">
        <v>41760</v>
      </c>
      <c r="AS13" s="6">
        <v>0</v>
      </c>
      <c r="AT13" s="6">
        <v>0</v>
      </c>
      <c r="AU13" s="6">
        <v>15003</v>
      </c>
      <c r="AV13" s="6">
        <v>5992</v>
      </c>
      <c r="AW13" s="6">
        <v>20.747599999999998</v>
      </c>
      <c r="AX13" s="50">
        <v>7173.0119999999997</v>
      </c>
      <c r="AY13" s="6">
        <v>675.41224</v>
      </c>
      <c r="AZ13" s="6">
        <v>20.788</v>
      </c>
      <c r="BA13" s="6">
        <v>9872.107</v>
      </c>
      <c r="BB13" s="6">
        <v>43.585999999999999</v>
      </c>
      <c r="BC13" s="6">
        <v>113978.504</v>
      </c>
      <c r="BD13" s="6">
        <v>274520</v>
      </c>
      <c r="BE13" s="6">
        <v>3692.5547999999999</v>
      </c>
      <c r="BF13" s="6">
        <v>1712.0419999999999</v>
      </c>
      <c r="BG13" s="6">
        <v>74.204999999999998</v>
      </c>
      <c r="BH13" s="6">
        <v>355.22699999999998</v>
      </c>
      <c r="BI13" s="6">
        <v>902.85500000000002</v>
      </c>
      <c r="BJ13" s="6">
        <v>13.455</v>
      </c>
      <c r="BK13" s="6">
        <v>556.70600000000002</v>
      </c>
      <c r="BL13" s="6">
        <v>68341.248000000007</v>
      </c>
      <c r="BM13" s="6">
        <v>296583.84000000003</v>
      </c>
      <c r="BN13" s="6">
        <v>7134.5263999999997</v>
      </c>
      <c r="BO13" s="6">
        <v>53509.6512</v>
      </c>
      <c r="BP13" s="6">
        <v>310976.32</v>
      </c>
      <c r="BQ13" s="6">
        <v>319.91800000000001</v>
      </c>
      <c r="BR13" s="6">
        <v>178.27600000000001</v>
      </c>
      <c r="BS13" s="6">
        <v>979941.09499999997</v>
      </c>
      <c r="BT13" s="6">
        <v>1400523.1710000001</v>
      </c>
      <c r="BU13" s="6">
        <v>623633.728</v>
      </c>
      <c r="BV13" s="6">
        <v>1010258.16</v>
      </c>
      <c r="BW13" s="6">
        <v>562515.71200000006</v>
      </c>
      <c r="BX13" s="6">
        <v>937661.18400000001</v>
      </c>
      <c r="BY13" s="6">
        <v>156443.92000000001</v>
      </c>
      <c r="BZ13" s="6">
        <v>114209.192</v>
      </c>
      <c r="CA13" s="6">
        <v>1174.0553</v>
      </c>
      <c r="CB13" s="6">
        <v>107287.432</v>
      </c>
      <c r="CC13" s="6">
        <v>147488.64000000001</v>
      </c>
      <c r="CD13" s="6">
        <v>441835.26400000002</v>
      </c>
      <c r="CE13" s="6">
        <v>49125.260799999996</v>
      </c>
      <c r="CF13" s="6">
        <v>155286.48000000001</v>
      </c>
      <c r="CG13" s="6">
        <v>360750.87520000001</v>
      </c>
      <c r="CH13" s="6">
        <v>2385.8710000000001</v>
      </c>
      <c r="CI13" s="6">
        <v>210.57400000000001</v>
      </c>
      <c r="CJ13" s="6">
        <v>1166.2</v>
      </c>
      <c r="CK13" s="6">
        <v>76.843999999999994</v>
      </c>
      <c r="CL13" s="6">
        <v>719.48800000000006</v>
      </c>
      <c r="CM13" s="6">
        <v>551.4</v>
      </c>
      <c r="CN13" s="6">
        <v>33969.300000000003</v>
      </c>
      <c r="CO13" s="6">
        <v>1627.4860000000001</v>
      </c>
      <c r="CP13" s="6">
        <v>290610.95600000001</v>
      </c>
      <c r="CQ13" s="6">
        <v>3654373.76</v>
      </c>
      <c r="CR13" s="6">
        <v>129421.856</v>
      </c>
      <c r="CS13" s="6">
        <v>506342.08</v>
      </c>
      <c r="CT13" s="6">
        <v>2848292.219</v>
      </c>
      <c r="CU13" s="6">
        <v>291903.408</v>
      </c>
      <c r="CV13" s="6">
        <v>30119.660800000001</v>
      </c>
      <c r="CW13" s="6">
        <v>62183.257599999997</v>
      </c>
      <c r="CX13" s="6">
        <v>33206.243199999997</v>
      </c>
      <c r="CY13" s="6">
        <v>164634.576</v>
      </c>
      <c r="CZ13" s="6">
        <v>216189.408</v>
      </c>
      <c r="DA13" s="6">
        <v>17757.810000000001</v>
      </c>
      <c r="DB13" s="6">
        <v>147520.27299999999</v>
      </c>
      <c r="DC13" s="6">
        <v>2880.57</v>
      </c>
      <c r="DD13" s="6">
        <v>2880.48</v>
      </c>
      <c r="DE13" s="6">
        <v>2903.57</v>
      </c>
      <c r="DF13" s="6">
        <v>0.998</v>
      </c>
      <c r="DG13" s="1" t="s">
        <v>197</v>
      </c>
      <c r="DH13" s="4">
        <f>Table2[[#This Row],[Date]]</f>
        <v>46211</v>
      </c>
      <c r="DI13">
        <f>(DD14-Table2[[#This Row],[MWH Total]])*4000</f>
        <v>23079.999999999927</v>
      </c>
      <c r="DJ13">
        <f>(DA14-Table2[[#This Row],[PNG Meter (Outside)]])*2.936</f>
        <v>11.949519999999145</v>
      </c>
      <c r="DK13">
        <f>(DB14-Table2[[#This Row],[PNG Meter (Inside)]])*2.936</f>
        <v>274.43966400004854</v>
      </c>
      <c r="DL13">
        <f>(BH14-Table2[[#This Row],[3F Dough cooler - 2 ]])*1000</f>
        <v>378.00000000004275</v>
      </c>
      <c r="DM13">
        <f>(BI14-Table2[[#This Row],[3F Dough Cooler- 1]])*1000</f>
        <v>492.99999999993815</v>
      </c>
      <c r="DN13">
        <f>(BJ14-Table2[[#This Row],[4F Dough Production cooling Unit]])*1000</f>
        <v>44.000000000000483</v>
      </c>
      <c r="DO13">
        <f>(BQ14-Table2[[#This Row],[3F2 - PDB 3 - Dough Production Area]])*1000</f>
        <v>209.00000000000318</v>
      </c>
      <c r="DP13">
        <f>(BR14-Table2[[#This Row],[3F3 - PDB 4 - Dough Area]])*1000</f>
        <v>119.99999999997613</v>
      </c>
      <c r="DQ13">
        <f>AC14-Table2[[#This Row],[16F1 Tray washer Panel for Light]]</f>
        <v>770.72000000020489</v>
      </c>
      <c r="DR13">
        <f>CQ14-Table2[[#This Row],[2F1 Tray Washer - 1]]</f>
        <v>1276.160000000149</v>
      </c>
      <c r="DS13">
        <f>CS14-Table2[[#This Row],[2F5 Destacker]]</f>
        <v>360.32000000000698</v>
      </c>
      <c r="DT13">
        <f>CU14-Table2[[#This Row],[5F1 Metering (TW-2)]]</f>
        <v>270.94500000000698</v>
      </c>
      <c r="DU13">
        <f>CV14-Table2[[#This Row],[6F1 Pre soaker Tray washer]]</f>
        <v>2.710399999999936</v>
      </c>
      <c r="DV13">
        <f>CZ14-Table2[[#This Row],[6F5 Vent tray Storage]]</f>
        <v>58.896000000007916</v>
      </c>
      <c r="DW13">
        <f>I14-Table2[[#This Row],[Popeyes Meter ]]</f>
        <v>61.770000000000437</v>
      </c>
      <c r="DX13">
        <f>AZ14-Table2[[#This Row],[2F WH Chiller, Segregation Area]]</f>
        <v>0</v>
      </c>
      <c r="DY13">
        <f>BA14-Table2[[#This Row],[3F1 AC Unit WH dock cooling - 2 Nos]]</f>
        <v>22.799999999999272</v>
      </c>
      <c r="DZ13">
        <f>BB14-Table2[[#This Row],[3F2 AC Unit WH dock cooling - 3 Nos]]</f>
        <v>5.0000000000004263E-2</v>
      </c>
      <c r="EA13">
        <f>(BK14-Table2[[#This Row],[5F WH Perishable]])*1000</f>
        <v>322.00000000000273</v>
      </c>
      <c r="EB13">
        <f>BN14-Table2[[#This Row],[2F3 - PDB 9 - WH Dock Leveler Door ]]</f>
        <v>4.6671999999998661</v>
      </c>
      <c r="EC13">
        <f>BP14-Table2[[#This Row],[3F1 - PDB 5 - WH HSD]]</f>
        <v>152.25599999999395</v>
      </c>
      <c r="ED13">
        <f>BX14-Table2[[#This Row],[8F1 WH Dock AHU - Ventilation]]</f>
        <v>2593.9839999999385</v>
      </c>
      <c r="EE13">
        <f>BZ14-Table2[[#This Row],[8F3 ACPDB - 4 WH Dock air curtain]]</f>
        <v>8.3200000000069849</v>
      </c>
      <c r="EF13">
        <f>CA14-Table2[[#This Row],[8F4 WH Light]]</f>
        <v>2.9708000000000538</v>
      </c>
      <c r="EG13">
        <f>CC14-Table2[[#This Row],[9F1 - PDB 10 - WH Dock door &amp; Office]]</f>
        <v>91.311999999976251</v>
      </c>
      <c r="EH13">
        <f>CD14-Table2[[#This Row],[9F2 - PDB 11 - WH flycatchers]]</f>
        <v>131.42399999999907</v>
      </c>
      <c r="EI13">
        <f>CE14-Table2[[#This Row],[9F3 - PDB 12 - Other items]]</f>
        <v>0</v>
      </c>
      <c r="EJ13">
        <f>CR14-Table2[[#This Row],[2F3 - PDB 1 - Dock 1 to 4 ]]</f>
        <v>48.559999999997672</v>
      </c>
      <c r="EK13">
        <f>BM14-Table2[[#This Row],[2F2 - PDB 3 - WH Truck &amp; Battery Charging]]</f>
        <v>359.16799999994691</v>
      </c>
      <c r="EL13">
        <f>(CK14-Table2[[#This Row],[PDB - 11 Truck Charging]])*1000</f>
        <v>36.000000000001364</v>
      </c>
      <c r="EM13">
        <f>P14-Table2[[#This Row],[5F3 Admin Area]]</f>
        <v>398.08000000007451</v>
      </c>
      <c r="EN13">
        <f>AH14-Table2[[#This Row],[2F5 Main Gate-1 Piller -1]]</f>
        <v>110.16800000000512</v>
      </c>
      <c r="EO13">
        <f>CW14-Table2[[#This Row],[6F2 Ground Floor AC]]</f>
        <v>38.969600000003993</v>
      </c>
      <c r="EP13">
        <f>CX14-Table2[[#This Row],[6F3 ACBD -1 (First floor AC)]]</f>
        <v>11.273600000000442</v>
      </c>
      <c r="EQ13">
        <f>CY14-Table2[[#This Row],[6F4 ACBD - 2 (Second &amp; Third floor AC)]]</f>
        <v>112.94399999998859</v>
      </c>
      <c r="ER13">
        <f>(BC14-Table2[[#This Row],[4F Old BMC cooling Unit]])</f>
        <v>0</v>
      </c>
      <c r="ES13">
        <f>BO14-Table2[[#This Row],[2F4 - Old BMC]]</f>
        <v>1.9423999999999069</v>
      </c>
      <c r="ET13">
        <f>Y14-Table2[[#This Row],[14F2 New CK]]</f>
        <v>1647.1999999999534</v>
      </c>
      <c r="EU13">
        <f>(CL14-Table2[[#This Row],[OLD Ck Panel-1]])*1000</f>
        <v>391.99999999993906</v>
      </c>
      <c r="EV13">
        <f>CM14-Table2[[#This Row],[2F4 Old CK Blast (Blue star)]]</f>
        <v>0</v>
      </c>
      <c r="EW13">
        <f>CN14-Table2[[#This Row],[3F6 Old CK Blast (Carrier)]]</f>
        <v>276.89999999999418</v>
      </c>
      <c r="EX13">
        <f>(CO14-Table2[[#This Row],[Old CK Panel -2]])*1000</f>
        <v>884.99999999999091</v>
      </c>
      <c r="EY13">
        <f>N14-Table2[[#This Row],[4F1 Main UPS 1/C -1]]</f>
        <v>979.84000000008382</v>
      </c>
      <c r="EZ13">
        <f>Z14-Table2[[#This Row],[15F1 Main UPS Panel - I/C - 2]]</f>
        <v>0</v>
      </c>
      <c r="FA13">
        <f>BF14-Table2[[#This Row],[2F CLC -1 AC unit - 2]]</f>
        <v>0</v>
      </c>
      <c r="FB13">
        <f>(BG14-Table2[[#This Row],[2F CLC Anti room]])*1000</f>
        <v>37.000000000006139</v>
      </c>
      <c r="FC13">
        <f>BW14-Table2[[#This Row],[7F3 CLC Power Panel]]</f>
        <v>253.63199999998324</v>
      </c>
      <c r="FD13">
        <f>(CI14-Table2[[#This Row],[PDB - 17 CLC Section ]])*1000</f>
        <v>174.99999999998295</v>
      </c>
      <c r="FE13">
        <f>(W14-Table2[[#This Row],[13F3 Water &amp; Lift Old CK]])*1000</f>
        <v>945.29999999986103</v>
      </c>
      <c r="FF13">
        <f>AA14-Table2[[#This Row],[15F2 New ETP Panel]]</f>
        <v>306.23999999999069</v>
      </c>
      <c r="FG13">
        <f>AL14-Table2[[#This Row],[3F4 Old ETP Panel]]</f>
        <v>80.54400000005262</v>
      </c>
      <c r="FH13">
        <f>AF14-Table2[[#This Row],[2F1 RO Plant]]</f>
        <v>658.56000000005588</v>
      </c>
      <c r="FI13">
        <f>AK14-Table2[[#This Row],[3F3 Fire Hydrant Panel]]</f>
        <v>9.7279999999882421</v>
      </c>
      <c r="FJ13">
        <f>R14-Table2[[#This Row],[7F1 Freon System Panel]]</f>
        <v>6146.5499999998137</v>
      </c>
      <c r="FK13">
        <f>(AE14-Table2[[#This Row],[21F1 Refrigeration Ammonia]])*1000</f>
        <v>7533.6000000006607</v>
      </c>
      <c r="FL13">
        <f>(AG14-Table2[[#This Row],[2F3 Air Compressor]])*1000</f>
        <v>1109.9999999999</v>
      </c>
      <c r="FM13">
        <f>(AX14-Table2[[#This Row],[Solar Reading Panel II]])*1000</f>
        <v>811.0000000006039</v>
      </c>
      <c r="FN13">
        <f>AI14-Table2[[#This Row],[3F1 Maintenance Workshop]]</f>
        <v>4.2335999999995693</v>
      </c>
      <c r="FO13">
        <f>BD14-Table2[[#This Row],[4F B2B unit ]]</f>
        <v>21.568000000028405</v>
      </c>
      <c r="FP13">
        <f>BL14-Table2[[#This Row],[2F1 - PDB 6 - Bread, B2B section]]</f>
        <v>51.993599999987055</v>
      </c>
      <c r="FQ13">
        <f>(CG14-Table2[[#This Row],[9F5 - PDB 14 - Bread Lift]])</f>
        <v>9.3263999999617226</v>
      </c>
      <c r="FR13">
        <f>CJ14-Table2[[#This Row],[PDB - 16 Bread Section]]</f>
        <v>0.59999999999990905</v>
      </c>
      <c r="FS13">
        <f>BU14-Table2[[#This Row],[7F1 Donut Production area]]</f>
        <v>213.3760000000475</v>
      </c>
      <c r="FT13">
        <f>CB14-Table2[[#This Row],[8F5 Donut Ban Bary]]</f>
        <v>69.592000000004191</v>
      </c>
      <c r="FU13">
        <f>CF14-Table2[[#This Row],[9F4 - PDB 13 - Donut Sink Geyser area]]</f>
        <v>19.791999999986729</v>
      </c>
      <c r="FV13">
        <f>BV14-Table2[[#This Row],[7F2 Flour Silo]]</f>
        <v>326.55999999993946</v>
      </c>
      <c r="FW13">
        <f>BY14-Table2[[#This Row],[8F2 ACPDB - 3 SILO Ventilation]]</f>
        <v>52.047999999980675</v>
      </c>
      <c r="FX13">
        <f>J14-Table2[[#This Row],[DG 1010KVA Running Hours]]</f>
        <v>0</v>
      </c>
      <c r="FY13">
        <f>K14-Table2[[#This Row],[DG 1010 KVA Meter Reading]]</f>
        <v>0</v>
      </c>
      <c r="FZ13">
        <f>L14-Table2[[#This Row],[GG 1010 KVA Running Hours]]</f>
        <v>0</v>
      </c>
      <c r="GA13">
        <f>M14-Table2[[#This Row],[GG 1010 KVA Meter Reading]]</f>
        <v>0</v>
      </c>
    </row>
    <row r="14" spans="1:183" x14ac:dyDescent="0.35">
      <c r="A14" s="1">
        <v>21</v>
      </c>
      <c r="B14" s="2">
        <v>46212.436620370398</v>
      </c>
      <c r="C14" s="2">
        <v>46212.478148148097</v>
      </c>
      <c r="D14" s="1" t="s">
        <v>111</v>
      </c>
      <c r="E14" s="1"/>
      <c r="F14" s="1"/>
      <c r="G14" s="3">
        <v>46212</v>
      </c>
      <c r="H14" s="1" t="s">
        <v>112</v>
      </c>
      <c r="I14" s="6">
        <v>5585.7520000000004</v>
      </c>
      <c r="J14" s="6">
        <v>4248.8</v>
      </c>
      <c r="K14" s="6">
        <v>1765872</v>
      </c>
      <c r="L14" s="6">
        <v>430</v>
      </c>
      <c r="M14" s="6">
        <v>179.23</v>
      </c>
      <c r="N14" s="6">
        <v>1845302.24</v>
      </c>
      <c r="O14" s="6">
        <v>4553939.5199999996</v>
      </c>
      <c r="P14" s="6">
        <v>635822.46400000004</v>
      </c>
      <c r="Q14" s="6">
        <v>8017024.6399999997</v>
      </c>
      <c r="R14" s="6">
        <v>5396282.8799999999</v>
      </c>
      <c r="S14" s="6">
        <v>7280909.4400000004</v>
      </c>
      <c r="T14" s="6">
        <v>42461676.987000003</v>
      </c>
      <c r="U14" s="6">
        <v>2071027.68</v>
      </c>
      <c r="V14" s="6">
        <v>5071960.6399999997</v>
      </c>
      <c r="W14" s="6">
        <v>1576.1025</v>
      </c>
      <c r="X14" s="6">
        <v>766888.83200000005</v>
      </c>
      <c r="Y14" s="6">
        <v>1060284.48</v>
      </c>
      <c r="Z14" s="6">
        <v>2777.8894</v>
      </c>
      <c r="AA14" s="6">
        <v>661230.07999999996</v>
      </c>
      <c r="AB14" s="6">
        <v>421006.36800000002</v>
      </c>
      <c r="AC14" s="6">
        <v>2120286.2400000002</v>
      </c>
      <c r="AD14" s="6">
        <v>3703054.0430000001</v>
      </c>
      <c r="AE14" s="6">
        <v>12630.772800000001</v>
      </c>
      <c r="AF14" s="6">
        <v>860865.28</v>
      </c>
      <c r="AG14" s="6">
        <v>1371.211</v>
      </c>
      <c r="AH14" s="6">
        <v>130423.504</v>
      </c>
      <c r="AI14" s="6">
        <v>14495.6752</v>
      </c>
      <c r="AJ14" s="6">
        <v>145281.552</v>
      </c>
      <c r="AK14" s="6">
        <v>104951.18399999999</v>
      </c>
      <c r="AL14" s="6">
        <v>328709.56800000003</v>
      </c>
      <c r="AM14" s="6">
        <v>976.46799999999996</v>
      </c>
      <c r="AN14" s="6">
        <v>167.9</v>
      </c>
      <c r="AO14" s="6">
        <v>7.3</v>
      </c>
      <c r="AP14" s="6">
        <v>213763</v>
      </c>
      <c r="AQ14" s="6">
        <v>42305</v>
      </c>
      <c r="AR14" s="6">
        <v>41760</v>
      </c>
      <c r="AS14" s="6">
        <v>0</v>
      </c>
      <c r="AT14" s="6">
        <v>0</v>
      </c>
      <c r="AU14" s="6">
        <v>15029</v>
      </c>
      <c r="AV14" s="6">
        <v>6010</v>
      </c>
      <c r="AW14" s="6">
        <v>20.754878000000001</v>
      </c>
      <c r="AX14" s="6">
        <v>7173.8230000000003</v>
      </c>
      <c r="AY14" s="6">
        <v>675.54992000000004</v>
      </c>
      <c r="AZ14" s="6">
        <v>20.788</v>
      </c>
      <c r="BA14" s="6">
        <v>9894.9069999999992</v>
      </c>
      <c r="BB14" s="6">
        <v>43.636000000000003</v>
      </c>
      <c r="BC14" s="6">
        <v>113978.504</v>
      </c>
      <c r="BD14" s="6">
        <v>274541.56800000003</v>
      </c>
      <c r="BE14" s="6">
        <v>3693.9384</v>
      </c>
      <c r="BF14" s="6">
        <v>1712.0419999999999</v>
      </c>
      <c r="BG14" s="6">
        <v>74.242000000000004</v>
      </c>
      <c r="BH14" s="6">
        <v>355.60500000000002</v>
      </c>
      <c r="BI14" s="6">
        <v>903.34799999999996</v>
      </c>
      <c r="BJ14" s="6">
        <v>13.499000000000001</v>
      </c>
      <c r="BK14" s="6">
        <v>557.02800000000002</v>
      </c>
      <c r="BL14" s="6">
        <v>68393.241599999994</v>
      </c>
      <c r="BM14" s="6">
        <v>296943.00799999997</v>
      </c>
      <c r="BN14" s="6">
        <v>7139.1935999999996</v>
      </c>
      <c r="BO14" s="6">
        <v>53511.5936</v>
      </c>
      <c r="BP14" s="6">
        <v>311128.576</v>
      </c>
      <c r="BQ14" s="6">
        <v>320.12700000000001</v>
      </c>
      <c r="BR14" s="6">
        <v>178.39599999999999</v>
      </c>
      <c r="BS14" s="6">
        <v>980881.35600000003</v>
      </c>
      <c r="BT14" s="6">
        <v>1400539.9939999999</v>
      </c>
      <c r="BU14" s="6">
        <v>623847.10400000005</v>
      </c>
      <c r="BV14" s="6">
        <v>1010584.72</v>
      </c>
      <c r="BW14" s="6">
        <v>562769.34400000004</v>
      </c>
      <c r="BX14" s="6">
        <v>940255.16799999995</v>
      </c>
      <c r="BY14" s="6">
        <v>156495.96799999999</v>
      </c>
      <c r="BZ14" s="6">
        <v>114217.512</v>
      </c>
      <c r="CA14" s="6">
        <v>1177.0261</v>
      </c>
      <c r="CB14" s="6">
        <v>107357.024</v>
      </c>
      <c r="CC14" s="6">
        <v>147579.95199999999</v>
      </c>
      <c r="CD14" s="6">
        <v>441966.68800000002</v>
      </c>
      <c r="CE14" s="6">
        <v>49125.260799999996</v>
      </c>
      <c r="CF14" s="6">
        <v>155306.272</v>
      </c>
      <c r="CG14" s="6">
        <v>360760.20159999997</v>
      </c>
      <c r="CH14" s="6">
        <v>2385.8710000000001</v>
      </c>
      <c r="CI14" s="6">
        <v>210.749</v>
      </c>
      <c r="CJ14" s="6">
        <v>1166.8</v>
      </c>
      <c r="CK14" s="6">
        <v>76.88</v>
      </c>
      <c r="CL14" s="6">
        <v>719.88</v>
      </c>
      <c r="CM14" s="6">
        <v>551.4</v>
      </c>
      <c r="CN14" s="6">
        <v>34246.199999999997</v>
      </c>
      <c r="CO14" s="6">
        <v>1628.3710000000001</v>
      </c>
      <c r="CP14" s="6">
        <v>290757.15700000001</v>
      </c>
      <c r="CQ14" s="6">
        <v>3655649.92</v>
      </c>
      <c r="CR14" s="6">
        <v>129470.416</v>
      </c>
      <c r="CS14" s="6">
        <v>506702.4</v>
      </c>
      <c r="CT14" s="6">
        <v>2851629.43</v>
      </c>
      <c r="CU14" s="6">
        <v>292174.353</v>
      </c>
      <c r="CV14" s="6">
        <v>30122.371200000001</v>
      </c>
      <c r="CW14" s="6">
        <v>62222.227200000001</v>
      </c>
      <c r="CX14" s="6">
        <v>33217.516799999998</v>
      </c>
      <c r="CY14" s="6">
        <v>164747.51999999999</v>
      </c>
      <c r="CZ14" s="6">
        <v>216248.304</v>
      </c>
      <c r="DA14" s="6">
        <v>17761.88</v>
      </c>
      <c r="DB14" s="6">
        <v>147613.747</v>
      </c>
      <c r="DC14" s="6">
        <v>2886.35</v>
      </c>
      <c r="DD14" s="6">
        <v>2886.25</v>
      </c>
      <c r="DE14" s="6">
        <v>2909.52</v>
      </c>
      <c r="DF14" s="6">
        <v>0.998</v>
      </c>
      <c r="DG14" s="1" t="s">
        <v>225</v>
      </c>
      <c r="DH14" s="4">
        <f>Table2[[#This Row],[Date]]</f>
        <v>46212</v>
      </c>
      <c r="DI14">
        <f>(DD15-Table2[[#This Row],[MWH Total]])*4000</f>
        <v>26319.999999999709</v>
      </c>
      <c r="DJ14">
        <f>(DA15-Table2[[#This Row],[PNG Meter (Outside)]])*2.936</f>
        <v>9.1896799999923093</v>
      </c>
      <c r="DK14">
        <f>(DB15-Table2[[#This Row],[PNG Meter (Inside)]])*2.936</f>
        <v>271.84717599995827</v>
      </c>
      <c r="DL14">
        <f>(BH15-Table2[[#This Row],[3F Dough cooler - 2 ]])*1000</f>
        <v>420.99999999999227</v>
      </c>
      <c r="DM14">
        <f>(BI15-Table2[[#This Row],[3F Dough Cooler- 1]])*1000</f>
        <v>454.00000000006457</v>
      </c>
      <c r="DN14">
        <f>(BJ15-Table2[[#This Row],[4F Dough Production cooling Unit]])*1000</f>
        <v>11.999999999998678</v>
      </c>
      <c r="DO14">
        <f>(BQ15-Table2[[#This Row],[3F2 - PDB 3 - Dough Production Area]])*1000</f>
        <v>178.99999999997362</v>
      </c>
      <c r="DP14">
        <f>(BR15-Table2[[#This Row],[3F3 - PDB 4 - Dough Area]])*1000</f>
        <v>109.00000000000887</v>
      </c>
      <c r="DQ14">
        <f>AC15-Table2[[#This Row],[16F1 Tray washer Panel for Light]]</f>
        <v>700</v>
      </c>
      <c r="DR14">
        <f>CQ15-Table2[[#This Row],[2F1 Tray Washer - 1]]</f>
        <v>1120.9599999999627</v>
      </c>
      <c r="DS14">
        <f>CS15-Table2[[#This Row],[2F5 Destacker]]</f>
        <v>333.85599999997066</v>
      </c>
      <c r="DT14">
        <f>CU15-Table2[[#This Row],[5F1 Metering (TW-2)]]</f>
        <v>221.69799999997485</v>
      </c>
      <c r="DU14">
        <f>CV15-Table2[[#This Row],[6F1 Pre soaker Tray washer]]</f>
        <v>1.6767999999974563</v>
      </c>
      <c r="DV14">
        <f>CZ15-Table2[[#This Row],[6F5 Vent tray Storage]]</f>
        <v>35.919999999983702</v>
      </c>
      <c r="DW14">
        <f>I15-Table2[[#This Row],[Popeyes Meter ]]</f>
        <v>20.029999999999745</v>
      </c>
      <c r="DX14">
        <f>AZ15-Table2[[#This Row],[2F WH Chiller, Segregation Area]]</f>
        <v>0</v>
      </c>
      <c r="DY14">
        <f>BA15-Table2[[#This Row],[3F1 AC Unit WH dock cooling - 2 Nos]]</f>
        <v>16.540000000000873</v>
      </c>
      <c r="DZ14">
        <f>BB15-Table2[[#This Row],[3F2 AC Unit WH dock cooling - 3 Nos]]</f>
        <v>3.5999999999994259E-2</v>
      </c>
      <c r="EA14">
        <f>(BK15-Table2[[#This Row],[5F WH Perishable]])*1000</f>
        <v>300.99999999993088</v>
      </c>
      <c r="EB14">
        <f>BN15-Table2[[#This Row],[2F3 - PDB 9 - WH Dock Leveler Door ]]</f>
        <v>8.8800000000446744E-2</v>
      </c>
      <c r="EC14">
        <f>BP15-Table2[[#This Row],[3F1 - PDB 5 - WH HSD]]</f>
        <v>128.79999999998836</v>
      </c>
      <c r="ED14">
        <f>BX15-Table2[[#This Row],[8F1 WH Dock AHU - Ventilation]]</f>
        <v>2224.9600000000792</v>
      </c>
      <c r="EE14">
        <f>BZ15-Table2[[#This Row],[8F3 ACPDB - 4 WH Dock air curtain]]</f>
        <v>2.4400000000023283</v>
      </c>
      <c r="EF14">
        <f>CA15-Table2[[#This Row],[8F4 WH Light]]</f>
        <v>2.6258000000000266</v>
      </c>
      <c r="EG14">
        <f>CC15-Table2[[#This Row],[9F1 - PDB 10 - WH Dock door &amp; Office]]</f>
        <v>76.01600000000326</v>
      </c>
      <c r="EH14">
        <f>CD15-Table2[[#This Row],[9F2 - PDB 11 - WH flycatchers]]</f>
        <v>114.07999999995809</v>
      </c>
      <c r="EI14">
        <f>CE15-Table2[[#This Row],[9F3 - PDB 12 - Other items]]</f>
        <v>0</v>
      </c>
      <c r="EJ14">
        <f>CR15-Table2[[#This Row],[2F3 - PDB 1 - Dock 1 to 4 ]]</f>
        <v>41.752000000007683</v>
      </c>
      <c r="EK14">
        <f>BM15-Table2[[#This Row],[2F2 - PDB 3 - WH Truck &amp; Battery Charging]]</f>
        <v>407.3520000000135</v>
      </c>
      <c r="EL14">
        <f>(CK15-Table2[[#This Row],[PDB - 11 Truck Charging]])*1000</f>
        <v>33.000000000001251</v>
      </c>
      <c r="EM14">
        <f>P15-Table2[[#This Row],[5F3 Admin Area]]</f>
        <v>311.61599999992177</v>
      </c>
      <c r="EN14">
        <f>AH15-Table2[[#This Row],[2F5 Main Gate-1 Piller -1]]</f>
        <v>92.975999999995111</v>
      </c>
      <c r="EO14">
        <f>CW15-Table2[[#This Row],[6F2 Ground Floor AC]]</f>
        <v>33.907200000001467</v>
      </c>
      <c r="EP14">
        <f>CX15-Table2[[#This Row],[6F3 ACBD -1 (First floor AC)]]</f>
        <v>10.083200000000943</v>
      </c>
      <c r="EQ14">
        <f>CY15-Table2[[#This Row],[6F4 ACBD - 2 (Second &amp; Third floor AC)]]</f>
        <v>102.27199999999721</v>
      </c>
      <c r="ER14">
        <f>(BC15-Table2[[#This Row],[4F Old BMC cooling Unit]])</f>
        <v>0</v>
      </c>
      <c r="ES14">
        <f>BO15-Table2[[#This Row],[2F4 - Old BMC]]</f>
        <v>0.77760000000125729</v>
      </c>
      <c r="ET14">
        <f>Y15-Table2[[#This Row],[14F2 New CK]]</f>
        <v>1186.3999999999069</v>
      </c>
      <c r="EU14">
        <f>(CL15-Table2[[#This Row],[OLD Ck Panel-1]])*1000</f>
        <v>652.00000000004366</v>
      </c>
      <c r="EV14">
        <f>CM15-Table2[[#This Row],[2F4 Old CK Blast (Blue star)]]</f>
        <v>0</v>
      </c>
      <c r="EW14">
        <f>CN15-Table2[[#This Row],[3F6 Old CK Blast (Carrier)]]</f>
        <v>546.20000000000437</v>
      </c>
      <c r="EX14">
        <f>(CO15-Table2[[#This Row],[Old CK Panel -2]])*1000</f>
        <v>1029.9999999999727</v>
      </c>
      <c r="EY14">
        <f>N15-Table2[[#This Row],[4F1 Main UPS 1/C -1]]</f>
        <v>867.67999999993481</v>
      </c>
      <c r="EZ14">
        <f>Z15-Table2[[#This Row],[15F1 Main UPS Panel - I/C - 2]]</f>
        <v>0</v>
      </c>
      <c r="FA14">
        <f>BF15-Table2[[#This Row],[2F CLC -1 AC unit - 2]]</f>
        <v>0</v>
      </c>
      <c r="FB14">
        <f>(BG15-Table2[[#This Row],[2F CLC Anti room]])*1000</f>
        <v>33.000000000001251</v>
      </c>
      <c r="FC14">
        <f>BW15-Table2[[#This Row],[7F3 CLC Power Panel]]</f>
        <v>213.18400000000838</v>
      </c>
      <c r="FD14">
        <f>(CI15-Table2[[#This Row],[PDB - 17 CLC Section ]])*1000</f>
        <v>146.00000000001501</v>
      </c>
      <c r="FE14">
        <f>(W15-Table2[[#This Row],[13F3 Water &amp; Lift Old CK]])*1000</f>
        <v>875.40000000012697</v>
      </c>
      <c r="FF14">
        <f>AA15-Table2[[#This Row],[15F2 New ETP Panel]]</f>
        <v>262.40000000002328</v>
      </c>
      <c r="FG14">
        <f>AL15-Table2[[#This Row],[3F4 Old ETP Panel]]</f>
        <v>61.439999999944121</v>
      </c>
      <c r="FH14">
        <f>AF15-Table2[[#This Row],[2F1 RO Plant]]</f>
        <v>624.57600000000093</v>
      </c>
      <c r="FI14">
        <f>AK15-Table2[[#This Row],[3F3 Fire Hydrant Panel]]</f>
        <v>5.4400000000023283</v>
      </c>
      <c r="FJ14">
        <f>R15-Table2[[#This Row],[7F1 Freon System Panel]]</f>
        <v>5066.8799999998882</v>
      </c>
      <c r="FK14">
        <f>(AE15-Table2[[#This Row],[21F1 Refrigeration Ammonia]])*1000</f>
        <v>6361.6000000001804</v>
      </c>
      <c r="FL14">
        <f>(AG15-Table2[[#This Row],[2F3 Air Compressor]])*1000</f>
        <v>980.00000000001819</v>
      </c>
      <c r="FM14">
        <f>(AX15-Table2[[#This Row],[Solar Reading Panel II]])*1000</f>
        <v>1143.0000000000291</v>
      </c>
      <c r="FN14">
        <f>AI15-Table2[[#This Row],[3F1 Maintenance Workshop]]</f>
        <v>4.8592000000007829</v>
      </c>
      <c r="FO14">
        <f>BD15-Table2[[#This Row],[4F B2B unit ]]</f>
        <v>21.887999999977183</v>
      </c>
      <c r="FP14">
        <f>BL15-Table2[[#This Row],[2F1 - PDB 6 - Bread, B2B section]]</f>
        <v>49.907200000001467</v>
      </c>
      <c r="FQ14">
        <f>(CG15-Table2[[#This Row],[9F5 - PDB 14 - Bread Lift]])</f>
        <v>0.41280000004917383</v>
      </c>
      <c r="FR14">
        <f>CJ15-Table2[[#This Row],[PDB - 16 Bread Section]]</f>
        <v>0.60000000000013642</v>
      </c>
      <c r="FS14">
        <f>BU15-Table2[[#This Row],[7F1 Donut Production area]]</f>
        <v>186.43199999991339</v>
      </c>
      <c r="FT14">
        <f>CB15-Table2[[#This Row],[8F5 Donut Ban Bary]]</f>
        <v>46.407999999995809</v>
      </c>
      <c r="FU14">
        <f>CF15-Table2[[#This Row],[9F4 - PDB 13 - Donut Sink Geyser area]]</f>
        <v>8.3040000000037253</v>
      </c>
      <c r="FV14">
        <f>BV15-Table2[[#This Row],[7F2 Flour Silo]]</f>
        <v>457.11999999999534</v>
      </c>
      <c r="FW14">
        <f>BY15-Table2[[#This Row],[8F2 ACPDB - 3 SILO Ventilation]]</f>
        <v>46.304000000003725</v>
      </c>
      <c r="FX14">
        <f>J15-Table2[[#This Row],[DG 1010KVA Running Hours]]</f>
        <v>0</v>
      </c>
      <c r="FY14">
        <f>K15-Table2[[#This Row],[DG 1010 KVA Meter Reading]]</f>
        <v>0</v>
      </c>
      <c r="FZ14">
        <f>L15-Table2[[#This Row],[GG 1010 KVA Running Hours]]</f>
        <v>0</v>
      </c>
      <c r="GA14">
        <f>M15-Table2[[#This Row],[GG 1010 KVA Meter Reading]]</f>
        <v>0</v>
      </c>
    </row>
    <row r="15" spans="1:183" x14ac:dyDescent="0.35">
      <c r="A15" s="1">
        <v>23</v>
      </c>
      <c r="B15" s="2">
        <v>46213.377615740697</v>
      </c>
      <c r="C15" s="2">
        <v>46213.419907407399</v>
      </c>
      <c r="D15" s="1" t="s">
        <v>111</v>
      </c>
      <c r="E15" s="1"/>
      <c r="F15" s="1"/>
      <c r="G15" s="3">
        <v>46213</v>
      </c>
      <c r="H15" s="1" t="s">
        <v>186</v>
      </c>
      <c r="I15" s="6">
        <v>5605.7820000000002</v>
      </c>
      <c r="J15" s="6">
        <v>4248.8</v>
      </c>
      <c r="K15" s="6">
        <v>1765872</v>
      </c>
      <c r="L15" s="6">
        <v>430</v>
      </c>
      <c r="M15" s="6">
        <v>179.23</v>
      </c>
      <c r="N15" s="6">
        <v>1846169.92</v>
      </c>
      <c r="O15" s="6">
        <v>4555582.08</v>
      </c>
      <c r="P15" s="6">
        <v>636134.07999999996</v>
      </c>
      <c r="Q15" s="6">
        <v>8018854.4000000004</v>
      </c>
      <c r="R15" s="6">
        <v>5401349.7599999998</v>
      </c>
      <c r="S15" s="6">
        <v>7284060.1600000001</v>
      </c>
      <c r="T15" s="6">
        <v>42902491.954000004</v>
      </c>
      <c r="U15" s="6">
        <v>2071960.48</v>
      </c>
      <c r="V15" s="6">
        <v>5073597.12</v>
      </c>
      <c r="W15" s="6">
        <v>1576.9779000000001</v>
      </c>
      <c r="X15" s="6">
        <v>767111.04</v>
      </c>
      <c r="Y15" s="6">
        <v>1061470.8799999999</v>
      </c>
      <c r="Z15" s="6">
        <v>2777.8894</v>
      </c>
      <c r="AA15" s="6">
        <v>661492.47999999998</v>
      </c>
      <c r="AB15" s="6">
        <v>421013.47200000001</v>
      </c>
      <c r="AC15" s="6">
        <v>2120986.2400000002</v>
      </c>
      <c r="AD15" s="6">
        <v>2438334.3029999998</v>
      </c>
      <c r="AE15" s="6">
        <v>12637.134400000001</v>
      </c>
      <c r="AF15" s="6">
        <v>861489.85600000003</v>
      </c>
      <c r="AG15" s="6">
        <v>1372.191</v>
      </c>
      <c r="AH15" s="6">
        <v>130516.48</v>
      </c>
      <c r="AI15" s="6">
        <v>14500.5344</v>
      </c>
      <c r="AJ15" s="6">
        <v>145282.592</v>
      </c>
      <c r="AK15" s="6">
        <v>104956.624</v>
      </c>
      <c r="AL15" s="6">
        <v>328771.00799999997</v>
      </c>
      <c r="AM15" s="6">
        <v>976.99199999999996</v>
      </c>
      <c r="AN15" s="6">
        <v>276.3</v>
      </c>
      <c r="AO15" s="6">
        <v>7.8</v>
      </c>
      <c r="AP15" s="6">
        <v>222608</v>
      </c>
      <c r="AQ15" s="6">
        <v>42305</v>
      </c>
      <c r="AR15" s="6">
        <v>41760</v>
      </c>
      <c r="AS15" s="6">
        <v>0</v>
      </c>
      <c r="AT15" s="6">
        <v>0</v>
      </c>
      <c r="AU15" s="6">
        <v>15051</v>
      </c>
      <c r="AV15" s="6">
        <v>6026</v>
      </c>
      <c r="AW15" s="6">
        <v>20.760994</v>
      </c>
      <c r="AX15" s="6">
        <v>7174.9660000000003</v>
      </c>
      <c r="AY15" s="6">
        <v>675.64440000000002</v>
      </c>
      <c r="AZ15" s="6">
        <v>20.788</v>
      </c>
      <c r="BA15" s="6">
        <v>9911.4470000000001</v>
      </c>
      <c r="BB15" s="6">
        <v>43.671999999999997</v>
      </c>
      <c r="BC15" s="6">
        <v>113978.504</v>
      </c>
      <c r="BD15" s="6">
        <v>274563.45600000001</v>
      </c>
      <c r="BE15" s="6">
        <v>3695.2316000000001</v>
      </c>
      <c r="BF15" s="6">
        <v>1712.0419999999999</v>
      </c>
      <c r="BG15" s="6">
        <v>74.275000000000006</v>
      </c>
      <c r="BH15" s="6">
        <v>356.02600000000001</v>
      </c>
      <c r="BI15" s="6">
        <v>903.80200000000002</v>
      </c>
      <c r="BJ15" s="6">
        <v>13.510999999999999</v>
      </c>
      <c r="BK15" s="6">
        <v>557.32899999999995</v>
      </c>
      <c r="BL15" s="6">
        <v>68443.148799999995</v>
      </c>
      <c r="BM15" s="6">
        <v>297350.36</v>
      </c>
      <c r="BN15" s="6">
        <v>7139.2824000000001</v>
      </c>
      <c r="BO15" s="6">
        <v>53512.371200000001</v>
      </c>
      <c r="BP15" s="6">
        <v>311257.37599999999</v>
      </c>
      <c r="BQ15" s="6">
        <v>320.30599999999998</v>
      </c>
      <c r="BR15" s="6">
        <v>178.505</v>
      </c>
      <c r="BS15" s="6">
        <v>981793.61300000001</v>
      </c>
      <c r="BT15" s="6">
        <v>1400542.2379999999</v>
      </c>
      <c r="BU15" s="6">
        <v>624033.53599999996</v>
      </c>
      <c r="BV15" s="6">
        <v>1011041.84</v>
      </c>
      <c r="BW15" s="6">
        <v>562982.52800000005</v>
      </c>
      <c r="BX15" s="6">
        <v>942480.12800000003</v>
      </c>
      <c r="BY15" s="6">
        <v>156542.272</v>
      </c>
      <c r="BZ15" s="6">
        <v>114219.952</v>
      </c>
      <c r="CA15" s="6">
        <v>1179.6519000000001</v>
      </c>
      <c r="CB15" s="6">
        <v>107403.432</v>
      </c>
      <c r="CC15" s="6">
        <v>147655.96799999999</v>
      </c>
      <c r="CD15" s="6">
        <v>442080.76799999998</v>
      </c>
      <c r="CE15" s="6">
        <v>49125.260799999996</v>
      </c>
      <c r="CF15" s="6">
        <v>155314.576</v>
      </c>
      <c r="CG15" s="6">
        <v>360760.61440000002</v>
      </c>
      <c r="CH15" s="6">
        <v>2385.8710000000001</v>
      </c>
      <c r="CI15" s="6">
        <v>210.89500000000001</v>
      </c>
      <c r="CJ15" s="6">
        <v>1167.4000000000001</v>
      </c>
      <c r="CK15" s="6">
        <v>76.912999999999997</v>
      </c>
      <c r="CL15" s="6">
        <v>720.53200000000004</v>
      </c>
      <c r="CM15" s="6">
        <v>551.4</v>
      </c>
      <c r="CN15" s="6">
        <v>34792.400000000001</v>
      </c>
      <c r="CO15" s="6">
        <v>1629.4010000000001</v>
      </c>
      <c r="CP15" s="6">
        <v>290903.50900000002</v>
      </c>
      <c r="CQ15" s="6">
        <v>3656770.88</v>
      </c>
      <c r="CR15" s="6">
        <v>129512.16800000001</v>
      </c>
      <c r="CS15" s="6">
        <v>507036.25599999999</v>
      </c>
      <c r="CT15" s="6">
        <v>2854836.111</v>
      </c>
      <c r="CU15" s="6">
        <v>292396.05099999998</v>
      </c>
      <c r="CV15" s="6">
        <v>30124.047999999999</v>
      </c>
      <c r="CW15" s="6">
        <v>62256.134400000003</v>
      </c>
      <c r="CX15" s="6">
        <v>33227.599999999999</v>
      </c>
      <c r="CY15" s="6">
        <v>164849.79199999999</v>
      </c>
      <c r="CZ15" s="6">
        <v>216284.22399999999</v>
      </c>
      <c r="DA15" s="6">
        <v>17765.009999999998</v>
      </c>
      <c r="DB15" s="6">
        <v>147706.33799999999</v>
      </c>
      <c r="DC15" s="6">
        <v>2892.92</v>
      </c>
      <c r="DD15" s="6">
        <v>2892.83</v>
      </c>
      <c r="DE15" s="6">
        <v>2916.33</v>
      </c>
      <c r="DF15" s="6">
        <v>0.999</v>
      </c>
      <c r="DG15" s="1" t="s">
        <v>226</v>
      </c>
      <c r="DH15" s="4">
        <f>Table2[[#This Row],[Date]]</f>
        <v>46213</v>
      </c>
      <c r="DI15">
        <f>(DD16-Table2[[#This Row],[MWH Total]])*4000</f>
        <v>25479.999999999563</v>
      </c>
      <c r="DJ15">
        <f>(DA16-Table2[[#This Row],[PNG Meter (Outside)]])*2.936</f>
        <v>12.037600000006409</v>
      </c>
      <c r="DK15">
        <f>(DB16-Table2[[#This Row],[PNG Meter (Inside)]])*2.936</f>
        <v>334.00816800001843</v>
      </c>
      <c r="DL15">
        <f>(BH16-Table2[[#This Row],[3F Dough cooler - 2 ]])*1000</f>
        <v>269.00000000000546</v>
      </c>
      <c r="DM15">
        <f>(BI16-Table2[[#This Row],[3F Dough Cooler- 1]])*1000</f>
        <v>480.99999999999454</v>
      </c>
      <c r="DN15">
        <f>(BJ16-Table2[[#This Row],[4F Dough Production cooling Unit]])*1000</f>
        <v>42.000000000001592</v>
      </c>
      <c r="DO15">
        <f>(BQ16-Table2[[#This Row],[3F2 - PDB 3 - Dough Production Area]])*1000</f>
        <v>194.00000000001683</v>
      </c>
      <c r="DP15">
        <f>(BR16-Table2[[#This Row],[3F3 - PDB 4 - Dough Area]])*1000</f>
        <v>112.99999999999955</v>
      </c>
      <c r="DQ15">
        <f>AC16-Table2[[#This Row],[16F1 Tray washer Panel for Light]]</f>
        <v>742.23999999975786</v>
      </c>
      <c r="DR15">
        <f>CQ16-Table2[[#This Row],[2F1 Tray Washer - 1]]</f>
        <v>1142.7200000002049</v>
      </c>
      <c r="DS15">
        <f>CS16-Table2[[#This Row],[2F5 Destacker]]</f>
        <v>348.51199999998789</v>
      </c>
      <c r="DT15">
        <f>CU16-Table2[[#This Row],[5F1 Metering (TW-2)]]</f>
        <v>223.98200000001816</v>
      </c>
      <c r="DU15">
        <f>CV16-Table2[[#This Row],[6F1 Pre soaker Tray washer]]</f>
        <v>3.2000000028347131E-3</v>
      </c>
      <c r="DV15">
        <f>CZ16-Table2[[#This Row],[6F5 Vent tray Storage]]</f>
        <v>49.152000000001863</v>
      </c>
      <c r="DW15">
        <f>I16-Table2[[#This Row],[Popeyes Meter ]]</f>
        <v>57.130000000000109</v>
      </c>
      <c r="DX15">
        <f>AZ16-Table2[[#This Row],[2F WH Chiller, Segregation Area]]</f>
        <v>0</v>
      </c>
      <c r="DY15">
        <f>BA16-Table2[[#This Row],[3F1 AC Unit WH dock cooling - 2 Nos]]</f>
        <v>20.639999999999418</v>
      </c>
      <c r="DZ15">
        <f>BB16-Table2[[#This Row],[3F2 AC Unit WH dock cooling - 3 Nos]]</f>
        <v>4.4000000000004036E-2</v>
      </c>
      <c r="EA15">
        <f>(BK16-Table2[[#This Row],[5F WH Perishable]])*1000</f>
        <v>315.00000000005457</v>
      </c>
      <c r="EB15">
        <f>BN16-Table2[[#This Row],[2F3 - PDB 9 - WH Dock Leveler Door ]]</f>
        <v>8.1599999999525608E-2</v>
      </c>
      <c r="EC15">
        <f>BP16-Table2[[#This Row],[3F1 - PDB 5 - WH HSD]]</f>
        <v>157.69599999999627</v>
      </c>
      <c r="ED15">
        <f>BX16-Table2[[#This Row],[8F1 WH Dock AHU - Ventilation]]</f>
        <v>2317.0559999999823</v>
      </c>
      <c r="EE15">
        <f>BZ16-Table2[[#This Row],[8F3 ACPDB - 4 WH Dock air curtain]]</f>
        <v>8.2880000000004657</v>
      </c>
      <c r="EF15">
        <f>CA16-Table2[[#This Row],[8F4 WH Light]]</f>
        <v>2.7488999999998214</v>
      </c>
      <c r="EG15">
        <f>CC16-Table2[[#This Row],[9F1 - PDB 10 - WH Dock door &amp; Office]]</f>
        <v>130.76800000001094</v>
      </c>
      <c r="EH15">
        <f>CD16-Table2[[#This Row],[9F2 - PDB 11 - WH flycatchers]]</f>
        <v>163.96799999999348</v>
      </c>
      <c r="EI15">
        <f>CE16-Table2[[#This Row],[9F3 - PDB 12 - Other items]]</f>
        <v>0</v>
      </c>
      <c r="EJ15">
        <f>CR16-Table2[[#This Row],[2F3 - PDB 1 - Dock 1 to 4 ]]</f>
        <v>61.720000000001164</v>
      </c>
      <c r="EK15">
        <f>BM16-Table2[[#This Row],[2F2 - PDB 3 - WH Truck &amp; Battery Charging]]</f>
        <v>464.55200000002515</v>
      </c>
      <c r="EL15">
        <f>(CK16-Table2[[#This Row],[PDB - 11 Truck Charging]])*1000</f>
        <v>51.000000000001933</v>
      </c>
      <c r="EM15">
        <f>P16-Table2[[#This Row],[5F3 Admin Area]]</f>
        <v>367.8080000000773</v>
      </c>
      <c r="EN15">
        <f>AH16-Table2[[#This Row],[2F5 Main Gate-1 Piller -1]]</f>
        <v>128.3920000000071</v>
      </c>
      <c r="EO15">
        <f>CW16-Table2[[#This Row],[6F2 Ground Floor AC]]</f>
        <v>36.691199999993842</v>
      </c>
      <c r="EP15">
        <f>CX16-Table2[[#This Row],[6F3 ACBD -1 (First floor AC)]]</f>
        <v>10.387200000004668</v>
      </c>
      <c r="EQ15">
        <f>CY16-Table2[[#This Row],[6F4 ACBD - 2 (Second &amp; Third floor AC)]]</f>
        <v>89.952000000019325</v>
      </c>
      <c r="ER15">
        <f>(BC16-Table2[[#This Row],[4F Old BMC cooling Unit]])</f>
        <v>0.39199999999254942</v>
      </c>
      <c r="ES15">
        <f>BO16-Table2[[#This Row],[2F4 - Old BMC]]</f>
        <v>4.8384000000005472</v>
      </c>
      <c r="ET15">
        <f>Y16-Table2[[#This Row],[14F2 New CK]]</f>
        <v>1381.6000000000931</v>
      </c>
      <c r="EU15">
        <f>(CL16-Table2[[#This Row],[OLD Ck Panel-1]])*1000</f>
        <v>669.99999999995907</v>
      </c>
      <c r="EV15">
        <f>CM16-Table2[[#This Row],[2F4 Old CK Blast (Blue star)]]</f>
        <v>0</v>
      </c>
      <c r="EW15">
        <f>CN16-Table2[[#This Row],[3F6 Old CK Blast (Carrier)]]</f>
        <v>539</v>
      </c>
      <c r="EX15">
        <f>(CO16-Table2[[#This Row],[Old CK Panel -2]])*1000</f>
        <v>1249.0000000000236</v>
      </c>
      <c r="EY15">
        <f>N16-Table2[[#This Row],[4F1 Main UPS 1/C -1]]</f>
        <v>923.04000000003725</v>
      </c>
      <c r="EZ15">
        <f>Z16-Table2[[#This Row],[15F1 Main UPS Panel - I/C - 2]]</f>
        <v>0</v>
      </c>
      <c r="FA15">
        <f>BF16-Table2[[#This Row],[2F CLC -1 AC unit - 2]]</f>
        <v>0</v>
      </c>
      <c r="FB15">
        <f>(BG16-Table2[[#This Row],[2F CLC Anti room]])*1000</f>
        <v>33.000000000001251</v>
      </c>
      <c r="FC15">
        <f>BW16-Table2[[#This Row],[7F3 CLC Power Panel]]</f>
        <v>293.95199999993201</v>
      </c>
      <c r="FD15">
        <f>(CI16-Table2[[#This Row],[PDB - 17 CLC Section ]])*1000</f>
        <v>78.000000000002956</v>
      </c>
      <c r="FE15">
        <f>(W16-Table2[[#This Row],[13F3 Water &amp; Lift Old CK]])*1000</f>
        <v>618.99999999991451</v>
      </c>
      <c r="FF15">
        <f>AA16-Table2[[#This Row],[15F2 New ETP Panel]]</f>
        <v>299.77600000007078</v>
      </c>
      <c r="FG15">
        <f>AL16-Table2[[#This Row],[3F4 Old ETP Panel]]</f>
        <v>64.992000000027474</v>
      </c>
      <c r="FH15">
        <f>AF16-Table2[[#This Row],[2F1 RO Plant]]</f>
        <v>588.03200000000652</v>
      </c>
      <c r="FI15">
        <f>AK16-Table2[[#This Row],[3F3 Fire Hydrant Panel]]</f>
        <v>10.688000000009197</v>
      </c>
      <c r="FJ15">
        <f>R16-Table2[[#This Row],[7F1 Freon System Panel]]</f>
        <v>5824</v>
      </c>
      <c r="FK15">
        <f>(AE16-Table2[[#This Row],[21F1 Refrigeration Ammonia]])*1000</f>
        <v>7119.1999999991822</v>
      </c>
      <c r="FL15">
        <f>(AG16-Table2[[#This Row],[2F3 Air Compressor]])*1000</f>
        <v>1035.0000000000819</v>
      </c>
      <c r="FM15">
        <f>(AX16-Table2[[#This Row],[Solar Reading Panel II]])*1000</f>
        <v>3345.9999999995489</v>
      </c>
      <c r="FN15">
        <f>AI16-Table2[[#This Row],[3F1 Maintenance Workshop]]</f>
        <v>3.6895999999997002</v>
      </c>
      <c r="FO15">
        <f>BD16-Table2[[#This Row],[4F B2B unit ]]</f>
        <v>46.048000000009779</v>
      </c>
      <c r="FP15">
        <f>BL16-Table2[[#This Row],[2F1 - PDB 6 - Bread, B2B section]]</f>
        <v>142.94400000000314</v>
      </c>
      <c r="FQ15">
        <f>(CG16-Table2[[#This Row],[9F5 - PDB 14 - Bread Lift]])</f>
        <v>9.4959999999846332</v>
      </c>
      <c r="FR15">
        <f>CJ16-Table2[[#This Row],[PDB - 16 Bread Section]]</f>
        <v>0.79999999999995453</v>
      </c>
      <c r="FS15">
        <f>BU16-Table2[[#This Row],[7F1 Donut Production area]]</f>
        <v>185.66399999998976</v>
      </c>
      <c r="FT15">
        <f>CB16-Table2[[#This Row],[8F5 Donut Ban Bary]]</f>
        <v>60.927999999999884</v>
      </c>
      <c r="FU15">
        <f>CF16-Table2[[#This Row],[9F4 - PDB 13 - Donut Sink Geyser area]]</f>
        <v>18.880000000004657</v>
      </c>
      <c r="FV15">
        <f>BV16-Table2[[#This Row],[7F2 Flour Silo]]</f>
        <v>531.68000000005122</v>
      </c>
      <c r="FW15">
        <f>BY16-Table2[[#This Row],[8F2 ACPDB - 3 SILO Ventilation]]</f>
        <v>48.176000000006752</v>
      </c>
      <c r="FX15">
        <f>J16-Table2[[#This Row],[DG 1010KVA Running Hours]]</f>
        <v>0</v>
      </c>
      <c r="FY15">
        <f>K16-Table2[[#This Row],[DG 1010 KVA Meter Reading]]</f>
        <v>0</v>
      </c>
      <c r="FZ15">
        <f>L16-Table2[[#This Row],[GG 1010 KVA Running Hours]]</f>
        <v>0</v>
      </c>
      <c r="GA15">
        <f>M16-Table2[[#This Row],[GG 1010 KVA Meter Reading]]</f>
        <v>0</v>
      </c>
    </row>
    <row r="16" spans="1:183" x14ac:dyDescent="0.35">
      <c r="A16" s="1">
        <v>24</v>
      </c>
      <c r="B16" s="2">
        <v>46214.366412037001</v>
      </c>
      <c r="C16" s="2">
        <v>46214.407500000001</v>
      </c>
      <c r="D16" s="1" t="s">
        <v>111</v>
      </c>
      <c r="E16" s="1"/>
      <c r="F16" s="1"/>
      <c r="G16" s="3">
        <v>46214</v>
      </c>
      <c r="H16" s="1" t="s">
        <v>186</v>
      </c>
      <c r="I16" s="6">
        <v>5662.9120000000003</v>
      </c>
      <c r="J16" s="6">
        <v>4248.8</v>
      </c>
      <c r="K16" s="6">
        <v>1765872</v>
      </c>
      <c r="L16" s="6">
        <v>430</v>
      </c>
      <c r="M16" s="6">
        <v>179.23</v>
      </c>
      <c r="N16" s="6">
        <v>1847092.96</v>
      </c>
      <c r="O16" s="6">
        <v>4557297.92</v>
      </c>
      <c r="P16" s="6">
        <v>636501.88800000004</v>
      </c>
      <c r="Q16" s="6">
        <v>8022284.7999999998</v>
      </c>
      <c r="R16" s="6">
        <v>5407173.7599999998</v>
      </c>
      <c r="S16" s="6">
        <v>7287534.7199999997</v>
      </c>
      <c r="T16" s="6">
        <v>42485794.450000003</v>
      </c>
      <c r="U16" s="6">
        <v>2073149.12</v>
      </c>
      <c r="V16" s="6">
        <v>5075280.6399999997</v>
      </c>
      <c r="W16" s="6">
        <v>1577.5969</v>
      </c>
      <c r="X16" s="6">
        <v>767335.87199999997</v>
      </c>
      <c r="Y16" s="6">
        <v>1062852.48</v>
      </c>
      <c r="Z16" s="6">
        <v>2777.8894</v>
      </c>
      <c r="AA16" s="6">
        <v>661792.25600000005</v>
      </c>
      <c r="AB16" s="6">
        <v>421022.592</v>
      </c>
      <c r="AC16" s="6">
        <v>2121728.48</v>
      </c>
      <c r="AD16" s="6">
        <v>3729735.3509999998</v>
      </c>
      <c r="AE16" s="6">
        <v>12644.2536</v>
      </c>
      <c r="AF16" s="6">
        <v>862077.88800000004</v>
      </c>
      <c r="AG16" s="6">
        <v>1373.2260000000001</v>
      </c>
      <c r="AH16" s="6">
        <v>130644.872</v>
      </c>
      <c r="AI16" s="6">
        <v>14504.224</v>
      </c>
      <c r="AJ16" s="6">
        <v>145284.864</v>
      </c>
      <c r="AK16" s="6">
        <v>104967.31200000001</v>
      </c>
      <c r="AL16" s="6">
        <v>328836</v>
      </c>
      <c r="AM16" s="6">
        <v>977.58199999999999</v>
      </c>
      <c r="AN16" s="6">
        <v>270.89999999999998</v>
      </c>
      <c r="AO16" s="6">
        <v>7.5</v>
      </c>
      <c r="AP16" s="6">
        <v>231905</v>
      </c>
      <c r="AQ16" s="6">
        <v>42305</v>
      </c>
      <c r="AR16" s="6">
        <v>41760</v>
      </c>
      <c r="AS16" s="6">
        <v>0</v>
      </c>
      <c r="AT16" s="6">
        <v>0</v>
      </c>
      <c r="AU16" s="6">
        <v>15075</v>
      </c>
      <c r="AV16" s="6">
        <v>6042</v>
      </c>
      <c r="AW16" s="6">
        <v>20.767872000000001</v>
      </c>
      <c r="AX16" s="6">
        <v>7178.3119999999999</v>
      </c>
      <c r="AY16" s="6">
        <v>675.77639999999997</v>
      </c>
      <c r="AZ16" s="6">
        <v>20.788</v>
      </c>
      <c r="BA16" s="6">
        <v>9932.0869999999995</v>
      </c>
      <c r="BB16" s="6">
        <v>43.716000000000001</v>
      </c>
      <c r="BC16" s="6">
        <v>113978.89599999999</v>
      </c>
      <c r="BD16" s="6">
        <v>274609.50400000002</v>
      </c>
      <c r="BE16" s="6">
        <v>3696.4391999999998</v>
      </c>
      <c r="BF16" s="6">
        <v>1712.0419999999999</v>
      </c>
      <c r="BG16" s="6">
        <v>74.308000000000007</v>
      </c>
      <c r="BH16" s="6">
        <v>356.29500000000002</v>
      </c>
      <c r="BI16" s="6">
        <v>904.28300000000002</v>
      </c>
      <c r="BJ16" s="6">
        <v>13.553000000000001</v>
      </c>
      <c r="BK16" s="6">
        <v>557.64400000000001</v>
      </c>
      <c r="BL16" s="6">
        <v>68586.092799999999</v>
      </c>
      <c r="BM16" s="6">
        <v>297814.91200000001</v>
      </c>
      <c r="BN16" s="6">
        <v>7139.3639999999996</v>
      </c>
      <c r="BO16" s="6">
        <v>53517.209600000002</v>
      </c>
      <c r="BP16" s="6">
        <v>311415.07199999999</v>
      </c>
      <c r="BQ16" s="6">
        <v>320.5</v>
      </c>
      <c r="BR16" s="6">
        <v>178.61799999999999</v>
      </c>
      <c r="BS16" s="6">
        <v>982965.91299999994</v>
      </c>
      <c r="BT16" s="6">
        <v>1400548.463</v>
      </c>
      <c r="BU16" s="6">
        <v>624219.19999999995</v>
      </c>
      <c r="BV16" s="6">
        <v>1011573.52</v>
      </c>
      <c r="BW16" s="6">
        <v>563276.48</v>
      </c>
      <c r="BX16" s="6">
        <v>944797.18400000001</v>
      </c>
      <c r="BY16" s="6">
        <v>156590.448</v>
      </c>
      <c r="BZ16" s="6">
        <v>114228.24</v>
      </c>
      <c r="CA16" s="6">
        <v>1182.4007999999999</v>
      </c>
      <c r="CB16" s="6">
        <v>107464.36</v>
      </c>
      <c r="CC16" s="6">
        <v>147786.736</v>
      </c>
      <c r="CD16" s="6">
        <v>442244.73599999998</v>
      </c>
      <c r="CE16" s="6">
        <v>49125.260799999996</v>
      </c>
      <c r="CF16" s="6">
        <v>155333.45600000001</v>
      </c>
      <c r="CG16" s="6">
        <v>360770.11040000001</v>
      </c>
      <c r="CH16" s="6">
        <v>2385.8710000000001</v>
      </c>
      <c r="CI16" s="6">
        <v>210.97300000000001</v>
      </c>
      <c r="CJ16" s="6">
        <v>1168.2</v>
      </c>
      <c r="CK16" s="6">
        <v>76.963999999999999</v>
      </c>
      <c r="CL16" s="6">
        <v>721.202</v>
      </c>
      <c r="CM16" s="6">
        <v>551.4</v>
      </c>
      <c r="CN16" s="6">
        <v>35331.4</v>
      </c>
      <c r="CO16" s="6">
        <v>1630.65</v>
      </c>
      <c r="CP16" s="6">
        <v>291035.18400000001</v>
      </c>
      <c r="CQ16" s="6">
        <v>3657913.6</v>
      </c>
      <c r="CR16" s="6">
        <v>129573.88800000001</v>
      </c>
      <c r="CS16" s="6">
        <v>507384.76799999998</v>
      </c>
      <c r="CT16" s="6">
        <v>2858364.2239999999</v>
      </c>
      <c r="CU16" s="6">
        <v>292620.033</v>
      </c>
      <c r="CV16" s="6">
        <v>30124.051200000002</v>
      </c>
      <c r="CW16" s="6">
        <v>62292.825599999996</v>
      </c>
      <c r="CX16" s="6">
        <v>33237.987200000003</v>
      </c>
      <c r="CY16" s="6">
        <v>164939.74400000001</v>
      </c>
      <c r="CZ16" s="6">
        <v>216333.37599999999</v>
      </c>
      <c r="DA16" s="6">
        <v>17769.11</v>
      </c>
      <c r="DB16" s="6">
        <v>147820.101</v>
      </c>
      <c r="DC16" s="6">
        <v>2899.29</v>
      </c>
      <c r="DD16" s="6">
        <v>2899.2</v>
      </c>
      <c r="DE16" s="6">
        <v>2922.67</v>
      </c>
      <c r="DF16" s="6">
        <v>0.998</v>
      </c>
      <c r="DG16" s="1" t="s">
        <v>230</v>
      </c>
      <c r="DH16" s="4">
        <f>Table2[[#This Row],[Date]]</f>
        <v>46214</v>
      </c>
      <c r="DI16">
        <f>(DD17-Table2[[#This Row],[MWH Total]])*4000</f>
        <v>26560.00000000131</v>
      </c>
      <c r="DJ16">
        <f>(DA17-Table2[[#This Row],[PNG Meter (Outside)]])*2.936</f>
        <v>14.768079999996582</v>
      </c>
      <c r="DK16">
        <f>(DB17-Table2[[#This Row],[PNG Meter (Inside)]])*2.936</f>
        <v>170.71078400000067</v>
      </c>
      <c r="DL16">
        <f>(BH17-Table2[[#This Row],[3F Dough cooler - 2 ]])*1000</f>
        <v>180.00000000000682</v>
      </c>
      <c r="DM16">
        <f>(BI17-Table2[[#This Row],[3F Dough Cooler- 1]])*1000</f>
        <v>393.0000000000291</v>
      </c>
      <c r="DN16">
        <f>(BJ17-Table2[[#This Row],[4F Dough Production cooling Unit]])*1000</f>
        <v>33.99999999999892</v>
      </c>
      <c r="DO16">
        <f>(BQ17-Table2[[#This Row],[3F2 - PDB 3 - Dough Production Area]])*1000</f>
        <v>163.00000000001091</v>
      </c>
      <c r="DP16">
        <f>(BR17-Table2[[#This Row],[3F3 - PDB 4 - Dough Area]])*1000</f>
        <v>91.000000000008185</v>
      </c>
      <c r="DQ16">
        <f>AC17-Table2[[#This Row],[16F1 Tray washer Panel for Light]]</f>
        <v>647.52000000001863</v>
      </c>
      <c r="DR16">
        <f>CQ17-Table2[[#This Row],[2F1 Tray Washer - 1]]</f>
        <v>1046.7199999997392</v>
      </c>
      <c r="DS16">
        <f>CS17-Table2[[#This Row],[2F5 Destacker]]</f>
        <v>269.2160000000149</v>
      </c>
      <c r="DT16">
        <f>CU17-Table2[[#This Row],[5F1 Metering (TW-2)]]</f>
        <v>249.36599999997998</v>
      </c>
      <c r="DU16">
        <f>CV17-Table2[[#This Row],[6F1 Pre soaker Tray washer]]</f>
        <v>0</v>
      </c>
      <c r="DV16">
        <f>CZ17-Table2[[#This Row],[6F5 Vent tray Storage]]</f>
        <v>72.01600000000326</v>
      </c>
      <c r="DW16">
        <f>I17-Table2[[#This Row],[Popeyes Meter ]]</f>
        <v>6.5299999999997453</v>
      </c>
      <c r="DX16">
        <f>AZ17-Table2[[#This Row],[2F WH Chiller, Segregation Area]]</f>
        <v>0</v>
      </c>
      <c r="DY16">
        <f>BA17-Table2[[#This Row],[3F1 AC Unit WH dock cooling - 2 Nos]]</f>
        <v>12.260000000000218</v>
      </c>
      <c r="DZ16">
        <f>BB17-Table2[[#This Row],[3F2 AC Unit WH dock cooling - 3 Nos]]</f>
        <v>2.8999999999996362E-2</v>
      </c>
      <c r="EA16">
        <f>(BK17-Table2[[#This Row],[5F WH Perishable]])*1000</f>
        <v>258.0000000000382</v>
      </c>
      <c r="EB16">
        <f>BN17-Table2[[#This Row],[2F3 - PDB 9 - WH Dock Leveler Door ]]</f>
        <v>0.10560000000077707</v>
      </c>
      <c r="EC16">
        <f>BP17-Table2[[#This Row],[3F1 - PDB 5 - WH HSD]]</f>
        <v>127.77600000001257</v>
      </c>
      <c r="ED16">
        <f>BX17-Table2[[#This Row],[8F1 WH Dock AHU - Ventilation]]</f>
        <v>1886.2079999999842</v>
      </c>
      <c r="EE16">
        <f>BZ17-Table2[[#This Row],[8F3 ACPDB - 4 WH Dock air curtain]]</f>
        <v>5.3359999999956926</v>
      </c>
      <c r="EF16">
        <f>CA17-Table2[[#This Row],[8F4 WH Light]]</f>
        <v>2.2535000000000309</v>
      </c>
      <c r="EG16">
        <f>CC17-Table2[[#This Row],[9F1 - PDB 10 - WH Dock door &amp; Office]]</f>
        <v>100.58999999999651</v>
      </c>
      <c r="EH16">
        <f>CD17-Table2[[#This Row],[9F2 - PDB 11 - WH flycatchers]]</f>
        <v>135.11200000002282</v>
      </c>
      <c r="EI16">
        <f>CE17-Table2[[#This Row],[9F3 - PDB 12 - Other items]]</f>
        <v>0</v>
      </c>
      <c r="EJ16">
        <f>CR17-Table2[[#This Row],[2F3 - PDB 1 - Dock 1 to 4 ]]</f>
        <v>49.087999999988824</v>
      </c>
      <c r="EK16">
        <f>BM17-Table2[[#This Row],[2F2 - PDB 3 - WH Truck &amp; Battery Charging]]</f>
        <v>552.73599999997532</v>
      </c>
      <c r="EL16">
        <f>(CK17-Table2[[#This Row],[PDB - 11 Truck Charging]])*1000</f>
        <v>42.000000000001592</v>
      </c>
      <c r="EM16">
        <f>P17-Table2[[#This Row],[5F3 Admin Area]]</f>
        <v>321.15200000000186</v>
      </c>
      <c r="EN16">
        <f>AH17-Table2[[#This Row],[2F5 Main Gate-1 Piller -1]]</f>
        <v>123.46399999999267</v>
      </c>
      <c r="EO16">
        <f>CW17-Table2[[#This Row],[6F2 Ground Floor AC]]</f>
        <v>29.184000000001106</v>
      </c>
      <c r="EP16">
        <f>CX17-Table2[[#This Row],[6F3 ACBD -1 (First floor AC)]]</f>
        <v>8.4543999999950756</v>
      </c>
      <c r="EQ16">
        <f>CY17-Table2[[#This Row],[6F4 ACBD - 2 (Second &amp; Third floor AC)]]</f>
        <v>107.77599999998347</v>
      </c>
      <c r="ER16">
        <f>(BC17-Table2[[#This Row],[4F Old BMC cooling Unit]])</f>
        <v>1.0960000000050059</v>
      </c>
      <c r="ES16">
        <f>BO17-Table2[[#This Row],[2F4 - Old BMC]]</f>
        <v>3.4943999999959487</v>
      </c>
      <c r="ET16">
        <f>Y17-Table2[[#This Row],[14F2 New CK]]</f>
        <v>976.64000000013039</v>
      </c>
      <c r="EU16">
        <f>(CL17-Table2[[#This Row],[OLD Ck Panel-1]])*1000</f>
        <v>525.99999999995362</v>
      </c>
      <c r="EV16">
        <f>CM17-Table2[[#This Row],[2F4 Old CK Blast (Blue star)]]</f>
        <v>0</v>
      </c>
      <c r="EW16">
        <f>CN17-Table2[[#This Row],[3F6 Old CK Blast (Carrier)]]</f>
        <v>418</v>
      </c>
      <c r="EX16">
        <f>(CO17-Table2[[#This Row],[Old CK Panel -2]])*1000</f>
        <v>1015.999999999849</v>
      </c>
      <c r="EY16">
        <f>N17-Table2[[#This Row],[4F1 Main UPS 1/C -1]]</f>
        <v>759.04000000003725</v>
      </c>
      <c r="EZ16">
        <f>Z17-Table2[[#This Row],[15F1 Main UPS Panel - I/C - 2]]</f>
        <v>0</v>
      </c>
      <c r="FA16">
        <f>BF17-Table2[[#This Row],[2F CLC -1 AC unit - 2]]</f>
        <v>0</v>
      </c>
      <c r="FB16">
        <f>(BG17-Table2[[#This Row],[2F CLC Anti room]])*1000</f>
        <v>36.999999999991928</v>
      </c>
      <c r="FC16">
        <f>BW17-Table2[[#This Row],[7F3 CLC Power Panel]]</f>
        <v>225.53599999996368</v>
      </c>
      <c r="FD16">
        <f>(CI17-Table2[[#This Row],[PDB - 17 CLC Section ]])*1000</f>
        <v>237.99999999999955</v>
      </c>
      <c r="FE16">
        <f>(W17-Table2[[#This Row],[13F3 Water &amp; Lift Old CK]])*1000</f>
        <v>416.79999999996653</v>
      </c>
      <c r="FF16">
        <f>AA17-Table2[[#This Row],[15F2 New ETP Panel]]</f>
        <v>227.45600000000559</v>
      </c>
      <c r="FG16">
        <f>AL17-Table2[[#This Row],[3F4 Old ETP Panel]]</f>
        <v>64.992000000027474</v>
      </c>
      <c r="FH16">
        <f>AF17-Table2[[#This Row],[2F1 RO Plant]]</f>
        <v>527.35999999998603</v>
      </c>
      <c r="FI16">
        <f>AK17-Table2[[#This Row],[3F3 Fire Hydrant Panel]]</f>
        <v>9.1999999999970896</v>
      </c>
      <c r="FJ16">
        <f>R17-Table2[[#This Row],[7F1 Freon System Panel]]</f>
        <v>4765.6699999999255</v>
      </c>
      <c r="FK16">
        <f>(AE17-Table2[[#This Row],[21F1 Refrigeration Ammonia]])*1000</f>
        <v>6476.0000000005675</v>
      </c>
      <c r="FL16">
        <f>(AG17-Table2[[#This Row],[2F3 Air Compressor]])*1000</f>
        <v>882.99999999981083</v>
      </c>
      <c r="FM16">
        <f>(AX17-Table2[[#This Row],[Solar Reading Panel II]])*1000</f>
        <v>3386.000000000422</v>
      </c>
      <c r="FN16">
        <f>AI17-Table2[[#This Row],[3F1 Maintenance Workshop]]</f>
        <v>3.0480000000006839</v>
      </c>
      <c r="FO16">
        <f>BD17-Table2[[#This Row],[4F B2B unit ]]</f>
        <v>45.823999999964144</v>
      </c>
      <c r="FP16">
        <f>BL17-Table2[[#This Row],[2F1 - PDB 6 - Bread, B2B section]]</f>
        <v>146.5856000000058</v>
      </c>
      <c r="FQ16">
        <f>(CG17-Table2[[#This Row],[9F5 - PDB 14 - Bread Lift]])</f>
        <v>0.12479999999050051</v>
      </c>
      <c r="FR16">
        <f>CJ17-Table2[[#This Row],[PDB - 16 Bread Section]]</f>
        <v>9.9999999999909051E-2</v>
      </c>
      <c r="FS16">
        <f>BU17-Table2[[#This Row],[7F1 Donut Production area]]</f>
        <v>237.50400000007357</v>
      </c>
      <c r="FT16">
        <f>CB17-Table2[[#This Row],[8F5 Donut Ban Bary]]</f>
        <v>38.216000000000349</v>
      </c>
      <c r="FU16">
        <f>CF17-Table2[[#This Row],[9F4 - PDB 13 - Donut Sink Geyser area]]</f>
        <v>62.864000000001397</v>
      </c>
      <c r="FV16">
        <f>BV17-Table2[[#This Row],[7F2 Flour Silo]]</f>
        <v>485.35999999998603</v>
      </c>
      <c r="FW16">
        <f>BY17-Table2[[#This Row],[8F2 ACPDB - 3 SILO Ventilation]]</f>
        <v>61.935999999986961</v>
      </c>
      <c r="FX16">
        <f>J17-Table2[[#This Row],[DG 1010KVA Running Hours]]</f>
        <v>0</v>
      </c>
      <c r="FY16">
        <f>K17-Table2[[#This Row],[DG 1010 KVA Meter Reading]]</f>
        <v>0</v>
      </c>
      <c r="FZ16">
        <f>L17-Table2[[#This Row],[GG 1010 KVA Running Hours]]</f>
        <v>0</v>
      </c>
      <c r="GA16">
        <f>M17-Table2[[#This Row],[GG 1010 KVA Meter Reading]]</f>
        <v>0</v>
      </c>
    </row>
    <row r="17" spans="1:183" x14ac:dyDescent="0.35">
      <c r="A17" s="1">
        <v>25</v>
      </c>
      <c r="B17" s="2">
        <v>46215.540104166699</v>
      </c>
      <c r="C17" s="2">
        <v>46215.557500000003</v>
      </c>
      <c r="D17" s="1" t="s">
        <v>111</v>
      </c>
      <c r="E17" s="1"/>
      <c r="F17" s="1"/>
      <c r="G17" s="3">
        <v>46215</v>
      </c>
      <c r="H17" s="1" t="s">
        <v>234</v>
      </c>
      <c r="I17" s="6">
        <v>5669.442</v>
      </c>
      <c r="J17" s="6">
        <v>4248.8</v>
      </c>
      <c r="K17" s="6">
        <v>1765872</v>
      </c>
      <c r="L17" s="6">
        <v>430</v>
      </c>
      <c r="M17" s="6">
        <v>179.23</v>
      </c>
      <c r="N17" s="6">
        <v>1847852</v>
      </c>
      <c r="O17" s="6">
        <v>4558807.3600000003</v>
      </c>
      <c r="P17" s="6">
        <v>636823.04000000004</v>
      </c>
      <c r="Q17" s="6">
        <v>8025429.7599999998</v>
      </c>
      <c r="R17" s="6">
        <v>5411939.4299999997</v>
      </c>
      <c r="S17" s="6">
        <v>7290719.3600000003</v>
      </c>
      <c r="T17" s="6">
        <v>42495914.681999996</v>
      </c>
      <c r="U17" s="6">
        <v>2074404.32</v>
      </c>
      <c r="V17" s="6">
        <v>5076678.4000000004</v>
      </c>
      <c r="W17" s="6">
        <v>1578.0137</v>
      </c>
      <c r="X17" s="6">
        <v>767599.80799999996</v>
      </c>
      <c r="Y17" s="6">
        <v>1063829.1200000001</v>
      </c>
      <c r="Z17" s="6">
        <v>2777.8894</v>
      </c>
      <c r="AA17" s="6">
        <v>662019.71200000006</v>
      </c>
      <c r="AB17" s="6">
        <v>421030.304</v>
      </c>
      <c r="AC17" s="6">
        <v>2122376</v>
      </c>
      <c r="AD17" s="6">
        <v>2456103.7370000002</v>
      </c>
      <c r="AE17" s="6">
        <v>12650.729600000001</v>
      </c>
      <c r="AF17" s="6">
        <v>862605.24800000002</v>
      </c>
      <c r="AG17" s="6">
        <v>1374.1089999999999</v>
      </c>
      <c r="AH17" s="6">
        <v>130768.336</v>
      </c>
      <c r="AI17" s="6">
        <v>14507.272000000001</v>
      </c>
      <c r="AJ17" s="6">
        <v>145286.736</v>
      </c>
      <c r="AK17" s="6">
        <v>104976.512</v>
      </c>
      <c r="AL17" s="6">
        <v>328900.99200000003</v>
      </c>
      <c r="AM17" s="6">
        <v>978.04600000000005</v>
      </c>
      <c r="AN17" s="6">
        <v>254.2</v>
      </c>
      <c r="AO17" s="6">
        <v>7.3</v>
      </c>
      <c r="AP17" s="6">
        <v>239670</v>
      </c>
      <c r="AQ17" s="6">
        <v>42305</v>
      </c>
      <c r="AR17" s="6">
        <v>41760</v>
      </c>
      <c r="AS17" s="6">
        <v>32307</v>
      </c>
      <c r="AT17" s="6">
        <v>22056</v>
      </c>
      <c r="AU17" s="6">
        <v>15095</v>
      </c>
      <c r="AV17" s="6">
        <v>6056</v>
      </c>
      <c r="AW17" s="6">
        <v>20.773959999999999</v>
      </c>
      <c r="AX17" s="6">
        <v>7181.6980000000003</v>
      </c>
      <c r="AY17" s="6">
        <v>675.86288000000002</v>
      </c>
      <c r="AZ17" s="6">
        <v>20.788</v>
      </c>
      <c r="BA17" s="6">
        <v>9944.3469999999998</v>
      </c>
      <c r="BB17" s="6">
        <v>43.744999999999997</v>
      </c>
      <c r="BC17" s="6">
        <v>113979.992</v>
      </c>
      <c r="BD17" s="6">
        <v>274655.32799999998</v>
      </c>
      <c r="BE17" s="6">
        <v>3697.4</v>
      </c>
      <c r="BF17" s="6">
        <v>1712.0419999999999</v>
      </c>
      <c r="BG17" s="6">
        <v>74.344999999999999</v>
      </c>
      <c r="BH17" s="6">
        <v>356.47500000000002</v>
      </c>
      <c r="BI17" s="6">
        <v>904.67600000000004</v>
      </c>
      <c r="BJ17" s="6">
        <v>13.587</v>
      </c>
      <c r="BK17" s="6">
        <v>557.90200000000004</v>
      </c>
      <c r="BL17" s="6">
        <v>68732.678400000004</v>
      </c>
      <c r="BM17" s="6">
        <v>298367.64799999999</v>
      </c>
      <c r="BN17" s="6">
        <v>7139.4696000000004</v>
      </c>
      <c r="BO17" s="6">
        <v>53520.703999999998</v>
      </c>
      <c r="BP17" s="6">
        <v>311542.848</v>
      </c>
      <c r="BQ17" s="6">
        <v>320.66300000000001</v>
      </c>
      <c r="BR17" s="6">
        <v>178.709</v>
      </c>
      <c r="BS17" s="6">
        <v>984144.19900000002</v>
      </c>
      <c r="BT17" s="6">
        <v>1400553.382</v>
      </c>
      <c r="BU17" s="6">
        <v>624456.70400000003</v>
      </c>
      <c r="BV17" s="6">
        <v>1012058.88</v>
      </c>
      <c r="BW17" s="6">
        <v>563502.01599999995</v>
      </c>
      <c r="BX17" s="6">
        <v>946683.39199999999</v>
      </c>
      <c r="BY17" s="6">
        <v>156652.38399999999</v>
      </c>
      <c r="BZ17" s="6">
        <v>114233.576</v>
      </c>
      <c r="CA17" s="6">
        <v>1184.6542999999999</v>
      </c>
      <c r="CB17" s="6">
        <v>107502.576</v>
      </c>
      <c r="CC17" s="6">
        <v>147887.326</v>
      </c>
      <c r="CD17" s="6">
        <v>442379.848</v>
      </c>
      <c r="CE17" s="6">
        <v>49125.260799999996</v>
      </c>
      <c r="CF17" s="6">
        <v>155396.32</v>
      </c>
      <c r="CG17" s="6">
        <v>360770.2352</v>
      </c>
      <c r="CH17" s="6">
        <v>2385.8710000000001</v>
      </c>
      <c r="CI17" s="6">
        <v>211.21100000000001</v>
      </c>
      <c r="CJ17" s="6">
        <v>1168.3</v>
      </c>
      <c r="CK17" s="6">
        <v>77.006</v>
      </c>
      <c r="CL17" s="6">
        <v>721.72799999999995</v>
      </c>
      <c r="CM17" s="6">
        <v>551.4</v>
      </c>
      <c r="CN17" s="6">
        <v>35749.4</v>
      </c>
      <c r="CO17" s="6">
        <v>1631.6659999999999</v>
      </c>
      <c r="CP17" s="6">
        <v>291158.31599999999</v>
      </c>
      <c r="CQ17" s="6">
        <v>3658960.32</v>
      </c>
      <c r="CR17" s="6">
        <v>129622.976</v>
      </c>
      <c r="CS17" s="6">
        <v>507653.984</v>
      </c>
      <c r="CT17" s="6">
        <v>2861400.37</v>
      </c>
      <c r="CU17" s="6">
        <v>292869.39899999998</v>
      </c>
      <c r="CV17" s="6">
        <v>30124.051200000002</v>
      </c>
      <c r="CW17" s="6">
        <v>62322.009599999998</v>
      </c>
      <c r="CX17" s="6">
        <v>33246.441599999998</v>
      </c>
      <c r="CY17" s="6">
        <v>165047.51999999999</v>
      </c>
      <c r="CZ17" s="6">
        <v>216405.39199999999</v>
      </c>
      <c r="DA17" s="6">
        <v>17774.14</v>
      </c>
      <c r="DB17" s="6">
        <v>147878.245</v>
      </c>
      <c r="DC17" s="6">
        <v>2905.94</v>
      </c>
      <c r="DD17" s="6">
        <v>2905.84</v>
      </c>
      <c r="DE17" s="6">
        <v>2929.64</v>
      </c>
      <c r="DF17" s="6">
        <v>0.99299999999999999</v>
      </c>
      <c r="DG17" s="1" t="s">
        <v>176</v>
      </c>
      <c r="DH17" s="4">
        <f>Table2[[#This Row],[Date]]</f>
        <v>46215</v>
      </c>
      <c r="DI17">
        <f>(DD18-Table2[[#This Row],[MWH Total]])*4000</f>
        <v>19760.000000000218</v>
      </c>
      <c r="DJ17">
        <f>(DA18-Table2[[#This Row],[PNG Meter (Outside)]])*2.936</f>
        <v>0.29360000000640868</v>
      </c>
      <c r="DK17">
        <f>(DB18-Table2[[#This Row],[PNG Meter (Inside)]])*2.936</f>
        <v>122.86279200002598</v>
      </c>
      <c r="DL17">
        <f>(BH18-Table2[[#This Row],[3F Dough cooler - 2 ]])*1000</f>
        <v>239.99999999995225</v>
      </c>
      <c r="DM17">
        <f>(BI18-Table2[[#This Row],[3F Dough Cooler- 1]])*1000</f>
        <v>423.99999999997817</v>
      </c>
      <c r="DN17">
        <f>(BJ18-Table2[[#This Row],[4F Dough Production cooling Unit]])*1000</f>
        <v>47.000000000000597</v>
      </c>
      <c r="DO17">
        <f>(BQ18-Table2[[#This Row],[3F2 - PDB 3 - Dough Production Area]])*1000</f>
        <v>158.99999999999181</v>
      </c>
      <c r="DP17">
        <f>(BR18-Table2[[#This Row],[3F3 - PDB 4 - Dough Area]])*1000</f>
        <v>92.999999999989313</v>
      </c>
      <c r="DQ17">
        <f>AC18-Table2[[#This Row],[16F1 Tray washer Panel for Light]]</f>
        <v>716.95999999996275</v>
      </c>
      <c r="DR17">
        <f>CQ18-Table2[[#This Row],[2F1 Tray Washer - 1]]</f>
        <v>1006.4000000003725</v>
      </c>
      <c r="DS17">
        <f>CS18-Table2[[#This Row],[2F5 Destacker]]</f>
        <v>265.18400000000838</v>
      </c>
      <c r="DT17">
        <f>CU18-Table2[[#This Row],[5F1 Metering (TW-2)]]</f>
        <v>215.57800000003772</v>
      </c>
      <c r="DU17">
        <f>CV18-Table2[[#This Row],[6F1 Pre soaker Tray washer]]</f>
        <v>0</v>
      </c>
      <c r="DV17">
        <f>CZ18-Table2[[#This Row],[6F5 Vent tray Storage]]</f>
        <v>11.072000000014668</v>
      </c>
      <c r="DW17">
        <f>I18-Table2[[#This Row],[Popeyes Meter ]]</f>
        <v>0</v>
      </c>
      <c r="DX17">
        <f>AZ18-Table2[[#This Row],[2F WH Chiller, Segregation Area]]</f>
        <v>0</v>
      </c>
      <c r="DY17">
        <f>BA18-Table2[[#This Row],[3F1 AC Unit WH dock cooling - 2 Nos]]</f>
        <v>17.760000000000218</v>
      </c>
      <c r="DZ17">
        <f>BB18-Table2[[#This Row],[3F2 AC Unit WH dock cooling - 3 Nos]]</f>
        <v>4.4000000000004036E-2</v>
      </c>
      <c r="EA17">
        <f>(BK18-Table2[[#This Row],[5F WH Perishable]])*1000</f>
        <v>274.99999999997726</v>
      </c>
      <c r="EB17">
        <f>BN18-Table2[[#This Row],[2F3 - PDB 9 - WH Dock Leveler Door ]]</f>
        <v>0.57119999999940774</v>
      </c>
      <c r="EC17">
        <f>BP18-Table2[[#This Row],[3F1 - PDB 5 - WH HSD]]</f>
        <v>125.02399999997579</v>
      </c>
      <c r="ED17">
        <f>BX18-Table2[[#This Row],[8F1 WH Dock AHU - Ventilation]]</f>
        <v>2179.6140000000596</v>
      </c>
      <c r="EE17">
        <f>BZ18-Table2[[#This Row],[8F3 ACPDB - 4 WH Dock air curtain]]</f>
        <v>4.9599999999918509</v>
      </c>
      <c r="EF17">
        <f>CA18-Table2[[#This Row],[8F4 WH Light]]</f>
        <v>2.6058000000000447</v>
      </c>
      <c r="EG17">
        <f>CC18-Table2[[#This Row],[9F1 - PDB 10 - WH Dock door &amp; Office]]</f>
        <v>147.61799999998766</v>
      </c>
      <c r="EH17">
        <f>CD18-Table2[[#This Row],[9F2 - PDB 11 - WH flycatchers]]</f>
        <v>153.44000000000233</v>
      </c>
      <c r="EI17">
        <f>CE18-Table2[[#This Row],[9F3 - PDB 12 - Other items]]</f>
        <v>0</v>
      </c>
      <c r="EJ17">
        <f>CR18-Table2[[#This Row],[2F3 - PDB 1 - Dock 1 to 4 ]]</f>
        <v>71.264000000010128</v>
      </c>
      <c r="EK17">
        <f>BM18-Table2[[#This Row],[2F2 - PDB 3 - WH Truck &amp; Battery Charging]]</f>
        <v>577.60000000003492</v>
      </c>
      <c r="EL17">
        <f>(CK18-Table2[[#This Row],[PDB - 11 Truck Charging]])*1000</f>
        <v>52.000000000006708</v>
      </c>
      <c r="EM17">
        <f>P18-Table2[[#This Row],[5F3 Admin Area]]</f>
        <v>341.37599999993108</v>
      </c>
      <c r="EN17">
        <f>AH18-Table2[[#This Row],[2F5 Main Gate-1 Piller -1]]</f>
        <v>133.41599999999744</v>
      </c>
      <c r="EO17">
        <f>CW18-Table2[[#This Row],[6F2 Ground Floor AC]]</f>
        <v>33.945599999999104</v>
      </c>
      <c r="EP17">
        <f>CX18-Table2[[#This Row],[6F3 ACBD -1 (First floor AC)]]</f>
        <v>10.393600000003062</v>
      </c>
      <c r="EQ17">
        <f>CY18-Table2[[#This Row],[6F4 ACBD - 2 (Second &amp; Third floor AC)]]</f>
        <v>125.82400000002235</v>
      </c>
      <c r="ER17">
        <f>(BC18-Table2[[#This Row],[4F Old BMC cooling Unit]])</f>
        <v>0</v>
      </c>
      <c r="ES17">
        <f>BO18-Table2[[#This Row],[2F4 - Old BMC]]</f>
        <v>0.66560000000026776</v>
      </c>
      <c r="ET17">
        <f>Y18-Table2[[#This Row],[14F2 New CK]]</f>
        <v>837.03999999980442</v>
      </c>
      <c r="EU17">
        <f>(CL18-Table2[[#This Row],[OLD Ck Panel-1]])*1000</f>
        <v>364.00000000003274</v>
      </c>
      <c r="EV17">
        <f>CM18-Table2[[#This Row],[2F4 Old CK Blast (Blue star)]]</f>
        <v>0</v>
      </c>
      <c r="EW17">
        <f>CN18-Table2[[#This Row],[3F6 Old CK Blast (Carrier)]]</f>
        <v>296.59999999999854</v>
      </c>
      <c r="EX17">
        <f>(CO18-Table2[[#This Row],[Old CK Panel -2]])*1000</f>
        <v>1008.0000000000382</v>
      </c>
      <c r="EY17">
        <f>N18-Table2[[#This Row],[4F1 Main UPS 1/C -1]]</f>
        <v>804.01000000000931</v>
      </c>
      <c r="EZ17">
        <f>Z18-Table2[[#This Row],[15F1 Main UPS Panel - I/C - 2]]</f>
        <v>0</v>
      </c>
      <c r="FA17">
        <f>BF18-Table2[[#This Row],[2F CLC -1 AC unit - 2]]</f>
        <v>0</v>
      </c>
      <c r="FB17">
        <f>(BG18-Table2[[#This Row],[2F CLC Anti room]])*1000</f>
        <v>12.000000000000455</v>
      </c>
      <c r="FC17">
        <f>BW18-Table2[[#This Row],[7F3 CLC Power Panel]]</f>
        <v>127.10400000005029</v>
      </c>
      <c r="FD17">
        <f>(CI18-Table2[[#This Row],[PDB - 17 CLC Section ]])*1000</f>
        <v>90.999999999979764</v>
      </c>
      <c r="FE17">
        <f>(W18-Table2[[#This Row],[13F3 Water &amp; Lift Old CK]])*1000</f>
        <v>431.39999999993961</v>
      </c>
      <c r="FF17">
        <f>AA18-Table2[[#This Row],[15F2 New ETP Panel]]</f>
        <v>307.00799999991432</v>
      </c>
      <c r="FG17">
        <f>AL18-Table2[[#This Row],[3F4 Old ETP Panel]]</f>
        <v>74.271999999997206</v>
      </c>
      <c r="FH17">
        <f>AF18-Table2[[#This Row],[2F1 RO Plant]]</f>
        <v>592.06400000001304</v>
      </c>
      <c r="FI17">
        <f>AK18-Table2[[#This Row],[3F3 Fire Hydrant Panel]]</f>
        <v>10.487999999997555</v>
      </c>
      <c r="FJ17">
        <f>R18-Table2[[#This Row],[7F1 Freon System Panel]]</f>
        <v>3916.570000000298</v>
      </c>
      <c r="FK17">
        <f>(AE18-Table2[[#This Row],[21F1 Refrigeration Ammonia]])*1000</f>
        <v>6005.5999999985943</v>
      </c>
      <c r="FL17">
        <f>(AG18-Table2[[#This Row],[2F3 Air Compressor]])*1000</f>
        <v>985.00000000012733</v>
      </c>
      <c r="FM17">
        <f>(AX18-Table2[[#This Row],[Solar Reading Panel II]])*1000</f>
        <v>2692.0000000000073</v>
      </c>
      <c r="FN17">
        <f>AI18-Table2[[#This Row],[3F1 Maintenance Workshop]]</f>
        <v>3.6943999999984953</v>
      </c>
      <c r="FO17">
        <f>BD18-Table2[[#This Row],[4F B2B unit ]]</f>
        <v>43.072000000043772</v>
      </c>
      <c r="FP17">
        <f>BL18-Table2[[#This Row],[2F1 - PDB 6 - Bread, B2B section]]</f>
        <v>134.84799999999814</v>
      </c>
      <c r="FQ17">
        <f>(CG18-Table2[[#This Row],[9F5 - PDB 14 - Bread Lift]])</f>
        <v>0.61759999999776483</v>
      </c>
      <c r="FR17">
        <f>CJ18-Table2[[#This Row],[PDB - 16 Bread Section]]</f>
        <v>1.6000000000001364</v>
      </c>
      <c r="FS17">
        <f>BU18-Table2[[#This Row],[7F1 Donut Production area]]</f>
        <v>196.09600000001956</v>
      </c>
      <c r="FT17">
        <f>CB18-Table2[[#This Row],[8F5 Donut Ban Bary]]</f>
        <v>61.055999999996857</v>
      </c>
      <c r="FU17">
        <f>CF18-Table2[[#This Row],[9F4 - PDB 13 - Donut Sink Geyser area]]</f>
        <v>30.5</v>
      </c>
      <c r="FV17">
        <f>BV18-Table2[[#This Row],[7F2 Flour Silo]]</f>
        <v>338.40000000002328</v>
      </c>
      <c r="FW17">
        <f>BY18-Table2[[#This Row],[8F2 ACPDB - 3 SILO Ventilation]]</f>
        <v>49.63200000001234</v>
      </c>
      <c r="FX17">
        <f>J18-Table2[[#This Row],[DG 1010KVA Running Hours]]</f>
        <v>0</v>
      </c>
      <c r="FY17">
        <f>K18-Table2[[#This Row],[DG 1010 KVA Meter Reading]]</f>
        <v>0</v>
      </c>
      <c r="FZ17">
        <f>L18-Table2[[#This Row],[GG 1010 KVA Running Hours]]</f>
        <v>0</v>
      </c>
      <c r="GA17">
        <f>M18-Table2[[#This Row],[GG 1010 KVA Meter Reading]]</f>
        <v>0</v>
      </c>
    </row>
    <row r="18" spans="1:183" x14ac:dyDescent="0.35">
      <c r="A18" s="1">
        <v>26</v>
      </c>
      <c r="B18" s="2">
        <v>46216.386990740699</v>
      </c>
      <c r="C18" s="2">
        <v>46216.404421296298</v>
      </c>
      <c r="D18" s="1" t="s">
        <v>111</v>
      </c>
      <c r="E18" s="1"/>
      <c r="F18" s="1"/>
      <c r="G18" s="3">
        <v>46216</v>
      </c>
      <c r="H18" s="1" t="s">
        <v>232</v>
      </c>
      <c r="I18" s="6">
        <v>5669.442</v>
      </c>
      <c r="J18" s="6">
        <v>4248.8</v>
      </c>
      <c r="K18" s="6">
        <v>1765872</v>
      </c>
      <c r="L18" s="6">
        <v>430</v>
      </c>
      <c r="M18" s="6">
        <v>179.23</v>
      </c>
      <c r="N18" s="6">
        <v>1848656.01</v>
      </c>
      <c r="O18" s="6">
        <v>4560465.9199999999</v>
      </c>
      <c r="P18" s="6">
        <v>637164.41599999997</v>
      </c>
      <c r="Q18" s="6">
        <v>8028682.2400000002</v>
      </c>
      <c r="R18" s="6">
        <v>5415856</v>
      </c>
      <c r="S18" s="6">
        <v>7293668.4800000004</v>
      </c>
      <c r="T18" s="6">
        <v>42504411.512000002</v>
      </c>
      <c r="U18" s="6">
        <v>2075631.2</v>
      </c>
      <c r="V18" s="6">
        <v>5078212.4800000004</v>
      </c>
      <c r="W18" s="6">
        <v>1578.4450999999999</v>
      </c>
      <c r="X18" s="6">
        <v>767816.25600000005</v>
      </c>
      <c r="Y18" s="6">
        <v>1064666.1599999999</v>
      </c>
      <c r="Z18" s="6">
        <v>2777.8894</v>
      </c>
      <c r="AA18" s="6">
        <v>662326.72</v>
      </c>
      <c r="AB18" s="6">
        <v>421039.87199999997</v>
      </c>
      <c r="AC18" s="6">
        <v>2123092.96</v>
      </c>
      <c r="AD18" s="6">
        <v>2464538.9670000002</v>
      </c>
      <c r="AE18" s="6">
        <v>12656.735199999999</v>
      </c>
      <c r="AF18" s="6">
        <v>863197.31200000003</v>
      </c>
      <c r="AG18" s="6">
        <v>1375.0940000000001</v>
      </c>
      <c r="AH18" s="6">
        <v>130901.75199999999</v>
      </c>
      <c r="AI18" s="6">
        <v>14510.966399999999</v>
      </c>
      <c r="AJ18" s="6">
        <v>145291.45600000001</v>
      </c>
      <c r="AK18" s="6">
        <v>104987</v>
      </c>
      <c r="AL18" s="6">
        <v>328975.26400000002</v>
      </c>
      <c r="AM18" s="6">
        <v>978.529</v>
      </c>
      <c r="AN18" s="6">
        <v>272.60000000000002</v>
      </c>
      <c r="AO18" s="6">
        <v>7.6</v>
      </c>
      <c r="AP18" s="6">
        <v>248216</v>
      </c>
      <c r="AQ18" s="6">
        <v>42305</v>
      </c>
      <c r="AR18" s="6">
        <v>41760</v>
      </c>
      <c r="AS18" s="6">
        <v>32307</v>
      </c>
      <c r="AT18" s="6">
        <v>22056</v>
      </c>
      <c r="AU18" s="6">
        <v>15118</v>
      </c>
      <c r="AV18" s="6">
        <v>6072</v>
      </c>
      <c r="AW18" s="6">
        <v>20.779758000000001</v>
      </c>
      <c r="AX18" s="6">
        <v>7184.39</v>
      </c>
      <c r="AY18" s="6">
        <v>675.97511999999995</v>
      </c>
      <c r="AZ18" s="6">
        <v>20.788</v>
      </c>
      <c r="BA18" s="6">
        <v>9962.107</v>
      </c>
      <c r="BB18" s="6">
        <v>43.789000000000001</v>
      </c>
      <c r="BC18" s="6">
        <v>113979.992</v>
      </c>
      <c r="BD18" s="6">
        <v>274698.40000000002</v>
      </c>
      <c r="BE18" s="6">
        <v>3698.4751999999999</v>
      </c>
      <c r="BF18" s="6">
        <v>1712.0419999999999</v>
      </c>
      <c r="BG18" s="6">
        <v>74.356999999999999</v>
      </c>
      <c r="BH18" s="6">
        <v>356.71499999999997</v>
      </c>
      <c r="BI18" s="6">
        <v>905.1</v>
      </c>
      <c r="BJ18" s="6">
        <v>13.634</v>
      </c>
      <c r="BK18" s="6">
        <v>558.17700000000002</v>
      </c>
      <c r="BL18" s="6">
        <v>68867.526400000002</v>
      </c>
      <c r="BM18" s="6">
        <v>298945.24800000002</v>
      </c>
      <c r="BN18" s="6">
        <v>7140.0407999999998</v>
      </c>
      <c r="BO18" s="6">
        <v>53521.369599999998</v>
      </c>
      <c r="BP18" s="6">
        <v>311667.87199999997</v>
      </c>
      <c r="BQ18" s="6">
        <v>320.822</v>
      </c>
      <c r="BR18" s="6">
        <v>178.80199999999999</v>
      </c>
      <c r="BS18" s="6">
        <v>985321.78700000001</v>
      </c>
      <c r="BT18" s="6">
        <v>1400561.1410000001</v>
      </c>
      <c r="BU18" s="6">
        <v>624652.80000000005</v>
      </c>
      <c r="BV18" s="6">
        <v>1012397.28</v>
      </c>
      <c r="BW18" s="6">
        <v>563629.12</v>
      </c>
      <c r="BX18" s="6">
        <v>948863.00600000005</v>
      </c>
      <c r="BY18" s="6">
        <v>156702.016</v>
      </c>
      <c r="BZ18" s="6">
        <v>114238.53599999999</v>
      </c>
      <c r="CA18" s="6">
        <v>1187.2601</v>
      </c>
      <c r="CB18" s="6">
        <v>107563.632</v>
      </c>
      <c r="CC18" s="6">
        <v>148034.94399999999</v>
      </c>
      <c r="CD18" s="6">
        <v>442533.288</v>
      </c>
      <c r="CE18" s="6">
        <v>49125.260799999996</v>
      </c>
      <c r="CF18" s="6">
        <v>155426.82</v>
      </c>
      <c r="CG18" s="6">
        <v>360770.85279999999</v>
      </c>
      <c r="CH18" s="6">
        <v>2385.8710000000001</v>
      </c>
      <c r="CI18" s="6">
        <v>211.30199999999999</v>
      </c>
      <c r="CJ18" s="6">
        <v>1169.9000000000001</v>
      </c>
      <c r="CK18" s="6">
        <v>77.058000000000007</v>
      </c>
      <c r="CL18" s="6">
        <v>722.09199999999998</v>
      </c>
      <c r="CM18" s="6">
        <v>551.4</v>
      </c>
      <c r="CN18" s="6">
        <v>36046</v>
      </c>
      <c r="CO18" s="6">
        <v>1632.674</v>
      </c>
      <c r="CP18" s="6">
        <v>291308.04399999999</v>
      </c>
      <c r="CQ18" s="6">
        <v>3659966.72</v>
      </c>
      <c r="CR18" s="6">
        <v>129694.24</v>
      </c>
      <c r="CS18" s="6">
        <v>507919.16800000001</v>
      </c>
      <c r="CT18" s="6">
        <v>2864375.577</v>
      </c>
      <c r="CU18" s="6">
        <v>293084.97700000001</v>
      </c>
      <c r="CV18" s="6">
        <v>30124.051200000002</v>
      </c>
      <c r="CW18" s="6">
        <v>62355.955199999997</v>
      </c>
      <c r="CX18" s="6">
        <v>33256.835200000001</v>
      </c>
      <c r="CY18" s="6">
        <v>165173.34400000001</v>
      </c>
      <c r="CZ18" s="6">
        <v>216416.46400000001</v>
      </c>
      <c r="DA18" s="6">
        <v>17774.240000000002</v>
      </c>
      <c r="DB18" s="6">
        <v>147920.092</v>
      </c>
      <c r="DC18" s="6">
        <v>2910.91</v>
      </c>
      <c r="DD18" s="6">
        <v>2910.78</v>
      </c>
      <c r="DE18" s="6">
        <v>2934.68</v>
      </c>
      <c r="DF18" s="6">
        <v>0.997</v>
      </c>
      <c r="DG18" s="1" t="s">
        <v>233</v>
      </c>
      <c r="DH18" s="4">
        <f>Table2[[#This Row],[Date]]</f>
        <v>46216</v>
      </c>
      <c r="DI18">
        <f>(DD19-Table2[[#This Row],[MWH Total]])*4000</f>
        <v>25639.999999999418</v>
      </c>
      <c r="DJ18">
        <f>(DA19-Table2[[#This Row],[PNG Meter (Outside)]])*2.936</f>
        <v>17.909599999995727</v>
      </c>
      <c r="DK18">
        <f>(DB19-Table2[[#This Row],[PNG Meter (Inside)]])*2.936</f>
        <v>413.94663999997266</v>
      </c>
      <c r="DL18">
        <f>(BH19-Table2[[#This Row],[3F Dough cooler - 2 ]])*1000</f>
        <v>301.00000000004457</v>
      </c>
      <c r="DM18">
        <f>(BI19-Table2[[#This Row],[3F Dough Cooler- 1]])*1000</f>
        <v>457.99999999996999</v>
      </c>
      <c r="DN18">
        <f>(BJ19-Table2[[#This Row],[4F Dough Production cooling Unit]])*1000</f>
        <v>46.99999999999882</v>
      </c>
      <c r="DO18">
        <f>(BQ19-Table2[[#This Row],[3F2 - PDB 3 - Dough Production Area]])*1000</f>
        <v>177.00000000002092</v>
      </c>
      <c r="DP18">
        <f>(BR19-Table2[[#This Row],[3F3 - PDB 4 - Dough Area]])*1000</f>
        <v>98.000000000013188</v>
      </c>
      <c r="DQ18">
        <f>AC19-Table2[[#This Row],[16F1 Tray washer Panel for Light]]</f>
        <v>757.28000000026077</v>
      </c>
      <c r="DR18">
        <f>CQ19-Table2[[#This Row],[2F1 Tray Washer - 1]]</f>
        <v>1150.7199999997392</v>
      </c>
      <c r="DS18">
        <f>CS19-Table2[[#This Row],[2F5 Destacker]]</f>
        <v>343.61599999997998</v>
      </c>
      <c r="DT18">
        <f>CU19-Table2[[#This Row],[5F1 Metering (TW-2)]]</f>
        <v>274.00500000000466</v>
      </c>
      <c r="DU18">
        <f>CV19-Table2[[#This Row],[6F1 Pre soaker Tray washer]]</f>
        <v>3.1999999991967343E-3</v>
      </c>
      <c r="DV18">
        <f>CZ19-Table2[[#This Row],[6F5 Vent tray Storage]]</f>
        <v>62.959999999991851</v>
      </c>
      <c r="DW18">
        <f>I19-Table2[[#This Row],[Popeyes Meter ]]</f>
        <v>65.819999999999709</v>
      </c>
      <c r="DX18">
        <f>AZ19-Table2[[#This Row],[2F WH Chiller, Segregation Area]]</f>
        <v>0</v>
      </c>
      <c r="DY18">
        <f>BA19-Table2[[#This Row],[3F1 AC Unit WH dock cooling - 2 Nos]]</f>
        <v>19.399999999999636</v>
      </c>
      <c r="DZ18">
        <f>BB19-Table2[[#This Row],[3F2 AC Unit WH dock cooling - 3 Nos]]</f>
        <v>4.399999999999693E-2</v>
      </c>
      <c r="EA18">
        <f>(BK19-Table2[[#This Row],[5F WH Perishable]])*1000</f>
        <v>269.99999999998181</v>
      </c>
      <c r="EB18">
        <f>BN19-Table2[[#This Row],[2F3 - PDB 9 - WH Dock Leveler Door ]]</f>
        <v>2.1040000000002692</v>
      </c>
      <c r="EC18">
        <f>BP19-Table2[[#This Row],[3F1 - PDB 5 - WH HSD]]</f>
        <v>141.95200000004843</v>
      </c>
      <c r="ED18">
        <f>BX19-Table2[[#This Row],[8F1 WH Dock AHU - Ventilation]]</f>
        <v>2204.7859999999637</v>
      </c>
      <c r="EE18">
        <f>BZ19-Table2[[#This Row],[8F3 ACPDB - 4 WH Dock air curtain]]</f>
        <v>1.408000000010361</v>
      </c>
      <c r="EF18">
        <f>CA19-Table2[[#This Row],[8F4 WH Light]]</f>
        <v>2.6209000000001197</v>
      </c>
      <c r="EG18">
        <f>CC19-Table2[[#This Row],[9F1 - PDB 10 - WH Dock door &amp; Office]]</f>
        <v>109.20000000001164</v>
      </c>
      <c r="EH18">
        <f>CD19-Table2[[#This Row],[9F2 - PDB 11 - WH flycatchers]]</f>
        <v>279.73599999997532</v>
      </c>
      <c r="EI18">
        <f>CE19-Table2[[#This Row],[9F3 - PDB 12 - Other items]]</f>
        <v>0</v>
      </c>
      <c r="EJ18">
        <f>CR19-Table2[[#This Row],[2F3 - PDB 1 - Dock 1 to 4 ]]</f>
        <v>89.551999999996042</v>
      </c>
      <c r="EK18">
        <f>BM19-Table2[[#This Row],[2F2 - PDB 3 - WH Truck &amp; Battery Charging]]</f>
        <v>441.08799999998882</v>
      </c>
      <c r="EL18">
        <f>(CK19-Table2[[#This Row],[PDB - 11 Truck Charging]])*1000</f>
        <v>82.999999999998408</v>
      </c>
      <c r="EM18">
        <f>P19-Table2[[#This Row],[5F3 Admin Area]]</f>
        <v>394.70720000006258</v>
      </c>
      <c r="EN18">
        <f>AH19-Table2[[#This Row],[2F5 Main Gate-1 Piller -1]]</f>
        <v>152.55200000001059</v>
      </c>
      <c r="EO18">
        <f>CW19-Table2[[#This Row],[6F2 Ground Floor AC]]</f>
        <v>38.694400000000314</v>
      </c>
      <c r="EP18">
        <f>CX19-Table2[[#This Row],[6F3 ACBD -1 (First floor AC)]]</f>
        <v>11.07839999999851</v>
      </c>
      <c r="EQ18">
        <f>CY19-Table2[[#This Row],[6F4 ACBD - 2 (Second &amp; Third floor AC)]]</f>
        <v>122.20799999998417</v>
      </c>
      <c r="ER18">
        <f>(BC19-Table2[[#This Row],[4F Old BMC cooling Unit]])</f>
        <v>0</v>
      </c>
      <c r="ES18">
        <f>BO19-Table2[[#This Row],[2F4 - Old BMC]]</f>
        <v>2.2976000000053318</v>
      </c>
      <c r="ET18">
        <f>Y19-Table2[[#This Row],[14F2 New CK]]</f>
        <v>1362.7199999999721</v>
      </c>
      <c r="EU18">
        <f>(CL19-Table2[[#This Row],[OLD Ck Panel-1]])*1000</f>
        <v>605.99999999999454</v>
      </c>
      <c r="EV18">
        <f>CM19-Table2[[#This Row],[2F4 Old CK Blast (Blue star)]]</f>
        <v>0</v>
      </c>
      <c r="EW18">
        <f>CN19-Table2[[#This Row],[3F6 Old CK Blast (Carrier)]]</f>
        <v>445</v>
      </c>
      <c r="EX18">
        <f>(CO19-Table2[[#This Row],[Old CK Panel -2]])*1000</f>
        <v>1324.0000000000691</v>
      </c>
      <c r="EY18">
        <f>N19-Table2[[#This Row],[4F1 Main UPS 1/C -1]]</f>
        <v>951.51000000000931</v>
      </c>
      <c r="EZ18">
        <f>Z19-Table2[[#This Row],[15F1 Main UPS Panel - I/C - 2]]</f>
        <v>0</v>
      </c>
      <c r="FA18">
        <f>BF19-Table2[[#This Row],[2F CLC -1 AC unit - 2]]</f>
        <v>0</v>
      </c>
      <c r="FB18">
        <f>(BG19-Table2[[#This Row],[2F CLC Anti room]])*1000</f>
        <v>28.000000000005798</v>
      </c>
      <c r="FC18">
        <f>BW19-Table2[[#This Row],[7F3 CLC Power Panel]]</f>
        <v>171.56999999994878</v>
      </c>
      <c r="FD18">
        <f>(CI19-Table2[[#This Row],[PDB - 17 CLC Section ]])*1000</f>
        <v>165.99999999999682</v>
      </c>
      <c r="FE18">
        <f>(W19-Table2[[#This Row],[13F3 Water &amp; Lift Old CK]])*1000</f>
        <v>695.3000000000884</v>
      </c>
      <c r="FF18">
        <f>AA19-Table2[[#This Row],[15F2 New ETP Panel]]</f>
        <v>278.65600000007544</v>
      </c>
      <c r="FG18">
        <f>AL19-Table2[[#This Row],[3F4 Old ETP Panel]]</f>
        <v>87.679999999993015</v>
      </c>
      <c r="FH18">
        <f>AF19-Table2[[#This Row],[2F1 RO Plant]]</f>
        <v>708.79999999993015</v>
      </c>
      <c r="FI18">
        <f>AK19-Table2[[#This Row],[3F3 Fire Hydrant Panel]]</f>
        <v>11.512000000002445</v>
      </c>
      <c r="FJ18">
        <f>R19-Table2[[#This Row],[7F1 Freon System Panel]]</f>
        <v>5772.7999999998137</v>
      </c>
      <c r="FK18">
        <f>(AE19-Table2[[#This Row],[21F1 Refrigeration Ammonia]])*1000</f>
        <v>7317.6000000003114</v>
      </c>
      <c r="FL18">
        <f>(AG19-Table2[[#This Row],[2F3 Air Compressor]])*1000</f>
        <v>1098.9999999999327</v>
      </c>
      <c r="FM18">
        <f>(AX19-Table2[[#This Row],[Solar Reading Panel II]])*1000</f>
        <v>3589.999999999236</v>
      </c>
      <c r="FN18">
        <f>AI19-Table2[[#This Row],[3F1 Maintenance Workshop]]</f>
        <v>3.7936000000008789</v>
      </c>
      <c r="FO18">
        <f>BD19-Table2[[#This Row],[4F B2B unit ]]</f>
        <v>51.103999999992084</v>
      </c>
      <c r="FP18">
        <f>BL19-Table2[[#This Row],[2F1 - PDB 6 - Bread, B2B section]]</f>
        <v>126.78399999999965</v>
      </c>
      <c r="FQ18">
        <f>(CG19-Table2[[#This Row],[9F5 - PDB 14 - Bread Lift]])</f>
        <v>1.324800000002142</v>
      </c>
      <c r="FR18">
        <f>CJ19-Table2[[#This Row],[PDB - 16 Bread Section]]</f>
        <v>0.6999999999998181</v>
      </c>
      <c r="FS18">
        <f>BU19-Table2[[#This Row],[7F1 Donut Production area]]</f>
        <v>242.6239999999525</v>
      </c>
      <c r="FT18">
        <f>CB19-Table2[[#This Row],[8F5 Donut Ban Bary]]</f>
        <v>38.81600000000617</v>
      </c>
      <c r="FU18">
        <f>CF19-Table2[[#This Row],[9F4 - PDB 13 - Donut Sink Geyser area]]</f>
        <v>20.220000000001164</v>
      </c>
      <c r="FV18">
        <f>BV19-Table2[[#This Row],[7F2 Flour Silo]]</f>
        <v>519.67999999993481</v>
      </c>
      <c r="FW18">
        <f>BY19-Table2[[#This Row],[8F2 ACPDB - 3 SILO Ventilation]]</f>
        <v>46.032000000006519</v>
      </c>
      <c r="FX18">
        <f>J19-Table2[[#This Row],[DG 1010KVA Running Hours]]</f>
        <v>0</v>
      </c>
      <c r="FY18">
        <f>K19-Table2[[#This Row],[DG 1010 KVA Meter Reading]]</f>
        <v>0</v>
      </c>
      <c r="FZ18">
        <f>L19-Table2[[#This Row],[GG 1010 KVA Running Hours]]</f>
        <v>0</v>
      </c>
      <c r="GA18">
        <f>M19-Table2[[#This Row],[GG 1010 KVA Meter Reading]]</f>
        <v>0</v>
      </c>
    </row>
    <row r="19" spans="1:183" x14ac:dyDescent="0.35">
      <c r="A19" s="1">
        <v>28</v>
      </c>
      <c r="B19" s="2">
        <v>46217.395810185182</v>
      </c>
      <c r="C19" s="2">
        <v>46217.412893518522</v>
      </c>
      <c r="D19" s="1" t="s">
        <v>111</v>
      </c>
      <c r="E19" s="1"/>
      <c r="F19" s="1"/>
      <c r="G19" s="3">
        <v>46217</v>
      </c>
      <c r="H19" s="1" t="s">
        <v>232</v>
      </c>
      <c r="I19" s="6">
        <v>5735.2619999999997</v>
      </c>
      <c r="J19" s="6">
        <v>4248.8</v>
      </c>
      <c r="K19" s="6">
        <v>1765872</v>
      </c>
      <c r="L19" s="6">
        <v>430</v>
      </c>
      <c r="M19" s="6">
        <v>179.23</v>
      </c>
      <c r="N19" s="6">
        <v>1849607.52</v>
      </c>
      <c r="O19" s="6">
        <v>4562367.04</v>
      </c>
      <c r="P19" s="6">
        <v>637559.12320000003</v>
      </c>
      <c r="Q19" s="6">
        <v>8032570.2400000002</v>
      </c>
      <c r="R19" s="6">
        <v>5421628.7999999998</v>
      </c>
      <c r="S19" s="6">
        <v>7297146.2400000002</v>
      </c>
      <c r="T19" s="6">
        <v>42516392.82</v>
      </c>
      <c r="U19" s="6">
        <v>2076836.16</v>
      </c>
      <c r="V19" s="6">
        <v>5079962.88</v>
      </c>
      <c r="W19" s="6">
        <v>1579.1404</v>
      </c>
      <c r="X19" s="6">
        <v>768087.424</v>
      </c>
      <c r="Y19" s="6">
        <v>1066028.8799999999</v>
      </c>
      <c r="Z19" s="6">
        <v>2777.8894</v>
      </c>
      <c r="AA19" s="6">
        <v>662605.37600000005</v>
      </c>
      <c r="AB19" s="6">
        <v>421045.53600000002</v>
      </c>
      <c r="AC19" s="6">
        <v>2123850.2400000002</v>
      </c>
      <c r="AD19" s="6">
        <v>2474336.2259999998</v>
      </c>
      <c r="AE19" s="6">
        <v>12664.052799999999</v>
      </c>
      <c r="AF19" s="6">
        <v>863906.11199999996</v>
      </c>
      <c r="AG19" s="6">
        <v>1376.193</v>
      </c>
      <c r="AH19" s="6">
        <v>131054.304</v>
      </c>
      <c r="AI19" s="6">
        <v>14514.76</v>
      </c>
      <c r="AJ19" s="6">
        <v>145296.448</v>
      </c>
      <c r="AK19" s="6">
        <v>104998.512</v>
      </c>
      <c r="AL19" s="6">
        <v>329062.94400000002</v>
      </c>
      <c r="AM19" s="6">
        <v>979.09799999999996</v>
      </c>
      <c r="AN19" s="6">
        <v>141.4</v>
      </c>
      <c r="AO19" s="6">
        <v>7.1</v>
      </c>
      <c r="AP19" s="6">
        <v>258210</v>
      </c>
      <c r="AQ19" s="6">
        <v>42305</v>
      </c>
      <c r="AR19" s="6">
        <v>41760</v>
      </c>
      <c r="AS19" s="6">
        <v>32307</v>
      </c>
      <c r="AT19" s="6">
        <v>22056</v>
      </c>
      <c r="AU19" s="6">
        <v>15143</v>
      </c>
      <c r="AV19" s="6">
        <v>6090</v>
      </c>
      <c r="AW19" s="6">
        <v>20.78688</v>
      </c>
      <c r="AX19" s="6">
        <v>7187.98</v>
      </c>
      <c r="AY19" s="6">
        <v>676.10352</v>
      </c>
      <c r="AZ19" s="6">
        <v>20.788</v>
      </c>
      <c r="BA19" s="6">
        <v>9981.5069999999996</v>
      </c>
      <c r="BB19" s="6">
        <v>43.832999999999998</v>
      </c>
      <c r="BC19" s="6">
        <v>113979.992</v>
      </c>
      <c r="BD19" s="6">
        <v>274749.50400000002</v>
      </c>
      <c r="BE19" s="6">
        <v>3699.6468</v>
      </c>
      <c r="BF19" s="6">
        <v>1712.0419999999999</v>
      </c>
      <c r="BG19" s="6">
        <v>74.385000000000005</v>
      </c>
      <c r="BH19" s="6">
        <v>357.01600000000002</v>
      </c>
      <c r="BI19" s="6">
        <v>905.55799999999999</v>
      </c>
      <c r="BJ19" s="6">
        <v>13.680999999999999</v>
      </c>
      <c r="BK19" s="6">
        <v>558.447</v>
      </c>
      <c r="BL19" s="6">
        <v>68994.310400000002</v>
      </c>
      <c r="BM19" s="6">
        <v>299386.33600000001</v>
      </c>
      <c r="BN19" s="6">
        <v>7142.1448</v>
      </c>
      <c r="BO19" s="6">
        <v>53523.667200000004</v>
      </c>
      <c r="BP19" s="6">
        <v>311809.82400000002</v>
      </c>
      <c r="BQ19" s="6">
        <v>320.99900000000002</v>
      </c>
      <c r="BR19" s="6">
        <v>178.9</v>
      </c>
      <c r="BS19" s="6">
        <v>986384.11399999994</v>
      </c>
      <c r="BT19" s="6">
        <v>1400562.3870000001</v>
      </c>
      <c r="BU19" s="6">
        <v>624895.424</v>
      </c>
      <c r="BV19" s="6">
        <v>1012916.96</v>
      </c>
      <c r="BW19" s="6">
        <v>563800.68999999994</v>
      </c>
      <c r="BX19" s="6">
        <v>951067.79200000002</v>
      </c>
      <c r="BY19" s="6">
        <v>156748.04800000001</v>
      </c>
      <c r="BZ19" s="6">
        <v>114239.944</v>
      </c>
      <c r="CA19" s="6">
        <v>1189.8810000000001</v>
      </c>
      <c r="CB19" s="6">
        <v>107602.448</v>
      </c>
      <c r="CC19" s="6">
        <v>148144.144</v>
      </c>
      <c r="CD19" s="6">
        <v>442813.02399999998</v>
      </c>
      <c r="CE19" s="6">
        <v>49125.260799999996</v>
      </c>
      <c r="CF19" s="6">
        <v>155447.04000000001</v>
      </c>
      <c r="CG19" s="6">
        <v>360772.1776</v>
      </c>
      <c r="CH19" s="6">
        <v>2385.8710000000001</v>
      </c>
      <c r="CI19" s="6">
        <v>211.46799999999999</v>
      </c>
      <c r="CJ19" s="6">
        <v>1170.5999999999999</v>
      </c>
      <c r="CK19" s="6">
        <v>77.141000000000005</v>
      </c>
      <c r="CL19" s="6">
        <v>722.69799999999998</v>
      </c>
      <c r="CM19" s="6">
        <v>551.4</v>
      </c>
      <c r="CN19" s="6">
        <v>36491</v>
      </c>
      <c r="CO19" s="6">
        <v>1633.998</v>
      </c>
      <c r="CP19" s="6">
        <v>291466.136</v>
      </c>
      <c r="CQ19" s="6">
        <v>3661117.4399999999</v>
      </c>
      <c r="CR19" s="6">
        <v>129783.792</v>
      </c>
      <c r="CS19" s="6">
        <v>508262.78399999999</v>
      </c>
      <c r="CT19" s="6">
        <v>2868009.4309999999</v>
      </c>
      <c r="CU19" s="6">
        <v>293358.98200000002</v>
      </c>
      <c r="CV19" s="6">
        <v>30124.054400000001</v>
      </c>
      <c r="CW19" s="6">
        <v>62394.649599999997</v>
      </c>
      <c r="CX19" s="6">
        <v>33267.9136</v>
      </c>
      <c r="CY19" s="6">
        <v>165295.552</v>
      </c>
      <c r="CZ19" s="6">
        <v>216479.424</v>
      </c>
      <c r="DA19" s="6">
        <v>17780.34</v>
      </c>
      <c r="DB19" s="6">
        <v>148061.08199999999</v>
      </c>
      <c r="DC19" s="6">
        <v>2917.32</v>
      </c>
      <c r="DD19" s="6">
        <v>2917.19</v>
      </c>
      <c r="DE19" s="6">
        <v>2941.28</v>
      </c>
      <c r="DF19" s="6">
        <v>0.98899999999999999</v>
      </c>
      <c r="DG19" s="1" t="s">
        <v>235</v>
      </c>
      <c r="DH19" s="4">
        <f>Table2[[#This Row],[Date]]</f>
        <v>46217</v>
      </c>
      <c r="DI19">
        <f>(DD20-Table2[[#This Row],[MWH Total]])*4000</f>
        <v>25079.999999999927</v>
      </c>
      <c r="DJ19">
        <f>(DA20-Table2[[#This Row],[PNG Meter (Outside)]])*2.936</f>
        <v>17.586640000004699</v>
      </c>
      <c r="DK19">
        <f>(DB20-Table2[[#This Row],[PNG Meter (Inside)]])*2.936</f>
        <v>426.14278400000069</v>
      </c>
      <c r="DL19">
        <f>(BH20-Table2[[#This Row],[3F Dough cooler - 2 ]])*1000</f>
        <v>521.99999999999136</v>
      </c>
      <c r="DM19">
        <f>(BI20-Table2[[#This Row],[3F Dough Cooler- 1]])*1000</f>
        <v>638.00000000003365</v>
      </c>
      <c r="DN19">
        <f>(BJ20-Table2[[#This Row],[4F Dough Production cooling Unit]])*1000</f>
        <v>86.000000000000298</v>
      </c>
      <c r="DO19">
        <f>(BQ20-Table2[[#This Row],[3F2 - PDB 3 - Dough Production Area]])*1000</f>
        <v>312.99999999998818</v>
      </c>
      <c r="DP19">
        <f>(BR20-Table2[[#This Row],[3F3 - PDB 4 - Dough Area]])*1000</f>
        <v>179.00000000000205</v>
      </c>
      <c r="DQ19">
        <f>AC20-Table2[[#This Row],[16F1 Tray washer Panel for Light]]</f>
        <v>827.83999999985099</v>
      </c>
      <c r="DR19">
        <f>CQ20-Table2[[#This Row],[2F1 Tray Washer - 1]]</f>
        <v>1557.7600000002421</v>
      </c>
      <c r="DS19">
        <f>CS20-Table2[[#This Row],[2F5 Destacker]]</f>
        <v>469.2160000000149</v>
      </c>
      <c r="DT19">
        <f>CU20-Table2[[#This Row],[5F1 Metering (TW-2)]]</f>
        <v>404.75500000000466</v>
      </c>
      <c r="DU19">
        <f>CV20-Table2[[#This Row],[6F1 Pre soaker Tray washer]]</f>
        <v>9.5999999975902028E-3</v>
      </c>
      <c r="DV19">
        <f>CZ20-Table2[[#This Row],[6F5 Vent tray Storage]]</f>
        <v>139.34400000001187</v>
      </c>
      <c r="DW19">
        <f>I20-Table2[[#This Row],[Popeyes Meter ]]</f>
        <v>34.75</v>
      </c>
      <c r="DX19">
        <f>AZ20-Table2[[#This Row],[2F WH Chiller, Segregation Area]]</f>
        <v>0</v>
      </c>
      <c r="DY19">
        <f>BA20-Table2[[#This Row],[3F1 AC Unit WH dock cooling - 2 Nos]]</f>
        <v>18.493000000000393</v>
      </c>
      <c r="DZ19">
        <f>BB20-Table2[[#This Row],[3F2 AC Unit WH dock cooling - 3 Nos]]</f>
        <v>6.5000000000004832E-2</v>
      </c>
      <c r="EA19">
        <f>(BK20-Table2[[#This Row],[5F WH Perishable]])*1000</f>
        <v>375.99999999997635</v>
      </c>
      <c r="EB19">
        <f>BN20-Table2[[#This Row],[2F3 - PDB 9 - WH Dock Leveler Door ]]</f>
        <v>8.1055999999998676</v>
      </c>
      <c r="EC19">
        <f>BP20-Table2[[#This Row],[3F1 - PDB 5 - WH HSD]]</f>
        <v>184.60799999994924</v>
      </c>
      <c r="ED19">
        <f>BX20-Table2[[#This Row],[8F1 WH Dock AHU - Ventilation]]</f>
        <v>3062.704000000027</v>
      </c>
      <c r="EE19">
        <f>BZ20-Table2[[#This Row],[8F3 ACPDB - 4 WH Dock air curtain]]</f>
        <v>2.8000000000029104</v>
      </c>
      <c r="EF19">
        <f>CA20-Table2[[#This Row],[8F4 WH Light]]</f>
        <v>3.6182999999998628</v>
      </c>
      <c r="EG19">
        <f>CC20-Table2[[#This Row],[9F1 - PDB 10 - WH Dock door &amp; Office]]</f>
        <v>166.60800000000745</v>
      </c>
      <c r="EH19">
        <f>CD20-Table2[[#This Row],[9F2 - PDB 11 - WH flycatchers]]</f>
        <v>239.71199999999953</v>
      </c>
      <c r="EI19">
        <f>CE20-Table2[[#This Row],[9F3 - PDB 12 - Other items]]</f>
        <v>0</v>
      </c>
      <c r="EJ19">
        <f>CR20-Table2[[#This Row],[2F3 - PDB 1 - Dock 1 to 4 ]]</f>
        <v>92.01600000000326</v>
      </c>
      <c r="EK19">
        <f>BM20-Table2[[#This Row],[2F2 - PDB 3 - WH Truck &amp; Battery Charging]]</f>
        <v>588.51199999998789</v>
      </c>
      <c r="EL19">
        <f>(CK20-Table2[[#This Row],[PDB - 11 Truck Charging]])*1000</f>
        <v>52.999999999997272</v>
      </c>
      <c r="EM19">
        <f>P20-Table2[[#This Row],[5F3 Admin Area]]</f>
        <v>527.02079999994021</v>
      </c>
      <c r="EN19">
        <f>AH20-Table2[[#This Row],[2F5 Main Gate-1 Piller -1]]</f>
        <v>140.48000000001048</v>
      </c>
      <c r="EO19">
        <f>CW20-Table2[[#This Row],[6F2 Ground Floor AC]]</f>
        <v>45.228800000004412</v>
      </c>
      <c r="EP19">
        <f>CX20-Table2[[#This Row],[6F3 ACBD -1 (First floor AC)]]</f>
        <v>23.708800000000338</v>
      </c>
      <c r="EQ19">
        <f>CY20-Table2[[#This Row],[6F4 ACBD - 2 (Second &amp; Third floor AC)]]</f>
        <v>150.9440000000177</v>
      </c>
      <c r="ER19">
        <f>(BC20-Table2[[#This Row],[4F Old BMC cooling Unit]])</f>
        <v>2.5599999999976717</v>
      </c>
      <c r="ES19">
        <f>BO20-Table2[[#This Row],[2F4 - Old BMC]]</f>
        <v>6.7199999997683335E-2</v>
      </c>
      <c r="ET19">
        <f>Y20-Table2[[#This Row],[14F2 New CK]]</f>
        <v>1396.4000000001397</v>
      </c>
      <c r="EU19">
        <f>(CL20-Table2[[#This Row],[OLD Ck Panel-1]])*1000</f>
        <v>849.00000000004638</v>
      </c>
      <c r="EV19">
        <f>CM20-Table2[[#This Row],[2F4 Old CK Blast (Blue star)]]</f>
        <v>0</v>
      </c>
      <c r="EW19">
        <f>CN20-Table2[[#This Row],[3F6 Old CK Blast (Carrier)]]</f>
        <v>682.19999999999709</v>
      </c>
      <c r="EX19">
        <f>(CO20-Table2[[#This Row],[Old CK Panel -2]])*1000</f>
        <v>1178.9999999998599</v>
      </c>
      <c r="EY19">
        <f>N20-Table2[[#This Row],[4F1 Main UPS 1/C -1]]</f>
        <v>1038.0800000000745</v>
      </c>
      <c r="EZ19">
        <f>Z20-Table2[[#This Row],[15F1 Main UPS Panel - I/C - 2]]</f>
        <v>0</v>
      </c>
      <c r="FA19">
        <f>BF20-Table2[[#This Row],[2F CLC -1 AC unit - 2]]</f>
        <v>0</v>
      </c>
      <c r="FB19">
        <f>(BG20-Table2[[#This Row],[2F CLC Anti room]])*1000</f>
        <v>46.999999999997044</v>
      </c>
      <c r="FC19">
        <f>BW20-Table2[[#This Row],[7F3 CLC Power Panel]]</f>
        <v>370.57400000002235</v>
      </c>
      <c r="FD19">
        <f>(CI20-Table2[[#This Row],[PDB - 17 CLC Section ]])*1000</f>
        <v>204.00000000000773</v>
      </c>
      <c r="FE19">
        <f>(W20-Table2[[#This Row],[13F3 Water &amp; Lift Old CK]])*1000</f>
        <v>761.70000000001892</v>
      </c>
      <c r="FF19">
        <f>AA20-Table2[[#This Row],[15F2 New ETP Panel]]</f>
        <v>381.5679999999702</v>
      </c>
      <c r="FG19">
        <f>AL20-Table2[[#This Row],[3F4 Old ETP Panel]]</f>
        <v>81.311999999976251</v>
      </c>
      <c r="FH19">
        <f>AF20-Table2[[#This Row],[2F1 RO Plant]]</f>
        <v>706.88000000000466</v>
      </c>
      <c r="FI19">
        <f>AK20-Table2[[#This Row],[3F3 Fire Hydrant Panel]]</f>
        <v>13.576000000000931</v>
      </c>
      <c r="FJ19">
        <f>R20-Table2[[#This Row],[7F1 Freon System Panel]]</f>
        <v>6294.4000000003725</v>
      </c>
      <c r="FK19">
        <f>(AE20-Table2[[#This Row],[21F1 Refrigeration Ammonia]])*1000</f>
        <v>8307.200000001103</v>
      </c>
      <c r="FL19">
        <f>(AG20-Table2[[#This Row],[2F3 Air Compressor]])*1000</f>
        <v>1205.9999999999036</v>
      </c>
      <c r="FM19">
        <f>(AX20-Table2[[#This Row],[Solar Reading Panel II]])*1000</f>
        <v>3438.0000000001019</v>
      </c>
      <c r="FN19">
        <f>AI20-Table2[[#This Row],[3F1 Maintenance Workshop]]</f>
        <v>6.5167999999994208</v>
      </c>
      <c r="FO19">
        <f>BD20-Table2[[#This Row],[4F B2B unit ]]</f>
        <v>79.807999999960884</v>
      </c>
      <c r="FP19">
        <f>BL20-Table2[[#This Row],[2F1 - PDB 6 - Bread, B2B section]]</f>
        <v>177.08160000000498</v>
      </c>
      <c r="FQ19">
        <f>(CG20-Table2[[#This Row],[9F5 - PDB 14 - Bread Lift]])</f>
        <v>6.5167999999830499</v>
      </c>
      <c r="FR19">
        <f>CJ20-Table2[[#This Row],[PDB - 16 Bread Section]]</f>
        <v>1.1000000000001364</v>
      </c>
      <c r="FS19">
        <f>BU20-Table2[[#This Row],[7F1 Donut Production area]]</f>
        <v>344.57600000000093</v>
      </c>
      <c r="FT19">
        <f>CB20-Table2[[#This Row],[8F5 Donut Ban Bary]]</f>
        <v>95.1759999999922</v>
      </c>
      <c r="FU19">
        <f>CF20-Table2[[#This Row],[9F4 - PDB 13 - Donut Sink Geyser area]]</f>
        <v>33.263999999995576</v>
      </c>
      <c r="FV19">
        <f>BV20-Table2[[#This Row],[7F2 Flour Silo]]</f>
        <v>644.56000000005588</v>
      </c>
      <c r="FW19">
        <f>BY20-Table2[[#This Row],[8F2 ACPDB - 3 SILO Ventilation]]</f>
        <v>64.527999999991152</v>
      </c>
      <c r="FX19">
        <f>J20-Table2[[#This Row],[DG 1010KVA Running Hours]]</f>
        <v>0</v>
      </c>
      <c r="FY19">
        <f>K20-Table2[[#This Row],[DG 1010 KVA Meter Reading]]</f>
        <v>0</v>
      </c>
      <c r="FZ19">
        <f>L20-Table2[[#This Row],[GG 1010 KVA Running Hours]]</f>
        <v>0</v>
      </c>
      <c r="GA19">
        <f>M20-Table2[[#This Row],[GG 1010 KVA Meter Reading]]</f>
        <v>0</v>
      </c>
    </row>
    <row r="20" spans="1:183" x14ac:dyDescent="0.35">
      <c r="A20" s="1">
        <v>30</v>
      </c>
      <c r="B20" s="2">
        <v>46218.37804398148</v>
      </c>
      <c r="C20" s="2">
        <v>46218.41673611111</v>
      </c>
      <c r="D20" s="1" t="s">
        <v>111</v>
      </c>
      <c r="E20" s="1"/>
      <c r="F20" s="1"/>
      <c r="G20" s="3">
        <v>46218</v>
      </c>
      <c r="H20" s="1" t="s">
        <v>112</v>
      </c>
      <c r="I20" s="6">
        <v>5770.0119999999997</v>
      </c>
      <c r="J20" s="6">
        <v>4248.8</v>
      </c>
      <c r="K20" s="6">
        <v>1765872</v>
      </c>
      <c r="L20" s="6">
        <v>430</v>
      </c>
      <c r="M20" s="6">
        <v>179.23</v>
      </c>
      <c r="N20" s="6">
        <v>1850645.6</v>
      </c>
      <c r="O20" s="6">
        <v>4564365.12</v>
      </c>
      <c r="P20" s="6">
        <v>638086.14399999997</v>
      </c>
      <c r="Q20" s="6">
        <v>8035815.6799999997</v>
      </c>
      <c r="R20" s="6">
        <v>5427923.2000000002</v>
      </c>
      <c r="S20" s="6">
        <v>7301083.5199999996</v>
      </c>
      <c r="T20" s="6">
        <v>42530121.722000003</v>
      </c>
      <c r="U20" s="6">
        <v>2078204.48</v>
      </c>
      <c r="V20" s="6">
        <v>5082080.96</v>
      </c>
      <c r="W20" s="6">
        <v>1579.9021</v>
      </c>
      <c r="X20" s="6">
        <v>768481.79200000002</v>
      </c>
      <c r="Y20" s="6">
        <v>1067425.28</v>
      </c>
      <c r="Z20" s="6">
        <v>2777.8894</v>
      </c>
      <c r="AA20" s="6">
        <v>662986.94400000002</v>
      </c>
      <c r="AB20" s="6">
        <v>421056.51199999999</v>
      </c>
      <c r="AC20" s="6">
        <v>2124678.08</v>
      </c>
      <c r="AD20" s="6">
        <v>3785548.8539999998</v>
      </c>
      <c r="AE20" s="6">
        <v>12672.36</v>
      </c>
      <c r="AF20" s="6">
        <v>864612.99199999997</v>
      </c>
      <c r="AG20" s="6">
        <v>1377.3989999999999</v>
      </c>
      <c r="AH20" s="6">
        <v>131194.78400000001</v>
      </c>
      <c r="AI20" s="6">
        <v>14521.2768</v>
      </c>
      <c r="AJ20" s="6">
        <v>145300.38399999999</v>
      </c>
      <c r="AK20" s="6">
        <v>105012.088</v>
      </c>
      <c r="AL20" s="6">
        <v>329144.25599999999</v>
      </c>
      <c r="AM20" s="6">
        <v>979.93399999999997</v>
      </c>
      <c r="AN20" s="6">
        <v>295.8</v>
      </c>
      <c r="AO20" s="6">
        <v>7.5</v>
      </c>
      <c r="AP20" s="6">
        <v>269319</v>
      </c>
      <c r="AQ20" s="6">
        <v>42305</v>
      </c>
      <c r="AR20" s="6">
        <v>41760</v>
      </c>
      <c r="AS20" s="6">
        <v>0</v>
      </c>
      <c r="AT20" s="6">
        <v>0</v>
      </c>
      <c r="AU20" s="6">
        <v>15171</v>
      </c>
      <c r="AV20" s="6">
        <v>6109</v>
      </c>
      <c r="AW20" s="6">
        <v>20.795058000000001</v>
      </c>
      <c r="AX20" s="6">
        <v>7191.4179999999997</v>
      </c>
      <c r="AY20" s="6">
        <v>676.29664000000002</v>
      </c>
      <c r="AZ20" s="6">
        <v>20.788</v>
      </c>
      <c r="BA20" s="6">
        <v>10000</v>
      </c>
      <c r="BB20" s="6">
        <v>43.898000000000003</v>
      </c>
      <c r="BC20" s="6">
        <v>113982.552</v>
      </c>
      <c r="BD20" s="6">
        <v>274829.31199999998</v>
      </c>
      <c r="BE20" s="6">
        <v>3701.3987999999999</v>
      </c>
      <c r="BF20" s="6">
        <v>1712.0419999999999</v>
      </c>
      <c r="BG20" s="6">
        <v>74.432000000000002</v>
      </c>
      <c r="BH20" s="6">
        <v>357.53800000000001</v>
      </c>
      <c r="BI20" s="6">
        <v>906.19600000000003</v>
      </c>
      <c r="BJ20" s="6">
        <v>13.766999999999999</v>
      </c>
      <c r="BK20" s="6">
        <v>558.82299999999998</v>
      </c>
      <c r="BL20" s="6">
        <v>69171.392000000007</v>
      </c>
      <c r="BM20" s="6">
        <v>299974.848</v>
      </c>
      <c r="BN20" s="6">
        <v>7150.2503999999999</v>
      </c>
      <c r="BO20" s="6">
        <v>53523.734400000001</v>
      </c>
      <c r="BP20" s="6">
        <v>311994.43199999997</v>
      </c>
      <c r="BQ20" s="6">
        <v>321.31200000000001</v>
      </c>
      <c r="BR20" s="6">
        <v>179.07900000000001</v>
      </c>
      <c r="BS20" s="6">
        <v>987944.67099999997</v>
      </c>
      <c r="BT20" s="6">
        <v>1400565.952</v>
      </c>
      <c r="BU20" s="6">
        <v>625240</v>
      </c>
      <c r="BV20" s="6">
        <v>1013561.52</v>
      </c>
      <c r="BW20" s="6">
        <v>564171.26399999997</v>
      </c>
      <c r="BX20" s="6">
        <v>954130.49600000004</v>
      </c>
      <c r="BY20" s="6">
        <v>156812.576</v>
      </c>
      <c r="BZ20" s="6">
        <v>114242.74400000001</v>
      </c>
      <c r="CA20" s="6">
        <v>1193.4992999999999</v>
      </c>
      <c r="CB20" s="6">
        <v>107697.624</v>
      </c>
      <c r="CC20" s="6">
        <v>148310.75200000001</v>
      </c>
      <c r="CD20" s="6">
        <v>443052.73599999998</v>
      </c>
      <c r="CE20" s="6">
        <v>49125.260799999996</v>
      </c>
      <c r="CF20" s="6">
        <v>155480.304</v>
      </c>
      <c r="CG20" s="6">
        <v>360778.69439999998</v>
      </c>
      <c r="CH20" s="6">
        <v>2385.8710000000001</v>
      </c>
      <c r="CI20" s="6">
        <v>211.672</v>
      </c>
      <c r="CJ20" s="6">
        <v>1171.7</v>
      </c>
      <c r="CK20" s="6">
        <v>77.194000000000003</v>
      </c>
      <c r="CL20" s="6">
        <v>723.54700000000003</v>
      </c>
      <c r="CM20" s="6">
        <v>551.4</v>
      </c>
      <c r="CN20" s="6">
        <v>37173.199999999997</v>
      </c>
      <c r="CO20" s="6">
        <v>1635.1769999999999</v>
      </c>
      <c r="CP20" s="6">
        <v>291649.10200000001</v>
      </c>
      <c r="CQ20" s="6">
        <v>3662675.2</v>
      </c>
      <c r="CR20" s="6">
        <v>129875.808</v>
      </c>
      <c r="CS20" s="6">
        <v>508732</v>
      </c>
      <c r="CT20" s="6">
        <v>2872239.66</v>
      </c>
      <c r="CU20" s="6">
        <v>293763.73700000002</v>
      </c>
      <c r="CV20" s="6">
        <v>30124.063999999998</v>
      </c>
      <c r="CW20" s="6">
        <v>62439.878400000001</v>
      </c>
      <c r="CX20" s="6">
        <v>33291.6224</v>
      </c>
      <c r="CY20" s="6">
        <v>165446.49600000001</v>
      </c>
      <c r="CZ20" s="6">
        <v>216618.76800000001</v>
      </c>
      <c r="DA20" s="6">
        <v>17786.330000000002</v>
      </c>
      <c r="DB20" s="6">
        <v>148206.226</v>
      </c>
      <c r="DC20" s="6">
        <v>2923.57</v>
      </c>
      <c r="DD20" s="6">
        <v>2923.46</v>
      </c>
      <c r="DE20" s="6">
        <v>2947.61</v>
      </c>
      <c r="DF20" s="6">
        <v>0.997</v>
      </c>
      <c r="DG20" s="1" t="s">
        <v>241</v>
      </c>
      <c r="DH20" s="4">
        <f>Table2[[#This Row],[Date]]</f>
        <v>46218</v>
      </c>
      <c r="DI20">
        <f>(DD21-Table2[[#This Row],[MWH Total]])*4000</f>
        <v>26479.999999999563</v>
      </c>
      <c r="DJ20">
        <f>(DA21-Table2[[#This Row],[PNG Meter (Outside)]])*2.936</f>
        <v>15.149759999999572</v>
      </c>
      <c r="DK20">
        <f>(DB21-Table2[[#This Row],[PNG Meter (Inside)]])*2.936</f>
        <v>394.26663200003281</v>
      </c>
      <c r="DL20">
        <f>(BH21-Table2[[#This Row],[3F Dough cooler - 2 ]])*1000</f>
        <v>454.99999999998408</v>
      </c>
      <c r="DM20">
        <f>(BI21-Table2[[#This Row],[3F Dough Cooler- 1]])*1000</f>
        <v>496.99999999995725</v>
      </c>
      <c r="DN20">
        <f>(BJ21-Table2[[#This Row],[4F Dough Production cooling Unit]])*1000</f>
        <v>68.000000000001393</v>
      </c>
      <c r="DO20">
        <f>(BQ21-Table2[[#This Row],[3F2 - PDB 3 - Dough Production Area]])*1000</f>
        <v>233.99999999998045</v>
      </c>
      <c r="DP20">
        <f>(BR21-Table2[[#This Row],[3F3 - PDB 4 - Dough Area]])*1000</f>
        <v>132.000000000005</v>
      </c>
      <c r="DQ20">
        <f>AC21-Table2[[#This Row],[16F1 Tray washer Panel for Light]]</f>
        <v>725.91999999992549</v>
      </c>
      <c r="DR20">
        <f>CQ21-Table2[[#This Row],[2F1 Tray Washer - 1]]</f>
        <v>1294.7199999997392</v>
      </c>
      <c r="DS20">
        <f>CS21-Table2[[#This Row],[2F5 Destacker]]</f>
        <v>360.32000000000698</v>
      </c>
      <c r="DT20">
        <f>CU21-Table2[[#This Row],[5F1 Metering (TW-2)]]</f>
        <v>320.16699999995762</v>
      </c>
      <c r="DU20">
        <f>CV21-Table2[[#This Row],[6F1 Pre soaker Tray washer]]</f>
        <v>6.4000000020314474E-3</v>
      </c>
      <c r="DV20">
        <f>CZ21-Table2[[#This Row],[6F5 Vent tray Storage]]</f>
        <v>105.35999999998603</v>
      </c>
      <c r="DW20">
        <f>I21-Table2[[#This Row],[Popeyes Meter ]]</f>
        <v>69.630000000000109</v>
      </c>
      <c r="DX20">
        <f>AZ21-Table2[[#This Row],[2F WH Chiller, Segregation Area]]</f>
        <v>0</v>
      </c>
      <c r="DY20">
        <f>BA21-Table2[[#This Row],[3F1 AC Unit WH dock cooling - 2 Nos]]</f>
        <v>33</v>
      </c>
      <c r="DZ20">
        <f>BB21-Table2[[#This Row],[3F2 AC Unit WH dock cooling - 3 Nos]]</f>
        <v>5.2999999999997272E-2</v>
      </c>
      <c r="EA20">
        <f>(BK21-Table2[[#This Row],[5F WH Perishable]])*1000</f>
        <v>293.00000000000637</v>
      </c>
      <c r="EB20">
        <f>BN21-Table2[[#This Row],[2F3 - PDB 9 - WH Dock Leveler Door ]]</f>
        <v>5.212800000000243</v>
      </c>
      <c r="EC20">
        <f>BP21-Table2[[#This Row],[3F1 - PDB 5 - WH HSD]]</f>
        <v>141.44000000000233</v>
      </c>
      <c r="ED20">
        <f>BX21-Table2[[#This Row],[8F1 WH Dock AHU - Ventilation]]</f>
        <v>2383.1039999999339</v>
      </c>
      <c r="EE20">
        <f>BZ21-Table2[[#This Row],[8F3 ACPDB - 4 WH Dock air curtain]]</f>
        <v>8.4479999999894062</v>
      </c>
      <c r="EF20">
        <f>CA21-Table2[[#This Row],[8F4 WH Light]]</f>
        <v>2.822400000000016</v>
      </c>
      <c r="EG20">
        <f>CC21-Table2[[#This Row],[9F1 - PDB 10 - WH Dock door &amp; Office]]</f>
        <v>149.75999999998021</v>
      </c>
      <c r="EH20">
        <f>CD21-Table2[[#This Row],[9F2 - PDB 11 - WH flycatchers]]</f>
        <v>206.33600000001024</v>
      </c>
      <c r="EI20">
        <f>CE21-Table2[[#This Row],[9F3 - PDB 12 - Other items]]</f>
        <v>0</v>
      </c>
      <c r="EJ20">
        <f>CR21-Table2[[#This Row],[2F3 - PDB 1 - Dock 1 to 4 ]]</f>
        <v>80.927999999999884</v>
      </c>
      <c r="EK20">
        <f>BM21-Table2[[#This Row],[2F2 - PDB 3 - WH Truck &amp; Battery Charging]]</f>
        <v>506.04800000000978</v>
      </c>
      <c r="EL20">
        <f>(CK21-Table2[[#This Row],[PDB - 11 Truck Charging]])*1000</f>
        <v>61.999999999997613</v>
      </c>
      <c r="EM20">
        <f>P21-Table2[[#This Row],[5F3 Admin Area]]</f>
        <v>466.36800000001676</v>
      </c>
      <c r="EN20">
        <f>AH21-Table2[[#This Row],[2F5 Main Gate-1 Piller -1]]</f>
        <v>142.24799999999232</v>
      </c>
      <c r="EO20">
        <f>CW21-Table2[[#This Row],[6F2 Ground Floor AC]]</f>
        <v>37.030399999996007</v>
      </c>
      <c r="EP20">
        <f>CX21-Table2[[#This Row],[6F3 ACBD -1 (First floor AC)]]</f>
        <v>25.616000000001804</v>
      </c>
      <c r="EQ20">
        <f>CY21-Table2[[#This Row],[6F4 ACBD - 2 (Second &amp; Third floor AC)]]</f>
        <v>114.73599999997532</v>
      </c>
      <c r="ER20">
        <f>(BC21-Table2[[#This Row],[4F Old BMC cooling Unit]])</f>
        <v>0</v>
      </c>
      <c r="ES20">
        <f>BO21-Table2[[#This Row],[2F4 - Old BMC]]</f>
        <v>2.6304000000018277</v>
      </c>
      <c r="ET20">
        <f>Y21-Table2[[#This Row],[14F2 New CK]]</f>
        <v>1697.5999999998603</v>
      </c>
      <c r="EU20">
        <f>(CL21-Table2[[#This Row],[OLD Ck Panel-1]])*1000</f>
        <v>760.99999999996726</v>
      </c>
      <c r="EV20">
        <f>CM21-Table2[[#This Row],[2F4 Old CK Blast (Blue star)]]</f>
        <v>0</v>
      </c>
      <c r="EW20">
        <f>CN21-Table2[[#This Row],[3F6 Old CK Blast (Carrier)]]</f>
        <v>618.70000000000437</v>
      </c>
      <c r="EX20">
        <f>(CO21-Table2[[#This Row],[Old CK Panel -2]])*1000</f>
        <v>1316.0000000000309</v>
      </c>
      <c r="EY20">
        <f>N21-Table2[[#This Row],[4F1 Main UPS 1/C -1]]</f>
        <v>936.31999999983236</v>
      </c>
      <c r="EZ20">
        <f>Z21-Table2[[#This Row],[15F1 Main UPS Panel - I/C - 2]]</f>
        <v>0</v>
      </c>
      <c r="FA20">
        <f>BF21-Table2[[#This Row],[2F CLC -1 AC unit - 2]]</f>
        <v>0</v>
      </c>
      <c r="FB20">
        <f>(BG21-Table2[[#This Row],[2F CLC Anti room]])*1000</f>
        <v>34.999999999996589</v>
      </c>
      <c r="FC20">
        <f>BW21-Table2[[#This Row],[7F3 CLC Power Panel]]</f>
        <v>244.09600000001956</v>
      </c>
      <c r="FD20">
        <f>(CI21-Table2[[#This Row],[PDB - 17 CLC Section ]])*1000</f>
        <v>152.00000000001523</v>
      </c>
      <c r="FE20">
        <f>(W21-Table2[[#This Row],[13F3 Water &amp; Lift Old CK]])*1000</f>
        <v>571.99999999988904</v>
      </c>
      <c r="FF20">
        <f>AA21-Table2[[#This Row],[15F2 New ETP Panel]]</f>
        <v>281.47199999995064</v>
      </c>
      <c r="FG20">
        <f>AL21-Table2[[#This Row],[3F4 Old ETP Panel]]</f>
        <v>72.799999999988358</v>
      </c>
      <c r="FH20">
        <f>AF21-Table2[[#This Row],[2F1 RO Plant]]</f>
        <v>612.09600000001956</v>
      </c>
      <c r="FI20">
        <f>AK21-Table2[[#This Row],[3F3 Fire Hydrant Panel]]</f>
        <v>11</v>
      </c>
      <c r="FJ20">
        <f>R21-Table2[[#This Row],[7F1 Freon System Panel]]</f>
        <v>6056.3199999993667</v>
      </c>
      <c r="FK20">
        <f>(AE21-Table2[[#This Row],[21F1 Refrigeration Ammonia]])*1000</f>
        <v>7711.1999999997352</v>
      </c>
      <c r="FL20">
        <f>(AG21-Table2[[#This Row],[2F3 Air Compressor]])*1000</f>
        <v>1089.0000000001692</v>
      </c>
      <c r="FM20">
        <f>(AX21-Table2[[#This Row],[Solar Reading Panel II]])*1000</f>
        <v>3230.0000000004729</v>
      </c>
      <c r="FN20">
        <f>AI21-Table2[[#This Row],[3F1 Maintenance Workshop]]</f>
        <v>5.7872000000006665</v>
      </c>
      <c r="FO20">
        <f>BD21-Table2[[#This Row],[4F B2B unit ]]</f>
        <v>78.336000000010245</v>
      </c>
      <c r="FP20">
        <f>BL21-Table2[[#This Row],[2F1 - PDB 6 - Bread, B2B section]]</f>
        <v>114.87359999999171</v>
      </c>
      <c r="FQ20">
        <f>(CG21-Table2[[#This Row],[9F5 - PDB 14 - Bread Lift]])</f>
        <v>1.6112000000430271</v>
      </c>
      <c r="FR20">
        <f>CJ21-Table2[[#This Row],[PDB - 16 Bread Section]]</f>
        <v>1.2999999999999545</v>
      </c>
      <c r="FS20">
        <f>BU21-Table2[[#This Row],[7F1 Donut Production area]]</f>
        <v>272.19200000003912</v>
      </c>
      <c r="FT20">
        <f>CB21-Table2[[#This Row],[8F5 Donut Ban Bary]]</f>
        <v>66.592000000004191</v>
      </c>
      <c r="FU20">
        <f>CF21-Table2[[#This Row],[9F4 - PDB 13 - Donut Sink Geyser area]]</f>
        <v>18.959999999991851</v>
      </c>
      <c r="FV20">
        <f>BV21-Table2[[#This Row],[7F2 Flour Silo]]</f>
        <v>402.71999999997206</v>
      </c>
      <c r="FW20">
        <f>BY21-Table2[[#This Row],[8F2 ACPDB - 3 SILO Ventilation]]</f>
        <v>50.160000000003492</v>
      </c>
      <c r="FX20">
        <f>J21-Table2[[#This Row],[DG 1010KVA Running Hours]]</f>
        <v>0</v>
      </c>
      <c r="FY20">
        <f>K21-Table2[[#This Row],[DG 1010 KVA Meter Reading]]</f>
        <v>0</v>
      </c>
      <c r="FZ20">
        <f>L21-Table2[[#This Row],[GG 1010 KVA Running Hours]]</f>
        <v>0</v>
      </c>
      <c r="GA20">
        <f>M21-Table2[[#This Row],[GG 1010 KVA Meter Reading]]</f>
        <v>0</v>
      </c>
    </row>
    <row r="21" spans="1:183" x14ac:dyDescent="0.35">
      <c r="A21" s="1">
        <v>31</v>
      </c>
      <c r="B21" s="2">
        <v>46219.399594907409</v>
      </c>
      <c r="C21" s="2">
        <v>46219.441793981481</v>
      </c>
      <c r="D21" s="1" t="s">
        <v>111</v>
      </c>
      <c r="E21" s="1"/>
      <c r="F21" s="1"/>
      <c r="G21" s="3">
        <v>46219</v>
      </c>
      <c r="H21" s="1" t="s">
        <v>112</v>
      </c>
      <c r="I21" s="6">
        <v>5839.6419999999998</v>
      </c>
      <c r="J21" s="6">
        <v>4248.8</v>
      </c>
      <c r="K21" s="6">
        <v>1765872</v>
      </c>
      <c r="L21" s="6">
        <v>430</v>
      </c>
      <c r="M21" s="6">
        <v>179.23</v>
      </c>
      <c r="N21" s="6">
        <v>1851581.92</v>
      </c>
      <c r="O21" s="6">
        <v>4566159.04</v>
      </c>
      <c r="P21" s="6">
        <v>638552.51199999999</v>
      </c>
      <c r="Q21" s="6">
        <v>8038910.0800000001</v>
      </c>
      <c r="R21" s="6">
        <v>5433979.5199999996</v>
      </c>
      <c r="S21" s="6">
        <v>7304863.3600000003</v>
      </c>
      <c r="T21" s="6">
        <v>42974517.693000004</v>
      </c>
      <c r="U21" s="6">
        <v>2079432.96</v>
      </c>
      <c r="V21" s="6">
        <v>5083991.04</v>
      </c>
      <c r="W21" s="6">
        <v>1580.4740999999999</v>
      </c>
      <c r="X21" s="6">
        <v>768801.40800000005</v>
      </c>
      <c r="Y21" s="6">
        <v>1069122.8799999999</v>
      </c>
      <c r="Z21" s="6">
        <v>2777.8894</v>
      </c>
      <c r="AA21" s="6">
        <v>663268.41599999997</v>
      </c>
      <c r="AB21" s="6">
        <v>421068.32</v>
      </c>
      <c r="AC21" s="6">
        <v>2125404</v>
      </c>
      <c r="AD21" s="6">
        <v>3800741.0320000001</v>
      </c>
      <c r="AE21" s="6">
        <v>12680.0712</v>
      </c>
      <c r="AF21" s="6">
        <v>865225.08799999999</v>
      </c>
      <c r="AG21" s="6">
        <v>1378.4880000000001</v>
      </c>
      <c r="AH21" s="6">
        <v>131337.03200000001</v>
      </c>
      <c r="AI21" s="6">
        <v>14527.064</v>
      </c>
      <c r="AJ21" s="6">
        <v>145305.568</v>
      </c>
      <c r="AK21" s="6">
        <v>105023.088</v>
      </c>
      <c r="AL21" s="6">
        <v>329217.05599999998</v>
      </c>
      <c r="AM21" s="6">
        <v>980.46199999999999</v>
      </c>
      <c r="AN21" s="6">
        <v>260.10000000000002</v>
      </c>
      <c r="AO21" s="6">
        <v>7.2</v>
      </c>
      <c r="AP21" s="6">
        <v>279254</v>
      </c>
      <c r="AQ21" s="6">
        <v>42305</v>
      </c>
      <c r="AR21" s="6">
        <v>41760</v>
      </c>
      <c r="AS21" s="6">
        <v>0</v>
      </c>
      <c r="AT21" s="6">
        <v>0</v>
      </c>
      <c r="AU21" s="6">
        <v>15196</v>
      </c>
      <c r="AV21" s="6">
        <v>6127</v>
      </c>
      <c r="AW21" s="6">
        <v>20.802541999999999</v>
      </c>
      <c r="AX21" s="6">
        <v>7194.6480000000001</v>
      </c>
      <c r="AY21" s="6">
        <v>676.46407999999997</v>
      </c>
      <c r="AZ21" s="6">
        <v>20.788</v>
      </c>
      <c r="BA21" s="6">
        <v>10033</v>
      </c>
      <c r="BB21" s="6">
        <v>43.951000000000001</v>
      </c>
      <c r="BC21" s="6">
        <v>113982.552</v>
      </c>
      <c r="BD21" s="6">
        <v>274907.64799999999</v>
      </c>
      <c r="BE21" s="6">
        <v>3702.7995999999998</v>
      </c>
      <c r="BF21" s="6">
        <v>1712.0419999999999</v>
      </c>
      <c r="BG21" s="6">
        <v>74.466999999999999</v>
      </c>
      <c r="BH21" s="6">
        <v>357.99299999999999</v>
      </c>
      <c r="BI21" s="6">
        <v>906.69299999999998</v>
      </c>
      <c r="BJ21" s="6">
        <v>13.835000000000001</v>
      </c>
      <c r="BK21" s="6">
        <v>559.11599999999999</v>
      </c>
      <c r="BL21" s="6">
        <v>69286.265599999999</v>
      </c>
      <c r="BM21" s="6">
        <v>300480.89600000001</v>
      </c>
      <c r="BN21" s="6">
        <v>7155.4632000000001</v>
      </c>
      <c r="BO21" s="6">
        <v>53526.364800000003</v>
      </c>
      <c r="BP21" s="6">
        <v>312135.87199999997</v>
      </c>
      <c r="BQ21" s="6">
        <v>321.54599999999999</v>
      </c>
      <c r="BR21" s="6">
        <v>179.21100000000001</v>
      </c>
      <c r="BS21" s="6">
        <v>989153.23199999996</v>
      </c>
      <c r="BT21" s="6">
        <v>1400567.4350000001</v>
      </c>
      <c r="BU21" s="6">
        <v>625512.19200000004</v>
      </c>
      <c r="BV21" s="6">
        <v>1013964.24</v>
      </c>
      <c r="BW21" s="6">
        <v>564415.36</v>
      </c>
      <c r="BX21" s="6">
        <v>956513.6</v>
      </c>
      <c r="BY21" s="6">
        <v>156862.736</v>
      </c>
      <c r="BZ21" s="6">
        <v>114251.192</v>
      </c>
      <c r="CA21" s="6">
        <v>1196.3217</v>
      </c>
      <c r="CB21" s="6">
        <v>107764.216</v>
      </c>
      <c r="CC21" s="6">
        <v>148460.51199999999</v>
      </c>
      <c r="CD21" s="6">
        <v>443259.07199999999</v>
      </c>
      <c r="CE21" s="6">
        <v>49125.260799999996</v>
      </c>
      <c r="CF21" s="6">
        <v>155499.264</v>
      </c>
      <c r="CG21" s="6">
        <v>360780.30560000002</v>
      </c>
      <c r="CH21" s="6">
        <v>2385.8710000000001</v>
      </c>
      <c r="CI21" s="6">
        <v>211.82400000000001</v>
      </c>
      <c r="CJ21" s="6">
        <v>1173</v>
      </c>
      <c r="CK21" s="6">
        <v>77.256</v>
      </c>
      <c r="CL21" s="6">
        <v>724.30799999999999</v>
      </c>
      <c r="CM21" s="6">
        <v>551.4</v>
      </c>
      <c r="CN21" s="6">
        <v>37791.9</v>
      </c>
      <c r="CO21" s="6">
        <v>1636.4929999999999</v>
      </c>
      <c r="CP21" s="6">
        <v>291787.31199999998</v>
      </c>
      <c r="CQ21" s="6">
        <v>3663969.92</v>
      </c>
      <c r="CR21" s="6">
        <v>129956.736</v>
      </c>
      <c r="CS21" s="6">
        <v>509092.32</v>
      </c>
      <c r="CT21" s="6">
        <v>2876096.4610000001</v>
      </c>
      <c r="CU21" s="6">
        <v>294083.90399999998</v>
      </c>
      <c r="CV21" s="6">
        <v>30124.070400000001</v>
      </c>
      <c r="CW21" s="6">
        <v>62476.908799999997</v>
      </c>
      <c r="CX21" s="6">
        <v>33317.238400000002</v>
      </c>
      <c r="CY21" s="6">
        <v>165561.23199999999</v>
      </c>
      <c r="CZ21" s="6">
        <v>216724.128</v>
      </c>
      <c r="DA21" s="6">
        <v>17791.490000000002</v>
      </c>
      <c r="DB21" s="6">
        <v>148340.51300000001</v>
      </c>
      <c r="DC21" s="6">
        <v>2930.21</v>
      </c>
      <c r="DD21" s="6">
        <v>2930.08</v>
      </c>
      <c r="DE21" s="6">
        <v>2954.3</v>
      </c>
      <c r="DF21" s="6">
        <v>0.996</v>
      </c>
      <c r="DG21" s="1" t="s">
        <v>242</v>
      </c>
      <c r="DH21" s="4">
        <f>Table2[[#This Row],[Date]]</f>
        <v>46219</v>
      </c>
      <c r="DI21">
        <f>(DD22-Table2[[#This Row],[MWH Total]])*4000</f>
        <v>24920.000000000073</v>
      </c>
      <c r="DJ21">
        <f>(DA22-Table2[[#This Row],[PNG Meter (Outside)]])*2.936</f>
        <v>14.122159999993164</v>
      </c>
      <c r="DK21">
        <f>(DB22-Table2[[#This Row],[PNG Meter (Inside)]])*2.936</f>
        <v>364.0405119999952</v>
      </c>
      <c r="DL21">
        <f>(BH22-Table2[[#This Row],[3F Dough cooler - 2 ]])*1000</f>
        <v>444.99999999999318</v>
      </c>
      <c r="DM21">
        <f>(BI22-Table2[[#This Row],[3F Dough Cooler- 1]])*1000</f>
        <v>485.00000000001364</v>
      </c>
      <c r="DN21">
        <f>(BJ22-Table2[[#This Row],[4F Dough Production cooling Unit]])*1000</f>
        <v>46.99999999999882</v>
      </c>
      <c r="DO21">
        <f>(BQ22-Table2[[#This Row],[3F2 - PDB 3 - Dough Production Area]])*1000</f>
        <v>225.00000000002274</v>
      </c>
      <c r="DP21">
        <f>(BR22-Table2[[#This Row],[3F3 - PDB 4 - Dough Area]])*1000</f>
        <v>119.99999999997613</v>
      </c>
      <c r="DQ21">
        <f>AC22-Table2[[#This Row],[16F1 Tray washer Panel for Light]]</f>
        <v>715.04000000003725</v>
      </c>
      <c r="DR21">
        <f>CQ22-Table2[[#This Row],[2F1 Tray Washer - 1]]</f>
        <v>1197.4399999999441</v>
      </c>
      <c r="DS21">
        <f>CS22-Table2[[#This Row],[2F5 Destacker]]</f>
        <v>360.8640000000014</v>
      </c>
      <c r="DT21">
        <f>CU22-Table2[[#This Row],[5F1 Metering (TW-2)]]</f>
        <v>321.37400000001071</v>
      </c>
      <c r="DU21">
        <f>CV22-Table2[[#This Row],[6F1 Pre soaker Tray washer]]</f>
        <v>0</v>
      </c>
      <c r="DV21">
        <f>CZ22-Table2[[#This Row],[6F5 Vent tray Storage]]</f>
        <v>90.224000000016531</v>
      </c>
      <c r="DW21">
        <f>I22-Table2[[#This Row],[Popeyes Meter ]]</f>
        <v>34.980000000000473</v>
      </c>
      <c r="DX21">
        <f>AZ22-Table2[[#This Row],[2F WH Chiller, Segregation Area]]</f>
        <v>0</v>
      </c>
      <c r="DY21" s="1">
        <f>BA22-Table2[[#This Row],[3F1 AC Unit WH dock cooling - 2 Nos]]</f>
        <v>23</v>
      </c>
      <c r="DZ21">
        <f>BB22-Table2[[#This Row],[3F2 AC Unit WH dock cooling - 3 Nos]]</f>
        <v>4.9999999999997158E-2</v>
      </c>
      <c r="EA21">
        <f>(BK22-Table2[[#This Row],[5F WH Perishable]])*1000</f>
        <v>287.00000000003456</v>
      </c>
      <c r="EB21">
        <f>BN22-Table2[[#This Row],[2F3 - PDB 9 - WH Dock Leveler Door ]]</f>
        <v>3.2799999999997453</v>
      </c>
      <c r="EC21">
        <f>BP22-Table2[[#This Row],[3F1 - PDB 5 - WH HSD]]</f>
        <v>138.4320000000298</v>
      </c>
      <c r="ED21">
        <f>BX22-Table2[[#This Row],[8F1 WH Dock AHU - Ventilation]]</f>
        <v>2310.5280000000494</v>
      </c>
      <c r="EE21">
        <f>BZ22-Table2[[#This Row],[8F3 ACPDB - 4 WH Dock air curtain]]</f>
        <v>4.4239999999990687</v>
      </c>
      <c r="EF21">
        <f>CA22-Table2[[#This Row],[8F4 WH Light]]</f>
        <v>2.7462000000000444</v>
      </c>
      <c r="EG21">
        <f>CC22-Table2[[#This Row],[9F1 - PDB 10 - WH Dock door &amp; Office]]</f>
        <v>156.68800000002375</v>
      </c>
      <c r="EH21">
        <f>CD22-Table2[[#This Row],[9F2 - PDB 11 - WH flycatchers]]</f>
        <v>187.87200000003213</v>
      </c>
      <c r="EI21" s="1">
        <f>CE22-Table2[[#This Row],[9F3 - PDB 12 - Other items]]</f>
        <v>0</v>
      </c>
      <c r="EJ21">
        <f>CR22-Table2[[#This Row],[2F3 - PDB 1 - Dock 1 to 4 ]]</f>
        <v>96.871999999988475</v>
      </c>
      <c r="EK21">
        <f>BM22-Table2[[#This Row],[2F2 - PDB 3 - WH Truck &amp; Battery Charging]]</f>
        <v>388.12799999996787</v>
      </c>
      <c r="EL21">
        <f>(CK22-Table2[[#This Row],[PDB - 11 Truck Charging]])*1000</f>
        <v>57.999999999992724</v>
      </c>
      <c r="EM21">
        <f>P22-Table2[[#This Row],[5F3 Admin Area]]</f>
        <v>443.00800000003073</v>
      </c>
      <c r="EN21">
        <f>AH22-Table2[[#This Row],[2F5 Main Gate-1 Piller -1]]</f>
        <v>152.47999999998137</v>
      </c>
      <c r="EO21">
        <f>CW22-Table2[[#This Row],[6F2 Ground Floor AC]]</f>
        <v>35.756800000002841</v>
      </c>
      <c r="EP21">
        <f>CX22-Table2[[#This Row],[6F3 ACBD -1 (First floor AC)]]</f>
        <v>24.90559999999823</v>
      </c>
      <c r="EQ21">
        <f>CY22-Table2[[#This Row],[6F4 ACBD - 2 (Second &amp; Third floor AC)]]</f>
        <v>134.97600000002421</v>
      </c>
      <c r="ER21">
        <f>(BC22-Table2[[#This Row],[4F Old BMC cooling Unit]])</f>
        <v>2.6080000000074506</v>
      </c>
      <c r="ES21">
        <f>BO22-Table2[[#This Row],[2F4 - Old BMC]]</f>
        <v>2.5183999999935622</v>
      </c>
      <c r="ET21">
        <f>Y22-Table2[[#This Row],[14F2 New CK]]</f>
        <v>1154.6400000001304</v>
      </c>
      <c r="EU21">
        <f>(CL22-Table2[[#This Row],[OLD Ck Panel-1]])*1000</f>
        <v>736.99999999996635</v>
      </c>
      <c r="EV21">
        <f>CM22-Table2[[#This Row],[2F4 Old CK Blast (Blue star)]]</f>
        <v>0</v>
      </c>
      <c r="EW21">
        <f>CN22-Table2[[#This Row],[3F6 Old CK Blast (Carrier)]]</f>
        <v>591.79999999999563</v>
      </c>
      <c r="EX21">
        <f>(CO22-Table2[[#This Row],[Old CK Panel -2]])*1000</f>
        <v>1218.0000000000746</v>
      </c>
      <c r="EY21">
        <f>N22-Table2[[#This Row],[4F1 Main UPS 1/C -1]]</f>
        <v>930.56000000005588</v>
      </c>
      <c r="EZ21">
        <f>Z22-Table2[[#This Row],[15F1 Main UPS Panel - I/C - 2]]</f>
        <v>0</v>
      </c>
      <c r="FA21">
        <f>BF22-Table2[[#This Row],[2F CLC -1 AC unit - 2]]</f>
        <v>0</v>
      </c>
      <c r="FB21">
        <f>(BG22-Table2[[#This Row],[2F CLC Anti room]])*1000</f>
        <v>34.999999999996589</v>
      </c>
      <c r="FC21">
        <f>BW22-Table2[[#This Row],[7F3 CLC Power Panel]]</f>
        <v>263.87199999997392</v>
      </c>
      <c r="FD21">
        <f>(CI22-Table2[[#This Row],[PDB - 17 CLC Section ]])*1000</f>
        <v>169.99999999998749</v>
      </c>
      <c r="FE21">
        <f>(W22-Table2[[#This Row],[13F3 Water &amp; Lift Old CK]])*1000</f>
        <v>713.00000000019281</v>
      </c>
      <c r="FF21">
        <f>AA22-Table2[[#This Row],[15F2 New ETP Panel]]</f>
        <v>275.96799999999348</v>
      </c>
      <c r="FG21">
        <f>AL22-Table2[[#This Row],[3F4 Old ETP Panel]]</f>
        <v>77.600000000034925</v>
      </c>
      <c r="FH21">
        <f>AF22-Table2[[#This Row],[2F1 RO Plant]]</f>
        <v>663.93599999998696</v>
      </c>
      <c r="FI21">
        <f>AK22-Table2[[#This Row],[3F3 Fire Hydrant Panel]]</f>
        <v>10.759999999994761</v>
      </c>
      <c r="FJ21">
        <f>R22-Table2[[#This Row],[7F1 Freon System Panel]]</f>
        <v>5909.7600000007078</v>
      </c>
      <c r="FK21">
        <f>(AE22-Table2[[#This Row],[21F1 Refrigeration Ammonia]])*1000</f>
        <v>7102.3999999997613</v>
      </c>
      <c r="FL21">
        <f>(AG22-Table2[[#This Row],[2F3 Air Compressor]])*1000</f>
        <v>1048.9999999999782</v>
      </c>
      <c r="FM21">
        <f>(AX22-Table2[[#This Row],[Solar Reading Panel II]])*1000</f>
        <v>3060.9999999996944</v>
      </c>
      <c r="FN21">
        <f>AI22-Table2[[#This Row],[3F1 Maintenance Workshop]]</f>
        <v>7.1231999999999971</v>
      </c>
      <c r="FO21">
        <f>BD22-Table2[[#This Row],[4F B2B unit ]]</f>
        <v>59.135999999998603</v>
      </c>
      <c r="FP21">
        <f>BL22-Table2[[#This Row],[2F1 - PDB 6 - Bread, B2B section]]</f>
        <v>127.70560000000114</v>
      </c>
      <c r="FQ21" s="1">
        <f>(CG22-Table2[[#This Row],[9F5 - PDB 14 - Bread Lift]])</f>
        <v>10.463999998988584</v>
      </c>
      <c r="FR21">
        <f>CJ22-Table2[[#This Row],[PDB - 16 Bread Section]]</f>
        <v>2.7000000000000455</v>
      </c>
      <c r="FS21">
        <f>BU22-Table2[[#This Row],[7F1 Donut Production area]]</f>
        <v>261.11999999999534</v>
      </c>
      <c r="FT21">
        <f>CB22-Table2[[#This Row],[8F5 Donut Ban Bary]]</f>
        <v>71.592000000004191</v>
      </c>
      <c r="FU21">
        <f>CF22-Table2[[#This Row],[9F4 - PDB 13 - Donut Sink Geyser area]]</f>
        <v>33.551999999996042</v>
      </c>
      <c r="FV21">
        <f>BV22-Table2[[#This Row],[7F2 Flour Silo]]</f>
        <v>635.11999999999534</v>
      </c>
      <c r="FW21">
        <f>BY22-Table2[[#This Row],[8F2 ACPDB - 3 SILO Ventilation]]</f>
        <v>48.880000000004657</v>
      </c>
      <c r="FX21">
        <f>J22-Table2[[#This Row],[DG 1010KVA Running Hours]]</f>
        <v>0</v>
      </c>
      <c r="FY21">
        <f>K22-Table2[[#This Row],[DG 1010 KVA Meter Reading]]</f>
        <v>0</v>
      </c>
      <c r="FZ21">
        <f>L22-Table2[[#This Row],[GG 1010 KVA Running Hours]]</f>
        <v>0</v>
      </c>
      <c r="GA21">
        <f>M22-Table2[[#This Row],[GG 1010 KVA Meter Reading]]</f>
        <v>0</v>
      </c>
    </row>
    <row r="22" spans="1:183" x14ac:dyDescent="0.35">
      <c r="A22" s="1">
        <v>32</v>
      </c>
      <c r="B22" s="2">
        <v>46220.402141203704</v>
      </c>
      <c r="C22" s="2">
        <v>46220.440358796295</v>
      </c>
      <c r="D22" s="1" t="s">
        <v>111</v>
      </c>
      <c r="E22" s="1"/>
      <c r="F22" s="1"/>
      <c r="G22" s="3">
        <v>46220</v>
      </c>
      <c r="H22" s="1" t="s">
        <v>186</v>
      </c>
      <c r="I22" s="6">
        <v>5874.6220000000003</v>
      </c>
      <c r="J22" s="6">
        <v>4248.8</v>
      </c>
      <c r="K22" s="6">
        <v>1765872</v>
      </c>
      <c r="L22" s="6">
        <v>430</v>
      </c>
      <c r="M22" s="6">
        <v>179.23</v>
      </c>
      <c r="N22" s="6">
        <v>1852512.48</v>
      </c>
      <c r="O22" s="6">
        <v>4567972.4800000004</v>
      </c>
      <c r="P22" s="6">
        <v>638995.52</v>
      </c>
      <c r="Q22" s="6">
        <v>8041970.5599999996</v>
      </c>
      <c r="R22" s="6">
        <v>5439889.2800000003</v>
      </c>
      <c r="S22" s="6">
        <v>7308414.0800000001</v>
      </c>
      <c r="T22" s="6">
        <v>42555457.615999997</v>
      </c>
      <c r="U22" s="6">
        <v>2080538.56</v>
      </c>
      <c r="V22" s="6">
        <v>5085818.8799999999</v>
      </c>
      <c r="W22" s="6">
        <v>1581.1871000000001</v>
      </c>
      <c r="X22" s="6">
        <v>769124.8</v>
      </c>
      <c r="Y22" s="6">
        <v>1070277.52</v>
      </c>
      <c r="Z22" s="6">
        <v>2777.8894</v>
      </c>
      <c r="AA22" s="6">
        <v>663544.38399999996</v>
      </c>
      <c r="AB22" s="6">
        <v>421079.74400000001</v>
      </c>
      <c r="AC22" s="6">
        <v>2126119.04</v>
      </c>
      <c r="AD22" s="6">
        <v>2505682.591</v>
      </c>
      <c r="AE22" s="6">
        <v>12687.1736</v>
      </c>
      <c r="AF22" s="6">
        <v>865889.02399999998</v>
      </c>
      <c r="AG22" s="6">
        <v>1379.537</v>
      </c>
      <c r="AH22" s="6">
        <v>131489.51199999999</v>
      </c>
      <c r="AI22" s="6">
        <v>14534.1872</v>
      </c>
      <c r="AJ22" s="6">
        <v>145310.49600000001</v>
      </c>
      <c r="AK22" s="6">
        <v>105033.848</v>
      </c>
      <c r="AL22" s="6">
        <v>329294.65600000002</v>
      </c>
      <c r="AM22" s="6">
        <v>981.01599999999996</v>
      </c>
      <c r="AN22" s="6">
        <v>274</v>
      </c>
      <c r="AO22" s="6">
        <v>7.8</v>
      </c>
      <c r="AP22" s="6">
        <v>288673</v>
      </c>
      <c r="AQ22" s="6">
        <v>42305</v>
      </c>
      <c r="AR22" s="6">
        <v>41760</v>
      </c>
      <c r="AS22" s="6">
        <v>0</v>
      </c>
      <c r="AT22" s="6">
        <v>0</v>
      </c>
      <c r="AU22" s="6">
        <v>15220</v>
      </c>
      <c r="AV22" s="6">
        <v>6144</v>
      </c>
      <c r="AW22" s="6">
        <v>20.8094</v>
      </c>
      <c r="AX22" s="6">
        <v>7197.7089999999998</v>
      </c>
      <c r="AY22" s="6">
        <v>676.61375999999996</v>
      </c>
      <c r="AZ22" s="6">
        <v>20.788</v>
      </c>
      <c r="BA22" s="6">
        <v>10056</v>
      </c>
      <c r="BB22" s="6">
        <v>44.000999999999998</v>
      </c>
      <c r="BC22" s="6">
        <v>113985.16</v>
      </c>
      <c r="BD22" s="6">
        <v>274966.78399999999</v>
      </c>
      <c r="BE22" s="6">
        <v>3704.1435999999999</v>
      </c>
      <c r="BF22" s="6">
        <v>1712.0419999999999</v>
      </c>
      <c r="BG22" s="6">
        <v>74.501999999999995</v>
      </c>
      <c r="BH22" s="6">
        <v>358.43799999999999</v>
      </c>
      <c r="BI22" s="6">
        <v>907.178</v>
      </c>
      <c r="BJ22" s="6">
        <v>13.882</v>
      </c>
      <c r="BK22" s="6">
        <v>559.40300000000002</v>
      </c>
      <c r="BL22" s="6">
        <v>69413.9712</v>
      </c>
      <c r="BM22" s="6">
        <v>300869.02399999998</v>
      </c>
      <c r="BN22" s="6">
        <v>7158.7431999999999</v>
      </c>
      <c r="BO22" s="6">
        <v>53528.883199999997</v>
      </c>
      <c r="BP22" s="6">
        <v>312274.304</v>
      </c>
      <c r="BQ22" s="6">
        <v>321.77100000000002</v>
      </c>
      <c r="BR22" s="6">
        <v>179.33099999999999</v>
      </c>
      <c r="BS22" s="6">
        <v>990229.255</v>
      </c>
      <c r="BT22" s="6">
        <v>1400570.4920000001</v>
      </c>
      <c r="BU22" s="6">
        <v>625773.31200000003</v>
      </c>
      <c r="BV22" s="6">
        <v>1014599.36</v>
      </c>
      <c r="BW22" s="6">
        <v>564679.23199999996</v>
      </c>
      <c r="BX22" s="6">
        <v>958824.12800000003</v>
      </c>
      <c r="BY22" s="6">
        <v>156911.61600000001</v>
      </c>
      <c r="BZ22" s="6">
        <v>114255.61599999999</v>
      </c>
      <c r="CA22" s="6">
        <v>1199.0679</v>
      </c>
      <c r="CB22" s="6">
        <v>107835.808</v>
      </c>
      <c r="CC22" s="6">
        <v>148617.20000000001</v>
      </c>
      <c r="CD22" s="6">
        <v>443446.94400000002</v>
      </c>
      <c r="CE22" s="6">
        <v>49125.260799999996</v>
      </c>
      <c r="CF22" s="6">
        <v>155532.81599999999</v>
      </c>
      <c r="CG22" s="6">
        <v>360790.76959999901</v>
      </c>
      <c r="CH22" s="6">
        <v>2385.8710000000001</v>
      </c>
      <c r="CI22" s="6">
        <v>211.994</v>
      </c>
      <c r="CJ22" s="6">
        <v>1175.7</v>
      </c>
      <c r="CK22" s="6">
        <v>77.313999999999993</v>
      </c>
      <c r="CL22" s="6">
        <v>725.04499999999996</v>
      </c>
      <c r="CM22" s="6">
        <v>551.4</v>
      </c>
      <c r="CN22" s="6">
        <v>38383.699999999997</v>
      </c>
      <c r="CO22" s="6">
        <v>1637.711</v>
      </c>
      <c r="CP22" s="6">
        <v>291937.24599999998</v>
      </c>
      <c r="CQ22" s="6">
        <v>3665167.36</v>
      </c>
      <c r="CR22" s="6">
        <v>130053.60799999999</v>
      </c>
      <c r="CS22" s="6">
        <v>509453.18400000001</v>
      </c>
      <c r="CT22" s="6">
        <v>2879713.1209999998</v>
      </c>
      <c r="CU22" s="6">
        <v>294405.27799999999</v>
      </c>
      <c r="CV22" s="6">
        <v>30124.070400000001</v>
      </c>
      <c r="CW22" s="6">
        <v>62512.6656</v>
      </c>
      <c r="CX22" s="6">
        <v>33342.144</v>
      </c>
      <c r="CY22" s="6">
        <v>165696.20800000001</v>
      </c>
      <c r="CZ22" s="6">
        <v>216814.35200000001</v>
      </c>
      <c r="DA22" s="6">
        <v>17796.3</v>
      </c>
      <c r="DB22" s="6">
        <v>148464.505</v>
      </c>
      <c r="DC22" s="6">
        <v>2936.44</v>
      </c>
      <c r="DD22" s="6">
        <v>2936.31</v>
      </c>
      <c r="DE22" s="6">
        <v>2960.73</v>
      </c>
      <c r="DF22" s="6">
        <v>0.997</v>
      </c>
      <c r="DG22" s="1" t="s">
        <v>245</v>
      </c>
      <c r="DH22" s="4">
        <f>Table2[[#This Row],[Date]]</f>
        <v>46220</v>
      </c>
      <c r="DI22">
        <f>(DD23-Table2[[#This Row],[MWH Total]])*4000</f>
        <v>25559.999999999491</v>
      </c>
      <c r="DJ22">
        <f>(DA23-Table2[[#This Row],[PNG Meter (Outside)]])*2.936</f>
        <v>78.890319999997004</v>
      </c>
      <c r="DK22">
        <f>(DB23-Table2[[#This Row],[PNG Meter (Inside)]])*2.936</f>
        <v>355.61419200000887</v>
      </c>
      <c r="DL22">
        <f>(BH23-Table2[[#This Row],[3F Dough cooler - 2 ]])*1000</f>
        <v>437.99999999998818</v>
      </c>
      <c r="DM22">
        <f>(BI23-Table2[[#This Row],[3F Dough Cooler- 1]])*1000</f>
        <v>477.9999999999518</v>
      </c>
      <c r="DN22">
        <f>(BJ23-Table2[[#This Row],[4F Dough Production cooling Unit]])*1000</f>
        <v>51.000000000000156</v>
      </c>
      <c r="DO22">
        <f>(BQ23-Table2[[#This Row],[3F2 - PDB 3 - Dough Production Area]])*1000</f>
        <v>229.99999999996135</v>
      </c>
      <c r="DP22">
        <f>(BR23-Table2[[#This Row],[3F3 - PDB 4 - Dough Area]])*1000</f>
        <v>123.00000000001887</v>
      </c>
      <c r="DQ22">
        <f>AC23-Table2[[#This Row],[16F1 Tray washer Panel for Light]]</f>
        <v>721.43999999994412</v>
      </c>
      <c r="DR22">
        <f>CQ23-Table2[[#This Row],[2F1 Tray Washer - 1]]</f>
        <v>1196.4799999999814</v>
      </c>
      <c r="DS22">
        <f>CS23-Table2[[#This Row],[2F5 Destacker]]</f>
        <v>401.82399999996414</v>
      </c>
      <c r="DT22">
        <f>CU23-Table2[[#This Row],[5F1 Metering (TW-2)]]</f>
        <v>329.63099999999395</v>
      </c>
      <c r="DU22">
        <f>CV23-Table2[[#This Row],[6F1 Pre soaker Tray washer]]</f>
        <v>6.3999999983934686E-3</v>
      </c>
      <c r="DV22">
        <f>CZ23-Table2[[#This Row],[6F5 Vent tray Storage]]</f>
        <v>91.663999999989755</v>
      </c>
      <c r="DW22">
        <f>I23-Table2[[#This Row],[Popeyes Meter ]]</f>
        <v>62.769999999999527</v>
      </c>
      <c r="DX22">
        <f>AZ23-Table2[[#This Row],[2F WH Chiller, Segregation Area]]</f>
        <v>0</v>
      </c>
      <c r="DY22">
        <f>BA23-Table2[[#This Row],[3F1 AC Unit WH dock cooling - 2 Nos]]</f>
        <v>23</v>
      </c>
      <c r="DZ22">
        <f>BB23-Table2[[#This Row],[3F2 AC Unit WH dock cooling - 3 Nos]]</f>
        <v>4.8000000000001819E-2</v>
      </c>
      <c r="EA22">
        <f>(BK23-Table2[[#This Row],[5F WH Perishable]])*1000</f>
        <v>281.99999999992542</v>
      </c>
      <c r="EB22">
        <f>BN23-Table2[[#This Row],[2F3 - PDB 9 - WH Dock Leveler Door ]]</f>
        <v>3.633600000000115</v>
      </c>
      <c r="EC22">
        <f>BP23-Table2[[#This Row],[3F1 - PDB 5 - WH HSD]]</f>
        <v>147.03999999997905</v>
      </c>
      <c r="ED22">
        <f>BX23-Table2[[#This Row],[8F1 WH Dock AHU - Ventilation]]</f>
        <v>2292.2239999999292</v>
      </c>
      <c r="EE22">
        <f>BZ23-Table2[[#This Row],[8F3 ACPDB - 4 WH Dock air curtain]]</f>
        <v>4.6240000000107102</v>
      </c>
      <c r="EF22">
        <f>CA23-Table2[[#This Row],[8F4 WH Light]]</f>
        <v>2.7162000000000717</v>
      </c>
      <c r="EG22">
        <f>CC23-Table2[[#This Row],[9F1 - PDB 10 - WH Dock door &amp; Office]]</f>
        <v>164.63999999998487</v>
      </c>
      <c r="EH22">
        <f>CD23-Table2[[#This Row],[9F2 - PDB 11 - WH flycatchers]]</f>
        <v>237.37599999998929</v>
      </c>
      <c r="EI22">
        <f>CE23-Table2[[#This Row],[9F3 - PDB 12 - Other items]]</f>
        <v>0</v>
      </c>
      <c r="EJ22">
        <f>CR23-Table2[[#This Row],[2F3 - PDB 1 - Dock 1 to 4 ]]</f>
        <v>75.240000000005239</v>
      </c>
      <c r="EK22">
        <f>BM23-Table2[[#This Row],[2F2 - PDB 3 - WH Truck &amp; Battery Charging]]</f>
        <v>500.92800000001444</v>
      </c>
      <c r="EL22">
        <f>(CK23-Table2[[#This Row],[PDB - 11 Truck Charging]])*1000</f>
        <v>58.000000000006935</v>
      </c>
      <c r="EM22">
        <f>P23-Table2[[#This Row],[5F3 Admin Area]]</f>
        <v>405.37599999993108</v>
      </c>
      <c r="EN22">
        <f>AH23-Table2[[#This Row],[2F5 Main Gate-1 Piller -1]]</f>
        <v>121.25600000002305</v>
      </c>
      <c r="EO22">
        <f>CW23-Table2[[#This Row],[6F2 Ground Floor AC]]</f>
        <v>31.500800000001618</v>
      </c>
      <c r="EP22">
        <f>CX23-Table2[[#This Row],[6F3 ACBD -1 (First floor AC)]]</f>
        <v>12.918400000002293</v>
      </c>
      <c r="EQ22">
        <f>CY23-Table2[[#This Row],[6F4 ACBD - 2 (Second &amp; Third floor AC)]]</f>
        <v>162.68799999999464</v>
      </c>
      <c r="ER22">
        <f>(BC23-Table2[[#This Row],[4F Old BMC cooling Unit]])</f>
        <v>0.22400000000197906</v>
      </c>
      <c r="ES22">
        <f>BO23-Table2[[#This Row],[2F4 - Old BMC]]</f>
        <v>3.0304000000032829</v>
      </c>
      <c r="ET22">
        <f>Y23-Table2[[#This Row],[14F2 New CK]]</f>
        <v>1462.9599999999627</v>
      </c>
      <c r="EU22">
        <f>(CL23-Table2[[#This Row],[OLD Ck Panel-1]])*1000</f>
        <v>718.00000000007458</v>
      </c>
      <c r="EV22">
        <f>CM23-Table2[[#This Row],[2F4 Old CK Blast (Blue star)]]</f>
        <v>0</v>
      </c>
      <c r="EW22">
        <f>CN23-Table2[[#This Row],[3F6 Old CK Blast (Carrier)]]</f>
        <v>570.20000000000437</v>
      </c>
      <c r="EX22">
        <f>(CO23-Table2[[#This Row],[Old CK Panel -2]])*1000</f>
        <v>1095.0000000000273</v>
      </c>
      <c r="EY22">
        <f>N23-Table2[[#This Row],[4F1 Main UPS 1/C -1]]</f>
        <v>903.19999999995343</v>
      </c>
      <c r="EZ22">
        <f>Z23-Table2[[#This Row],[15F1 Main UPS Panel - I/C - 2]]</f>
        <v>0</v>
      </c>
      <c r="FA22">
        <f>BF23-Table2[[#This Row],[2F CLC -1 AC unit - 2]]</f>
        <v>0</v>
      </c>
      <c r="FB22">
        <f>(BG23-Table2[[#This Row],[2F CLC Anti room]])*1000</f>
        <v>34.000000000006025</v>
      </c>
      <c r="FC22">
        <f>BW23-Table2[[#This Row],[7F3 CLC Power Panel]]</f>
        <v>243.26400000008289</v>
      </c>
      <c r="FD22">
        <f>(CI23-Table2[[#This Row],[PDB - 17 CLC Section ]])*1000</f>
        <v>157.00000000001069</v>
      </c>
      <c r="FE22">
        <f>(W23-Table2[[#This Row],[13F3 Water &amp; Lift Old CK]])*1000</f>
        <v>707.40000000000691</v>
      </c>
      <c r="FF22">
        <f>AA23-Table2[[#This Row],[15F2 New ETP Panel]]</f>
        <v>264</v>
      </c>
      <c r="FG22">
        <f>AL23-Table2[[#This Row],[3F4 Old ETP Panel]]</f>
        <v>84.511999999987893</v>
      </c>
      <c r="FH22">
        <f>AF23-Table2[[#This Row],[2F1 RO Plant]]</f>
        <v>622.40000000002328</v>
      </c>
      <c r="FI22">
        <f>AK23-Table2[[#This Row],[3F3 Fire Hydrant Panel]]</f>
        <v>10.559999999997672</v>
      </c>
      <c r="FJ22">
        <f>R23-Table2[[#This Row],[7F1 Freon System Panel]]</f>
        <v>5767.0400000000373</v>
      </c>
      <c r="FK22">
        <f>(AE23-Table2[[#This Row],[21F1 Refrigeration Ammonia]])*1000</f>
        <v>6636.8000000002212</v>
      </c>
      <c r="FL22">
        <f>(AG23-Table2[[#This Row],[2F3 Air Compressor]])*1000</f>
        <v>1049.9999999999545</v>
      </c>
      <c r="FM22">
        <f>(AX23-Table2[[#This Row],[Solar Reading Panel II]])*1000</f>
        <v>1890.0000000003274</v>
      </c>
      <c r="FN22">
        <f>AI23-Table2[[#This Row],[3F1 Maintenance Workshop]]</f>
        <v>5.9231999999992695</v>
      </c>
      <c r="FO22">
        <f>BD23-Table2[[#This Row],[4F B2B unit ]]</f>
        <v>57.92000000004191</v>
      </c>
      <c r="FP22">
        <f>BL23-Table2[[#This Row],[2F1 - PDB 6 - Bread, B2B section]]</f>
        <v>63.897599999996601</v>
      </c>
      <c r="FQ22">
        <f>(CG23-Table2[[#This Row],[9F5 - PDB 14 - Bread Lift]])</f>
        <v>9.6688000009744428</v>
      </c>
      <c r="FR22">
        <f>CJ23-Table2[[#This Row],[PDB - 16 Bread Section]]</f>
        <v>0.70000000000004547</v>
      </c>
      <c r="FS22">
        <f>BU23-Table2[[#This Row],[7F1 Donut Production area]]</f>
        <v>264</v>
      </c>
      <c r="FT22">
        <f>CB23-Table2[[#This Row],[8F5 Donut Ban Bary]]</f>
        <v>60.815999999991618</v>
      </c>
      <c r="FU22">
        <f>CF23-Table2[[#This Row],[9F4 - PDB 13 - Donut Sink Geyser area]]</f>
        <v>22.736000000004424</v>
      </c>
      <c r="FV22">
        <f>BV23-Table2[[#This Row],[7F2 Flour Silo]]</f>
        <v>440.80000000004657</v>
      </c>
      <c r="FW22">
        <f>BY23-Table2[[#This Row],[8F2 ACPDB - 3 SILO Ventilation]]</f>
        <v>47.903999999980442</v>
      </c>
      <c r="FX22">
        <f>J23-Table2[[#This Row],[DG 1010KVA Running Hours]]</f>
        <v>0</v>
      </c>
      <c r="FY22">
        <f>K23-Table2[[#This Row],[DG 1010 KVA Meter Reading]]</f>
        <v>0</v>
      </c>
      <c r="FZ22">
        <f>L23-Table2[[#This Row],[GG 1010 KVA Running Hours]]</f>
        <v>0</v>
      </c>
      <c r="GA22">
        <f>M23-Table2[[#This Row],[GG 1010 KVA Meter Reading]]</f>
        <v>0</v>
      </c>
    </row>
    <row r="23" spans="1:183" x14ac:dyDescent="0.35">
      <c r="A23" s="1">
        <v>33</v>
      </c>
      <c r="B23" s="2">
        <v>46221.384212962963</v>
      </c>
      <c r="C23" s="2">
        <v>46221.42454861111</v>
      </c>
      <c r="D23" s="1" t="s">
        <v>111</v>
      </c>
      <c r="E23" s="1"/>
      <c r="F23" s="1"/>
      <c r="G23" s="3">
        <v>46221</v>
      </c>
      <c r="H23" s="1" t="s">
        <v>186</v>
      </c>
      <c r="I23" s="6">
        <v>5937.3919999999998</v>
      </c>
      <c r="J23" s="6">
        <v>4248.8</v>
      </c>
      <c r="K23" s="6">
        <v>1765872</v>
      </c>
      <c r="L23" s="6">
        <v>430</v>
      </c>
      <c r="M23" s="6">
        <v>179.23</v>
      </c>
      <c r="N23" s="6">
        <v>1853415.68</v>
      </c>
      <c r="O23" s="6">
        <v>4569742.08</v>
      </c>
      <c r="P23" s="6">
        <v>639400.89599999995</v>
      </c>
      <c r="Q23" s="6">
        <v>8044670.0800000001</v>
      </c>
      <c r="R23" s="6">
        <v>5445656.3200000003</v>
      </c>
      <c r="S23" s="6">
        <v>7311852.7999999998</v>
      </c>
      <c r="T23" s="6">
        <v>43001661.991999999</v>
      </c>
      <c r="U23" s="6">
        <v>2081671.04</v>
      </c>
      <c r="V23" s="6">
        <v>5087625.92</v>
      </c>
      <c r="W23" s="6">
        <v>1581.8945000000001</v>
      </c>
      <c r="X23" s="6">
        <v>769463.23199999996</v>
      </c>
      <c r="Y23" s="6">
        <v>1071740.48</v>
      </c>
      <c r="Z23" s="6">
        <v>2777.8894</v>
      </c>
      <c r="AA23" s="6">
        <v>663808.38399999996</v>
      </c>
      <c r="AB23" s="6">
        <v>421090.20799999998</v>
      </c>
      <c r="AC23" s="6">
        <v>2126840.48</v>
      </c>
      <c r="AD23" s="6">
        <v>3826843.4419999998</v>
      </c>
      <c r="AE23" s="6">
        <v>12693.8104</v>
      </c>
      <c r="AF23" s="6">
        <v>866511.424</v>
      </c>
      <c r="AG23" s="6">
        <v>1380.587</v>
      </c>
      <c r="AH23" s="6">
        <v>131610.76800000001</v>
      </c>
      <c r="AI23" s="6">
        <v>14540.1104</v>
      </c>
      <c r="AJ23" s="6">
        <v>145314.32</v>
      </c>
      <c r="AK23" s="6">
        <v>105044.408</v>
      </c>
      <c r="AL23" s="6">
        <v>329379.16800000001</v>
      </c>
      <c r="AM23" s="6">
        <v>981.58</v>
      </c>
      <c r="AN23" s="6">
        <v>267.89999999999998</v>
      </c>
      <c r="AO23" s="6">
        <v>7.3</v>
      </c>
      <c r="AP23" s="6">
        <v>298307</v>
      </c>
      <c r="AQ23" s="6">
        <v>42305</v>
      </c>
      <c r="AR23" s="6">
        <v>41760</v>
      </c>
      <c r="AS23" s="6">
        <v>0</v>
      </c>
      <c r="AT23" s="6">
        <v>0</v>
      </c>
      <c r="AU23" s="6">
        <v>15243</v>
      </c>
      <c r="AV23" s="6">
        <v>6161</v>
      </c>
      <c r="AW23" s="6">
        <v>20.815861999999999</v>
      </c>
      <c r="AX23" s="6">
        <v>7199.5990000000002</v>
      </c>
      <c r="AY23" s="6">
        <v>676.76423999999997</v>
      </c>
      <c r="AZ23" s="6">
        <v>20.788</v>
      </c>
      <c r="BA23" s="6">
        <v>10079</v>
      </c>
      <c r="BB23" s="6">
        <v>44.048999999999999</v>
      </c>
      <c r="BC23" s="6">
        <v>113985.38400000001</v>
      </c>
      <c r="BD23" s="6">
        <v>275024.70400000003</v>
      </c>
      <c r="BE23" s="6">
        <v>3705.4748</v>
      </c>
      <c r="BF23" s="6">
        <v>1712.0419999999999</v>
      </c>
      <c r="BG23" s="6">
        <v>74.536000000000001</v>
      </c>
      <c r="BH23" s="6">
        <v>358.87599999999998</v>
      </c>
      <c r="BI23" s="6">
        <v>907.65599999999995</v>
      </c>
      <c r="BJ23" s="6">
        <v>13.933</v>
      </c>
      <c r="BK23" s="6">
        <v>559.68499999999995</v>
      </c>
      <c r="BL23" s="6">
        <v>69477.868799999997</v>
      </c>
      <c r="BM23" s="6">
        <v>301369.95199999999</v>
      </c>
      <c r="BN23" s="6">
        <v>7162.3768</v>
      </c>
      <c r="BO23" s="6">
        <v>53531.9136</v>
      </c>
      <c r="BP23" s="6">
        <v>312421.34399999998</v>
      </c>
      <c r="BQ23" s="6">
        <v>322.00099999999998</v>
      </c>
      <c r="BR23" s="6">
        <v>179.45400000000001</v>
      </c>
      <c r="BS23" s="6">
        <v>991340.29099999997</v>
      </c>
      <c r="BT23" s="6">
        <v>1400574.36</v>
      </c>
      <c r="BU23" s="6">
        <v>626037.31200000003</v>
      </c>
      <c r="BV23" s="6">
        <v>1015040.16</v>
      </c>
      <c r="BW23" s="6">
        <v>564922.49600000004</v>
      </c>
      <c r="BX23" s="6">
        <v>961116.35199999996</v>
      </c>
      <c r="BY23" s="6">
        <v>156959.51999999999</v>
      </c>
      <c r="BZ23" s="6">
        <v>114260.24</v>
      </c>
      <c r="CA23" s="6">
        <v>1201.7841000000001</v>
      </c>
      <c r="CB23" s="6">
        <v>107896.624</v>
      </c>
      <c r="CC23" s="6">
        <v>148781.84</v>
      </c>
      <c r="CD23" s="6">
        <v>443684.32</v>
      </c>
      <c r="CE23" s="6">
        <v>49125.260799999996</v>
      </c>
      <c r="CF23" s="6">
        <v>155555.552</v>
      </c>
      <c r="CG23" s="6">
        <v>360800.43839999998</v>
      </c>
      <c r="CH23" s="6">
        <v>2385.8710000000001</v>
      </c>
      <c r="CI23" s="6">
        <v>212.15100000000001</v>
      </c>
      <c r="CJ23" s="6">
        <v>1176.4000000000001</v>
      </c>
      <c r="CK23" s="6">
        <v>77.372</v>
      </c>
      <c r="CL23" s="6">
        <v>725.76300000000003</v>
      </c>
      <c r="CM23" s="6">
        <v>551.4</v>
      </c>
      <c r="CN23" s="6">
        <v>38953.9</v>
      </c>
      <c r="CO23" s="6">
        <v>1638.806</v>
      </c>
      <c r="CP23" s="6">
        <v>292071.95199999999</v>
      </c>
      <c r="CQ23" s="6">
        <v>3666363.84</v>
      </c>
      <c r="CR23" s="6">
        <v>130128.848</v>
      </c>
      <c r="CS23" s="6">
        <v>509855.00799999997</v>
      </c>
      <c r="CT23" s="6">
        <v>2883227.7769999998</v>
      </c>
      <c r="CU23" s="6">
        <v>294734.90899999999</v>
      </c>
      <c r="CV23" s="6">
        <v>30124.076799999999</v>
      </c>
      <c r="CW23" s="6">
        <v>62544.166400000002</v>
      </c>
      <c r="CX23" s="6">
        <v>33355.062400000003</v>
      </c>
      <c r="CY23" s="6">
        <v>165858.89600000001</v>
      </c>
      <c r="CZ23" s="6">
        <v>216906.016</v>
      </c>
      <c r="DA23" s="6">
        <v>17823.169999999998</v>
      </c>
      <c r="DB23" s="6">
        <v>148585.62700000001</v>
      </c>
      <c r="DC23" s="6">
        <v>2942.81</v>
      </c>
      <c r="DD23" s="6">
        <v>2942.7</v>
      </c>
      <c r="DE23" s="6">
        <v>2967.43</v>
      </c>
      <c r="DF23" s="6">
        <v>0.998</v>
      </c>
      <c r="DG23" s="1" t="s">
        <v>246</v>
      </c>
      <c r="DH23" s="4">
        <f>Table2[[#This Row],[Date]]</f>
        <v>46221</v>
      </c>
      <c r="DI23">
        <f>(DD24-Table2[[#This Row],[MWH Total]])*4000</f>
        <v>26400.000000001455</v>
      </c>
      <c r="DJ23">
        <f>(DA24-Table2[[#This Row],[PNG Meter (Outside)]])*2.936</f>
        <v>9.4539200000034178</v>
      </c>
      <c r="DK23">
        <f>(DB24-Table2[[#This Row],[PNG Meter (Inside)]])*2.936</f>
        <v>179.67732800001161</v>
      </c>
      <c r="DL23">
        <f>(BH24-Table2[[#This Row],[3F Dough cooler - 2 ]])*1000</f>
        <v>326.99999999999818</v>
      </c>
      <c r="DM23">
        <f>(BI24-Table2[[#This Row],[3F Dough Cooler- 1]])*1000</f>
        <v>355.99999999999454</v>
      </c>
      <c r="DN23">
        <f>(BJ24-Table2[[#This Row],[4F Dough Production cooling Unit]])*1000</f>
        <v>22.999999999999687</v>
      </c>
      <c r="DO23">
        <f>(BQ24-Table2[[#This Row],[3F2 - PDB 3 - Dough Production Area]])*1000</f>
        <v>124.00000000002365</v>
      </c>
      <c r="DP23">
        <f>(BR24-Table2[[#This Row],[3F3 - PDB 4 - Dough Area]])*1000</f>
        <v>66.000000000002501</v>
      </c>
      <c r="DQ23">
        <f>AC24-Table2[[#This Row],[16F1 Tray washer Panel for Light]]</f>
        <v>629.60000000009313</v>
      </c>
      <c r="DR23">
        <f>CQ24-Table2[[#This Row],[2F1 Tray Washer - 1]]</f>
        <v>719.36000000033528</v>
      </c>
      <c r="DS23">
        <f>CS24-Table2[[#This Row],[2F5 Destacker]]</f>
        <v>223.26400000002468</v>
      </c>
      <c r="DT23">
        <f>CU24-Table2[[#This Row],[5F1 Metering (TW-2)]]</f>
        <v>198.56300000002375</v>
      </c>
      <c r="DU23">
        <f>CV24-Table2[[#This Row],[6F1 Pre soaker Tray washer]]</f>
        <v>0</v>
      </c>
      <c r="DV23">
        <f>CZ24-Table2[[#This Row],[6F5 Vent tray Storage]]</f>
        <v>31.440000000002328</v>
      </c>
      <c r="DW23">
        <f>I24-Table2[[#This Row],[Popeyes Meter ]]</f>
        <v>14.940000000000509</v>
      </c>
      <c r="DX23">
        <f>AZ24-Table2[[#This Row],[2F WH Chiller, Segregation Area]]</f>
        <v>0</v>
      </c>
      <c r="DY23">
        <f>BA24-Table2[[#This Row],[3F1 AC Unit WH dock cooling - 2 Nos]]</f>
        <v>17</v>
      </c>
      <c r="DZ23">
        <f>BB24-Table2[[#This Row],[3F2 AC Unit WH dock cooling - 3 Nos]]</f>
        <v>4.1000000000003922E-2</v>
      </c>
      <c r="EA23" s="1">
        <f>(BK24-Table2[[#This Row],[5F WH Perishable]])*1000</f>
        <v>312.00000000001182</v>
      </c>
      <c r="EB23">
        <f>BN24-Table2[[#This Row],[2F3 - PDB 9 - WH Dock Leveler Door ]]</f>
        <v>7.5200000000222644E-2</v>
      </c>
      <c r="EC23">
        <f>BP24-Table2[[#This Row],[3F1 - PDB 5 - WH HSD]]</f>
        <v>105.11999999999534</v>
      </c>
      <c r="ED23">
        <f>BX24-Table2[[#This Row],[8F1 WH Dock AHU - Ventilation]]</f>
        <v>1823.1680000000633</v>
      </c>
      <c r="EE23">
        <f>BZ24-Table2[[#This Row],[8F3 ACPDB - 4 WH Dock air curtain]]</f>
        <v>6.4399999999877764</v>
      </c>
      <c r="EF23">
        <f>CA24-Table2[[#This Row],[8F4 WH Light]]</f>
        <v>2.1720000000000255</v>
      </c>
      <c r="EG23">
        <f>CC24-Table2[[#This Row],[9F1 - PDB 10 - WH Dock door &amp; Office]]</f>
        <v>144.54399999999441</v>
      </c>
      <c r="EH23">
        <f>CD24-Table2[[#This Row],[9F2 - PDB 11 - WH flycatchers]]</f>
        <v>166.49599999998463</v>
      </c>
      <c r="EI23">
        <f>CE24-Table2[[#This Row],[9F3 - PDB 12 - Other items]]</f>
        <v>0</v>
      </c>
      <c r="EJ23">
        <f>CR24-Table2[[#This Row],[2F3 - PDB 1 - Dock 1 to 4 ]]</f>
        <v>68.168000000005122</v>
      </c>
      <c r="EK23">
        <f>BM24-Table2[[#This Row],[2F2 - PDB 3 - WH Truck &amp; Battery Charging]]</f>
        <v>602.88000000000466</v>
      </c>
      <c r="EL23">
        <f>(CK24-Table2[[#This Row],[PDB - 11 Truck Charging]])*1000</f>
        <v>61.000000000007049</v>
      </c>
      <c r="EM23">
        <f>P24-Table2[[#This Row],[5F3 Admin Area]]</f>
        <v>359.29600000008941</v>
      </c>
      <c r="EN23">
        <f>AH24-Table2[[#This Row],[2F5 Main Gate-1 Piller -1]]</f>
        <v>123</v>
      </c>
      <c r="EO23">
        <f>CW24-Table2[[#This Row],[6F2 Ground Floor AC]]</f>
        <v>10.675199999997858</v>
      </c>
      <c r="EP23">
        <f>CX24-Table2[[#This Row],[6F3 ACBD -1 (First floor AC)]]</f>
        <v>11.577599999996892</v>
      </c>
      <c r="EQ23">
        <f>CY24-Table2[[#This Row],[6F4 ACBD - 2 (Second &amp; Third floor AC)]]</f>
        <v>129.11999999999534</v>
      </c>
      <c r="ER23">
        <f>(BC24-Table2[[#This Row],[4F Old BMC cooling Unit]])</f>
        <v>3.2239999999874271</v>
      </c>
      <c r="ES23">
        <f>BO24-Table2[[#This Row],[2F4 - Old BMC]]</f>
        <v>0.61439999999856809</v>
      </c>
      <c r="ET23">
        <f>Y24-Table2[[#This Row],[14F2 New CK]]</f>
        <v>1095.7600000000093</v>
      </c>
      <c r="EU23">
        <f>(CL24-Table2[[#This Row],[OLD Ck Panel-1]])*1000</f>
        <v>557.99999999999272</v>
      </c>
      <c r="EV23">
        <f>CM24-Table2[[#This Row],[2F4 Old CK Blast (Blue star)]]</f>
        <v>0</v>
      </c>
      <c r="EW23">
        <f>CN24-Table2[[#This Row],[3F6 Old CK Blast (Carrier)]]</f>
        <v>463.69999999999709</v>
      </c>
      <c r="EX23">
        <f>(CO24-Table2[[#This Row],[Old CK Panel -2]])*1000</f>
        <v>875.99999999997635</v>
      </c>
      <c r="EY23">
        <f>N24-Table2[[#This Row],[4F1 Main UPS 1/C -1]]</f>
        <v>755.04000000003725</v>
      </c>
      <c r="EZ23">
        <f>Z24-Table2[[#This Row],[15F1 Main UPS Panel - I/C - 2]]</f>
        <v>0</v>
      </c>
      <c r="FA23">
        <f>BF24-Table2[[#This Row],[2F CLC -1 AC unit - 2]]</f>
        <v>0</v>
      </c>
      <c r="FB23">
        <f>(BG24-Table2[[#This Row],[2F CLC Anti room]])*1000</f>
        <v>28.999999999996362</v>
      </c>
      <c r="FC23">
        <f>BW24-Table2[[#This Row],[7F3 CLC Power Panel]]</f>
        <v>161.79199999989942</v>
      </c>
      <c r="FD23">
        <f>(CI24-Table2[[#This Row],[PDB - 17 CLC Section ]])*1000</f>
        <v>91.999999999984539</v>
      </c>
      <c r="FE23">
        <f>(W24-Table2[[#This Row],[13F3 Water &amp; Lift Old CK]])*1000</f>
        <v>555.59999999991305</v>
      </c>
      <c r="FF23">
        <f>AA24-Table2[[#This Row],[15F2 New ETP Panel]]</f>
        <v>234.49600000004284</v>
      </c>
      <c r="FG23">
        <f>AL24-Table2[[#This Row],[3F4 Old ETP Panel]]</f>
        <v>62.080000000016298</v>
      </c>
      <c r="FH23">
        <f>AF24-Table2[[#This Row],[2F1 RO Plant]]</f>
        <v>462.97600000002421</v>
      </c>
      <c r="FI23">
        <f>AK24-Table2[[#This Row],[3F3 Fire Hydrant Panel]]</f>
        <v>9.0560000000114087</v>
      </c>
      <c r="FJ23">
        <f>R24-Table2[[#This Row],[7F1 Freon System Panel]]</f>
        <v>4809.5999999996275</v>
      </c>
      <c r="FK23">
        <f>(AE24-Table2[[#This Row],[21F1 Refrigeration Ammonia]])*1000</f>
        <v>5526.39999999883</v>
      </c>
      <c r="FL23">
        <f>(AG24-Table2[[#This Row],[2F3 Air Compressor]])*1000</f>
        <v>893.0000000000291</v>
      </c>
      <c r="FM23">
        <f>(AX24-Table2[[#This Row],[Solar Reading Panel II]])*1000</f>
        <v>1890.9999999996217</v>
      </c>
      <c r="FN23">
        <f>AI24-Table2[[#This Row],[3F1 Maintenance Workshop]]</f>
        <v>6.0560000000004948</v>
      </c>
      <c r="FO23">
        <f>BD24-Table2[[#This Row],[4F B2B unit ]]</f>
        <v>24.351999999955297</v>
      </c>
      <c r="FP23">
        <f>BL24-Table2[[#This Row],[2F1 - PDB 6 - Bread, B2B section]]</f>
        <v>12.422900000005029</v>
      </c>
      <c r="FQ23">
        <f>(CG24-Table2[[#This Row],[9F5 - PDB 14 - Bread Lift]])</f>
        <v>0.17919999902369455</v>
      </c>
      <c r="FR23">
        <f>CJ24-Table2[[#This Row],[PDB - 16 Bread Section]]</f>
        <v>0</v>
      </c>
      <c r="FS23">
        <f>BU24-Table2[[#This Row],[7F1 Donut Production area]]</f>
        <v>189.50399999995716</v>
      </c>
      <c r="FT23">
        <f>CB24-Table2[[#This Row],[8F5 Donut Ban Bary]]</f>
        <v>41.911999999996624</v>
      </c>
      <c r="FU23">
        <f>CF24-Table2[[#This Row],[9F4 - PDB 13 - Donut Sink Geyser area]]</f>
        <v>20.288000000000466</v>
      </c>
      <c r="FV23">
        <f>BV24-Table2[[#This Row],[7F2 Flour Silo]]</f>
        <v>338.55999999993946</v>
      </c>
      <c r="FW23">
        <f>BY24-Table2[[#This Row],[8F2 ACPDB - 3 SILO Ventilation]]</f>
        <v>38.208000000013271</v>
      </c>
      <c r="FX23">
        <f>J24-Table2[[#This Row],[DG 1010KVA Running Hours]]</f>
        <v>0.5999999999994543</v>
      </c>
      <c r="FY23">
        <f>K24-Table2[[#This Row],[DG 1010 KVA Meter Reading]]</f>
        <v>204</v>
      </c>
      <c r="FZ23">
        <f>L24-Table2[[#This Row],[GG 1010 KVA Running Hours]]</f>
        <v>1</v>
      </c>
      <c r="GA23">
        <f>M24-Table2[[#This Row],[GG 1010 KVA Meter Reading]]</f>
        <v>0.21999999999999886</v>
      </c>
    </row>
    <row r="24" spans="1:183" x14ac:dyDescent="0.35">
      <c r="A24" s="1">
        <v>34</v>
      </c>
      <c r="B24" s="2">
        <v>46223.385196759256</v>
      </c>
      <c r="C24" s="2">
        <v>46223.410671296297</v>
      </c>
      <c r="D24" s="1" t="s">
        <v>111</v>
      </c>
      <c r="E24" s="1"/>
      <c r="F24" s="1"/>
      <c r="G24" s="3">
        <v>46222</v>
      </c>
      <c r="H24" s="1" t="s">
        <v>186</v>
      </c>
      <c r="I24" s="6">
        <v>5952.3320000000003</v>
      </c>
      <c r="J24" s="6">
        <v>4249.3999999999996</v>
      </c>
      <c r="K24" s="6">
        <v>1766076</v>
      </c>
      <c r="L24" s="6">
        <v>431</v>
      </c>
      <c r="M24" s="6">
        <v>179.45</v>
      </c>
      <c r="N24" s="6">
        <v>1854170.72</v>
      </c>
      <c r="O24" s="6">
        <v>4471224</v>
      </c>
      <c r="P24" s="6">
        <v>639760.19200000004</v>
      </c>
      <c r="Q24" s="6">
        <v>8046089.7999999998</v>
      </c>
      <c r="R24" s="6">
        <v>5450465.9199999999</v>
      </c>
      <c r="S24" s="6">
        <v>7314380.0999999996</v>
      </c>
      <c r="T24" s="6">
        <v>42578695.696999997</v>
      </c>
      <c r="U24" s="6">
        <v>2082679.2</v>
      </c>
      <c r="V24" s="6">
        <v>5089080</v>
      </c>
      <c r="W24" s="6">
        <v>1582.4501</v>
      </c>
      <c r="X24" s="6">
        <v>769678.65599999996</v>
      </c>
      <c r="Y24" s="6">
        <v>1072836.24</v>
      </c>
      <c r="Z24" s="6">
        <v>2777.8894</v>
      </c>
      <c r="AA24" s="6">
        <v>664042.88</v>
      </c>
      <c r="AB24" s="6">
        <v>421099.424</v>
      </c>
      <c r="AC24" s="6">
        <v>2127470.08</v>
      </c>
      <c r="AD24" s="6">
        <v>2520933.1239999998</v>
      </c>
      <c r="AE24" s="6">
        <v>12699.336799999999</v>
      </c>
      <c r="AF24" s="6">
        <v>866974.4</v>
      </c>
      <c r="AG24" s="6">
        <v>1381.48</v>
      </c>
      <c r="AH24" s="6">
        <v>131733.76800000001</v>
      </c>
      <c r="AI24" s="6">
        <v>14546.1664</v>
      </c>
      <c r="AJ24" s="6">
        <v>145319.296</v>
      </c>
      <c r="AK24" s="6">
        <v>105053.46400000001</v>
      </c>
      <c r="AL24" s="6">
        <v>329441.24800000002</v>
      </c>
      <c r="AM24" s="6">
        <v>982.10599999999999</v>
      </c>
      <c r="AN24" s="6">
        <v>251.8</v>
      </c>
      <c r="AO24" s="6">
        <v>7.1</v>
      </c>
      <c r="AP24" s="6">
        <v>306369</v>
      </c>
      <c r="AQ24" s="6">
        <v>42305</v>
      </c>
      <c r="AR24" s="6">
        <v>41760</v>
      </c>
      <c r="AS24" s="6">
        <v>32307</v>
      </c>
      <c r="AT24" s="6">
        <v>22056</v>
      </c>
      <c r="AU24" s="6">
        <v>15286</v>
      </c>
      <c r="AV24" s="6">
        <v>6191</v>
      </c>
      <c r="AW24" s="6">
        <v>20.821148000000001</v>
      </c>
      <c r="AX24" s="6">
        <v>7201.49</v>
      </c>
      <c r="AY24" s="6">
        <v>676.87527999999998</v>
      </c>
      <c r="AZ24" s="6">
        <v>20.788</v>
      </c>
      <c r="BA24" s="6">
        <v>10096</v>
      </c>
      <c r="BB24" s="6">
        <v>44.09</v>
      </c>
      <c r="BC24" s="6">
        <v>113988.60799999999</v>
      </c>
      <c r="BD24" s="6">
        <v>275049.05599999998</v>
      </c>
      <c r="BE24" s="6">
        <v>3786.4659999999999</v>
      </c>
      <c r="BF24" s="6">
        <v>1712.0419999999999</v>
      </c>
      <c r="BG24" s="6">
        <v>74.564999999999998</v>
      </c>
      <c r="BH24" s="6">
        <v>359.20299999999997</v>
      </c>
      <c r="BI24" s="6">
        <v>908.01199999999994</v>
      </c>
      <c r="BJ24" s="6">
        <v>13.956</v>
      </c>
      <c r="BK24" s="6">
        <v>559.99699999999996</v>
      </c>
      <c r="BL24" s="6">
        <v>69490.291700000002</v>
      </c>
      <c r="BM24" s="6">
        <v>301972.83199999999</v>
      </c>
      <c r="BN24" s="6">
        <v>7162.4520000000002</v>
      </c>
      <c r="BO24" s="6">
        <v>53532.527999999998</v>
      </c>
      <c r="BP24" s="6">
        <v>312526.46399999998</v>
      </c>
      <c r="BQ24" s="6">
        <v>322.125</v>
      </c>
      <c r="BR24" s="6">
        <v>179.52</v>
      </c>
      <c r="BS24" s="6">
        <v>992263.85199999996</v>
      </c>
      <c r="BT24" s="6">
        <v>1400576.24</v>
      </c>
      <c r="BU24" s="6">
        <v>626226.81599999999</v>
      </c>
      <c r="BV24" s="6">
        <v>1015378.72</v>
      </c>
      <c r="BW24" s="6">
        <v>565084.28799999994</v>
      </c>
      <c r="BX24" s="6">
        <v>962939.52</v>
      </c>
      <c r="BY24" s="6">
        <v>156997.728</v>
      </c>
      <c r="BZ24" s="6">
        <v>114266.68</v>
      </c>
      <c r="CA24" s="6">
        <v>1203.9561000000001</v>
      </c>
      <c r="CB24" s="6">
        <v>107938.53599999999</v>
      </c>
      <c r="CC24" s="6">
        <v>148926.38399999999</v>
      </c>
      <c r="CD24" s="6">
        <v>443850.81599999999</v>
      </c>
      <c r="CE24" s="6">
        <v>49125.260799999996</v>
      </c>
      <c r="CF24" s="6">
        <v>155575.84</v>
      </c>
      <c r="CG24" s="6">
        <v>360800.61759999901</v>
      </c>
      <c r="CH24" s="6">
        <v>2385.8710000000001</v>
      </c>
      <c r="CI24" s="6">
        <v>212.24299999999999</v>
      </c>
      <c r="CJ24" s="6">
        <v>1176.4000000000001</v>
      </c>
      <c r="CK24" s="6">
        <v>77.433000000000007</v>
      </c>
      <c r="CL24" s="6">
        <v>726.32100000000003</v>
      </c>
      <c r="CM24" s="6">
        <v>551.4</v>
      </c>
      <c r="CN24" s="6">
        <v>39417.599999999999</v>
      </c>
      <c r="CO24" s="6">
        <v>1639.682</v>
      </c>
      <c r="CP24" s="6">
        <v>292179.21799999999</v>
      </c>
      <c r="CQ24" s="6">
        <v>3667083.2</v>
      </c>
      <c r="CR24" s="6">
        <v>130197.016</v>
      </c>
      <c r="CS24" s="6">
        <v>510078.272</v>
      </c>
      <c r="CT24" s="6">
        <v>2885579.2379999999</v>
      </c>
      <c r="CU24" s="6">
        <v>294933.47200000001</v>
      </c>
      <c r="CV24" s="6">
        <v>30124.076799999999</v>
      </c>
      <c r="CW24" s="6">
        <v>62554.8416</v>
      </c>
      <c r="CX24" s="6">
        <v>33366.639999999999</v>
      </c>
      <c r="CY24" s="6">
        <v>165988.016</v>
      </c>
      <c r="CZ24" s="6">
        <v>216937.45600000001</v>
      </c>
      <c r="DA24" s="6">
        <v>17826.39</v>
      </c>
      <c r="DB24" s="6">
        <v>148646.82500000001</v>
      </c>
      <c r="DC24" s="6">
        <v>2949.4</v>
      </c>
      <c r="DD24" s="6">
        <v>2949.3</v>
      </c>
      <c r="DE24" s="6">
        <v>2974.1</v>
      </c>
      <c r="DF24" s="6">
        <v>0.996</v>
      </c>
      <c r="DG24" s="1" t="s">
        <v>247</v>
      </c>
      <c r="DH24" s="4">
        <f>Table2[[#This Row],[Date]]</f>
        <v>46222</v>
      </c>
      <c r="DI24">
        <f>(DD25-Table2[[#This Row],[MWH Total]])*4000</f>
        <v>21119.999999998981</v>
      </c>
      <c r="DJ24">
        <f>(DA25-Table2[[#This Row],[PNG Meter (Outside)]])*2.936</f>
        <v>41.103999999999999</v>
      </c>
      <c r="DK24">
        <f>(DB25-Table2[[#This Row],[PNG Meter (Inside)]])*2.936</f>
        <v>236.70031999998633</v>
      </c>
      <c r="DL24">
        <f>(BH25-Table2[[#This Row],[3F Dough cooler - 2 ]])*1000</f>
        <v>359.00000000003729</v>
      </c>
      <c r="DM24">
        <f>(BI25-Table2[[#This Row],[3F Dough Cooler- 1]])*1000</f>
        <v>588.00000000007913</v>
      </c>
      <c r="DN24">
        <f>(BJ25-Table2[[#This Row],[4F Dough Production cooling Unit]])*1000</f>
        <v>67.000000000000171</v>
      </c>
      <c r="DO24">
        <f>(BQ25-Table2[[#This Row],[3F2 - PDB 3 - Dough Production Area]])*1000</f>
        <v>233.00000000000409</v>
      </c>
      <c r="DP24">
        <f>(BR25-Table2[[#This Row],[3F3 - PDB 4 - Dough Area]])*1000</f>
        <v>123.99999999999523</v>
      </c>
      <c r="DQ24">
        <f>AC25-Table2[[#This Row],[16F1 Tray washer Panel for Light]]</f>
        <v>839.1999999997206</v>
      </c>
      <c r="DR24">
        <f>CQ25-Table2[[#This Row],[2F1 Tray Washer - 1]]</f>
        <v>1493.4399999999441</v>
      </c>
      <c r="DS24">
        <f>CS25-Table2[[#This Row],[2F5 Destacker]]</f>
        <v>385.98399999999674</v>
      </c>
      <c r="DT24">
        <f>CU25-Table2[[#This Row],[5F1 Metering (TW-2)]]</f>
        <v>270.22800000000279</v>
      </c>
      <c r="DU24">
        <f>CV25-Table2[[#This Row],[6F1 Pre soaker Tray washer]]</f>
        <v>0.63680000000022119</v>
      </c>
      <c r="DV24">
        <f>CZ25-Table2[[#This Row],[6F5 Vent tray Storage]]</f>
        <v>39.231999999989057</v>
      </c>
      <c r="DW24">
        <f>I25-Table2[[#This Row],[Popeyes Meter ]]</f>
        <v>14.119999999999891</v>
      </c>
      <c r="DX24">
        <f>AZ25-Table2[[#This Row],[2F WH Chiller, Segregation Area]]</f>
        <v>0</v>
      </c>
      <c r="DY24">
        <f>BA25-Table2[[#This Row],[3F1 AC Unit WH dock cooling - 2 Nos]]</f>
        <v>21</v>
      </c>
      <c r="DZ24">
        <f>BB25-Table2[[#This Row],[3F2 AC Unit WH dock cooling - 3 Nos]]</f>
        <v>4.5999999999999375E-2</v>
      </c>
      <c r="EA24">
        <f>(BK25-Table2[[#This Row],[5F WH Perishable]])*1000</f>
        <v>248.00000000004729</v>
      </c>
      <c r="EB24">
        <f>BN25-Table2[[#This Row],[2F3 - PDB 9 - WH Dock Leveler Door ]]</f>
        <v>1.653599999999642</v>
      </c>
      <c r="EC24">
        <f>BP25-Table2[[#This Row],[3F1 - PDB 5 - WH HSD]]</f>
        <v>170.81600000004983</v>
      </c>
      <c r="ED24">
        <f>BX25-Table2[[#This Row],[8F1 WH Dock AHU - Ventilation]]</f>
        <v>2896.4479999999749</v>
      </c>
      <c r="EE24">
        <f>BZ25-Table2[[#This Row],[8F3 ACPDB - 4 WH Dock air curtain]]</f>
        <v>0.71200000001408625</v>
      </c>
      <c r="EF24">
        <f>CA25-Table2[[#This Row],[8F4 WH Light]]</f>
        <v>3.4420999999999822</v>
      </c>
      <c r="EG24">
        <f>CC25-Table2[[#This Row],[9F1 - PDB 10 - WH Dock door &amp; Office]]</f>
        <v>129.88800000000629</v>
      </c>
      <c r="EH24">
        <f>CD25-Table2[[#This Row],[9F2 - PDB 11 - WH flycatchers]]</f>
        <v>95.456000000005588</v>
      </c>
      <c r="EI24">
        <f>CE25-Table2[[#This Row],[9F3 - PDB 12 - Other items]]</f>
        <v>0</v>
      </c>
      <c r="EJ24">
        <f>CR25-Table2[[#This Row],[2F3 - PDB 1 - Dock 1 to 4 ]]</f>
        <v>89.16799999999057</v>
      </c>
      <c r="EK24">
        <f>BM25-Table2[[#This Row],[2F2 - PDB 3 - WH Truck &amp; Battery Charging]]</f>
        <v>625.50400000001537</v>
      </c>
      <c r="EL24">
        <f>(CK25-Table2[[#This Row],[PDB - 11 Truck Charging]])*1000</f>
        <v>22.999999999996135</v>
      </c>
      <c r="EM24">
        <f>P25-Table2[[#This Row],[5F3 Admin Area]]</f>
        <v>449.47199999995064</v>
      </c>
      <c r="EN24">
        <f>AH25-Table2[[#This Row],[2F5 Main Gate-1 Piller -1]]</f>
        <v>126.26399999999558</v>
      </c>
      <c r="EO24">
        <f>CW25-Table2[[#This Row],[6F2 Ground Floor AC]]</f>
        <v>14.118399999999383</v>
      </c>
      <c r="EP24">
        <f>CX25-Table2[[#This Row],[6F3 ACBD -1 (First floor AC)]]</f>
        <v>8.9919999999983702</v>
      </c>
      <c r="EQ24">
        <f>CY25-Table2[[#This Row],[6F4 ACBD - 2 (Second &amp; Third floor AC)]]</f>
        <v>185.44000000000233</v>
      </c>
      <c r="ER24">
        <f>(BC25-Table2[[#This Row],[4F Old BMC cooling Unit]])</f>
        <v>0</v>
      </c>
      <c r="ES24">
        <f>BO25-Table2[[#This Row],[2F4 - Old BMC]]</f>
        <v>0.22720000000117579</v>
      </c>
      <c r="ET24">
        <f>Y25-Table2[[#This Row],[14F2 New CK]]</f>
        <v>650.15999999991618</v>
      </c>
      <c r="EU24">
        <f>(CL25-Table2[[#This Row],[OLD Ck Panel-1]])*1000</f>
        <v>382.99999999992451</v>
      </c>
      <c r="EV24">
        <f>CM25-Table2[[#This Row],[2F4 Old CK Blast (Blue star)]]</f>
        <v>0</v>
      </c>
      <c r="EW24">
        <f>CN25-Table2[[#This Row],[3F6 Old CK Blast (Carrier)]]</f>
        <v>267.59999999999854</v>
      </c>
      <c r="EX24">
        <f>(CO25-Table2[[#This Row],[Old CK Panel -2]])*1000</f>
        <v>983.9999999999236</v>
      </c>
      <c r="EY24">
        <f>N25-Table2[[#This Row],[4F1 Main UPS 1/C -1]]</f>
        <v>955.84000000008382</v>
      </c>
      <c r="EZ24">
        <f>Z25-Table2[[#This Row],[15F1 Main UPS Panel - I/C - 2]]</f>
        <v>0</v>
      </c>
      <c r="FA24">
        <f>BF25-Table2[[#This Row],[2F CLC -1 AC unit - 2]]</f>
        <v>0</v>
      </c>
      <c r="FB24">
        <f>(BG25-Table2[[#This Row],[2F CLC Anti room]])*1000</f>
        <v>25.000000000005684</v>
      </c>
      <c r="FC24">
        <f>BW25-Table2[[#This Row],[7F3 CLC Power Panel]]</f>
        <v>132.54400000011083</v>
      </c>
      <c r="FD24">
        <f>(CI25-Table2[[#This Row],[PDB - 17 CLC Section ]])*1000</f>
        <v>87.000000000017508</v>
      </c>
      <c r="FE24">
        <f>(W25-Table2[[#This Row],[13F3 Water &amp; Lift Old CK]])*1000</f>
        <v>863.39999999995598</v>
      </c>
      <c r="FF24">
        <f>AA25-Table2[[#This Row],[15F2 New ETP Panel]]</f>
        <v>348.73600000003353</v>
      </c>
      <c r="FG24">
        <f>AL25-Table2[[#This Row],[3F4 Old ETP Panel]]</f>
        <v>74.687999999965541</v>
      </c>
      <c r="FH24">
        <f>AF25-Table2[[#This Row],[2F1 RO Plant]]</f>
        <v>638.71999999997206</v>
      </c>
      <c r="FI24">
        <f>AK25-Table2[[#This Row],[3F3 Fire Hydrant Panel]]</f>
        <v>12.719999999986612</v>
      </c>
      <c r="FJ24">
        <f>R25-Table2[[#This Row],[7F1 Freon System Panel]]</f>
        <v>6138.8799999998882</v>
      </c>
      <c r="FK24">
        <f>(AE25-Table2[[#This Row],[21F1 Refrigeration Ammonia]])*1000</f>
        <v>7318.4000000001106</v>
      </c>
      <c r="FL24">
        <f>(AG25-Table2[[#This Row],[2F3 Air Compressor]])*1000</f>
        <v>1204.9999999999272</v>
      </c>
      <c r="FM24">
        <f>(AX25-Table2[[#This Row],[Solar Reading Panel II]])*1000</f>
        <v>1543.999999999869</v>
      </c>
      <c r="FN24">
        <f>AI25-Table2[[#This Row],[3F1 Maintenance Workshop]]</f>
        <v>8.5488000000004831</v>
      </c>
      <c r="FO24">
        <f>BD25-Table2[[#This Row],[4F B2B unit ]]</f>
        <v>35.648000000044703</v>
      </c>
      <c r="FP24">
        <f>BL25-Table2[[#This Row],[2F1 - PDB 6 - Bread, B2B section]]</f>
        <v>89.356299999999464</v>
      </c>
      <c r="FQ24">
        <f>(CG25-Table2[[#This Row],[9F5 - PDB 14 - Bread Lift]])</f>
        <v>8.3200000983197242E-2</v>
      </c>
      <c r="FR24">
        <f>CJ25-Table2[[#This Row],[PDB - 16 Bread Section]]</f>
        <v>0.59999999999990905</v>
      </c>
      <c r="FS24">
        <f>BU25-Table2[[#This Row],[7F1 Donut Production area]]</f>
        <v>195.52000000001863</v>
      </c>
      <c r="FT24">
        <f>CB25-Table2[[#This Row],[8F5 Donut Ban Bary]]</f>
        <v>78.63200000001234</v>
      </c>
      <c r="FU24">
        <f>CF25-Table2[[#This Row],[9F4 - PDB 13 - Donut Sink Geyser area]]</f>
        <v>16.368000000016764</v>
      </c>
      <c r="FV24">
        <f>BV25-Table2[[#This Row],[7F2 Flour Silo]]</f>
        <v>389.68000000005122</v>
      </c>
      <c r="FW24">
        <f>BY25-Table2[[#This Row],[8F2 ACPDB - 3 SILO Ventilation]]</f>
        <v>60.62400000001071</v>
      </c>
      <c r="FX24">
        <f>J25-Table2[[#This Row],[DG 1010KVA Running Hours]]</f>
        <v>0.4000000000005457</v>
      </c>
      <c r="FY24">
        <f>K25-Table2[[#This Row],[DG 1010 KVA Meter Reading]]</f>
        <v>111</v>
      </c>
      <c r="FZ24">
        <f>L25-Table2[[#This Row],[GG 1010 KVA Running Hours]]</f>
        <v>0</v>
      </c>
      <c r="GA24">
        <f>M25-Table2[[#This Row],[GG 1010 KVA Meter Reading]]</f>
        <v>0.12000000000000455</v>
      </c>
    </row>
    <row r="25" spans="1:183" x14ac:dyDescent="0.35">
      <c r="A25" s="1">
        <v>35</v>
      </c>
      <c r="B25" s="2">
        <v>46223.411828703705</v>
      </c>
      <c r="C25" s="2">
        <v>46223.455567129633</v>
      </c>
      <c r="D25" s="1" t="s">
        <v>111</v>
      </c>
      <c r="E25" s="1"/>
      <c r="F25" s="1"/>
      <c r="G25" s="3">
        <v>46223</v>
      </c>
      <c r="H25" s="1" t="s">
        <v>186</v>
      </c>
      <c r="I25" s="6">
        <v>5966.4520000000002</v>
      </c>
      <c r="J25" s="6">
        <v>4249.8</v>
      </c>
      <c r="K25" s="6">
        <v>1766187</v>
      </c>
      <c r="L25" s="6">
        <v>431</v>
      </c>
      <c r="M25" s="6">
        <v>179.57</v>
      </c>
      <c r="N25" s="6">
        <v>1855126.56</v>
      </c>
      <c r="O25" s="6">
        <v>4573196.16</v>
      </c>
      <c r="P25" s="6">
        <v>640209.66399999999</v>
      </c>
      <c r="Q25" s="6">
        <v>8048722.5599999996</v>
      </c>
      <c r="R25" s="6">
        <v>5456604.7999999998</v>
      </c>
      <c r="S25" s="6">
        <v>7317872</v>
      </c>
      <c r="T25" s="6">
        <v>43026103.707000002</v>
      </c>
      <c r="U25" s="6">
        <v>2083947.2</v>
      </c>
      <c r="V25" s="6">
        <v>5091004.4800000004</v>
      </c>
      <c r="W25" s="6">
        <v>1583.3135</v>
      </c>
      <c r="X25" s="6">
        <v>769938.75199999998</v>
      </c>
      <c r="Y25" s="6">
        <v>1073486.3999999999</v>
      </c>
      <c r="Z25" s="6">
        <v>2777.8894</v>
      </c>
      <c r="AA25" s="6">
        <v>664391.61600000004</v>
      </c>
      <c r="AB25" s="6">
        <v>421111.07199999999</v>
      </c>
      <c r="AC25" s="6">
        <v>2128309.2799999998</v>
      </c>
      <c r="AD25" s="6">
        <v>3850793.696</v>
      </c>
      <c r="AE25" s="6">
        <v>12706.655199999999</v>
      </c>
      <c r="AF25" s="6">
        <v>867613.12</v>
      </c>
      <c r="AG25" s="6">
        <v>1382.6849999999999</v>
      </c>
      <c r="AH25" s="6">
        <v>131860.03200000001</v>
      </c>
      <c r="AI25" s="6">
        <v>14554.715200000001</v>
      </c>
      <c r="AJ25" s="6">
        <v>145324.848</v>
      </c>
      <c r="AK25" s="6">
        <v>105066.18399999999</v>
      </c>
      <c r="AL25" s="6">
        <v>329515.93599999999</v>
      </c>
      <c r="AM25" s="6">
        <v>983.125</v>
      </c>
      <c r="AN25" s="6">
        <v>275.60000000000002</v>
      </c>
      <c r="AO25" s="6">
        <v>7.3</v>
      </c>
      <c r="AP25" s="6">
        <v>316902</v>
      </c>
      <c r="AQ25" s="6">
        <v>42305</v>
      </c>
      <c r="AR25" s="6">
        <v>41761</v>
      </c>
      <c r="AS25" s="6">
        <v>32307</v>
      </c>
      <c r="AT25" s="6">
        <v>22056</v>
      </c>
      <c r="AU25" s="6">
        <v>15291</v>
      </c>
      <c r="AV25" s="6">
        <v>6195</v>
      </c>
      <c r="AW25" s="6">
        <v>20.82827</v>
      </c>
      <c r="AX25" s="6">
        <v>7203.0339999999997</v>
      </c>
      <c r="AY25" s="6">
        <v>677.00832000000003</v>
      </c>
      <c r="AZ25" s="6">
        <v>20.788</v>
      </c>
      <c r="BA25" s="6">
        <v>10117</v>
      </c>
      <c r="BB25" s="6">
        <v>44.136000000000003</v>
      </c>
      <c r="BC25" s="6">
        <v>113988.60799999999</v>
      </c>
      <c r="BD25" s="6">
        <v>275084.70400000003</v>
      </c>
      <c r="BE25" s="6">
        <v>3707.9452000000001</v>
      </c>
      <c r="BF25" s="6">
        <v>1712.0419999999999</v>
      </c>
      <c r="BG25" s="6">
        <v>74.59</v>
      </c>
      <c r="BH25" s="6">
        <v>359.56200000000001</v>
      </c>
      <c r="BI25" s="6">
        <v>908.6</v>
      </c>
      <c r="BJ25" s="6">
        <v>14.023</v>
      </c>
      <c r="BK25" s="6">
        <v>560.245</v>
      </c>
      <c r="BL25" s="6">
        <v>69579.648000000001</v>
      </c>
      <c r="BM25" s="6">
        <v>302598.33600000001</v>
      </c>
      <c r="BN25" s="6">
        <v>7164.1055999999999</v>
      </c>
      <c r="BO25" s="6">
        <v>53532.7552</v>
      </c>
      <c r="BP25" s="6">
        <v>312697.28000000003</v>
      </c>
      <c r="BQ25" s="6">
        <v>322.358</v>
      </c>
      <c r="BR25" s="6">
        <v>179.64400000000001</v>
      </c>
      <c r="BS25" s="6">
        <v>993574.60199999996</v>
      </c>
      <c r="BT25" s="6">
        <v>1400591.5689999999</v>
      </c>
      <c r="BU25" s="6">
        <v>626422.33600000001</v>
      </c>
      <c r="BV25" s="6">
        <v>1015768.4</v>
      </c>
      <c r="BW25" s="6">
        <v>565216.83200000005</v>
      </c>
      <c r="BX25" s="6">
        <v>965835.96799999999</v>
      </c>
      <c r="BY25" s="6">
        <v>157058.35200000001</v>
      </c>
      <c r="BZ25" s="6">
        <v>114267.39200000001</v>
      </c>
      <c r="CA25" s="6">
        <v>1207.3982000000001</v>
      </c>
      <c r="CB25" s="6">
        <v>108017.16800000001</v>
      </c>
      <c r="CC25" s="6">
        <v>149056.272</v>
      </c>
      <c r="CD25" s="6">
        <v>443946.272</v>
      </c>
      <c r="CE25" s="6">
        <v>49125.260799999996</v>
      </c>
      <c r="CF25" s="6">
        <v>155592.20800000001</v>
      </c>
      <c r="CG25" s="6">
        <v>360800.70079999999</v>
      </c>
      <c r="CH25" s="6">
        <v>2385.8710000000001</v>
      </c>
      <c r="CI25" s="6">
        <v>212.33</v>
      </c>
      <c r="CJ25" s="6">
        <v>1177</v>
      </c>
      <c r="CK25" s="6">
        <v>77.456000000000003</v>
      </c>
      <c r="CL25" s="6">
        <v>726.70399999999995</v>
      </c>
      <c r="CM25" s="6">
        <v>551.4</v>
      </c>
      <c r="CN25" s="6">
        <v>39685.199999999997</v>
      </c>
      <c r="CO25" s="6">
        <v>1640.6659999999999</v>
      </c>
      <c r="CP25" s="6">
        <v>292376.82299999997</v>
      </c>
      <c r="CQ25" s="6">
        <v>3668576.64</v>
      </c>
      <c r="CR25" s="6">
        <v>130286.18399999999</v>
      </c>
      <c r="CS25" s="6">
        <v>510464.25599999999</v>
      </c>
      <c r="CT25" s="6">
        <v>2889386.41</v>
      </c>
      <c r="CU25" s="6">
        <v>295203.7</v>
      </c>
      <c r="CV25" s="6">
        <v>30124.713599999999</v>
      </c>
      <c r="CW25" s="6">
        <v>62568.959999999999</v>
      </c>
      <c r="CX25" s="6">
        <v>33375.631999999998</v>
      </c>
      <c r="CY25" s="6">
        <v>166173.45600000001</v>
      </c>
      <c r="CZ25" s="6">
        <v>216976.68799999999</v>
      </c>
      <c r="DA25" s="6">
        <v>17840.39</v>
      </c>
      <c r="DB25" s="6">
        <v>148727.44500000001</v>
      </c>
      <c r="DC25" s="6">
        <v>2954.61</v>
      </c>
      <c r="DD25" s="6">
        <v>2954.58</v>
      </c>
      <c r="DE25" s="6">
        <v>2979.4</v>
      </c>
      <c r="DF25" s="6">
        <v>0.99399999999999999</v>
      </c>
      <c r="DG25" s="1" t="s">
        <v>248</v>
      </c>
      <c r="DH25" s="4">
        <f>Table2[[#This Row],[Date]]</f>
        <v>46223</v>
      </c>
      <c r="DI25">
        <f>(DD26-Table2[[#This Row],[MWH Total]])*4000</f>
        <v>20719.999999999345</v>
      </c>
      <c r="DJ25" s="1">
        <f>(DA26-Table2[[#This Row],[PNG Meter (Outside)]])*2.936</f>
        <v>641.01688000000513</v>
      </c>
      <c r="DK25">
        <f>(DB26-Table2[[#This Row],[PNG Meter (Inside)]])*2.936</f>
        <v>409.18151199999522</v>
      </c>
      <c r="DL25">
        <f>(BH26-Table2[[#This Row],[3F Dough cooler - 2 ]])*1000</f>
        <v>437.00000000001182</v>
      </c>
      <c r="DM25">
        <f>(BI26-Table2[[#This Row],[3F Dough Cooler- 1]])*1000</f>
        <v>477.9999999999518</v>
      </c>
      <c r="DN25">
        <f>(BJ26-Table2[[#This Row],[4F Dough Production cooling Unit]])*1000</f>
        <v>30.000000000001137</v>
      </c>
      <c r="DO25">
        <f>(BQ26-Table2[[#This Row],[3F2 - PDB 3 - Dough Production Area]])*1000</f>
        <v>129.0000000000191</v>
      </c>
      <c r="DP25">
        <f>(BR26-Table2[[#This Row],[3F3 - PDB 4 - Dough Area]])*1000</f>
        <v>73.000000000007503</v>
      </c>
      <c r="DQ25">
        <f>AC26-Table2[[#This Row],[16F1 Tray washer Panel for Light]]</f>
        <v>700.16000000014901</v>
      </c>
      <c r="DR25">
        <f>CQ26-Table2[[#This Row],[2F1 Tray Washer - 1]]</f>
        <v>942.39999999990687</v>
      </c>
      <c r="DS25">
        <f>CS26-Table2[[#This Row],[2F5 Destacker]]</f>
        <v>252.12800000002608</v>
      </c>
      <c r="DT25">
        <f>CU26-Table2[[#This Row],[5F1 Metering (TW-2)]]</f>
        <v>250.52199999999721</v>
      </c>
      <c r="DU25">
        <f>CV26-Table2[[#This Row],[6F1 Pre soaker Tray washer]]</f>
        <v>6.4000000020314474E-3</v>
      </c>
      <c r="DV25">
        <f>CZ26-Table2[[#This Row],[6F5 Vent tray Storage]]</f>
        <v>67.760000000009313</v>
      </c>
      <c r="DW25">
        <f>I26-Table2[[#This Row],[Popeyes Meter ]]</f>
        <v>57.269999999999527</v>
      </c>
      <c r="DX25">
        <f>AZ26-Table2[[#This Row],[2F WH Chiller, Segregation Area]]</f>
        <v>0</v>
      </c>
      <c r="DY25" s="1">
        <f>BA26-Table2[[#This Row],[3F1 AC Unit WH dock cooling - 2 Nos]]</f>
        <v>18</v>
      </c>
      <c r="DZ25">
        <f>BB26-Table2[[#This Row],[3F2 AC Unit WH dock cooling - 3 Nos]]</f>
        <v>5.1999999999999602E-2</v>
      </c>
      <c r="EA25">
        <f>(BK26-Table2[[#This Row],[5F WH Perishable]])*1000</f>
        <v>279.99999999997272</v>
      </c>
      <c r="EB25">
        <f>BN26-Table2[[#This Row],[2F3 - PDB 9 - WH Dock Leveler Door ]]</f>
        <v>1.6231999999999971</v>
      </c>
      <c r="EC25">
        <f>BP26-Table2[[#This Row],[3F1 - PDB 5 - WH HSD]]</f>
        <v>138.91199999995297</v>
      </c>
      <c r="ED25">
        <f>BX26-Table2[[#This Row],[8F1 WH Dock AHU - Ventilation]]</f>
        <v>2307.1360000000568</v>
      </c>
      <c r="EE25">
        <f>BZ26-Table2[[#This Row],[8F3 ACPDB - 4 WH Dock air curtain]]</f>
        <v>5.0879999999888241</v>
      </c>
      <c r="EF25">
        <f>CA26-Table2[[#This Row],[8F4 WH Light]]</f>
        <v>2.7300999999999931</v>
      </c>
      <c r="EG25">
        <f>CC26-Table2[[#This Row],[9F1 - PDB 10 - WH Dock door &amp; Office]]</f>
        <v>124.89600000000792</v>
      </c>
      <c r="EH25">
        <f>CD26-Table2[[#This Row],[9F2 - PDB 11 - WH flycatchers]]</f>
        <v>120.38400000002002</v>
      </c>
      <c r="EI25">
        <f>CE26-Table2[[#This Row],[9F3 - PDB 12 - Other items]]</f>
        <v>0</v>
      </c>
      <c r="EJ25">
        <f>CR26-Table2[[#This Row],[2F3 - PDB 1 - Dock 1 to 4 ]]</f>
        <v>62.576000000000931</v>
      </c>
      <c r="EK25">
        <f>BM26-Table2[[#This Row],[2F2 - PDB 3 - WH Truck &amp; Battery Charging]]</f>
        <v>469.08799999998882</v>
      </c>
      <c r="EL25">
        <f>(CK26-Table2[[#This Row],[PDB - 11 Truck Charging]])*1000</f>
        <v>33.999999999991815</v>
      </c>
      <c r="EM25">
        <f>P26-Table2[[#This Row],[5F3 Admin Area]]</f>
        <v>389.50399999995716</v>
      </c>
      <c r="EN25">
        <f>AH26-Table2[[#This Row],[2F5 Main Gate-1 Piller -1]]</f>
        <v>101.04799999998068</v>
      </c>
      <c r="EO25">
        <f>CW26-Table2[[#This Row],[6F2 Ground Floor AC]]</f>
        <v>13.734400000001187</v>
      </c>
      <c r="EP25">
        <f>CX26-Table2[[#This Row],[6F3 ACBD -1 (First floor AC)]]</f>
        <v>0</v>
      </c>
      <c r="EQ25">
        <f>CY26-Table2[[#This Row],[6F4 ACBD - 2 (Second &amp; Third floor AC)]]</f>
        <v>145.77599999998347</v>
      </c>
      <c r="ER25">
        <f>(BC26-Table2[[#This Row],[4F Old BMC cooling Unit]])</f>
        <v>0</v>
      </c>
      <c r="ES25">
        <f>BO26-Table2[[#This Row],[2F4 - Old BMC]]</f>
        <v>0.18880000000353903</v>
      </c>
      <c r="ET25">
        <f>Y26-Table2[[#This Row],[14F2 New CK]]</f>
        <v>1472.9600000001956</v>
      </c>
      <c r="EU25">
        <f>(CL26-Table2[[#This Row],[OLD Ck Panel-1]])*1000</f>
        <v>629.0000000000191</v>
      </c>
      <c r="EV25">
        <f>CM26-Table2[[#This Row],[2F4 Old CK Blast (Blue star)]]</f>
        <v>0</v>
      </c>
      <c r="EW25">
        <f>CN26-Table2[[#This Row],[3F6 Old CK Blast (Carrier)]]</f>
        <v>498.40000000000146</v>
      </c>
      <c r="EX25">
        <f>(CO26-Table2[[#This Row],[Old CK Panel -2]])*1000</f>
        <v>764.00000000012369</v>
      </c>
      <c r="EY25">
        <f>N26-Table2[[#This Row],[4F1 Main UPS 1/C -1]]</f>
        <v>889.11999999987893</v>
      </c>
      <c r="EZ25">
        <f>Z26-Table2[[#This Row],[15F1 Main UPS Panel - I/C - 2]]</f>
        <v>0</v>
      </c>
      <c r="FA25">
        <f>BF26-Table2[[#This Row],[2F CLC -1 AC unit - 2]]</f>
        <v>0</v>
      </c>
      <c r="FB25">
        <f>(BG26-Table2[[#This Row],[2F CLC Anti room]])*1000</f>
        <v>21.000000000000796</v>
      </c>
      <c r="FC25">
        <f>BW26-Table2[[#This Row],[7F3 CLC Power Panel]]</f>
        <v>242.81599999999162</v>
      </c>
      <c r="FD25">
        <f>(CI26-Table2[[#This Row],[PDB - 17 CLC Section ]])*1000</f>
        <v>151.99999999998681</v>
      </c>
      <c r="FE25">
        <f>(W26-Table2[[#This Row],[13F3 Water &amp; Lift Old CK]])*1000</f>
        <v>810.79999999997199</v>
      </c>
      <c r="FF25">
        <f>AA26-Table2[[#This Row],[15F2 New ETP Panel]]</f>
        <v>386.49599999992643</v>
      </c>
      <c r="FG25">
        <f>AL26-Table2[[#This Row],[3F4 Old ETP Panel]]</f>
        <v>68.288000000000466</v>
      </c>
      <c r="FH25">
        <f>AF26-Table2[[#This Row],[2F1 RO Plant]]</f>
        <v>511.16799999994691</v>
      </c>
      <c r="FI25">
        <f>AK26-Table2[[#This Row],[3F3 Fire Hydrant Panel]]</f>
        <v>10.528000000005704</v>
      </c>
      <c r="FJ25">
        <f>R26-Table2[[#This Row],[7F1 Freon System Panel]]</f>
        <v>5617.9199999999255</v>
      </c>
      <c r="FK25">
        <f>(AE26-Table2[[#This Row],[21F1 Refrigeration Ammonia]])*1000</f>
        <v>6792.0000000012806</v>
      </c>
      <c r="FL25">
        <f>(AG26-Table2[[#This Row],[2F3 Air Compressor]])*1000</f>
        <v>1030.9999999999491</v>
      </c>
      <c r="FM25">
        <f>(AX26-Table2[[#This Row],[Solar Reading Panel II]])*1000</f>
        <v>788.00000000046566</v>
      </c>
      <c r="FN25">
        <f>AI26-Table2[[#This Row],[3F1 Maintenance Workshop]]</f>
        <v>5.7759999999998399</v>
      </c>
      <c r="FO25">
        <f>BD26-Table2[[#This Row],[4F B2B unit ]]</f>
        <v>61.311999999976251</v>
      </c>
      <c r="FP25">
        <f>BL26-Table2[[#This Row],[2F1 - PDB 6 - Bread, B2B section]]</f>
        <v>282.57279999999446</v>
      </c>
      <c r="FQ25">
        <f>(CG26-Table2[[#This Row],[9F5 - PDB 14 - Bread Lift]])</f>
        <v>0.55359999998472631</v>
      </c>
      <c r="FR25">
        <f>CJ26-Table2[[#This Row],[PDB - 16 Bread Section]]</f>
        <v>2.2000000000000455</v>
      </c>
      <c r="FS25">
        <f>BU26-Table2[[#This Row],[7F1 Donut Production area]]</f>
        <v>174.01599999994505</v>
      </c>
      <c r="FT25">
        <f>CB26-Table2[[#This Row],[8F5 Donut Ban Bary]]</f>
        <v>53.919999999998254</v>
      </c>
      <c r="FU25">
        <f>CF26-Table2[[#This Row],[9F4 - PDB 13 - Donut Sink Geyser area]]</f>
        <v>17.903999999980442</v>
      </c>
      <c r="FV25">
        <f>BV26-Table2[[#This Row],[7F2 Flour Silo]]</f>
        <v>515.11999999999534</v>
      </c>
      <c r="FW25">
        <f>BY26-Table2[[#This Row],[8F2 ACPDB - 3 SILO Ventilation]]</f>
        <v>48.36799999998766</v>
      </c>
      <c r="FX25">
        <f>J26-Table2[[#This Row],[DG 1010KVA Running Hours]]</f>
        <v>0.8000000000001819</v>
      </c>
      <c r="FY25">
        <f>K26-Table2[[#This Row],[DG 1010 KVA Meter Reading]]</f>
        <v>382</v>
      </c>
      <c r="FZ25">
        <f>L26-Table2[[#This Row],[GG 1010 KVA Running Hours]]</f>
        <v>1</v>
      </c>
      <c r="GA25">
        <f>M26-Table2[[#This Row],[GG 1010 KVA Meter Reading]]</f>
        <v>0.36000000000001364</v>
      </c>
    </row>
    <row r="26" spans="1:183" x14ac:dyDescent="0.35">
      <c r="A26" s="1">
        <v>36</v>
      </c>
      <c r="B26" s="2">
        <v>46224.403587962966</v>
      </c>
      <c r="C26" s="2">
        <v>46224.447696759256</v>
      </c>
      <c r="D26" s="1" t="s">
        <v>111</v>
      </c>
      <c r="E26" s="1"/>
      <c r="F26" s="1"/>
      <c r="G26" s="3">
        <v>46224</v>
      </c>
      <c r="H26" s="1" t="s">
        <v>186</v>
      </c>
      <c r="I26" s="6">
        <v>6023.7219999999998</v>
      </c>
      <c r="J26" s="6">
        <v>4250.6000000000004</v>
      </c>
      <c r="K26" s="6">
        <v>1766569</v>
      </c>
      <c r="L26" s="6">
        <v>432</v>
      </c>
      <c r="M26" s="6">
        <v>179.93</v>
      </c>
      <c r="N26" s="6">
        <v>1856015.68</v>
      </c>
      <c r="O26" s="6">
        <v>4574826.5599999996</v>
      </c>
      <c r="P26" s="6">
        <v>640599.16799999995</v>
      </c>
      <c r="Q26" s="6">
        <v>8050437.7599999998</v>
      </c>
      <c r="R26" s="6">
        <v>5462222.7199999997</v>
      </c>
      <c r="S26" s="6">
        <v>7320458.8799999999</v>
      </c>
      <c r="T26" s="6">
        <v>42603681.881999999</v>
      </c>
      <c r="U26" s="6">
        <v>2085272.96</v>
      </c>
      <c r="V26" s="6">
        <v>5092740.4800000004</v>
      </c>
      <c r="W26" s="6">
        <v>1584.1242999999999</v>
      </c>
      <c r="X26" s="6">
        <v>770191.424</v>
      </c>
      <c r="Y26" s="6">
        <v>1074959.3600000001</v>
      </c>
      <c r="Z26" s="6">
        <v>2777.8894</v>
      </c>
      <c r="AA26" s="6">
        <v>664778.11199999996</v>
      </c>
      <c r="AB26" s="6">
        <v>421121.31199999998</v>
      </c>
      <c r="AC26" s="6">
        <v>2129009.44</v>
      </c>
      <c r="AD26" s="6">
        <v>2537516.4900000002</v>
      </c>
      <c r="AE26" s="6">
        <v>12713.447200000001</v>
      </c>
      <c r="AF26" s="6">
        <v>868124.28799999994</v>
      </c>
      <c r="AG26" s="6">
        <v>1383.7159999999999</v>
      </c>
      <c r="AH26" s="6">
        <v>131961.07999999999</v>
      </c>
      <c r="AI26" s="6">
        <v>14560.4912</v>
      </c>
      <c r="AJ26" s="6">
        <v>145327.296</v>
      </c>
      <c r="AK26" s="6">
        <v>105076.712</v>
      </c>
      <c r="AL26" s="6">
        <v>329584.22399999999</v>
      </c>
      <c r="AM26" s="6">
        <v>983.673</v>
      </c>
      <c r="AN26" s="6">
        <v>218.4</v>
      </c>
      <c r="AO26" s="6">
        <v>7.6</v>
      </c>
      <c r="AP26" s="6">
        <v>326238</v>
      </c>
      <c r="AQ26" s="6">
        <v>42305</v>
      </c>
      <c r="AR26" s="6">
        <v>41761</v>
      </c>
      <c r="AS26" s="6">
        <v>32307</v>
      </c>
      <c r="AT26" s="6">
        <v>22056</v>
      </c>
      <c r="AU26" s="6">
        <v>15315</v>
      </c>
      <c r="AV26" s="6">
        <v>6211</v>
      </c>
      <c r="AW26" s="6">
        <v>20.834816</v>
      </c>
      <c r="AX26" s="6">
        <v>7203.8220000000001</v>
      </c>
      <c r="AY26" s="6">
        <v>677.15616</v>
      </c>
      <c r="AZ26" s="6">
        <v>20.788</v>
      </c>
      <c r="BA26" s="6">
        <v>10135</v>
      </c>
      <c r="BB26" s="6">
        <v>44.188000000000002</v>
      </c>
      <c r="BC26" s="6">
        <v>113988.60799999999</v>
      </c>
      <c r="BD26" s="6">
        <v>275146.016</v>
      </c>
      <c r="BE26" s="6">
        <v>3709.2356</v>
      </c>
      <c r="BF26" s="6">
        <v>1712.0419999999999</v>
      </c>
      <c r="BG26" s="6">
        <v>74.611000000000004</v>
      </c>
      <c r="BH26" s="6">
        <v>359.99900000000002</v>
      </c>
      <c r="BI26" s="6">
        <v>909.07799999999997</v>
      </c>
      <c r="BJ26" s="6">
        <v>14.053000000000001</v>
      </c>
      <c r="BK26" s="6">
        <v>560.52499999999998</v>
      </c>
      <c r="BL26" s="6">
        <v>69862.220799999996</v>
      </c>
      <c r="BM26" s="6">
        <v>303067.424</v>
      </c>
      <c r="BN26" s="6">
        <v>7165.7287999999999</v>
      </c>
      <c r="BO26" s="6">
        <v>53532.944000000003</v>
      </c>
      <c r="BP26" s="6">
        <v>312836.19199999998</v>
      </c>
      <c r="BQ26" s="6">
        <v>322.48700000000002</v>
      </c>
      <c r="BR26" s="6">
        <v>179.71700000000001</v>
      </c>
      <c r="BS26" s="6">
        <v>994861.04299999995</v>
      </c>
      <c r="BT26" s="6">
        <v>1400592.311</v>
      </c>
      <c r="BU26" s="6">
        <v>626596.35199999996</v>
      </c>
      <c r="BV26" s="6">
        <v>1016283.52</v>
      </c>
      <c r="BW26" s="6">
        <v>565459.64800000004</v>
      </c>
      <c r="BX26" s="6">
        <v>968143.10400000005</v>
      </c>
      <c r="BY26" s="6">
        <v>157106.72</v>
      </c>
      <c r="BZ26" s="6">
        <v>114272.48</v>
      </c>
      <c r="CA26" s="6">
        <v>1210.1283000000001</v>
      </c>
      <c r="CB26" s="6">
        <v>108071.088</v>
      </c>
      <c r="CC26" s="6">
        <v>149181.16800000001</v>
      </c>
      <c r="CD26" s="6">
        <v>444066.65600000002</v>
      </c>
      <c r="CE26" s="6">
        <v>49125.260799999996</v>
      </c>
      <c r="CF26" s="6">
        <v>155610.11199999999</v>
      </c>
      <c r="CG26" s="6">
        <v>360801.25439999998</v>
      </c>
      <c r="CH26" s="6">
        <v>2385.8710000000001</v>
      </c>
      <c r="CI26" s="6">
        <v>212.482</v>
      </c>
      <c r="CJ26" s="6">
        <v>1179.2</v>
      </c>
      <c r="CK26" s="6">
        <v>77.489999999999995</v>
      </c>
      <c r="CL26" s="6">
        <v>727.33299999999997</v>
      </c>
      <c r="CM26" s="6">
        <v>551.4</v>
      </c>
      <c r="CN26" s="6">
        <v>40183.599999999999</v>
      </c>
      <c r="CO26" s="6">
        <v>1641.43</v>
      </c>
      <c r="CP26" s="6">
        <v>292526.87599999999</v>
      </c>
      <c r="CQ26" s="6">
        <v>3669519.04</v>
      </c>
      <c r="CR26" s="6">
        <v>130348.76</v>
      </c>
      <c r="CS26" s="6">
        <v>510716.38400000002</v>
      </c>
      <c r="CT26" s="6">
        <v>2891937.8080000002</v>
      </c>
      <c r="CU26" s="6">
        <v>295454.22200000001</v>
      </c>
      <c r="CV26" s="6">
        <v>30124.720000000001</v>
      </c>
      <c r="CW26" s="6">
        <v>62582.6944</v>
      </c>
      <c r="CX26" s="6">
        <v>33375.631999999998</v>
      </c>
      <c r="CY26" s="6">
        <v>166319.23199999999</v>
      </c>
      <c r="CZ26" s="6">
        <v>217044.448</v>
      </c>
      <c r="DA26" s="6">
        <v>18058.72</v>
      </c>
      <c r="DB26" s="6">
        <v>148866.81200000001</v>
      </c>
      <c r="DC26" s="6">
        <v>2959.82</v>
      </c>
      <c r="DD26" s="6">
        <v>2959.7599999999998</v>
      </c>
      <c r="DE26" s="6">
        <v>2984.8</v>
      </c>
      <c r="DF26" s="6">
        <v>0.99399999999999999</v>
      </c>
      <c r="DG26" s="1" t="s">
        <v>253</v>
      </c>
      <c r="DH26" s="4">
        <f>Table2[[#This Row],[Date]]</f>
        <v>46224</v>
      </c>
      <c r="DI26">
        <f>(DD27-Table2[[#This Row],[MWH Total]])*4000</f>
        <v>10320.000000001528</v>
      </c>
      <c r="DJ26" s="1">
        <f>(DA27-Table2[[#This Row],[PNG Meter (Outside)]])*2.936</f>
        <v>2560.6030399999981</v>
      </c>
      <c r="DK26">
        <f>(DB27-Table2[[#This Row],[PNG Meter (Inside)]])*2.936</f>
        <v>404.69530400002117</v>
      </c>
      <c r="DL26">
        <f>(BH27-Table2[[#This Row],[3F Dough cooler - 2 ]])*1000</f>
        <v>412.99999999995407</v>
      </c>
      <c r="DM26">
        <f>(BI27-Table2[[#This Row],[3F Dough Cooler- 1]])*1000</f>
        <v>471.99999999997999</v>
      </c>
      <c r="DN26">
        <f>(BJ27-Table2[[#This Row],[4F Dough Production cooling Unit]])*1000</f>
        <v>35.999999999999588</v>
      </c>
      <c r="DO26">
        <f>(BQ27-Table2[[#This Row],[3F2 - PDB 3 - Dough Production Area]])*1000</f>
        <v>266.99999999999591</v>
      </c>
      <c r="DP26">
        <f>(BR27-Table2[[#This Row],[3F3 - PDB 4 - Dough Area]])*1000</f>
        <v>133.99999999998613</v>
      </c>
      <c r="DQ26">
        <f>AC27-Table2[[#This Row],[16F1 Tray washer Panel for Light]]</f>
        <v>725.28000000026077</v>
      </c>
      <c r="DR26">
        <f>CQ27-Table2[[#This Row],[2F1 Tray Washer - 1]]</f>
        <v>1544.3199999998324</v>
      </c>
      <c r="DS26">
        <f>CS27-Table2[[#This Row],[2F5 Destacker]]</f>
        <v>329.53599999996368</v>
      </c>
      <c r="DT26">
        <f>CU27-Table2[[#This Row],[5F1 Metering (TW-2)]]</f>
        <v>292.65600000001723</v>
      </c>
      <c r="DU26">
        <f>CV27-Table2[[#This Row],[6F1 Pre soaker Tray washer]]</f>
        <v>1.9231999999974505</v>
      </c>
      <c r="DV26">
        <f>CZ27-Table2[[#This Row],[6F5 Vent tray Storage]]</f>
        <v>133.66399999998976</v>
      </c>
      <c r="DW26">
        <f>I27-Table2[[#This Row],[Popeyes Meter ]]</f>
        <v>39</v>
      </c>
      <c r="DX26">
        <f>AZ27-Table2[[#This Row],[2F WH Chiller, Segregation Area]]</f>
        <v>0</v>
      </c>
      <c r="DY26">
        <f>BA27-Table2[[#This Row],[3F1 AC Unit WH dock cooling - 2 Nos]]</f>
        <v>21</v>
      </c>
      <c r="DZ26">
        <f>BB27-Table2[[#This Row],[3F2 AC Unit WH dock cooling - 3 Nos]]</f>
        <v>6.5999999999995396E-2</v>
      </c>
      <c r="EA26">
        <f>(BK27-Table2[[#This Row],[5F WH Perishable]])*1000</f>
        <v>281.00000000006276</v>
      </c>
      <c r="EB26">
        <f>BN27-Table2[[#This Row],[2F3 - PDB 9 - WH Dock Leveler Door ]]</f>
        <v>0.10959999999977299</v>
      </c>
      <c r="EC26">
        <f>BP27-Table2[[#This Row],[3F1 - PDB 5 - WH HSD]]</f>
        <v>128.57600000000093</v>
      </c>
      <c r="ED26">
        <f>BX27-Table2[[#This Row],[8F1 WH Dock AHU - Ventilation]]</f>
        <v>2319.7439999999478</v>
      </c>
      <c r="EE26">
        <f>BZ27-Table2[[#This Row],[8F3 ACPDB - 4 WH Dock air curtain]]</f>
        <v>3.952000000004773</v>
      </c>
      <c r="EF26">
        <f>CA27-Table2[[#This Row],[8F4 WH Light]]</f>
        <v>2.7644000000000233</v>
      </c>
      <c r="EG26">
        <f>CC27-Table2[[#This Row],[9F1 - PDB 10 - WH Dock door &amp; Office]]</f>
        <v>131.87200000000303</v>
      </c>
      <c r="EH26">
        <f>CD27-Table2[[#This Row],[9F2 - PDB 11 - WH flycatchers]]</f>
        <v>83.327999999979511</v>
      </c>
      <c r="EI26">
        <f>CE27-Table2[[#This Row],[9F3 - PDB 12 - Other items]]</f>
        <v>0</v>
      </c>
      <c r="EJ26">
        <f>CR27-Table2[[#This Row],[2F3 - PDB 1 - Dock 1 to 4 ]]</f>
        <v>77.736000000004424</v>
      </c>
      <c r="EK26">
        <f>BM27-Table2[[#This Row],[2F2 - PDB 3 - WH Truck &amp; Battery Charging]]</f>
        <v>380.83199999999488</v>
      </c>
      <c r="EL26">
        <f>(CK27-Table2[[#This Row],[PDB - 11 Truck Charging]])*1000</f>
        <v>19.000000000005457</v>
      </c>
      <c r="EM26">
        <f>P27-Table2[[#This Row],[5F3 Admin Area]]</f>
        <v>364.60800000000745</v>
      </c>
      <c r="EN26">
        <f>AH27-Table2[[#This Row],[2F5 Main Gate-1 Piller -1]]</f>
        <v>99.512000000016997</v>
      </c>
      <c r="EO26">
        <f>CW27-Table2[[#This Row],[6F2 Ground Floor AC]]</f>
        <v>14.604800000000978</v>
      </c>
      <c r="EP26">
        <f>CX27-Table2[[#This Row],[6F3 ACBD -1 (First floor AC)]]</f>
        <v>0</v>
      </c>
      <c r="EQ26">
        <f>CY27-Table2[[#This Row],[6F4 ACBD - 2 (Second &amp; Third floor AC)]]</f>
        <v>112.48000000001048</v>
      </c>
      <c r="ER26">
        <f>(BC27-Table2[[#This Row],[4F Old BMC cooling Unit]])</f>
        <v>0</v>
      </c>
      <c r="ES26">
        <f>BO27-Table2[[#This Row],[2F4 - Old BMC]]</f>
        <v>0</v>
      </c>
      <c r="ET26">
        <f>Y27-Table2[[#This Row],[14F2 New CK]]</f>
        <v>818.79999999981374</v>
      </c>
      <c r="EU26">
        <f>(CL27-Table2[[#This Row],[OLD Ck Panel-1]])*1000</f>
        <v>706.99999999999363</v>
      </c>
      <c r="EV26">
        <f>CM27-Table2[[#This Row],[2F4 Old CK Blast (Blue star)]]</f>
        <v>0</v>
      </c>
      <c r="EW26">
        <f>CN27-Table2[[#This Row],[3F6 Old CK Blast (Carrier)]]</f>
        <v>576.70000000000437</v>
      </c>
      <c r="EX26">
        <f>(CO27-Table2[[#This Row],[Old CK Panel -2]])*1000</f>
        <v>763.99999999989632</v>
      </c>
      <c r="EY26">
        <f>N27-Table2[[#This Row],[4F1 Main UPS 1/C -1]]</f>
        <v>909.28000000002794</v>
      </c>
      <c r="EZ26">
        <f>Z27-Table2[[#This Row],[15F1 Main UPS Panel - I/C - 2]]</f>
        <v>0</v>
      </c>
      <c r="FA26">
        <f>BF27-Table2[[#This Row],[2F CLC -1 AC unit - 2]]</f>
        <v>0</v>
      </c>
      <c r="FB26">
        <f>(BG27-Table2[[#This Row],[2F CLC Anti room]])*1000</f>
        <v>31.999999999996476</v>
      </c>
      <c r="FC26">
        <f>BW27-Table2[[#This Row],[7F3 CLC Power Panel]]</f>
        <v>237.11999999999534</v>
      </c>
      <c r="FD26">
        <f>(CI27-Table2[[#This Row],[PDB - 17 CLC Section ]])*1000</f>
        <v>163.00000000001091</v>
      </c>
      <c r="FE26">
        <f>(W27-Table2[[#This Row],[13F3 Water &amp; Lift Old CK]])*1000</f>
        <v>908.20000000007894</v>
      </c>
      <c r="FF26">
        <f>AA27-Table2[[#This Row],[15F2 New ETP Panel]]</f>
        <v>264.32000000006519</v>
      </c>
      <c r="FG26">
        <f>AL27-Table2[[#This Row],[3F4 Old ETP Panel]]</f>
        <v>78.239999999990687</v>
      </c>
      <c r="FH26">
        <f>AF27-Table2[[#This Row],[2F1 RO Plant]]</f>
        <v>496.64000000001397</v>
      </c>
      <c r="FI26">
        <f>AK27-Table2[[#This Row],[3F3 Fire Hydrant Panel]]</f>
        <v>9.3279999999940628</v>
      </c>
      <c r="FJ26">
        <f>R27-Table2[[#This Row],[7F1 Freon System Panel]]</f>
        <v>5523.839999999851</v>
      </c>
      <c r="FK26">
        <f>(AE27-Table2[[#This Row],[21F1 Refrigeration Ammonia]])*1000</f>
        <v>6810.4000000002998</v>
      </c>
      <c r="FL26">
        <f>(AG27-Table2[[#This Row],[2F3 Air Compressor]])*1000</f>
        <v>1063.0000000001019</v>
      </c>
      <c r="FM26">
        <f>(AX27-Table2[[#This Row],[Solar Reading Panel II]])*1000</f>
        <v>2462.9999999997381</v>
      </c>
      <c r="FN26">
        <f>AI27-Table2[[#This Row],[3F1 Maintenance Workshop]]</f>
        <v>6.6767999999992753</v>
      </c>
      <c r="FO26">
        <f>BD27-Table2[[#This Row],[4F B2B unit ]]</f>
        <v>59.071999999985565</v>
      </c>
      <c r="FP26">
        <f>BL27-Table2[[#This Row],[2F1 - PDB 6 - Bread, B2B section]]</f>
        <v>288.29439999999886</v>
      </c>
      <c r="FQ26">
        <f>(CG27-Table2[[#This Row],[9F5 - PDB 14 - Bread Lift]])</f>
        <v>0.44800000003306195</v>
      </c>
      <c r="FR26">
        <f>CJ27-Table2[[#This Row],[PDB - 16 Bread Section]]</f>
        <v>2.0999999999999091</v>
      </c>
      <c r="FS26">
        <f>BU27-Table2[[#This Row],[7F1 Donut Production area]]</f>
        <v>192.89600000006612</v>
      </c>
      <c r="FT26">
        <f>CB27-Table2[[#This Row],[8F5 Donut Ban Bary]]</f>
        <v>56.095999999990454</v>
      </c>
      <c r="FU26">
        <f>CF27-Table2[[#This Row],[9F4 - PDB 13 - Donut Sink Geyser area]]</f>
        <v>26.080000000016298</v>
      </c>
      <c r="FV26">
        <f>BV27-Table2[[#This Row],[7F2 Flour Silo]]</f>
        <v>524.07999999995809</v>
      </c>
      <c r="FW26">
        <f>BY27-Table2[[#This Row],[8F2 ACPDB - 3 SILO Ventilation]]</f>
        <v>48.543999999994412</v>
      </c>
      <c r="FX26">
        <f>J27-Table2[[#This Row],[DG 1010KVA Running Hours]]</f>
        <v>18.899999999999636</v>
      </c>
      <c r="FY26">
        <f>K27-Table2[[#This Row],[DG 1010 KVA Meter Reading]]</f>
        <v>9421</v>
      </c>
      <c r="FZ26">
        <f>L27-Table2[[#This Row],[GG 1010 KVA Running Hours]]</f>
        <v>19</v>
      </c>
      <c r="GA26">
        <f>M27-Table2[[#This Row],[GG 1010 KVA Meter Reading]]</f>
        <v>10.060000000000002</v>
      </c>
    </row>
    <row r="27" spans="1:183" x14ac:dyDescent="0.35">
      <c r="A27" s="1">
        <v>37</v>
      </c>
      <c r="B27" s="2">
        <v>46225.408182870371</v>
      </c>
      <c r="C27" s="2">
        <v>46225.448009259257</v>
      </c>
      <c r="D27" s="1" t="s">
        <v>111</v>
      </c>
      <c r="E27" s="1"/>
      <c r="F27" s="1"/>
      <c r="G27" s="3">
        <v>46225</v>
      </c>
      <c r="H27" s="1" t="s">
        <v>186</v>
      </c>
      <c r="I27" s="6">
        <v>6062.7219999999998</v>
      </c>
      <c r="J27" s="6">
        <v>4269.5</v>
      </c>
      <c r="K27" s="6">
        <v>1775990</v>
      </c>
      <c r="L27" s="6">
        <v>451</v>
      </c>
      <c r="M27" s="6">
        <v>189.99</v>
      </c>
      <c r="N27" s="6">
        <v>1856924.96</v>
      </c>
      <c r="O27" s="6">
        <v>4576525.12</v>
      </c>
      <c r="P27" s="6">
        <v>640963.77599999995</v>
      </c>
      <c r="Q27" s="6">
        <v>8053201.2800000003</v>
      </c>
      <c r="R27" s="6">
        <v>5467746.5599999996</v>
      </c>
      <c r="S27" s="6">
        <v>7323850.8799999999</v>
      </c>
      <c r="T27" s="6">
        <v>43041740.270999998</v>
      </c>
      <c r="U27" s="6">
        <v>2086699.84</v>
      </c>
      <c r="V27" s="6">
        <v>5094490.88</v>
      </c>
      <c r="W27" s="6">
        <v>1585.0325</v>
      </c>
      <c r="X27" s="6">
        <v>770486.4</v>
      </c>
      <c r="Y27" s="6">
        <v>1075778.1599999999</v>
      </c>
      <c r="Z27" s="6">
        <v>2777.8894</v>
      </c>
      <c r="AA27" s="6">
        <v>665042.43200000003</v>
      </c>
      <c r="AB27" s="6">
        <v>421133.85600000003</v>
      </c>
      <c r="AC27" s="6">
        <v>2129734.7200000002</v>
      </c>
      <c r="AD27" s="6">
        <v>3866614.0329999998</v>
      </c>
      <c r="AE27" s="6">
        <v>12720.257600000001</v>
      </c>
      <c r="AF27" s="6">
        <v>868620.92799999996</v>
      </c>
      <c r="AG27" s="6">
        <v>1384.779</v>
      </c>
      <c r="AH27" s="6">
        <v>132060.592</v>
      </c>
      <c r="AI27" s="6">
        <v>14567.168</v>
      </c>
      <c r="AJ27" s="6">
        <v>145329.92000000001</v>
      </c>
      <c r="AK27" s="6">
        <v>105086.04</v>
      </c>
      <c r="AL27" s="6">
        <v>329662.46399999998</v>
      </c>
      <c r="AM27" s="6">
        <v>984.23800000000006</v>
      </c>
      <c r="AN27" s="6">
        <v>190.1</v>
      </c>
      <c r="AO27" s="6">
        <v>6.7</v>
      </c>
      <c r="AP27" s="6">
        <v>335945</v>
      </c>
      <c r="AQ27" s="6">
        <v>42305</v>
      </c>
      <c r="AR27" s="6">
        <v>41761</v>
      </c>
      <c r="AS27" s="6">
        <v>32307</v>
      </c>
      <c r="AT27" s="6">
        <v>22056</v>
      </c>
      <c r="AU27" s="6">
        <v>15338</v>
      </c>
      <c r="AV27" s="6">
        <v>6229</v>
      </c>
      <c r="AW27" s="6">
        <v>20.841381999999999</v>
      </c>
      <c r="AX27" s="6">
        <v>7206.2849999999999</v>
      </c>
      <c r="AY27" s="6">
        <v>677.32511999999997</v>
      </c>
      <c r="AZ27" s="6">
        <v>20.788</v>
      </c>
      <c r="BA27" s="6">
        <v>10156</v>
      </c>
      <c r="BB27" s="6">
        <v>44.253999999999998</v>
      </c>
      <c r="BC27" s="6">
        <v>113988.60799999999</v>
      </c>
      <c r="BD27" s="6">
        <v>275205.08799999999</v>
      </c>
      <c r="BE27" s="6">
        <v>3710.5036</v>
      </c>
      <c r="BF27" s="6">
        <v>1712.0419999999999</v>
      </c>
      <c r="BG27" s="6">
        <v>74.643000000000001</v>
      </c>
      <c r="BH27" s="6">
        <v>360.41199999999998</v>
      </c>
      <c r="BI27" s="6">
        <v>909.55</v>
      </c>
      <c r="BJ27" s="6">
        <v>14.089</v>
      </c>
      <c r="BK27" s="6">
        <v>560.80600000000004</v>
      </c>
      <c r="BL27" s="6">
        <v>70150.515199999994</v>
      </c>
      <c r="BM27" s="6">
        <v>303448.25599999999</v>
      </c>
      <c r="BN27" s="6">
        <v>7165.8383999999996</v>
      </c>
      <c r="BO27" s="6">
        <v>53532.944000000003</v>
      </c>
      <c r="BP27" s="6">
        <v>312964.76799999998</v>
      </c>
      <c r="BQ27" s="6">
        <v>322.75400000000002</v>
      </c>
      <c r="BR27" s="6">
        <v>179.851</v>
      </c>
      <c r="BS27" s="6">
        <v>996266.46699999995</v>
      </c>
      <c r="BT27" s="6">
        <v>1400596.375</v>
      </c>
      <c r="BU27" s="6">
        <v>626789.24800000002</v>
      </c>
      <c r="BV27" s="6">
        <v>1016807.6</v>
      </c>
      <c r="BW27" s="6">
        <v>565696.76800000004</v>
      </c>
      <c r="BX27" s="6">
        <v>970462.848</v>
      </c>
      <c r="BY27" s="6">
        <v>157155.264</v>
      </c>
      <c r="BZ27" s="6">
        <v>114276.432</v>
      </c>
      <c r="CA27" s="6">
        <v>1212.8927000000001</v>
      </c>
      <c r="CB27" s="6">
        <v>108127.18399999999</v>
      </c>
      <c r="CC27" s="6">
        <v>149313.04</v>
      </c>
      <c r="CD27" s="6">
        <v>444149.984</v>
      </c>
      <c r="CE27" s="6">
        <v>49125.260799999996</v>
      </c>
      <c r="CF27" s="6">
        <v>155636.19200000001</v>
      </c>
      <c r="CG27" s="6">
        <v>360801.70240000001</v>
      </c>
      <c r="CH27" s="6">
        <v>2385.8710000000001</v>
      </c>
      <c r="CI27" s="6">
        <v>212.64500000000001</v>
      </c>
      <c r="CJ27" s="6">
        <v>1181.3</v>
      </c>
      <c r="CK27" s="6">
        <v>77.509</v>
      </c>
      <c r="CL27" s="6">
        <v>728.04</v>
      </c>
      <c r="CM27" s="6">
        <v>551.4</v>
      </c>
      <c r="CN27" s="6">
        <v>40760.300000000003</v>
      </c>
      <c r="CO27" s="6">
        <v>1642.194</v>
      </c>
      <c r="CP27" s="6">
        <v>292682.03200000001</v>
      </c>
      <c r="CQ27" s="6">
        <v>3671063.36</v>
      </c>
      <c r="CR27" s="6">
        <v>130426.496</v>
      </c>
      <c r="CS27" s="6">
        <v>511045.92</v>
      </c>
      <c r="CT27" s="6">
        <v>2895488.9419999998</v>
      </c>
      <c r="CU27" s="6">
        <v>295746.87800000003</v>
      </c>
      <c r="CV27" s="6">
        <v>30126.643199999999</v>
      </c>
      <c r="CW27" s="6">
        <v>62597.299200000001</v>
      </c>
      <c r="CX27" s="6">
        <v>33375.631999999998</v>
      </c>
      <c r="CY27" s="6">
        <v>166431.712</v>
      </c>
      <c r="CZ27" s="6">
        <v>217178.11199999999</v>
      </c>
      <c r="DA27" s="6">
        <v>18930.86</v>
      </c>
      <c r="DB27" s="6">
        <v>149004.65100000001</v>
      </c>
      <c r="DC27" s="6">
        <v>2962.47</v>
      </c>
      <c r="DD27" s="6">
        <v>2962.34</v>
      </c>
      <c r="DE27" s="6">
        <v>2987.22</v>
      </c>
      <c r="DF27" s="6">
        <v>0.99299999999999999</v>
      </c>
      <c r="DG27" s="1" t="s">
        <v>254</v>
      </c>
      <c r="DH27" s="4">
        <f>Table2[[#This Row],[Date]]</f>
        <v>46225</v>
      </c>
      <c r="DI27">
        <f>(DD28-Table2[[#This Row],[MWH Total]])*4000</f>
        <v>25799.999999999272</v>
      </c>
      <c r="DJ27">
        <f>(DA28-Table2[[#This Row],[PNG Meter (Outside)]])*2.936</f>
        <v>17.410480000000852</v>
      </c>
      <c r="DK27">
        <f>(DB28-Table2[[#This Row],[PNG Meter (Inside)]])*2.936</f>
        <v>430.71119999994875</v>
      </c>
      <c r="DL27">
        <f>(BH28-Table2[[#This Row],[3F Dough cooler - 2 ]])*1000</f>
        <v>266.00000000001955</v>
      </c>
      <c r="DM27">
        <f>(BI28-Table2[[#This Row],[3F Dough Cooler- 1]])*1000</f>
        <v>488.00000000005639</v>
      </c>
      <c r="DN27">
        <f>(BJ28-Table2[[#This Row],[4F Dough Production cooling Unit]])*1000</f>
        <v>36.999999999999034</v>
      </c>
      <c r="DO27">
        <f>(BQ28-Table2[[#This Row],[3F2 - PDB 3 - Dough Production Area]])*1000</f>
        <v>233.99999999998045</v>
      </c>
      <c r="DP27">
        <f>(BR28-Table2[[#This Row],[3F3 - PDB 4 - Dough Area]])*1000</f>
        <v>125</v>
      </c>
      <c r="DQ27">
        <f>AC28-Table2[[#This Row],[16F1 Tray washer Panel for Light]]</f>
        <v>738.71999999973923</v>
      </c>
      <c r="DR27">
        <f>CQ28-Table2[[#This Row],[2F1 Tray Washer - 1]]</f>
        <v>1429.1200000001118</v>
      </c>
      <c r="DS27">
        <f>CS28-Table2[[#This Row],[2F5 Destacker]]</f>
        <v>375.87200000003213</v>
      </c>
      <c r="DT27">
        <f>CU28-Table2[[#This Row],[5F1 Metering (TW-2)]]</f>
        <v>256.83899999997811</v>
      </c>
      <c r="DU27">
        <f>CV28-Table2[[#This Row],[6F1 Pre soaker Tray washer]]</f>
        <v>0</v>
      </c>
      <c r="DV27">
        <f>CZ28-Table2[[#This Row],[6F5 Vent tray Storage]]</f>
        <v>66.784000000014203</v>
      </c>
      <c r="DW27">
        <f>I28-Table2[[#This Row],[Popeyes Meter ]]</f>
        <v>76.030000000000655</v>
      </c>
      <c r="DX27">
        <f>AZ28-Table2[[#This Row],[2F WH Chiller, Segregation Area]]</f>
        <v>0</v>
      </c>
      <c r="DY27">
        <f>BA28-Table2[[#This Row],[3F1 AC Unit WH dock cooling - 2 Nos]]</f>
        <v>15</v>
      </c>
      <c r="DZ27">
        <f>BB28-Table2[[#This Row],[3F2 AC Unit WH dock cooling - 3 Nos]]</f>
        <v>4.700000000000415E-2</v>
      </c>
      <c r="EA27">
        <f>(BK28-Table2[[#This Row],[5F WH Perishable]])*1000</f>
        <v>290.99999999993997</v>
      </c>
      <c r="EB27">
        <f>BN28-Table2[[#This Row],[2F3 - PDB 9 - WH Dock Leveler Door ]]</f>
        <v>2.7120000000004438</v>
      </c>
      <c r="EC27">
        <f>BP28-Table2[[#This Row],[3F1 - PDB 5 - WH HSD]]</f>
        <v>133.98399999999674</v>
      </c>
      <c r="ED27">
        <f>BX28-Table2[[#This Row],[8F1 WH Dock AHU - Ventilation]]</f>
        <v>2348.6720000000205</v>
      </c>
      <c r="EE27">
        <f>BZ28-Table2[[#This Row],[8F3 ACPDB - 4 WH Dock air curtain]]</f>
        <v>8.5519999999960419</v>
      </c>
      <c r="EF27">
        <f>CA28-Table2[[#This Row],[8F4 WH Light]]</f>
        <v>2.7920999999998912</v>
      </c>
      <c r="EG27">
        <f>CC28-Table2[[#This Row],[9F1 - PDB 10 - WH Dock door &amp; Office]]</f>
        <v>141.03999999997905</v>
      </c>
      <c r="EH27">
        <f>CD28-Table2[[#This Row],[9F2 - PDB 11 - WH flycatchers]]</f>
        <v>242.49599999998463</v>
      </c>
      <c r="EI27">
        <f>CE28-Table2[[#This Row],[9F3 - PDB 12 - Other items]]</f>
        <v>0</v>
      </c>
      <c r="EJ27">
        <f>CR28-Table2[[#This Row],[2F3 - PDB 1 - Dock 1 to 4 ]]</f>
        <v>78.847999999998137</v>
      </c>
      <c r="EK27">
        <f>BM28-Table2[[#This Row],[2F2 - PDB 3 - WH Truck &amp; Battery Charging]]</f>
        <v>562.62400000001071</v>
      </c>
      <c r="EL27">
        <f>(CK28-Table2[[#This Row],[PDB - 11 Truck Charging]])*1000</f>
        <v>54.99999999999261</v>
      </c>
      <c r="EM27">
        <f>P28-Table2[[#This Row],[5F3 Admin Area]]</f>
        <v>374.52800000004936</v>
      </c>
      <c r="EN27">
        <f>AH28-Table2[[#This Row],[2F5 Main Gate-1 Piller -1]]</f>
        <v>101.24799999999232</v>
      </c>
      <c r="EO27">
        <f>CW28-Table2[[#This Row],[6F2 Ground Floor AC]]</f>
        <v>13.465599999995902</v>
      </c>
      <c r="EP27">
        <f>CX28-Table2[[#This Row],[6F3 ACBD -1 (First floor AC)]]</f>
        <v>11.625599999999395</v>
      </c>
      <c r="EQ27">
        <f>CY28-Table2[[#This Row],[6F4 ACBD - 2 (Second &amp; Third floor AC)]]</f>
        <v>144.30400000000373</v>
      </c>
      <c r="ER27">
        <f>(BC28-Table2[[#This Row],[4F Old BMC cooling Unit]])</f>
        <v>0</v>
      </c>
      <c r="ES27">
        <f>BO28-Table2[[#This Row],[2F4 - Old BMC]]</f>
        <v>0.68479999999544816</v>
      </c>
      <c r="ET27">
        <f>Y28-Table2[[#This Row],[14F2 New CK]]</f>
        <v>1585.6800000001676</v>
      </c>
      <c r="EU27">
        <f>(CL28-Table2[[#This Row],[OLD Ck Panel-1]])*1000</f>
        <v>744.00000000002819</v>
      </c>
      <c r="EV27">
        <f>CM28-Table2[[#This Row],[2F4 Old CK Blast (Blue star)]]</f>
        <v>0</v>
      </c>
      <c r="EW27">
        <f>CN28-Table2[[#This Row],[3F6 Old CK Blast (Carrier)]]</f>
        <v>602.79999999999563</v>
      </c>
      <c r="EX27">
        <f>(CO28-Table2[[#This Row],[Old CK Panel -2]])*1000</f>
        <v>948.00000000009277</v>
      </c>
      <c r="EY27">
        <f>N28-Table2[[#This Row],[4F1 Main UPS 1/C -1]]</f>
        <v>936</v>
      </c>
      <c r="EZ27">
        <f>Z28-Table2[[#This Row],[15F1 Main UPS Panel - I/C - 2]]</f>
        <v>0</v>
      </c>
      <c r="FA27">
        <f>BF28-Table2[[#This Row],[2F CLC -1 AC unit - 2]]</f>
        <v>0</v>
      </c>
      <c r="FB27">
        <f>(BG28-Table2[[#This Row],[2F CLC Anti room]])*1000</f>
        <v>34.000000000006025</v>
      </c>
      <c r="FC27">
        <f>BW28-Table2[[#This Row],[7F3 CLC Power Panel]]</f>
        <v>246.27199999999721</v>
      </c>
      <c r="FD27">
        <f>(CI28-Table2[[#This Row],[PDB - 17 CLC Section ]])*1000</f>
        <v>156.99999999998226</v>
      </c>
      <c r="FE27">
        <f>(W28-Table2[[#This Row],[13F3 Water &amp; Lift Old CK]])*1000</f>
        <v>559.19999999991887</v>
      </c>
      <c r="FF27">
        <f>AA28-Table2[[#This Row],[15F2 New ETP Panel]]</f>
        <v>266.11199999996461</v>
      </c>
      <c r="FG27">
        <f>AL28-Table2[[#This Row],[3F4 Old ETP Panel]]</f>
        <v>76.352000000013504</v>
      </c>
      <c r="FH27">
        <f>AF28-Table2[[#This Row],[2F1 RO Plant]]</f>
        <v>548.03200000000652</v>
      </c>
      <c r="FI27">
        <f>AK28-Table2[[#This Row],[3F3 Fire Hydrant Panel]]</f>
        <v>10.81600000000617</v>
      </c>
      <c r="FJ27">
        <f>R28-Table2[[#This Row],[7F1 Freon System Panel]]</f>
        <v>5591.6800000006333</v>
      </c>
      <c r="FK27">
        <f>(AE28-Table2[[#This Row],[21F1 Refrigeration Ammonia]])*1000</f>
        <v>7198.3999999993102</v>
      </c>
      <c r="FL27">
        <f>(AG28-Table2[[#This Row],[2F3 Air Compressor]])*1000</f>
        <v>955.99999999990359</v>
      </c>
      <c r="FM27">
        <f>(AX28-Table2[[#This Row],[Solar Reading Panel II]])*1000</f>
        <v>3235.9999999998763</v>
      </c>
      <c r="FN27">
        <f>AI28-Table2[[#This Row],[3F1 Maintenance Workshop]]</f>
        <v>5.1679999999996653</v>
      </c>
      <c r="FO27">
        <f>BD28-Table2[[#This Row],[4F B2B unit ]]</f>
        <v>63.584000000031665</v>
      </c>
      <c r="FP27">
        <f>BL28-Table2[[#This Row],[2F1 - PDB 6 - Bread, B2B section]]</f>
        <v>287.07200000000012</v>
      </c>
      <c r="FQ27">
        <f>(CG28-Table2[[#This Row],[9F5 - PDB 14 - Bread Lift]])</f>
        <v>0.57919999997830018</v>
      </c>
      <c r="FR27">
        <f>CJ28-Table2[[#This Row],[PDB - 16 Bread Section]]</f>
        <v>2.2000000000000455</v>
      </c>
      <c r="FS27">
        <f>BU28-Table2[[#This Row],[7F1 Donut Production area]]</f>
        <v>186.81599999999162</v>
      </c>
      <c r="FT27">
        <f>CB28-Table2[[#This Row],[8F5 Donut Ban Bary]]</f>
        <v>42.576000000000931</v>
      </c>
      <c r="FU27">
        <f>CF28-Table2[[#This Row],[9F4 - PDB 13 - Donut Sink Geyser area]]</f>
        <v>15.327999999979511</v>
      </c>
      <c r="FV27">
        <f>BV28-Table2[[#This Row],[7F2 Flour Silo]]</f>
        <v>678.64000000001397</v>
      </c>
      <c r="FW27">
        <f>BY28-Table2[[#This Row],[8F2 ACPDB - 3 SILO Ventilation]]</f>
        <v>49.279999999998836</v>
      </c>
      <c r="FX27">
        <f>J28-Table2[[#This Row],[DG 1010KVA Running Hours]]</f>
        <v>0</v>
      </c>
      <c r="FY27">
        <f>K28-Table2[[#This Row],[DG 1010 KVA Meter Reading]]</f>
        <v>0</v>
      </c>
      <c r="FZ27">
        <f>L28-Table2[[#This Row],[GG 1010 KVA Running Hours]]</f>
        <v>0</v>
      </c>
      <c r="GA27">
        <f>M28-Table2[[#This Row],[GG 1010 KVA Meter Reading]]</f>
        <v>0</v>
      </c>
    </row>
    <row r="28" spans="1:183" x14ac:dyDescent="0.35">
      <c r="A28" s="1">
        <v>38</v>
      </c>
      <c r="B28" s="2">
        <v>46226.410520833335</v>
      </c>
      <c r="C28" s="2">
        <v>46226.451249999998</v>
      </c>
      <c r="D28" s="1" t="s">
        <v>111</v>
      </c>
      <c r="E28" s="1"/>
      <c r="F28" s="1"/>
      <c r="G28" s="3">
        <v>46226</v>
      </c>
      <c r="H28" s="1" t="s">
        <v>186</v>
      </c>
      <c r="I28" s="6">
        <v>6138.7520000000004</v>
      </c>
      <c r="J28" s="6">
        <v>4269.5</v>
      </c>
      <c r="K28" s="6">
        <v>1775990</v>
      </c>
      <c r="L28" s="6">
        <v>451</v>
      </c>
      <c r="M28" s="6">
        <v>189.99</v>
      </c>
      <c r="N28" s="6">
        <v>1857860.96</v>
      </c>
      <c r="O28" s="6">
        <v>4578096.96</v>
      </c>
      <c r="P28" s="6">
        <v>641338.304</v>
      </c>
      <c r="Q28" s="6">
        <v>8056686.7199999997</v>
      </c>
      <c r="R28" s="6">
        <v>5473338.2400000002</v>
      </c>
      <c r="S28" s="6">
        <v>7327437.4400000004</v>
      </c>
      <c r="T28" s="6">
        <v>43053680.520999998</v>
      </c>
      <c r="U28" s="6">
        <v>2088284.8</v>
      </c>
      <c r="V28" s="6">
        <v>5096125.12</v>
      </c>
      <c r="W28" s="6">
        <v>1585.5916999999999</v>
      </c>
      <c r="X28" s="6">
        <v>770744.576</v>
      </c>
      <c r="Y28" s="6">
        <v>1077363.8400000001</v>
      </c>
      <c r="Z28" s="6">
        <v>2777.8894</v>
      </c>
      <c r="AA28" s="6">
        <v>665308.54399999999</v>
      </c>
      <c r="AB28" s="6">
        <v>421144.35200000001</v>
      </c>
      <c r="AC28" s="6">
        <v>2130473.44</v>
      </c>
      <c r="AD28" s="6">
        <v>3880644.6150000002</v>
      </c>
      <c r="AE28" s="6">
        <v>12727.456</v>
      </c>
      <c r="AF28" s="6">
        <v>869168.96</v>
      </c>
      <c r="AG28" s="6">
        <v>1385.7349999999999</v>
      </c>
      <c r="AH28" s="6">
        <v>132161.84</v>
      </c>
      <c r="AI28" s="6">
        <v>14572.335999999999</v>
      </c>
      <c r="AJ28" s="6">
        <v>145332.304</v>
      </c>
      <c r="AK28" s="6">
        <v>105096.856</v>
      </c>
      <c r="AL28" s="6">
        <v>329738.81599999999</v>
      </c>
      <c r="AM28" s="6">
        <v>984.78099999999995</v>
      </c>
      <c r="AN28" s="6">
        <v>192.2</v>
      </c>
      <c r="AO28" s="6">
        <v>7.1</v>
      </c>
      <c r="AP28" s="6">
        <v>343750</v>
      </c>
      <c r="AQ28" s="6">
        <v>42305</v>
      </c>
      <c r="AR28" s="6">
        <v>41761</v>
      </c>
      <c r="AS28" s="6">
        <v>32307</v>
      </c>
      <c r="AT28" s="6">
        <v>22056</v>
      </c>
      <c r="AU28" s="6">
        <v>15362</v>
      </c>
      <c r="AV28" s="6">
        <v>6243</v>
      </c>
      <c r="AW28" s="6">
        <v>20.84836</v>
      </c>
      <c r="AX28" s="6">
        <v>7209.5209999999997</v>
      </c>
      <c r="AY28" s="6">
        <v>677.44880000000001</v>
      </c>
      <c r="AZ28" s="6">
        <v>20.788</v>
      </c>
      <c r="BA28" s="6">
        <v>10171</v>
      </c>
      <c r="BB28" s="6">
        <v>44.301000000000002</v>
      </c>
      <c r="BC28" s="6">
        <v>113988.60799999999</v>
      </c>
      <c r="BD28" s="6">
        <v>275268.67200000002</v>
      </c>
      <c r="BE28" s="6">
        <v>3711.68</v>
      </c>
      <c r="BF28" s="6">
        <v>1712.0419999999999</v>
      </c>
      <c r="BG28" s="6">
        <v>74.677000000000007</v>
      </c>
      <c r="BH28" s="6">
        <v>360.678</v>
      </c>
      <c r="BI28" s="6">
        <v>910.03800000000001</v>
      </c>
      <c r="BJ28" s="6">
        <v>14.125999999999999</v>
      </c>
      <c r="BK28" s="6">
        <v>561.09699999999998</v>
      </c>
      <c r="BL28" s="6">
        <v>70437.587199999994</v>
      </c>
      <c r="BM28" s="6">
        <v>304010.88</v>
      </c>
      <c r="BN28" s="6">
        <v>7168.5504000000001</v>
      </c>
      <c r="BO28" s="6">
        <v>53533.628799999999</v>
      </c>
      <c r="BP28" s="6">
        <v>313098.75199999998</v>
      </c>
      <c r="BQ28" s="6">
        <v>322.988</v>
      </c>
      <c r="BR28" s="6">
        <v>179.976</v>
      </c>
      <c r="BS28" s="6">
        <v>997813.48899999994</v>
      </c>
      <c r="BT28" s="6">
        <v>1400596.9040000001</v>
      </c>
      <c r="BU28" s="6">
        <v>626976.06400000001</v>
      </c>
      <c r="BV28" s="6">
        <v>1017486.24</v>
      </c>
      <c r="BW28" s="6">
        <v>565943.04000000004</v>
      </c>
      <c r="BX28" s="6">
        <v>972811.52</v>
      </c>
      <c r="BY28" s="6">
        <v>157204.54399999999</v>
      </c>
      <c r="BZ28" s="6">
        <v>114284.984</v>
      </c>
      <c r="CA28" s="6">
        <v>1215.6848</v>
      </c>
      <c r="CB28" s="6">
        <v>108169.76</v>
      </c>
      <c r="CC28" s="6">
        <v>149454.07999999999</v>
      </c>
      <c r="CD28" s="6">
        <v>444392.48</v>
      </c>
      <c r="CE28" s="6">
        <v>49125.260799999996</v>
      </c>
      <c r="CF28" s="6">
        <v>155651.51999999999</v>
      </c>
      <c r="CG28" s="6">
        <v>360802.28159999999</v>
      </c>
      <c r="CH28" s="6">
        <v>2385.8710000000001</v>
      </c>
      <c r="CI28" s="6">
        <v>212.80199999999999</v>
      </c>
      <c r="CJ28" s="6">
        <v>1183.5</v>
      </c>
      <c r="CK28" s="6">
        <v>77.563999999999993</v>
      </c>
      <c r="CL28" s="6">
        <v>728.78399999999999</v>
      </c>
      <c r="CM28" s="6">
        <v>551.4</v>
      </c>
      <c r="CN28" s="6">
        <v>41363.1</v>
      </c>
      <c r="CO28" s="6">
        <v>1643.1420000000001</v>
      </c>
      <c r="CP28" s="6">
        <v>292847.21999999997</v>
      </c>
      <c r="CQ28" s="6">
        <v>3672492.48</v>
      </c>
      <c r="CR28" s="6">
        <v>130505.344</v>
      </c>
      <c r="CS28" s="6">
        <v>511421.79200000002</v>
      </c>
      <c r="CT28" s="6">
        <v>2899131.85</v>
      </c>
      <c r="CU28" s="6">
        <v>296003.717</v>
      </c>
      <c r="CV28" s="6">
        <v>30126.643199999999</v>
      </c>
      <c r="CW28" s="6">
        <v>62610.764799999997</v>
      </c>
      <c r="CX28" s="6">
        <v>33387.257599999997</v>
      </c>
      <c r="CY28" s="6">
        <v>166576.016</v>
      </c>
      <c r="CZ28" s="6">
        <v>217244.89600000001</v>
      </c>
      <c r="DA28" s="6">
        <v>18936.79</v>
      </c>
      <c r="DB28" s="6">
        <v>149151.351</v>
      </c>
      <c r="DC28" s="6">
        <v>2968.92</v>
      </c>
      <c r="DD28" s="6">
        <v>2968.79</v>
      </c>
      <c r="DE28" s="6">
        <v>2993.72</v>
      </c>
      <c r="DF28" s="6">
        <v>0.998</v>
      </c>
      <c r="DG28" s="1" t="s">
        <v>255</v>
      </c>
      <c r="DH28" s="4">
        <f>Table2[[#This Row],[Date]]</f>
        <v>46226</v>
      </c>
      <c r="DI28">
        <f>(DD29-Table2[[#This Row],[MWH Total]])*4000</f>
        <v>25680.000000000291</v>
      </c>
      <c r="DJ28">
        <f>(DA29-Table2[[#This Row],[PNG Meter (Outside)]])*2.936</f>
        <v>14.474480000000854</v>
      </c>
      <c r="DK28">
        <f>(DB29-Table2[[#This Row],[PNG Meter (Inside)]])*2.936</f>
        <v>357.58424800001501</v>
      </c>
      <c r="DL28">
        <f>(BH29-Table2[[#This Row],[3F Dough cooler - 2 ]])*1000</f>
        <v>240.99999999998545</v>
      </c>
      <c r="DM28">
        <f>(BI29-Table2[[#This Row],[3F Dough Cooler- 1]])*1000</f>
        <v>490.99999999998545</v>
      </c>
      <c r="DN28">
        <f>(BJ29-Table2[[#This Row],[4F Dough Production cooling Unit]])*1000</f>
        <v>41.000000000000369</v>
      </c>
      <c r="DO28">
        <f>(BQ29-Table2[[#This Row],[3F2 - PDB 3 - Dough Production Area]])*1000</f>
        <v>233.00000000000409</v>
      </c>
      <c r="DP28">
        <f>(BR29-Table2[[#This Row],[3F3 - PDB 4 - Dough Area]])*1000</f>
        <v>122.99999999999045</v>
      </c>
      <c r="DQ28">
        <f>AC29-Table2[[#This Row],[16F1 Tray washer Panel for Light]]</f>
        <v>730.87999999988824</v>
      </c>
      <c r="DR28">
        <f>CQ29-Table2[[#This Row],[2F1 Tray Washer - 1]]</f>
        <v>1319.0400000000373</v>
      </c>
      <c r="DS28">
        <f>CS29-Table2[[#This Row],[2F5 Destacker]]</f>
        <v>354.7839999999851</v>
      </c>
      <c r="DT28">
        <f>CU29-Table2[[#This Row],[5F1 Metering (TW-2)]]</f>
        <v>346.72299999999814</v>
      </c>
      <c r="DU28">
        <f>CV29-Table2[[#This Row],[6F1 Pre soaker Tray washer]]</f>
        <v>2.6112000000030093</v>
      </c>
      <c r="DV28">
        <f>CZ29-Table2[[#This Row],[6F5 Vent tray Storage]]</f>
        <v>68.432000000000698</v>
      </c>
      <c r="DW28">
        <f>I29-Table2[[#This Row],[Popeyes Meter ]]</f>
        <v>54.899999999999636</v>
      </c>
      <c r="DX28">
        <f>AZ29-Table2[[#This Row],[2F WH Chiller, Segregation Area]]</f>
        <v>0</v>
      </c>
      <c r="DY28" s="1">
        <f>BA29-Table2[[#This Row],[3F1 AC Unit WH dock cooling - 2 Nos]]</f>
        <v>16</v>
      </c>
      <c r="DZ28">
        <f>BB29-Table2[[#This Row],[3F2 AC Unit WH dock cooling - 3 Nos]]</f>
        <v>4.9999999999997158E-2</v>
      </c>
      <c r="EA28">
        <f>(BK29-Table2[[#This Row],[5F WH Perishable]])*1000</f>
        <v>292.00000000003001</v>
      </c>
      <c r="EB28">
        <f>BN29-Table2[[#This Row],[2F3 - PDB 9 - WH Dock Leveler Door ]]</f>
        <v>2.5671999999995023</v>
      </c>
      <c r="EC28">
        <f>BP29-Table2[[#This Row],[3F1 - PDB 5 - WH HSD]]</f>
        <v>101.98399999999674</v>
      </c>
      <c r="ED28">
        <f>BX29-Table2[[#This Row],[8F1 WH Dock AHU - Ventilation]]</f>
        <v>2321.7280000000028</v>
      </c>
      <c r="EE28">
        <f>BZ29-Table2[[#This Row],[8F3 ACPDB - 4 WH Dock air curtain]]</f>
        <v>16.480000000010477</v>
      </c>
      <c r="EF28">
        <f>CA29-Table2[[#This Row],[8F4 WH Light]]</f>
        <v>2.8036999999999352</v>
      </c>
      <c r="EG28">
        <f>CC29-Table2[[#This Row],[9F1 - PDB 10 - WH Dock door &amp; Office]]</f>
        <v>115.32800000000861</v>
      </c>
      <c r="EH28">
        <f>CD29-Table2[[#This Row],[9F2 - PDB 11 - WH flycatchers]]</f>
        <v>262.91200000001118</v>
      </c>
      <c r="EI28">
        <f>CE29-Table2[[#This Row],[9F3 - PDB 12 - Other items]]</f>
        <v>0</v>
      </c>
      <c r="EJ28">
        <f>CR29-Table2[[#This Row],[2F3 - PDB 1 - Dock 1 to 4 ]]</f>
        <v>78.376000000003842</v>
      </c>
      <c r="EK28">
        <f>BM29-Table2[[#This Row],[2F2 - PDB 3 - WH Truck &amp; Battery Charging]]</f>
        <v>543.10399999999208</v>
      </c>
      <c r="EL28">
        <f>(CK29-Table2[[#This Row],[PDB - 11 Truck Charging]])*1000</f>
        <v>53.000000000011482</v>
      </c>
      <c r="EM28">
        <f>P29-Table2[[#This Row],[5F3 Admin Area]]</f>
        <v>369.72800000000279</v>
      </c>
      <c r="EN28">
        <f>AH29-Table2[[#This Row],[2F5 Main Gate-1 Piller -1]]</f>
        <v>110.63200000001234</v>
      </c>
      <c r="EO28">
        <f>CW29-Table2[[#This Row],[6F2 Ground Floor AC]]</f>
        <v>24.531200000004901</v>
      </c>
      <c r="EP28">
        <f>CX29-Table2[[#This Row],[6F3 ACBD -1 (First floor AC)]]</f>
        <v>17.116800000003423</v>
      </c>
      <c r="EQ28">
        <f>CY29-Table2[[#This Row],[6F4 ACBD - 2 (Second &amp; Third floor AC)]]</f>
        <v>196.67199999999139</v>
      </c>
      <c r="ER28">
        <f>(BC29-Table2[[#This Row],[4F Old BMC cooling Unit]])</f>
        <v>0</v>
      </c>
      <c r="ES28">
        <f>BO29-Table2[[#This Row],[2F4 - Old BMC]]</f>
        <v>3.6160000000018044</v>
      </c>
      <c r="ET28">
        <f>Y29-Table2[[#This Row],[14F2 New CK]]</f>
        <v>1469.4399999999441</v>
      </c>
      <c r="EU28">
        <f>(CL29-Table2[[#This Row],[OLD Ck Panel-1]])*1000</f>
        <v>733.00000000006094</v>
      </c>
      <c r="EV28">
        <f>CM29-Table2[[#This Row],[2F4 Old CK Blast (Blue star)]]</f>
        <v>0</v>
      </c>
      <c r="EW28">
        <f>CN29-Table2[[#This Row],[3F6 Old CK Blast (Carrier)]]</f>
        <v>581.90000000000146</v>
      </c>
      <c r="EX28">
        <f>(CO29-Table2[[#This Row],[Old CK Panel -2]])*1000</f>
        <v>1230.9999999999945</v>
      </c>
      <c r="EY28">
        <f>N29-Table2[[#This Row],[4F1 Main UPS 1/C -1]]</f>
        <v>950.56000000005588</v>
      </c>
      <c r="EZ28">
        <f>Z29-Table2[[#This Row],[15F1 Main UPS Panel - I/C - 2]]</f>
        <v>0</v>
      </c>
      <c r="FA28">
        <f>BF29-Table2[[#This Row],[2F CLC -1 AC unit - 2]]</f>
        <v>0</v>
      </c>
      <c r="FB28">
        <f>(BG29-Table2[[#This Row],[2F CLC Anti room]])*1000</f>
        <v>34.999999999996589</v>
      </c>
      <c r="FC28">
        <f>BW29-Table2[[#This Row],[7F3 CLC Power Panel]]</f>
        <v>240.83199999993667</v>
      </c>
      <c r="FD28">
        <f>(CI29-Table2[[#This Row],[PDB - 17 CLC Section ]])*1000</f>
        <v>162.00000000000614</v>
      </c>
      <c r="FE28">
        <f>(W29-Table2[[#This Row],[13F3 Water &amp; Lift Old CK]])*1000</f>
        <v>593.80000000010114</v>
      </c>
      <c r="FF28">
        <f>AA29-Table2[[#This Row],[15F2 New ETP Panel]]</f>
        <v>258.4320000000298</v>
      </c>
      <c r="FG28">
        <f>AL29-Table2[[#This Row],[3F4 Old ETP Panel]]</f>
        <v>76.543999999994412</v>
      </c>
      <c r="FH28">
        <f>AF29-Table2[[#This Row],[2F1 RO Plant]]</f>
        <v>532.80000000004657</v>
      </c>
      <c r="FI28">
        <f>AK29-Table2[[#This Row],[3F3 Fire Hydrant Panel]]</f>
        <v>10.695999999996275</v>
      </c>
      <c r="FJ28">
        <f>R29-Table2[[#This Row],[7F1 Freon System Panel]]</f>
        <v>5872</v>
      </c>
      <c r="FK28">
        <f>(AE29-Table2[[#This Row],[21F1 Refrigeration Ammonia]])*1000</f>
        <v>6911.2000000004628</v>
      </c>
      <c r="FL28">
        <f>(AG29-Table2[[#This Row],[2F3 Air Compressor]])*1000</f>
        <v>1007.0000000000618</v>
      </c>
      <c r="FM28">
        <f>(AX29-Table2[[#This Row],[Solar Reading Panel II]])*1000</f>
        <v>2889.0000000001237</v>
      </c>
      <c r="FN28">
        <f>AI29-Table2[[#This Row],[3F1 Maintenance Workshop]]</f>
        <v>6.4240000000008877</v>
      </c>
      <c r="FO28">
        <f>BD29-Table2[[#This Row],[4F B2B unit ]]</f>
        <v>69.023999999975786</v>
      </c>
      <c r="FP28">
        <f>BL29-Table2[[#This Row],[2F1 - PDB 6 - Bread, B2B section]]</f>
        <v>279.32160000001022</v>
      </c>
      <c r="FQ28">
        <f>(CG29-Table2[[#This Row],[9F5 - PDB 14 - Bread Lift]])</f>
        <v>0.51199999998789281</v>
      </c>
      <c r="FR28">
        <f>CJ29-Table2[[#This Row],[PDB - 16 Bread Section]]</f>
        <v>2.2999999999999545</v>
      </c>
      <c r="FS28">
        <f>BU29-Table2[[#This Row],[7F1 Donut Production area]]</f>
        <v>213.11999999999534</v>
      </c>
      <c r="FT28">
        <f>CB29-Table2[[#This Row],[8F5 Donut Ban Bary]]</f>
        <v>63.160000000003492</v>
      </c>
      <c r="FU28">
        <f>CF29-Table2[[#This Row],[9F4 - PDB 13 - Donut Sink Geyser area]]</f>
        <v>15.440000000002328</v>
      </c>
      <c r="FV28">
        <f>BV29-Table2[[#This Row],[7F2 Flour Silo]]</f>
        <v>264.1600000000326</v>
      </c>
      <c r="FW28">
        <f>BY29-Table2[[#This Row],[8F2 ACPDB - 3 SILO Ventilation]]</f>
        <v>49.312000000005355</v>
      </c>
      <c r="FX28">
        <f>J29-Table2[[#This Row],[DG 1010KVA Running Hours]]</f>
        <v>0</v>
      </c>
      <c r="FY28">
        <f>K29-Table2[[#This Row],[DG 1010 KVA Meter Reading]]</f>
        <v>0</v>
      </c>
      <c r="FZ28">
        <f>L29-Table2[[#This Row],[GG 1010 KVA Running Hours]]</f>
        <v>0</v>
      </c>
      <c r="GA28">
        <f>M29-Table2[[#This Row],[GG 1010 KVA Meter Reading]]</f>
        <v>0</v>
      </c>
    </row>
    <row r="29" spans="1:183" x14ac:dyDescent="0.35">
      <c r="A29" s="1">
        <v>39</v>
      </c>
      <c r="B29" s="2">
        <v>46227.412708333337</v>
      </c>
      <c r="C29" s="2">
        <v>46227.458124999997</v>
      </c>
      <c r="D29" s="1" t="s">
        <v>111</v>
      </c>
      <c r="E29" s="1"/>
      <c r="F29" s="1"/>
      <c r="G29" s="3">
        <v>46227</v>
      </c>
      <c r="H29" s="1" t="s">
        <v>186</v>
      </c>
      <c r="I29" s="6">
        <v>6193.652</v>
      </c>
      <c r="J29" s="6">
        <v>4269.5</v>
      </c>
      <c r="K29" s="6">
        <v>1775990</v>
      </c>
      <c r="L29" s="6">
        <v>451</v>
      </c>
      <c r="M29" s="6">
        <v>189.99</v>
      </c>
      <c r="N29" s="6">
        <v>1858811.52</v>
      </c>
      <c r="O29" s="6">
        <v>4579729.92</v>
      </c>
      <c r="P29" s="6">
        <v>641708.03200000001</v>
      </c>
      <c r="Q29" s="6">
        <v>8059734.4000000004</v>
      </c>
      <c r="R29" s="6">
        <v>5479210.2400000002</v>
      </c>
      <c r="S29" s="6">
        <v>7331094.4000000004</v>
      </c>
      <c r="T29" s="6">
        <v>43066022.715999998</v>
      </c>
      <c r="U29" s="6">
        <v>2089742.88</v>
      </c>
      <c r="V29" s="6">
        <v>5097704.96</v>
      </c>
      <c r="W29" s="6">
        <v>1586.1855</v>
      </c>
      <c r="X29" s="6">
        <v>771085.696</v>
      </c>
      <c r="Y29" s="6">
        <v>1078833.28</v>
      </c>
      <c r="Z29" s="6">
        <v>2777.8894</v>
      </c>
      <c r="AA29" s="6">
        <v>665566.97600000002</v>
      </c>
      <c r="AB29" s="6">
        <v>421154.72</v>
      </c>
      <c r="AC29" s="6">
        <v>2131204.3199999998</v>
      </c>
      <c r="AD29" s="6">
        <v>3893897.1579999998</v>
      </c>
      <c r="AE29" s="6">
        <v>12734.367200000001</v>
      </c>
      <c r="AF29" s="6">
        <v>869701.76</v>
      </c>
      <c r="AG29" s="6">
        <v>1386.742</v>
      </c>
      <c r="AH29" s="6">
        <v>132272.47200000001</v>
      </c>
      <c r="AI29" s="6">
        <v>14578.76</v>
      </c>
      <c r="AJ29" s="6">
        <v>145334.91200000001</v>
      </c>
      <c r="AK29" s="6">
        <v>105107.552</v>
      </c>
      <c r="AL29" s="6">
        <v>329815.36</v>
      </c>
      <c r="AM29" s="6">
        <v>985.327</v>
      </c>
      <c r="AN29" s="6">
        <v>282.3</v>
      </c>
      <c r="AO29" s="6">
        <v>7.6</v>
      </c>
      <c r="AP29" s="6">
        <v>352475</v>
      </c>
      <c r="AQ29" s="6">
        <v>42305</v>
      </c>
      <c r="AR29" s="6">
        <v>41761</v>
      </c>
      <c r="AS29" s="6">
        <v>32307</v>
      </c>
      <c r="AT29" s="6">
        <v>22056</v>
      </c>
      <c r="AU29" s="6">
        <v>15386</v>
      </c>
      <c r="AV29" s="6">
        <v>6259</v>
      </c>
      <c r="AW29" s="6">
        <v>20.855056000000001</v>
      </c>
      <c r="AX29" s="6">
        <v>7212.41</v>
      </c>
      <c r="AY29" s="6">
        <v>677.58352000000002</v>
      </c>
      <c r="AZ29" s="6">
        <v>20.788</v>
      </c>
      <c r="BA29" s="6">
        <v>10187</v>
      </c>
      <c r="BB29" s="6">
        <v>44.350999999999999</v>
      </c>
      <c r="BC29" s="6">
        <v>113988.60799999999</v>
      </c>
      <c r="BD29" s="6">
        <v>275337.696</v>
      </c>
      <c r="BE29" s="6">
        <v>3712.8488000000002</v>
      </c>
      <c r="BF29" s="6">
        <v>1712.0419999999999</v>
      </c>
      <c r="BG29" s="6">
        <v>74.712000000000003</v>
      </c>
      <c r="BH29" s="6">
        <v>360.91899999999998</v>
      </c>
      <c r="BI29" s="6">
        <v>910.529</v>
      </c>
      <c r="BJ29" s="6">
        <v>14.167</v>
      </c>
      <c r="BK29" s="6">
        <v>561.38900000000001</v>
      </c>
      <c r="BL29" s="6">
        <v>70716.908800000005</v>
      </c>
      <c r="BM29" s="6">
        <v>304553.984</v>
      </c>
      <c r="BN29" s="6">
        <v>7171.1175999999996</v>
      </c>
      <c r="BO29" s="6">
        <v>53537.2448</v>
      </c>
      <c r="BP29" s="6">
        <v>313200.73599999998</v>
      </c>
      <c r="BQ29" s="6">
        <v>323.221</v>
      </c>
      <c r="BR29" s="6">
        <v>180.09899999999999</v>
      </c>
      <c r="BS29" s="6">
        <v>999263.18500000006</v>
      </c>
      <c r="BT29" s="6">
        <v>1400599.6059999999</v>
      </c>
      <c r="BU29" s="6">
        <v>627189.18400000001</v>
      </c>
      <c r="BV29" s="6">
        <v>1017750.4</v>
      </c>
      <c r="BW29" s="6">
        <v>566183.87199999997</v>
      </c>
      <c r="BX29" s="6">
        <v>975133.24800000002</v>
      </c>
      <c r="BY29" s="6">
        <v>157253.856</v>
      </c>
      <c r="BZ29" s="6">
        <v>114301.46400000001</v>
      </c>
      <c r="CA29" s="6">
        <v>1218.4884999999999</v>
      </c>
      <c r="CB29" s="6">
        <v>108232.92</v>
      </c>
      <c r="CC29" s="6">
        <v>149569.408</v>
      </c>
      <c r="CD29" s="6">
        <v>444655.39199999999</v>
      </c>
      <c r="CE29" s="6">
        <v>49125.260799999996</v>
      </c>
      <c r="CF29" s="6">
        <v>155666.96</v>
      </c>
      <c r="CG29" s="6">
        <v>360802.79359999998</v>
      </c>
      <c r="CH29" s="6">
        <v>2385.8710000000001</v>
      </c>
      <c r="CI29" s="6">
        <v>212.964</v>
      </c>
      <c r="CJ29" s="6">
        <v>1185.8</v>
      </c>
      <c r="CK29" s="6">
        <v>77.617000000000004</v>
      </c>
      <c r="CL29" s="6">
        <v>729.51700000000005</v>
      </c>
      <c r="CM29" s="6">
        <v>551.4</v>
      </c>
      <c r="CN29" s="6">
        <v>41945</v>
      </c>
      <c r="CO29" s="6">
        <v>1644.373</v>
      </c>
      <c r="CP29" s="6">
        <v>293012.94900000002</v>
      </c>
      <c r="CQ29" s="6">
        <v>3673811.52</v>
      </c>
      <c r="CR29" s="6">
        <v>130583.72</v>
      </c>
      <c r="CS29" s="6">
        <v>511776.576</v>
      </c>
      <c r="CT29" s="6">
        <v>2902908.6129999999</v>
      </c>
      <c r="CU29" s="6">
        <v>296350.44</v>
      </c>
      <c r="CV29" s="6">
        <v>30129.254400000002</v>
      </c>
      <c r="CW29" s="6">
        <v>62635.296000000002</v>
      </c>
      <c r="CX29" s="6">
        <v>33404.374400000001</v>
      </c>
      <c r="CY29" s="6">
        <v>166772.68799999999</v>
      </c>
      <c r="CZ29" s="6">
        <v>217313.32800000001</v>
      </c>
      <c r="DA29" s="6">
        <v>18941.72</v>
      </c>
      <c r="DB29" s="6">
        <v>149273.144</v>
      </c>
      <c r="DC29" s="6">
        <v>2975.34</v>
      </c>
      <c r="DD29" s="6">
        <v>2975.21</v>
      </c>
      <c r="DE29" s="6">
        <v>3000.21</v>
      </c>
      <c r="DF29" s="6">
        <v>0.996</v>
      </c>
      <c r="DG29" s="1" t="s">
        <v>256</v>
      </c>
      <c r="DH29" s="4">
        <f>Table2[[#This Row],[Date]]</f>
        <v>46227</v>
      </c>
      <c r="DI29">
        <f>(DD30-Table2[[#This Row],[MWH Total]])*4000</f>
        <v>25360.000000000582</v>
      </c>
      <c r="DJ29">
        <f>(DA30-Table2[[#This Row],[PNG Meter (Outside)]])*2.936</f>
        <v>7.0463999999935911</v>
      </c>
      <c r="DK29">
        <f>(DB30-Table2[[#This Row],[PNG Meter (Inside)]])*2.936</f>
        <v>280.84895200001915</v>
      </c>
      <c r="DL29">
        <f>(BH30-Table2[[#This Row],[3F Dough cooler - 2 ]])*1000</f>
        <v>161.00000000000136</v>
      </c>
      <c r="DM29">
        <f>(BI30-Table2[[#This Row],[3F Dough Cooler- 1]])*1000</f>
        <v>337.99999999996544</v>
      </c>
      <c r="DN29">
        <f>(BJ30-Table2[[#This Row],[4F Dough Production cooling Unit]])*1000</f>
        <v>13.999999999999346</v>
      </c>
      <c r="DO29">
        <f>(BQ30-Table2[[#This Row],[3F2 - PDB 3 - Dough Production Area]])*1000</f>
        <v>120.00000000000455</v>
      </c>
      <c r="DP29">
        <f>(BR30-Table2[[#This Row],[3F3 - PDB 4 - Dough Area]])*1000</f>
        <v>64.000000000021373</v>
      </c>
      <c r="DQ29">
        <f>AC30-Table2[[#This Row],[16F1 Tray washer Panel for Light]]</f>
        <v>622.72000000020489</v>
      </c>
      <c r="DR29">
        <f>CQ30-Table2[[#This Row],[2F1 Tray Washer - 1]]</f>
        <v>616</v>
      </c>
      <c r="DS29">
        <f>CS30-Table2[[#This Row],[2F5 Destacker]]</f>
        <v>173.40799999999581</v>
      </c>
      <c r="DT29">
        <f>CU30-Table2[[#This Row],[5F1 Metering (TW-2)]]</f>
        <v>239.92200000002049</v>
      </c>
      <c r="DU29">
        <f>CV30-Table2[[#This Row],[6F1 Pre soaker Tray washer]]</f>
        <v>3.1999999991967343E-3</v>
      </c>
      <c r="DV29">
        <f>CZ30-Table2[[#This Row],[6F5 Vent tray Storage]]</f>
        <v>76.304000000003725</v>
      </c>
      <c r="DW29">
        <f>I30-Table2[[#This Row],[Popeyes Meter ]]</f>
        <v>57.159999999999854</v>
      </c>
      <c r="DX29">
        <f>AZ30-Table2[[#This Row],[2F WH Chiller, Segregation Area]]</f>
        <v>0</v>
      </c>
      <c r="DY29">
        <f>BA30-Table2[[#This Row],[3F1 AC Unit WH dock cooling - 2 Nos]]</f>
        <v>14</v>
      </c>
      <c r="DZ29">
        <f>BB30-Table2[[#This Row],[3F2 AC Unit WH dock cooling - 3 Nos]]</f>
        <v>3.5000000000003695E-2</v>
      </c>
      <c r="EA29">
        <f>(BK30-Table2[[#This Row],[5F WH Perishable]])*1000</f>
        <v>202.99999999997453</v>
      </c>
      <c r="EB29">
        <f>BN30-Table2[[#This Row],[2F3 - PDB 9 - WH Dock Leveler Door ]]</f>
        <v>0.36560000000008586</v>
      </c>
      <c r="EC29">
        <f>BP30-Table2[[#This Row],[3F1 - PDB 5 - WH HSD]]</f>
        <v>81.792000000015832</v>
      </c>
      <c r="ED29">
        <f>BX30-Table2[[#This Row],[8F1 WH Dock AHU - Ventilation]]</f>
        <v>1668.1520000000019</v>
      </c>
      <c r="EE29">
        <f>BZ30-Table2[[#This Row],[8F3 ACPDB - 4 WH Dock air curtain]]</f>
        <v>6.5119999999878928</v>
      </c>
      <c r="EF29">
        <f>CA30-Table2[[#This Row],[8F4 WH Light]]</f>
        <v>1.9457999999999629</v>
      </c>
      <c r="EG29">
        <f>CC30-Table2[[#This Row],[9F1 - PDB 10 - WH Dock door &amp; Office]]</f>
        <v>120.46400000000722</v>
      </c>
      <c r="EH29">
        <f>CD30-Table2[[#This Row],[9F2 - PDB 11 - WH flycatchers]]</f>
        <v>182.23999999999069</v>
      </c>
      <c r="EI29">
        <f>CE30-Table2[[#This Row],[9F3 - PDB 12 - Other items]]</f>
        <v>0</v>
      </c>
      <c r="EJ29">
        <f>CR30-Table2[[#This Row],[2F3 - PDB 1 - Dock 1 to 4 ]]</f>
        <v>41.19199999999546</v>
      </c>
      <c r="EK29">
        <f>BM30-Table2[[#This Row],[2F2 - PDB 3 - WH Truck &amp; Battery Charging]]</f>
        <v>481.72800000000279</v>
      </c>
      <c r="EL29">
        <f>(CK30-Table2[[#This Row],[PDB - 11 Truck Charging]])*1000</f>
        <v>45.000000000001705</v>
      </c>
      <c r="EM29">
        <f>P30-Table2[[#This Row],[5F3 Admin Area]]</f>
        <v>304.12800000002608</v>
      </c>
      <c r="EN29">
        <f>AH30-Table2[[#This Row],[2F5 Main Gate-1 Piller -1]]</f>
        <v>85.872000000003027</v>
      </c>
      <c r="EO29">
        <f>CW30-Table2[[#This Row],[6F2 Ground Floor AC]]</f>
        <v>22.124799999997776</v>
      </c>
      <c r="EP29">
        <f>CX30-Table2[[#This Row],[6F3 ACBD -1 (First floor AC)]]</f>
        <v>10.976000000002387</v>
      </c>
      <c r="EQ29">
        <f>CY30-Table2[[#This Row],[6F4 ACBD - 2 (Second &amp; Third floor AC)]]</f>
        <v>107.82399999999325</v>
      </c>
      <c r="ER29">
        <f>(BC30-Table2[[#This Row],[4F Old BMC cooling Unit]])</f>
        <v>0</v>
      </c>
      <c r="ES29">
        <f>BO30-Table2[[#This Row],[2F4 - Old BMC]]</f>
        <v>2.4864000000015949</v>
      </c>
      <c r="ET29">
        <f>Y30-Table2[[#This Row],[14F2 New CK]]</f>
        <v>1392.5600000000559</v>
      </c>
      <c r="EU29">
        <f>(CL30-Table2[[#This Row],[OLD Ck Panel-1]])*1000</f>
        <v>500</v>
      </c>
      <c r="EV29">
        <f>CM30-Table2[[#This Row],[2F4 Old CK Blast (Blue star)]]</f>
        <v>0</v>
      </c>
      <c r="EW29">
        <f>CN30-Table2[[#This Row],[3F6 Old CK Blast (Carrier)]]</f>
        <v>391</v>
      </c>
      <c r="EX29">
        <f>(CO30-Table2[[#This Row],[Old CK Panel -2]])*1000</f>
        <v>887.99999999991996</v>
      </c>
      <c r="EY29">
        <f>N30-Table2[[#This Row],[4F1 Main UPS 1/C -1]]</f>
        <v>797.91999999992549</v>
      </c>
      <c r="EZ29">
        <f>Z30-Table2[[#This Row],[15F1 Main UPS Panel - I/C - 2]]</f>
        <v>0</v>
      </c>
      <c r="FA29">
        <f>BF30-Table2[[#This Row],[2F CLC -1 AC unit - 2]]</f>
        <v>0</v>
      </c>
      <c r="FB29">
        <f>(BG30-Table2[[#This Row],[2F CLC Anti room]])*1000</f>
        <v>22.999999999996135</v>
      </c>
      <c r="FC29">
        <f>BW30-Table2[[#This Row],[7F3 CLC Power Panel]]</f>
        <v>222.27199999999721</v>
      </c>
      <c r="FD29">
        <f>(CI30-Table2[[#This Row],[PDB - 17 CLC Section ]])*1000</f>
        <v>147.99999999999613</v>
      </c>
      <c r="FE29">
        <f>(W30-Table2[[#This Row],[13F3 Water &amp; Lift Old CK]])*1000</f>
        <v>571.59999999998945</v>
      </c>
      <c r="FF29">
        <f>AA30-Table2[[#This Row],[15F2 New ETP Panel]]</f>
        <v>230.91200000001118</v>
      </c>
      <c r="FG29">
        <f>AL30-Table2[[#This Row],[3F4 Old ETP Panel]]</f>
        <v>57.720000000030268</v>
      </c>
      <c r="FH29">
        <f>AF30-Table2[[#This Row],[2F1 RO Plant]]</f>
        <v>419.07099999999627</v>
      </c>
      <c r="FI29">
        <f>AK30-Table2[[#This Row],[3F3 Fire Hydrant Panel]]</f>
        <v>8.7200000000011642</v>
      </c>
      <c r="FJ29">
        <f>R30-Table2[[#This Row],[7F1 Freon System Panel]]</f>
        <v>4254.0800000000745</v>
      </c>
      <c r="FK29">
        <f>(AE30-Table2[[#This Row],[21F1 Refrigeration Ammonia]])*1000</f>
        <v>5377.5999999998021</v>
      </c>
      <c r="FL29">
        <f>(AG30-Table2[[#This Row],[2F3 Air Compressor]])*1000</f>
        <v>863.00000000005639</v>
      </c>
      <c r="FM29">
        <f>(AX30-Table2[[#This Row],[Solar Reading Panel II]])*1000</f>
        <v>1867.0000000001892</v>
      </c>
      <c r="FN29">
        <f>AI30-Table2[[#This Row],[3F1 Maintenance Workshop]]</f>
        <v>3.3392000000003463</v>
      </c>
      <c r="FO29">
        <f>BD30-Table2[[#This Row],[4F B2B unit ]]</f>
        <v>36.416000000026543</v>
      </c>
      <c r="FP29">
        <f>BL30-Table2[[#This Row],[2F1 - PDB 6 - Bread, B2B section]]</f>
        <v>159.34079999999085</v>
      </c>
      <c r="FQ29">
        <f>(CG30-Table2[[#This Row],[9F5 - PDB 14 - Bread Lift]])</f>
        <v>0.30080000002635643</v>
      </c>
      <c r="FR29">
        <f>CJ30-Table2[[#This Row],[PDB - 16 Bread Section]]</f>
        <v>0.60000000000013642</v>
      </c>
      <c r="FS29">
        <f>BU30-Table2[[#This Row],[7F1 Donut Production area]]</f>
        <v>168.64000000001397</v>
      </c>
      <c r="FT29">
        <f>CB30-Table2[[#This Row],[8F5 Donut Ban Bary]]</f>
        <v>29.304000000003725</v>
      </c>
      <c r="FU29">
        <f>CF30-Table2[[#This Row],[9F4 - PDB 13 - Donut Sink Geyser area]]</f>
        <v>10.192000000010012</v>
      </c>
      <c r="FV29">
        <f>BV30-Table2[[#This Row],[7F2 Flour Silo]]</f>
        <v>182.88000000000466</v>
      </c>
      <c r="FW29">
        <f>BY30-Table2[[#This Row],[8F2 ACPDB - 3 SILO Ventilation]]</f>
        <v>33.98399999999674</v>
      </c>
      <c r="FX29">
        <f>J30-Table2[[#This Row],[DG 1010KVA Running Hours]]</f>
        <v>0</v>
      </c>
      <c r="FY29">
        <f>K30-Table2[[#This Row],[DG 1010 KVA Meter Reading]]</f>
        <v>0</v>
      </c>
      <c r="FZ29">
        <f>L30-Table2[[#This Row],[GG 1010 KVA Running Hours]]</f>
        <v>0</v>
      </c>
      <c r="GA29">
        <f>M30-Table2[[#This Row],[GG 1010 KVA Meter Reading]]</f>
        <v>0</v>
      </c>
    </row>
    <row r="30" spans="1:183" x14ac:dyDescent="0.35">
      <c r="A30" s="1">
        <v>40</v>
      </c>
      <c r="B30" s="2">
        <v>46228.374560185184</v>
      </c>
      <c r="C30" s="2">
        <v>46228.392372685186</v>
      </c>
      <c r="D30" s="1" t="s">
        <v>111</v>
      </c>
      <c r="E30" s="1"/>
      <c r="F30" s="1"/>
      <c r="G30" s="3">
        <v>46228</v>
      </c>
      <c r="H30" s="1" t="s">
        <v>186</v>
      </c>
      <c r="I30" s="6">
        <v>6250.8119999999999</v>
      </c>
      <c r="J30" s="6">
        <v>4269.5</v>
      </c>
      <c r="K30" s="6">
        <v>1775990</v>
      </c>
      <c r="L30" s="6">
        <v>451</v>
      </c>
      <c r="M30" s="6">
        <v>189.99</v>
      </c>
      <c r="N30" s="6">
        <v>1859609.44</v>
      </c>
      <c r="O30" s="6">
        <v>4571079.04</v>
      </c>
      <c r="P30" s="6">
        <v>642012.16000000003</v>
      </c>
      <c r="Q30" s="6">
        <v>8062229.7599999998</v>
      </c>
      <c r="R30" s="6">
        <v>5483464.3200000003</v>
      </c>
      <c r="S30" s="6">
        <v>7333733.7599999998</v>
      </c>
      <c r="T30" s="6">
        <v>42641304.476000004</v>
      </c>
      <c r="U30" s="6">
        <v>2090951.6799999999</v>
      </c>
      <c r="V30" s="6">
        <v>5098956.16</v>
      </c>
      <c r="W30" s="6">
        <v>1586.7571</v>
      </c>
      <c r="X30" s="6">
        <v>771376.25600000005</v>
      </c>
      <c r="Y30" s="6">
        <v>1080225.8400000001</v>
      </c>
      <c r="Z30" s="6">
        <v>2777.8894</v>
      </c>
      <c r="AA30" s="6">
        <v>665797.88800000004</v>
      </c>
      <c r="AB30" s="6">
        <v>421161.28</v>
      </c>
      <c r="AC30" s="6">
        <v>2131827.04</v>
      </c>
      <c r="AD30" s="6">
        <v>2565671.5010000002</v>
      </c>
      <c r="AE30" s="6">
        <v>12739.7448</v>
      </c>
      <c r="AF30" s="6">
        <v>870120.83100000001</v>
      </c>
      <c r="AG30" s="6">
        <v>1387.605</v>
      </c>
      <c r="AH30" s="6">
        <v>132358.34400000001</v>
      </c>
      <c r="AI30" s="6">
        <v>14582.099200000001</v>
      </c>
      <c r="AJ30" s="6">
        <v>145336.976</v>
      </c>
      <c r="AK30" s="6">
        <v>105116.272</v>
      </c>
      <c r="AL30" s="6">
        <v>329873.08</v>
      </c>
      <c r="AM30" s="6">
        <v>985.80700000000002</v>
      </c>
      <c r="AN30" s="6">
        <v>253</v>
      </c>
      <c r="AO30" s="6">
        <v>7.8</v>
      </c>
      <c r="AP30" s="6">
        <v>360036</v>
      </c>
      <c r="AQ30" s="6">
        <v>42305</v>
      </c>
      <c r="AR30" s="6">
        <v>41761</v>
      </c>
      <c r="AS30" s="6">
        <v>32307</v>
      </c>
      <c r="AT30" s="6">
        <v>22056</v>
      </c>
      <c r="AU30" s="6">
        <v>15405</v>
      </c>
      <c r="AV30" s="6">
        <v>6272</v>
      </c>
      <c r="AW30" s="6">
        <v>20.860119999999998</v>
      </c>
      <c r="AX30" s="6">
        <v>7214.277</v>
      </c>
      <c r="AY30" s="6">
        <v>677.68104000000005</v>
      </c>
      <c r="AZ30" s="6">
        <v>20.788</v>
      </c>
      <c r="BA30" s="6">
        <v>10201</v>
      </c>
      <c r="BB30" s="6">
        <v>44.386000000000003</v>
      </c>
      <c r="BC30" s="6">
        <v>113988.60799999999</v>
      </c>
      <c r="BD30" s="6">
        <v>275374.11200000002</v>
      </c>
      <c r="BE30" s="6">
        <v>3713.6307999999999</v>
      </c>
      <c r="BF30" s="6">
        <v>1712.0419999999999</v>
      </c>
      <c r="BG30" s="6">
        <v>74.734999999999999</v>
      </c>
      <c r="BH30" s="6">
        <v>361.08</v>
      </c>
      <c r="BI30" s="6">
        <v>910.86699999999996</v>
      </c>
      <c r="BJ30" s="6">
        <v>14.180999999999999</v>
      </c>
      <c r="BK30" s="6">
        <v>561.59199999999998</v>
      </c>
      <c r="BL30" s="6">
        <v>70876.249599999996</v>
      </c>
      <c r="BM30" s="6">
        <v>305035.712</v>
      </c>
      <c r="BN30" s="6">
        <v>7171.4831999999997</v>
      </c>
      <c r="BO30" s="6">
        <v>53539.731200000002</v>
      </c>
      <c r="BP30" s="6">
        <v>313282.52799999999</v>
      </c>
      <c r="BQ30" s="6">
        <v>323.34100000000001</v>
      </c>
      <c r="BR30" s="6">
        <v>180.16300000000001</v>
      </c>
      <c r="BS30" s="6">
        <v>1000270.384</v>
      </c>
      <c r="BT30" s="6">
        <v>1400600.8929999999</v>
      </c>
      <c r="BU30" s="6">
        <v>627357.82400000002</v>
      </c>
      <c r="BV30" s="6">
        <v>1017933.28</v>
      </c>
      <c r="BW30" s="6">
        <v>566406.14399999997</v>
      </c>
      <c r="BX30" s="6">
        <v>976801.4</v>
      </c>
      <c r="BY30" s="6">
        <v>157287.84</v>
      </c>
      <c r="BZ30" s="6">
        <v>114307.976</v>
      </c>
      <c r="CA30" s="6">
        <v>1220.4342999999999</v>
      </c>
      <c r="CB30" s="6">
        <v>108262.224</v>
      </c>
      <c r="CC30" s="6">
        <v>149689.872</v>
      </c>
      <c r="CD30" s="6">
        <v>444837.63199999998</v>
      </c>
      <c r="CE30" s="6">
        <v>49125.260799999996</v>
      </c>
      <c r="CF30" s="6">
        <v>155677.152</v>
      </c>
      <c r="CG30" s="6">
        <v>360803.0944</v>
      </c>
      <c r="CH30" s="6">
        <v>2385.8710000000001</v>
      </c>
      <c r="CI30" s="6">
        <v>213.11199999999999</v>
      </c>
      <c r="CJ30" s="6">
        <v>1186.4000000000001</v>
      </c>
      <c r="CK30" s="6">
        <v>77.662000000000006</v>
      </c>
      <c r="CL30" s="6">
        <v>730.01700000000005</v>
      </c>
      <c r="CM30" s="6">
        <v>551.4</v>
      </c>
      <c r="CN30" s="6">
        <v>42336</v>
      </c>
      <c r="CO30" s="6">
        <v>1645.261</v>
      </c>
      <c r="CP30" s="6">
        <v>293116.43400000001</v>
      </c>
      <c r="CQ30" s="6">
        <v>3674427.52</v>
      </c>
      <c r="CR30" s="6">
        <v>130624.912</v>
      </c>
      <c r="CS30" s="6">
        <v>511949.984</v>
      </c>
      <c r="CT30" s="6">
        <v>2904958.1179999998</v>
      </c>
      <c r="CU30" s="6">
        <v>296590.36200000002</v>
      </c>
      <c r="CV30" s="6">
        <v>30129.257600000001</v>
      </c>
      <c r="CW30" s="6">
        <v>62657.4208</v>
      </c>
      <c r="CX30" s="6">
        <v>33415.350400000003</v>
      </c>
      <c r="CY30" s="6">
        <v>166880.51199999999</v>
      </c>
      <c r="CZ30" s="6">
        <v>217389.63200000001</v>
      </c>
      <c r="DA30" s="6">
        <v>18944.12</v>
      </c>
      <c r="DB30" s="6">
        <v>149368.80100000001</v>
      </c>
      <c r="DC30" s="6">
        <v>2981.68</v>
      </c>
      <c r="DD30" s="6">
        <v>2981.55</v>
      </c>
      <c r="DE30" s="6">
        <v>3006.6</v>
      </c>
      <c r="DF30" s="6">
        <v>0.99299999999999999</v>
      </c>
      <c r="DG30" s="1" t="s">
        <v>176</v>
      </c>
      <c r="DH30" s="4">
        <f>Table2[[#This Row],[Date]]</f>
        <v>46228</v>
      </c>
      <c r="DI30">
        <f>(DD31-Table2[[#This Row],[MWH Total]])*4000</f>
        <v>22559.999999999491</v>
      </c>
      <c r="DJ30">
        <f>(DA31-Table2[[#This Row],[PNG Meter (Outside)]])*2.936</f>
        <v>91.77936000000598</v>
      </c>
      <c r="DK30">
        <f>(DB31-Table2[[#This Row],[PNG Meter (Inside)]])*2.936</f>
        <v>251.65336799996717</v>
      </c>
      <c r="DL30">
        <f>(BH31-Table2[[#This Row],[3F Dough cooler - 2 ]])*1000</f>
        <v>298.00000000000182</v>
      </c>
      <c r="DM30">
        <f>(BI31-Table2[[#This Row],[3F Dough Cooler- 1]])*1000</f>
        <v>444.00000000007367</v>
      </c>
      <c r="DN30">
        <f>(BJ31-Table2[[#This Row],[4F Dough Production cooling Unit]])*1000</f>
        <v>39.000000000001478</v>
      </c>
      <c r="DO30">
        <f>(BQ31-Table2[[#This Row],[3F2 - PDB 3 - Dough Production Area]])*1000</f>
        <v>202.99999999997453</v>
      </c>
      <c r="DP30">
        <f>(BR31-Table2[[#This Row],[3F3 - PDB 4 - Dough Area]])*1000</f>
        <v>97.999999999984766</v>
      </c>
      <c r="DQ30">
        <f>AC31-Table2[[#This Row],[16F1 Tray washer Panel for Light]]</f>
        <v>745.27999999979511</v>
      </c>
      <c r="DR30">
        <f>CQ31-Table2[[#This Row],[2F1 Tray Washer - 1]]</f>
        <v>958.08000000007451</v>
      </c>
      <c r="DS30">
        <f>CS31-Table2[[#This Row],[2F5 Destacker]]</f>
        <v>281.47200000000885</v>
      </c>
      <c r="DT30">
        <f>CU31-Table2[[#This Row],[5F1 Metering (TW-2)]]</f>
        <v>309.83299999998417</v>
      </c>
      <c r="DU30">
        <f>CV31-Table2[[#This Row],[6F1 Pre soaker Tray washer]]</f>
        <v>0</v>
      </c>
      <c r="DV30">
        <f>CZ31-Table2[[#This Row],[6F5 Vent tray Storage]]</f>
        <v>70.99199999999837</v>
      </c>
      <c r="DW30">
        <f>I31-Table2[[#This Row],[Popeyes Meter ]]</f>
        <v>35.159999999999854</v>
      </c>
      <c r="DX30">
        <f>AZ31-Table2[[#This Row],[2F WH Chiller, Segregation Area]]</f>
        <v>0</v>
      </c>
      <c r="DY30">
        <f>BA31-Table2[[#This Row],[3F1 AC Unit WH dock cooling - 2 Nos]]</f>
        <v>22</v>
      </c>
      <c r="DZ30">
        <f>BB31-Table2[[#This Row],[3F2 AC Unit WH dock cooling - 3 Nos]]</f>
        <v>3.9999999999999147E-2</v>
      </c>
      <c r="EA30">
        <f>(BK31-Table2[[#This Row],[5F WH Perishable]])*1000</f>
        <v>264.00000000001</v>
      </c>
      <c r="EB30">
        <f>BN31-Table2[[#This Row],[2F3 - PDB 9 - WH Dock Leveler Door ]]</f>
        <v>0.47680000000036671</v>
      </c>
      <c r="EC30">
        <f>BP31-Table2[[#This Row],[3F1 - PDB 5 - WH HSD]]</f>
        <v>119.3520000000135</v>
      </c>
      <c r="ED30">
        <f>BX31-Table2[[#This Row],[8F1 WH Dock AHU - Ventilation]]</f>
        <v>2212.935999999987</v>
      </c>
      <c r="EE30">
        <f>BZ31-Table2[[#This Row],[8F3 ACPDB - 4 WH Dock air curtain]]</f>
        <v>10.135999999998603</v>
      </c>
      <c r="EF30">
        <f>CA31-Table2[[#This Row],[8F4 WH Light]]</f>
        <v>2.5803000000000793</v>
      </c>
      <c r="EG30">
        <f>CC31-Table2[[#This Row],[9F1 - PDB 10 - WH Dock door &amp; Office]]</f>
        <v>116.79000000000815</v>
      </c>
      <c r="EH30">
        <f>CD31-Table2[[#This Row],[9F2 - PDB 11 - WH flycatchers]]</f>
        <v>215.28800000000047</v>
      </c>
      <c r="EI30">
        <f>CE31-Table2[[#This Row],[9F3 - PDB 12 - Other items]]</f>
        <v>0</v>
      </c>
      <c r="EJ30">
        <f>CR31-Table2[[#This Row],[2F3 - PDB 1 - Dock 1 to 4 ]]</f>
        <v>67.328000000008615</v>
      </c>
      <c r="EK30">
        <f>BM31-Table2[[#This Row],[2F2 - PDB 3 - WH Truck &amp; Battery Charging]]</f>
        <v>499.23200000001816</v>
      </c>
      <c r="EL30">
        <f>(CK31-Table2[[#This Row],[PDB - 11 Truck Charging]])*1000</f>
        <v>52.999999999997272</v>
      </c>
      <c r="EM30">
        <f>P31-Table2[[#This Row],[5F3 Admin Area]]</f>
        <v>367.42399999999907</v>
      </c>
      <c r="EN30">
        <f>AH31-Table2[[#This Row],[2F5 Main Gate-1 Piller -1]]</f>
        <v>102.55999999999767</v>
      </c>
      <c r="EO30">
        <f>CW31-Table2[[#This Row],[6F2 Ground Floor AC]]</f>
        <v>29.849199999996927</v>
      </c>
      <c r="EP30">
        <f>CX31-Table2[[#This Row],[6F3 ACBD -1 (First floor AC)]]</f>
        <v>15.049599999998463</v>
      </c>
      <c r="EQ30">
        <f>CY31-Table2[[#This Row],[6F4 ACBD - 2 (Second &amp; Third floor AC)]]</f>
        <v>165.12000000002445</v>
      </c>
      <c r="ER30">
        <f>(BC31-Table2[[#This Row],[4F Old BMC cooling Unit]])</f>
        <v>0</v>
      </c>
      <c r="ES30">
        <f>BO31-Table2[[#This Row],[2F4 - Old BMC]]</f>
        <v>2.9919999999983702</v>
      </c>
      <c r="ET30">
        <f>Y31-Table2[[#This Row],[14F2 New CK]]</f>
        <v>1298.1599999999162</v>
      </c>
      <c r="EU30">
        <f>(CL31-Table2[[#This Row],[OLD Ck Panel-1]])*1000</f>
        <v>750</v>
      </c>
      <c r="EV30">
        <f>CM31-Table2[[#This Row],[2F4 Old CK Blast (Blue star)]]</f>
        <v>0</v>
      </c>
      <c r="EW30">
        <f>CN31-Table2[[#This Row],[3F6 Old CK Blast (Carrier)]]</f>
        <v>613.40000000000146</v>
      </c>
      <c r="EX30">
        <f>(CO31-Table2[[#This Row],[Old CK Panel -2]])*1000</f>
        <v>973.9999999999327</v>
      </c>
      <c r="EY30">
        <f>N31-Table2[[#This Row],[4F1 Main UPS 1/C -1]]</f>
        <v>871.02000000001863</v>
      </c>
      <c r="EZ30">
        <f>Z31-Table2[[#This Row],[15F1 Main UPS Panel - I/C - 2]]</f>
        <v>0</v>
      </c>
      <c r="FA30">
        <f>BF31-Table2[[#This Row],[2F CLC -1 AC unit - 2]]</f>
        <v>0</v>
      </c>
      <c r="FB30">
        <f>(BG31-Table2[[#This Row],[2F CLC Anti room]])*1000</f>
        <v>37.999999999996703</v>
      </c>
      <c r="FC30">
        <f>BW31-Table2[[#This Row],[7F3 CLC Power Panel]]</f>
        <v>270.98400000005495</v>
      </c>
      <c r="FD30">
        <f>(CI31-Table2[[#This Row],[PDB - 17 CLC Section ]])*1000</f>
        <v>155.00000000000114</v>
      </c>
      <c r="FE30">
        <f>(W31-Table2[[#This Row],[13F3 Water &amp; Lift Old CK]])*1000</f>
        <v>903.70000000007167</v>
      </c>
      <c r="FF30">
        <f>AA31-Table2[[#This Row],[15F2 New ETP Panel]]</f>
        <v>257.34399999992456</v>
      </c>
      <c r="FG30">
        <f>AL31-Table2[[#This Row],[3F4 Old ETP Panel]]</f>
        <v>66.599999999976717</v>
      </c>
      <c r="FH30">
        <f>AF31-Table2[[#This Row],[2F1 RO Plant]]</f>
        <v>475.8410000000149</v>
      </c>
      <c r="FI30">
        <f>AK31-Table2[[#This Row],[3F3 Fire Hydrant Panel]]</f>
        <v>8.6560000000026776</v>
      </c>
      <c r="FJ30">
        <f>R31-Table2[[#This Row],[7F1 Freon System Panel]]</f>
        <v>4695.9199999999255</v>
      </c>
      <c r="FK30">
        <f>(AE31-Table2[[#This Row],[21F1 Refrigeration Ammonia]])*1000</f>
        <v>6625.5999999993946</v>
      </c>
      <c r="FL30">
        <f>(AG31-Table2[[#This Row],[2F3 Air Compressor]])*1000</f>
        <v>1009.0000000000146</v>
      </c>
      <c r="FM30">
        <f>(AX31-Table2[[#This Row],[Solar Reading Panel II]])*1000</f>
        <v>3336.0000000002401</v>
      </c>
      <c r="FN30">
        <f>AI31-Table2[[#This Row],[3F1 Maintenance Workshop]]</f>
        <v>3.5936000000001513</v>
      </c>
      <c r="FO30">
        <f>BD31-Table2[[#This Row],[4F B2B unit ]]</f>
        <v>68.857999999949243</v>
      </c>
      <c r="FP30">
        <f>BL31-Table2[[#This Row],[2F1 - PDB 6 - Bread, B2B section]]</f>
        <v>237.55200000001059</v>
      </c>
      <c r="FQ30">
        <f>(CG31-Table2[[#This Row],[9F5 - PDB 14 - Bread Lift]])</f>
        <v>0.35840000002644956</v>
      </c>
      <c r="FR30">
        <f>CJ31-Table2[[#This Row],[PDB - 16 Bread Section]]</f>
        <v>1.5999999999999091</v>
      </c>
      <c r="FS30">
        <f>BU31-Table2[[#This Row],[7F1 Donut Production area]]</f>
        <v>231.48800000001211</v>
      </c>
      <c r="FT30">
        <f>CB31-Table2[[#This Row],[8F5 Donut Ban Bary]]</f>
        <v>51.576000000000931</v>
      </c>
      <c r="FU30">
        <f>CF31-Table2[[#This Row],[9F4 - PDB 13 - Donut Sink Geyser area]]</f>
        <v>48.964000000007218</v>
      </c>
      <c r="FV30">
        <f>BV31-Table2[[#This Row],[7F2 Flour Silo]]</f>
        <v>559.52000000001863</v>
      </c>
      <c r="FW30">
        <f>BY31-Table2[[#This Row],[8F2 ACPDB - 3 SILO Ventilation]]</f>
        <v>60.839999999996508</v>
      </c>
      <c r="FX30">
        <f>J31-Table2[[#This Row],[DG 1010KVA Running Hours]]</f>
        <v>0</v>
      </c>
      <c r="FY30">
        <f>K31-Table2[[#This Row],[DG 1010 KVA Meter Reading]]</f>
        <v>0</v>
      </c>
      <c r="FZ30">
        <f>L31-Table2[[#This Row],[GG 1010 KVA Running Hours]]</f>
        <v>0</v>
      </c>
      <c r="GA30">
        <f>M31-Table2[[#This Row],[GG 1010 KVA Meter Reading]]</f>
        <v>0.26999999999998181</v>
      </c>
    </row>
    <row r="31" spans="1:183" x14ac:dyDescent="0.35">
      <c r="A31" s="1">
        <v>41</v>
      </c>
      <c r="B31" s="2">
        <v>46230.434108796297</v>
      </c>
      <c r="C31" s="2">
        <v>46230.450925925928</v>
      </c>
      <c r="D31" s="1" t="s">
        <v>111</v>
      </c>
      <c r="E31" s="1"/>
      <c r="F31" s="1"/>
      <c r="G31" s="3">
        <v>46229</v>
      </c>
      <c r="H31" s="1" t="s">
        <v>186</v>
      </c>
      <c r="I31" s="6">
        <v>6285.9719999999998</v>
      </c>
      <c r="J31" s="6">
        <v>4269.5</v>
      </c>
      <c r="K31" s="6">
        <v>1775990</v>
      </c>
      <c r="L31" s="6">
        <v>451</v>
      </c>
      <c r="M31" s="6">
        <v>190.26</v>
      </c>
      <c r="N31" s="6">
        <v>1860480.46</v>
      </c>
      <c r="O31" s="6">
        <v>4582647.3600000003</v>
      </c>
      <c r="P31" s="6">
        <v>642379.58400000003</v>
      </c>
      <c r="Q31" s="6">
        <v>8065779.8399999999</v>
      </c>
      <c r="R31" s="6">
        <v>5488160.2400000002</v>
      </c>
      <c r="S31" s="6">
        <v>7336551.04</v>
      </c>
      <c r="T31" s="6">
        <v>42651135.502999999</v>
      </c>
      <c r="U31" s="6">
        <v>2092268.32</v>
      </c>
      <c r="V31" s="6">
        <v>5100582.4000000004</v>
      </c>
      <c r="W31" s="6">
        <v>1587.6608000000001</v>
      </c>
      <c r="X31" s="6">
        <v>771686.33600000001</v>
      </c>
      <c r="Y31" s="6">
        <v>1081524</v>
      </c>
      <c r="Z31" s="6">
        <v>2777.8894</v>
      </c>
      <c r="AA31" s="6">
        <v>666055.23199999996</v>
      </c>
      <c r="AB31" s="6">
        <v>421171.10399999999</v>
      </c>
      <c r="AC31" s="6">
        <v>2132572.3199999998</v>
      </c>
      <c r="AD31" s="6">
        <v>2573950.719</v>
      </c>
      <c r="AE31" s="6">
        <v>12746.3704</v>
      </c>
      <c r="AF31" s="6">
        <v>870596.67200000002</v>
      </c>
      <c r="AG31" s="6">
        <v>1388.614</v>
      </c>
      <c r="AH31" s="6">
        <v>132460.90400000001</v>
      </c>
      <c r="AI31" s="6">
        <v>14585.692800000001</v>
      </c>
      <c r="AJ31" s="6">
        <v>145340.304</v>
      </c>
      <c r="AK31" s="6">
        <v>105124.928</v>
      </c>
      <c r="AL31" s="6">
        <v>329939.68</v>
      </c>
      <c r="AM31" s="6">
        <v>986.32899999999995</v>
      </c>
      <c r="AN31" s="6">
        <v>145.69999999999999</v>
      </c>
      <c r="AO31" s="6">
        <v>6.9</v>
      </c>
      <c r="AP31" s="6">
        <v>368732</v>
      </c>
      <c r="AQ31" s="6">
        <v>42305</v>
      </c>
      <c r="AR31" s="6">
        <v>41761</v>
      </c>
      <c r="AS31" s="6">
        <v>32307</v>
      </c>
      <c r="AT31" s="6">
        <v>22056</v>
      </c>
      <c r="AU31" s="6">
        <v>15428</v>
      </c>
      <c r="AV31" s="6">
        <v>6288</v>
      </c>
      <c r="AW31" s="6">
        <v>20.866512</v>
      </c>
      <c r="AX31" s="6">
        <v>7217.6130000000003</v>
      </c>
      <c r="AY31" s="6">
        <v>677.82863999999995</v>
      </c>
      <c r="AZ31" s="6">
        <v>20.788</v>
      </c>
      <c r="BA31" s="6">
        <v>10223</v>
      </c>
      <c r="BB31" s="6">
        <v>44.426000000000002</v>
      </c>
      <c r="BC31" s="6">
        <v>113988.60799999999</v>
      </c>
      <c r="BD31" s="6">
        <v>275442.96999999997</v>
      </c>
      <c r="BE31" s="6">
        <v>3714.7651999999998</v>
      </c>
      <c r="BF31" s="6">
        <v>1712.0419999999999</v>
      </c>
      <c r="BG31" s="6">
        <v>74.772999999999996</v>
      </c>
      <c r="BH31" s="6">
        <v>361.37799999999999</v>
      </c>
      <c r="BI31" s="6">
        <v>911.31100000000004</v>
      </c>
      <c r="BJ31" s="6">
        <v>14.22</v>
      </c>
      <c r="BK31" s="6">
        <v>561.85599999999999</v>
      </c>
      <c r="BL31" s="6">
        <v>71113.801600000006</v>
      </c>
      <c r="BM31" s="6">
        <v>305534.94400000002</v>
      </c>
      <c r="BN31" s="6">
        <v>7171.96</v>
      </c>
      <c r="BO31" s="6">
        <v>53542.7232</v>
      </c>
      <c r="BP31" s="6">
        <v>313401.88</v>
      </c>
      <c r="BQ31" s="6">
        <v>323.54399999999998</v>
      </c>
      <c r="BR31" s="6">
        <v>180.261</v>
      </c>
      <c r="BS31" s="6">
        <v>1001585.048</v>
      </c>
      <c r="BT31" s="6">
        <v>1400602.5460000001</v>
      </c>
      <c r="BU31" s="6">
        <v>627589.31200000003</v>
      </c>
      <c r="BV31" s="6">
        <v>1018492.8</v>
      </c>
      <c r="BW31" s="6">
        <v>566677.12800000003</v>
      </c>
      <c r="BX31" s="6">
        <v>979014.33600000001</v>
      </c>
      <c r="BY31" s="6">
        <v>157348.68</v>
      </c>
      <c r="BZ31" s="6">
        <v>114318.11199999999</v>
      </c>
      <c r="CA31" s="6">
        <v>1223.0146</v>
      </c>
      <c r="CB31" s="6">
        <v>108313.8</v>
      </c>
      <c r="CC31" s="6">
        <v>149806.66200000001</v>
      </c>
      <c r="CD31" s="6">
        <v>445052.92</v>
      </c>
      <c r="CE31" s="6">
        <v>49125.260799999996</v>
      </c>
      <c r="CF31" s="6">
        <v>155726.11600000001</v>
      </c>
      <c r="CG31" s="6">
        <v>360803.45280000003</v>
      </c>
      <c r="CH31" s="6">
        <v>2385.8710000000001</v>
      </c>
      <c r="CI31" s="6">
        <v>213.267</v>
      </c>
      <c r="CJ31" s="6">
        <v>1188</v>
      </c>
      <c r="CK31" s="6">
        <v>77.715000000000003</v>
      </c>
      <c r="CL31" s="6">
        <v>730.76700000000005</v>
      </c>
      <c r="CM31" s="6">
        <v>551.4</v>
      </c>
      <c r="CN31" s="6">
        <v>42949.4</v>
      </c>
      <c r="CO31" s="6">
        <v>1646.2349999999999</v>
      </c>
      <c r="CP31" s="6">
        <v>293245.66399999999</v>
      </c>
      <c r="CQ31" s="6">
        <v>3675385.6</v>
      </c>
      <c r="CR31" s="6">
        <v>130692.24</v>
      </c>
      <c r="CS31" s="6">
        <v>512231.45600000001</v>
      </c>
      <c r="CT31" s="6">
        <v>2907769.9550000001</v>
      </c>
      <c r="CU31" s="6">
        <v>296900.19500000001</v>
      </c>
      <c r="CV31" s="6">
        <v>30129.257600000001</v>
      </c>
      <c r="CW31" s="6">
        <v>62687.27</v>
      </c>
      <c r="CX31" s="6">
        <v>33430.400000000001</v>
      </c>
      <c r="CY31" s="6">
        <v>167045.63200000001</v>
      </c>
      <c r="CZ31" s="6">
        <v>217460.62400000001</v>
      </c>
      <c r="DA31" s="6">
        <v>18975.38</v>
      </c>
      <c r="DB31" s="6">
        <v>149454.514</v>
      </c>
      <c r="DC31" s="6">
        <v>2987.32</v>
      </c>
      <c r="DD31" s="6">
        <v>2987.19</v>
      </c>
      <c r="DE31" s="6">
        <v>3012.29</v>
      </c>
      <c r="DF31" s="6">
        <v>0.997</v>
      </c>
      <c r="DG31" s="1" t="s">
        <v>257</v>
      </c>
      <c r="DH31" s="4">
        <f>Table2[[#This Row],[Date]]</f>
        <v>46229</v>
      </c>
      <c r="DI31">
        <f>(DD32-Table2[[#This Row],[MWH Total]])*4000</f>
        <v>19319.999999999709</v>
      </c>
      <c r="DJ31">
        <f>(DA32-Table2[[#This Row],[PNG Meter (Outside)]])*2.936</f>
        <v>30.916079999996583</v>
      </c>
      <c r="DK31">
        <f>(DB32-Table2[[#This Row],[PNG Meter (Inside)]])*2.936</f>
        <v>290.91649600003007</v>
      </c>
      <c r="DL31">
        <f>(BH32-Table2[[#This Row],[3F Dough cooler - 2 ]])*1000</f>
        <v>516.00000000001955</v>
      </c>
      <c r="DM31">
        <f>(BI32-Table2[[#This Row],[3F Dough Cooler- 1]])*1000</f>
        <v>641.99999999993906</v>
      </c>
      <c r="DN31">
        <f>(BJ32-Table2[[#This Row],[4F Dough Production cooling Unit]])*1000</f>
        <v>56.999999999998607</v>
      </c>
      <c r="DO31">
        <f>(BQ32-Table2[[#This Row],[3F2 - PDB 3 - Dough Production Area]])*1000</f>
        <v>282.00000000003911</v>
      </c>
      <c r="DP31">
        <f>(BR32-Table2[[#This Row],[3F3 - PDB 4 - Dough Area]])*1000</f>
        <v>146.99999999999136</v>
      </c>
      <c r="DQ31">
        <f>AC32-Table2[[#This Row],[16F1 Tray washer Panel for Light]]</f>
        <v>877.92000000039116</v>
      </c>
      <c r="DR31">
        <f>CQ32-Table2[[#This Row],[2F1 Tray Washer - 1]]</f>
        <v>1498.2399999997579</v>
      </c>
      <c r="DS31">
        <f>CS32-Table2[[#This Row],[2F5 Destacker]]</f>
        <v>457.44000000000233</v>
      </c>
      <c r="DT31">
        <f>CU32-Table2[[#This Row],[5F1 Metering (TW-2)]]</f>
        <v>252.30499999999302</v>
      </c>
      <c r="DU31">
        <f>CV32-Table2[[#This Row],[6F1 Pre soaker Tray washer]]</f>
        <v>0</v>
      </c>
      <c r="DV31">
        <f>CZ32-Table2[[#This Row],[6F5 Vent tray Storage]]</f>
        <v>32.304000000003725</v>
      </c>
      <c r="DW31">
        <f>I32-Table2[[#This Row],[Popeyes Meter ]]</f>
        <v>31.960000000000036</v>
      </c>
      <c r="DX31">
        <f>AZ32-Table2[[#This Row],[2F WH Chiller, Segregation Area]]</f>
        <v>0</v>
      </c>
      <c r="DY31">
        <f>BA32-Table2[[#This Row],[3F1 AC Unit WH dock cooling - 2 Nos]]</f>
        <v>21</v>
      </c>
      <c r="DZ31">
        <f>BB32-Table2[[#This Row],[3F2 AC Unit WH dock cooling - 3 Nos]]</f>
        <v>5.3999999999994941E-2</v>
      </c>
      <c r="EA31">
        <f>(BK32-Table2[[#This Row],[5F WH Perishable]])*1000</f>
        <v>382.00000000006185</v>
      </c>
      <c r="EB31">
        <f>BN32-Table2[[#This Row],[2F3 - PDB 9 - WH Dock Leveler Door ]]</f>
        <v>1.7031999999999243</v>
      </c>
      <c r="EC31">
        <f>BP32-Table2[[#This Row],[3F1 - PDB 5 - WH HSD]]</f>
        <v>129.7039999999688</v>
      </c>
      <c r="ED31">
        <f>BX32-Table2[[#This Row],[8F1 WH Dock AHU - Ventilation]]</f>
        <v>3269.951999999932</v>
      </c>
      <c r="EE31" s="1">
        <f>BZ32-Table2[[#This Row],[8F3 ACPDB - 4 WH Dock air curtain]]</f>
        <v>3.2300000000104774</v>
      </c>
      <c r="EF31">
        <f>CA32-Table2[[#This Row],[8F4 WH Light]]</f>
        <v>3.8351000000000113</v>
      </c>
      <c r="EG31">
        <f>CC32-Table2[[#This Row],[9F1 - PDB 10 - WH Dock door &amp; Office]]</f>
        <v>199.88199999998324</v>
      </c>
      <c r="EH31">
        <f>CD32-Table2[[#This Row],[9F2 - PDB 11 - WH flycatchers]]</f>
        <v>199.36800000001676</v>
      </c>
      <c r="EI31">
        <f>CE32-Table2[[#This Row],[9F3 - PDB 12 - Other items]]</f>
        <v>0</v>
      </c>
      <c r="EJ31">
        <f>CR32-Table2[[#This Row],[2F3 - PDB 1 - Dock 1 to 4 ]]</f>
        <v>113.15999999998894</v>
      </c>
      <c r="EK31">
        <f>BM32-Table2[[#This Row],[2F2 - PDB 3 - WH Truck &amp; Battery Charging]]</f>
        <v>482.81599999999162</v>
      </c>
      <c r="EL31">
        <f>(CK32-Table2[[#This Row],[PDB - 11 Truck Charging]])*1000</f>
        <v>36.000000000001364</v>
      </c>
      <c r="EM31">
        <f>P32-Table2[[#This Row],[5F3 Admin Area]]</f>
        <v>403.26399999996647</v>
      </c>
      <c r="EN31">
        <f>AH32-Table2[[#This Row],[2F5 Main Gate-1 Piller -1]]</f>
        <v>142.72000000000116</v>
      </c>
      <c r="EO31">
        <f>CW32-Table2[[#This Row],[6F2 Ground Floor AC]]</f>
        <v>31.507600000004459</v>
      </c>
      <c r="EP31">
        <f>CX32-Table2[[#This Row],[6F3 ACBD -1 (First floor AC)]]</f>
        <v>0.57600000000093132</v>
      </c>
      <c r="EQ31">
        <f>CY32-Table2[[#This Row],[6F4 ACBD - 2 (Second &amp; Third floor AC)]]</f>
        <v>157.03999999997905</v>
      </c>
      <c r="ER31">
        <f>(BC32-Table2[[#This Row],[4F Old BMC cooling Unit]])</f>
        <v>0.54400000000896398</v>
      </c>
      <c r="ES31">
        <f>BO32-Table2[[#This Row],[2F4 - Old BMC]]</f>
        <v>4.6111999999993714</v>
      </c>
      <c r="ET31">
        <f>Y32-Table2[[#This Row],[14F2 New CK]]</f>
        <v>799.76000000000931</v>
      </c>
      <c r="EU31">
        <f>(CL32-Table2[[#This Row],[OLD Ck Panel-1]])*1000</f>
        <v>445.99999999991269</v>
      </c>
      <c r="EV31">
        <f>CM32-Table2[[#This Row],[2F4 Old CK Blast (Blue star)]]</f>
        <v>0</v>
      </c>
      <c r="EW31">
        <f>CN32-Table2[[#This Row],[3F6 Old CK Blast (Carrier)]]</f>
        <v>316.69999999999709</v>
      </c>
      <c r="EX31">
        <f>(CO32-Table2[[#This Row],[Old CK Panel -2]])*1000</f>
        <v>553.00000000011096</v>
      </c>
      <c r="EY31">
        <f>N32-Table2[[#This Row],[4F1 Main UPS 1/C -1]]</f>
        <v>1043.2199999999721</v>
      </c>
      <c r="EZ31">
        <f>Z32-Table2[[#This Row],[15F1 Main UPS Panel - I/C - 2]]</f>
        <v>0</v>
      </c>
      <c r="FA31">
        <f>BF32-Table2[[#This Row],[2F CLC -1 AC unit - 2]]</f>
        <v>0</v>
      </c>
      <c r="FB31">
        <f>(BG32-Table2[[#This Row],[2F CLC Anti room]])*1000</f>
        <v>23.000000000010346</v>
      </c>
      <c r="FC31">
        <f>BW32-Table2[[#This Row],[7F3 CLC Power Panel]]</f>
        <v>249.01599999994505</v>
      </c>
      <c r="FD31">
        <f>(CI32-Table2[[#This Row],[PDB - 17 CLC Section ]])*1000</f>
        <v>182.00000000001637</v>
      </c>
      <c r="FE31">
        <f>(W32-Table2[[#This Row],[13F3 Water &amp; Lift Old CK]])*1000</f>
        <v>584.99999999980901</v>
      </c>
      <c r="FF31">
        <f>AA32-Table2[[#This Row],[15F2 New ETP Panel]]</f>
        <v>299.77600000007078</v>
      </c>
      <c r="FG31">
        <f>AL32-Table2[[#This Row],[3F4 Old ETP Panel]]</f>
        <v>109.79200000001583</v>
      </c>
      <c r="FH31">
        <f>AF32-Table2[[#This Row],[2F1 RO Plant]]</f>
        <v>619.90399999998044</v>
      </c>
      <c r="FI31">
        <f>AK32-Table2[[#This Row],[3F3 Fire Hydrant Panel]]</f>
        <v>9.5840000000025611</v>
      </c>
      <c r="FJ31">
        <f>R32-Table2[[#This Row],[7F1 Freon System Panel]]</f>
        <v>5367.4399999994785</v>
      </c>
      <c r="FK31">
        <f>(AE32-Table2[[#This Row],[21F1 Refrigeration Ammonia]])*1000</f>
        <v>7434.400000000096</v>
      </c>
      <c r="FL31">
        <f>(AG32-Table2[[#This Row],[2F3 Air Compressor]])*1000</f>
        <v>1293.999999999869</v>
      </c>
      <c r="FM31">
        <f>(AX32-Table2[[#This Row],[Solar Reading Panel II]])*1000</f>
        <v>3956.9999999994252</v>
      </c>
      <c r="FN31">
        <f>AI32-Table2[[#This Row],[3F1 Maintenance Workshop]]</f>
        <v>6.5839999999989232</v>
      </c>
      <c r="FO31">
        <f>BD32-Table2[[#This Row],[4F B2B unit ]]</f>
        <v>51.814000000013039</v>
      </c>
      <c r="FP31">
        <f>BL32-Table2[[#This Row],[2F1 - PDB 6 - Bread, B2B section]]</f>
        <v>253.66079999999783</v>
      </c>
      <c r="FQ31">
        <f>(CG32-Table2[[#This Row],[9F5 - PDB 14 - Bread Lift]])</f>
        <v>0.33599999995203689</v>
      </c>
      <c r="FR31">
        <f>CJ32-Table2[[#This Row],[PDB - 16 Bread Section]]</f>
        <v>0.70000000000004547</v>
      </c>
      <c r="FS31">
        <f>BU32-Table2[[#This Row],[7F1 Donut Production area]]</f>
        <v>245.37599999993108</v>
      </c>
      <c r="FT31">
        <f>CB32-Table2[[#This Row],[8F5 Donut Ban Bary]]</f>
        <v>80.864000000001397</v>
      </c>
      <c r="FU31">
        <f>CF32-Table2[[#This Row],[9F4 - PDB 13 - Donut Sink Geyser area]]</f>
        <v>55.419999999983702</v>
      </c>
      <c r="FV31">
        <f>BV32-Table2[[#This Row],[7F2 Flour Silo]]</f>
        <v>616.55999999993946</v>
      </c>
      <c r="FW31">
        <f>BY32-Table2[[#This Row],[8F2 ACPDB - 3 SILO Ventilation]]</f>
        <v>76.376000000018394</v>
      </c>
      <c r="FX31">
        <f>J32-Table2[[#This Row],[DG 1010KVA Running Hours]]</f>
        <v>2.1999999999998181</v>
      </c>
      <c r="FY31">
        <f>K32-Table2[[#This Row],[DG 1010 KVA Meter Reading]]</f>
        <v>43</v>
      </c>
      <c r="FZ31">
        <f>L32-Table2[[#This Row],[GG 1010 KVA Running Hours]]</f>
        <v>1</v>
      </c>
      <c r="GA31">
        <f>M32-Table2[[#This Row],[GG 1010 KVA Meter Reading]]</f>
        <v>4.0000000000020464E-2</v>
      </c>
    </row>
    <row r="32" spans="1:183" x14ac:dyDescent="0.35">
      <c r="A32" s="1">
        <v>42</v>
      </c>
      <c r="B32" s="2">
        <v>46230.45103009259</v>
      </c>
      <c r="C32" s="2">
        <v>46230.487754629627</v>
      </c>
      <c r="D32" s="1" t="s">
        <v>111</v>
      </c>
      <c r="E32" s="1"/>
      <c r="F32" s="1"/>
      <c r="G32" s="3">
        <v>46230</v>
      </c>
      <c r="H32" s="1" t="s">
        <v>186</v>
      </c>
      <c r="I32" s="6">
        <v>6317.9319999999998</v>
      </c>
      <c r="J32" s="6">
        <v>4271.7</v>
      </c>
      <c r="K32" s="6">
        <v>1776033</v>
      </c>
      <c r="L32" s="6">
        <v>452</v>
      </c>
      <c r="M32" s="6">
        <v>190.3</v>
      </c>
      <c r="N32" s="6">
        <v>1861523.68</v>
      </c>
      <c r="O32" s="6">
        <v>4584682.5599999996</v>
      </c>
      <c r="P32" s="6">
        <v>642782.848</v>
      </c>
      <c r="Q32" s="6">
        <v>8069486.7199999997</v>
      </c>
      <c r="R32" s="6">
        <v>5493527.6799999997</v>
      </c>
      <c r="S32" s="6">
        <v>7339404.7999999998</v>
      </c>
      <c r="T32" s="6">
        <v>42661847.906999998</v>
      </c>
      <c r="U32" s="6">
        <v>2093596.16</v>
      </c>
      <c r="V32" s="6">
        <v>5102653.4400000004</v>
      </c>
      <c r="W32" s="6">
        <v>1588.2457999999999</v>
      </c>
      <c r="X32" s="6">
        <v>771897.6</v>
      </c>
      <c r="Y32" s="6">
        <v>1082323.76</v>
      </c>
      <c r="Z32" s="6">
        <v>2777.8894</v>
      </c>
      <c r="AA32" s="6">
        <v>666355.00800000003</v>
      </c>
      <c r="AB32" s="6">
        <v>421183.36</v>
      </c>
      <c r="AC32" s="6">
        <v>2133450.2400000002</v>
      </c>
      <c r="AD32" s="6">
        <v>3930971.344</v>
      </c>
      <c r="AE32" s="6">
        <v>12753.8048</v>
      </c>
      <c r="AF32" s="6">
        <v>871216.576</v>
      </c>
      <c r="AG32" s="6">
        <v>1389.9079999999999</v>
      </c>
      <c r="AH32" s="6">
        <v>132603.62400000001</v>
      </c>
      <c r="AI32" s="6">
        <v>14592.2768</v>
      </c>
      <c r="AJ32" s="6">
        <v>145342.83199999999</v>
      </c>
      <c r="AK32" s="6">
        <v>105134.512</v>
      </c>
      <c r="AL32" s="6">
        <v>330049.47200000001</v>
      </c>
      <c r="AM32" s="6">
        <v>987.02200000000005</v>
      </c>
      <c r="AN32" s="6">
        <v>147.30000000000001</v>
      </c>
      <c r="AO32" s="6">
        <v>6.8</v>
      </c>
      <c r="AP32" s="6">
        <v>380129</v>
      </c>
      <c r="AQ32" s="6">
        <v>42307</v>
      </c>
      <c r="AR32" s="6">
        <v>41763</v>
      </c>
      <c r="AS32" s="6">
        <v>32307</v>
      </c>
      <c r="AT32" s="6">
        <v>22057</v>
      </c>
      <c r="AU32" s="6">
        <v>15457</v>
      </c>
      <c r="AV32" s="6">
        <v>6309</v>
      </c>
      <c r="AW32" s="6">
        <v>20.87388</v>
      </c>
      <c r="AX32" s="6">
        <v>7221.57</v>
      </c>
      <c r="AY32" s="6">
        <v>677.95504000000005</v>
      </c>
      <c r="AZ32" s="6">
        <v>20.788</v>
      </c>
      <c r="BA32" s="6">
        <v>10244</v>
      </c>
      <c r="BB32" s="6">
        <v>44.48</v>
      </c>
      <c r="BC32" s="6">
        <v>113989.152</v>
      </c>
      <c r="BD32" s="6">
        <v>275494.78399999999</v>
      </c>
      <c r="BE32" s="6">
        <v>3716.4571999999998</v>
      </c>
      <c r="BF32" s="6">
        <v>1712.0419999999999</v>
      </c>
      <c r="BG32" s="6">
        <v>74.796000000000006</v>
      </c>
      <c r="BH32" s="6">
        <v>361.89400000000001</v>
      </c>
      <c r="BI32" s="6">
        <v>911.95299999999997</v>
      </c>
      <c r="BJ32" s="6">
        <v>14.276999999999999</v>
      </c>
      <c r="BK32" s="6">
        <v>562.23800000000006</v>
      </c>
      <c r="BL32" s="6">
        <v>71367.462400000004</v>
      </c>
      <c r="BM32" s="6">
        <v>306017.76</v>
      </c>
      <c r="BN32" s="6">
        <v>7173.6632</v>
      </c>
      <c r="BO32" s="6">
        <v>53547.3344</v>
      </c>
      <c r="BP32" s="6">
        <v>313531.58399999997</v>
      </c>
      <c r="BQ32" s="6">
        <v>323.82600000000002</v>
      </c>
      <c r="BR32" s="6">
        <v>180.40799999999999</v>
      </c>
      <c r="BS32" s="6">
        <v>1003038.1949999999</v>
      </c>
      <c r="BT32" s="6">
        <v>1400616.574</v>
      </c>
      <c r="BU32" s="6">
        <v>627834.68799999997</v>
      </c>
      <c r="BV32" s="6">
        <v>1019109.36</v>
      </c>
      <c r="BW32" s="6">
        <v>566926.14399999997</v>
      </c>
      <c r="BX32" s="6">
        <v>982284.28799999994</v>
      </c>
      <c r="BY32" s="6">
        <v>157425.05600000001</v>
      </c>
      <c r="BZ32" s="6">
        <v>114321.342</v>
      </c>
      <c r="CA32" s="6">
        <v>1226.8497</v>
      </c>
      <c r="CB32" s="6">
        <v>108394.664</v>
      </c>
      <c r="CC32" s="6">
        <v>150006.54399999999</v>
      </c>
      <c r="CD32" s="6">
        <v>445252.288</v>
      </c>
      <c r="CE32" s="6">
        <v>49125.260799999996</v>
      </c>
      <c r="CF32" s="6">
        <v>155781.53599999999</v>
      </c>
      <c r="CG32" s="6">
        <v>360803.78879999998</v>
      </c>
      <c r="CH32" s="6">
        <v>2385.8710000000001</v>
      </c>
      <c r="CI32" s="6">
        <v>213.44900000000001</v>
      </c>
      <c r="CJ32" s="6">
        <v>1188.7</v>
      </c>
      <c r="CK32" s="6">
        <v>77.751000000000005</v>
      </c>
      <c r="CL32" s="6">
        <v>731.21299999999997</v>
      </c>
      <c r="CM32" s="6">
        <v>551.4</v>
      </c>
      <c r="CN32" s="6">
        <v>43266.1</v>
      </c>
      <c r="CO32" s="6">
        <v>1646.788</v>
      </c>
      <c r="CP32" s="6">
        <v>293451.663</v>
      </c>
      <c r="CQ32" s="6">
        <v>3676883.84</v>
      </c>
      <c r="CR32" s="6">
        <v>130805.4</v>
      </c>
      <c r="CS32" s="6">
        <v>512688.89600000001</v>
      </c>
      <c r="CT32" s="6">
        <v>2911329.9</v>
      </c>
      <c r="CU32" s="6">
        <v>297152.5</v>
      </c>
      <c r="CV32" s="6">
        <v>30129.257600000001</v>
      </c>
      <c r="CW32" s="6">
        <v>62718.777600000001</v>
      </c>
      <c r="CX32" s="6">
        <v>33430.976000000002</v>
      </c>
      <c r="CY32" s="6">
        <v>167202.67199999999</v>
      </c>
      <c r="CZ32" s="6">
        <v>217492.92800000001</v>
      </c>
      <c r="DA32" s="6">
        <v>18985.91</v>
      </c>
      <c r="DB32" s="6">
        <v>149553.60000000001</v>
      </c>
      <c r="DC32" s="6">
        <v>2992.14</v>
      </c>
      <c r="DD32" s="6">
        <v>2992.02</v>
      </c>
      <c r="DE32" s="6">
        <v>3017.14</v>
      </c>
      <c r="DF32" s="6">
        <v>0.998</v>
      </c>
      <c r="DG32" s="1" t="s">
        <v>258</v>
      </c>
      <c r="DH32" s="4">
        <f>Table2[[#This Row],[Date]]</f>
        <v>46230</v>
      </c>
      <c r="DI32">
        <f>(DD33-Table2[[#This Row],[MWH Total]])*4000</f>
        <v>23319.999999999709</v>
      </c>
      <c r="DJ32">
        <f>(DA33-Table2[[#This Row],[PNG Meter (Outside)]])*2.936</f>
        <v>34.556720000001278</v>
      </c>
      <c r="DK32">
        <f>(DB33-Table2[[#This Row],[PNG Meter (Inside)]])*2.936</f>
        <v>388.70584799994668</v>
      </c>
      <c r="DL32">
        <f>(BH33-Table2[[#This Row],[3F Dough cooler - 2 ]])*1000</f>
        <v>420.00000000001592</v>
      </c>
      <c r="DM32">
        <f>(BI33-Table2[[#This Row],[3F Dough Cooler- 1]])*1000</f>
        <v>452.99999999997453</v>
      </c>
      <c r="DN32">
        <f>(BJ33-Table2[[#This Row],[4F Dough Production cooling Unit]])*1000</f>
        <v>41.000000000000369</v>
      </c>
      <c r="DO32">
        <f>(BQ33-Table2[[#This Row],[3F2 - PDB 3 - Dough Production Area]])*1000</f>
        <v>190.99999999997408</v>
      </c>
      <c r="DP32">
        <f>(BR33-Table2[[#This Row],[3F3 - PDB 4 - Dough Area]])*1000</f>
        <v>100.99999999999909</v>
      </c>
      <c r="DQ32">
        <f>AC33-Table2[[#This Row],[16F1 Tray washer Panel for Light]]</f>
        <v>680.47999999998137</v>
      </c>
      <c r="DR32">
        <f>CQ33-Table2[[#This Row],[2F1 Tray Washer - 1]]</f>
        <v>1149.7600000002421</v>
      </c>
      <c r="DS32">
        <f>CS33-Table2[[#This Row],[2F5 Destacker]]</f>
        <v>304.09600000001956</v>
      </c>
      <c r="DT32">
        <f>CU33-Table2[[#This Row],[5F1 Metering (TW-2)]]</f>
        <v>241.76400000002468</v>
      </c>
      <c r="DU32">
        <f>CV33-Table2[[#This Row],[6F1 Pre soaker Tray washer]]</f>
        <v>0.21119999999791617</v>
      </c>
      <c r="DV32">
        <f>CZ33-Table2[[#This Row],[6F5 Vent tray Storage]]</f>
        <v>64.783999999985099</v>
      </c>
      <c r="DW32">
        <f>I33-Table2[[#This Row],[Popeyes Meter ]]</f>
        <v>69.340000000000146</v>
      </c>
      <c r="DX32">
        <f>AZ33-Table2[[#This Row],[2F WH Chiller, Segregation Area]]</f>
        <v>0</v>
      </c>
      <c r="DY32">
        <f>BA33-Table2[[#This Row],[3F1 AC Unit WH dock cooling - 2 Nos]]</f>
        <v>20</v>
      </c>
      <c r="DZ32">
        <f>BB33-Table2[[#This Row],[3F2 AC Unit WH dock cooling - 3 Nos]]</f>
        <v>3.4000000000006025E-2</v>
      </c>
      <c r="EA32">
        <f>(BK33-Table2[[#This Row],[5F WH Perishable]])*1000</f>
        <v>265.99999999996271</v>
      </c>
      <c r="EB32">
        <f>BN33-Table2[[#This Row],[2F3 - PDB 9 - WH Dock Leveler Door ]]</f>
        <v>1.9751999999998588</v>
      </c>
      <c r="EC32">
        <f>BP33-Table2[[#This Row],[3F1 - PDB 5 - WH HSD]]</f>
        <v>106.97600000002421</v>
      </c>
      <c r="ED32">
        <f>BX33-Table2[[#This Row],[8F1 WH Dock AHU - Ventilation]]</f>
        <v>2199.0400000000373</v>
      </c>
      <c r="EE32" s="1">
        <f>BZ33-Table2[[#This Row],[8F3 ACPDB - 4 WH Dock air curtain]]</f>
        <v>5.422999999995227</v>
      </c>
      <c r="EF32">
        <f>CA33-Table2[[#This Row],[8F4 WH Light]]</f>
        <v>2.6105999999999767</v>
      </c>
      <c r="EG32">
        <f>CC33-Table2[[#This Row],[9F1 - PDB 10 - WH Dock door &amp; Office]]</f>
        <v>146.06400000001304</v>
      </c>
      <c r="EH32">
        <f>CD33-Table2[[#This Row],[9F2 - PDB 11 - WH flycatchers]]</f>
        <v>265.15200000000186</v>
      </c>
      <c r="EI32">
        <f>CE33-Table2[[#This Row],[9F3 - PDB 12 - Other items]]</f>
        <v>0</v>
      </c>
      <c r="EJ32">
        <f>CR33-Table2[[#This Row],[2F3 - PDB 1 - Dock 1 to 4 ]]</f>
        <v>76.488000000012107</v>
      </c>
      <c r="EK32">
        <f>BM33-Table2[[#This Row],[2F2 - PDB 3 - WH Truck &amp; Battery Charging]]</f>
        <v>485.76000000000931</v>
      </c>
      <c r="EL32">
        <f>(CK33-Table2[[#This Row],[PDB - 11 Truck Charging]])*1000</f>
        <v>67.99999999999784</v>
      </c>
      <c r="EM32">
        <f>P33-Table2[[#This Row],[5F3 Admin Area]]</f>
        <v>371.07200000004377</v>
      </c>
      <c r="EN32">
        <f>AH33-Table2[[#This Row],[2F5 Main Gate-1 Piller -1]]</f>
        <v>107.19199999998091</v>
      </c>
      <c r="EO32">
        <f>CW33-Table2[[#This Row],[6F2 Ground Floor AC]]</f>
        <v>23.436799999995856</v>
      </c>
      <c r="EP32">
        <f>CX33-Table2[[#This Row],[6F3 ACBD -1 (First floor AC)]]</f>
        <v>11.158400000000256</v>
      </c>
      <c r="EQ32">
        <f>CY33-Table2[[#This Row],[6F4 ACBD - 2 (Second &amp; Third floor AC)]]</f>
        <v>120.01600000000326</v>
      </c>
      <c r="ER32">
        <f>(BC33-Table2[[#This Row],[4F Old BMC cooling Unit]])</f>
        <v>0</v>
      </c>
      <c r="ES32">
        <f>BO33-Table2[[#This Row],[2F4 - Old BMC]]</f>
        <v>0.63040000000182772</v>
      </c>
      <c r="ET32">
        <f>Y33-Table2[[#This Row],[14F2 New CK]]</f>
        <v>1347.7600000000093</v>
      </c>
      <c r="EU32">
        <f>(CL33-Table2[[#This Row],[OLD Ck Panel-1]])*1000</f>
        <v>687.00000000001182</v>
      </c>
      <c r="EV32">
        <f>CM33-Table2[[#This Row],[2F4 Old CK Blast (Blue star)]]</f>
        <v>0</v>
      </c>
      <c r="EW32">
        <f>CN33-Table2[[#This Row],[3F6 Old CK Blast (Carrier)]]</f>
        <v>547.90000000000146</v>
      </c>
      <c r="EX32">
        <f>(CO33-Table2[[#This Row],[Old CK Panel -2]])*1000</f>
        <v>805.00000000006366</v>
      </c>
      <c r="EY32">
        <f>N33-Table2[[#This Row],[4F1 Main UPS 1/C -1]]</f>
        <v>860.80000000004657</v>
      </c>
      <c r="EZ32">
        <f>Z33-Table2[[#This Row],[15F1 Main UPS Panel - I/C - 2]]</f>
        <v>0</v>
      </c>
      <c r="FA32">
        <f>BF33-Table2[[#This Row],[2F CLC -1 AC unit - 2]]</f>
        <v>0</v>
      </c>
      <c r="FB32">
        <f>(BG33-Table2[[#This Row],[2F CLC Anti room]])*1000</f>
        <v>31.999999999996476</v>
      </c>
      <c r="FC32">
        <f>BW33-Table2[[#This Row],[7F3 CLC Power Panel]]</f>
        <v>217.34400000004098</v>
      </c>
      <c r="FD32">
        <f>(CI33-Table2[[#This Row],[PDB - 17 CLC Section ]])*1000</f>
        <v>143.00000000000068</v>
      </c>
      <c r="FE32">
        <f>(W33-Table2[[#This Row],[13F3 Water &amp; Lift Old CK]])*1000</f>
        <v>365.50000000011096</v>
      </c>
      <c r="FF32">
        <f>AA33-Table2[[#This Row],[15F2 New ETP Panel]]</f>
        <v>258.6239999999525</v>
      </c>
      <c r="FG32">
        <f>AL33-Table2[[#This Row],[3F4 Old ETP Panel]]</f>
        <v>65.631999999983236</v>
      </c>
      <c r="FH32">
        <f>AF33-Table2[[#This Row],[2F1 RO Plant]]</f>
        <v>502.01599999994505</v>
      </c>
      <c r="FI32">
        <f>AK33-Table2[[#This Row],[3F3 Fire Hydrant Panel]]</f>
        <v>7.5840000000025611</v>
      </c>
      <c r="FJ32">
        <f>R33-Table2[[#This Row],[7F1 Freon System Panel]]</f>
        <v>4948.480000000447</v>
      </c>
      <c r="FK32">
        <f>(AE33-Table2[[#This Row],[21F1 Refrigeration Ammonia]])*1000</f>
        <v>6556.8000000002939</v>
      </c>
      <c r="FL32">
        <f>(AG33-Table2[[#This Row],[2F3 Air Compressor]])*1000</f>
        <v>992.00000000018917</v>
      </c>
      <c r="FM32">
        <f>(AX33-Table2[[#This Row],[Solar Reading Panel II]])*1000</f>
        <v>1684.0000000001965</v>
      </c>
      <c r="FN32">
        <f>AI33-Table2[[#This Row],[3F1 Maintenance Workshop]]</f>
        <v>4.0624000000007072</v>
      </c>
      <c r="FO32">
        <f>BD33-Table2[[#This Row],[4F B2B unit ]]</f>
        <v>72.223999999987427</v>
      </c>
      <c r="FP32">
        <f>BL33-Table2[[#This Row],[2F1 - PDB 6 - Bread, B2B section]]</f>
        <v>273.57439999999769</v>
      </c>
      <c r="FQ32">
        <f>(CG33-Table2[[#This Row],[9F5 - PDB 14 - Bread Lift]])</f>
        <v>0.40000000002328306</v>
      </c>
      <c r="FR32">
        <f>CJ33-Table2[[#This Row],[PDB - 16 Bread Section]]</f>
        <v>0.59999999999990905</v>
      </c>
      <c r="FS32">
        <f>BU33-Table2[[#This Row],[7F1 Donut Production area]]</f>
        <v>173.31200000003446</v>
      </c>
      <c r="FT32">
        <f>CB33-Table2[[#This Row],[8F5 Donut Ban Bary]]</f>
        <v>47.711999999999534</v>
      </c>
      <c r="FU32">
        <f>CF33-Table2[[#This Row],[9F4 - PDB 13 - Donut Sink Geyser area]]</f>
        <v>19.072000000014668</v>
      </c>
      <c r="FV32">
        <f>BV33-Table2[[#This Row],[7F2 Flour Silo]]</f>
        <v>396.64000000001397</v>
      </c>
      <c r="FW32">
        <f>BY33-Table2[[#This Row],[8F2 ACPDB - 3 SILO Ventilation]]</f>
        <v>46.063999999983935</v>
      </c>
      <c r="FX32">
        <f>J33-Table2[[#This Row],[DG 1010KVA Running Hours]]</f>
        <v>0.4000000000005457</v>
      </c>
      <c r="FY32">
        <f>K33-Table2[[#This Row],[DG 1010 KVA Meter Reading]]</f>
        <v>137</v>
      </c>
      <c r="FZ32">
        <f>L33-Table2[[#This Row],[GG 1010 KVA Running Hours]]</f>
        <v>0</v>
      </c>
      <c r="GA32">
        <f>M33-Table2[[#This Row],[GG 1010 KVA Meter Reading]]</f>
        <v>0.10999999999998522</v>
      </c>
    </row>
    <row r="33" spans="1:183" x14ac:dyDescent="0.35">
      <c r="A33" s="1">
        <v>43</v>
      </c>
      <c r="B33" s="2">
        <v>46231.389363425929</v>
      </c>
      <c r="C33" s="2">
        <v>46231.428414351853</v>
      </c>
      <c r="D33" s="1" t="s">
        <v>111</v>
      </c>
      <c r="E33" s="1"/>
      <c r="F33" s="1"/>
      <c r="G33" s="3">
        <v>46231</v>
      </c>
      <c r="H33" s="1" t="s">
        <v>186</v>
      </c>
      <c r="I33" s="6">
        <v>6387.2719999999999</v>
      </c>
      <c r="J33" s="6">
        <v>4272.1000000000004</v>
      </c>
      <c r="K33" s="6">
        <v>1776170</v>
      </c>
      <c r="L33" s="6">
        <v>452</v>
      </c>
      <c r="M33" s="6">
        <v>190.41</v>
      </c>
      <c r="N33" s="6">
        <v>1862384.48</v>
      </c>
      <c r="O33" s="6">
        <v>4586263.04</v>
      </c>
      <c r="P33" s="6">
        <v>643153.92000000004</v>
      </c>
      <c r="Q33" s="6">
        <v>8071635.2000000002</v>
      </c>
      <c r="R33" s="6">
        <v>5498476.1600000001</v>
      </c>
      <c r="S33" s="6">
        <v>7342317.4400000004</v>
      </c>
      <c r="T33" s="6">
        <v>43108941.233000003</v>
      </c>
      <c r="U33" s="6">
        <v>2094946.88</v>
      </c>
      <c r="V33" s="6">
        <v>5104361.5999999996</v>
      </c>
      <c r="W33" s="6">
        <v>1588.6113</v>
      </c>
      <c r="X33" s="6">
        <v>772140.09600000002</v>
      </c>
      <c r="Y33" s="6">
        <v>1083671.52</v>
      </c>
      <c r="Z33" s="6">
        <v>2777.8894</v>
      </c>
      <c r="AA33" s="6">
        <v>666613.63199999998</v>
      </c>
      <c r="AB33" s="6">
        <v>421195.07199999999</v>
      </c>
      <c r="AC33" s="6">
        <v>2134130.7200000002</v>
      </c>
      <c r="AD33" s="6">
        <v>3943486.7140000002</v>
      </c>
      <c r="AE33" s="6">
        <v>12760.3616</v>
      </c>
      <c r="AF33" s="6">
        <v>871718.59199999995</v>
      </c>
      <c r="AG33" s="6">
        <v>1390.9</v>
      </c>
      <c r="AH33" s="6">
        <v>132710.81599999999</v>
      </c>
      <c r="AI33" s="6">
        <v>14596.3392</v>
      </c>
      <c r="AJ33" s="6">
        <v>145345.39199999999</v>
      </c>
      <c r="AK33" s="6">
        <v>105142.09600000001</v>
      </c>
      <c r="AL33" s="6">
        <v>330115.10399999999</v>
      </c>
      <c r="AM33" s="6">
        <v>987.76599999999996</v>
      </c>
      <c r="AN33" s="6">
        <v>280</v>
      </c>
      <c r="AO33" s="6">
        <v>7.4</v>
      </c>
      <c r="AP33" s="6">
        <v>388943</v>
      </c>
      <c r="AQ33" s="6">
        <v>42307</v>
      </c>
      <c r="AR33" s="6">
        <v>41763</v>
      </c>
      <c r="AS33" s="6">
        <v>32307</v>
      </c>
      <c r="AT33" s="6">
        <v>22057</v>
      </c>
      <c r="AU33" s="6">
        <v>15480</v>
      </c>
      <c r="AV33" s="6">
        <v>6325</v>
      </c>
      <c r="AW33" s="6">
        <v>20.880220000000001</v>
      </c>
      <c r="AX33" s="6">
        <v>7223.2539999999999</v>
      </c>
      <c r="AY33" s="6">
        <v>678.0788</v>
      </c>
      <c r="AZ33" s="6">
        <v>20.788</v>
      </c>
      <c r="BA33" s="6">
        <v>10264</v>
      </c>
      <c r="BB33" s="6">
        <v>44.514000000000003</v>
      </c>
      <c r="BC33" s="6">
        <v>113989.152</v>
      </c>
      <c r="BD33" s="6">
        <v>275567.00799999997</v>
      </c>
      <c r="BE33" s="6">
        <v>3717.7116000000001</v>
      </c>
      <c r="BF33" s="6">
        <v>1712.0419999999999</v>
      </c>
      <c r="BG33" s="6">
        <v>74.828000000000003</v>
      </c>
      <c r="BH33" s="6">
        <v>362.31400000000002</v>
      </c>
      <c r="BI33" s="6">
        <v>912.40599999999995</v>
      </c>
      <c r="BJ33" s="6">
        <v>14.318</v>
      </c>
      <c r="BK33" s="6">
        <v>562.50400000000002</v>
      </c>
      <c r="BL33" s="6">
        <v>71641.036800000002</v>
      </c>
      <c r="BM33" s="6">
        <v>306503.52</v>
      </c>
      <c r="BN33" s="6">
        <v>7175.6383999999998</v>
      </c>
      <c r="BO33" s="6">
        <v>53547.964800000002</v>
      </c>
      <c r="BP33" s="6">
        <v>313638.56</v>
      </c>
      <c r="BQ33" s="6">
        <v>324.017</v>
      </c>
      <c r="BR33" s="6">
        <v>180.50899999999999</v>
      </c>
      <c r="BS33" s="6">
        <v>1004365.4</v>
      </c>
      <c r="BT33" s="6">
        <v>1400616.6510000001</v>
      </c>
      <c r="BU33" s="6">
        <v>628008</v>
      </c>
      <c r="BV33" s="6">
        <v>1019506</v>
      </c>
      <c r="BW33" s="6">
        <v>567143.48800000001</v>
      </c>
      <c r="BX33" s="6">
        <v>984483.32799999998</v>
      </c>
      <c r="BY33" s="6">
        <v>157471.12</v>
      </c>
      <c r="BZ33" s="6">
        <v>114326.765</v>
      </c>
      <c r="CA33" s="6">
        <v>1229.4603</v>
      </c>
      <c r="CB33" s="6">
        <v>108442.376</v>
      </c>
      <c r="CC33" s="6">
        <v>150152.60800000001</v>
      </c>
      <c r="CD33" s="6">
        <v>445517.44</v>
      </c>
      <c r="CE33" s="6">
        <v>49125.260799999996</v>
      </c>
      <c r="CF33" s="6">
        <v>155800.60800000001</v>
      </c>
      <c r="CG33" s="6">
        <v>360804.1888</v>
      </c>
      <c r="CH33" s="6">
        <v>2385.8710000000001</v>
      </c>
      <c r="CI33" s="6">
        <v>213.59200000000001</v>
      </c>
      <c r="CJ33" s="6">
        <v>1189.3</v>
      </c>
      <c r="CK33" s="6">
        <v>77.819000000000003</v>
      </c>
      <c r="CL33" s="6">
        <v>731.9</v>
      </c>
      <c r="CM33" s="6">
        <v>551.4</v>
      </c>
      <c r="CN33" s="6">
        <v>43814</v>
      </c>
      <c r="CO33" s="6">
        <v>1647.5930000000001</v>
      </c>
      <c r="CP33" s="6">
        <v>293600.71000000002</v>
      </c>
      <c r="CQ33" s="6">
        <v>3678033.6</v>
      </c>
      <c r="CR33" s="6">
        <v>130881.88800000001</v>
      </c>
      <c r="CS33" s="6">
        <v>512992.99200000003</v>
      </c>
      <c r="CT33" s="6">
        <v>2914324.33</v>
      </c>
      <c r="CU33" s="6">
        <v>297394.26400000002</v>
      </c>
      <c r="CV33" s="6">
        <v>30129.468799999999</v>
      </c>
      <c r="CW33" s="6">
        <v>62742.214399999997</v>
      </c>
      <c r="CX33" s="6">
        <v>33442.134400000003</v>
      </c>
      <c r="CY33" s="6">
        <v>167322.68799999999</v>
      </c>
      <c r="CZ33" s="6">
        <v>217557.712</v>
      </c>
      <c r="DA33" s="6">
        <v>18997.68</v>
      </c>
      <c r="DB33" s="6">
        <v>149685.99299999999</v>
      </c>
      <c r="DC33" s="6">
        <v>2997.12</v>
      </c>
      <c r="DD33" s="6">
        <v>2997.85</v>
      </c>
      <c r="DE33" s="6">
        <v>3017.14</v>
      </c>
      <c r="DF33" s="6">
        <v>0.998</v>
      </c>
      <c r="DG33" s="1" t="s">
        <v>267</v>
      </c>
      <c r="DH33" s="4">
        <f>Table2[[#This Row],[Date]]</f>
        <v>46231</v>
      </c>
      <c r="DI33" s="1">
        <f>(DD34-Table2[[#This Row],[MWH Total]])*4000</f>
        <v>25319.999999999709</v>
      </c>
      <c r="DJ33">
        <f>(DA34-Table2[[#This Row],[PNG Meter (Outside)]])*2.936</f>
        <v>8.1033599999953001</v>
      </c>
      <c r="DK33">
        <f>(DB34-Table2[[#This Row],[PNG Meter (Inside)]])*2.936</f>
        <v>415.1973760000779</v>
      </c>
      <c r="DL33">
        <f>(BH34-Table2[[#This Row],[3F Dough cooler - 2 ]])*1000</f>
        <v>454.99999999998408</v>
      </c>
      <c r="DM33">
        <f>(BI34-Table2[[#This Row],[3F Dough Cooler- 1]])*1000</f>
        <v>491.00000000009913</v>
      </c>
      <c r="DN33">
        <f>(BJ34-Table2[[#This Row],[4F Dough Production cooling Unit]])*1000</f>
        <v>46.000000000001151</v>
      </c>
      <c r="DO33">
        <f>(BQ34-Table2[[#This Row],[3F2 - PDB 3 - Dough Production Area]])*1000</f>
        <v>197.00000000000273</v>
      </c>
      <c r="DP33">
        <f>(BR34-Table2[[#This Row],[3F3 - PDB 4 - Dough Area]])*1000</f>
        <v>105.00000000001819</v>
      </c>
      <c r="DQ33">
        <f>AC34-Table2[[#This Row],[16F1 Tray washer Panel for Light]]</f>
        <v>744</v>
      </c>
      <c r="DR33">
        <f>CQ34-Table2[[#This Row],[2F1 Tray Washer - 1]]</f>
        <v>1143.0400000000373</v>
      </c>
      <c r="DS33">
        <f>CS34-Table2[[#This Row],[2F5 Destacker]]</f>
        <v>298.07999999995809</v>
      </c>
      <c r="DT33">
        <f>CU34-Table2[[#This Row],[5F1 Metering (TW-2)]]</f>
        <v>233.14199999999255</v>
      </c>
      <c r="DU33">
        <f>CV34-Table2[[#This Row],[6F1 Pre soaker Tray washer]]</f>
        <v>1.0688000000009197</v>
      </c>
      <c r="DV33">
        <f>CZ34-Table2[[#This Row],[6F5 Vent tray Storage]]</f>
        <v>49.647999999986496</v>
      </c>
      <c r="DW33">
        <f>I34-Table2[[#This Row],[Popeyes Meter ]]</f>
        <v>39.470000000000255</v>
      </c>
      <c r="DX33">
        <f>AZ34-Table2[[#This Row],[2F WH Chiller, Segregation Area]]</f>
        <v>0</v>
      </c>
      <c r="DY33">
        <f>BA34-Table2[[#This Row],[3F1 AC Unit WH dock cooling - 2 Nos]]</f>
        <v>21</v>
      </c>
      <c r="DZ33">
        <f>BB34-Table2[[#This Row],[3F2 AC Unit WH dock cooling - 3 Nos]]</f>
        <v>3.4999999999996589E-2</v>
      </c>
      <c r="EA33">
        <f>(BK34-Table2[[#This Row],[5F WH Perishable]])*1000</f>
        <v>292.00000000003001</v>
      </c>
      <c r="EB33">
        <f>BN34-Table2[[#This Row],[2F3 - PDB 9 - WH Dock Leveler Door ]]</f>
        <v>2.245600000000195</v>
      </c>
      <c r="EC33">
        <f>BP34-Table2[[#This Row],[3F1 - PDB 5 - WH HSD]]</f>
        <v>129.2160000000149</v>
      </c>
      <c r="ED33">
        <f>BX34-Table2[[#This Row],[8F1 WH Dock AHU - Ventilation]]</f>
        <v>2379.0080000000307</v>
      </c>
      <c r="EE33" s="1">
        <f>BZ34-Table2[[#This Row],[8F3 ACPDB - 4 WH Dock air curtain]]</f>
        <v>3.114000000001397</v>
      </c>
      <c r="EF33">
        <f>CA34-Table2[[#This Row],[8F4 WH Light]]</f>
        <v>2.8185000000000855</v>
      </c>
      <c r="EG33">
        <f>CC34-Table2[[#This Row],[9F1 - PDB 10 - WH Dock door &amp; Office]]</f>
        <v>131.61599999997998</v>
      </c>
      <c r="EH33">
        <f>CD34-Table2[[#This Row],[9F2 - PDB 11 - WH flycatchers]]</f>
        <v>249.31199999997625</v>
      </c>
      <c r="EI33">
        <f>CE34-Table2[[#This Row],[9F3 - PDB 12 - Other items]]</f>
        <v>0</v>
      </c>
      <c r="EJ33">
        <f>CR34-Table2[[#This Row],[2F3 - PDB 1 - Dock 1 to 4 ]]</f>
        <v>76.031999999991967</v>
      </c>
      <c r="EK33">
        <f>BM34-Table2[[#This Row],[2F2 - PDB 3 - WH Truck &amp; Battery Charging]]</f>
        <v>406.7839999999851</v>
      </c>
      <c r="EL33">
        <f>(CK34-Table2[[#This Row],[PDB - 11 Truck Charging]])*1000</f>
        <v>72.000000000002728</v>
      </c>
      <c r="EM33">
        <f>P34-Table2[[#This Row],[5F3 Admin Area]]</f>
        <v>399.67999999993481</v>
      </c>
      <c r="EN33">
        <f>AH34-Table2[[#This Row],[2F5 Main Gate-1 Piller -1]]</f>
        <v>94.576000000000931</v>
      </c>
      <c r="EO33">
        <f>CW34-Table2[[#This Row],[6F2 Ground Floor AC]]</f>
        <v>30.572800000001735</v>
      </c>
      <c r="EP33">
        <f>CX34-Table2[[#This Row],[6F3 ACBD -1 (First floor AC)]]</f>
        <v>6.2335999999995693</v>
      </c>
      <c r="EQ33">
        <f>CY34-Table2[[#This Row],[6F4 ACBD - 2 (Second &amp; Third floor AC)]]</f>
        <v>114.97599999999511</v>
      </c>
      <c r="ER33">
        <f>(BC34-Table2[[#This Row],[4F Old BMC cooling Unit]])</f>
        <v>0</v>
      </c>
      <c r="ES33">
        <f>BO34-Table2[[#This Row],[2F4 - Old BMC]]</f>
        <v>0</v>
      </c>
      <c r="ET33">
        <f>Y34-Table2[[#This Row],[14F2 New CK]]</f>
        <v>1392</v>
      </c>
      <c r="EU33">
        <f>(CL34-Table2[[#This Row],[OLD Ck Panel-1]])*1000</f>
        <v>700.00000000004547</v>
      </c>
      <c r="EV33">
        <f>CM34-Table2[[#This Row],[2F4 Old CK Blast (Blue star)]]</f>
        <v>0</v>
      </c>
      <c r="EW33">
        <f>CN34-Table2[[#This Row],[3F6 Old CK Blast (Carrier)]]</f>
        <v>567.90000000000146</v>
      </c>
      <c r="EX33">
        <f>(CO34-Table2[[#This Row],[Old CK Panel -2]])*1000</f>
        <v>730.00000000001819</v>
      </c>
      <c r="EY33">
        <f>N34-Table2[[#This Row],[4F1 Main UPS 1/C -1]]</f>
        <v>909.76000000000931</v>
      </c>
      <c r="EZ33">
        <f>Z34-Table2[[#This Row],[15F1 Main UPS Panel - I/C - 2]]</f>
        <v>0</v>
      </c>
      <c r="FA33">
        <f>BF34-Table2[[#This Row],[2F CLC -1 AC unit - 2]]</f>
        <v>0</v>
      </c>
      <c r="FB33">
        <f>(BG34-Table2[[#This Row],[2F CLC Anti room]])*1000</f>
        <v>33.999999999991815</v>
      </c>
      <c r="FC33">
        <f>BW34-Table2[[#This Row],[7F3 CLC Power Panel]]</f>
        <v>226.17599999997765</v>
      </c>
      <c r="FD33">
        <f>(CI34-Table2[[#This Row],[PDB - 17 CLC Section ]])*1000</f>
        <v>134.99999999999091</v>
      </c>
      <c r="FE33">
        <f>(W34-Table2[[#This Row],[13F3 Water &amp; Lift Old CK]])*1000</f>
        <v>439.39999999997781</v>
      </c>
      <c r="FF33">
        <f>AA34-Table2[[#This Row],[15F2 New ETP Panel]]</f>
        <v>274.36800000001676</v>
      </c>
      <c r="FG33">
        <f>AL34-Table2[[#This Row],[3F4 Old ETP Panel]]</f>
        <v>68.736000000033528</v>
      </c>
      <c r="FH33">
        <f>AF34-Table2[[#This Row],[2F1 RO Plant]]</f>
        <v>568.76800000004005</v>
      </c>
      <c r="FI33">
        <f>AK34-Table2[[#This Row],[3F3 Fire Hydrant Panel]]</f>
        <v>8.1679999999905704</v>
      </c>
      <c r="FJ33">
        <f>R34-Table2[[#This Row],[7F1 Freon System Panel]]</f>
        <v>5612.7999999998137</v>
      </c>
      <c r="FK33">
        <f>(AE34-Table2[[#This Row],[21F1 Refrigeration Ammonia]])*1000</f>
        <v>6650.4000000004453</v>
      </c>
      <c r="FL33">
        <f>(AG34-Table2[[#This Row],[2F3 Air Compressor]])*1000</f>
        <v>1082.9999999998563</v>
      </c>
      <c r="FM33">
        <f>(AX34-Table2[[#This Row],[Solar Reading Panel II]])*1000</f>
        <v>1556.0000000004948</v>
      </c>
      <c r="FN33">
        <f>AI34-Table2[[#This Row],[3F1 Maintenance Workshop]]</f>
        <v>3.52639999999883</v>
      </c>
      <c r="FO33">
        <f>BD34-Table2[[#This Row],[4F B2B unit ]]</f>
        <v>74.880000000004657</v>
      </c>
      <c r="FP33">
        <f>BL34-Table2[[#This Row],[2F1 - PDB 6 - Bread, B2B section]]</f>
        <v>265.32480000000214</v>
      </c>
      <c r="FQ33">
        <f>(CG34-Table2[[#This Row],[9F5 - PDB 14 - Bread Lift]])</f>
        <v>0.45120000001043081</v>
      </c>
      <c r="FR33">
        <f>CJ34-Table2[[#This Row],[PDB - 16 Bread Section]]</f>
        <v>0.29999999999995453</v>
      </c>
      <c r="FS33">
        <f>BU34-Table2[[#This Row],[7F1 Donut Production area]]</f>
        <v>214.52800000004936</v>
      </c>
      <c r="FT33">
        <f>CB34-Table2[[#This Row],[8F5 Donut Ban Bary]]</f>
        <v>45.743999999991502</v>
      </c>
      <c r="FU33">
        <f>CF34-Table2[[#This Row],[9F4 - PDB 13 - Donut Sink Geyser area]]</f>
        <v>13.535999999992782</v>
      </c>
      <c r="FV33">
        <f>BV34-Table2[[#This Row],[7F2 Flour Silo]]</f>
        <v>545.76000000000931</v>
      </c>
      <c r="FW33">
        <f>BY34-Table2[[#This Row],[8F2 ACPDB - 3 SILO Ventilation]]</f>
        <v>49.664000000018859</v>
      </c>
      <c r="FX33">
        <f>J34-Table2[[#This Row],[DG 1010KVA Running Hours]]</f>
        <v>9.9999999999454303E-2</v>
      </c>
      <c r="FY33">
        <f>K34-Table2[[#This Row],[DG 1010 KVA Meter Reading]]</f>
        <v>10</v>
      </c>
      <c r="FZ33">
        <f>L34-Table2[[#This Row],[GG 1010 KVA Running Hours]]</f>
        <v>0</v>
      </c>
      <c r="GA33">
        <f>M34-Table2[[#This Row],[GG 1010 KVA Meter Reading]]</f>
        <v>9.9999999999909051E-3</v>
      </c>
    </row>
    <row r="34" spans="1:183" x14ac:dyDescent="0.35">
      <c r="A34" s="1">
        <v>44</v>
      </c>
      <c r="B34" s="2">
        <v>46232.403425925928</v>
      </c>
      <c r="C34" s="2">
        <v>46232.443912037037</v>
      </c>
      <c r="D34" s="1" t="s">
        <v>111</v>
      </c>
      <c r="E34" s="1"/>
      <c r="F34" s="1"/>
      <c r="G34" s="3">
        <v>46232</v>
      </c>
      <c r="H34" s="1" t="s">
        <v>186</v>
      </c>
      <c r="I34" s="6">
        <v>6426.7420000000002</v>
      </c>
      <c r="J34" s="6">
        <v>4272.2</v>
      </c>
      <c r="K34" s="6">
        <v>1776180</v>
      </c>
      <c r="L34" s="6">
        <v>452</v>
      </c>
      <c r="M34" s="6">
        <v>190.42</v>
      </c>
      <c r="N34" s="6">
        <v>1863294.24</v>
      </c>
      <c r="O34" s="6">
        <v>4587971.5199999996</v>
      </c>
      <c r="P34" s="6">
        <v>643553.6</v>
      </c>
      <c r="Q34" s="6">
        <v>8074033.2800000003</v>
      </c>
      <c r="R34" s="6">
        <v>5504088.96</v>
      </c>
      <c r="S34" s="6">
        <v>7345162.2400000002</v>
      </c>
      <c r="T34" s="6">
        <v>43122755.445</v>
      </c>
      <c r="U34" s="6">
        <v>2096229.12</v>
      </c>
      <c r="V34" s="6">
        <v>5106212.4800000004</v>
      </c>
      <c r="W34" s="6">
        <v>1589.0507</v>
      </c>
      <c r="X34" s="6">
        <v>772374.14399999997</v>
      </c>
      <c r="Y34" s="6">
        <v>1085063.52</v>
      </c>
      <c r="Z34" s="6">
        <v>2777.8894</v>
      </c>
      <c r="AA34" s="6">
        <v>666888</v>
      </c>
      <c r="AB34" s="6">
        <v>421204.38400000002</v>
      </c>
      <c r="AC34" s="6">
        <v>2134874.7200000002</v>
      </c>
      <c r="AD34" s="6">
        <v>3956494.2039999999</v>
      </c>
      <c r="AE34" s="6">
        <v>12767.012000000001</v>
      </c>
      <c r="AF34" s="6">
        <v>872287.36</v>
      </c>
      <c r="AG34" s="6">
        <v>1391.9829999999999</v>
      </c>
      <c r="AH34" s="6">
        <v>132805.39199999999</v>
      </c>
      <c r="AI34" s="6">
        <v>14599.865599999999</v>
      </c>
      <c r="AJ34" s="6">
        <v>145347.568</v>
      </c>
      <c r="AK34" s="6">
        <v>105150.264</v>
      </c>
      <c r="AL34" s="6">
        <v>330183.84000000003</v>
      </c>
      <c r="AM34" s="6">
        <v>988.30600000000004</v>
      </c>
      <c r="AN34" s="6">
        <v>292</v>
      </c>
      <c r="AO34" s="6">
        <v>7.5</v>
      </c>
      <c r="AP34" s="6">
        <v>398707</v>
      </c>
      <c r="AQ34" s="6">
        <v>42307</v>
      </c>
      <c r="AR34" s="6">
        <v>41763</v>
      </c>
      <c r="AS34" s="6">
        <v>32307</v>
      </c>
      <c r="AT34" s="6">
        <v>22057</v>
      </c>
      <c r="AU34" s="6">
        <v>15504</v>
      </c>
      <c r="AV34" s="6">
        <v>6342</v>
      </c>
      <c r="AW34" s="6">
        <v>20.886648000000001</v>
      </c>
      <c r="AX34" s="6">
        <v>7224.81</v>
      </c>
      <c r="AY34" s="6">
        <v>678.21360000000004</v>
      </c>
      <c r="AZ34" s="6">
        <v>20.788</v>
      </c>
      <c r="BA34" s="6">
        <v>10285</v>
      </c>
      <c r="BB34" s="6">
        <v>44.548999999999999</v>
      </c>
      <c r="BC34" s="6">
        <v>113989.152</v>
      </c>
      <c r="BD34" s="6">
        <v>275641.88799999998</v>
      </c>
      <c r="BE34" s="6">
        <v>3719.078</v>
      </c>
      <c r="BF34" s="6">
        <v>1712.0419999999999</v>
      </c>
      <c r="BG34" s="6">
        <v>74.861999999999995</v>
      </c>
      <c r="BH34" s="6">
        <v>362.76900000000001</v>
      </c>
      <c r="BI34" s="6">
        <v>912.89700000000005</v>
      </c>
      <c r="BJ34" s="6">
        <v>14.364000000000001</v>
      </c>
      <c r="BK34" s="6">
        <v>562.79600000000005</v>
      </c>
      <c r="BL34" s="6">
        <v>71906.361600000004</v>
      </c>
      <c r="BM34" s="6">
        <v>306910.304</v>
      </c>
      <c r="BN34" s="6">
        <v>7177.884</v>
      </c>
      <c r="BO34" s="6">
        <v>53547.964800000002</v>
      </c>
      <c r="BP34" s="6">
        <v>313767.77600000001</v>
      </c>
      <c r="BQ34" s="6">
        <v>324.214</v>
      </c>
      <c r="BR34" s="6">
        <v>180.614</v>
      </c>
      <c r="BS34" s="6">
        <v>1005632.1189999999</v>
      </c>
      <c r="BT34" s="6">
        <v>1400617.7849999999</v>
      </c>
      <c r="BU34" s="6">
        <v>628222.52800000005</v>
      </c>
      <c r="BV34" s="6">
        <v>1020051.76</v>
      </c>
      <c r="BW34" s="6">
        <v>567369.66399999999</v>
      </c>
      <c r="BX34" s="6">
        <v>986862.33600000001</v>
      </c>
      <c r="BY34" s="6">
        <v>157520.78400000001</v>
      </c>
      <c r="BZ34" s="6">
        <v>114329.879</v>
      </c>
      <c r="CA34" s="6">
        <v>1232.2788</v>
      </c>
      <c r="CB34" s="6">
        <v>108488.12</v>
      </c>
      <c r="CC34" s="6">
        <v>150284.22399999999</v>
      </c>
      <c r="CD34" s="6">
        <v>445766.75199999998</v>
      </c>
      <c r="CE34" s="6">
        <v>49125.260799999996</v>
      </c>
      <c r="CF34" s="6">
        <v>155814.144</v>
      </c>
      <c r="CG34" s="6">
        <v>360804.64</v>
      </c>
      <c r="CH34" s="6">
        <v>2385.8710000000001</v>
      </c>
      <c r="CI34" s="6">
        <v>213.727</v>
      </c>
      <c r="CJ34" s="6">
        <v>1189.5999999999999</v>
      </c>
      <c r="CK34" s="6">
        <v>77.891000000000005</v>
      </c>
      <c r="CL34" s="6">
        <v>732.6</v>
      </c>
      <c r="CM34" s="6">
        <v>551.4</v>
      </c>
      <c r="CN34" s="6">
        <v>44381.9</v>
      </c>
      <c r="CO34" s="6">
        <v>1648.3230000000001</v>
      </c>
      <c r="CP34" s="6">
        <v>293770.08299999998</v>
      </c>
      <c r="CQ34" s="6">
        <v>3679176.64</v>
      </c>
      <c r="CR34" s="6">
        <v>130957.92</v>
      </c>
      <c r="CS34" s="6">
        <v>513291.07199999999</v>
      </c>
      <c r="CT34" s="6">
        <v>2917222.5120000001</v>
      </c>
      <c r="CU34" s="6">
        <v>297627.40600000002</v>
      </c>
      <c r="CV34" s="6">
        <v>30130.5376</v>
      </c>
      <c r="CW34" s="6">
        <v>62772.787199999999</v>
      </c>
      <c r="CX34" s="6">
        <v>33448.368000000002</v>
      </c>
      <c r="CY34" s="6">
        <v>167437.66399999999</v>
      </c>
      <c r="CZ34" s="6">
        <v>217607.36</v>
      </c>
      <c r="DA34" s="6">
        <v>19000.439999999999</v>
      </c>
      <c r="DB34" s="6">
        <v>149827.40900000001</v>
      </c>
      <c r="DC34" s="6">
        <v>3004.78</v>
      </c>
      <c r="DD34" s="6">
        <v>3004.18</v>
      </c>
      <c r="DE34" s="6">
        <v>3031.08</v>
      </c>
      <c r="DF34" s="6">
        <v>0.998</v>
      </c>
      <c r="DG34" s="1" t="s">
        <v>189</v>
      </c>
      <c r="DH34" s="4">
        <f>Table2[[#This Row],[Date]]</f>
        <v>46232</v>
      </c>
      <c r="DI34">
        <f>(DD35-Table2[[#This Row],[MWH Total]])*4000</f>
        <v>27880.000000001019</v>
      </c>
      <c r="DJ34">
        <f>(DA35-Table2[[#This Row],[PNG Meter (Outside)]])*2.936</f>
        <v>9.0428800000051268</v>
      </c>
      <c r="DK34">
        <f>(DB35-Table2[[#This Row],[PNG Meter (Inside)]])*2.936</f>
        <v>367.06165599993778</v>
      </c>
      <c r="DL34">
        <f>(BH35-Table2[[#This Row],[3F Dough cooler - 2 ]])*1000</f>
        <v>449.99999999998863</v>
      </c>
      <c r="DM34">
        <f>(BI35-Table2[[#This Row],[3F Dough Cooler- 1]])*1000</f>
        <v>483.9999999999236</v>
      </c>
      <c r="DN34">
        <f>(BJ35-Table2[[#This Row],[4F Dough Production cooling Unit]])*1000</f>
        <v>58.999999999999275</v>
      </c>
      <c r="DO34">
        <f>(BQ35-Table2[[#This Row],[3F2 - PDB 3 - Dough Production Area]])*1000</f>
        <v>226.99999999997544</v>
      </c>
      <c r="DP34">
        <f>(BR35-Table2[[#This Row],[3F3 - PDB 4 - Dough Area]])*1000</f>
        <v>127.9999999999859</v>
      </c>
      <c r="DQ34">
        <f>AC35-Table2[[#This Row],[16F1 Tray washer Panel for Light]]</f>
        <v>756.47999999998137</v>
      </c>
      <c r="DR34">
        <f>CQ35-Table2[[#This Row],[2F1 Tray Washer - 1]]</f>
        <v>1241.2799999997951</v>
      </c>
      <c r="DS34">
        <f>CS35-Table2[[#This Row],[2F5 Destacker]]</f>
        <v>327.07199999998556</v>
      </c>
      <c r="DT34">
        <f>CU35-Table2[[#This Row],[5F1 Metering (TW-2)]]</f>
        <v>326.87799999996787</v>
      </c>
      <c r="DU34">
        <f>CV35-Table2[[#This Row],[6F1 Pre soaker Tray washer]]</f>
        <v>6.4000000020314474E-3</v>
      </c>
      <c r="DV34">
        <f>CZ35-Table2[[#This Row],[6F5 Vent tray Storage]]</f>
        <v>133.93600000001607</v>
      </c>
      <c r="DW34">
        <f>I35-Table2[[#This Row],[Popeyes Meter ]]</f>
        <v>70.050000000000182</v>
      </c>
      <c r="DX34">
        <f>AZ35-Table2[[#This Row],[2F WH Chiller, Segregation Area]]</f>
        <v>0</v>
      </c>
      <c r="DY34">
        <f>BA35-Table2[[#This Row],[3F1 AC Unit WH dock cooling - 2 Nos]]</f>
        <v>22</v>
      </c>
      <c r="DZ34">
        <f>BB35-Table2[[#This Row],[3F2 AC Unit WH dock cooling - 3 Nos]]</f>
        <v>4.6999999999997044E-2</v>
      </c>
      <c r="EA34">
        <f>(BK35-Table2[[#This Row],[5F WH Perishable]])*1000</f>
        <v>285.99999999994452</v>
      </c>
      <c r="EB34">
        <f>BN35-Table2[[#This Row],[2F3 - PDB 9 - WH Dock Leveler Door ]]</f>
        <v>2.322400000000016</v>
      </c>
      <c r="EC34">
        <f>BP35-Table2[[#This Row],[3F1 - PDB 5 - WH HSD]]</f>
        <v>136.57600000000093</v>
      </c>
      <c r="ED34">
        <f>BX35-Table2[[#This Row],[8F1 WH Dock AHU - Ventilation]]</f>
        <v>2314.1759999999776</v>
      </c>
      <c r="EE34" s="1">
        <f>BZ35-Table2[[#This Row],[8F3 ACPDB - 4 WH Dock air curtain]]</f>
        <v>0.24099999999452848</v>
      </c>
      <c r="EF34">
        <f>CA35-Table2[[#This Row],[8F4 WH Light]]</f>
        <v>2.7717000000000098</v>
      </c>
      <c r="EG34">
        <f>CC35-Table2[[#This Row],[9F1 - PDB 10 - WH Dock door &amp; Office]]</f>
        <v>80.768000000010943</v>
      </c>
      <c r="EH34">
        <f>CD35-Table2[[#This Row],[9F2 - PDB 11 - WH flycatchers]]</f>
        <v>159.00800000003073</v>
      </c>
      <c r="EI34">
        <f>CE35-Table2[[#This Row],[9F3 - PDB 12 - Other items]]</f>
        <v>0</v>
      </c>
      <c r="EJ34">
        <f>CR35-Table2[[#This Row],[2F3 - PDB 1 - Dock 1 to 4 ]]</f>
        <v>73.495999999999185</v>
      </c>
      <c r="EK34">
        <f>BM35-Table2[[#This Row],[2F2 - PDB 3 - WH Truck &amp; Battery Charging]]</f>
        <v>466.71999999997206</v>
      </c>
      <c r="EL34">
        <f>(CK35-Table2[[#This Row],[PDB - 11 Truck Charging]])*1000</f>
        <v>50.999999999987722</v>
      </c>
      <c r="EM34">
        <f>P35-Table2[[#This Row],[5F3 Admin Area]]</f>
        <v>390.65600000007544</v>
      </c>
      <c r="EN34">
        <f>AH35-Table2[[#This Row],[2F5 Main Gate-1 Piller -1]]</f>
        <v>101.92000000001281</v>
      </c>
      <c r="EO34">
        <f>CW35-Table2[[#This Row],[6F2 Ground Floor AC]]</f>
        <v>31.788800000002084</v>
      </c>
      <c r="EP34">
        <f>CX35-Table2[[#This Row],[6F3 ACBD -1 (First floor AC)]]</f>
        <v>0</v>
      </c>
      <c r="EQ34">
        <f>CY35-Table2[[#This Row],[6F4 ACBD - 2 (Second &amp; Third floor AC)]]</f>
        <v>127.34400000001187</v>
      </c>
      <c r="ER34">
        <f>(BC35-Table2[[#This Row],[4F Old BMC cooling Unit]])</f>
        <v>0</v>
      </c>
      <c r="ES34">
        <f>BO35-Table2[[#This Row],[2F4 - Old BMC]]</f>
        <v>0.65279999999620486</v>
      </c>
      <c r="ET34">
        <f>Y35-Table2[[#This Row],[14F2 New CK]]</f>
        <v>1629.4399999999441</v>
      </c>
      <c r="EU34">
        <f>(CL35-Table2[[#This Row],[OLD Ck Panel-1]])*1000</f>
        <v>687.99999999998818</v>
      </c>
      <c r="EV34">
        <f>CM35-Table2[[#This Row],[2F4 Old CK Blast (Blue star)]]</f>
        <v>0</v>
      </c>
      <c r="EW34">
        <f>CN35-Table2[[#This Row],[3F6 Old CK Blast (Carrier)]]</f>
        <v>575.09999999999854</v>
      </c>
      <c r="EX34">
        <f>(CO35-Table2[[#This Row],[Old CK Panel -2]])*1000</f>
        <v>894.00000000000546</v>
      </c>
      <c r="EY34">
        <f>N35-Table2[[#This Row],[4F1 Main UPS 1/C -1]]</f>
        <v>907.36000000010245</v>
      </c>
      <c r="EZ34">
        <f>Z35-Table2[[#This Row],[15F1 Main UPS Panel - I/C - 2]]</f>
        <v>0</v>
      </c>
      <c r="FA34">
        <f>BF35-Table2[[#This Row],[2F CLC -1 AC unit - 2]]</f>
        <v>0</v>
      </c>
      <c r="FB34">
        <f>(BG35-Table2[[#This Row],[2F CLC Anti room]])*1000</f>
        <v>34.000000000006025</v>
      </c>
      <c r="FC34">
        <f>BW35-Table2[[#This Row],[7F3 CLC Power Panel]]</f>
        <v>254.52800000004936</v>
      </c>
      <c r="FD34">
        <f>(CI35-Table2[[#This Row],[PDB - 17 CLC Section ]])*1000</f>
        <v>161.00000000000136</v>
      </c>
      <c r="FE34">
        <f>(W35-Table2[[#This Row],[13F3 Water &amp; Lift Old CK]])*1000</f>
        <v>291.60000000001673</v>
      </c>
      <c r="FF34">
        <f>AA35-Table2[[#This Row],[15F2 New ETP Panel]]</f>
        <v>270.07999999995809</v>
      </c>
      <c r="FG34">
        <f>AL35-Table2[[#This Row],[3F4 Old ETP Panel]]</f>
        <v>79.519999999960419</v>
      </c>
      <c r="FH34">
        <f>AF35-Table2[[#This Row],[2F1 RO Plant]]</f>
        <v>510.27199999999721</v>
      </c>
      <c r="FI34">
        <f>AK35-Table2[[#This Row],[3F3 Fire Hydrant Panel]]</f>
        <v>43.912000000011176</v>
      </c>
      <c r="FJ34">
        <f>R35-Table2[[#This Row],[7F1 Freon System Panel]]</f>
        <v>6092.7999999998137</v>
      </c>
      <c r="FK34">
        <f>(AE35-Table2[[#This Row],[21F1 Refrigeration Ammonia]])*1000</f>
        <v>6868.8000000001921</v>
      </c>
      <c r="FL34">
        <f>(AG35-Table2[[#This Row],[2F3 Air Compressor]])*1000</f>
        <v>1076.0000000000218</v>
      </c>
      <c r="FM34">
        <f>(AX35-Table2[[#This Row],[Solar Reading Panel II]])*1000</f>
        <v>3034.9999999998545</v>
      </c>
      <c r="FN34">
        <f>AI35-Table2[[#This Row],[3F1 Maintenance Workshop]]</f>
        <v>4.3536000000003696</v>
      </c>
      <c r="FO34">
        <f>BD35-Table2[[#This Row],[4F B2B unit ]]</f>
        <v>67.90400000003865</v>
      </c>
      <c r="FP34">
        <f>BL35-Table2[[#This Row],[2F1 - PDB 6 - Bread, B2B section]]</f>
        <v>276.23679999999877</v>
      </c>
      <c r="FQ34">
        <f>(CG35-Table2[[#This Row],[9F5 - PDB 14 - Bread Lift]])</f>
        <v>0.43839999899500981</v>
      </c>
      <c r="FR34">
        <f>CJ35-Table2[[#This Row],[PDB - 16 Bread Section]]</f>
        <v>1.2000000000000455</v>
      </c>
      <c r="FS34">
        <f>BU35-Table2[[#This Row],[7F1 Donut Production area]]</f>
        <v>271.74399999994785</v>
      </c>
      <c r="FT34">
        <f>CB35-Table2[[#This Row],[8F5 Donut Ban Bary]]</f>
        <v>54.584000000002561</v>
      </c>
      <c r="FU34">
        <f>CF35-Table2[[#This Row],[9F4 - PDB 13 - Donut Sink Geyser area]]</f>
        <v>11.663999999989755</v>
      </c>
      <c r="FV34">
        <f>BV35-Table2[[#This Row],[7F2 Flour Silo]]</f>
        <v>540.55999999993946</v>
      </c>
      <c r="FW34">
        <f>BY35-Table2[[#This Row],[8F2 ACPDB - 3 SILO Ventilation]]</f>
        <v>48.703999999997905</v>
      </c>
      <c r="FX34">
        <f>J35-Table2[[#This Row],[DG 1010KVA Running Hours]]</f>
        <v>0</v>
      </c>
      <c r="FY34">
        <f>K35-Table2[[#This Row],[DG 1010 KVA Meter Reading]]</f>
        <v>19</v>
      </c>
      <c r="FZ34">
        <f>L35-Table2[[#This Row],[GG 1010 KVA Running Hours]]</f>
        <v>0</v>
      </c>
      <c r="GA34">
        <f>M35-Table2[[#This Row],[GG 1010 KVA Meter Reading]]</f>
        <v>0</v>
      </c>
    </row>
    <row r="35" spans="1:183" x14ac:dyDescent="0.35">
      <c r="A35" s="1">
        <v>45</v>
      </c>
      <c r="B35" s="2">
        <v>46233.400023148148</v>
      </c>
      <c r="C35" s="2">
        <v>46233.440949074073</v>
      </c>
      <c r="D35" s="1" t="s">
        <v>111</v>
      </c>
      <c r="E35" s="1"/>
      <c r="F35" s="1"/>
      <c r="G35" s="3">
        <v>46233</v>
      </c>
      <c r="H35" s="1" t="s">
        <v>186</v>
      </c>
      <c r="I35" s="6">
        <v>6496.7920000000004</v>
      </c>
      <c r="J35" s="6">
        <v>4272.2</v>
      </c>
      <c r="K35" s="6">
        <v>1776199</v>
      </c>
      <c r="L35" s="6">
        <v>452</v>
      </c>
      <c r="M35" s="6">
        <v>190.42</v>
      </c>
      <c r="N35" s="6">
        <v>1864201.6</v>
      </c>
      <c r="O35" s="6">
        <v>4589676.16</v>
      </c>
      <c r="P35" s="6">
        <v>643944.25600000005</v>
      </c>
      <c r="Q35" s="6">
        <v>8077034.8799999999</v>
      </c>
      <c r="R35" s="6">
        <v>5510181.7599999998</v>
      </c>
      <c r="S35" s="6">
        <v>7348347.5199999996</v>
      </c>
      <c r="T35" s="6">
        <v>42698106.086000003</v>
      </c>
      <c r="U35" s="6">
        <v>2097657.7599999998</v>
      </c>
      <c r="V35" s="6">
        <v>5108056.6399999997</v>
      </c>
      <c r="W35" s="6">
        <v>1589.3423</v>
      </c>
      <c r="X35" s="6">
        <v>772699.64800000004</v>
      </c>
      <c r="Y35" s="6">
        <v>1086692.96</v>
      </c>
      <c r="Z35" s="6">
        <v>2777.8894</v>
      </c>
      <c r="AA35" s="6">
        <v>667158.07999999996</v>
      </c>
      <c r="AB35" s="6">
        <v>421215.61599999998</v>
      </c>
      <c r="AC35" s="6">
        <v>2135631.2000000002</v>
      </c>
      <c r="AD35" s="6">
        <v>3970203.8289999999</v>
      </c>
      <c r="AE35" s="6">
        <v>12773.880800000001</v>
      </c>
      <c r="AF35" s="6">
        <v>872797.63199999998</v>
      </c>
      <c r="AG35" s="6">
        <v>1393.059</v>
      </c>
      <c r="AH35" s="6">
        <v>132907.31200000001</v>
      </c>
      <c r="AI35" s="6">
        <v>14604.2192</v>
      </c>
      <c r="AJ35" s="6">
        <v>145351.31200000001</v>
      </c>
      <c r="AK35" s="6">
        <v>105194.17600000001</v>
      </c>
      <c r="AL35" s="6">
        <v>330263.36</v>
      </c>
      <c r="AM35" s="6">
        <v>988.83600000000001</v>
      </c>
      <c r="AN35" s="6">
        <v>262.3</v>
      </c>
      <c r="AO35" s="6">
        <v>7.1</v>
      </c>
      <c r="AP35" s="6">
        <v>408443</v>
      </c>
      <c r="AQ35" s="6">
        <v>42307</v>
      </c>
      <c r="AR35" s="6">
        <v>41763</v>
      </c>
      <c r="AS35" s="6">
        <v>32307</v>
      </c>
      <c r="AT35" s="6">
        <v>22057</v>
      </c>
      <c r="AU35" s="6">
        <v>15528</v>
      </c>
      <c r="AV35" s="6">
        <v>6359</v>
      </c>
      <c r="AW35" s="6">
        <v>20.893312000000002</v>
      </c>
      <c r="AX35" s="6">
        <v>7227.8450000000003</v>
      </c>
      <c r="AY35" s="6">
        <v>678.37343999999996</v>
      </c>
      <c r="AZ35" s="6">
        <v>20.788</v>
      </c>
      <c r="BA35" s="6">
        <v>10307</v>
      </c>
      <c r="BB35" s="6">
        <v>44.595999999999997</v>
      </c>
      <c r="BC35" s="6">
        <v>113989.152</v>
      </c>
      <c r="BD35" s="6">
        <v>275709.79200000002</v>
      </c>
      <c r="BE35" s="6">
        <v>3720.4344000000001</v>
      </c>
      <c r="BF35" s="6">
        <v>1712.0419999999999</v>
      </c>
      <c r="BG35" s="6">
        <v>74.896000000000001</v>
      </c>
      <c r="BH35" s="6">
        <v>363.21899999999999</v>
      </c>
      <c r="BI35" s="6">
        <v>913.38099999999997</v>
      </c>
      <c r="BJ35" s="6">
        <v>14.423</v>
      </c>
      <c r="BK35" s="6">
        <v>563.08199999999999</v>
      </c>
      <c r="BL35" s="6">
        <v>72182.598400000003</v>
      </c>
      <c r="BM35" s="6">
        <v>307377.02399999998</v>
      </c>
      <c r="BN35" s="6">
        <v>7180.2064</v>
      </c>
      <c r="BO35" s="6">
        <v>53548.617599999998</v>
      </c>
      <c r="BP35" s="6">
        <v>313904.35200000001</v>
      </c>
      <c r="BQ35" s="6">
        <v>324.44099999999997</v>
      </c>
      <c r="BR35" s="6">
        <v>180.74199999999999</v>
      </c>
      <c r="BS35" s="6">
        <v>1007040.382</v>
      </c>
      <c r="BT35" s="6">
        <v>1400617.7849999999</v>
      </c>
      <c r="BU35" s="6">
        <v>628494.272</v>
      </c>
      <c r="BV35" s="6">
        <v>1020592.32</v>
      </c>
      <c r="BW35" s="6">
        <v>567624.19200000004</v>
      </c>
      <c r="BX35" s="6">
        <v>989176.51199999999</v>
      </c>
      <c r="BY35" s="6">
        <v>157569.48800000001</v>
      </c>
      <c r="BZ35" s="6">
        <v>114330.12</v>
      </c>
      <c r="CA35" s="6">
        <v>1235.0505000000001</v>
      </c>
      <c r="CB35" s="6">
        <v>108542.704</v>
      </c>
      <c r="CC35" s="6">
        <v>150364.992</v>
      </c>
      <c r="CD35" s="6">
        <v>445925.76</v>
      </c>
      <c r="CE35" s="6">
        <v>49125.260799999996</v>
      </c>
      <c r="CF35" s="6">
        <v>155825.80799999999</v>
      </c>
      <c r="CG35" s="6">
        <v>360805.07839999901</v>
      </c>
      <c r="CH35" s="6">
        <v>2385.8710000000001</v>
      </c>
      <c r="CI35" s="6">
        <v>213.88800000000001</v>
      </c>
      <c r="CJ35" s="6">
        <v>1190.8</v>
      </c>
      <c r="CK35" s="6">
        <v>77.941999999999993</v>
      </c>
      <c r="CL35" s="6">
        <v>733.28800000000001</v>
      </c>
      <c r="CM35" s="6">
        <v>551.4</v>
      </c>
      <c r="CN35" s="6">
        <v>44957</v>
      </c>
      <c r="CO35" s="6">
        <v>1649.2170000000001</v>
      </c>
      <c r="CP35" s="6">
        <v>293913.68599999999</v>
      </c>
      <c r="CQ35" s="6">
        <v>3680417.92</v>
      </c>
      <c r="CR35" s="6">
        <v>131031.416</v>
      </c>
      <c r="CS35" s="6">
        <v>513618.14399999997</v>
      </c>
      <c r="CT35" s="6">
        <v>2920477.673</v>
      </c>
      <c r="CU35" s="6">
        <v>297954.28399999999</v>
      </c>
      <c r="CV35" s="6">
        <v>30130.544000000002</v>
      </c>
      <c r="CW35" s="6">
        <v>62804.576000000001</v>
      </c>
      <c r="CX35" s="6">
        <v>33448.368000000002</v>
      </c>
      <c r="CY35" s="6">
        <v>167565.008</v>
      </c>
      <c r="CZ35" s="6">
        <v>217741.296</v>
      </c>
      <c r="DA35" s="6">
        <v>19003.52</v>
      </c>
      <c r="DB35" s="6">
        <v>149952.43</v>
      </c>
      <c r="DC35" s="6">
        <v>3011.28</v>
      </c>
      <c r="DD35" s="6">
        <v>3011.15</v>
      </c>
      <c r="DE35" s="6">
        <v>3036.96</v>
      </c>
      <c r="DF35" s="6">
        <v>0.997</v>
      </c>
      <c r="DG35" s="1" t="s">
        <v>245</v>
      </c>
      <c r="DH35" s="4">
        <f>Table2[[#This Row],[Date]]</f>
        <v>46233</v>
      </c>
      <c r="DI35">
        <f>(DD36-Table2[[#This Row],[MWH Total]])*4000</f>
        <v>24279.999999998836</v>
      </c>
      <c r="DJ35">
        <f>(DA36-Table2[[#This Row],[PNG Meter (Outside)]])*2.936</f>
        <v>18.408720000001281</v>
      </c>
      <c r="DK35">
        <f>(DB36-Table2[[#This Row],[PNG Meter (Inside)]])*2.936</f>
        <v>322.10856000006152</v>
      </c>
      <c r="DL35">
        <f>(BH36-Table2[[#This Row],[3F Dough cooler - 2 ]])*1000</f>
        <v>447.00000000000273</v>
      </c>
      <c r="DM35">
        <f>(BI36-Table2[[#This Row],[3F Dough Cooler- 1]])*1000</f>
        <v>482.00000000008458</v>
      </c>
      <c r="DN35">
        <f>(BJ36-Table2[[#This Row],[4F Dough Production cooling Unit]])*1000</f>
        <v>76.000000000000512</v>
      </c>
      <c r="DO35">
        <f>(BQ36-Table2[[#This Row],[3F2 - PDB 3 - Dough Production Area]])*1000</f>
        <v>254.0000000000191</v>
      </c>
      <c r="DP35">
        <f>(BR36-Table2[[#This Row],[3F3 - PDB 4 - Dough Area]])*1000</f>
        <v>122.0000000000141</v>
      </c>
      <c r="DQ35">
        <f>AC36-Table2[[#This Row],[16F1 Tray washer Panel for Light]]</f>
        <v>775.83999999985099</v>
      </c>
      <c r="DR35">
        <f>CQ36-Table2[[#This Row],[2F1 Tray Washer - 1]]</f>
        <v>1344.320000000298</v>
      </c>
      <c r="DS35">
        <f>CS36-Table2[[#This Row],[2F5 Destacker]]</f>
        <v>330.59200000000419</v>
      </c>
      <c r="DT35">
        <f>CU36-Table2[[#This Row],[5F1 Metering (TW-2)]]</f>
        <v>306.20100000000093</v>
      </c>
      <c r="DU35">
        <f>CV36-Table2[[#This Row],[6F1 Pre soaker Tray washer]]</f>
        <v>2.9183999999986554</v>
      </c>
      <c r="DV35">
        <f>CZ36-Table2[[#This Row],[6F5 Vent tray Storage]]</f>
        <v>87.119999999995343</v>
      </c>
      <c r="DW35">
        <f>I36-Table2[[#This Row],[Popeyes Meter ]]</f>
        <v>27.739999999999782</v>
      </c>
      <c r="DX35">
        <f>AZ36-Table2[[#This Row],[2F WH Chiller, Segregation Area]]</f>
        <v>0</v>
      </c>
      <c r="DY35">
        <f>BA36-Table2[[#This Row],[3F1 AC Unit WH dock cooling - 2 Nos]]</f>
        <v>22</v>
      </c>
      <c r="DZ35">
        <f>BB36-Table2[[#This Row],[3F2 AC Unit WH dock cooling - 3 Nos]]</f>
        <v>4.3000000000006366E-2</v>
      </c>
      <c r="EA35">
        <f>(BK36-Table2[[#This Row],[5F WH Perishable]])*1000</f>
        <v>283.00000000001546</v>
      </c>
      <c r="EB35">
        <f>BN36-Table2[[#This Row],[2F3 - PDB 9 - WH Dock Leveler Door ]]</f>
        <v>9.8944000000001324</v>
      </c>
      <c r="EC35">
        <f>BP36-Table2[[#This Row],[3F1 - PDB 5 - WH HSD]]</f>
        <v>125.5679999999702</v>
      </c>
      <c r="ED35">
        <f>BX36-Table2[[#This Row],[8F1 WH Dock AHU - Ventilation]]</f>
        <v>2318.9760000000242</v>
      </c>
      <c r="EE35">
        <f>BZ36-Table2[[#This Row],[8F3 ACPDB - 4 WH Dock air curtain]]</f>
        <v>2.6399999999994179</v>
      </c>
      <c r="EF35">
        <f>CA36-Table2[[#This Row],[8F4 WH Light]]</f>
        <v>2.7807999999999993</v>
      </c>
      <c r="EG35">
        <f>CC36-Table2[[#This Row],[9F1 - PDB 10 - WH Dock door &amp; Office]]</f>
        <v>131.67999999999302</v>
      </c>
      <c r="EH35">
        <f>CD36-Table2[[#This Row],[9F2 - PDB 11 - WH flycatchers]]</f>
        <v>238.0800000000163</v>
      </c>
      <c r="EI35">
        <f>CE36-Table2[[#This Row],[9F3 - PDB 12 - Other items]]</f>
        <v>0</v>
      </c>
      <c r="EJ35">
        <f>CR36-Table2[[#This Row],[2F3 - PDB 1 - Dock 1 to 4 ]]</f>
        <v>77.336000000010245</v>
      </c>
      <c r="EK35">
        <f>BM36-Table2[[#This Row],[2F2 - PDB 3 - WH Truck &amp; Battery Charging]]</f>
        <v>545.98399999999674</v>
      </c>
      <c r="EL35">
        <f>(CK36-Table2[[#This Row],[PDB - 11 Truck Charging]])*1000</f>
        <v>61.000000000007049</v>
      </c>
      <c r="EM35">
        <f>P36-Table2[[#This Row],[5F3 Admin Area]]</f>
        <v>411.26399999996647</v>
      </c>
      <c r="EN35">
        <f>AH36-Table2[[#This Row],[2F5 Main Gate-1 Piller -1]]</f>
        <v>112.2159999999858</v>
      </c>
      <c r="EO35">
        <f>CW36-Table2[[#This Row],[6F2 Ground Floor AC]]</f>
        <v>25.798399999999674</v>
      </c>
      <c r="EP35">
        <f>CX36-Table2[[#This Row],[6F3 ACBD -1 (First floor AC)]]</f>
        <v>13.916799999999057</v>
      </c>
      <c r="EQ35">
        <f>CY36-Table2[[#This Row],[6F4 ACBD - 2 (Second &amp; Third floor AC)]]</f>
        <v>141.08799999998882</v>
      </c>
      <c r="ER35">
        <f>(BC36-Table2[[#This Row],[4F Old BMC cooling Unit]])</f>
        <v>0</v>
      </c>
      <c r="ES35">
        <f>BO36-Table2[[#This Row],[2F4 - Old BMC]]</f>
        <v>3.8048000000053435</v>
      </c>
      <c r="ET35">
        <f>Y36-Table2[[#This Row],[14F2 New CK]]</f>
        <v>1180.5600000000559</v>
      </c>
      <c r="EU35">
        <f>(CL36-Table2[[#This Row],[OLD Ck Panel-1]])*1000</f>
        <v>311.00000000003547</v>
      </c>
      <c r="EV35">
        <f>CM36-Table2[[#This Row],[2F4 Old CK Blast (Blue star)]]</f>
        <v>0</v>
      </c>
      <c r="EW35">
        <f>CN36-Table2[[#This Row],[3F6 Old CK Blast (Carrier)]]</f>
        <v>192.09999999999854</v>
      </c>
      <c r="EX35">
        <f>(CO36-Table2[[#This Row],[Old CK Panel -2]])*1000</f>
        <v>561.99999999989814</v>
      </c>
      <c r="EY35">
        <f>N36-Table2[[#This Row],[4F1 Main UPS 1/C -1]]</f>
        <v>930.39999999990687</v>
      </c>
      <c r="EZ35">
        <f>Z36-Table2[[#This Row],[15F1 Main UPS Panel - I/C - 2]]</f>
        <v>0</v>
      </c>
      <c r="FA35">
        <f>BF36-Table2[[#This Row],[2F CLC -1 AC unit - 2]]</f>
        <v>0</v>
      </c>
      <c r="FB35">
        <f>(BG36-Table2[[#This Row],[2F CLC Anti room]])*1000</f>
        <v>34.000000000006025</v>
      </c>
      <c r="FC35">
        <f>BW36-Table2[[#This Row],[7F3 CLC Power Panel]]</f>
        <v>296.38399999996182</v>
      </c>
      <c r="FD35">
        <f>(CI36-Table2[[#This Row],[PDB - 17 CLC Section ]])*1000</f>
        <v>201.99999999999818</v>
      </c>
      <c r="FE35">
        <f>(W36-Table2[[#This Row],[13F3 Water &amp; Lift Old CK]])*1000</f>
        <v>1061.5999999999985</v>
      </c>
      <c r="FF35">
        <f>AA36-Table2[[#This Row],[15F2 New ETP Panel]]</f>
        <v>253.63200000009965</v>
      </c>
      <c r="FG35">
        <f>AL36-Table2[[#This Row],[3F4 Old ETP Panel]]</f>
        <v>67.552000000025146</v>
      </c>
      <c r="FH35">
        <f>AF36-Table2[[#This Row],[2F1 RO Plant]]</f>
        <v>499.07200000004377</v>
      </c>
      <c r="FI35">
        <f>AK36-Table2[[#This Row],[3F3 Fire Hydrant Panel]]</f>
        <v>10.743999999991502</v>
      </c>
      <c r="FJ35">
        <f>R36-Table2[[#This Row],[7F1 Freon System Panel]]</f>
        <v>6741.1200000001118</v>
      </c>
      <c r="FK35">
        <f>(AE36-Table2[[#This Row],[21F1 Refrigeration Ammonia]])*1000</f>
        <v>6973.599999999351</v>
      </c>
      <c r="FL35">
        <f>(AG36-Table2[[#This Row],[2F3 Air Compressor]])*1000</f>
        <v>1206.000000000131</v>
      </c>
      <c r="FM35">
        <f>(AX36-Table2[[#This Row],[Solar Reading Panel II]])*1000</f>
        <v>3094.9999999993452</v>
      </c>
      <c r="FN35">
        <f>AI36-Table2[[#This Row],[3F1 Maintenance Workshop]]</f>
        <v>3.9744000000009692</v>
      </c>
      <c r="FO35">
        <f>BD36-Table2[[#This Row],[4F B2B unit ]]</f>
        <v>59.744000000006054</v>
      </c>
      <c r="FP35">
        <f>BL36-Table2[[#This Row],[2F1 - PDB 6 - Bread, B2B section]]</f>
        <v>209.96839999999793</v>
      </c>
      <c r="FQ35">
        <f>(CG36-Table2[[#This Row],[9F5 - PDB 14 - Bread Lift]])</f>
        <v>0.44800000096438453</v>
      </c>
      <c r="FR35">
        <f>CJ36-Table2[[#This Row],[PDB - 16 Bread Section]]</f>
        <v>0.60000000000013642</v>
      </c>
      <c r="FS35">
        <f>BU36-Table2[[#This Row],[7F1 Donut Production area]]</f>
        <v>236.73600000003353</v>
      </c>
      <c r="FT35">
        <f>CB36-Table2[[#This Row],[8F5 Donut Ban Bary]]</f>
        <v>58.304000000003725</v>
      </c>
      <c r="FU35">
        <f>CF36-Table2[[#This Row],[9F4 - PDB 13 - Donut Sink Geyser area]]</f>
        <v>20.384000000020023</v>
      </c>
      <c r="FV35">
        <f>BV36-Table2[[#This Row],[7F2 Flour Silo]]</f>
        <v>599.04000000003725</v>
      </c>
      <c r="FW35">
        <f>BY36-Table2[[#This Row],[8F2 ACPDB - 3 SILO Ventilation]]</f>
        <v>49.055999999982305</v>
      </c>
      <c r="FX35">
        <f>J36-Table2[[#This Row],[DG 1010KVA Running Hours]]</f>
        <v>0.1999999999998181</v>
      </c>
      <c r="FY35">
        <f>K36-Table2[[#This Row],[DG 1010 KVA Meter Reading]]</f>
        <v>38</v>
      </c>
      <c r="FZ35">
        <f>L36-Table2[[#This Row],[GG 1010 KVA Running Hours]]</f>
        <v>0</v>
      </c>
      <c r="GA35">
        <f>M36-Table2[[#This Row],[GG 1010 KVA Meter Reading]]</f>
        <v>2.0000000000010232E-2</v>
      </c>
    </row>
    <row r="36" spans="1:183" x14ac:dyDescent="0.35">
      <c r="A36" s="1">
        <v>46</v>
      </c>
      <c r="B36" s="2">
        <v>46234.398842592593</v>
      </c>
      <c r="C36" s="2">
        <v>46234.446157407408</v>
      </c>
      <c r="D36" s="1" t="s">
        <v>111</v>
      </c>
      <c r="E36" s="1"/>
      <c r="F36" s="1"/>
      <c r="G36" s="3">
        <v>46234</v>
      </c>
      <c r="H36" s="1" t="s">
        <v>186</v>
      </c>
      <c r="I36" s="6">
        <v>6524.5320000000002</v>
      </c>
      <c r="J36" s="6">
        <v>4272.3999999999996</v>
      </c>
      <c r="K36" s="6">
        <v>1776237</v>
      </c>
      <c r="L36" s="6">
        <v>452</v>
      </c>
      <c r="M36" s="6">
        <v>190.44</v>
      </c>
      <c r="N36" s="6">
        <v>1865132</v>
      </c>
      <c r="O36" s="6">
        <v>4591483.5199999996</v>
      </c>
      <c r="P36" s="6">
        <v>644355.52</v>
      </c>
      <c r="Q36" s="6">
        <v>8080058.8799999999</v>
      </c>
      <c r="R36" s="6">
        <v>5516922.8799999999</v>
      </c>
      <c r="S36" s="6">
        <v>7351346.5599999996</v>
      </c>
      <c r="T36" s="6">
        <v>43149691.343000002</v>
      </c>
      <c r="U36" s="6">
        <v>2099075.04</v>
      </c>
      <c r="V36" s="6">
        <v>5109930.5599999996</v>
      </c>
      <c r="W36" s="6">
        <v>1590.4039</v>
      </c>
      <c r="X36" s="6">
        <v>773006.4</v>
      </c>
      <c r="Y36" s="6">
        <v>1087873.52</v>
      </c>
      <c r="Z36" s="6">
        <v>2777.8894</v>
      </c>
      <c r="AA36" s="6">
        <v>667411.71200000006</v>
      </c>
      <c r="AB36" s="6">
        <v>421231.29599999997</v>
      </c>
      <c r="AC36" s="6">
        <v>2136407.04</v>
      </c>
      <c r="AD36" s="6">
        <v>2618164.23</v>
      </c>
      <c r="AE36" s="6">
        <v>12780.8544</v>
      </c>
      <c r="AF36" s="6">
        <v>873296.70400000003</v>
      </c>
      <c r="AG36" s="6">
        <v>1394.2650000000001</v>
      </c>
      <c r="AH36" s="6">
        <v>133019.52799999999</v>
      </c>
      <c r="AI36" s="6">
        <v>14608.193600000001</v>
      </c>
      <c r="AJ36" s="6">
        <v>145355.68</v>
      </c>
      <c r="AK36" s="6">
        <v>105204.92</v>
      </c>
      <c r="AL36" s="6">
        <v>330330.91200000001</v>
      </c>
      <c r="AM36" s="6">
        <v>989.33900000000006</v>
      </c>
      <c r="AN36" s="6">
        <v>281.7</v>
      </c>
      <c r="AO36" s="6">
        <v>7</v>
      </c>
      <c r="AP36" s="6">
        <v>419545</v>
      </c>
      <c r="AQ36" s="6">
        <v>42313</v>
      </c>
      <c r="AR36" s="6">
        <v>41768</v>
      </c>
      <c r="AS36" s="6">
        <v>32308</v>
      </c>
      <c r="AT36" s="6">
        <v>22057</v>
      </c>
      <c r="AU36" s="6">
        <v>15551</v>
      </c>
      <c r="AV36" s="6">
        <v>6378</v>
      </c>
      <c r="AW36" s="6">
        <v>20.900064</v>
      </c>
      <c r="AX36" s="6">
        <v>7230.94</v>
      </c>
      <c r="AY36" s="6">
        <v>678.54223999999999</v>
      </c>
      <c r="AZ36" s="6">
        <v>20.788</v>
      </c>
      <c r="BA36" s="6">
        <v>10329</v>
      </c>
      <c r="BB36" s="6">
        <v>44.639000000000003</v>
      </c>
      <c r="BC36" s="6">
        <v>113989.152</v>
      </c>
      <c r="BD36" s="6">
        <v>275769.53600000002</v>
      </c>
      <c r="BE36" s="6">
        <v>3721.8083999999999</v>
      </c>
      <c r="BF36" s="6">
        <v>1712.0419999999999</v>
      </c>
      <c r="BG36" s="6">
        <v>74.930000000000007</v>
      </c>
      <c r="BH36" s="6">
        <v>363.666</v>
      </c>
      <c r="BI36" s="6">
        <v>913.86300000000006</v>
      </c>
      <c r="BJ36" s="6">
        <v>14.499000000000001</v>
      </c>
      <c r="BK36" s="6">
        <v>563.36500000000001</v>
      </c>
      <c r="BL36" s="6">
        <v>72392.566800000001</v>
      </c>
      <c r="BM36" s="6">
        <v>307923.00799999997</v>
      </c>
      <c r="BN36" s="6">
        <v>7190.1008000000002</v>
      </c>
      <c r="BO36" s="6">
        <v>53552.422400000003</v>
      </c>
      <c r="BP36" s="6">
        <v>314029.92</v>
      </c>
      <c r="BQ36" s="6">
        <v>324.69499999999999</v>
      </c>
      <c r="BR36" s="6">
        <v>180.864</v>
      </c>
      <c r="BS36" s="6">
        <v>1008442.662</v>
      </c>
      <c r="BT36" s="6">
        <v>1400617.8060000001</v>
      </c>
      <c r="BU36" s="6">
        <v>628731.00800000003</v>
      </c>
      <c r="BV36" s="6">
        <v>1021191.36</v>
      </c>
      <c r="BW36" s="6">
        <v>567920.576</v>
      </c>
      <c r="BX36" s="6">
        <v>991495.48800000001</v>
      </c>
      <c r="BY36" s="6">
        <v>157618.54399999999</v>
      </c>
      <c r="BZ36" s="6">
        <v>114332.76</v>
      </c>
      <c r="CA36" s="6">
        <v>1237.8313000000001</v>
      </c>
      <c r="CB36" s="6">
        <v>108601.008</v>
      </c>
      <c r="CC36" s="6">
        <v>150496.67199999999</v>
      </c>
      <c r="CD36" s="6">
        <v>446163.84</v>
      </c>
      <c r="CE36" s="6">
        <v>49125.260799999996</v>
      </c>
      <c r="CF36" s="6">
        <v>155846.19200000001</v>
      </c>
      <c r="CG36" s="6">
        <v>360805.52639999997</v>
      </c>
      <c r="CH36" s="6">
        <v>2385.8710000000001</v>
      </c>
      <c r="CI36" s="6">
        <v>214.09</v>
      </c>
      <c r="CJ36" s="6">
        <v>1191.4000000000001</v>
      </c>
      <c r="CK36" s="6">
        <v>78.003</v>
      </c>
      <c r="CL36" s="6">
        <v>733.59900000000005</v>
      </c>
      <c r="CM36" s="6">
        <v>551.4</v>
      </c>
      <c r="CN36" s="6">
        <v>45149.1</v>
      </c>
      <c r="CO36" s="6">
        <v>1649.779</v>
      </c>
      <c r="CP36" s="6">
        <v>294055.45199999999</v>
      </c>
      <c r="CQ36" s="6">
        <v>3681762.24</v>
      </c>
      <c r="CR36" s="6">
        <v>131108.75200000001</v>
      </c>
      <c r="CS36" s="6">
        <v>513948.73599999998</v>
      </c>
      <c r="CT36" s="6">
        <v>2923536.6660000002</v>
      </c>
      <c r="CU36" s="6">
        <v>298260.48499999999</v>
      </c>
      <c r="CV36" s="6">
        <v>30133.4624</v>
      </c>
      <c r="CW36" s="6">
        <v>62830.374400000001</v>
      </c>
      <c r="CX36" s="6">
        <v>33462.284800000001</v>
      </c>
      <c r="CY36" s="6">
        <v>167706.09599999999</v>
      </c>
      <c r="CZ36" s="6">
        <v>217828.416</v>
      </c>
      <c r="DA36" s="6">
        <v>19009.79</v>
      </c>
      <c r="DB36" s="6">
        <v>150062.14000000001</v>
      </c>
      <c r="DC36" s="6">
        <v>3017.31</v>
      </c>
      <c r="DD36" s="6">
        <v>3017.22</v>
      </c>
      <c r="DE36" s="6">
        <v>3043.33</v>
      </c>
      <c r="DF36" s="6">
        <v>0.998</v>
      </c>
      <c r="DG36" s="1" t="s">
        <v>242</v>
      </c>
      <c r="DH36" s="4">
        <f>Table2[[#This Row],[Date]]</f>
        <v>46234</v>
      </c>
      <c r="DI36">
        <f>(DD37-Table2[[#This Row],[MWH Total]])*4000</f>
        <v>25760.000000000218</v>
      </c>
      <c r="DJ36">
        <f>(DA37-Table2[[#This Row],[PNG Meter (Outside)]])*2.936</f>
        <v>49.647759999999572</v>
      </c>
      <c r="DK36">
        <f>(DB37-Table2[[#This Row],[PNG Meter (Inside)]])*2.936</f>
        <v>282.07032799992618</v>
      </c>
      <c r="DL36">
        <f>(BH37-Table2[[#This Row],[3F Dough cooler - 2 ]])*1000</f>
        <v>451.00000000002183</v>
      </c>
      <c r="DM36">
        <f>(BI37-Table2[[#This Row],[3F Dough Cooler- 1]])*1000</f>
        <v>486.99999999996635</v>
      </c>
      <c r="DN36">
        <f>(BJ37-Table2[[#This Row],[4F Dough Production cooling Unit]])*1000</f>
        <v>57.999999999999829</v>
      </c>
      <c r="DO36">
        <f>(BQ37-Table2[[#This Row],[3F2 - PDB 3 - Dough Production Area]])*1000</f>
        <v>281.99999999998226</v>
      </c>
      <c r="DP36">
        <f>(BR37-Table2[[#This Row],[3F3 - PDB 4 - Dough Area]])*1000</f>
        <v>145.99999999998658</v>
      </c>
      <c r="DQ36">
        <f>AC37-Table2[[#This Row],[16F1 Tray washer Panel for Light]]</f>
        <v>778.87999999988824</v>
      </c>
      <c r="DR36">
        <f>CQ37-Table2[[#This Row],[2F1 Tray Washer - 1]]</f>
        <v>1383.0399999995716</v>
      </c>
      <c r="DS36">
        <f>CS37-Table2[[#This Row],[2F5 Destacker]]</f>
        <v>378.9440000000177</v>
      </c>
      <c r="DT36">
        <f>CU37-Table2[[#This Row],[5F1 Metering (TW-2)]]</f>
        <v>267.53899999998976</v>
      </c>
      <c r="DU36">
        <f>CV37-Table2[[#This Row],[6F1 Pre soaker Tray washer]]</f>
        <v>4.1280000000006112</v>
      </c>
      <c r="DV36">
        <f>CZ37-Table2[[#This Row],[6F5 Vent tray Storage]]</f>
        <v>69.328000000008615</v>
      </c>
      <c r="DW36">
        <f>I37-Table2[[#This Row],[Popeyes Meter ]]</f>
        <v>54.970000000000255</v>
      </c>
      <c r="DX36">
        <f>AZ37-Table2[[#This Row],[2F WH Chiller, Segregation Area]]</f>
        <v>0</v>
      </c>
      <c r="DY36">
        <f>BA37-Table2[[#This Row],[3F1 AC Unit WH dock cooling - 2 Nos]]</f>
        <v>20</v>
      </c>
      <c r="DZ36">
        <f>BB37-Table2[[#This Row],[3F2 AC Unit WH dock cooling - 3 Nos]]</f>
        <v>4.7999999999994714E-2</v>
      </c>
      <c r="EA36">
        <f>(BK37-Table2[[#This Row],[5F WH Perishable]])*1000</f>
        <v>289.99999999996362</v>
      </c>
      <c r="EB36">
        <f>BN37-Table2[[#This Row],[2F3 - PDB 9 - WH Dock Leveler Door ]]</f>
        <v>1.0904000000000451</v>
      </c>
      <c r="EC36">
        <f>BP37-Table2[[#This Row],[3F1 - PDB 5 - WH HSD]]</f>
        <v>98.720000000030268</v>
      </c>
      <c r="ED36">
        <f>BX37-Table2[[#This Row],[8F1 WH Dock AHU - Ventilation]]</f>
        <v>2349.1840000000084</v>
      </c>
      <c r="EE36">
        <f>BZ37-Table2[[#This Row],[8F3 ACPDB - 4 WH Dock air curtain]]</f>
        <v>1.2880000000004657</v>
      </c>
      <c r="EF36">
        <f>CA37-Table2[[#This Row],[8F4 WH Light]]</f>
        <v>2.8156999999998789</v>
      </c>
      <c r="EG36">
        <f>CC37-Table2[[#This Row],[9F1 - PDB 10 - WH Dock door &amp; Office]]</f>
        <v>132.54399999999441</v>
      </c>
      <c r="EH36">
        <f>CD37-Table2[[#This Row],[9F2 - PDB 11 - WH flycatchers]]</f>
        <v>273.69599999999627</v>
      </c>
      <c r="EI36">
        <f>CE37-Table2[[#This Row],[9F3 - PDB 12 - Other items]]</f>
        <v>0</v>
      </c>
      <c r="EJ36">
        <f>CR37-Table2[[#This Row],[2F3 - PDB 1 - Dock 1 to 4 ]]</f>
        <v>80.775999999983469</v>
      </c>
      <c r="EK36">
        <f>BM37-Table2[[#This Row],[2F2 - PDB 3 - WH Truck &amp; Battery Charging]]</f>
        <v>649.18400000000838</v>
      </c>
      <c r="EL36">
        <f>(CK37-Table2[[#This Row],[PDB - 11 Truck Charging]])*1000</f>
        <v>75.000000000002842</v>
      </c>
      <c r="EM36">
        <f>P37-Table2[[#This Row],[5F3 Admin Area]]</f>
        <v>403.1359999999404</v>
      </c>
      <c r="EN36">
        <f>AH37-Table2[[#This Row],[2F5 Main Gate-1 Piller -1]]</f>
        <v>123.73600000000442</v>
      </c>
      <c r="EO36">
        <f>CW37-Table2[[#This Row],[6F2 Ground Floor AC]]</f>
        <v>27.763200000001234</v>
      </c>
      <c r="EP36">
        <f>CX37-Table2[[#This Row],[6F3 ACBD -1 (First floor AC)]]</f>
        <v>3.8079999999972642</v>
      </c>
      <c r="EQ36">
        <f>CY37-Table2[[#This Row],[6F4 ACBD - 2 (Second &amp; Third floor AC)]]</f>
        <v>122.7840000000142</v>
      </c>
      <c r="ER36">
        <f>(BC37-Table2[[#This Row],[4F Old BMC cooling Unit]])</f>
        <v>0</v>
      </c>
      <c r="ES36">
        <f>BO37-Table2[[#This Row],[2F4 - Old BMC]]</f>
        <v>5.3887999999933527</v>
      </c>
      <c r="ET36">
        <f>Y37-Table2[[#This Row],[14F2 New CK]]</f>
        <v>1320.6399999998976</v>
      </c>
      <c r="EU36">
        <f>(CL37-Table2[[#This Row],[OLD Ck Panel-1]])*1000</f>
        <v>208.99999999994634</v>
      </c>
      <c r="EV36">
        <f>CM37-Table2[[#This Row],[2F4 Old CK Blast (Blue star)]]</f>
        <v>0</v>
      </c>
      <c r="EW36">
        <f>CN37-Table2[[#This Row],[3F6 Old CK Blast (Carrier)]]</f>
        <v>21.5</v>
      </c>
      <c r="EX36">
        <f>(CO37-Table2[[#This Row],[Old CK Panel -2]])*1000</f>
        <v>739.00000000003274</v>
      </c>
      <c r="EY36">
        <f>N37-Table2[[#This Row],[4F1 Main UPS 1/C -1]]</f>
        <v>947.04000000003725</v>
      </c>
      <c r="EZ36">
        <f>Z37-Table2[[#This Row],[15F1 Main UPS Panel - I/C - 2]]</f>
        <v>0</v>
      </c>
      <c r="FA36">
        <f>BF37-Table2[[#This Row],[2F CLC -1 AC unit - 2]]</f>
        <v>0</v>
      </c>
      <c r="FB36">
        <f>(BG37-Table2[[#This Row],[2F CLC Anti room]])*1000</f>
        <v>34.999999999996589</v>
      </c>
      <c r="FC36">
        <f>BW37-Table2[[#This Row],[7F3 CLC Power Panel]]</f>
        <v>307.6480000000447</v>
      </c>
      <c r="FD36">
        <f>(CI37-Table2[[#This Row],[PDB - 17 CLC Section ]])*1000</f>
        <v>185.00000000000227</v>
      </c>
      <c r="FE36">
        <f>(W37-Table2[[#This Row],[13F3 Water &amp; Lift Old CK]])*1000</f>
        <v>450.69999999986976</v>
      </c>
      <c r="FF36">
        <f>AA37-Table2[[#This Row],[15F2 New ETP Panel]]</f>
        <v>258.87999999988824</v>
      </c>
      <c r="FG36">
        <f>AL37-Table2[[#This Row],[3F4 Old ETP Panel]]</f>
        <v>74.368000000016764</v>
      </c>
      <c r="FH36">
        <f>AF37-Table2[[#This Row],[2F1 RO Plant]]</f>
        <v>533.0559999999823</v>
      </c>
      <c r="FI36">
        <f>AK37-Table2[[#This Row],[3F3 Fire Hydrant Panel]]</f>
        <v>11.207999999998719</v>
      </c>
      <c r="FJ36">
        <f>R37-Table2[[#This Row],[7F1 Freon System Panel]]</f>
        <v>6675.839999999851</v>
      </c>
      <c r="FK36">
        <f>(AE37-Table2[[#This Row],[21F1 Refrigeration Ammonia]])*1000</f>
        <v>7132.7999999994063</v>
      </c>
      <c r="FL36">
        <f>(AG37-Table2[[#This Row],[2F3 Air Compressor]])*1000</f>
        <v>1271.9999999999345</v>
      </c>
      <c r="FM36">
        <f>(AX37-Table2[[#This Row],[Solar Reading Panel II]])*1000</f>
        <v>3242.0000000001892</v>
      </c>
      <c r="FN36">
        <f>AI37-Table2[[#This Row],[3F1 Maintenance Workshop]]</f>
        <v>4.7471999999997934</v>
      </c>
      <c r="FO36">
        <f>BD37-Table2[[#This Row],[4F B2B unit ]]</f>
        <v>51.647999999986496</v>
      </c>
      <c r="FP36">
        <f>BL37-Table2[[#This Row],[2F1 - PDB 6 - Bread, B2B section]]</f>
        <v>203.40119999999297</v>
      </c>
      <c r="FQ36">
        <f>(CG37-Table2[[#This Row],[9F5 - PDB 14 - Bread Lift]])</f>
        <v>0.3552000000490807</v>
      </c>
      <c r="FR36">
        <f>CJ37-Table2[[#This Row],[PDB - 16 Bread Section]]</f>
        <v>0</v>
      </c>
      <c r="FS36">
        <f>BU37-Table2[[#This Row],[7F1 Donut Production area]]</f>
        <v>211.1359999999404</v>
      </c>
      <c r="FT36">
        <f>CB37-Table2[[#This Row],[8F5 Donut Ban Bary]]</f>
        <v>44.448000000003958</v>
      </c>
      <c r="FU36">
        <f>CF37-Table2[[#This Row],[9F4 - PDB 13 - Donut Sink Geyser area]]</f>
        <v>15.263999999995576</v>
      </c>
      <c r="FV36">
        <f>BV37-Table2[[#This Row],[7F2 Flour Silo]]</f>
        <v>566.95999999996275</v>
      </c>
      <c r="FW36">
        <f>BY37-Table2[[#This Row],[8F2 ACPDB - 3 SILO Ventilation]]</f>
        <v>49.504000000015367</v>
      </c>
      <c r="FX36">
        <f>J37-Table2[[#This Row],[DG 1010KVA Running Hours]]</f>
        <v>0.3000000000001819</v>
      </c>
      <c r="FY36">
        <f>K37-Table2[[#This Row],[DG 1010 KVA Meter Reading]]</f>
        <v>124</v>
      </c>
      <c r="FZ36">
        <f>L37-Table2[[#This Row],[GG 1010 KVA Running Hours]]</f>
        <v>1</v>
      </c>
      <c r="GA36">
        <f>M37-Table2[[#This Row],[GG 1010 KVA Meter Reading]]</f>
        <v>0.12999999999999545</v>
      </c>
    </row>
    <row r="37" spans="1:183" x14ac:dyDescent="0.35">
      <c r="A37" s="1">
        <v>47</v>
      </c>
      <c r="B37" s="2">
        <v>46235.407835648148</v>
      </c>
      <c r="C37" s="2">
        <v>46235.449791666666</v>
      </c>
      <c r="D37" s="1" t="s">
        <v>111</v>
      </c>
      <c r="E37" s="1"/>
      <c r="F37" s="1"/>
      <c r="G37" s="3">
        <v>46235</v>
      </c>
      <c r="H37" s="1" t="s">
        <v>186</v>
      </c>
      <c r="I37" s="6">
        <v>6579.5020000000004</v>
      </c>
      <c r="J37" s="6">
        <v>4272.7</v>
      </c>
      <c r="K37" s="6">
        <v>1776361</v>
      </c>
      <c r="L37" s="6">
        <v>453</v>
      </c>
      <c r="M37" s="6">
        <v>190.57</v>
      </c>
      <c r="N37" s="6">
        <v>1866079.04</v>
      </c>
      <c r="O37" s="6">
        <v>4593424.6399999997</v>
      </c>
      <c r="P37" s="6">
        <v>644758.65599999996</v>
      </c>
      <c r="Q37" s="6">
        <v>8083234.5599999996</v>
      </c>
      <c r="R37" s="6">
        <v>5523598.7199999997</v>
      </c>
      <c r="S37" s="6">
        <v>7354659.8399999999</v>
      </c>
      <c r="T37" s="6">
        <v>42722957.740999997</v>
      </c>
      <c r="U37" s="6">
        <v>2100603.6800000002</v>
      </c>
      <c r="V37" s="6">
        <v>5111805.4400000004</v>
      </c>
      <c r="W37" s="6">
        <v>1590.8545999999999</v>
      </c>
      <c r="X37" s="6">
        <v>773276.03200000001</v>
      </c>
      <c r="Y37" s="6">
        <v>1089194.1599999999</v>
      </c>
      <c r="Z37" s="6">
        <v>2777.8894</v>
      </c>
      <c r="AA37" s="6">
        <v>667670.59199999995</v>
      </c>
      <c r="AB37" s="6">
        <v>421246.33600000001</v>
      </c>
      <c r="AC37" s="6">
        <v>2137185.92</v>
      </c>
      <c r="AD37" s="6">
        <v>3996975.96</v>
      </c>
      <c r="AE37" s="6">
        <v>12787.9872</v>
      </c>
      <c r="AF37" s="6">
        <v>873829.76</v>
      </c>
      <c r="AG37" s="6">
        <v>1395.537</v>
      </c>
      <c r="AH37" s="6">
        <v>133143.264</v>
      </c>
      <c r="AI37" s="6">
        <v>14612.9408</v>
      </c>
      <c r="AJ37" s="6">
        <v>145358.75200000001</v>
      </c>
      <c r="AK37" s="6">
        <v>105216.128</v>
      </c>
      <c r="AL37" s="6">
        <v>330405.28000000003</v>
      </c>
      <c r="AM37" s="6">
        <v>989.84699999999998</v>
      </c>
      <c r="AN37" s="6">
        <v>325</v>
      </c>
      <c r="AO37" s="6">
        <v>7.5</v>
      </c>
      <c r="AP37" s="6">
        <v>429888</v>
      </c>
      <c r="AQ37" s="6">
        <v>42313</v>
      </c>
      <c r="AR37" s="6">
        <v>41768</v>
      </c>
      <c r="AS37" s="6">
        <v>32332</v>
      </c>
      <c r="AT37" s="6">
        <v>22071</v>
      </c>
      <c r="AU37" s="6">
        <v>15576</v>
      </c>
      <c r="AV37" s="6">
        <v>6393</v>
      </c>
      <c r="AW37" s="6">
        <v>20.906972</v>
      </c>
      <c r="AX37" s="6">
        <v>7234.1819999999998</v>
      </c>
      <c r="AY37" s="6">
        <v>678.69056</v>
      </c>
      <c r="AZ37" s="6">
        <v>20.788</v>
      </c>
      <c r="BA37" s="6">
        <v>10349</v>
      </c>
      <c r="BB37" s="6">
        <v>44.686999999999998</v>
      </c>
      <c r="BC37" s="6">
        <v>113989.152</v>
      </c>
      <c r="BD37" s="6">
        <v>275821.18400000001</v>
      </c>
      <c r="BE37" s="6">
        <v>3723.1792</v>
      </c>
      <c r="BF37" s="6">
        <v>1712.0419999999999</v>
      </c>
      <c r="BG37" s="6">
        <v>74.965000000000003</v>
      </c>
      <c r="BH37" s="6">
        <v>364.11700000000002</v>
      </c>
      <c r="BI37" s="6">
        <v>914.35</v>
      </c>
      <c r="BJ37" s="6">
        <v>14.557</v>
      </c>
      <c r="BK37" s="6">
        <v>563.65499999999997</v>
      </c>
      <c r="BL37" s="6">
        <v>72595.967999999993</v>
      </c>
      <c r="BM37" s="6">
        <v>308572.19199999998</v>
      </c>
      <c r="BN37" s="6">
        <v>7191.1912000000002</v>
      </c>
      <c r="BO37" s="6">
        <v>53557.811199999996</v>
      </c>
      <c r="BP37" s="6">
        <v>314128.64000000001</v>
      </c>
      <c r="BQ37" s="6">
        <v>324.97699999999998</v>
      </c>
      <c r="BR37" s="6">
        <v>181.01</v>
      </c>
      <c r="BS37" s="6">
        <v>1009944.38</v>
      </c>
      <c r="BT37" s="6">
        <v>1400618.6</v>
      </c>
      <c r="BU37" s="6">
        <v>628942.14399999997</v>
      </c>
      <c r="BV37" s="6">
        <v>1021758.32</v>
      </c>
      <c r="BW37" s="6">
        <v>568228.22400000005</v>
      </c>
      <c r="BX37" s="6">
        <v>993844.67200000002</v>
      </c>
      <c r="BY37" s="6">
        <v>157668.04800000001</v>
      </c>
      <c r="BZ37" s="6">
        <v>114334.048</v>
      </c>
      <c r="CA37" s="6">
        <v>1240.6469999999999</v>
      </c>
      <c r="CB37" s="6">
        <v>108645.45600000001</v>
      </c>
      <c r="CC37" s="6">
        <v>150629.21599999999</v>
      </c>
      <c r="CD37" s="6">
        <v>446437.53600000002</v>
      </c>
      <c r="CE37" s="6">
        <v>49125.260799999996</v>
      </c>
      <c r="CF37" s="6">
        <v>155861.45600000001</v>
      </c>
      <c r="CG37" s="6">
        <v>360805.88160000002</v>
      </c>
      <c r="CH37" s="6">
        <v>2385.8710000000001</v>
      </c>
      <c r="CI37" s="6">
        <v>214.27500000000001</v>
      </c>
      <c r="CJ37" s="6">
        <v>1191.4000000000001</v>
      </c>
      <c r="CK37" s="6">
        <v>78.078000000000003</v>
      </c>
      <c r="CL37" s="6">
        <v>733.80799999999999</v>
      </c>
      <c r="CM37" s="6">
        <v>551.4</v>
      </c>
      <c r="CN37" s="6">
        <v>45170.6</v>
      </c>
      <c r="CO37" s="6">
        <v>1650.518</v>
      </c>
      <c r="CP37" s="6">
        <v>294188.05200000003</v>
      </c>
      <c r="CQ37" s="6">
        <v>3683145.28</v>
      </c>
      <c r="CR37" s="6">
        <v>131189.52799999999</v>
      </c>
      <c r="CS37" s="6">
        <v>514327.68</v>
      </c>
      <c r="CT37" s="6">
        <v>2926906.7949999999</v>
      </c>
      <c r="CU37" s="6">
        <v>298528.02399999998</v>
      </c>
      <c r="CV37" s="6">
        <v>30137.590400000001</v>
      </c>
      <c r="CW37" s="6">
        <v>62858.137600000002</v>
      </c>
      <c r="CX37" s="6">
        <v>33466.092799999999</v>
      </c>
      <c r="CY37" s="6">
        <v>167828.88</v>
      </c>
      <c r="CZ37" s="6">
        <v>217897.74400000001</v>
      </c>
      <c r="DA37" s="6">
        <v>19026.7</v>
      </c>
      <c r="DB37" s="6">
        <v>150158.21299999999</v>
      </c>
      <c r="DC37" s="6">
        <v>3023.74</v>
      </c>
      <c r="DD37" s="6">
        <v>3023.66</v>
      </c>
      <c r="DE37" s="6">
        <v>3050.16</v>
      </c>
      <c r="DF37" s="6">
        <v>0.996</v>
      </c>
      <c r="DG37" s="1" t="s">
        <v>271</v>
      </c>
      <c r="DH37" s="4">
        <f>Table2[[#This Row],[Date]]</f>
        <v>46235</v>
      </c>
      <c r="DI37">
        <f>(DD38-Table2[[#This Row],[MWH Total]])*4000</f>
        <v>27079.999999999927</v>
      </c>
      <c r="DJ37">
        <f>(DA38-Table2[[#This Row],[PNG Meter (Outside)]])*2.936</f>
        <v>7.0170399999982909</v>
      </c>
      <c r="DK37">
        <f>(DB38-Table2[[#This Row],[PNG Meter (Inside)]])*2.936</f>
        <v>129.67724800001503</v>
      </c>
      <c r="DL37">
        <f>(BH38-Table2[[#This Row],[3F Dough cooler - 2 ]])*1000</f>
        <v>195.99999999996953</v>
      </c>
      <c r="DM37">
        <f>(BI38-Table2[[#This Row],[3F Dough Cooler- 1]])*1000</f>
        <v>358.9999999999236</v>
      </c>
      <c r="DN37">
        <f>(BJ38-Table2[[#This Row],[4F Dough Production cooling Unit]])*1000</f>
        <v>28.000000000000469</v>
      </c>
      <c r="DO37">
        <f>(BQ38-Table2[[#This Row],[3F2 - PDB 3 - Dough Production Area]])*1000</f>
        <v>149.00000000000091</v>
      </c>
      <c r="DP37">
        <f>(BR38-Table2[[#This Row],[3F3 - PDB 4 - Dough Area]])*1000</f>
        <v>85.000000000007958</v>
      </c>
      <c r="DQ37">
        <f>AC38-Table2[[#This Row],[16F1 Tray washer Panel for Light]]</f>
        <v>615.52000000001863</v>
      </c>
      <c r="DR37">
        <f>CQ38-Table2[[#This Row],[2F1 Tray Washer - 1]]</f>
        <v>989.12000000011176</v>
      </c>
      <c r="DS37">
        <f>CS38-Table2[[#This Row],[2F5 Destacker]]</f>
        <v>209.56800000002841</v>
      </c>
      <c r="DT37">
        <f>CU38-Table2[[#This Row],[5F1 Metering (TW-2)]]</f>
        <v>217.15200000000186</v>
      </c>
      <c r="DU37">
        <f>CV38-Table2[[#This Row],[6F1 Pre soaker Tray washer]]</f>
        <v>2.1087999999981548</v>
      </c>
      <c r="DV37">
        <f>CZ38-Table2[[#This Row],[6F5 Vent tray Storage]]</f>
        <v>54.720000000001164</v>
      </c>
      <c r="DW37">
        <f>I38-Table2[[#This Row],[Popeyes Meter ]]</f>
        <v>4.4799999999995634</v>
      </c>
      <c r="DX37">
        <f>AZ38-Table2[[#This Row],[2F WH Chiller, Segregation Area]]</f>
        <v>0</v>
      </c>
      <c r="DY37">
        <f>BA38-Table2[[#This Row],[3F1 AC Unit WH dock cooling - 2 Nos]]</f>
        <v>16</v>
      </c>
      <c r="DZ37">
        <f>BB38-Table2[[#This Row],[3F2 AC Unit WH dock cooling - 3 Nos]]</f>
        <v>3.5000000000003695E-2</v>
      </c>
      <c r="EA37">
        <f>(BK38-Table2[[#This Row],[5F WH Perishable]])*1000</f>
        <v>214.00000000005548</v>
      </c>
      <c r="EB37">
        <f>BN38-Table2[[#This Row],[2F3 - PDB 9 - WH Dock Leveler Door ]]</f>
        <v>0.60239999999976135</v>
      </c>
      <c r="EC37">
        <f>BP38-Table2[[#This Row],[3F1 - PDB 5 - WH HSD]]</f>
        <v>79.776000000012573</v>
      </c>
      <c r="ED37">
        <f>BX38-Table2[[#This Row],[8F1 WH Dock AHU - Ventilation]]</f>
        <v>1715.5200000000186</v>
      </c>
      <c r="EE37">
        <f>BZ38-Table2[[#This Row],[8F3 ACPDB - 4 WH Dock air curtain]]</f>
        <v>0.71199999999953434</v>
      </c>
      <c r="EF37">
        <f>CA38-Table2[[#This Row],[8F4 WH Light]]</f>
        <v>2.0540000000000873</v>
      </c>
      <c r="EG37">
        <f>CC38-Table2[[#This Row],[9F1 - PDB 10 - WH Dock door &amp; Office]]</f>
        <v>112.13600000002771</v>
      </c>
      <c r="EH37">
        <f>CD38-Table2[[#This Row],[9F2 - PDB 11 - WH flycatchers]]</f>
        <v>222.07999999995809</v>
      </c>
      <c r="EI37">
        <f>CE38-Table2[[#This Row],[9F3 - PDB 12 - Other items]]</f>
        <v>0</v>
      </c>
      <c r="EJ37">
        <f>CR38-Table2[[#This Row],[2F3 - PDB 1 - Dock 1 to 4 ]]</f>
        <v>59.847999999998137</v>
      </c>
      <c r="EK37">
        <f>BM38-Table2[[#This Row],[2F2 - PDB 3 - WH Truck &amp; Battery Charging]]</f>
        <v>513.08800000004703</v>
      </c>
      <c r="EL37">
        <f>(CK38-Table2[[#This Row],[PDB - 11 Truck Charging]])*1000</f>
        <v>69.000000000002615</v>
      </c>
      <c r="EM37">
        <f>P38-Table2[[#This Row],[5F3 Admin Area]]</f>
        <v>305.08799999998882</v>
      </c>
      <c r="EN37">
        <f>AH38-Table2[[#This Row],[2F5 Main Gate-1 Piller -1]]</f>
        <v>98.208000000013271</v>
      </c>
      <c r="EO37">
        <f>CW38-Table2[[#This Row],[6F2 Ground Floor AC]]</f>
        <v>24.435199999999895</v>
      </c>
      <c r="EP37">
        <f>CX38-Table2[[#This Row],[6F3 ACBD -1 (First floor AC)]]</f>
        <v>0</v>
      </c>
      <c r="EQ37">
        <f>CY38-Table2[[#This Row],[6F4 ACBD - 2 (Second &amp; Third floor AC)]]</f>
        <v>104.67199999999139</v>
      </c>
      <c r="ER37">
        <f>(BC38-Table2[[#This Row],[4F Old BMC cooling Unit]])</f>
        <v>0</v>
      </c>
      <c r="ES37">
        <f>BO38-Table2[[#This Row],[2F4 - Old BMC]]</f>
        <v>3.9744000000064261</v>
      </c>
      <c r="ET37">
        <f>Y38-Table2[[#This Row],[14F2 New CK]]</f>
        <v>1008.4799999999814</v>
      </c>
      <c r="EU37">
        <f>(CL38-Table2[[#This Row],[OLD Ck Panel-1]])*1000</f>
        <v>120.00000000000455</v>
      </c>
      <c r="EV37">
        <f>CM38-Table2[[#This Row],[2F4 Old CK Blast (Blue star)]]</f>
        <v>0</v>
      </c>
      <c r="EW37">
        <f>CN38-Table2[[#This Row],[3F6 Old CK Blast (Carrier)]]</f>
        <v>0.20000000000436557</v>
      </c>
      <c r="EX37">
        <f>(CO38-Table2[[#This Row],[Old CK Panel -2]])*1000</f>
        <v>643.0000000000291</v>
      </c>
      <c r="EY37">
        <f>N38-Table2[[#This Row],[4F1 Main UPS 1/C -1]]</f>
        <v>724.95999999996275</v>
      </c>
      <c r="EZ37">
        <f>Z38-Table2[[#This Row],[15F1 Main UPS Panel - I/C - 2]]</f>
        <v>0</v>
      </c>
      <c r="FA37">
        <f>BF38-Table2[[#This Row],[2F CLC -1 AC unit - 2]]</f>
        <v>0</v>
      </c>
      <c r="FB37">
        <f>(BG38-Table2[[#This Row],[2F CLC Anti room]])*1000</f>
        <v>36.000000000001364</v>
      </c>
      <c r="FC37">
        <f>BW38-Table2[[#This Row],[7F3 CLC Power Panel]]</f>
        <v>225.85599999991246</v>
      </c>
      <c r="FD37">
        <f>(CI38-Table2[[#This Row],[PDB - 17 CLC Section ]])*1000</f>
        <v>125</v>
      </c>
      <c r="FE37">
        <f>(W38-Table2[[#This Row],[13F3 Water &amp; Lift Old CK]])*1000</f>
        <v>759.30000000016662</v>
      </c>
      <c r="FF37">
        <f>AA38-Table2[[#This Row],[15F2 New ETP Panel]]</f>
        <v>227.84000000008382</v>
      </c>
      <c r="FG37">
        <f>AL38-Table2[[#This Row],[3F4 Old ETP Panel]]</f>
        <v>64.991999999969266</v>
      </c>
      <c r="FH37">
        <f>AF38-Table2[[#This Row],[2F1 RO Plant]]</f>
        <v>432.06400000001304</v>
      </c>
      <c r="FI37">
        <f>AK38-Table2[[#This Row],[3F3 Fire Hydrant Panel]]</f>
        <v>8.7200000000011642</v>
      </c>
      <c r="FJ37">
        <f>R38-Table2[[#This Row],[7F1 Freon System Panel]]</f>
        <v>5112.320000000298</v>
      </c>
      <c r="FK37">
        <f>(AE38-Table2[[#This Row],[21F1 Refrigeration Ammonia]])*1000</f>
        <v>5821.6000000011263</v>
      </c>
      <c r="FL37">
        <f>(AG38-Table2[[#This Row],[2F3 Air Compressor]])*1000</f>
        <v>995.99999999986721</v>
      </c>
      <c r="FM37">
        <f>(AX38-Table2[[#This Row],[Solar Reading Panel II]])*1000</f>
        <v>2274.000000000342</v>
      </c>
      <c r="FN37">
        <f>AI38-Table2[[#This Row],[3F1 Maintenance Workshop]]</f>
        <v>3.1055999999989581</v>
      </c>
      <c r="FO37">
        <f>BD38-Table2[[#This Row],[4F B2B unit ]]</f>
        <v>27.135999999998603</v>
      </c>
      <c r="FP37">
        <f>BL38-Table2[[#This Row],[2F1 - PDB 6 - Bread, B2B section]]</f>
        <v>89.63200000001234</v>
      </c>
      <c r="FQ37">
        <f>(CG38-Table2[[#This Row],[9F5 - PDB 14 - Bread Lift]])</f>
        <v>0.22079999995185062</v>
      </c>
      <c r="FR37">
        <f>CJ38-Table2[[#This Row],[PDB - 16 Bread Section]]</f>
        <v>0</v>
      </c>
      <c r="FS37">
        <f>BU38-Table2[[#This Row],[7F1 Donut Production area]]</f>
        <v>146.75199999997858</v>
      </c>
      <c r="FT37">
        <f>CB38-Table2[[#This Row],[8F5 Donut Ban Bary]]</f>
        <v>21.711999999999534</v>
      </c>
      <c r="FU37">
        <f>CF38-Table2[[#This Row],[9F4 - PDB 13 - Donut Sink Geyser area]]</f>
        <v>60.799999999988358</v>
      </c>
      <c r="FV37">
        <f>BV38-Table2[[#This Row],[7F2 Flour Silo]]</f>
        <v>495.11999999999534</v>
      </c>
      <c r="FW37">
        <f>BY38-Table2[[#This Row],[8F2 ACPDB - 3 SILO Ventilation]]</f>
        <v>58.623999999981606</v>
      </c>
      <c r="FX37">
        <f>J38-Table2[[#This Row],[DG 1010KVA Running Hours]]</f>
        <v>0</v>
      </c>
      <c r="FY37">
        <f>K38-Table2[[#This Row],[DG 1010 KVA Meter Reading]]</f>
        <v>0</v>
      </c>
      <c r="FZ37">
        <f>L38-Table2[[#This Row],[GG 1010 KVA Running Hours]]</f>
        <v>0</v>
      </c>
      <c r="GA37">
        <f>M38-Table2[[#This Row],[GG 1010 KVA Meter Reading]]</f>
        <v>0</v>
      </c>
    </row>
    <row r="38" spans="1:183" x14ac:dyDescent="0.35">
      <c r="A38" s="1">
        <v>48</v>
      </c>
      <c r="B38" s="2">
        <v>46237.395636574074</v>
      </c>
      <c r="C38" s="2">
        <v>46237.415659722225</v>
      </c>
      <c r="D38" s="1" t="s">
        <v>111</v>
      </c>
      <c r="E38" s="1"/>
      <c r="F38" s="1"/>
      <c r="G38" s="3">
        <v>46236</v>
      </c>
      <c r="H38" s="1" t="s">
        <v>186</v>
      </c>
      <c r="I38" s="6">
        <v>6583.982</v>
      </c>
      <c r="J38" s="6">
        <v>4272.7</v>
      </c>
      <c r="K38" s="6">
        <v>1776361</v>
      </c>
      <c r="L38" s="6">
        <v>453</v>
      </c>
      <c r="M38" s="6">
        <v>190.57</v>
      </c>
      <c r="N38" s="6">
        <v>1866804</v>
      </c>
      <c r="O38" s="6">
        <v>4594966.4000000004</v>
      </c>
      <c r="P38" s="6">
        <v>645063.74399999995</v>
      </c>
      <c r="Q38" s="6">
        <v>8085854.7199999997</v>
      </c>
      <c r="R38" s="6">
        <v>5528711.04</v>
      </c>
      <c r="S38" s="6">
        <v>7357372.1600000001</v>
      </c>
      <c r="T38" s="6">
        <v>42733071.033</v>
      </c>
      <c r="U38" s="6">
        <v>2101688.48</v>
      </c>
      <c r="V38" s="6">
        <v>5113104</v>
      </c>
      <c r="W38" s="6">
        <v>1591.6139000000001</v>
      </c>
      <c r="X38" s="6">
        <v>773512.70400000003</v>
      </c>
      <c r="Y38" s="6">
        <v>1090202.6399999999</v>
      </c>
      <c r="Z38" s="6">
        <v>2777.8894</v>
      </c>
      <c r="AA38" s="6">
        <v>667898.43200000003</v>
      </c>
      <c r="AB38" s="6">
        <v>421257.82400000002</v>
      </c>
      <c r="AC38" s="6">
        <v>2137801.44</v>
      </c>
      <c r="AD38" s="6">
        <v>2634762.892</v>
      </c>
      <c r="AE38" s="6">
        <v>12793.808800000001</v>
      </c>
      <c r="AF38" s="6">
        <v>874261.82400000002</v>
      </c>
      <c r="AG38" s="6">
        <v>1396.5329999999999</v>
      </c>
      <c r="AH38" s="6">
        <v>133241.47200000001</v>
      </c>
      <c r="AI38" s="6">
        <v>14616.046399999999</v>
      </c>
      <c r="AJ38" s="6">
        <v>145360.89600000001</v>
      </c>
      <c r="AK38" s="6">
        <v>105224.848</v>
      </c>
      <c r="AL38" s="6">
        <v>330470.272</v>
      </c>
      <c r="AM38" s="6">
        <v>990.81500000000005</v>
      </c>
      <c r="AN38" s="6">
        <v>250.6</v>
      </c>
      <c r="AO38" s="6">
        <v>6.9</v>
      </c>
      <c r="AP38" s="6">
        <v>437585</v>
      </c>
      <c r="AQ38" s="6">
        <v>42313</v>
      </c>
      <c r="AR38" s="6">
        <v>41768</v>
      </c>
      <c r="AS38" s="6">
        <v>32351</v>
      </c>
      <c r="AT38" s="6">
        <v>22082</v>
      </c>
      <c r="AU38" s="6">
        <v>15595</v>
      </c>
      <c r="AV38" s="6">
        <v>6404</v>
      </c>
      <c r="AW38" s="6">
        <v>20.912520000000001</v>
      </c>
      <c r="AX38" s="6">
        <v>7236.4560000000001</v>
      </c>
      <c r="AY38" s="6">
        <v>678.79920000000004</v>
      </c>
      <c r="AZ38" s="6">
        <v>20.788</v>
      </c>
      <c r="BA38" s="6">
        <v>10365</v>
      </c>
      <c r="BB38" s="6">
        <v>44.722000000000001</v>
      </c>
      <c r="BC38" s="6">
        <v>113989.152</v>
      </c>
      <c r="BD38" s="6">
        <v>275848.32000000001</v>
      </c>
      <c r="BE38" s="6">
        <v>3724.0544</v>
      </c>
      <c r="BF38" s="6">
        <v>1712.0419999999999</v>
      </c>
      <c r="BG38" s="6">
        <v>75.001000000000005</v>
      </c>
      <c r="BH38" s="6">
        <v>364.31299999999999</v>
      </c>
      <c r="BI38" s="6">
        <v>914.70899999999995</v>
      </c>
      <c r="BJ38" s="6">
        <v>14.585000000000001</v>
      </c>
      <c r="BK38" s="6">
        <v>563.86900000000003</v>
      </c>
      <c r="BL38" s="6">
        <v>72685.600000000006</v>
      </c>
      <c r="BM38" s="6">
        <v>309085.28000000003</v>
      </c>
      <c r="BN38" s="6">
        <v>7191.7936</v>
      </c>
      <c r="BO38" s="6">
        <v>53561.785600000003</v>
      </c>
      <c r="BP38" s="6">
        <v>314208.41600000003</v>
      </c>
      <c r="BQ38" s="6">
        <v>325.12599999999998</v>
      </c>
      <c r="BR38" s="6">
        <v>181.095</v>
      </c>
      <c r="BS38" s="6">
        <v>1010924.719</v>
      </c>
      <c r="BT38" s="6">
        <v>1400618.6529999999</v>
      </c>
      <c r="BU38" s="6">
        <v>629088.89599999995</v>
      </c>
      <c r="BV38" s="6">
        <v>1022253.44</v>
      </c>
      <c r="BW38" s="6">
        <v>568454.07999999996</v>
      </c>
      <c r="BX38" s="6">
        <v>995560.19200000004</v>
      </c>
      <c r="BY38" s="6">
        <v>157726.67199999999</v>
      </c>
      <c r="BZ38" s="6">
        <v>114334.76</v>
      </c>
      <c r="CA38" s="6">
        <v>1242.701</v>
      </c>
      <c r="CB38" s="6">
        <v>108667.16800000001</v>
      </c>
      <c r="CC38" s="6">
        <v>150741.35200000001</v>
      </c>
      <c r="CD38" s="6">
        <v>446659.61599999998</v>
      </c>
      <c r="CE38" s="6">
        <v>49125.260799999996</v>
      </c>
      <c r="CF38" s="6">
        <v>155922.25599999999</v>
      </c>
      <c r="CG38" s="6">
        <v>360806.10239999997</v>
      </c>
      <c r="CH38" s="6">
        <v>2385.8710000000001</v>
      </c>
      <c r="CI38" s="6">
        <v>214.4</v>
      </c>
      <c r="CJ38" s="6">
        <v>1191.4000000000001</v>
      </c>
      <c r="CK38" s="6">
        <v>78.147000000000006</v>
      </c>
      <c r="CL38" s="6">
        <v>733.928</v>
      </c>
      <c r="CM38" s="6">
        <v>551.4</v>
      </c>
      <c r="CN38" s="6">
        <v>45170.8</v>
      </c>
      <c r="CO38" s="6">
        <v>1651.1610000000001</v>
      </c>
      <c r="CP38" s="6">
        <v>294291.31199999998</v>
      </c>
      <c r="CQ38" s="6">
        <v>3684134.4</v>
      </c>
      <c r="CR38" s="6">
        <v>131249.37599999999</v>
      </c>
      <c r="CS38" s="6">
        <v>514537.24800000002</v>
      </c>
      <c r="CT38" s="6">
        <v>2929366.0240000002</v>
      </c>
      <c r="CU38" s="6">
        <v>298745.17599999998</v>
      </c>
      <c r="CV38" s="6">
        <v>30139.699199999999</v>
      </c>
      <c r="CW38" s="6">
        <v>62882.572800000002</v>
      </c>
      <c r="CX38" s="6">
        <v>33466.092799999999</v>
      </c>
      <c r="CY38" s="6">
        <v>167933.552</v>
      </c>
      <c r="CZ38" s="6">
        <v>217952.46400000001</v>
      </c>
      <c r="DA38" s="6">
        <v>19029.09</v>
      </c>
      <c r="DB38" s="6">
        <v>150202.38099999999</v>
      </c>
      <c r="DC38" s="6">
        <v>3030.57</v>
      </c>
      <c r="DD38" s="6">
        <v>3030.43</v>
      </c>
      <c r="DE38" s="6">
        <v>3057.11</v>
      </c>
      <c r="DF38" s="6">
        <v>0.99299999999999999</v>
      </c>
      <c r="DG38" s="1" t="s">
        <v>257</v>
      </c>
      <c r="DH38" s="4">
        <f>Table2[[#This Row],[Date]]</f>
        <v>46236</v>
      </c>
      <c r="DI38">
        <f>(DD39-Table2[[#This Row],[MWH Total]])*4000</f>
        <v>20960.000000000946</v>
      </c>
      <c r="DJ38">
        <f>(DA39-Table2[[#This Row],[PNG Meter (Outside)]])*2.936</f>
        <v>2.113920000003418</v>
      </c>
      <c r="DK38">
        <f>(DB39-Table2[[#This Row],[PNG Meter (Inside)]])*2.936</f>
        <v>248.90820800005946</v>
      </c>
      <c r="DL38">
        <f>(BH39-Table2[[#This Row],[3F Dough cooler - 2 ]])*1000</f>
        <v>306.00000000004002</v>
      </c>
      <c r="DM38">
        <f>(BI39-Table2[[#This Row],[3F Dough Cooler- 1]])*1000</f>
        <v>605.00000000001819</v>
      </c>
      <c r="DN38">
        <f>(BJ39-Table2[[#This Row],[4F Dough Production cooling Unit]])*1000</f>
        <v>46.99999999999882</v>
      </c>
      <c r="DO38">
        <f>(BQ39-Table2[[#This Row],[3F2 - PDB 3 - Dough Production Area]])*1000</f>
        <v>236.00000000004684</v>
      </c>
      <c r="DP38">
        <f>(BR39-Table2[[#This Row],[3F3 - PDB 4 - Dough Area]])*1000</f>
        <v>125</v>
      </c>
      <c r="DQ38">
        <f>AC39-Table2[[#This Row],[16F1 Tray washer Panel for Light]]</f>
        <v>878.87999999988824</v>
      </c>
      <c r="DR38">
        <f>CQ39-Table2[[#This Row],[2F1 Tray Washer - 1]]</f>
        <v>1441.6000000000931</v>
      </c>
      <c r="DS38">
        <f>CS39-Table2[[#This Row],[2F5 Destacker]]</f>
        <v>309.5679999999702</v>
      </c>
      <c r="DT38">
        <f>CU39-Table2[[#This Row],[5F1 Metering (TW-2)]]</f>
        <v>325.09500000003027</v>
      </c>
      <c r="DU38">
        <f>CV39-Table2[[#This Row],[6F1 Pre soaker Tray washer]]</f>
        <v>3.1999999991967343E-3</v>
      </c>
      <c r="DV38">
        <f>CZ39-Table2[[#This Row],[6F5 Vent tray Storage]]</f>
        <v>65.199999999982538</v>
      </c>
      <c r="DW38">
        <f>I39-Table2[[#This Row],[Popeyes Meter ]]</f>
        <v>103.94999999999982</v>
      </c>
      <c r="DX38">
        <f>AZ39-Table2[[#This Row],[2F WH Chiller, Segregation Area]]</f>
        <v>0</v>
      </c>
      <c r="DY38">
        <f>BA39-Table2[[#This Row],[3F1 AC Unit WH dock cooling - 2 Nos]]</f>
        <v>23</v>
      </c>
      <c r="DZ38">
        <f>BB39-Table2[[#This Row],[3F2 AC Unit WH dock cooling - 3 Nos]]</f>
        <v>5.8999999999997499E-2</v>
      </c>
      <c r="EA38">
        <f>(BK39-Table2[[#This Row],[5F WH Perishable]])*1000</f>
        <v>365.00000000000909</v>
      </c>
      <c r="EB38">
        <f>BN39-Table2[[#This Row],[2F3 - PDB 9 - WH Dock Leveler Door ]]</f>
        <v>1.8815999999997075</v>
      </c>
      <c r="EC38">
        <f>BP39-Table2[[#This Row],[3F1 - PDB 5 - WH HSD]]</f>
        <v>132.19199999998091</v>
      </c>
      <c r="ED38">
        <f>BX39-Table2[[#This Row],[8F1 WH Dock AHU - Ventilation]]</f>
        <v>2925.0559999999823</v>
      </c>
      <c r="EE38">
        <f>BZ39-Table2[[#This Row],[8F3 ACPDB - 4 WH Dock air curtain]]</f>
        <v>19.896000000007916</v>
      </c>
      <c r="EF38">
        <f>CA39-Table2[[#This Row],[8F4 WH Light]]</f>
        <v>1.6060999999999694</v>
      </c>
      <c r="EG38">
        <f>CC39-Table2[[#This Row],[9F1 - PDB 10 - WH Dock door &amp; Office]]</f>
        <v>135.84799999999814</v>
      </c>
      <c r="EH38">
        <f>CD39-Table2[[#This Row],[9F2 - PDB 11 - WH flycatchers]]</f>
        <v>87.232000000018161</v>
      </c>
      <c r="EI38">
        <f>CE39-Table2[[#This Row],[9F3 - PDB 12 - Other items]]</f>
        <v>0</v>
      </c>
      <c r="EJ38">
        <f>CR39-Table2[[#This Row],[2F3 - PDB 1 - Dock 1 to 4 ]]</f>
        <v>93.168000000005122</v>
      </c>
      <c r="EK38">
        <f>BM39-Table2[[#This Row],[2F2 - PDB 3 - WH Truck &amp; Battery Charging]]</f>
        <v>331.71199999999953</v>
      </c>
      <c r="EL38">
        <f>(CK39-Table2[[#This Row],[PDB - 11 Truck Charging]])*1000</f>
        <v>12.000000000000455</v>
      </c>
      <c r="EM38">
        <f>P39-Table2[[#This Row],[5F3 Admin Area]]</f>
        <v>531.13600000005681</v>
      </c>
      <c r="EN38">
        <f>AH39-Table2[[#This Row],[2F5 Main Gate-1 Piller -1]]</f>
        <v>117.18399999997928</v>
      </c>
      <c r="EO38">
        <f>CW39-Table2[[#This Row],[6F2 Ground Floor AC]]</f>
        <v>40.300799999997253</v>
      </c>
      <c r="EP38">
        <f>CX39-Table2[[#This Row],[6F3 ACBD -1 (First floor AC)]]</f>
        <v>0</v>
      </c>
      <c r="EQ38">
        <f>CY39-Table2[[#This Row],[6F4 ACBD - 2 (Second &amp; Third floor AC)]]</f>
        <v>180.55999999999767</v>
      </c>
      <c r="ER38">
        <f>(BC39-Table2[[#This Row],[4F Old BMC cooling Unit]])</f>
        <v>0</v>
      </c>
      <c r="ES38">
        <f>BO39-Table2[[#This Row],[2F4 - Old BMC]]</f>
        <v>6.7999999999956344</v>
      </c>
      <c r="ET38">
        <f>Y39-Table2[[#This Row],[14F2 New CK]]</f>
        <v>1064.2399999999907</v>
      </c>
      <c r="EU38">
        <f>(CL39-Table2[[#This Row],[OLD Ck Panel-1]])*1000</f>
        <v>154.99999999997272</v>
      </c>
      <c r="EV38">
        <f>CM39-Table2[[#This Row],[2F4 Old CK Blast (Blue star)]]</f>
        <v>0</v>
      </c>
      <c r="EW38">
        <f>CN39-Table2[[#This Row],[3F6 Old CK Blast (Carrier)]]</f>
        <v>0.29999999999563443</v>
      </c>
      <c r="EX38">
        <f>(CO39-Table2[[#This Row],[Old CK Panel -2]])*1000</f>
        <v>706.99999999987995</v>
      </c>
      <c r="EY38">
        <f>N39-Table2[[#This Row],[4F1 Main UPS 1/C -1]]</f>
        <v>959.84000000008382</v>
      </c>
      <c r="EZ38">
        <f>Z39-Table2[[#This Row],[15F1 Main UPS Panel - I/C - 2]]</f>
        <v>0</v>
      </c>
      <c r="FA38">
        <f>BF39-Table2[[#This Row],[2F CLC -1 AC unit - 2]]</f>
        <v>0</v>
      </c>
      <c r="FB38">
        <f>(BG39-Table2[[#This Row],[2F CLC Anti room]])*1000</f>
        <v>18.999999999991246</v>
      </c>
      <c r="FC38">
        <f>BW39-Table2[[#This Row],[7F3 CLC Power Panel]]</f>
        <v>194.4320000000298</v>
      </c>
      <c r="FD38">
        <f>(CI39-Table2[[#This Row],[PDB - 17 CLC Section ]])*1000</f>
        <v>122.99999999999045</v>
      </c>
      <c r="FE38">
        <f>(W39-Table2[[#This Row],[13F3 Water &amp; Lift Old CK]])*1000</f>
        <v>486.79999999990287</v>
      </c>
      <c r="FF38">
        <f>AA39-Table2[[#This Row],[15F2 New ETP Panel]]</f>
        <v>456.89599999994971</v>
      </c>
      <c r="FG38">
        <f>AL39-Table2[[#This Row],[3F4 Old ETP Panel]]</f>
        <v>73.184000000008382</v>
      </c>
      <c r="FH38">
        <f>AF39-Table2[[#This Row],[2F1 RO Plant]]</f>
        <v>683.39199999999255</v>
      </c>
      <c r="FI38">
        <f>AK39-Table2[[#This Row],[3F3 Fire Hydrant Panel]]</f>
        <v>16.576000000000931</v>
      </c>
      <c r="FJ38">
        <f>R39-Table2[[#This Row],[7F1 Freon System Panel]]</f>
        <v>6142.7199999997392</v>
      </c>
      <c r="FK38">
        <f>(AE39-Table2[[#This Row],[21F1 Refrigeration Ammonia]])*1000</f>
        <v>7730.3999999985535</v>
      </c>
      <c r="FL38">
        <f>(AG39-Table2[[#This Row],[2F3 Air Compressor]])*1000</f>
        <v>1447.0000000001164</v>
      </c>
      <c r="FM38">
        <f>(AX39-Table2[[#This Row],[Solar Reading Panel II]])*1000</f>
        <v>3994.9999999998909</v>
      </c>
      <c r="FN38">
        <f>AI39-Table2[[#This Row],[3F1 Maintenance Workshop]]</f>
        <v>4.3328000000001339</v>
      </c>
      <c r="FO38">
        <f>BD39-Table2[[#This Row],[4F B2B unit ]]</f>
        <v>78.656000000017229</v>
      </c>
      <c r="FP38">
        <f>BL39-Table2[[#This Row],[2F1 - PDB 6 - Bread, B2B section]]</f>
        <v>122.32319999999891</v>
      </c>
      <c r="FQ38">
        <f>(CG39-Table2[[#This Row],[9F5 - PDB 14 - Bread Lift]])</f>
        <v>0.44800000003306195</v>
      </c>
      <c r="FR38">
        <f>CJ39-Table2[[#This Row],[PDB - 16 Bread Section]]</f>
        <v>0</v>
      </c>
      <c r="FS38">
        <f>BU39-Table2[[#This Row],[7F1 Donut Production area]]</f>
        <v>215.10400000005029</v>
      </c>
      <c r="FT38">
        <f>CB39-Table2[[#This Row],[8F5 Donut Ban Bary]]</f>
        <v>51.679999999993015</v>
      </c>
      <c r="FU38">
        <f>CF39-Table2[[#This Row],[9F4 - PDB 13 - Donut Sink Geyser area]]</f>
        <v>46.512000000016997</v>
      </c>
      <c r="FV38">
        <f>BV39-Table2[[#This Row],[7F2 Flour Silo]]</f>
        <v>476</v>
      </c>
      <c r="FW38">
        <f>BY39-Table2[[#This Row],[8F2 ACPDB - 3 SILO Ventilation]]</f>
        <v>68.032000000006519</v>
      </c>
      <c r="FX38">
        <f>J39-Table2[[#This Row],[DG 1010KVA Running Hours]]</f>
        <v>0</v>
      </c>
      <c r="FY38">
        <f>K39-Table2[[#This Row],[DG 1010 KVA Meter Reading]]</f>
        <v>0</v>
      </c>
      <c r="FZ38">
        <f>L39-Table2[[#This Row],[GG 1010 KVA Running Hours]]</f>
        <v>0</v>
      </c>
      <c r="GA38">
        <f>M39-Table2[[#This Row],[GG 1010 KVA Meter Reading]]</f>
        <v>0</v>
      </c>
    </row>
    <row r="39" spans="1:183" x14ac:dyDescent="0.35">
      <c r="A39" s="1">
        <v>49</v>
      </c>
      <c r="B39" s="2">
        <v>46237.415902777779</v>
      </c>
      <c r="C39" s="2">
        <v>46237.455925925926</v>
      </c>
      <c r="D39" s="1" t="s">
        <v>111</v>
      </c>
      <c r="E39" s="1"/>
      <c r="F39" s="1"/>
      <c r="G39" s="3">
        <v>46237</v>
      </c>
      <c r="H39" s="1" t="s">
        <v>186</v>
      </c>
      <c r="I39" s="6">
        <v>6687.9319999999998</v>
      </c>
      <c r="J39" s="6">
        <v>4272.7</v>
      </c>
      <c r="K39" s="6">
        <v>1776361</v>
      </c>
      <c r="L39" s="6">
        <v>453</v>
      </c>
      <c r="M39" s="6">
        <v>190.57</v>
      </c>
      <c r="N39" s="6">
        <v>1867763.84</v>
      </c>
      <c r="O39" s="6">
        <v>4597175.3600000003</v>
      </c>
      <c r="P39" s="6">
        <v>645594.88</v>
      </c>
      <c r="Q39" s="6">
        <v>8089822.7199999997</v>
      </c>
      <c r="R39" s="6">
        <v>5534853.7599999998</v>
      </c>
      <c r="S39" s="6">
        <v>7360382.7199999997</v>
      </c>
      <c r="T39" s="6">
        <v>42744304.789999999</v>
      </c>
      <c r="U39" s="6">
        <v>2102692.96</v>
      </c>
      <c r="V39" s="6">
        <v>5114972.4800000004</v>
      </c>
      <c r="W39" s="6">
        <v>1592.1007</v>
      </c>
      <c r="X39" s="6">
        <v>773820.48</v>
      </c>
      <c r="Y39" s="6">
        <v>1091266.8799999999</v>
      </c>
      <c r="Z39" s="6">
        <v>2777.8894</v>
      </c>
      <c r="AA39" s="6">
        <v>668355.32799999998</v>
      </c>
      <c r="AB39" s="6">
        <v>421272.44799999997</v>
      </c>
      <c r="AC39" s="6">
        <v>2138680.3199999998</v>
      </c>
      <c r="AD39" s="6">
        <v>4021998.2990000001</v>
      </c>
      <c r="AE39" s="6">
        <v>12801.539199999999</v>
      </c>
      <c r="AF39" s="6">
        <v>874945.21600000001</v>
      </c>
      <c r="AG39" s="6">
        <v>1397.98</v>
      </c>
      <c r="AH39" s="6">
        <v>133358.65599999999</v>
      </c>
      <c r="AI39" s="6">
        <v>14620.379199999999</v>
      </c>
      <c r="AJ39" s="6">
        <v>145365.408</v>
      </c>
      <c r="AK39" s="6">
        <v>105241.424</v>
      </c>
      <c r="AL39" s="6">
        <v>330543.45600000001</v>
      </c>
      <c r="AM39" s="6">
        <v>990.91399999999999</v>
      </c>
      <c r="AN39" s="6">
        <v>292.60000000000002</v>
      </c>
      <c r="AO39" s="6">
        <v>7.8</v>
      </c>
      <c r="AP39" s="6">
        <v>448953</v>
      </c>
      <c r="AQ39" s="6">
        <v>42313</v>
      </c>
      <c r="AR39" s="6">
        <v>41768</v>
      </c>
      <c r="AS39" s="6">
        <v>32380</v>
      </c>
      <c r="AT39" s="6">
        <v>22100</v>
      </c>
      <c r="AU39" s="6">
        <v>15624</v>
      </c>
      <c r="AV39" s="6">
        <v>6419</v>
      </c>
      <c r="AW39" s="6">
        <v>20.920206</v>
      </c>
      <c r="AX39" s="6">
        <v>7240.451</v>
      </c>
      <c r="AY39" s="6">
        <v>678.96024</v>
      </c>
      <c r="AZ39" s="6">
        <v>20.788</v>
      </c>
      <c r="BA39" s="6">
        <v>10388</v>
      </c>
      <c r="BB39" s="6">
        <v>44.780999999999999</v>
      </c>
      <c r="BC39" s="6">
        <v>113989.152</v>
      </c>
      <c r="BD39" s="6">
        <v>275926.97600000002</v>
      </c>
      <c r="BE39" s="6">
        <v>3725.4756000000002</v>
      </c>
      <c r="BF39" s="6">
        <v>1712.0419999999999</v>
      </c>
      <c r="BG39" s="6">
        <v>75.02</v>
      </c>
      <c r="BH39" s="6">
        <v>364.61900000000003</v>
      </c>
      <c r="BI39" s="6">
        <v>915.31399999999996</v>
      </c>
      <c r="BJ39" s="6">
        <v>14.632</v>
      </c>
      <c r="BK39" s="6">
        <v>564.23400000000004</v>
      </c>
      <c r="BL39" s="6">
        <v>72807.923200000005</v>
      </c>
      <c r="BM39" s="6">
        <v>309416.99200000003</v>
      </c>
      <c r="BN39" s="6">
        <v>7193.6751999999997</v>
      </c>
      <c r="BO39" s="6">
        <v>53568.585599999999</v>
      </c>
      <c r="BP39" s="6">
        <v>314340.60800000001</v>
      </c>
      <c r="BQ39" s="6">
        <v>325.36200000000002</v>
      </c>
      <c r="BR39" s="6">
        <v>181.22</v>
      </c>
      <c r="BS39" s="6">
        <v>1011958.5820000001</v>
      </c>
      <c r="BT39" s="6">
        <v>1400619.6850000001</v>
      </c>
      <c r="BU39" s="6">
        <v>629304</v>
      </c>
      <c r="BV39" s="6">
        <v>1022729.44</v>
      </c>
      <c r="BW39" s="6">
        <v>568648.51199999999</v>
      </c>
      <c r="BX39" s="6">
        <v>998485.24800000002</v>
      </c>
      <c r="BY39" s="6">
        <v>157794.704</v>
      </c>
      <c r="BZ39" s="6">
        <v>114354.656</v>
      </c>
      <c r="CA39" s="6">
        <v>1244.3071</v>
      </c>
      <c r="CB39" s="6">
        <v>108718.848</v>
      </c>
      <c r="CC39" s="6">
        <v>150877.20000000001</v>
      </c>
      <c r="CD39" s="6">
        <v>446746.848</v>
      </c>
      <c r="CE39" s="6">
        <v>49125.260799999996</v>
      </c>
      <c r="CF39" s="6">
        <v>155968.76800000001</v>
      </c>
      <c r="CG39" s="6">
        <v>360806.55040000001</v>
      </c>
      <c r="CH39" s="6">
        <v>2385.8710000000001</v>
      </c>
      <c r="CI39" s="6">
        <v>214.523</v>
      </c>
      <c r="CJ39" s="6">
        <v>1191.4000000000001</v>
      </c>
      <c r="CK39" s="6">
        <v>78.159000000000006</v>
      </c>
      <c r="CL39" s="6">
        <v>734.08299999999997</v>
      </c>
      <c r="CM39" s="6">
        <v>551.4</v>
      </c>
      <c r="CN39" s="6">
        <v>45171.1</v>
      </c>
      <c r="CO39" s="6">
        <v>1651.8679999999999</v>
      </c>
      <c r="CP39" s="6">
        <v>294479.12199999997</v>
      </c>
      <c r="CQ39" s="6">
        <v>3685576</v>
      </c>
      <c r="CR39" s="6">
        <v>131342.54399999999</v>
      </c>
      <c r="CS39" s="6">
        <v>514846.81599999999</v>
      </c>
      <c r="CT39" s="6">
        <v>2932735.83</v>
      </c>
      <c r="CU39" s="6">
        <v>299070.27100000001</v>
      </c>
      <c r="CV39" s="6">
        <v>30139.702399999998</v>
      </c>
      <c r="CW39" s="6">
        <v>62922.873599999999</v>
      </c>
      <c r="CX39" s="6">
        <v>33466.092799999999</v>
      </c>
      <c r="CY39" s="6">
        <v>168114.11199999999</v>
      </c>
      <c r="CZ39" s="6">
        <v>218017.66399999999</v>
      </c>
      <c r="DA39" s="6">
        <v>19029.810000000001</v>
      </c>
      <c r="DB39" s="6">
        <v>150287.15900000001</v>
      </c>
      <c r="DC39" s="6">
        <v>3035.87</v>
      </c>
      <c r="DD39" s="6">
        <v>3035.67</v>
      </c>
      <c r="DE39" s="6">
        <v>3062.58</v>
      </c>
      <c r="DF39" s="6">
        <v>0.97899999999999998</v>
      </c>
      <c r="DG39" s="1" t="s">
        <v>272</v>
      </c>
      <c r="DH39" s="4">
        <f>Table2[[#This Row],[Date]]</f>
        <v>46237</v>
      </c>
      <c r="DI39">
        <f>(DD40-Table2[[#This Row],[MWH Total]])*4000</f>
        <v>25799.999999999272</v>
      </c>
      <c r="DJ39">
        <f>(DA40-Table2[[#This Row],[PNG Meter (Outside)]])*2.936</f>
        <v>19.14272000000128</v>
      </c>
      <c r="DK39">
        <f>(DB40-Table2[[#This Row],[PNG Meter (Inside)]])*2.936</f>
        <v>333.41509599996169</v>
      </c>
      <c r="DL39">
        <f>(BH40-Table2[[#This Row],[3F Dough cooler - 2 ]])*1000</f>
        <v>285.99999999994452</v>
      </c>
      <c r="DM39">
        <f>(BI40-Table2[[#This Row],[3F Dough Cooler- 1]])*1000</f>
        <v>479.00000000004184</v>
      </c>
      <c r="DN39">
        <f>(BJ40-Table2[[#This Row],[4F Dough Production cooling Unit]])*1000</f>
        <v>56.000000000000938</v>
      </c>
      <c r="DO39">
        <f>(BQ40-Table2[[#This Row],[3F2 - PDB 3 - Dough Production Area]])*1000</f>
        <v>240.99999999998545</v>
      </c>
      <c r="DP39">
        <f>(BR40-Table2[[#This Row],[3F3 - PDB 4 - Dough Area]])*1000</f>
        <v>120.00000000000455</v>
      </c>
      <c r="DQ39">
        <f>AC40-Table2[[#This Row],[16F1 Tray washer Panel for Light]]</f>
        <v>719.68000000016764</v>
      </c>
      <c r="DR39">
        <f>CQ40-Table2[[#This Row],[2F1 Tray Washer - 1]]</f>
        <v>1308.7999999998137</v>
      </c>
      <c r="DS39">
        <f>CS40-Table2[[#This Row],[2F5 Destacker]]</f>
        <v>286.62400000001071</v>
      </c>
      <c r="DT39">
        <f>CU40-Table2[[#This Row],[5F1 Metering (TW-2)]]</f>
        <v>296.88500000000931</v>
      </c>
      <c r="DU39">
        <f>CV40-Table2[[#This Row],[6F1 Pre soaker Tray washer]]</f>
        <v>3.2000000028347131E-3</v>
      </c>
      <c r="DV39">
        <f>CZ40-Table2[[#This Row],[6F5 Vent tray Storage]]</f>
        <v>98.768000000010943</v>
      </c>
      <c r="DW39">
        <f>I40-Table2[[#This Row],[Popeyes Meter ]]</f>
        <v>67.75</v>
      </c>
      <c r="DX39">
        <f>AZ40-Table2[[#This Row],[2F WH Chiller, Segregation Area]]</f>
        <v>0</v>
      </c>
      <c r="DY39">
        <f>BA40-Table2[[#This Row],[3F1 AC Unit WH dock cooling - 2 Nos]]</f>
        <v>19</v>
      </c>
      <c r="DZ39">
        <f>BB40-Table2[[#This Row],[3F2 AC Unit WH dock cooling - 3 Nos]]</f>
        <v>4.5999999999999375E-2</v>
      </c>
      <c r="EA39">
        <f>(BK40-Table2[[#This Row],[5F WH Perishable]])*1000</f>
        <v>285.99999999994452</v>
      </c>
      <c r="EB39">
        <f>BN40-Table2[[#This Row],[2F3 - PDB 9 - WH Dock Leveler Door ]]</f>
        <v>1.9832000000005792</v>
      </c>
      <c r="EC39">
        <f>BP40-Table2[[#This Row],[3F1 - PDB 5 - WH HSD]]</f>
        <v>119.58399999997346</v>
      </c>
      <c r="ED39">
        <f>BX40-Table2[[#This Row],[8F1 WH Dock AHU - Ventilation]]</f>
        <v>2295.951999999932</v>
      </c>
      <c r="EE39">
        <f>BZ40-Table2[[#This Row],[8F3 ACPDB - 4 WH Dock air curtain]]</f>
        <v>18.207999999998719</v>
      </c>
      <c r="EF39">
        <f>CA40-Table2[[#This Row],[8F4 WH Light]]</f>
        <v>2.1999999999934516E-2</v>
      </c>
      <c r="EG39">
        <f>CC40-Table2[[#This Row],[9F1 - PDB 10 - WH Dock door &amp; Office]]</f>
        <v>152.8640000000014</v>
      </c>
      <c r="EH39">
        <f>CD40-Table2[[#This Row],[9F2 - PDB 11 - WH flycatchers]]</f>
        <v>258.14400000002934</v>
      </c>
      <c r="EI39">
        <f>CE40-Table2[[#This Row],[9F3 - PDB 12 - Other items]]</f>
        <v>0</v>
      </c>
      <c r="EJ39">
        <f>CR40-Table2[[#This Row],[2F3 - PDB 1 - Dock 1 to 4 ]]</f>
        <v>76.535999999992782</v>
      </c>
      <c r="EK39">
        <f>BM40-Table2[[#This Row],[2F2 - PDB 3 - WH Truck &amp; Battery Charging]]</f>
        <v>535.4879999999539</v>
      </c>
      <c r="EL39">
        <f>(CK40-Table2[[#This Row],[PDB - 11 Truck Charging]])*1000</f>
        <v>62.999999999988177</v>
      </c>
      <c r="EM39">
        <f>P40-Table2[[#This Row],[5F3 Admin Area]]</f>
        <v>381.69599999999627</v>
      </c>
      <c r="EN39">
        <f>AH40-Table2[[#This Row],[2F5 Main Gate-1 Piller -1]]</f>
        <v>105.57600000000093</v>
      </c>
      <c r="EO39">
        <f>CW40-Table2[[#This Row],[6F2 Ground Floor AC]]</f>
        <v>30.604800000000978</v>
      </c>
      <c r="EP39">
        <f>CX40-Table2[[#This Row],[6F3 ACBD -1 (First floor AC)]]</f>
        <v>0</v>
      </c>
      <c r="EQ39">
        <f>CY40-Table2[[#This Row],[6F4 ACBD - 2 (Second &amp; Third floor AC)]]</f>
        <v>136</v>
      </c>
      <c r="ER39">
        <f>(BC40-Table2[[#This Row],[4F Old BMC cooling Unit]])</f>
        <v>0</v>
      </c>
      <c r="ES39">
        <f>BO40-Table2[[#This Row],[2F4 - Old BMC]]</f>
        <v>2.3680000000022119</v>
      </c>
      <c r="ET39">
        <f>Y40-Table2[[#This Row],[14F2 New CK]]</f>
        <v>1538.2400000002235</v>
      </c>
      <c r="EU39">
        <f>(CL40-Table2[[#This Row],[OLD Ck Panel-1]])*1000</f>
        <v>176.00000000004457</v>
      </c>
      <c r="EV39">
        <f>CM40-Table2[[#This Row],[2F4 Old CK Blast (Blue star)]]</f>
        <v>0</v>
      </c>
      <c r="EW39">
        <f>CN40-Table2[[#This Row],[3F6 Old CK Blast (Carrier)]]</f>
        <v>8</v>
      </c>
      <c r="EX39">
        <f>(CO40-Table2[[#This Row],[Old CK Panel -2]])*1000</f>
        <v>878.00000000015643</v>
      </c>
      <c r="EY39">
        <f>N40-Table2[[#This Row],[4F1 Main UPS 1/C -1]]</f>
        <v>924.95999999996275</v>
      </c>
      <c r="EZ39">
        <f>Z40-Table2[[#This Row],[15F1 Main UPS Panel - I/C - 2]]</f>
        <v>0</v>
      </c>
      <c r="FA39">
        <f>BF40-Table2[[#This Row],[2F CLC -1 AC unit - 2]]</f>
        <v>0</v>
      </c>
      <c r="FB39">
        <f>(BG40-Table2[[#This Row],[2F CLC Anti room]])*1000</f>
        <v>32.000000000010687</v>
      </c>
      <c r="FC39">
        <f>BW40-Table2[[#This Row],[7F3 CLC Power Panel]]</f>
        <v>326.46400000003632</v>
      </c>
      <c r="FD39">
        <f>(CI40-Table2[[#This Row],[PDB - 17 CLC Section ]])*1000</f>
        <v>227.00000000000387</v>
      </c>
      <c r="FE39">
        <f>(W40-Table2[[#This Row],[13F3 Water &amp; Lift Old CK]])*1000</f>
        <v>412.00000000003456</v>
      </c>
      <c r="FF39">
        <f>AA40-Table2[[#This Row],[15F2 New ETP Panel]]</f>
        <v>364.54399999999441</v>
      </c>
      <c r="FG39">
        <f>AL40-Table2[[#This Row],[3F4 Old ETP Panel]]</f>
        <v>64.415999999968335</v>
      </c>
      <c r="FH39">
        <f>AF40-Table2[[#This Row],[2F1 RO Plant]]</f>
        <v>534.01599999994505</v>
      </c>
      <c r="FI39">
        <f>AK40-Table2[[#This Row],[3F3 Fire Hydrant Panel]]</f>
        <v>10.576000000000931</v>
      </c>
      <c r="FJ39">
        <f>R40-Table2[[#This Row],[7F1 Freon System Panel]]</f>
        <v>5775.3600000003353</v>
      </c>
      <c r="FK39">
        <f>(AE40-Table2[[#This Row],[21F1 Refrigeration Ammonia]])*1000</f>
        <v>6941.6000000001077</v>
      </c>
      <c r="FL39">
        <f>(AG40-Table2[[#This Row],[2F3 Air Compressor]])*1000</f>
        <v>1009.9999999999909</v>
      </c>
      <c r="FM39">
        <f>(AX40-Table2[[#This Row],[Solar Reading Panel II]])*1000</f>
        <v>2028.9999999995416</v>
      </c>
      <c r="FN39">
        <f>AI40-Table2[[#This Row],[3F1 Maintenance Workshop]]</f>
        <v>4.3712000000014086</v>
      </c>
      <c r="FO39">
        <f>BD40-Table2[[#This Row],[4F B2B unit ]]</f>
        <v>66.783999999985099</v>
      </c>
      <c r="FP39">
        <f>BL40-Table2[[#This Row],[2F1 - PDB 6 - Bread, B2B section]]</f>
        <v>135.46880000000237</v>
      </c>
      <c r="FQ39">
        <f>(CG40-Table2[[#This Row],[9F5 - PDB 14 - Bread Lift]])</f>
        <v>0.59840000001713634</v>
      </c>
      <c r="FR39">
        <f>CJ40-Table2[[#This Row],[PDB - 16 Bread Section]]</f>
        <v>0</v>
      </c>
      <c r="FS39">
        <f>BU40-Table2[[#This Row],[7F1 Donut Production area]]</f>
        <v>250.68799999996554</v>
      </c>
      <c r="FT39">
        <f>CB40-Table2[[#This Row],[8F5 Donut Ban Bary]]</f>
        <v>64.487999999997555</v>
      </c>
      <c r="FU39">
        <f>CF40-Table2[[#This Row],[9F4 - PDB 13 - Donut Sink Geyser area]]</f>
        <v>26.095999999990454</v>
      </c>
      <c r="FV39">
        <f>BV40-Table2[[#This Row],[7F2 Flour Silo]]</f>
        <v>484.64000000001397</v>
      </c>
      <c r="FW39">
        <f>BY40-Table2[[#This Row],[8F2 ACPDB - 3 SILO Ventilation]]</f>
        <v>48.144000000000233</v>
      </c>
      <c r="FX39">
        <f>J40-Table2[[#This Row],[DG 1010KVA Running Hours]]</f>
        <v>0</v>
      </c>
      <c r="FY39">
        <f>K40-Table2[[#This Row],[DG 1010 KVA Meter Reading]]</f>
        <v>0</v>
      </c>
      <c r="FZ39">
        <f>L40-Table2[[#This Row],[GG 1010 KVA Running Hours]]</f>
        <v>0</v>
      </c>
      <c r="GA39">
        <f>M40-Table2[[#This Row],[GG 1010 KVA Meter Reading]]</f>
        <v>0</v>
      </c>
    </row>
    <row r="40" spans="1:183" x14ac:dyDescent="0.35">
      <c r="A40" s="1">
        <v>50</v>
      </c>
      <c r="B40" s="2">
        <v>46238.395335648151</v>
      </c>
      <c r="C40" s="2">
        <v>46238.441006944442</v>
      </c>
      <c r="D40" s="1" t="s">
        <v>111</v>
      </c>
      <c r="E40" s="1"/>
      <c r="F40" s="1"/>
      <c r="G40" s="3">
        <v>46238</v>
      </c>
      <c r="H40" s="1" t="s">
        <v>186</v>
      </c>
      <c r="I40" s="6">
        <v>6755.6819999999998</v>
      </c>
      <c r="J40" s="6">
        <v>4272.7</v>
      </c>
      <c r="K40" s="6">
        <v>1776361</v>
      </c>
      <c r="L40" s="6">
        <v>453</v>
      </c>
      <c r="M40" s="6">
        <v>190.57</v>
      </c>
      <c r="N40" s="6">
        <v>1868688.8</v>
      </c>
      <c r="O40" s="6">
        <v>4598792.96</v>
      </c>
      <c r="P40" s="6">
        <v>645976.576</v>
      </c>
      <c r="Q40" s="6">
        <v>8091911.04</v>
      </c>
      <c r="R40" s="6">
        <v>5540629.1200000001</v>
      </c>
      <c r="S40" s="6">
        <v>7363605.7599999998</v>
      </c>
      <c r="T40" s="6">
        <v>43200508.241999999</v>
      </c>
      <c r="U40" s="6">
        <v>2103936.96</v>
      </c>
      <c r="V40" s="6">
        <v>5116617.5999999996</v>
      </c>
      <c r="W40" s="6">
        <v>1592.5127</v>
      </c>
      <c r="X40" s="6">
        <v>774116.16</v>
      </c>
      <c r="Y40" s="6">
        <v>1092805.1200000001</v>
      </c>
      <c r="Z40" s="6">
        <v>2777.8894</v>
      </c>
      <c r="AA40" s="6">
        <v>668719.87199999997</v>
      </c>
      <c r="AB40" s="6">
        <v>421285.21600000001</v>
      </c>
      <c r="AC40" s="6">
        <v>2139400</v>
      </c>
      <c r="AD40" s="6">
        <v>2653008.0950000002</v>
      </c>
      <c r="AE40" s="6">
        <v>12808.480799999999</v>
      </c>
      <c r="AF40" s="6">
        <v>875479.23199999996</v>
      </c>
      <c r="AG40" s="6">
        <v>1398.99</v>
      </c>
      <c r="AH40" s="6">
        <v>133464.23199999999</v>
      </c>
      <c r="AI40" s="6">
        <v>14624.750400000001</v>
      </c>
      <c r="AJ40" s="6">
        <v>145369.424</v>
      </c>
      <c r="AK40" s="6">
        <v>105252</v>
      </c>
      <c r="AL40" s="6">
        <v>330607.87199999997</v>
      </c>
      <c r="AM40" s="6">
        <v>991.45299999999997</v>
      </c>
      <c r="AN40" s="6">
        <v>284.2</v>
      </c>
      <c r="AO40" s="6">
        <v>7.7</v>
      </c>
      <c r="AP40" s="6">
        <v>456787</v>
      </c>
      <c r="AQ40" s="6">
        <v>42313</v>
      </c>
      <c r="AR40" s="6">
        <v>41768</v>
      </c>
      <c r="AS40" s="6">
        <v>32390</v>
      </c>
      <c r="AT40" s="6">
        <v>22105</v>
      </c>
      <c r="AU40" s="6">
        <v>15647</v>
      </c>
      <c r="AV40" s="6">
        <v>6432</v>
      </c>
      <c r="AW40" s="6">
        <v>20.926932000000001</v>
      </c>
      <c r="AX40" s="6">
        <v>7242.48</v>
      </c>
      <c r="AY40" s="6">
        <v>679.10303999999996</v>
      </c>
      <c r="AZ40" s="6">
        <v>20.788</v>
      </c>
      <c r="BA40" s="6">
        <v>10407</v>
      </c>
      <c r="BB40" s="6">
        <v>44.826999999999998</v>
      </c>
      <c r="BC40" s="6">
        <v>113989.152</v>
      </c>
      <c r="BD40" s="6">
        <v>275993.76</v>
      </c>
      <c r="BE40" s="6">
        <v>3726.6747999999998</v>
      </c>
      <c r="BF40" s="6">
        <v>1712.0419999999999</v>
      </c>
      <c r="BG40" s="6">
        <v>75.052000000000007</v>
      </c>
      <c r="BH40" s="6">
        <v>364.90499999999997</v>
      </c>
      <c r="BI40" s="6">
        <v>915.79300000000001</v>
      </c>
      <c r="BJ40" s="6">
        <v>14.688000000000001</v>
      </c>
      <c r="BK40" s="6">
        <v>564.52</v>
      </c>
      <c r="BL40" s="6">
        <v>72943.392000000007</v>
      </c>
      <c r="BM40" s="6">
        <v>309952.48</v>
      </c>
      <c r="BN40" s="6">
        <v>7195.6584000000003</v>
      </c>
      <c r="BO40" s="6">
        <v>53570.953600000001</v>
      </c>
      <c r="BP40" s="6">
        <v>314460.19199999998</v>
      </c>
      <c r="BQ40" s="6">
        <v>325.60300000000001</v>
      </c>
      <c r="BR40" s="6">
        <v>181.34</v>
      </c>
      <c r="BS40" s="6">
        <v>1013192.048</v>
      </c>
      <c r="BT40" s="6">
        <v>1400620.507</v>
      </c>
      <c r="BU40" s="6">
        <v>629554.68799999997</v>
      </c>
      <c r="BV40" s="6">
        <v>1023214.08</v>
      </c>
      <c r="BW40" s="6">
        <v>568974.97600000002</v>
      </c>
      <c r="BX40" s="6">
        <v>1000781.2</v>
      </c>
      <c r="BY40" s="6">
        <v>157842.848</v>
      </c>
      <c r="BZ40" s="6">
        <v>114372.864</v>
      </c>
      <c r="CA40" s="6">
        <v>1244.3290999999999</v>
      </c>
      <c r="CB40" s="6">
        <v>108783.336</v>
      </c>
      <c r="CC40" s="6">
        <v>151030.06400000001</v>
      </c>
      <c r="CD40" s="6">
        <v>447004.99200000003</v>
      </c>
      <c r="CE40" s="6">
        <v>49125.260799999996</v>
      </c>
      <c r="CF40" s="6">
        <v>155994.864</v>
      </c>
      <c r="CG40" s="6">
        <v>360807.14880000002</v>
      </c>
      <c r="CH40" s="6">
        <v>2385.8710000000001</v>
      </c>
      <c r="CI40" s="6">
        <v>214.75</v>
      </c>
      <c r="CJ40" s="6">
        <v>1191.4000000000001</v>
      </c>
      <c r="CK40" s="6">
        <v>78.221999999999994</v>
      </c>
      <c r="CL40" s="6">
        <v>734.25900000000001</v>
      </c>
      <c r="CM40" s="6">
        <v>551.4</v>
      </c>
      <c r="CN40" s="6">
        <v>45179.1</v>
      </c>
      <c r="CO40" s="6">
        <v>1652.7460000000001</v>
      </c>
      <c r="CP40" s="6">
        <v>294629.06400000001</v>
      </c>
      <c r="CQ40" s="6">
        <v>3686884.8</v>
      </c>
      <c r="CR40" s="6">
        <v>131419.07999999999</v>
      </c>
      <c r="CS40" s="6">
        <v>515133.44</v>
      </c>
      <c r="CT40" s="6">
        <v>2936032.1779999998</v>
      </c>
      <c r="CU40" s="6">
        <v>299367.15600000002</v>
      </c>
      <c r="CV40" s="6">
        <v>30139.705600000001</v>
      </c>
      <c r="CW40" s="6">
        <v>62953.4784</v>
      </c>
      <c r="CX40" s="6">
        <v>33466.092799999999</v>
      </c>
      <c r="CY40" s="6">
        <v>168250.11199999999</v>
      </c>
      <c r="CZ40" s="6">
        <v>218116.432</v>
      </c>
      <c r="DA40" s="6">
        <v>19036.330000000002</v>
      </c>
      <c r="DB40" s="6">
        <v>150400.72</v>
      </c>
      <c r="DC40" s="6">
        <v>3042.25</v>
      </c>
      <c r="DD40" s="6">
        <v>3042.12</v>
      </c>
      <c r="DE40" s="6">
        <v>3069.26</v>
      </c>
      <c r="DF40" s="6">
        <v>0.97799999999999998</v>
      </c>
      <c r="DG40" s="1" t="s">
        <v>245</v>
      </c>
      <c r="DH40" s="4">
        <f>Table2[[#This Row],[Date]]</f>
        <v>46238</v>
      </c>
      <c r="DI40">
        <f>(DD41-Table2[[#This Row],[MWH Total]])*4000</f>
        <v>25040.000000000873</v>
      </c>
      <c r="DJ40">
        <f>(DA41-Table2[[#This Row],[PNG Meter (Outside)]])*2.936</f>
        <v>19.14272000000128</v>
      </c>
      <c r="DK40">
        <f>(DB41-Table2[[#This Row],[PNG Meter (Inside)]])*2.936</f>
        <v>371.6095200000205</v>
      </c>
      <c r="DL40">
        <f>(BH41-Table2[[#This Row],[3F Dough cooler - 2 ]])*1000</f>
        <v>429.00000000003047</v>
      </c>
      <c r="DM40">
        <f>(BI41-Table2[[#This Row],[3F Dough Cooler- 1]])*1000</f>
        <v>462.99999999996544</v>
      </c>
      <c r="DN40">
        <f>(BJ41-Table2[[#This Row],[4F Dough Production cooling Unit]])*1000</f>
        <v>54.00000000000027</v>
      </c>
      <c r="DO40">
        <f>(BQ41-Table2[[#This Row],[3F2 - PDB 3 - Dough Production Area]])*1000</f>
        <v>211.99999999998909</v>
      </c>
      <c r="DP40">
        <f>(BR41-Table2[[#This Row],[3F3 - PDB 4 - Dough Area]])*1000</f>
        <v>106.99999999999932</v>
      </c>
      <c r="DQ40">
        <f>AC41-Table2[[#This Row],[16F1 Tray washer Panel for Light]]</f>
        <v>712.31999999983236</v>
      </c>
      <c r="DR40">
        <f>CQ41-Table2[[#This Row],[2F1 Tray Washer - 1]]</f>
        <v>1233.9200000003912</v>
      </c>
      <c r="DS40">
        <f>CS41-Table2[[#This Row],[2F5 Destacker]]</f>
        <v>267.58399999997346</v>
      </c>
      <c r="DT40">
        <f>CU41-Table2[[#This Row],[5F1 Metering (TW-2)]]</f>
        <v>255.01899999997113</v>
      </c>
      <c r="DU40">
        <f>CV41-Table2[[#This Row],[6F1 Pre soaker Tray washer]]</f>
        <v>6.3999999983934686E-3</v>
      </c>
      <c r="DV40">
        <f>CZ41-Table2[[#This Row],[6F5 Vent tray Storage]]</f>
        <v>76.896000000007916</v>
      </c>
      <c r="DW40">
        <f>I41-Table2[[#This Row],[Popeyes Meter ]]</f>
        <v>41.159999999999854</v>
      </c>
      <c r="DX40">
        <f>AZ41-Table2[[#This Row],[2F WH Chiller, Segregation Area]]</f>
        <v>0</v>
      </c>
      <c r="DY40">
        <f>BA41-Table2[[#This Row],[3F1 AC Unit WH dock cooling - 2 Nos]]</f>
        <v>19</v>
      </c>
      <c r="DZ40">
        <f>BB41-Table2[[#This Row],[3F2 AC Unit WH dock cooling - 3 Nos]]</f>
        <v>4.8999999999999488E-2</v>
      </c>
      <c r="EA40">
        <f>(BK41-Table2[[#This Row],[5F WH Perishable]])*1000</f>
        <v>274.99999999997726</v>
      </c>
      <c r="EB40">
        <f>BN41-Table2[[#This Row],[2F3 - PDB 9 - WH Dock Leveler Door ]]</f>
        <v>1.1279999999997017</v>
      </c>
      <c r="EC40">
        <f>BP41-Table2[[#This Row],[3F1 - PDB 5 - WH HSD]]</f>
        <v>119.52000000001863</v>
      </c>
      <c r="ED40">
        <f>BX41-Table2[[#This Row],[8F1 WH Dock AHU - Ventilation]]</f>
        <v>2308.4000000000233</v>
      </c>
      <c r="EE40">
        <f>BZ41-Table2[[#This Row],[8F3 ACPDB - 4 WH Dock air curtain]]</f>
        <v>1.6879999999946449</v>
      </c>
      <c r="EF40">
        <f>CA41-Table2[[#This Row],[8F4 WH Light]]</f>
        <v>9.3000000001666194E-3</v>
      </c>
      <c r="EG40">
        <f>CC41-Table2[[#This Row],[9F1 - PDB 10 - WH Dock door &amp; Office]]</f>
        <v>137.59999999997672</v>
      </c>
      <c r="EH40">
        <f>CD41-Table2[[#This Row],[9F2 - PDB 11 - WH flycatchers]]</f>
        <v>164.31999999994878</v>
      </c>
      <c r="EI40">
        <f>CE41-Table2[[#This Row],[9F3 - PDB 12 - Other items]]</f>
        <v>0</v>
      </c>
      <c r="EJ40">
        <f>CR41-Table2[[#This Row],[2F3 - PDB 1 - Dock 1 to 4 ]]</f>
        <v>66.080000000016298</v>
      </c>
      <c r="EK40">
        <f>BM41-Table2[[#This Row],[2F2 - PDB 3 - WH Truck &amp; Battery Charging]]</f>
        <v>365.76000000000931</v>
      </c>
      <c r="EL40">
        <f>(CK41-Table2[[#This Row],[PDB - 11 Truck Charging]])*1000</f>
        <v>27.000000000001023</v>
      </c>
      <c r="EM40">
        <f>P41-Table2[[#This Row],[5F3 Admin Area]]</f>
        <v>385.40800000005402</v>
      </c>
      <c r="EN40">
        <f>AH41-Table2[[#This Row],[2F5 Main Gate-1 Piller -1]]</f>
        <v>104.16000000000349</v>
      </c>
      <c r="EO40">
        <f>CW41-Table2[[#This Row],[6F2 Ground Floor AC]]</f>
        <v>25.247999999999593</v>
      </c>
      <c r="EP40">
        <f>CX41-Table2[[#This Row],[6F3 ACBD -1 (First floor AC)]]</f>
        <v>0</v>
      </c>
      <c r="EQ40">
        <f>CY41-Table2[[#This Row],[6F4 ACBD - 2 (Second &amp; Third floor AC)]]</f>
        <v>126.84799999999814</v>
      </c>
      <c r="ER40">
        <f>(BC41-Table2[[#This Row],[4F Old BMC cooling Unit]])</f>
        <v>0</v>
      </c>
      <c r="ES40">
        <f>BO41-Table2[[#This Row],[2F4 - Old BMC]]</f>
        <v>3.6416000000026543</v>
      </c>
      <c r="ET40">
        <f>Y41-Table2[[#This Row],[14F2 New CK]]</f>
        <v>1641.9199999999255</v>
      </c>
      <c r="EU40">
        <f>(CL41-Table2[[#This Row],[OLD Ck Panel-1]])*1000</f>
        <v>662.00000000003456</v>
      </c>
      <c r="EV40">
        <f>CM41-Table2[[#This Row],[2F4 Old CK Blast (Blue star)]]</f>
        <v>0</v>
      </c>
      <c r="EW40">
        <f>CN41-Table2[[#This Row],[3F6 Old CK Blast (Carrier)]]</f>
        <v>518.70000000000437</v>
      </c>
      <c r="EX40">
        <f>(CO41-Table2[[#This Row],[Old CK Panel -2]])*1000</f>
        <v>833.99999999983265</v>
      </c>
      <c r="EY40">
        <f>N41-Table2[[#This Row],[4F1 Main UPS 1/C -1]]</f>
        <v>941.76000000000931</v>
      </c>
      <c r="EZ40">
        <f>Z41-Table2[[#This Row],[15F1 Main UPS Panel - I/C - 2]]</f>
        <v>0</v>
      </c>
      <c r="FA40">
        <f>BF41-Table2[[#This Row],[2F CLC -1 AC unit - 2]]</f>
        <v>0</v>
      </c>
      <c r="FB40">
        <f>(BG41-Table2[[#This Row],[2F CLC Anti room]])*1000</f>
        <v>32.99999999998704</v>
      </c>
      <c r="FC40">
        <f>BW41-Table2[[#This Row],[7F3 CLC Power Panel]]</f>
        <v>261.31199999991804</v>
      </c>
      <c r="FD40">
        <f>(CI41-Table2[[#This Row],[PDB - 17 CLC Section ]])*1000</f>
        <v>168.00000000000637</v>
      </c>
      <c r="FE40">
        <f>(W41-Table2[[#This Row],[13F3 Water &amp; Lift Old CK]])*1000</f>
        <v>553.49999999998545</v>
      </c>
      <c r="FF40">
        <f>AA41-Table2[[#This Row],[15F2 New ETP Panel]]</f>
        <v>332.28800000005867</v>
      </c>
      <c r="FG40">
        <f>AL41-Table2[[#This Row],[3F4 Old ETP Panel]]</f>
        <v>76.672000000020489</v>
      </c>
      <c r="FH40">
        <f>AF41-Table2[[#This Row],[2F1 RO Plant]]</f>
        <v>562.36800000001676</v>
      </c>
      <c r="FI40">
        <f>AK41-Table2[[#This Row],[3F3 Fire Hydrant Panel]]</f>
        <v>10.639999999999418</v>
      </c>
      <c r="FJ40">
        <f>R41-Table2[[#This Row],[7F1 Freon System Panel]]</f>
        <v>5783.679999999702</v>
      </c>
      <c r="FK40">
        <f>(AE41-Table2[[#This Row],[21F1 Refrigeration Ammonia]])*1000</f>
        <v>6905.6000000000495</v>
      </c>
      <c r="FL40">
        <f>(AG41-Table2[[#This Row],[2F3 Air Compressor]])*1000</f>
        <v>1257.0000000000618</v>
      </c>
      <c r="FM40">
        <f>(AX41-Table2[[#This Row],[Solar Reading Panel II]])*1000</f>
        <v>1737.00000000008</v>
      </c>
      <c r="FN40">
        <f>AI41-Table2[[#This Row],[3F1 Maintenance Workshop]]</f>
        <v>6.3663999999989755</v>
      </c>
      <c r="FO40">
        <f>BD41-Table2[[#This Row],[4F B2B unit ]]</f>
        <v>70.399999999965075</v>
      </c>
      <c r="FP40">
        <f>BL41-Table2[[#This Row],[2F1 - PDB 6 - Bread, B2B section]]</f>
        <v>181.56159999998636</v>
      </c>
      <c r="FQ40">
        <f>(CG41-Table2[[#This Row],[9F5 - PDB 14 - Bread Lift]])</f>
        <v>0.56959999998798594</v>
      </c>
      <c r="FR40">
        <f>CJ41-Table2[[#This Row],[PDB - 16 Bread Section]]</f>
        <v>9.9999999999909051E-2</v>
      </c>
      <c r="FS40">
        <f>BU41-Table2[[#This Row],[7F1 Donut Production area]]</f>
        <v>201.40800000005402</v>
      </c>
      <c r="FT40">
        <f>CB41-Table2[[#This Row],[8F5 Donut Ban Bary]]</f>
        <v>44.648000000001048</v>
      </c>
      <c r="FU40">
        <f>CF41-Table2[[#This Row],[9F4 - PDB 13 - Donut Sink Geyser area]]</f>
        <v>25.215999999985797</v>
      </c>
      <c r="FV40">
        <f>BV41-Table2[[#This Row],[7F2 Flour Silo]]</f>
        <v>647.11999999999534</v>
      </c>
      <c r="FW40">
        <f>BY41-Table2[[#This Row],[8F2 ACPDB - 3 SILO Ventilation]]</f>
        <v>48.511999999987893</v>
      </c>
      <c r="FX40">
        <f>J41-Table2[[#This Row],[DG 1010KVA Running Hours]]</f>
        <v>1.5</v>
      </c>
      <c r="FY40">
        <f>K41-Table2[[#This Row],[DG 1010 KVA Meter Reading]]</f>
        <v>512</v>
      </c>
      <c r="FZ40">
        <f>L41-Table2[[#This Row],[GG 1010 KVA Running Hours]]</f>
        <v>1</v>
      </c>
      <c r="GA40">
        <f>M41-Table2[[#This Row],[GG 1010 KVA Meter Reading]]</f>
        <v>0.56000000000000227</v>
      </c>
    </row>
    <row r="41" spans="1:183" x14ac:dyDescent="0.35">
      <c r="A41" s="1">
        <v>51</v>
      </c>
      <c r="B41" s="2">
        <v>46239.397199074076</v>
      </c>
      <c r="C41" s="2">
        <v>46239.457268518519</v>
      </c>
      <c r="D41" s="1" t="s">
        <v>111</v>
      </c>
      <c r="E41" s="1"/>
      <c r="F41" s="1"/>
      <c r="G41" s="3">
        <v>46239</v>
      </c>
      <c r="H41" s="1" t="s">
        <v>186</v>
      </c>
      <c r="I41" s="6">
        <v>6796.8419999999996</v>
      </c>
      <c r="J41" s="6">
        <v>4274.2</v>
      </c>
      <c r="K41" s="6">
        <v>1776873</v>
      </c>
      <c r="L41" s="6">
        <v>454</v>
      </c>
      <c r="M41" s="6">
        <v>191.13</v>
      </c>
      <c r="N41" s="6">
        <v>1869630.56</v>
      </c>
      <c r="O41" s="6">
        <v>4600708.4800000004</v>
      </c>
      <c r="P41" s="6">
        <v>646361.98400000005</v>
      </c>
      <c r="Q41" s="6">
        <v>8094778.2400000002</v>
      </c>
      <c r="R41" s="6">
        <v>5546412.7999999998</v>
      </c>
      <c r="S41" s="6">
        <v>7366694.4000000004</v>
      </c>
      <c r="T41" s="6">
        <v>370483.43599999999</v>
      </c>
      <c r="U41" s="6">
        <v>2105089.7599999998</v>
      </c>
      <c r="V41" s="6">
        <v>5118390.08</v>
      </c>
      <c r="W41" s="6">
        <v>1593.0662</v>
      </c>
      <c r="X41" s="6">
        <v>774375.74399999995</v>
      </c>
      <c r="Y41" s="6">
        <v>1094447.04</v>
      </c>
      <c r="Z41" s="6">
        <v>2777.8894</v>
      </c>
      <c r="AA41" s="6">
        <v>669052.16000000003</v>
      </c>
      <c r="AB41" s="6">
        <v>421297.53600000002</v>
      </c>
      <c r="AC41" s="6">
        <v>2140112.3199999998</v>
      </c>
      <c r="AD41" s="6">
        <v>4050811.96</v>
      </c>
      <c r="AE41" s="6">
        <v>12815.386399999999</v>
      </c>
      <c r="AF41" s="6">
        <v>876041.6</v>
      </c>
      <c r="AG41" s="6">
        <v>1400.2470000000001</v>
      </c>
      <c r="AH41" s="6">
        <v>133568.39199999999</v>
      </c>
      <c r="AI41" s="6">
        <v>14631.1168</v>
      </c>
      <c r="AJ41" s="6">
        <v>145371.05600000001</v>
      </c>
      <c r="AK41" s="6">
        <v>105262.64</v>
      </c>
      <c r="AL41" s="6">
        <v>330684.54399999999</v>
      </c>
      <c r="AM41" s="6">
        <v>992.03300000000002</v>
      </c>
      <c r="AN41" s="6">
        <v>287.60000000000002</v>
      </c>
      <c r="AO41" s="6">
        <v>7.2</v>
      </c>
      <c r="AP41" s="6">
        <v>467276</v>
      </c>
      <c r="AQ41" s="6">
        <v>42329</v>
      </c>
      <c r="AR41" s="6">
        <v>41785</v>
      </c>
      <c r="AS41" s="6">
        <v>32390</v>
      </c>
      <c r="AT41" s="6">
        <v>22105</v>
      </c>
      <c r="AU41" s="6">
        <v>15671</v>
      </c>
      <c r="AV41" s="6">
        <v>6447</v>
      </c>
      <c r="AW41" s="6">
        <v>20.933603999999999</v>
      </c>
      <c r="AX41" s="6">
        <v>7244.2169999999996</v>
      </c>
      <c r="AY41" s="6">
        <v>679.25216</v>
      </c>
      <c r="AZ41" s="6">
        <v>20.788</v>
      </c>
      <c r="BA41" s="6">
        <v>10426</v>
      </c>
      <c r="BB41" s="6">
        <v>44.875999999999998</v>
      </c>
      <c r="BC41" s="6">
        <v>113989.152</v>
      </c>
      <c r="BD41" s="6">
        <v>276064.15999999997</v>
      </c>
      <c r="BE41" s="6">
        <v>3727.9828000000002</v>
      </c>
      <c r="BF41" s="6">
        <v>1712.0419999999999</v>
      </c>
      <c r="BG41" s="6">
        <v>75.084999999999994</v>
      </c>
      <c r="BH41" s="6">
        <v>365.334</v>
      </c>
      <c r="BI41" s="6">
        <v>916.25599999999997</v>
      </c>
      <c r="BJ41" s="6">
        <v>14.742000000000001</v>
      </c>
      <c r="BK41" s="6">
        <v>564.79499999999996</v>
      </c>
      <c r="BL41" s="6">
        <v>73124.953599999993</v>
      </c>
      <c r="BM41" s="6">
        <v>310318.24</v>
      </c>
      <c r="BN41" s="6">
        <v>7196.7864</v>
      </c>
      <c r="BO41" s="6">
        <v>53574.595200000003</v>
      </c>
      <c r="BP41" s="6">
        <v>314579.712</v>
      </c>
      <c r="BQ41" s="6">
        <v>325.815</v>
      </c>
      <c r="BR41" s="6">
        <v>181.447</v>
      </c>
      <c r="BS41" s="6">
        <v>1014306.808</v>
      </c>
      <c r="BT41" s="6">
        <v>1400620.5379999999</v>
      </c>
      <c r="BU41" s="6">
        <v>629756.09600000002</v>
      </c>
      <c r="BV41" s="6">
        <v>1023861.2</v>
      </c>
      <c r="BW41" s="6">
        <v>569236.28799999994</v>
      </c>
      <c r="BX41" s="6">
        <v>1003089.6</v>
      </c>
      <c r="BY41" s="6">
        <v>157891.35999999999</v>
      </c>
      <c r="BZ41" s="6">
        <v>114374.552</v>
      </c>
      <c r="CA41" s="6">
        <v>1244.3384000000001</v>
      </c>
      <c r="CB41" s="6">
        <v>108827.984</v>
      </c>
      <c r="CC41" s="6">
        <v>151167.66399999999</v>
      </c>
      <c r="CD41" s="6">
        <v>447169.31199999998</v>
      </c>
      <c r="CE41" s="6">
        <v>49125.260799999996</v>
      </c>
      <c r="CF41" s="6">
        <v>156020.07999999999</v>
      </c>
      <c r="CG41" s="6">
        <v>360807.71840000001</v>
      </c>
      <c r="CH41" s="6">
        <v>2385.8710000000001</v>
      </c>
      <c r="CI41" s="6">
        <v>214.91800000000001</v>
      </c>
      <c r="CJ41" s="6">
        <v>1191.5</v>
      </c>
      <c r="CK41" s="6">
        <v>78.248999999999995</v>
      </c>
      <c r="CL41" s="6">
        <v>734.92100000000005</v>
      </c>
      <c r="CM41" s="6">
        <v>551.4</v>
      </c>
      <c r="CN41" s="6">
        <v>45697.8</v>
      </c>
      <c r="CO41" s="6">
        <v>1653.58</v>
      </c>
      <c r="CP41" s="6">
        <v>294770.81400000001</v>
      </c>
      <c r="CQ41" s="6">
        <v>3688118.72</v>
      </c>
      <c r="CR41" s="6">
        <v>131485.16</v>
      </c>
      <c r="CS41" s="6">
        <v>515401.02399999998</v>
      </c>
      <c r="CT41" s="6">
        <v>2939149.6609999998</v>
      </c>
      <c r="CU41" s="6">
        <v>299622.17499999999</v>
      </c>
      <c r="CV41" s="6">
        <v>30139.712</v>
      </c>
      <c r="CW41" s="6">
        <v>62978.7264</v>
      </c>
      <c r="CX41" s="6">
        <v>33466.092799999999</v>
      </c>
      <c r="CY41" s="6">
        <v>168376.95999999999</v>
      </c>
      <c r="CZ41" s="6">
        <v>218193.32800000001</v>
      </c>
      <c r="DA41" s="6">
        <v>19042.850000000002</v>
      </c>
      <c r="DB41" s="6">
        <v>150527.29</v>
      </c>
      <c r="DC41" s="6">
        <v>3048.48</v>
      </c>
      <c r="DD41" s="6">
        <v>3048.38</v>
      </c>
      <c r="DE41" s="6">
        <v>3075.6</v>
      </c>
      <c r="DF41" s="6">
        <v>0.99199999999999999</v>
      </c>
      <c r="DG41" s="1" t="s">
        <v>273</v>
      </c>
      <c r="DH41" s="4">
        <f>Table2[[#This Row],[Date]]</f>
        <v>46239</v>
      </c>
      <c r="DI41">
        <f>(DD42-Table2[[#This Row],[MWH Total]])*4000</f>
        <v>25159.999999999854</v>
      </c>
      <c r="DJ41">
        <f>(DA42-Table2[[#This Row],[PNG Meter (Outside)]])*2.936</f>
        <v>235.20295999999104</v>
      </c>
      <c r="DK41">
        <f>(DB42-Table2[[#This Row],[PNG Meter (Inside)]])*2.936</f>
        <v>379.00823999998971</v>
      </c>
      <c r="DL41">
        <f>(BH42-Table2[[#This Row],[3F Dough cooler - 2 ]])*1000</f>
        <v>314.00000000002137</v>
      </c>
      <c r="DM41">
        <f>(BI42-Table2[[#This Row],[3F Dough Cooler- 1]])*1000</f>
        <v>498.00000000004729</v>
      </c>
      <c r="DN41">
        <f>(BJ42-Table2[[#This Row],[4F Dough Production cooling Unit]])*1000</f>
        <v>57.999999999999829</v>
      </c>
      <c r="DO41">
        <f>(BQ42-Table2[[#This Row],[3F2 - PDB 3 - Dough Production Area]])*1000</f>
        <v>242.00000000001864</v>
      </c>
      <c r="DP41">
        <f>(BR42-Table2[[#This Row],[3F3 - PDB 4 - Dough Area]])*1000</f>
        <v>133.00000000000978</v>
      </c>
      <c r="DQ41">
        <f>AC42-Table2[[#This Row],[16F1 Tray washer Panel for Light]]</f>
        <v>754.72000000020489</v>
      </c>
      <c r="DR41">
        <f>CQ42-Table2[[#This Row],[2F1 Tray Washer - 1]]</f>
        <v>1449.9199999999255</v>
      </c>
      <c r="DS41">
        <f>CS42-Table2[[#This Row],[2F5 Destacker]]</f>
        <v>320.54400000005262</v>
      </c>
      <c r="DT41">
        <f>CU42-Table2[[#This Row],[5F1 Metering (TW-2)]]</f>
        <v>223.23200000001816</v>
      </c>
      <c r="DU41">
        <f>CV42-Table2[[#This Row],[6F1 Pre soaker Tray washer]]</f>
        <v>9.6000000012281816E-3</v>
      </c>
      <c r="DV41" s="1">
        <f>CZ42-Table2[[#This Row],[6F5 Vent tray Storage]]</f>
        <v>68.831999999994878</v>
      </c>
      <c r="DW41">
        <f>I42-Table2[[#This Row],[Popeyes Meter ]]</f>
        <v>59.3100000000004</v>
      </c>
      <c r="DX41">
        <f>AZ42-Table2[[#This Row],[2F WH Chiller, Segregation Area]]</f>
        <v>0</v>
      </c>
      <c r="DY41">
        <f>BA42-Table2[[#This Row],[3F1 AC Unit WH dock cooling - 2 Nos]]</f>
        <v>16</v>
      </c>
      <c r="DZ41">
        <f>BB42-Table2[[#This Row],[3F2 AC Unit WH dock cooling - 3 Nos]]</f>
        <v>4.2999999999999261E-2</v>
      </c>
      <c r="EA41">
        <f>(BK42-Table2[[#This Row],[5F WH Perishable]])*1000</f>
        <v>295.00000000007276</v>
      </c>
      <c r="EB41">
        <f>BN42-Table2[[#This Row],[2F3 - PDB 9 - WH Dock Leveler Door ]]</f>
        <v>1.5976000000000568</v>
      </c>
      <c r="EC41">
        <f>BP42-Table2[[#This Row],[3F1 - PDB 5 - WH HSD]]</f>
        <v>127.71199999999953</v>
      </c>
      <c r="ED41">
        <f>BX42-Table2[[#This Row],[8F1 WH Dock AHU - Ventilation]]</f>
        <v>2410</v>
      </c>
      <c r="EE41">
        <f>BZ42-Table2[[#This Row],[8F3 ACPDB - 4 WH Dock air curtain]]</f>
        <v>4.8880000000062864</v>
      </c>
      <c r="EF41">
        <f>CA42-Table2[[#This Row],[8F4 WH Light]]</f>
        <v>2.9999999992469384E-4</v>
      </c>
      <c r="EG41">
        <f>CC42-Table2[[#This Row],[9F1 - PDB 10 - WH Dock door &amp; Office]]</f>
        <v>112.7039999999979</v>
      </c>
      <c r="EH41">
        <f>CD42-Table2[[#This Row],[9F2 - PDB 11 - WH flycatchers]]</f>
        <v>194.91200000001118</v>
      </c>
      <c r="EI41">
        <f>CE42-Table2[[#This Row],[9F3 - PDB 12 - Other items]]</f>
        <v>0</v>
      </c>
      <c r="EJ41">
        <f>CR42-Table2[[#This Row],[2F3 - PDB 1 - Dock 1 to 4 ]]</f>
        <v>63.62400000001071</v>
      </c>
      <c r="EK41">
        <f>BM42-Table2[[#This Row],[2F2 - PDB 3 - WH Truck &amp; Battery Charging]]</f>
        <v>454.40000000002328</v>
      </c>
      <c r="EL41">
        <f>(CK42-Table2[[#This Row],[PDB - 11 Truck Charging]])*1000</f>
        <v>58.000000000006935</v>
      </c>
      <c r="EM41">
        <f>P42-Table2[[#This Row],[5F3 Admin Area]]</f>
        <v>355.71199999994133</v>
      </c>
      <c r="EN41" s="1">
        <f>AH42-Table2[[#This Row],[2F5 Main Gate-1 Piller -1]]</f>
        <v>100</v>
      </c>
      <c r="EO41">
        <f>CW42-Table2[[#This Row],[6F2 Ground Floor AC]]</f>
        <v>18.271999999997206</v>
      </c>
      <c r="EP41">
        <f>CX42-Table2[[#This Row],[6F3 ACBD -1 (First floor AC)]]</f>
        <v>0</v>
      </c>
      <c r="EQ41">
        <f>CY42-Table2[[#This Row],[6F4 ACBD - 2 (Second &amp; Third floor AC)]]</f>
        <v>115.77600000001257</v>
      </c>
      <c r="ER41">
        <f>(BC42-Table2[[#This Row],[4F Old BMC cooling Unit]])</f>
        <v>0</v>
      </c>
      <c r="ES41">
        <f>BO42-Table2[[#This Row],[2F4 - Old BMC]]</f>
        <v>4.1440000000002328</v>
      </c>
      <c r="ET41">
        <f>Y42-Table2[[#This Row],[14F2 New CK]]</f>
        <v>1546.2399999999907</v>
      </c>
      <c r="EU41">
        <f>(CL42-Table2[[#This Row],[OLD Ck Panel-1]])*1000</f>
        <v>736.99999999996635</v>
      </c>
      <c r="EV41">
        <f>CM42-Table2[[#This Row],[2F4 Old CK Blast (Blue star)]]</f>
        <v>0</v>
      </c>
      <c r="EW41">
        <f>CN42-Table2[[#This Row],[3F6 Old CK Blast (Carrier)]]</f>
        <v>593</v>
      </c>
      <c r="EX41">
        <f>(CO42-Table2[[#This Row],[Old CK Panel -2]])*1000</f>
        <v>918.00000000012005</v>
      </c>
      <c r="EY41">
        <f>N42-Table2[[#This Row],[4F1 Main UPS 1/C -1]]</f>
        <v>996.80000000004657</v>
      </c>
      <c r="EZ41">
        <f>Z42-Table2[[#This Row],[15F1 Main UPS Panel - I/C - 2]]</f>
        <v>0</v>
      </c>
      <c r="FA41">
        <f>BF42-Table2[[#This Row],[2F CLC -1 AC unit - 2]]</f>
        <v>0</v>
      </c>
      <c r="FB41">
        <f>(BG42-Table2[[#This Row],[2F CLC Anti room]])*1000</f>
        <v>35.0000000000108</v>
      </c>
      <c r="FC41">
        <f>BW42-Table2[[#This Row],[7F3 CLC Power Panel]]</f>
        <v>290.36800000001676</v>
      </c>
      <c r="FD41">
        <f>(CI42-Table2[[#This Row],[PDB - 17 CLC Section ]])*1000</f>
        <v>187.99999999998818</v>
      </c>
      <c r="FE41">
        <f>(W42-Table2[[#This Row],[13F3 Water &amp; Lift Old CK]])*1000</f>
        <v>457.49999999998181</v>
      </c>
      <c r="FF41">
        <f>AA42-Table2[[#This Row],[15F2 New ETP Panel]]</f>
        <v>275.71199999994133</v>
      </c>
      <c r="FG41">
        <f>AL42-Table2[[#This Row],[3F4 Old ETP Panel]]</f>
        <v>83.488000000012107</v>
      </c>
      <c r="FH41">
        <f>AF42-Table2[[#This Row],[2F1 RO Plant]]</f>
        <v>580.67200000002049</v>
      </c>
      <c r="FI41">
        <f>AK42-Table2[[#This Row],[3F3 Fire Hydrant Panel]]</f>
        <v>11.039999999993597</v>
      </c>
      <c r="FJ41">
        <f>R42-Table2[[#This Row],[7F1 Freon System Panel]]</f>
        <v>5855.3600000003353</v>
      </c>
      <c r="FK41">
        <f>(AE42-Table2[[#This Row],[21F1 Refrigeration Ammonia]])*1000</f>
        <v>7155.2000000010594</v>
      </c>
      <c r="FL41">
        <f>(AG42-Table2[[#This Row],[2F3 Air Compressor]])*1000</f>
        <v>1144.9999999999818</v>
      </c>
      <c r="FM41">
        <f>(AX42-Table2[[#This Row],[Solar Reading Panel II]])*1000</f>
        <v>1509.0000000000146</v>
      </c>
      <c r="FN41">
        <f>AI42-Table2[[#This Row],[3F1 Maintenance Workshop]]</f>
        <v>6.3536000000003696</v>
      </c>
      <c r="FO41">
        <f>BD42-Table2[[#This Row],[4F B2B unit ]]</f>
        <v>66.784000000043306</v>
      </c>
      <c r="FP41">
        <f>BL42-Table2[[#This Row],[2F1 - PDB 6 - Bread, B2B section]]</f>
        <v>179.63520000000426</v>
      </c>
      <c r="FQ41">
        <f>(CG42-Table2[[#This Row],[9F5 - PDB 14 - Bread Lift]])</f>
        <v>0.44479999999748543</v>
      </c>
      <c r="FR41">
        <f>CJ42-Table2[[#This Row],[PDB - 16 Bread Section]]</f>
        <v>0</v>
      </c>
      <c r="FS41">
        <f>BU42-Table2[[#This Row],[7F1 Donut Production area]]</f>
        <v>202.4320000000298</v>
      </c>
      <c r="FT41">
        <f>CB42-Table2[[#This Row],[8F5 Donut Ban Bary]]</f>
        <v>56.927999999999884</v>
      </c>
      <c r="FU41">
        <f>CF42-Table2[[#This Row],[9F4 - PDB 13 - Donut Sink Geyser area]]</f>
        <v>23.104000000021188</v>
      </c>
      <c r="FV41">
        <f>BV42-Table2[[#This Row],[7F2 Flour Silo]]</f>
        <v>679.84000000008382</v>
      </c>
      <c r="FW41">
        <f>BY42-Table2[[#This Row],[8F2 ACPDB - 3 SILO Ventilation]]</f>
        <v>50.224000000016531</v>
      </c>
      <c r="FX41">
        <f>J42-Table2[[#This Row],[DG 1010KVA Running Hours]]</f>
        <v>0.4000000000005457</v>
      </c>
      <c r="FY41">
        <f>K42-Table2[[#This Row],[DG 1010 KVA Meter Reading]]</f>
        <v>149</v>
      </c>
      <c r="FZ41">
        <f>L42-Table2[[#This Row],[GG 1010 KVA Running Hours]]</f>
        <v>0</v>
      </c>
      <c r="GA41">
        <f>M42-Table2[[#This Row],[GG 1010 KVA Meter Reading]]</f>
        <v>0.12000000000000455</v>
      </c>
    </row>
    <row r="42" spans="1:183" x14ac:dyDescent="0.35">
      <c r="A42" s="1">
        <v>52</v>
      </c>
      <c r="B42" s="2">
        <v>46240.427222222221</v>
      </c>
      <c r="C42" s="2">
        <v>46240.469618055555</v>
      </c>
      <c r="D42" s="1" t="s">
        <v>111</v>
      </c>
      <c r="E42" s="1"/>
      <c r="F42" s="1"/>
      <c r="G42" s="3">
        <v>46240</v>
      </c>
      <c r="H42" s="1" t="s">
        <v>186</v>
      </c>
      <c r="I42" s="6">
        <v>6856.152</v>
      </c>
      <c r="J42" s="6">
        <v>4274.6000000000004</v>
      </c>
      <c r="K42" s="6">
        <v>1777022</v>
      </c>
      <c r="L42" s="6">
        <v>454</v>
      </c>
      <c r="M42" s="6">
        <v>191.25</v>
      </c>
      <c r="N42" s="6">
        <v>1870627.36</v>
      </c>
      <c r="O42" s="6">
        <v>4602525.12</v>
      </c>
      <c r="P42" s="6">
        <v>646717.696</v>
      </c>
      <c r="Q42" s="6">
        <v>8097114.8799999999</v>
      </c>
      <c r="R42" s="6">
        <v>5552268.1600000001</v>
      </c>
      <c r="S42" s="6">
        <v>7370200.3200000003</v>
      </c>
      <c r="T42" s="6">
        <v>43226275.839000002</v>
      </c>
      <c r="U42" s="6">
        <v>2106364.96</v>
      </c>
      <c r="V42" s="6">
        <v>5120123.5199999996</v>
      </c>
      <c r="W42" s="6">
        <v>1593.5237</v>
      </c>
      <c r="X42" s="6">
        <v>774602.11199999996</v>
      </c>
      <c r="Y42" s="6">
        <v>1095993.28</v>
      </c>
      <c r="Z42" s="6">
        <v>2777.8894</v>
      </c>
      <c r="AA42" s="6">
        <v>669327.87199999997</v>
      </c>
      <c r="AB42" s="6">
        <v>421308.51199999999</v>
      </c>
      <c r="AC42" s="6">
        <v>2140867.04</v>
      </c>
      <c r="AD42" s="6">
        <v>2672378.2149999999</v>
      </c>
      <c r="AE42" s="6">
        <v>12822.5416</v>
      </c>
      <c r="AF42" s="6">
        <v>876622.272</v>
      </c>
      <c r="AG42" s="6">
        <v>1401.3920000000001</v>
      </c>
      <c r="AH42" s="6">
        <v>133668.39199999999</v>
      </c>
      <c r="AI42" s="6">
        <v>14637.4704</v>
      </c>
      <c r="AJ42" s="6">
        <v>145374.16</v>
      </c>
      <c r="AK42" s="6">
        <v>105273.68</v>
      </c>
      <c r="AL42" s="6">
        <v>330768.03200000001</v>
      </c>
      <c r="AM42" s="6">
        <v>992.81</v>
      </c>
      <c r="AN42" s="6">
        <v>319.60000000000002</v>
      </c>
      <c r="AO42" s="6">
        <v>7.6</v>
      </c>
      <c r="AP42" s="6">
        <v>478037</v>
      </c>
      <c r="AQ42" s="6">
        <v>42329</v>
      </c>
      <c r="AR42" s="6">
        <v>41785</v>
      </c>
      <c r="AS42" s="6">
        <v>32390</v>
      </c>
      <c r="AT42" s="6">
        <v>22105</v>
      </c>
      <c r="AU42" s="6">
        <v>15696</v>
      </c>
      <c r="AV42" s="6">
        <v>6466</v>
      </c>
      <c r="AW42" s="6">
        <v>20.940496</v>
      </c>
      <c r="AX42" s="6">
        <v>7245.7259999999997</v>
      </c>
      <c r="AY42" s="6">
        <v>679.37336000000005</v>
      </c>
      <c r="AZ42" s="6">
        <v>20.788</v>
      </c>
      <c r="BA42" s="6">
        <v>10442</v>
      </c>
      <c r="BB42" s="6">
        <v>44.918999999999997</v>
      </c>
      <c r="BC42" s="6">
        <v>113989.152</v>
      </c>
      <c r="BD42" s="6">
        <v>276130.94400000002</v>
      </c>
      <c r="BE42" s="6">
        <v>3729.2451999999998</v>
      </c>
      <c r="BF42" s="6">
        <v>1712.0419999999999</v>
      </c>
      <c r="BG42" s="6">
        <v>75.12</v>
      </c>
      <c r="BH42" s="6">
        <v>365.64800000000002</v>
      </c>
      <c r="BI42" s="6">
        <v>916.75400000000002</v>
      </c>
      <c r="BJ42" s="6">
        <v>14.8</v>
      </c>
      <c r="BK42" s="6">
        <v>565.09</v>
      </c>
      <c r="BL42" s="6">
        <v>73304.588799999998</v>
      </c>
      <c r="BM42" s="6">
        <v>310772.64</v>
      </c>
      <c r="BN42" s="6">
        <v>7198.384</v>
      </c>
      <c r="BO42" s="6">
        <v>53578.739200000004</v>
      </c>
      <c r="BP42" s="6">
        <v>314707.424</v>
      </c>
      <c r="BQ42" s="6">
        <v>326.05700000000002</v>
      </c>
      <c r="BR42" s="6">
        <v>181.58</v>
      </c>
      <c r="BS42" s="6">
        <v>101550.97</v>
      </c>
      <c r="BT42" s="6">
        <v>1400620.58</v>
      </c>
      <c r="BU42" s="6">
        <v>629958.52800000005</v>
      </c>
      <c r="BV42" s="6">
        <v>1024541.04</v>
      </c>
      <c r="BW42" s="6">
        <v>569526.65599999996</v>
      </c>
      <c r="BX42" s="6">
        <v>1005499.6</v>
      </c>
      <c r="BY42" s="6">
        <v>157941.584</v>
      </c>
      <c r="BZ42" s="6">
        <v>114379.44</v>
      </c>
      <c r="CA42" s="6">
        <v>1244.3387</v>
      </c>
      <c r="CB42" s="6">
        <v>108884.912</v>
      </c>
      <c r="CC42" s="6">
        <v>151280.36799999999</v>
      </c>
      <c r="CD42" s="6">
        <v>447364.22399999999</v>
      </c>
      <c r="CE42" s="6">
        <v>49125.260799999996</v>
      </c>
      <c r="CF42" s="6">
        <v>156043.18400000001</v>
      </c>
      <c r="CG42" s="6">
        <v>360808.16320000001</v>
      </c>
      <c r="CH42" s="6">
        <v>2385.8710000000001</v>
      </c>
      <c r="CI42" s="6">
        <v>215.10599999999999</v>
      </c>
      <c r="CJ42" s="6">
        <v>1191.5</v>
      </c>
      <c r="CK42" s="6">
        <v>78.307000000000002</v>
      </c>
      <c r="CL42" s="6">
        <v>735.65800000000002</v>
      </c>
      <c r="CM42" s="6">
        <v>551.4</v>
      </c>
      <c r="CN42" s="6">
        <v>46290.8</v>
      </c>
      <c r="CO42" s="6">
        <v>1654.498</v>
      </c>
      <c r="CP42" s="6">
        <v>294925.29599999997</v>
      </c>
      <c r="CQ42" s="6">
        <v>3689568.64</v>
      </c>
      <c r="CR42" s="6">
        <v>131548.78400000001</v>
      </c>
      <c r="CS42" s="6">
        <v>515721.56800000003</v>
      </c>
      <c r="CT42" s="6">
        <v>2942730.1919999998</v>
      </c>
      <c r="CU42" s="6">
        <v>299845.40700000001</v>
      </c>
      <c r="CV42" s="6">
        <v>30139.721600000001</v>
      </c>
      <c r="CW42" s="6">
        <v>62996.998399999997</v>
      </c>
      <c r="CX42" s="6">
        <v>33466.092799999999</v>
      </c>
      <c r="CY42" s="6">
        <v>168492.736</v>
      </c>
      <c r="CZ42" s="6">
        <v>218262.16</v>
      </c>
      <c r="DA42" s="6">
        <v>19122.96</v>
      </c>
      <c r="DB42" s="6">
        <v>150656.38</v>
      </c>
      <c r="DC42" s="6">
        <v>3054.78</v>
      </c>
      <c r="DD42" s="6">
        <v>3054.67</v>
      </c>
      <c r="DE42" s="6">
        <v>3082.22</v>
      </c>
      <c r="DF42" s="6">
        <v>0.98699999999999999</v>
      </c>
      <c r="DG42" s="1" t="s">
        <v>279</v>
      </c>
      <c r="DH42" s="4">
        <f>Table2[[#This Row],[Date]]</f>
        <v>46240</v>
      </c>
      <c r="DI42">
        <f>(DD43-Table2[[#This Row],[MWH Total]])*4000</f>
        <v>25760.000000000218</v>
      </c>
      <c r="DJ42">
        <f>(DA43-Table2[[#This Row],[PNG Meter (Outside)]])*2.936</f>
        <v>28.567279999998718</v>
      </c>
      <c r="DK42">
        <f>(DB43-Table2[[#This Row],[PNG Meter (Inside)]])*2.936</f>
        <v>369.0375839999665</v>
      </c>
      <c r="DL42">
        <f>(BH43-Table2[[#This Row],[3F Dough cooler - 2 ]])*1000</f>
        <v>435.99999999997863</v>
      </c>
      <c r="DM42">
        <f>(BI43-Table2[[#This Row],[3F Dough Cooler- 1]])*1000</f>
        <v>471.99999999997999</v>
      </c>
      <c r="DN42">
        <f>(BJ43-Table2[[#This Row],[4F Dough Production cooling Unit]])*1000</f>
        <v>55.999999999999162</v>
      </c>
      <c r="DO42">
        <f>(BQ43-Table2[[#This Row],[3F2 - PDB 3 - Dough Production Area]])*1000</f>
        <v>231.9999999999709</v>
      </c>
      <c r="DP42">
        <f>(BR43-Table2[[#This Row],[3F3 - PDB 4 - Dough Area]])*1000</f>
        <v>131.99999999997658</v>
      </c>
      <c r="DQ42">
        <f>AC43-Table2[[#This Row],[16F1 Tray washer Panel for Light]]</f>
        <v>702.23999999975786</v>
      </c>
      <c r="DR42">
        <f>CQ43-Table2[[#This Row],[2F1 Tray Washer - 1]]</f>
        <v>1463.3599999998696</v>
      </c>
      <c r="DS42">
        <f>CS43-Table2[[#This Row],[2F5 Destacker]]</f>
        <v>252.15999999997439</v>
      </c>
      <c r="DT42">
        <f>CU43-Table2[[#This Row],[5F1 Metering (TW-2)]]</f>
        <v>208.21999999997206</v>
      </c>
      <c r="DU42">
        <f>CV43-Table2[[#This Row],[6F1 Pre soaker Tray washer]]</f>
        <v>6.3999999983934686E-3</v>
      </c>
      <c r="DV42">
        <f>CZ43-Table2[[#This Row],[6F5 Vent tray Storage]]</f>
        <v>48.847999999998137</v>
      </c>
      <c r="DW42">
        <f>I43-Table2[[#This Row],[Popeyes Meter ]]</f>
        <v>36.640000000000327</v>
      </c>
      <c r="DX42">
        <f>AZ43-Table2[[#This Row],[2F WH Chiller, Segregation Area]]</f>
        <v>0</v>
      </c>
      <c r="DY42">
        <f>BA43-Table2[[#This Row],[3F1 AC Unit WH dock cooling - 2 Nos]]</f>
        <v>18</v>
      </c>
      <c r="DZ42">
        <f>BB43-Table2[[#This Row],[3F2 AC Unit WH dock cooling - 3 Nos]]</f>
        <v>3.5000000000003695E-2</v>
      </c>
      <c r="EA42">
        <f>(BK43-Table2[[#This Row],[5F WH Perishable]])*1000</f>
        <v>278.99999999999636</v>
      </c>
      <c r="EB42">
        <f>BN43-Table2[[#This Row],[2F3 - PDB 9 - WH Dock Leveler Door ]]</f>
        <v>1.677599999999984</v>
      </c>
      <c r="EC42">
        <f>BP43-Table2[[#This Row],[3F1 - PDB 5 - WH HSD]]</f>
        <v>125.2160000000149</v>
      </c>
      <c r="ED42">
        <f>BX43-Table2[[#This Row],[8F1 WH Dock AHU - Ventilation]]</f>
        <v>2288.2399999999907</v>
      </c>
      <c r="EE42">
        <f>BZ43-Table2[[#This Row],[8F3 ACPDB - 4 WH Dock air curtain]]</f>
        <v>3.3040000000037253</v>
      </c>
      <c r="EF42">
        <f>CA43-Table2[[#This Row],[8F4 WH Light]]</f>
        <v>3.9999999989959178E-4</v>
      </c>
      <c r="EG42">
        <f>CC43-Table2[[#This Row],[9F1 - PDB 10 - WH Dock door &amp; Office]]</f>
        <v>90.544000000023516</v>
      </c>
      <c r="EH42">
        <f>CD43-Table2[[#This Row],[9F2 - PDB 11 - WH flycatchers]]</f>
        <v>204.22399999998743</v>
      </c>
      <c r="EI42">
        <f>CE43-Table2[[#This Row],[9F3 - PDB 12 - Other items]]</f>
        <v>0</v>
      </c>
      <c r="EJ42">
        <f>CR43-Table2[[#This Row],[2F3 - PDB 1 - Dock 1 to 4 ]]</f>
        <v>55.495999999984633</v>
      </c>
      <c r="EK42">
        <f>BM43-Table2[[#This Row],[2F2 - PDB 3 - WH Truck &amp; Battery Charging]]</f>
        <v>339.67999999999302</v>
      </c>
      <c r="EL42">
        <f>(CK43-Table2[[#This Row],[PDB - 11 Truck Charging]])*1000</f>
        <v>51.999999999992497</v>
      </c>
      <c r="EM42">
        <f>P43-Table2[[#This Row],[5F3 Admin Area]]</f>
        <v>347.00800000003073</v>
      </c>
      <c r="EN42">
        <f>AH43-Table2[[#This Row],[2F5 Main Gate-1 Piller -1]]</f>
        <v>78.392000000021653</v>
      </c>
      <c r="EO42">
        <f>CW43-Table2[[#This Row],[6F2 Ground Floor AC]]</f>
        <v>18.899199999999837</v>
      </c>
      <c r="EP42">
        <f>CX43-Table2[[#This Row],[6F3 ACBD -1 (First floor AC)]]</f>
        <v>0</v>
      </c>
      <c r="EQ42">
        <f>CY43-Table2[[#This Row],[6F4 ACBD - 2 (Second &amp; Third floor AC)]]</f>
        <v>118.32000000000698</v>
      </c>
      <c r="ER42">
        <f>(BC43-Table2[[#This Row],[4F Old BMC cooling Unit]])</f>
        <v>0</v>
      </c>
      <c r="ES42">
        <f>BO43-Table2[[#This Row],[2F4 - Old BMC]]</f>
        <v>3.9487999999983003</v>
      </c>
      <c r="ET42">
        <f>Y43-Table2[[#This Row],[14F2 New CK]]</f>
        <v>1431.1999999999534</v>
      </c>
      <c r="EU42">
        <f>(CL43-Table2[[#This Row],[OLD Ck Panel-1]])*1000</f>
        <v>683.99999999996908</v>
      </c>
      <c r="EV42">
        <f>CM43-Table2[[#This Row],[2F4 Old CK Blast (Blue star)]]</f>
        <v>0</v>
      </c>
      <c r="EW42">
        <f>CN43-Table2[[#This Row],[3F6 Old CK Blast (Carrier)]]</f>
        <v>555.5</v>
      </c>
      <c r="EX42">
        <f>(CO43-Table2[[#This Row],[Old CK Panel -2]])*1000</f>
        <v>782.99999999990177</v>
      </c>
      <c r="EY42">
        <f>N43-Table2[[#This Row],[4F1 Main UPS 1/C -1]]</f>
        <v>940.31999999983236</v>
      </c>
      <c r="EZ42">
        <f>Z43-Table2[[#This Row],[15F1 Main UPS Panel - I/C - 2]]</f>
        <v>0</v>
      </c>
      <c r="FA42">
        <f>BF43-Table2[[#This Row],[2F CLC -1 AC unit - 2]]</f>
        <v>0</v>
      </c>
      <c r="FB42">
        <f>(BG43-Table2[[#This Row],[2F CLC Anti room]])*1000</f>
        <v>33.000000000001251</v>
      </c>
      <c r="FC42">
        <f>BW43-Table2[[#This Row],[7F3 CLC Power Panel]]</f>
        <v>315.32800000009593</v>
      </c>
      <c r="FD42">
        <f>(CI43-Table2[[#This Row],[PDB - 17 CLC Section ]])*1000</f>
        <v>212.99999999999386</v>
      </c>
      <c r="FE42">
        <f>(W43-Table2[[#This Row],[13F3 Water &amp; Lift Old CK]])*1000</f>
        <v>927.00000000013461</v>
      </c>
      <c r="FF42">
        <f>AA43-Table2[[#This Row],[15F2 New ETP Panel]]</f>
        <v>264.57600000000093</v>
      </c>
      <c r="FG42">
        <f>AL43-Table2[[#This Row],[3F4 Old ETP Panel]]</f>
        <v>66.912000000011176</v>
      </c>
      <c r="FH42">
        <f>AF43-Table2[[#This Row],[2F1 RO Plant]]</f>
        <v>562.23999999999069</v>
      </c>
      <c r="FI42">
        <f>AK43-Table2[[#This Row],[3F3 Fire Hydrant Panel]]</f>
        <v>10.440000000002328</v>
      </c>
      <c r="FJ42">
        <f>R43-Table2[[#This Row],[7F1 Freon System Panel]]</f>
        <v>5639.0400000000373</v>
      </c>
      <c r="FK42">
        <f>(AE43-Table2[[#This Row],[21F1 Refrigeration Ammonia]])*1000</f>
        <v>6089.5999999993364</v>
      </c>
      <c r="FL42">
        <f>(AG43-Table2[[#This Row],[2F3 Air Compressor]])*1000</f>
        <v>1231.9999999999709</v>
      </c>
      <c r="FM42">
        <f>(AX43-Table2[[#This Row],[Solar Reading Panel II]])*1000</f>
        <v>883.00000000072032</v>
      </c>
      <c r="FN42">
        <f>AI43-Table2[[#This Row],[3F1 Maintenance Workshop]]</f>
        <v>4.3600000000005821</v>
      </c>
      <c r="FO42">
        <f>BD43-Table2[[#This Row],[4F B2B unit ]]</f>
        <v>56.479999999981374</v>
      </c>
      <c r="FP42">
        <f>BL43-Table2[[#This Row],[2F1 - PDB 6 - Bread, B2B section]]</f>
        <v>163.80160000000615</v>
      </c>
      <c r="FQ42" s="1">
        <f>(CG43-Table2[[#This Row],[9F5 - PDB 14 - Bread Lift]])</f>
        <v>79.964800000016112</v>
      </c>
      <c r="FR42">
        <f>CJ43-Table2[[#This Row],[PDB - 16 Bread Section]]</f>
        <v>9.9999999999909051E-2</v>
      </c>
      <c r="FS42">
        <f>BU43-Table2[[#This Row],[7F1 Donut Production area]]</f>
        <v>200.76799999992363</v>
      </c>
      <c r="FT42">
        <f>CB43-Table2[[#This Row],[8F5 Donut Ban Bary]]</f>
        <v>41.01600000000326</v>
      </c>
      <c r="FU42">
        <f>CF43-Table2[[#This Row],[9F4 - PDB 13 - Donut Sink Geyser area]]</f>
        <v>28.175999999977648</v>
      </c>
      <c r="FV42">
        <f>BV43-Table2[[#This Row],[7F2 Flour Silo]]</f>
        <v>507.11999999999534</v>
      </c>
      <c r="FW42">
        <f>BY43-Table2[[#This Row],[8F2 ACPDB - 3 SILO Ventilation]]</f>
        <v>47.919999999983702</v>
      </c>
      <c r="FX42">
        <f>J43-Table2[[#This Row],[DG 1010KVA Running Hours]]</f>
        <v>0.1999999999998181</v>
      </c>
      <c r="FY42">
        <f>K43-Table2[[#This Row],[DG 1010 KVA Meter Reading]]</f>
        <v>78</v>
      </c>
      <c r="FZ42">
        <f>L43-Table2[[#This Row],[GG 1010 KVA Running Hours]]</f>
        <v>0</v>
      </c>
      <c r="GA42">
        <f>M43-Table2[[#This Row],[GG 1010 KVA Meter Reading]]</f>
        <v>3.0000000000001137E-2</v>
      </c>
    </row>
    <row r="43" spans="1:183" x14ac:dyDescent="0.35">
      <c r="A43" s="1">
        <v>53</v>
      </c>
      <c r="B43" s="2">
        <v>46241.401805555557</v>
      </c>
      <c r="C43" s="2">
        <v>46241.444965277777</v>
      </c>
      <c r="D43" s="1" t="s">
        <v>111</v>
      </c>
      <c r="E43" s="1"/>
      <c r="F43" s="1"/>
      <c r="G43" s="3">
        <v>46241</v>
      </c>
      <c r="H43" s="1" t="s">
        <v>186</v>
      </c>
      <c r="I43" s="6">
        <v>6892.7920000000004</v>
      </c>
      <c r="J43" s="6">
        <v>4274.8</v>
      </c>
      <c r="K43" s="6">
        <v>1777100</v>
      </c>
      <c r="L43" s="6">
        <v>454</v>
      </c>
      <c r="M43" s="6">
        <v>191.28</v>
      </c>
      <c r="N43" s="6">
        <v>1871567.68</v>
      </c>
      <c r="O43" s="6">
        <v>4604417.5999999996</v>
      </c>
      <c r="P43" s="6">
        <v>647064.70400000003</v>
      </c>
      <c r="Q43" s="6">
        <v>8099036.7999999998</v>
      </c>
      <c r="R43" s="6">
        <v>5557907.2000000002</v>
      </c>
      <c r="S43" s="6">
        <v>7373492.4800000004</v>
      </c>
      <c r="T43" s="6">
        <v>43240868.734999999</v>
      </c>
      <c r="U43" s="6">
        <v>2107465.44</v>
      </c>
      <c r="V43" s="6">
        <v>5121930.88</v>
      </c>
      <c r="W43" s="6">
        <v>1594.4507000000001</v>
      </c>
      <c r="X43" s="6">
        <v>774810.56</v>
      </c>
      <c r="Y43" s="6">
        <v>1097424.48</v>
      </c>
      <c r="Z43" s="6">
        <v>2777.8894</v>
      </c>
      <c r="AA43" s="6">
        <v>669592.44799999997</v>
      </c>
      <c r="AB43" s="6">
        <v>421319.07199999999</v>
      </c>
      <c r="AC43" s="6">
        <v>2141569.2799999998</v>
      </c>
      <c r="AD43" s="6">
        <v>4076326.523</v>
      </c>
      <c r="AE43" s="6">
        <v>12828.6312</v>
      </c>
      <c r="AF43" s="6">
        <v>877184.51199999999</v>
      </c>
      <c r="AG43" s="6">
        <v>1402.624</v>
      </c>
      <c r="AH43" s="6">
        <v>133746.78400000001</v>
      </c>
      <c r="AI43" s="6">
        <v>14641.830400000001</v>
      </c>
      <c r="AJ43" s="6">
        <v>145374.52799999999</v>
      </c>
      <c r="AK43" s="6">
        <v>105284.12</v>
      </c>
      <c r="AL43" s="6">
        <v>330834.94400000002</v>
      </c>
      <c r="AM43" s="6">
        <v>993.42700000000002</v>
      </c>
      <c r="AN43" s="6">
        <v>337</v>
      </c>
      <c r="AO43" s="6">
        <v>7.7</v>
      </c>
      <c r="AP43" s="6">
        <v>487903</v>
      </c>
      <c r="AQ43" s="6">
        <v>42349</v>
      </c>
      <c r="AR43" s="6">
        <v>41804</v>
      </c>
      <c r="AS43" s="6">
        <v>32390</v>
      </c>
      <c r="AT43" s="6">
        <v>22106</v>
      </c>
      <c r="AU43" s="6">
        <v>15719</v>
      </c>
      <c r="AV43" s="6">
        <v>6479</v>
      </c>
      <c r="AW43" s="6">
        <v>20.946397999999999</v>
      </c>
      <c r="AX43" s="6">
        <v>7246.6090000000004</v>
      </c>
      <c r="AY43" s="6">
        <v>679.48599999999999</v>
      </c>
      <c r="AZ43" s="6">
        <v>20.788</v>
      </c>
      <c r="BA43" s="6">
        <v>10460</v>
      </c>
      <c r="BB43" s="6">
        <v>44.954000000000001</v>
      </c>
      <c r="BC43" s="6">
        <v>113989.152</v>
      </c>
      <c r="BD43" s="6">
        <v>276187.424</v>
      </c>
      <c r="BE43" s="6">
        <v>3730.5796</v>
      </c>
      <c r="BF43" s="6">
        <v>1712.0419999999999</v>
      </c>
      <c r="BG43" s="6">
        <v>75.153000000000006</v>
      </c>
      <c r="BH43" s="6">
        <v>366.084</v>
      </c>
      <c r="BI43" s="6">
        <v>917.226</v>
      </c>
      <c r="BJ43" s="6">
        <v>14.856</v>
      </c>
      <c r="BK43" s="6">
        <v>565.36900000000003</v>
      </c>
      <c r="BL43" s="6">
        <v>73468.390400000004</v>
      </c>
      <c r="BM43" s="6">
        <v>311112.32000000001</v>
      </c>
      <c r="BN43" s="6">
        <v>7200.0616</v>
      </c>
      <c r="BO43" s="6">
        <v>53582.688000000002</v>
      </c>
      <c r="BP43" s="6">
        <v>314832.64000000001</v>
      </c>
      <c r="BQ43" s="6">
        <v>326.28899999999999</v>
      </c>
      <c r="BR43" s="6">
        <v>181.71199999999999</v>
      </c>
      <c r="BS43" s="6">
        <v>1016634.1</v>
      </c>
      <c r="BT43" s="6">
        <v>1400620.737</v>
      </c>
      <c r="BU43" s="6">
        <v>630159.29599999997</v>
      </c>
      <c r="BV43" s="6">
        <v>1025048.16</v>
      </c>
      <c r="BW43" s="6">
        <v>569841.98400000005</v>
      </c>
      <c r="BX43" s="6">
        <v>1007787.84</v>
      </c>
      <c r="BY43" s="6">
        <v>157989.50399999999</v>
      </c>
      <c r="BZ43" s="6">
        <v>114382.74400000001</v>
      </c>
      <c r="CA43" s="6">
        <v>1244.3390999999999</v>
      </c>
      <c r="CB43" s="6">
        <v>108925.928</v>
      </c>
      <c r="CC43" s="6">
        <v>151370.91200000001</v>
      </c>
      <c r="CD43" s="6">
        <v>447568.44799999997</v>
      </c>
      <c r="CE43" s="6">
        <v>49125.260799999996</v>
      </c>
      <c r="CF43" s="6">
        <v>156071.35999999999</v>
      </c>
      <c r="CG43" s="6">
        <v>360888.12800000003</v>
      </c>
      <c r="CH43" s="6">
        <v>2385.8710000000001</v>
      </c>
      <c r="CI43" s="6">
        <v>215.31899999999999</v>
      </c>
      <c r="CJ43" s="6">
        <v>1191.5999999999999</v>
      </c>
      <c r="CK43" s="6">
        <v>78.358999999999995</v>
      </c>
      <c r="CL43" s="6">
        <v>736.34199999999998</v>
      </c>
      <c r="CM43" s="6">
        <v>551.4</v>
      </c>
      <c r="CN43" s="6">
        <v>46846.3</v>
      </c>
      <c r="CO43" s="6">
        <v>1655.2809999999999</v>
      </c>
      <c r="CP43" s="6">
        <v>295074.49099999998</v>
      </c>
      <c r="CQ43" s="6">
        <v>3691032</v>
      </c>
      <c r="CR43" s="6">
        <v>131604.28</v>
      </c>
      <c r="CS43" s="6">
        <v>515973.728</v>
      </c>
      <c r="CT43" s="6">
        <v>2946102.2859999998</v>
      </c>
      <c r="CU43" s="6">
        <v>300053.62699999998</v>
      </c>
      <c r="CV43" s="6">
        <v>30139.727999999999</v>
      </c>
      <c r="CW43" s="6">
        <v>63015.897599999997</v>
      </c>
      <c r="CX43" s="6">
        <v>33466.092799999999</v>
      </c>
      <c r="CY43" s="6">
        <v>168611.05600000001</v>
      </c>
      <c r="CZ43" s="6">
        <v>218311.008</v>
      </c>
      <c r="DA43" s="6">
        <v>19132.689999999999</v>
      </c>
      <c r="DB43" s="6">
        <v>150782.07399999999</v>
      </c>
      <c r="DC43" s="6">
        <v>3061.24</v>
      </c>
      <c r="DD43" s="6">
        <v>3061.11</v>
      </c>
      <c r="DE43" s="6">
        <v>3088.84</v>
      </c>
      <c r="DF43" s="6">
        <v>0.97399999999999998</v>
      </c>
      <c r="DG43" s="1" t="s">
        <v>280</v>
      </c>
      <c r="DH43" s="4">
        <f>Table2[[#This Row],[Date]]</f>
        <v>46241</v>
      </c>
      <c r="DI43">
        <f>(DD44-Table2[[#This Row],[MWH Total]])*4000</f>
        <v>26559.999999999491</v>
      </c>
      <c r="DJ43">
        <f>(DA44-Table2[[#This Row],[PNG Meter (Outside)]])*2.936</f>
        <v>16.676480000000854</v>
      </c>
      <c r="DK43">
        <f>(DB44-Table2[[#This Row],[PNG Meter (Inside)]])*2.936</f>
        <v>438.60904000004103</v>
      </c>
      <c r="DL43">
        <f>(BH44-Table2[[#This Row],[3F Dough cooler - 2 ]])*1000</f>
        <v>445.99999999996953</v>
      </c>
      <c r="DM43">
        <f>(BI44-Table2[[#This Row],[3F Dough Cooler- 1]])*1000</f>
        <v>481.9999999999709</v>
      </c>
      <c r="DN43">
        <f>(BJ44-Table2[[#This Row],[4F Dough Production cooling Unit]])*1000</f>
        <v>57.000000000000384</v>
      </c>
      <c r="DO43">
        <f>(BQ44-Table2[[#This Row],[3F2 - PDB 3 - Dough Production Area]])*1000</f>
        <v>197.00000000000273</v>
      </c>
      <c r="DP43">
        <f>(BR44-Table2[[#This Row],[3F3 - PDB 4 - Dough Area]])*1000</f>
        <v>116.00000000001387</v>
      </c>
      <c r="DQ43">
        <f>AC44-Table2[[#This Row],[16F1 Tray washer Panel for Light]]</f>
        <v>745.44000000040978</v>
      </c>
      <c r="DR43">
        <f>CQ44-Table2[[#This Row],[2F1 Tray Washer - 1]]</f>
        <v>1303.3599999998696</v>
      </c>
      <c r="DS43">
        <f>CS44-Table2[[#This Row],[2F5 Destacker]]</f>
        <v>254.7839999999851</v>
      </c>
      <c r="DT43">
        <f>CU44-Table2[[#This Row],[5F1 Metering (TW-2)]]</f>
        <v>224.56800000002841</v>
      </c>
      <c r="DU43">
        <f>CV44-Table2[[#This Row],[6F1 Pre soaker Tray washer]]</f>
        <v>0</v>
      </c>
      <c r="DV43">
        <f>CZ44-Table2[[#This Row],[6F5 Vent tray Storage]]</f>
        <v>60.063999999983935</v>
      </c>
      <c r="DW43">
        <f>I44-Table2[[#This Row],[Popeyes Meter ]]</f>
        <v>39.489999999999782</v>
      </c>
      <c r="DX43">
        <f>AZ44-Table2[[#This Row],[2F WH Chiller, Segregation Area]]</f>
        <v>0</v>
      </c>
      <c r="DY43">
        <f>BA44-Table2[[#This Row],[3F1 AC Unit WH dock cooling - 2 Nos]]</f>
        <v>20</v>
      </c>
      <c r="DZ43">
        <f>BB44-Table2[[#This Row],[3F2 AC Unit WH dock cooling - 3 Nos]]</f>
        <v>3.6000000000001364E-2</v>
      </c>
      <c r="EA43">
        <f>(BK44-Table2[[#This Row],[5F WH Perishable]])*1000</f>
        <v>278.99999999999636</v>
      </c>
      <c r="EB43">
        <f>BN44-Table2[[#This Row],[2F3 - PDB 9 - WH Dock Leveler Door ]]</f>
        <v>4.1791999999995824</v>
      </c>
      <c r="EC43">
        <f>BP44-Table2[[#This Row],[3F1 - PDB 5 - WH HSD]]</f>
        <v>105.69599999999627</v>
      </c>
      <c r="ED43">
        <f>BX44-Table2[[#This Row],[8F1 WH Dock AHU - Ventilation]]</f>
        <v>2313.359999999986</v>
      </c>
      <c r="EE43">
        <f>BZ44-Table2[[#This Row],[8F3 ACPDB - 4 WH Dock air curtain]]</f>
        <v>19.639999999999418</v>
      </c>
      <c r="EF43">
        <f>CA44-Table2[[#This Row],[8F4 WH Light]]</f>
        <v>0</v>
      </c>
      <c r="EG43">
        <f>CC44-Table2[[#This Row],[9F1 - PDB 10 - WH Dock door &amp; Office]]</f>
        <v>60.543999999994412</v>
      </c>
      <c r="EH43">
        <f>CD44-Table2[[#This Row],[9F2 - PDB 11 - WH flycatchers]]</f>
        <v>103.26400000002468</v>
      </c>
      <c r="EI43">
        <f>CE44-Table2[[#This Row],[9F3 - PDB 12 - Other items]]</f>
        <v>0.76160000000527361</v>
      </c>
      <c r="EJ43">
        <f>CR44-Table2[[#This Row],[2F3 - PDB 1 - Dock 1 to 4 ]]</f>
        <v>58.880000000004657</v>
      </c>
      <c r="EK43">
        <f>BM44-Table2[[#This Row],[2F2 - PDB 3 - WH Truck &amp; Battery Charging]]</f>
        <v>227.8399999999674</v>
      </c>
      <c r="EL43">
        <f>(CK44-Table2[[#This Row],[PDB - 11 Truck Charging]])*1000</f>
        <v>17.000000000010118</v>
      </c>
      <c r="EM43">
        <f>P44-Table2[[#This Row],[5F3 Admin Area]]</f>
        <v>367.48800000001211</v>
      </c>
      <c r="EN43">
        <f>AH44-Table2[[#This Row],[2F5 Main Gate-1 Piller -1]]</f>
        <v>78.639999999984866</v>
      </c>
      <c r="EO43">
        <f>CW44-Table2[[#This Row],[6F2 Ground Floor AC]]</f>
        <v>23.987200000003213</v>
      </c>
      <c r="EP43">
        <f>CX44-Table2[[#This Row],[6F3 ACBD -1 (First floor AC)]]</f>
        <v>0</v>
      </c>
      <c r="EQ43">
        <f>CY44-Table2[[#This Row],[6F4 ACBD - 2 (Second &amp; Third floor AC)]]</f>
        <v>115.2960000000021</v>
      </c>
      <c r="ER43">
        <f>(BC44-Table2[[#This Row],[4F Old BMC cooling Unit]])</f>
        <v>0</v>
      </c>
      <c r="ES43">
        <f>BO44-Table2[[#This Row],[2F4 - Old BMC]]</f>
        <v>4.7583999999988009</v>
      </c>
      <c r="ET43">
        <f>Y44-Table2[[#This Row],[14F2 New CK]]</f>
        <v>1413.3600000001024</v>
      </c>
      <c r="EU43">
        <f>(CL44-Table2[[#This Row],[OLD Ck Panel-1]])*1000</f>
        <v>682.00000000001637</v>
      </c>
      <c r="EV43">
        <f>CM44-Table2[[#This Row],[2F4 Old CK Blast (Blue star)]]</f>
        <v>0</v>
      </c>
      <c r="EW43">
        <f>CN44-Table2[[#This Row],[3F6 Old CK Blast (Carrier)]]</f>
        <v>567</v>
      </c>
      <c r="EX43">
        <f>(CO44-Table2[[#This Row],[Old CK Panel -2]])*1000</f>
        <v>899.0000000001146</v>
      </c>
      <c r="EY43">
        <f>N44-Table2[[#This Row],[4F1 Main UPS 1/C -1]]</f>
        <v>967.19999999995343</v>
      </c>
      <c r="EZ43">
        <f>Z44-Table2[[#This Row],[15F1 Main UPS Panel - I/C - 2]]</f>
        <v>0</v>
      </c>
      <c r="FA43">
        <f>BF44-Table2[[#This Row],[2F CLC -1 AC unit - 2]]</f>
        <v>0</v>
      </c>
      <c r="FB43">
        <f>(BG44-Table2[[#This Row],[2F CLC Anti room]])*1000</f>
        <v>33.999999999991815</v>
      </c>
      <c r="FC43">
        <f>BW44-Table2[[#This Row],[7F3 CLC Power Panel]]</f>
        <v>267.07199999992736</v>
      </c>
      <c r="FD43">
        <f>(CI44-Table2[[#This Row],[PDB - 17 CLC Section ]])*1000</f>
        <v>168.00000000000637</v>
      </c>
      <c r="FE43">
        <f>(W44-Table2[[#This Row],[13F3 Water &amp; Lift Old CK]])*1000</f>
        <v>919.99999999984539</v>
      </c>
      <c r="FF43">
        <f>AA44-Table2[[#This Row],[15F2 New ETP Panel]]</f>
        <v>273.92000000004191</v>
      </c>
      <c r="FG43">
        <f>AL44-Table2[[#This Row],[3F4 Old ETP Panel]]</f>
        <v>74.048000000009779</v>
      </c>
      <c r="FH43">
        <f>AF44-Table2[[#This Row],[2F1 RO Plant]]</f>
        <v>571.32799999997951</v>
      </c>
      <c r="FI43">
        <f>AK44-Table2[[#This Row],[3F3 Fire Hydrant Panel]]</f>
        <v>10.680000000007567</v>
      </c>
      <c r="FJ43">
        <f>R44-Table2[[#This Row],[7F1 Freon System Panel]]</f>
        <v>6190.7199999997392</v>
      </c>
      <c r="FK43">
        <f>(AE44-Table2[[#This Row],[21F1 Refrigeration Ammonia]])*1000</f>
        <v>5926.4000000002852</v>
      </c>
      <c r="FL43">
        <f>(AG44-Table2[[#This Row],[2F3 Air Compressor]])*1000</f>
        <v>1249.0000000000236</v>
      </c>
      <c r="FM43">
        <f>(AX44-Table2[[#This Row],[Solar Reading Panel II]])*1000</f>
        <v>944.99999999970896</v>
      </c>
      <c r="FN43">
        <f>AI44-Table2[[#This Row],[3F1 Maintenance Workshop]]</f>
        <v>5.3663999999989755</v>
      </c>
      <c r="FO43">
        <f>BD44-Table2[[#This Row],[4F B2B unit ]]</f>
        <v>61.887999999977183</v>
      </c>
      <c r="FP43">
        <f>BL44-Table2[[#This Row],[2F1 - PDB 6 - Bread, B2B section]]</f>
        <v>234.30399999998917</v>
      </c>
      <c r="FQ43">
        <f>(CG44-Table2[[#This Row],[9F5 - PDB 14 - Bread Lift]])</f>
        <v>5.5679999999701977</v>
      </c>
      <c r="FR43">
        <f>CJ44-Table2[[#This Row],[PDB - 16 Bread Section]]</f>
        <v>0</v>
      </c>
      <c r="FS43">
        <f>BU44-Table2[[#This Row],[7F1 Donut Production area]]</f>
        <v>186.4320000000298</v>
      </c>
      <c r="FT43">
        <f>CB44-Table2[[#This Row],[8F5 Donut Ban Bary]]</f>
        <v>52.495999999999185</v>
      </c>
      <c r="FU43">
        <f>CF44-Table2[[#This Row],[9F4 - PDB 13 - Donut Sink Geyser area]]</f>
        <v>21.600000000005821</v>
      </c>
      <c r="FV43">
        <f>BV44-Table2[[#This Row],[7F2 Flour Silo]]</f>
        <v>679.67999999993481</v>
      </c>
      <c r="FW43">
        <f>BY44-Table2[[#This Row],[8F2 ACPDB - 3 SILO Ventilation]]</f>
        <v>43.808000000019092</v>
      </c>
      <c r="FX43">
        <f>J44-Table2[[#This Row],[DG 1010KVA Running Hours]]</f>
        <v>0</v>
      </c>
      <c r="FY43">
        <f>K44-Table2[[#This Row],[DG 1010 KVA Meter Reading]]</f>
        <v>0</v>
      </c>
      <c r="FZ43">
        <f>L44-Table2[[#This Row],[GG 1010 KVA Running Hours]]</f>
        <v>0</v>
      </c>
      <c r="GA43">
        <f>M44-Table2[[#This Row],[GG 1010 KVA Meter Reading]]</f>
        <v>0</v>
      </c>
    </row>
    <row r="44" spans="1:183" x14ac:dyDescent="0.35">
      <c r="A44" s="1">
        <v>54</v>
      </c>
      <c r="B44" s="2">
        <v>46242.392696759256</v>
      </c>
      <c r="C44" s="2">
        <v>46242.434050925927</v>
      </c>
      <c r="D44" s="1" t="s">
        <v>111</v>
      </c>
      <c r="E44" s="1"/>
      <c r="F44" s="1"/>
      <c r="G44" s="3">
        <v>46242</v>
      </c>
      <c r="H44" s="1" t="s">
        <v>186</v>
      </c>
      <c r="I44" s="6">
        <v>6932.2820000000002</v>
      </c>
      <c r="J44" s="6">
        <v>4274.8</v>
      </c>
      <c r="K44" s="6">
        <v>1777100</v>
      </c>
      <c r="L44" s="6">
        <v>454</v>
      </c>
      <c r="M44" s="6">
        <v>191.28</v>
      </c>
      <c r="N44" s="6">
        <v>1872534.88</v>
      </c>
      <c r="O44" s="6">
        <v>4606378.5599999996</v>
      </c>
      <c r="P44" s="6">
        <v>647432.19200000004</v>
      </c>
      <c r="Q44" s="6">
        <v>8101157.1200000001</v>
      </c>
      <c r="R44" s="6">
        <v>5564097.9199999999</v>
      </c>
      <c r="S44" s="6">
        <v>7376673.9199999999</v>
      </c>
      <c r="T44" s="6">
        <v>42809081.963</v>
      </c>
      <c r="U44" s="6">
        <v>2108467.2000000002</v>
      </c>
      <c r="V44" s="6">
        <v>5123766.4000000004</v>
      </c>
      <c r="W44" s="6">
        <v>1595.3706999999999</v>
      </c>
      <c r="X44" s="6">
        <v>775034.304</v>
      </c>
      <c r="Y44" s="6">
        <v>1098837.8400000001</v>
      </c>
      <c r="Z44" s="6">
        <v>2777.8894</v>
      </c>
      <c r="AA44" s="6">
        <v>669866.36800000002</v>
      </c>
      <c r="AB44" s="6">
        <v>421329.85600000003</v>
      </c>
      <c r="AC44" s="6">
        <v>2142314.7200000002</v>
      </c>
      <c r="AD44" s="6">
        <v>2689039.625</v>
      </c>
      <c r="AE44" s="6">
        <v>12834.5576</v>
      </c>
      <c r="AF44" s="6">
        <v>877755.84</v>
      </c>
      <c r="AG44" s="6">
        <v>1403.873</v>
      </c>
      <c r="AH44" s="6">
        <v>133825.424</v>
      </c>
      <c r="AI44" s="6">
        <v>14647.1968</v>
      </c>
      <c r="AJ44" s="6">
        <v>145375.264</v>
      </c>
      <c r="AK44" s="6">
        <v>105294.8</v>
      </c>
      <c r="AL44" s="6">
        <v>330908.99200000003</v>
      </c>
      <c r="AM44" s="6">
        <v>994.10799999999995</v>
      </c>
      <c r="AN44" s="6">
        <v>166.1</v>
      </c>
      <c r="AO44" s="6">
        <v>6.7</v>
      </c>
      <c r="AP44" s="6">
        <v>498254</v>
      </c>
      <c r="AQ44" s="6">
        <v>42366</v>
      </c>
      <c r="AR44" s="6">
        <v>41821</v>
      </c>
      <c r="AS44" s="6">
        <v>32390</v>
      </c>
      <c r="AT44" s="6">
        <v>22106</v>
      </c>
      <c r="AU44" s="6">
        <v>15742</v>
      </c>
      <c r="AV44" s="6">
        <v>6493</v>
      </c>
      <c r="AW44" s="6">
        <v>20.952145999999999</v>
      </c>
      <c r="AX44" s="6">
        <v>7247.5540000000001</v>
      </c>
      <c r="AY44" s="6">
        <v>679.60320000000002</v>
      </c>
      <c r="AZ44" s="6">
        <v>20.788</v>
      </c>
      <c r="BA44" s="6">
        <v>10480</v>
      </c>
      <c r="BB44" s="6">
        <v>44.99</v>
      </c>
      <c r="BC44" s="6">
        <v>113989.152</v>
      </c>
      <c r="BD44" s="6">
        <v>276249.31199999998</v>
      </c>
      <c r="BE44" s="6">
        <v>3731.93</v>
      </c>
      <c r="BF44" s="6">
        <v>1712.0419999999999</v>
      </c>
      <c r="BG44" s="6">
        <v>75.186999999999998</v>
      </c>
      <c r="BH44" s="6">
        <v>366.53</v>
      </c>
      <c r="BI44" s="6">
        <v>917.70799999999997</v>
      </c>
      <c r="BJ44" s="6">
        <v>14.913</v>
      </c>
      <c r="BK44" s="6">
        <v>565.64800000000002</v>
      </c>
      <c r="BL44" s="6">
        <v>73702.694399999993</v>
      </c>
      <c r="BM44" s="6">
        <v>311340.15999999997</v>
      </c>
      <c r="BN44" s="6">
        <v>7204.2407999999996</v>
      </c>
      <c r="BO44" s="6">
        <v>53587.446400000001</v>
      </c>
      <c r="BP44" s="6">
        <v>314938.33600000001</v>
      </c>
      <c r="BQ44" s="6">
        <v>326.48599999999999</v>
      </c>
      <c r="BR44" s="6">
        <v>181.828</v>
      </c>
      <c r="BS44" s="6">
        <v>1017610.986</v>
      </c>
      <c r="BT44" s="6">
        <v>1400620.74</v>
      </c>
      <c r="BU44" s="6">
        <v>630345.728</v>
      </c>
      <c r="BV44" s="6">
        <v>1025727.84</v>
      </c>
      <c r="BW44" s="6">
        <v>570109.05599999998</v>
      </c>
      <c r="BX44" s="6">
        <v>1010101.2</v>
      </c>
      <c r="BY44" s="6">
        <v>158033.31200000001</v>
      </c>
      <c r="BZ44" s="6">
        <v>114402.38400000001</v>
      </c>
      <c r="CA44" s="6">
        <v>1244.3390999999999</v>
      </c>
      <c r="CB44" s="6">
        <v>108978.424</v>
      </c>
      <c r="CC44" s="6">
        <v>151431.45600000001</v>
      </c>
      <c r="CD44" s="6">
        <v>447671.712</v>
      </c>
      <c r="CE44" s="6">
        <v>49126.022400000002</v>
      </c>
      <c r="CF44" s="6">
        <v>156092.96</v>
      </c>
      <c r="CG44" s="6">
        <v>360893.696</v>
      </c>
      <c r="CH44" s="6">
        <v>2385.8710000000001</v>
      </c>
      <c r="CI44" s="6">
        <v>215.48699999999999</v>
      </c>
      <c r="CJ44" s="6">
        <v>1191.5999999999999</v>
      </c>
      <c r="CK44" s="6">
        <v>78.376000000000005</v>
      </c>
      <c r="CL44" s="6">
        <v>737.024</v>
      </c>
      <c r="CM44" s="6">
        <v>551.4</v>
      </c>
      <c r="CN44" s="6">
        <v>47413.3</v>
      </c>
      <c r="CO44" s="6">
        <v>1656.18</v>
      </c>
      <c r="CP44" s="6">
        <v>295220.83100000001</v>
      </c>
      <c r="CQ44" s="6">
        <v>3692335.36</v>
      </c>
      <c r="CR44" s="6">
        <v>131663.16</v>
      </c>
      <c r="CS44" s="6">
        <v>516228.51199999999</v>
      </c>
      <c r="CT44" s="6">
        <v>2949332.5189999999</v>
      </c>
      <c r="CU44" s="6">
        <v>300278.19500000001</v>
      </c>
      <c r="CV44" s="6">
        <v>30139.727999999999</v>
      </c>
      <c r="CW44" s="6">
        <v>63039.8848</v>
      </c>
      <c r="CX44" s="6">
        <v>33466.092799999999</v>
      </c>
      <c r="CY44" s="6">
        <v>168726.35200000001</v>
      </c>
      <c r="CZ44" s="6">
        <v>218371.07199999999</v>
      </c>
      <c r="DA44" s="6">
        <v>19138.37</v>
      </c>
      <c r="DB44" s="6">
        <v>150931.46400000001</v>
      </c>
      <c r="DC44" s="6">
        <v>3067.84</v>
      </c>
      <c r="DD44" s="6">
        <v>3067.75</v>
      </c>
      <c r="DE44" s="6">
        <v>3095.79</v>
      </c>
      <c r="DF44" s="6">
        <v>0.97499999999999998</v>
      </c>
      <c r="DG44" s="1" t="s">
        <v>281</v>
      </c>
      <c r="DH44" s="4">
        <f>Table2[[#This Row],[Date]]</f>
        <v>46242</v>
      </c>
      <c r="DI44">
        <f>(DD45-Table2[[#This Row],[MWH Total]])*4000</f>
        <v>26600.000000000364</v>
      </c>
      <c r="DJ44">
        <f>(DA45-Table2[[#This Row],[PNG Meter (Outside)]])*2.936</f>
        <v>144.56864000000471</v>
      </c>
      <c r="DK44">
        <f>(DB45-Table2[[#This Row],[PNG Meter (Inside)]])*2.936</f>
        <v>169.42481600001639</v>
      </c>
      <c r="DL44">
        <f>(BH45-Table2[[#This Row],[3F Dough cooler - 2 ]])*1000</f>
        <v>299.00000000003502</v>
      </c>
      <c r="DM44">
        <f>(BI45-Table2[[#This Row],[3F Dough Cooler- 1]])*1000</f>
        <v>1330.0000000000409</v>
      </c>
      <c r="DN44">
        <f>(BJ45-Table2[[#This Row],[4F Dough Production cooling Unit]])*1000</f>
        <v>38.999999999999702</v>
      </c>
      <c r="DO44">
        <f>(BQ45-Table2[[#This Row],[3F2 - PDB 3 - Dough Production Area]])*1000</f>
        <v>163.00000000001091</v>
      </c>
      <c r="DP44">
        <f>(BR45-Table2[[#This Row],[3F3 - PDB 4 - Dough Area]])*1000</f>
        <v>85.999999999984311</v>
      </c>
      <c r="DQ44">
        <f>AC45-Table2[[#This Row],[16F1 Tray washer Panel for Light]]</f>
        <v>580</v>
      </c>
      <c r="DR44">
        <f>CQ45-Table2[[#This Row],[2F1 Tray Washer - 1]]</f>
        <v>1074.5600000000559</v>
      </c>
      <c r="DS44">
        <f>CS45-Table2[[#This Row],[2F5 Destacker]]</f>
        <v>173.28000000002794</v>
      </c>
      <c r="DT44">
        <f>CU45-Table2[[#This Row],[5F1 Metering (TW-2)]]</f>
        <v>165.63400000002002</v>
      </c>
      <c r="DU44">
        <f>CV45-Table2[[#This Row],[6F1 Pre soaker Tray washer]]</f>
        <v>8.9599999999336433E-2</v>
      </c>
      <c r="DV44">
        <f>CZ45-Table2[[#This Row],[6F5 Vent tray Storage]]</f>
        <v>56.352000000013504</v>
      </c>
      <c r="DW44">
        <f>I45-Table2[[#This Row],[Popeyes Meter ]]</f>
        <v>25.069999999999709</v>
      </c>
      <c r="DX44">
        <f>AZ45-Table2[[#This Row],[2F WH Chiller, Segregation Area]]</f>
        <v>0</v>
      </c>
      <c r="DY44">
        <f>BA45-Table2[[#This Row],[3F1 AC Unit WH dock cooling - 2 Nos]]</f>
        <v>15</v>
      </c>
      <c r="DZ44">
        <f>BB45-Table2[[#This Row],[3F2 AC Unit WH dock cooling - 3 Nos]]</f>
        <v>3.1999999999996476E-2</v>
      </c>
      <c r="EA44">
        <f>(BK45-Table2[[#This Row],[5F WH Perishable]])*1000</f>
        <v>197.99999999997908</v>
      </c>
      <c r="EB44">
        <f>BN45-Table2[[#This Row],[2F3 - PDB 9 - WH Dock Leveler Door ]]</f>
        <v>4.8088000000007014</v>
      </c>
      <c r="EC44">
        <f>BP45-Table2[[#This Row],[3F1 - PDB 5 - WH HSD]]</f>
        <v>99.135999999998603</v>
      </c>
      <c r="ED44">
        <f>BX45-Table2[[#This Row],[8F1 WH Dock AHU - Ventilation]]</f>
        <v>1757.2000000000698</v>
      </c>
      <c r="EE44">
        <f>BZ45-Table2[[#This Row],[8F3 ACPDB - 4 WH Dock air curtain]]</f>
        <v>24.255999999993946</v>
      </c>
      <c r="EF44">
        <f>CA45-Table2[[#This Row],[8F4 WH Light]]</f>
        <v>1.4300000000048385E-2</v>
      </c>
      <c r="EG44">
        <f>CC45-Table2[[#This Row],[9F1 - PDB 10 - WH Dock door &amp; Office]]</f>
        <v>88.111999999993714</v>
      </c>
      <c r="EH44">
        <f>CD45-Table2[[#This Row],[9F2 - PDB 11 - WH flycatchers]]</f>
        <v>202.7839999999851</v>
      </c>
      <c r="EI44">
        <f>CE45-Table2[[#This Row],[9F3 - PDB 12 - Other items]]</f>
        <v>1.254399999997986</v>
      </c>
      <c r="EJ44">
        <f>CR45-Table2[[#This Row],[2F3 - PDB 1 - Dock 1 to 4 ]]</f>
        <v>49.448000000003958</v>
      </c>
      <c r="EK44">
        <f>BM45-Table2[[#This Row],[2F2 - PDB 3 - WH Truck &amp; Battery Charging]]</f>
        <v>316.22400000004563</v>
      </c>
      <c r="EL44">
        <f>(CK45-Table2[[#This Row],[PDB - 11 Truck Charging]])*1000</f>
        <v>58.999999999997499</v>
      </c>
      <c r="EM44">
        <f>P45-Table2[[#This Row],[5F3 Admin Area]]</f>
        <v>303.80799999996088</v>
      </c>
      <c r="EN44">
        <f>AH45-Table2[[#This Row],[2F5 Main Gate-1 Piller -1]]</f>
        <v>87.791999999986729</v>
      </c>
      <c r="EO44">
        <f>CW45-Table2[[#This Row],[6F2 Ground Floor AC]]</f>
        <v>14.763200000001234</v>
      </c>
      <c r="EP44">
        <f>CX45-Table2[[#This Row],[6F3 ACBD -1 (First floor AC)]]</f>
        <v>0</v>
      </c>
      <c r="EQ44">
        <f>CY45-Table2[[#This Row],[6F4 ACBD - 2 (Second &amp; Third floor AC)]]</f>
        <v>158.60799999997835</v>
      </c>
      <c r="ER44">
        <f>(BC45-Table2[[#This Row],[4F Old BMC cooling Unit]])</f>
        <v>0</v>
      </c>
      <c r="ES44">
        <f>BO45-Table2[[#This Row],[2F4 - Old BMC]]</f>
        <v>1.6863999999986845</v>
      </c>
      <c r="ET44">
        <f>Y45-Table2[[#This Row],[14F2 New CK]]</f>
        <v>1005.5200000000186</v>
      </c>
      <c r="EU44">
        <f>(CL45-Table2[[#This Row],[OLD Ck Panel-1]])*1000</f>
        <v>524.99999999997726</v>
      </c>
      <c r="EV44">
        <f>CM45-Table2[[#This Row],[2F4 Old CK Blast (Blue star)]]</f>
        <v>0</v>
      </c>
      <c r="EW44">
        <f>CN45-Table2[[#This Row],[3F6 Old CK Blast (Carrier)]]</f>
        <v>437.39999999999418</v>
      </c>
      <c r="EX44">
        <f>(CO45-Table2[[#This Row],[Old CK Panel -2]])*1000</f>
        <v>581.99999999987995</v>
      </c>
      <c r="EY44">
        <f>N45-Table2[[#This Row],[4F1 Main UPS 1/C -1]]</f>
        <v>800.32000000006519</v>
      </c>
      <c r="EZ44">
        <f>Z45-Table2[[#This Row],[15F1 Main UPS Panel - I/C - 2]]</f>
        <v>0</v>
      </c>
      <c r="FA44">
        <f>BF45-Table2[[#This Row],[2F CLC -1 AC unit - 2]]</f>
        <v>0</v>
      </c>
      <c r="FB44">
        <f>(BG45-Table2[[#This Row],[2F CLC Anti room]])*1000</f>
        <v>22.999999999996135</v>
      </c>
      <c r="FC44">
        <f>BW45-Table2[[#This Row],[7F3 CLC Power Panel]]</f>
        <v>181.63199999998324</v>
      </c>
      <c r="FD44">
        <f>(CI45-Table2[[#This Row],[PDB - 17 CLC Section ]])*1000</f>
        <v>99.999999999994316</v>
      </c>
      <c r="FE44">
        <f>(W45-Table2[[#This Row],[13F3 Water &amp; Lift Old CK]])*1000</f>
        <v>451.90000000002328</v>
      </c>
      <c r="FF44">
        <f>AA45-Table2[[#This Row],[15F2 New ETP Panel]]</f>
        <v>208.31999999994878</v>
      </c>
      <c r="FG44">
        <f>AL45-Table2[[#This Row],[3F4 Old ETP Panel]]</f>
        <v>54.399999999965075</v>
      </c>
      <c r="FH44">
        <f>AF45-Table2[[#This Row],[2F1 RO Plant]]</f>
        <v>461.11999999999534</v>
      </c>
      <c r="FI44">
        <f>AK45-Table2[[#This Row],[3F3 Fire Hydrant Panel]]</f>
        <v>9.0559999999968568</v>
      </c>
      <c r="FJ44">
        <f>R45-Table2[[#This Row],[7F1 Freon System Panel]]</f>
        <v>5023.3600000003353</v>
      </c>
      <c r="FK44">
        <f>(AE45-Table2[[#This Row],[21F1 Refrigeration Ammonia]])*1000</f>
        <v>5398.4000000000378</v>
      </c>
      <c r="FL44">
        <f>(AG45-Table2[[#This Row],[2F3 Air Compressor]])*1000</f>
        <v>1313.9999999998508</v>
      </c>
      <c r="FM44">
        <f>(AX45-Table2[[#This Row],[Solar Reading Panel II]])*1000</f>
        <v>2052.9999999998836</v>
      </c>
      <c r="FN44">
        <f>AI45-Table2[[#This Row],[3F1 Maintenance Workshop]]</f>
        <v>4.4320000000006985</v>
      </c>
      <c r="FO44">
        <f>BD45-Table2[[#This Row],[4F B2B unit ]]</f>
        <v>25.664000000047963</v>
      </c>
      <c r="FP44">
        <f>BL45-Table2[[#This Row],[2F1 - PDB 6 - Bread, B2B section]]</f>
        <v>92.87039999999979</v>
      </c>
      <c r="FQ44">
        <f>(CG45-Table2[[#This Row],[9F5 - PDB 14 - Bread Lift]])</f>
        <v>2.5599999999976717</v>
      </c>
      <c r="FR44">
        <f>CJ45-Table2[[#This Row],[PDB - 16 Bread Section]]</f>
        <v>0</v>
      </c>
      <c r="FS44">
        <f>BU45-Table2[[#This Row],[7F1 Donut Production area]]</f>
        <v>197.11999999999534</v>
      </c>
      <c r="FT44">
        <f>CB45-Table2[[#This Row],[8F5 Donut Ban Bary]]</f>
        <v>21.19199999999546</v>
      </c>
      <c r="FU44">
        <f>CF45-Table2[[#This Row],[9F4 - PDB 13 - Donut Sink Geyser area]]</f>
        <v>16.912000000011176</v>
      </c>
      <c r="FV44">
        <f>BV45-Table2[[#This Row],[7F2 Flour Silo]]</f>
        <v>381.76000000000931</v>
      </c>
      <c r="FW44">
        <f>BY45-Table2[[#This Row],[8F2 ACPDB - 3 SILO Ventilation]]</f>
        <v>32.335999999981141</v>
      </c>
      <c r="FX44">
        <f>J45-Table2[[#This Row],[DG 1010KVA Running Hours]]</f>
        <v>0.8999999999996362</v>
      </c>
      <c r="FY44">
        <f>K45-Table2[[#This Row],[DG 1010 KVA Meter Reading]]</f>
        <v>284</v>
      </c>
      <c r="FZ44">
        <f>L45-Table2[[#This Row],[GG 1010 KVA Running Hours]]</f>
        <v>1</v>
      </c>
      <c r="GA44">
        <f>M45-Table2[[#This Row],[GG 1010 KVA Meter Reading]]</f>
        <v>0.43000000000000682</v>
      </c>
    </row>
    <row r="45" spans="1:183" x14ac:dyDescent="0.35">
      <c r="A45" s="1">
        <v>55</v>
      </c>
      <c r="B45" s="2">
        <v>46244.410185185188</v>
      </c>
      <c r="C45" s="2">
        <v>46244.429814814815</v>
      </c>
      <c r="D45" s="1" t="s">
        <v>111</v>
      </c>
      <c r="E45" s="1"/>
      <c r="F45" s="1"/>
      <c r="G45" s="3">
        <v>46243</v>
      </c>
      <c r="H45" s="1" t="s">
        <v>186</v>
      </c>
      <c r="I45" s="6">
        <v>6957.3519999999999</v>
      </c>
      <c r="J45" s="6">
        <v>4275.7</v>
      </c>
      <c r="K45" s="6">
        <v>1777384</v>
      </c>
      <c r="L45" s="6">
        <v>455</v>
      </c>
      <c r="M45" s="6">
        <v>191.71</v>
      </c>
      <c r="N45" s="6">
        <v>1873335.2</v>
      </c>
      <c r="O45" s="6">
        <v>4607967.3600000003</v>
      </c>
      <c r="P45" s="6">
        <v>647736</v>
      </c>
      <c r="Q45" s="6">
        <v>8103832.96</v>
      </c>
      <c r="R45" s="6">
        <v>5569121.2800000003</v>
      </c>
      <c r="S45" s="6">
        <v>7379379.8399999999</v>
      </c>
      <c r="T45" s="6">
        <v>42819190.401000001</v>
      </c>
      <c r="U45" s="6">
        <v>2109366.08</v>
      </c>
      <c r="V45" s="6">
        <v>5125147.5199999996</v>
      </c>
      <c r="W45" s="6">
        <v>1595.8226</v>
      </c>
      <c r="X45" s="6">
        <v>775219.45600000001</v>
      </c>
      <c r="Y45" s="6">
        <v>1099843.3600000001</v>
      </c>
      <c r="Z45" s="6">
        <v>2777.8894</v>
      </c>
      <c r="AA45" s="6">
        <v>670074.68799999997</v>
      </c>
      <c r="AB45" s="6">
        <v>421339.64799999999</v>
      </c>
      <c r="AC45" s="6">
        <v>2142894.7200000002</v>
      </c>
      <c r="AD45" s="6">
        <v>2696476.36</v>
      </c>
      <c r="AE45" s="6">
        <v>12839.956</v>
      </c>
      <c r="AF45" s="6">
        <v>878216.96</v>
      </c>
      <c r="AG45" s="6">
        <v>1405.1869999999999</v>
      </c>
      <c r="AH45" s="6">
        <v>133913.21599999999</v>
      </c>
      <c r="AI45" s="6">
        <v>14651.6288</v>
      </c>
      <c r="AJ45" s="6">
        <v>145376.448</v>
      </c>
      <c r="AK45" s="6">
        <v>105303.856</v>
      </c>
      <c r="AL45" s="6">
        <v>330963.39199999999</v>
      </c>
      <c r="AM45" s="6">
        <v>994.55100000000004</v>
      </c>
      <c r="AN45" s="6">
        <v>330.5</v>
      </c>
      <c r="AO45" s="6">
        <v>7.7</v>
      </c>
      <c r="AP45" s="6">
        <v>506434</v>
      </c>
      <c r="AQ45" s="6">
        <v>42377</v>
      </c>
      <c r="AR45" s="6">
        <v>41833</v>
      </c>
      <c r="AS45" s="6">
        <v>32390</v>
      </c>
      <c r="AT45" s="6">
        <v>22105</v>
      </c>
      <c r="AU45" s="6">
        <v>15761</v>
      </c>
      <c r="AV45" s="6">
        <v>6506</v>
      </c>
      <c r="AW45" s="6">
        <v>20.957314</v>
      </c>
      <c r="AX45" s="6">
        <v>7249.607</v>
      </c>
      <c r="AY45" s="6">
        <v>679.69856000000004</v>
      </c>
      <c r="AZ45" s="6">
        <v>20.788</v>
      </c>
      <c r="BA45" s="6">
        <v>10495</v>
      </c>
      <c r="BB45" s="6">
        <v>45.021999999999998</v>
      </c>
      <c r="BC45" s="6">
        <v>113989.152</v>
      </c>
      <c r="BD45" s="6">
        <v>276274.97600000002</v>
      </c>
      <c r="BE45" s="6">
        <v>3732.8663999999999</v>
      </c>
      <c r="BF45" s="6">
        <v>1712.0419999999999</v>
      </c>
      <c r="BG45" s="6">
        <v>75.209999999999994</v>
      </c>
      <c r="BH45" s="6">
        <v>366.82900000000001</v>
      </c>
      <c r="BI45" s="6">
        <v>919.03800000000001</v>
      </c>
      <c r="BJ45" s="6">
        <v>14.952</v>
      </c>
      <c r="BK45" s="6">
        <v>565.846</v>
      </c>
      <c r="BL45" s="6">
        <v>73795.564799999993</v>
      </c>
      <c r="BM45" s="6">
        <v>311656.38400000002</v>
      </c>
      <c r="BN45" s="6">
        <v>7209.0496000000003</v>
      </c>
      <c r="BO45" s="6">
        <v>53589.132799999999</v>
      </c>
      <c r="BP45" s="6">
        <v>315037.47200000001</v>
      </c>
      <c r="BQ45" s="6">
        <v>326.649</v>
      </c>
      <c r="BR45" s="6">
        <v>181.91399999999999</v>
      </c>
      <c r="BS45" s="6">
        <v>1018424.356</v>
      </c>
      <c r="BT45" s="6">
        <v>1400620.952</v>
      </c>
      <c r="BU45" s="6">
        <v>630542.848</v>
      </c>
      <c r="BV45" s="6">
        <v>1026109.6</v>
      </c>
      <c r="BW45" s="6">
        <v>570290.68799999997</v>
      </c>
      <c r="BX45" s="6">
        <v>1011858.4</v>
      </c>
      <c r="BY45" s="6">
        <v>158065.64799999999</v>
      </c>
      <c r="BZ45" s="6">
        <v>114426.64</v>
      </c>
      <c r="CA45" s="6">
        <v>1244.3534</v>
      </c>
      <c r="CB45" s="6">
        <v>108999.61599999999</v>
      </c>
      <c r="CC45" s="6">
        <v>151519.568</v>
      </c>
      <c r="CD45" s="6">
        <v>447874.49599999998</v>
      </c>
      <c r="CE45" s="6">
        <v>49127.2768</v>
      </c>
      <c r="CF45" s="6">
        <v>156109.872</v>
      </c>
      <c r="CG45" s="6">
        <v>360896.25599999999</v>
      </c>
      <c r="CH45" s="6">
        <v>2385.8710000000001</v>
      </c>
      <c r="CI45" s="6">
        <v>215.58699999999999</v>
      </c>
      <c r="CJ45" s="6">
        <v>1191.5999999999999</v>
      </c>
      <c r="CK45" s="6">
        <v>78.435000000000002</v>
      </c>
      <c r="CL45" s="6">
        <v>737.54899999999998</v>
      </c>
      <c r="CM45" s="6">
        <v>551.4</v>
      </c>
      <c r="CN45" s="6">
        <v>47850.7</v>
      </c>
      <c r="CO45" s="6">
        <v>1656.7619999999999</v>
      </c>
      <c r="CP45" s="6">
        <v>295304.64500000002</v>
      </c>
      <c r="CQ45" s="6">
        <v>3693409.92</v>
      </c>
      <c r="CR45" s="6">
        <v>131712.60800000001</v>
      </c>
      <c r="CS45" s="6">
        <v>516401.79200000002</v>
      </c>
      <c r="CT45" s="6">
        <v>2951827.2209999999</v>
      </c>
      <c r="CU45" s="6">
        <v>300443.82900000003</v>
      </c>
      <c r="CV45" s="6">
        <v>30139.817599999998</v>
      </c>
      <c r="CW45" s="6">
        <v>63054.648000000001</v>
      </c>
      <c r="CX45" s="6">
        <v>33466.092799999999</v>
      </c>
      <c r="CY45" s="6">
        <v>168884.96</v>
      </c>
      <c r="CZ45" s="6">
        <v>218427.424</v>
      </c>
      <c r="DA45" s="6">
        <v>19187.61</v>
      </c>
      <c r="DB45" s="6">
        <v>150989.17000000001</v>
      </c>
      <c r="DC45" s="6">
        <v>3074.53</v>
      </c>
      <c r="DD45" s="6">
        <v>3074.4</v>
      </c>
      <c r="DE45" s="6">
        <v>3102.6</v>
      </c>
      <c r="DF45" s="6">
        <v>0.97799999999999998</v>
      </c>
      <c r="DG45" s="1" t="s">
        <v>257</v>
      </c>
      <c r="DH45" s="4">
        <f>Table2[[#This Row],[Date]]</f>
        <v>46243</v>
      </c>
      <c r="DI45">
        <f>(DD46-Table2[[#This Row],[MWH Total]])*4000</f>
        <v>21079.999999999927</v>
      </c>
      <c r="DJ45">
        <f>(DA46-Table2[[#This Row],[PNG Meter (Outside)]])*2.936</f>
        <v>38.872639999994021</v>
      </c>
      <c r="DK45">
        <f>(DB46-Table2[[#This Row],[PNG Meter (Inside)]])*2.936</f>
        <v>286.69452799996037</v>
      </c>
      <c r="DL45">
        <f>(BH46-Table2[[#This Row],[3F Dough cooler - 2 ]])*1000</f>
        <v>562.00000000001182</v>
      </c>
      <c r="DM45" s="1">
        <f>(BI46-Table2[[#This Row],[3F Dough Cooler- 1]])*1000</f>
        <v>606.9999999999709</v>
      </c>
      <c r="DN45">
        <f>(BJ46-Table2[[#This Row],[4F Dough Production cooling Unit]])*1000</f>
        <v>87.99999999999919</v>
      </c>
      <c r="DO45">
        <f>(BQ46-Table2[[#This Row],[3F2 - PDB 3 - Dough Production Area]])*1000</f>
        <v>283.00000000001546</v>
      </c>
      <c r="DP45">
        <f>(BR46-Table2[[#This Row],[3F3 - PDB 4 - Dough Area]])*1000</f>
        <v>160.00000000002501</v>
      </c>
      <c r="DQ45">
        <f>AC46-Table2[[#This Row],[16F1 Tray washer Panel for Light]]</f>
        <v>843.52000000001863</v>
      </c>
      <c r="DR45">
        <f>CQ46-Table2[[#This Row],[2F1 Tray Washer - 1]]</f>
        <v>1680.6400000001304</v>
      </c>
      <c r="DS45">
        <f>CS46-Table2[[#This Row],[2F5 Destacker]]</f>
        <v>381.63199999998324</v>
      </c>
      <c r="DT45">
        <f>CU46-Table2[[#This Row],[5F1 Metering (TW-2)]]</f>
        <v>305.75</v>
      </c>
      <c r="DU45">
        <f>CV46-Table2[[#This Row],[6F1 Pre soaker Tray washer]]</f>
        <v>5.5520000000033178</v>
      </c>
      <c r="DV45">
        <f>CZ46-Table2[[#This Row],[6F5 Vent tray Storage]]</f>
        <v>84.336000000010245</v>
      </c>
      <c r="DW45">
        <f>I46-Table2[[#This Row],[Popeyes Meter ]]</f>
        <v>16.75</v>
      </c>
      <c r="DX45">
        <f>AZ46-Table2[[#This Row],[2F WH Chiller, Segregation Area]]</f>
        <v>0</v>
      </c>
      <c r="DY45">
        <f>BA46-Table2[[#This Row],[3F1 AC Unit WH dock cooling - 2 Nos]]</f>
        <v>19</v>
      </c>
      <c r="DZ45">
        <f>BB46-Table2[[#This Row],[3F2 AC Unit WH dock cooling - 3 Nos]]</f>
        <v>5.4000000000002046E-2</v>
      </c>
      <c r="EA45">
        <f>(BK46-Table2[[#This Row],[5F WH Perishable]])*1000</f>
        <v>355.99999999999454</v>
      </c>
      <c r="EB45">
        <f>BN46-Table2[[#This Row],[2F3 - PDB 9 - WH Dock Leveler Door ]]</f>
        <v>2.8368000000000393</v>
      </c>
      <c r="EC45">
        <f>BP46-Table2[[#This Row],[3F1 - PDB 5 - WH HSD]]</f>
        <v>127.90399999998044</v>
      </c>
      <c r="ED45">
        <f>BX46-Table2[[#This Row],[8F1 WH Dock AHU - Ventilation]]</f>
        <v>2954.5599999999395</v>
      </c>
      <c r="EE45">
        <f>BZ46-Table2[[#This Row],[8F3 ACPDB - 4 WH Dock air curtain]]</f>
        <v>37.528000000005704</v>
      </c>
      <c r="EF45">
        <f>CA46-Table2[[#This Row],[8F4 WH Light]]</f>
        <v>7.3999999999614374E-3</v>
      </c>
      <c r="EG45">
        <f>CC46-Table2[[#This Row],[9F1 - PDB 10 - WH Dock door &amp; Office]]</f>
        <v>183.82399999999325</v>
      </c>
      <c r="EH45">
        <f>CD46-Table2[[#This Row],[9F2 - PDB 11 - WH flycatchers]]</f>
        <v>149.53600000002189</v>
      </c>
      <c r="EI45">
        <f>CE46-Table2[[#This Row],[9F3 - PDB 12 - Other items]]</f>
        <v>5.1200000001699664E-2</v>
      </c>
      <c r="EJ45">
        <f>CR46-Table2[[#This Row],[2F3 - PDB 1 - Dock 1 to 4 ]]</f>
        <v>106.45600000000559</v>
      </c>
      <c r="EK45">
        <f>BM46-Table2[[#This Row],[2F2 - PDB 3 - WH Truck &amp; Battery Charging]]</f>
        <v>460.63999999995576</v>
      </c>
      <c r="EL45">
        <f>(CK46-Table2[[#This Row],[PDB - 11 Truck Charging]])*1000</f>
        <v>42.000000000001592</v>
      </c>
      <c r="EM45">
        <f>P46-Table2[[#This Row],[5F3 Admin Area]]</f>
        <v>452.80000000004657</v>
      </c>
      <c r="EN45">
        <f>AH46-Table2[[#This Row],[2F5 Main Gate-1 Piller -1]]</f>
        <v>141.36000000001513</v>
      </c>
      <c r="EO45">
        <f>CW46-Table2[[#This Row],[6F2 Ground Floor AC]]</f>
        <v>31.995199999997567</v>
      </c>
      <c r="EP45">
        <f>CX46-Table2[[#This Row],[6F3 ACBD -1 (First floor AC)]]</f>
        <v>0</v>
      </c>
      <c r="EQ45">
        <f>CY46-Table2[[#This Row],[6F4 ACBD - 2 (Second &amp; Third floor AC)]]</f>
        <v>54.975999999995111</v>
      </c>
      <c r="ER45">
        <f>(BC46-Table2[[#This Row],[4F Old BMC cooling Unit]])</f>
        <v>0</v>
      </c>
      <c r="ES45">
        <f>BO46-Table2[[#This Row],[2F4 - Old BMC]]</f>
        <v>0</v>
      </c>
      <c r="ET45">
        <f>Y46-Table2[[#This Row],[14F2 New CK]]</f>
        <v>590.39999999990687</v>
      </c>
      <c r="EU45">
        <f>(CL46-Table2[[#This Row],[OLD Ck Panel-1]])*1000</f>
        <v>431.00000000004002</v>
      </c>
      <c r="EV45">
        <f>CM46-Table2[[#This Row],[2F4 Old CK Blast (Blue star)]]</f>
        <v>0</v>
      </c>
      <c r="EW45">
        <f>CN46-Table2[[#This Row],[3F6 Old CK Blast (Carrier)]]</f>
        <v>315.40000000000146</v>
      </c>
      <c r="EX45">
        <f>(CO46-Table2[[#This Row],[Old CK Panel -2]])*1000</f>
        <v>854.00000000004184</v>
      </c>
      <c r="EY45">
        <f>N46-Table2[[#This Row],[4F1 Main UPS 1/C -1]]</f>
        <v>1087.1999999999534</v>
      </c>
      <c r="EZ45">
        <f>Z46-Table2[[#This Row],[15F1 Main UPS Panel - I/C - 2]]</f>
        <v>0</v>
      </c>
      <c r="FA45">
        <f>BF46-Table2[[#This Row],[2F CLC -1 AC unit - 2]]</f>
        <v>0</v>
      </c>
      <c r="FB45">
        <f>(BG46-Table2[[#This Row],[2F CLC Anti room]])*1000</f>
        <v>39.000000000001478</v>
      </c>
      <c r="FC45">
        <f>BW46-Table2[[#This Row],[7F3 CLC Power Panel]]</f>
        <v>183.87200000009034</v>
      </c>
      <c r="FD45">
        <f>(CI46-Table2[[#This Row],[PDB - 17 CLC Section ]])*1000</f>
        <v>134.00000000001455</v>
      </c>
      <c r="FE45">
        <f>(W46-Table2[[#This Row],[13F3 Water &amp; Lift Old CK]])*1000</f>
        <v>860.00000000012733</v>
      </c>
      <c r="FF45">
        <f>AA46-Table2[[#This Row],[15F2 New ETP Panel]]</f>
        <v>296.89600000006612</v>
      </c>
      <c r="FG45">
        <f>AL46-Table2[[#This Row],[3F4 Old ETP Panel]]</f>
        <v>91.296000000031199</v>
      </c>
      <c r="FH45">
        <f>AF46-Table2[[#This Row],[2F1 RO Plant]]</f>
        <v>666.11200000008103</v>
      </c>
      <c r="FI45">
        <f>AK46-Table2[[#This Row],[3F3 Fire Hydrant Panel]]</f>
        <v>12.063999999998487</v>
      </c>
      <c r="FJ45">
        <f>R46-Table2[[#This Row],[7F1 Freon System Panel]]</f>
        <v>6405.7599999997765</v>
      </c>
      <c r="FK45">
        <f>(AE46-Table2[[#This Row],[21F1 Refrigeration Ammonia]])*1000</f>
        <v>7897.6000000002387</v>
      </c>
      <c r="FL45">
        <f>(AG46-Table2[[#This Row],[2F3 Air Compressor]])*1000</f>
        <v>1831.000000000131</v>
      </c>
      <c r="FM45">
        <f>(AX46-Table2[[#This Row],[Solar Reading Panel II]])*1000</f>
        <v>4386.9999999997162</v>
      </c>
      <c r="FN45">
        <f>AI46-Table2[[#This Row],[3F1 Maintenance Workshop]]</f>
        <v>8.7151999999987311</v>
      </c>
      <c r="FO45">
        <f>BD46-Table2[[#This Row],[4F B2B unit ]]</f>
        <v>81.759999999951106</v>
      </c>
      <c r="FP45">
        <f>BL46-Table2[[#This Row],[2F1 - PDB 6 - Bread, B2B section]]</f>
        <v>107.13600000001315</v>
      </c>
      <c r="FQ45">
        <f>(CG46-Table2[[#This Row],[9F5 - PDB 14 - Bread Lift]])</f>
        <v>4.0320000000065193</v>
      </c>
      <c r="FR45">
        <f>CJ46-Table2[[#This Row],[PDB - 16 Bread Section]]</f>
        <v>0</v>
      </c>
      <c r="FS45">
        <f>BU46-Table2[[#This Row],[7F1 Donut Production area]]</f>
        <v>239.35999999998603</v>
      </c>
      <c r="FT45">
        <f>CB46-Table2[[#This Row],[8F5 Donut Ban Bary]]</f>
        <v>76.264000000010128</v>
      </c>
      <c r="FU45">
        <f>CF46-Table2[[#This Row],[9F4 - PDB 13 - Donut Sink Geyser area]]</f>
        <v>29.456000000005588</v>
      </c>
      <c r="FV45">
        <f>BV46-Table2[[#This Row],[7F2 Flour Silo]]</f>
        <v>560.56000000005588</v>
      </c>
      <c r="FW45">
        <f>BY46-Table2[[#This Row],[8F2 ACPDB - 3 SILO Ventilation]]</f>
        <v>55.312000000005355</v>
      </c>
      <c r="FX45">
        <f>J46-Table2[[#This Row],[DG 1010KVA Running Hours]]</f>
        <v>0.6000000000003638</v>
      </c>
      <c r="FY45">
        <f>K46-Table2[[#This Row],[DG 1010 KVA Meter Reading]]</f>
        <v>186</v>
      </c>
      <c r="FZ45">
        <f>L46-Table2[[#This Row],[GG 1010 KVA Running Hours]]</f>
        <v>1</v>
      </c>
      <c r="GA45">
        <f>M46-Table2[[#This Row],[GG 1010 KVA Meter Reading]]</f>
        <v>9.9999999999994316E-2</v>
      </c>
    </row>
    <row r="46" spans="1:183" x14ac:dyDescent="0.35">
      <c r="A46" s="1">
        <v>56</v>
      </c>
      <c r="B46" s="2">
        <v>46244.429965277777</v>
      </c>
      <c r="C46" s="2">
        <v>46244.471388888887</v>
      </c>
      <c r="D46" s="1" t="s">
        <v>111</v>
      </c>
      <c r="E46" s="1"/>
      <c r="F46" s="1"/>
      <c r="G46" s="3">
        <v>46244</v>
      </c>
      <c r="H46" s="1" t="s">
        <v>186</v>
      </c>
      <c r="I46" s="6">
        <v>6974.1019999999999</v>
      </c>
      <c r="J46" s="6">
        <v>4276.3</v>
      </c>
      <c r="K46" s="6">
        <v>1777570</v>
      </c>
      <c r="L46" s="6">
        <v>456</v>
      </c>
      <c r="M46" s="6">
        <v>191.81</v>
      </c>
      <c r="N46" s="6">
        <v>1874422.4</v>
      </c>
      <c r="O46" s="6">
        <v>4610370.88</v>
      </c>
      <c r="P46" s="6">
        <v>648188.80000000005</v>
      </c>
      <c r="Q46" s="6">
        <v>8107994.2400000002</v>
      </c>
      <c r="R46" s="6">
        <v>5575527.04</v>
      </c>
      <c r="S46" s="6">
        <v>7383014.4000000004</v>
      </c>
      <c r="T46" s="6">
        <v>43280612.443999998</v>
      </c>
      <c r="U46" s="6">
        <v>2110534.56</v>
      </c>
      <c r="V46" s="6">
        <v>5127328.6399999997</v>
      </c>
      <c r="W46" s="6">
        <v>1596.6826000000001</v>
      </c>
      <c r="X46" s="6">
        <v>775510.72</v>
      </c>
      <c r="Y46" s="6">
        <v>1100433.76</v>
      </c>
      <c r="Z46" s="6">
        <v>2777.8894</v>
      </c>
      <c r="AA46" s="6">
        <v>670371.58400000003</v>
      </c>
      <c r="AB46" s="6">
        <v>421352.51199999999</v>
      </c>
      <c r="AC46" s="6">
        <v>2143738.2400000002</v>
      </c>
      <c r="AD46" s="6">
        <v>4114204.2519999999</v>
      </c>
      <c r="AE46" s="6">
        <v>12847.8536</v>
      </c>
      <c r="AF46" s="6">
        <v>878883.07200000004</v>
      </c>
      <c r="AG46" s="6">
        <v>1407.018</v>
      </c>
      <c r="AH46" s="6">
        <v>134054.576</v>
      </c>
      <c r="AI46" s="6">
        <v>14660.343999999999</v>
      </c>
      <c r="AJ46" s="6">
        <v>145379.696</v>
      </c>
      <c r="AK46" s="6">
        <v>105315.92</v>
      </c>
      <c r="AL46" s="6">
        <v>331054.68800000002</v>
      </c>
      <c r="AM46" s="6">
        <v>995.30200000000002</v>
      </c>
      <c r="AN46" s="6">
        <v>316</v>
      </c>
      <c r="AO46" s="6">
        <v>7.2</v>
      </c>
      <c r="AP46" s="6">
        <v>518980</v>
      </c>
      <c r="AQ46" s="6">
        <v>42407</v>
      </c>
      <c r="AR46" s="6">
        <v>41862</v>
      </c>
      <c r="AS46" s="6">
        <v>32390</v>
      </c>
      <c r="AT46" s="6">
        <v>22106</v>
      </c>
      <c r="AU46" s="6">
        <v>15790</v>
      </c>
      <c r="AV46" s="6">
        <v>6522</v>
      </c>
      <c r="AW46" s="6">
        <v>20.965074000000001</v>
      </c>
      <c r="AX46" s="6">
        <v>7253.9939999999997</v>
      </c>
      <c r="AY46" s="6">
        <v>679.84208000000001</v>
      </c>
      <c r="AZ46" s="6">
        <v>20.788</v>
      </c>
      <c r="BA46" s="6">
        <v>10514</v>
      </c>
      <c r="BB46" s="6">
        <v>45.076000000000001</v>
      </c>
      <c r="BC46" s="6">
        <v>113989.152</v>
      </c>
      <c r="BD46" s="6">
        <v>276356.73599999998</v>
      </c>
      <c r="BE46" s="6">
        <v>3734.5868</v>
      </c>
      <c r="BF46" s="6">
        <v>1712.0419999999999</v>
      </c>
      <c r="BG46" s="6">
        <v>75.248999999999995</v>
      </c>
      <c r="BH46" s="6">
        <v>367.39100000000002</v>
      </c>
      <c r="BI46" s="6">
        <v>919.64499999999998</v>
      </c>
      <c r="BJ46" s="6">
        <v>15.04</v>
      </c>
      <c r="BK46" s="6">
        <v>566.202</v>
      </c>
      <c r="BL46" s="6">
        <v>73902.700800000006</v>
      </c>
      <c r="BM46" s="6">
        <v>312117.02399999998</v>
      </c>
      <c r="BN46" s="6">
        <v>7211.8864000000003</v>
      </c>
      <c r="BO46" s="6">
        <v>53589.132799999999</v>
      </c>
      <c r="BP46" s="6">
        <v>315165.37599999999</v>
      </c>
      <c r="BQ46" s="6">
        <v>326.93200000000002</v>
      </c>
      <c r="BR46" s="6">
        <v>182.07400000000001</v>
      </c>
      <c r="BS46" s="6">
        <v>1019630.561</v>
      </c>
      <c r="BT46" s="6">
        <v>1400621.537</v>
      </c>
      <c r="BU46" s="6">
        <v>630782.20799999998</v>
      </c>
      <c r="BV46" s="6">
        <v>1026670.16</v>
      </c>
      <c r="BW46" s="6">
        <v>570474.56000000006</v>
      </c>
      <c r="BX46" s="6">
        <v>1014812.96</v>
      </c>
      <c r="BY46" s="6">
        <v>158120.95999999999</v>
      </c>
      <c r="BZ46" s="6">
        <v>114464.16800000001</v>
      </c>
      <c r="CA46" s="6">
        <v>1244.3607999999999</v>
      </c>
      <c r="CB46" s="6">
        <v>109075.88</v>
      </c>
      <c r="CC46" s="6">
        <v>151703.39199999999</v>
      </c>
      <c r="CD46" s="6">
        <v>448024.03200000001</v>
      </c>
      <c r="CE46" s="6">
        <v>49127.328000000001</v>
      </c>
      <c r="CF46" s="6">
        <v>156139.32800000001</v>
      </c>
      <c r="CG46" s="6">
        <v>360900.288</v>
      </c>
      <c r="CH46" s="6">
        <v>2385.8710000000001</v>
      </c>
      <c r="CI46" s="6">
        <v>215.721</v>
      </c>
      <c r="CJ46" s="6">
        <v>1191.5999999999999</v>
      </c>
      <c r="CK46" s="6">
        <v>78.477000000000004</v>
      </c>
      <c r="CL46" s="6">
        <v>737.98</v>
      </c>
      <c r="CM46" s="6">
        <v>551.4</v>
      </c>
      <c r="CN46" s="6">
        <v>48166.1</v>
      </c>
      <c r="CO46" s="6">
        <v>1657.616</v>
      </c>
      <c r="CP46" s="6">
        <v>295451.30900000001</v>
      </c>
      <c r="CQ46" s="6">
        <v>3695090.56</v>
      </c>
      <c r="CR46" s="6">
        <v>131819.06400000001</v>
      </c>
      <c r="CS46" s="6">
        <v>516783.424</v>
      </c>
      <c r="CT46" s="6">
        <v>2955800.4539999999</v>
      </c>
      <c r="CU46" s="6">
        <v>300749.57900000003</v>
      </c>
      <c r="CV46" s="6">
        <v>30145.369600000002</v>
      </c>
      <c r="CW46" s="6">
        <v>63086.643199999999</v>
      </c>
      <c r="CX46" s="6">
        <v>33466.092799999999</v>
      </c>
      <c r="CY46" s="6">
        <v>168939.93599999999</v>
      </c>
      <c r="CZ46" s="6">
        <v>218511.76</v>
      </c>
      <c r="DA46" s="6">
        <v>19200.849999999999</v>
      </c>
      <c r="DB46" s="6">
        <v>151086.818</v>
      </c>
      <c r="DC46" s="6">
        <v>3079.8</v>
      </c>
      <c r="DD46" s="6">
        <v>3079.67</v>
      </c>
      <c r="DE46" s="6">
        <v>3108.02</v>
      </c>
      <c r="DF46" s="6">
        <v>0.98899999999999999</v>
      </c>
      <c r="DG46" s="1" t="s">
        <v>282</v>
      </c>
      <c r="DH46" s="4">
        <f>Table2[[#This Row],[Date]]</f>
        <v>46244</v>
      </c>
      <c r="DI46">
        <f>(DD47-Table2[[#This Row],[MWH Total]])*4000</f>
        <v>26719.999999999345</v>
      </c>
      <c r="DJ46">
        <f>(DA47-Table2[[#This Row],[PNG Meter (Outside)]])*2.936</f>
        <v>8.7786400000046996</v>
      </c>
      <c r="DK46">
        <f>(DB47-Table2[[#This Row],[PNG Meter (Inside)]])*2.936</f>
        <v>321.49200000000002</v>
      </c>
      <c r="DL46">
        <f>(BH47-Table2[[#This Row],[3F Dough cooler - 2 ]])*1000</f>
        <v>430.99999999998317</v>
      </c>
      <c r="DM46">
        <f>(BI47-Table2[[#This Row],[3F Dough Cooler- 1]])*1000</f>
        <v>273.00000000002456</v>
      </c>
      <c r="DN46">
        <f>(BJ47-Table2[[#This Row],[4F Dough Production cooling Unit]])*1000</f>
        <v>57.000000000000384</v>
      </c>
      <c r="DO46">
        <f>(BQ47-Table2[[#This Row],[3F2 - PDB 3 - Dough Production Area]])*1000</f>
        <v>276.99999999998681</v>
      </c>
      <c r="DP46">
        <f>(BR47-Table2[[#This Row],[3F3 - PDB 4 - Dough Area]])*1000</f>
        <v>155.99999999997749</v>
      </c>
      <c r="DQ46">
        <f>AC47-Table2[[#This Row],[16F1 Tray washer Panel for Light]]</f>
        <v>677.27999999979511</v>
      </c>
      <c r="DR46">
        <f>CQ47-Table2[[#This Row],[2F1 Tray Washer - 1]]</f>
        <v>1414.0800000000745</v>
      </c>
      <c r="DS46">
        <f>CS47-Table2[[#This Row],[2F5 Destacker]]</f>
        <v>248.60800000000745</v>
      </c>
      <c r="DT46">
        <f>CU47-Table2[[#This Row],[5F1 Metering (TW-2)]]</f>
        <v>400.29399999999441</v>
      </c>
      <c r="DU46">
        <f>CV47-Table2[[#This Row],[6F1 Pre soaker Tray washer]]</f>
        <v>31.555199999998877</v>
      </c>
      <c r="DV46">
        <f>CZ47-Table2[[#This Row],[6F5 Vent tray Storage]]</f>
        <v>76.207999999984168</v>
      </c>
      <c r="DW46">
        <f>I47-Table2[[#This Row],[Popeyes Meter ]]</f>
        <v>60.110000000000582</v>
      </c>
      <c r="DX46">
        <f>AZ47-Table2[[#This Row],[2F WH Chiller, Segregation Area]]</f>
        <v>0</v>
      </c>
      <c r="DY46">
        <f>BA47-Table2[[#This Row],[3F1 AC Unit WH dock cooling - 2 Nos]]</f>
        <v>27</v>
      </c>
      <c r="DZ46">
        <f>BB47-Table2[[#This Row],[3F2 AC Unit WH dock cooling - 3 Nos]]</f>
        <v>4.8999999999999488E-2</v>
      </c>
      <c r="EA46">
        <f>(BK47-Table2[[#This Row],[5F WH Perishable]])*1000</f>
        <v>282.00000000003911</v>
      </c>
      <c r="EB46">
        <f>BN47-Table2[[#This Row],[2F3 - PDB 9 - WH Dock Leveler Door ]]</f>
        <v>2.2263999999995576</v>
      </c>
      <c r="EC46">
        <f>BP47-Table2[[#This Row],[3F1 - PDB 5 - WH HSD]]</f>
        <v>99.232000000018161</v>
      </c>
      <c r="ED46">
        <f>BX47-Table2[[#This Row],[8F1 WH Dock AHU - Ventilation]]</f>
        <v>2274.3200000000652</v>
      </c>
      <c r="EE46">
        <f>BZ47-Table2[[#This Row],[8F3 ACPDB - 4 WH Dock air curtain]]</f>
        <v>29.255999999993946</v>
      </c>
      <c r="EF46">
        <f>CA47-Table2[[#This Row],[8F4 WH Light]]</f>
        <v>0</v>
      </c>
      <c r="EG46">
        <f>CC47-Table2[[#This Row],[9F1 - PDB 10 - WH Dock door &amp; Office]]</f>
        <v>132.68799999999464</v>
      </c>
      <c r="EH46">
        <f>CD47-Table2[[#This Row],[9F2 - PDB 11 - WH flycatchers]]</f>
        <v>216.76799999998184</v>
      </c>
      <c r="EI46">
        <f>CE47-Table2[[#This Row],[9F3 - PDB 12 - Other items]]</f>
        <v>4.438399999999092</v>
      </c>
      <c r="EJ46">
        <f>CR47-Table2[[#This Row],[2F3 - PDB 1 - Dock 1 to 4 ]]</f>
        <v>66.015999999974156</v>
      </c>
      <c r="EK46">
        <f>BM47-Table2[[#This Row],[2F2 - PDB 3 - WH Truck &amp; Battery Charging]]</f>
        <v>351.93600000004517</v>
      </c>
      <c r="EL46">
        <f>(CK47-Table2[[#This Row],[PDB - 11 Truck Charging]])*1000</f>
        <v>46.999999999997044</v>
      </c>
      <c r="EM46">
        <f>P47-Table2[[#This Row],[5F3 Admin Area]]</f>
        <v>387.07199999992736</v>
      </c>
      <c r="EN46">
        <f>AH47-Table2[[#This Row],[2F5 Main Gate-1 Piller -1]]</f>
        <v>111.01600000000326</v>
      </c>
      <c r="EO46">
        <f>CW47-Table2[[#This Row],[6F2 Ground Floor AC]]</f>
        <v>29.024000000004889</v>
      </c>
      <c r="EP46">
        <f>CX47-Table2[[#This Row],[6F3 ACBD -1 (First floor AC)]]</f>
        <v>0</v>
      </c>
      <c r="EQ46">
        <f>CY47-Table2[[#This Row],[6F4 ACBD - 2 (Second &amp; Third floor AC)]]</f>
        <v>137.45600000000559</v>
      </c>
      <c r="ER46">
        <f>(BC47-Table2[[#This Row],[4F Old BMC cooling Unit]])</f>
        <v>0.84799999999813735</v>
      </c>
      <c r="ES46">
        <f>BO47-Table2[[#This Row],[2F4 - Old BMC]]</f>
        <v>0</v>
      </c>
      <c r="ET46">
        <f>Y47-Table2[[#This Row],[14F2 New CK]]</f>
        <v>1559.5200000000186</v>
      </c>
      <c r="EU46">
        <f>(CL47-Table2[[#This Row],[OLD Ck Panel-1]])*1000</f>
        <v>658.99999999999181</v>
      </c>
      <c r="EV46">
        <f>CM47-Table2[[#This Row],[2F4 Old CK Blast (Blue star)]]</f>
        <v>0</v>
      </c>
      <c r="EW46">
        <f>CN47-Table2[[#This Row],[3F6 Old CK Blast (Carrier)]]</f>
        <v>535.5</v>
      </c>
      <c r="EX46">
        <f>(CO47-Table2[[#This Row],[Old CK Panel -2]])*1000</f>
        <v>1066.0000000000309</v>
      </c>
      <c r="EY46">
        <f>N47-Table2[[#This Row],[4F1 Main UPS 1/C -1]]</f>
        <v>924.80000000004657</v>
      </c>
      <c r="EZ46">
        <f>Z47-Table2[[#This Row],[15F1 Main UPS Panel - I/C - 2]]</f>
        <v>0</v>
      </c>
      <c r="FA46">
        <f>BF47-Table2[[#This Row],[2F CLC -1 AC unit - 2]]</f>
        <v>0</v>
      </c>
      <c r="FB46">
        <f>(BG47-Table2[[#This Row],[2F CLC Anti room]])*1000</f>
        <v>34.000000000006025</v>
      </c>
      <c r="FC46">
        <f>BW47-Table2[[#This Row],[7F3 CLC Power Panel]]</f>
        <v>217.08799999998882</v>
      </c>
      <c r="FD46">
        <f>(CI47-Table2[[#This Row],[PDB - 17 CLC Section ]])*1000</f>
        <v>157.99999999998704</v>
      </c>
      <c r="FE46">
        <f>(W47-Table2[[#This Row],[13F3 Water &amp; Lift Old CK]])*1000</f>
        <v>573.49999999996726</v>
      </c>
      <c r="FF46">
        <f>AA47-Table2[[#This Row],[15F2 New ETP Panel]]</f>
        <v>258.30400000000373</v>
      </c>
      <c r="FG46">
        <f>AL47-Table2[[#This Row],[3F4 Old ETP Panel]]</f>
        <v>71.743999999947846</v>
      </c>
      <c r="FH46">
        <f>AF47-Table2[[#This Row],[2F1 RO Plant]]</f>
        <v>591.80799999996088</v>
      </c>
      <c r="FI46">
        <f>AK47-Table2[[#This Row],[3F3 Fire Hydrant Panel]]</f>
        <v>10.263999999995576</v>
      </c>
      <c r="FJ46">
        <f>R47-Table2[[#This Row],[7F1 Freon System Panel]]</f>
        <v>5464.320000000298</v>
      </c>
      <c r="FK46">
        <f>(AE47-Table2[[#This Row],[21F1 Refrigeration Ammonia]])*1000</f>
        <v>7925.600000000486</v>
      </c>
      <c r="FL46">
        <f>(AG47-Table2[[#This Row],[2F3 Air Compressor]])*1000</f>
        <v>1280.9999999999491</v>
      </c>
      <c r="FM46">
        <f>(AX47-Table2[[#This Row],[Solar Reading Panel II]])*1000</f>
        <v>1703.0000000004293</v>
      </c>
      <c r="FN46">
        <f>AI47-Table2[[#This Row],[3F1 Maintenance Workshop]]</f>
        <v>6.7648000000008324</v>
      </c>
      <c r="FO46">
        <f>BD47-Table2[[#This Row],[4F B2B unit ]]</f>
        <v>37.024000000033993</v>
      </c>
      <c r="FP46">
        <f>BL47-Table2[[#This Row],[2F1 - PDB 6 - Bread, B2B section]]</f>
        <v>174.29119999999239</v>
      </c>
      <c r="FQ46">
        <f>(CG47-Table2[[#This Row],[9F5 - PDB 14 - Bread Lift]])</f>
        <v>3.5520000000251457</v>
      </c>
      <c r="FR46">
        <f>CJ47-Table2[[#This Row],[PDB - 16 Bread Section]]</f>
        <v>0</v>
      </c>
      <c r="FS46">
        <f>BU47-Table2[[#This Row],[7F1 Donut Production area]]</f>
        <v>233.92000000004191</v>
      </c>
      <c r="FT46">
        <f>CB47-Table2[[#This Row],[8F5 Donut Ban Bary]]</f>
        <v>48.855999999999767</v>
      </c>
      <c r="FU46">
        <f>CF47-Table2[[#This Row],[9F4 - PDB 13 - Donut Sink Geyser area]]</f>
        <v>25.423999999999069</v>
      </c>
      <c r="FV46">
        <f>BV47-Table2[[#This Row],[7F2 Flour Silo]]</f>
        <v>463.35999999998603</v>
      </c>
      <c r="FW46">
        <f>BY47-Table2[[#This Row],[8F2 ACPDB - 3 SILO Ventilation]]</f>
        <v>42.543999999994412</v>
      </c>
      <c r="FX46">
        <f>J47-Table2[[#This Row],[DG 1010KVA Running Hours]]</f>
        <v>0</v>
      </c>
      <c r="FY46">
        <f>K47-Table2[[#This Row],[DG 1010 KVA Meter Reading]]</f>
        <v>0</v>
      </c>
      <c r="FZ46">
        <f>L47-Table2[[#This Row],[GG 1010 KVA Running Hours]]</f>
        <v>0</v>
      </c>
      <c r="GA46">
        <f>M47-Table2[[#This Row],[GG 1010 KVA Meter Reading]]</f>
        <v>0</v>
      </c>
    </row>
    <row r="47" spans="1:183" x14ac:dyDescent="0.35">
      <c r="A47" s="1">
        <v>57</v>
      </c>
      <c r="B47" s="2">
        <v>46245.406956018516</v>
      </c>
      <c r="C47" s="2">
        <v>46245.445868055554</v>
      </c>
      <c r="D47" s="1" t="s">
        <v>111</v>
      </c>
      <c r="E47" s="1"/>
      <c r="F47" s="1"/>
      <c r="G47" s="3">
        <v>46245</v>
      </c>
      <c r="H47" s="1" t="s">
        <v>186</v>
      </c>
      <c r="I47" s="6">
        <v>7034.2120000000004</v>
      </c>
      <c r="J47" s="6">
        <v>4276.3</v>
      </c>
      <c r="K47" s="6">
        <v>1777570</v>
      </c>
      <c r="L47" s="6">
        <v>456</v>
      </c>
      <c r="M47" s="6">
        <v>191.81</v>
      </c>
      <c r="N47" s="6">
        <v>1875347.2</v>
      </c>
      <c r="O47" s="6">
        <v>4612337.5999999996</v>
      </c>
      <c r="P47" s="6">
        <v>648575.87199999997</v>
      </c>
      <c r="Q47" s="6">
        <v>8110879.3600000003</v>
      </c>
      <c r="R47" s="6">
        <v>5580991.3600000003</v>
      </c>
      <c r="S47" s="6">
        <v>7386571.5199999996</v>
      </c>
      <c r="T47" s="6">
        <v>43294685.538999997</v>
      </c>
      <c r="U47" s="6">
        <v>2111687.52</v>
      </c>
      <c r="V47" s="6">
        <v>5129127.3600000003</v>
      </c>
      <c r="W47" s="6">
        <v>1597.2561000000001</v>
      </c>
      <c r="X47" s="6">
        <v>775913.66399999999</v>
      </c>
      <c r="Y47" s="6">
        <v>1101993.28</v>
      </c>
      <c r="Z47" s="6">
        <v>2777.8894</v>
      </c>
      <c r="AA47" s="6">
        <v>670629.88800000004</v>
      </c>
      <c r="AB47" s="6">
        <v>421364.09600000002</v>
      </c>
      <c r="AC47" s="6">
        <v>2144415.52</v>
      </c>
      <c r="AD47" s="6">
        <v>4130104.4389999998</v>
      </c>
      <c r="AE47" s="6">
        <v>12855.779200000001</v>
      </c>
      <c r="AF47" s="6">
        <v>879474.88</v>
      </c>
      <c r="AG47" s="6">
        <v>1408.299</v>
      </c>
      <c r="AH47" s="6">
        <v>134165.592</v>
      </c>
      <c r="AI47" s="6">
        <v>14667.1088</v>
      </c>
      <c r="AJ47" s="6">
        <v>145380.03200000001</v>
      </c>
      <c r="AK47" s="6">
        <v>105326.18399999999</v>
      </c>
      <c r="AL47" s="6">
        <v>331126.43199999997</v>
      </c>
      <c r="AM47" s="6">
        <v>995.93600000000004</v>
      </c>
      <c r="AN47" s="6">
        <v>284.8</v>
      </c>
      <c r="AO47" s="6">
        <v>7</v>
      </c>
      <c r="AP47" s="6">
        <v>529181</v>
      </c>
      <c r="AQ47" s="6">
        <v>42430</v>
      </c>
      <c r="AR47" s="6">
        <v>41885</v>
      </c>
      <c r="AS47" s="6">
        <v>32390</v>
      </c>
      <c r="AT47" s="6">
        <v>22106</v>
      </c>
      <c r="AU47" s="6">
        <v>15813</v>
      </c>
      <c r="AV47" s="6">
        <v>6534</v>
      </c>
      <c r="AW47" s="6">
        <v>20.972818</v>
      </c>
      <c r="AX47" s="6">
        <v>7255.6970000000001</v>
      </c>
      <c r="AY47" s="6">
        <v>680.00152000000003</v>
      </c>
      <c r="AZ47" s="6">
        <v>20.788</v>
      </c>
      <c r="BA47" s="6">
        <v>10541</v>
      </c>
      <c r="BB47" s="6">
        <v>45.125</v>
      </c>
      <c r="BC47" s="6">
        <v>113990</v>
      </c>
      <c r="BD47" s="6">
        <v>276393.76</v>
      </c>
      <c r="BE47" s="6">
        <v>3735.9088000000002</v>
      </c>
      <c r="BF47" s="6">
        <v>1712.0419999999999</v>
      </c>
      <c r="BG47" s="6">
        <v>75.283000000000001</v>
      </c>
      <c r="BH47" s="6">
        <v>367.822</v>
      </c>
      <c r="BI47" s="6">
        <v>919.91800000000001</v>
      </c>
      <c r="BJ47" s="6">
        <v>15.097</v>
      </c>
      <c r="BK47" s="6">
        <v>566.48400000000004</v>
      </c>
      <c r="BL47" s="6">
        <v>74076.991999999998</v>
      </c>
      <c r="BM47" s="6">
        <v>312468.96000000002</v>
      </c>
      <c r="BN47" s="6">
        <v>7214.1127999999999</v>
      </c>
      <c r="BO47" s="6">
        <v>53589.132799999999</v>
      </c>
      <c r="BP47" s="6">
        <v>315264.60800000001</v>
      </c>
      <c r="BQ47" s="6">
        <v>327.209</v>
      </c>
      <c r="BR47" s="6">
        <v>182.23</v>
      </c>
      <c r="BS47" s="6">
        <v>1020775.7169999999</v>
      </c>
      <c r="BT47" s="6">
        <v>1400621.5379999999</v>
      </c>
      <c r="BU47" s="6">
        <v>631016.12800000003</v>
      </c>
      <c r="BV47" s="6">
        <v>1027133.52</v>
      </c>
      <c r="BW47" s="6">
        <v>570691.64800000004</v>
      </c>
      <c r="BX47" s="6">
        <v>1017087.28</v>
      </c>
      <c r="BY47" s="6">
        <v>158163.50399999999</v>
      </c>
      <c r="BZ47" s="6">
        <v>114493.424</v>
      </c>
      <c r="CA47" s="6">
        <v>1244.3607999999999</v>
      </c>
      <c r="CB47" s="6">
        <v>109124.736</v>
      </c>
      <c r="CC47" s="6">
        <v>151836.07999999999</v>
      </c>
      <c r="CD47" s="6">
        <v>448240.8</v>
      </c>
      <c r="CE47" s="6">
        <v>49131.7664</v>
      </c>
      <c r="CF47" s="6">
        <v>156164.75200000001</v>
      </c>
      <c r="CG47" s="6">
        <v>360903.84</v>
      </c>
      <c r="CH47" s="6">
        <v>2385.8710000000001</v>
      </c>
      <c r="CI47" s="6">
        <v>215.87899999999999</v>
      </c>
      <c r="CJ47" s="6">
        <v>1191.5999999999999</v>
      </c>
      <c r="CK47" s="6">
        <v>78.524000000000001</v>
      </c>
      <c r="CL47" s="6">
        <v>738.63900000000001</v>
      </c>
      <c r="CM47" s="6">
        <v>551.4</v>
      </c>
      <c r="CN47" s="6">
        <v>48701.599999999999</v>
      </c>
      <c r="CO47" s="6">
        <v>1658.682</v>
      </c>
      <c r="CP47" s="6">
        <v>295663.57299999997</v>
      </c>
      <c r="CQ47" s="6">
        <v>3696504.64</v>
      </c>
      <c r="CR47" s="6">
        <v>131885.07999999999</v>
      </c>
      <c r="CS47" s="6">
        <v>517032.03200000001</v>
      </c>
      <c r="CT47" s="6">
        <v>2959431.3459999999</v>
      </c>
      <c r="CU47" s="6">
        <v>301149.87300000002</v>
      </c>
      <c r="CV47" s="6">
        <v>30176.924800000001</v>
      </c>
      <c r="CW47" s="6">
        <v>63115.667200000004</v>
      </c>
      <c r="CX47" s="6">
        <v>33466.092799999999</v>
      </c>
      <c r="CY47" s="6">
        <v>169077.39199999999</v>
      </c>
      <c r="CZ47" s="6">
        <v>218587.96799999999</v>
      </c>
      <c r="DA47" s="6">
        <v>19203.84</v>
      </c>
      <c r="DB47" s="6">
        <v>151196.318</v>
      </c>
      <c r="DC47" s="6">
        <v>3086.48</v>
      </c>
      <c r="DD47" s="6">
        <v>3086.35</v>
      </c>
      <c r="DE47" s="6">
        <v>3114.91</v>
      </c>
      <c r="DF47" s="6">
        <v>0.97899999999999998</v>
      </c>
      <c r="DG47" s="1" t="s">
        <v>283</v>
      </c>
      <c r="DH47" s="4">
        <f>Table2[[#This Row],[Date]]</f>
        <v>46245</v>
      </c>
      <c r="DI47">
        <f>(DD48-Table2[[#This Row],[MWH Total]])*4000</f>
        <v>28680.000000000291</v>
      </c>
      <c r="DJ47">
        <f>(DA48-Table2[[#This Row],[PNG Meter (Outside)]])*2.936</f>
        <v>9.5713599999953001</v>
      </c>
      <c r="DK47">
        <f>(DB48-Table2[[#This Row],[PNG Meter (Inside)]])*2.936</f>
        <v>413.26255200003624</v>
      </c>
      <c r="DL47">
        <f>(BH48-Table2[[#This Row],[3F Dough cooler - 2 ]])*1000</f>
        <v>449.00000000001228</v>
      </c>
      <c r="DM47" s="1">
        <f>(BI48-Table2[[#This Row],[3F Dough Cooler- 1]])*1000</f>
        <v>72.999999999979082</v>
      </c>
      <c r="DN47">
        <f>(BJ48-Table2[[#This Row],[4F Dough Production cooling Unit]])*1000</f>
        <v>54.00000000000027</v>
      </c>
      <c r="DO47">
        <f>(BQ48-Table2[[#This Row],[3F2 - PDB 3 - Dough Production Area]])*1000</f>
        <v>264.00000000001</v>
      </c>
      <c r="DP47">
        <f>(BR48-Table2[[#This Row],[3F3 - PDB 4 - Dough Area]])*1000</f>
        <v>159.00000000002024</v>
      </c>
      <c r="DQ47">
        <f>AC48-Table2[[#This Row],[16F1 Tray washer Panel for Light]]</f>
        <v>674.72000000020489</v>
      </c>
      <c r="DR47">
        <f>CQ48-Table2[[#This Row],[2F1 Tray Washer - 1]]</f>
        <v>1389.4399999999441</v>
      </c>
      <c r="DS47">
        <f>CS48-Table2[[#This Row],[2F5 Destacker]]</f>
        <v>364.99199999996927</v>
      </c>
      <c r="DT47">
        <f>CU48-Table2[[#This Row],[5F1 Metering (TW-2)]]</f>
        <v>284.91899999999441</v>
      </c>
      <c r="DU47">
        <f>CV48-Table2[[#This Row],[6F1 Pre soaker Tray washer]]</f>
        <v>3.0527999999976601</v>
      </c>
      <c r="DV47">
        <f>CZ48-Table2[[#This Row],[6F5 Vent tray Storage]]</f>
        <v>82.096000000019558</v>
      </c>
      <c r="DW47">
        <f>I48-Table2[[#This Row],[Popeyes Meter ]]</f>
        <v>15.149999999999636</v>
      </c>
      <c r="DX47">
        <f>AZ48-Table2[[#This Row],[2F WH Chiller, Segregation Area]]</f>
        <v>0</v>
      </c>
      <c r="DY47" s="1">
        <f>BA48-Table2[[#This Row],[3F1 AC Unit WH dock cooling - 2 Nos]]</f>
        <v>29</v>
      </c>
      <c r="DZ47">
        <f>BB48-Table2[[#This Row],[3F2 AC Unit WH dock cooling - 3 Nos]]</f>
        <v>4.2999999999999261E-2</v>
      </c>
      <c r="EA47">
        <f>(BK48-Table2[[#This Row],[5F WH Perishable]])*1000</f>
        <v>288.00000000001091</v>
      </c>
      <c r="EB47">
        <f>BN48-Table2[[#This Row],[2F3 - PDB 9 - WH Dock Leveler Door ]]</f>
        <v>2.2615999999998166</v>
      </c>
      <c r="EC47">
        <f>BP48-Table2[[#This Row],[3F1 - PDB 5 - WH HSD]]</f>
        <v>108.96000000002095</v>
      </c>
      <c r="ED47">
        <f>BX48-Table2[[#This Row],[8F1 WH Dock AHU - Ventilation]]</f>
        <v>2325.1999999999534</v>
      </c>
      <c r="EE47">
        <f>BZ48-Table2[[#This Row],[8F3 ACPDB - 4 WH Dock air curtain]]</f>
        <v>28.872000000003027</v>
      </c>
      <c r="EF47">
        <f>CA48-Table2[[#This Row],[8F4 WH Light]]</f>
        <v>0</v>
      </c>
      <c r="EG47">
        <f>CC48-Table2[[#This Row],[9F1 - PDB 10 - WH Dock door &amp; Office]]</f>
        <v>141.61600000000908</v>
      </c>
      <c r="EH47">
        <f>CD48-Table2[[#This Row],[9F2 - PDB 11 - WH flycatchers]]</f>
        <v>189.24800000002142</v>
      </c>
      <c r="EI47">
        <f>CE48-Table2[[#This Row],[9F3 - PDB 12 - Other items]]</f>
        <v>1.5904000000009546</v>
      </c>
      <c r="EJ47">
        <f>CR48-Table2[[#This Row],[2F3 - PDB 1 - Dock 1 to 4 ]]</f>
        <v>59.312000000005355</v>
      </c>
      <c r="EK47">
        <f>BM48-Table2[[#This Row],[2F2 - PDB 3 - WH Truck &amp; Battery Charging]]</f>
        <v>585.63199999998324</v>
      </c>
      <c r="EL47">
        <f>(CK48-Table2[[#This Row],[PDB - 11 Truck Charging]])*1000</f>
        <v>28.999999999996362</v>
      </c>
      <c r="EM47">
        <f>P48-Table2[[#This Row],[5F3 Admin Area]]</f>
        <v>370.56000000005588</v>
      </c>
      <c r="EN47">
        <f>AH48-Table2[[#This Row],[2F5 Main Gate-1 Piller -1]]</f>
        <v>108.67999999999302</v>
      </c>
      <c r="EO47">
        <f>CW48-Table2[[#This Row],[6F2 Ground Floor AC]]</f>
        <v>32.627199999995355</v>
      </c>
      <c r="EP47">
        <f>CX48-Table2[[#This Row],[6F3 ACBD -1 (First floor AC)]]</f>
        <v>0</v>
      </c>
      <c r="EQ47">
        <f>CY48-Table2[[#This Row],[6F4 ACBD - 2 (Second &amp; Third floor AC)]]</f>
        <v>127.26399999999558</v>
      </c>
      <c r="ER47">
        <f>(BC48-Table2[[#This Row],[4F Old BMC cooling Unit]])</f>
        <v>0</v>
      </c>
      <c r="ES47">
        <f>BO48-Table2[[#This Row],[2F4 - Old BMC]]</f>
        <v>0</v>
      </c>
      <c r="ET47">
        <f>Y48-Table2[[#This Row],[14F2 New CK]]</f>
        <v>1219.3599999998696</v>
      </c>
      <c r="EU47">
        <f>(CL48-Table2[[#This Row],[OLD Ck Panel-1]])*1000</f>
        <v>644.99999999998181</v>
      </c>
      <c r="EV47">
        <f>CM48-Table2[[#This Row],[2F4 Old CK Blast (Blue star)]]</f>
        <v>0</v>
      </c>
      <c r="EW47">
        <f>CN48-Table2[[#This Row],[3F6 Old CK Blast (Carrier)]]</f>
        <v>580.80000000000291</v>
      </c>
      <c r="EX47">
        <f>(CO48-Table2[[#This Row],[Old CK Panel -2]])*1000</f>
        <v>966.99999999987085</v>
      </c>
      <c r="EY47">
        <f>N48-Table2[[#This Row],[4F1 Main UPS 1/C -1]]</f>
        <v>967.36000000010245</v>
      </c>
      <c r="EZ47">
        <f>Z48-Table2[[#This Row],[15F1 Main UPS Panel - I/C - 2]]</f>
        <v>0</v>
      </c>
      <c r="FA47">
        <f>BF48-Table2[[#This Row],[2F CLC -1 AC unit - 2]]</f>
        <v>0</v>
      </c>
      <c r="FB47">
        <f>(BG48-Table2[[#This Row],[2F CLC Anti room]])*1000</f>
        <v>33.999999999991815</v>
      </c>
      <c r="FC47">
        <f>BW48-Table2[[#This Row],[7F3 CLC Power Panel]]</f>
        <v>284.92799999995623</v>
      </c>
      <c r="FD47">
        <f>(CI48-Table2[[#This Row],[PDB - 17 CLC Section ]])*1000</f>
        <v>183.9999999999975</v>
      </c>
      <c r="FE47">
        <f>(W48-Table2[[#This Row],[13F3 Water &amp; Lift Old CK]])*1000</f>
        <v>610.79999999992651</v>
      </c>
      <c r="FF47">
        <f>AA48-Table2[[#This Row],[15F2 New ETP Panel]]</f>
        <v>282.6239999999525</v>
      </c>
      <c r="FG47">
        <f>AL48-Table2[[#This Row],[3F4 Old ETP Panel]]</f>
        <v>58.432000000029802</v>
      </c>
      <c r="FH47">
        <f>AF48-Table2[[#This Row],[2F1 RO Plant]]</f>
        <v>630.71999999997206</v>
      </c>
      <c r="FI47">
        <f>AK48-Table2[[#This Row],[3F3 Fire Hydrant Panel]]</f>
        <v>8.3680000000022119</v>
      </c>
      <c r="FJ47">
        <f>R48-Table2[[#This Row],[7F1 Freon System Panel]]</f>
        <v>5614.0800000000745</v>
      </c>
      <c r="FK47">
        <f>(AE48-Table2[[#This Row],[21F1 Refrigeration Ammonia]])*1000</f>
        <v>7937.5999999992928</v>
      </c>
      <c r="FL47">
        <f>(AG48-Table2[[#This Row],[2F3 Air Compressor]])*1000</f>
        <v>1357.9999999999472</v>
      </c>
      <c r="FM47">
        <f>(AX48-Table2[[#This Row],[Solar Reading Panel II]])*1000</f>
        <v>1823.0000000003201</v>
      </c>
      <c r="FN47">
        <f>AI48-Table2[[#This Row],[3F1 Maintenance Workshop]]</f>
        <v>4.5807999999997264</v>
      </c>
      <c r="FO47">
        <f>BD48-Table2[[#This Row],[4F B2B unit ]]</f>
        <v>79.232000000018161</v>
      </c>
      <c r="FP47">
        <f>BL48-Table2[[#This Row],[2F1 - PDB 6 - Bread, B2B section]]</f>
        <v>301.03040000000328</v>
      </c>
      <c r="FQ47">
        <f>(CG48-Table2[[#This Row],[9F5 - PDB 14 - Bread Lift]])</f>
        <v>4.5119999999878928</v>
      </c>
      <c r="FR47">
        <f>CJ48-Table2[[#This Row],[PDB - 16 Bread Section]]</f>
        <v>0</v>
      </c>
      <c r="FS47">
        <f>BU48-Table2[[#This Row],[7F1 Donut Production area]]</f>
        <v>187.19999999995343</v>
      </c>
      <c r="FT47">
        <f>CB48-Table2[[#This Row],[8F5 Donut Ban Bary]]</f>
        <v>43.063999999998487</v>
      </c>
      <c r="FU47">
        <f>CF48-Table2[[#This Row],[9F4 - PDB 13 - Donut Sink Geyser area]]</f>
        <v>17.135999999998603</v>
      </c>
      <c r="FV47">
        <f>BV48-Table2[[#This Row],[7F2 Flour Silo]]</f>
        <v>707.43999999994412</v>
      </c>
      <c r="FW47">
        <f>BY48-Table2[[#This Row],[8F2 ACPDB - 3 SILO Ventilation]]</f>
        <v>43.216000000014901</v>
      </c>
      <c r="FX47">
        <f>J48-Table2[[#This Row],[DG 1010KVA Running Hours]]</f>
        <v>0</v>
      </c>
      <c r="FY47">
        <f>K48-Table2[[#This Row],[DG 1010 KVA Meter Reading]]</f>
        <v>0</v>
      </c>
      <c r="FZ47">
        <f>L48-Table2[[#This Row],[GG 1010 KVA Running Hours]]</f>
        <v>0</v>
      </c>
      <c r="GA47">
        <f>M48-Table2[[#This Row],[GG 1010 KVA Meter Reading]]</f>
        <v>0</v>
      </c>
    </row>
    <row r="48" spans="1:183" x14ac:dyDescent="0.35">
      <c r="A48" s="1">
        <v>58</v>
      </c>
      <c r="B48" s="2">
        <v>46246.402407407404</v>
      </c>
      <c r="C48" s="2">
        <v>46246.444722222222</v>
      </c>
      <c r="D48" s="1" t="s">
        <v>111</v>
      </c>
      <c r="E48" s="1"/>
      <c r="F48" s="1"/>
      <c r="G48" s="3">
        <v>46246</v>
      </c>
      <c r="H48" s="1" t="s">
        <v>186</v>
      </c>
      <c r="I48" s="6">
        <v>7049.3620000000001</v>
      </c>
      <c r="J48" s="6">
        <v>4276.3</v>
      </c>
      <c r="K48" s="6">
        <v>1777570</v>
      </c>
      <c r="L48" s="6">
        <v>456</v>
      </c>
      <c r="M48" s="6">
        <v>191.81</v>
      </c>
      <c r="N48" s="6">
        <v>1876314.56</v>
      </c>
      <c r="O48" s="6">
        <v>4614384</v>
      </c>
      <c r="P48" s="6">
        <v>648946.43200000003</v>
      </c>
      <c r="Q48" s="6">
        <v>8113030.4000000004</v>
      </c>
      <c r="R48" s="6">
        <v>5586605.4400000004</v>
      </c>
      <c r="S48" s="6">
        <v>7390101.1200000001</v>
      </c>
      <c r="T48" s="6">
        <v>43309149.952</v>
      </c>
      <c r="U48" s="6">
        <v>2113273.2799999998</v>
      </c>
      <c r="V48" s="6">
        <v>5130938.88</v>
      </c>
      <c r="W48" s="6">
        <v>1597.8669</v>
      </c>
      <c r="X48" s="6">
        <v>776199.36</v>
      </c>
      <c r="Y48" s="6">
        <v>1103212.6399999999</v>
      </c>
      <c r="Z48" s="6">
        <v>2777.8894</v>
      </c>
      <c r="AA48" s="6">
        <v>670912.51199999999</v>
      </c>
      <c r="AB48" s="6">
        <v>421376.06400000001</v>
      </c>
      <c r="AC48" s="6">
        <v>2145090.2400000002</v>
      </c>
      <c r="AD48" s="6">
        <v>4145955.2209999999</v>
      </c>
      <c r="AE48" s="6">
        <v>12863.7168</v>
      </c>
      <c r="AF48" s="6">
        <v>880105.6</v>
      </c>
      <c r="AG48" s="6">
        <v>1409.6569999999999</v>
      </c>
      <c r="AH48" s="6">
        <v>134274.272</v>
      </c>
      <c r="AI48" s="6">
        <v>14671.6896</v>
      </c>
      <c r="AJ48" s="6">
        <v>145380.03200000001</v>
      </c>
      <c r="AK48" s="6">
        <v>105334.552</v>
      </c>
      <c r="AL48" s="6">
        <v>331184.864</v>
      </c>
      <c r="AM48" s="6">
        <v>996.60799999999995</v>
      </c>
      <c r="AN48" s="6">
        <v>312.3</v>
      </c>
      <c r="AO48" s="6">
        <v>7.1</v>
      </c>
      <c r="AP48" s="6">
        <v>540361</v>
      </c>
      <c r="AQ48" s="6">
        <v>42454</v>
      </c>
      <c r="AR48" s="6">
        <v>41909</v>
      </c>
      <c r="AS48" s="6">
        <v>32390</v>
      </c>
      <c r="AT48" s="6">
        <v>22106</v>
      </c>
      <c r="AU48" s="6">
        <v>15837</v>
      </c>
      <c r="AV48" s="6">
        <v>6549</v>
      </c>
      <c r="AW48" s="6">
        <v>20.980551999999999</v>
      </c>
      <c r="AX48" s="6">
        <v>7257.52</v>
      </c>
      <c r="AY48" s="6">
        <v>680.17376000000002</v>
      </c>
      <c r="AZ48" s="6">
        <v>20.788</v>
      </c>
      <c r="BA48" s="6">
        <v>10570</v>
      </c>
      <c r="BB48" s="6">
        <v>45.167999999999999</v>
      </c>
      <c r="BC48" s="6">
        <v>113990</v>
      </c>
      <c r="BD48" s="6">
        <v>276472.99200000003</v>
      </c>
      <c r="BE48" s="6">
        <v>3737.2636000000002</v>
      </c>
      <c r="BF48" s="6">
        <v>1712.0419999999999</v>
      </c>
      <c r="BG48" s="6">
        <v>75.316999999999993</v>
      </c>
      <c r="BH48" s="6">
        <v>368.27100000000002</v>
      </c>
      <c r="BI48" s="6">
        <v>919.99099999999999</v>
      </c>
      <c r="BJ48" s="6">
        <v>15.151</v>
      </c>
      <c r="BK48" s="6">
        <v>566.77200000000005</v>
      </c>
      <c r="BL48" s="6">
        <v>74378.022400000002</v>
      </c>
      <c r="BM48" s="6">
        <v>313054.592</v>
      </c>
      <c r="BN48" s="6">
        <v>7216.3743999999997</v>
      </c>
      <c r="BO48" s="6">
        <v>53589.132799999999</v>
      </c>
      <c r="BP48" s="6">
        <v>315373.56800000003</v>
      </c>
      <c r="BQ48" s="6">
        <v>327.47300000000001</v>
      </c>
      <c r="BR48" s="6">
        <v>182.38900000000001</v>
      </c>
      <c r="BS48" s="6">
        <v>1022338.2610000001</v>
      </c>
      <c r="BT48" s="6">
        <v>1400621.5390000001</v>
      </c>
      <c r="BU48" s="6">
        <v>631203.32799999998</v>
      </c>
      <c r="BV48" s="6">
        <v>1027840.96</v>
      </c>
      <c r="BW48" s="6">
        <v>570976.576</v>
      </c>
      <c r="BX48" s="6">
        <v>1019412.48</v>
      </c>
      <c r="BY48" s="6">
        <v>158206.72</v>
      </c>
      <c r="BZ48" s="6">
        <v>114522.296</v>
      </c>
      <c r="CA48" s="6">
        <v>1244.3607999999999</v>
      </c>
      <c r="CB48" s="6">
        <v>109167.8</v>
      </c>
      <c r="CC48" s="6">
        <v>151977.696</v>
      </c>
      <c r="CD48" s="6">
        <v>448430.04800000001</v>
      </c>
      <c r="CE48" s="6">
        <v>49133.356800000001</v>
      </c>
      <c r="CF48" s="6">
        <v>156181.88800000001</v>
      </c>
      <c r="CG48" s="6">
        <v>360908.35200000001</v>
      </c>
      <c r="CH48" s="6">
        <v>2385.8710000000001</v>
      </c>
      <c r="CI48" s="6">
        <v>216.06299999999999</v>
      </c>
      <c r="CJ48" s="6">
        <v>1191.5999999999999</v>
      </c>
      <c r="CK48" s="6">
        <v>78.552999999999997</v>
      </c>
      <c r="CL48" s="6">
        <v>739.28399999999999</v>
      </c>
      <c r="CM48" s="6">
        <v>551.4</v>
      </c>
      <c r="CN48" s="6">
        <v>49282.400000000001</v>
      </c>
      <c r="CO48" s="6">
        <v>1659.6489999999999</v>
      </c>
      <c r="CP48" s="6">
        <v>295862.09600000002</v>
      </c>
      <c r="CQ48" s="6">
        <v>3697894.08</v>
      </c>
      <c r="CR48" s="6">
        <v>131944.39199999999</v>
      </c>
      <c r="CS48" s="6">
        <v>517397.02399999998</v>
      </c>
      <c r="CT48" s="6">
        <v>2963027.2</v>
      </c>
      <c r="CU48" s="6">
        <v>301434.79200000002</v>
      </c>
      <c r="CV48" s="6">
        <v>30179.977599999998</v>
      </c>
      <c r="CW48" s="6">
        <v>63148.294399999999</v>
      </c>
      <c r="CX48" s="6">
        <v>33466.092799999999</v>
      </c>
      <c r="CY48" s="6">
        <v>169204.65599999999</v>
      </c>
      <c r="CZ48" s="6">
        <v>218670.06400000001</v>
      </c>
      <c r="DA48" s="6">
        <v>19207.099999999999</v>
      </c>
      <c r="DB48" s="6">
        <v>151337.07500000001</v>
      </c>
      <c r="DC48" s="6">
        <v>3093.65</v>
      </c>
      <c r="DD48" s="6">
        <v>3093.52</v>
      </c>
      <c r="DE48" s="6">
        <v>3122.28</v>
      </c>
      <c r="DF48" s="6">
        <v>0.98899999999999999</v>
      </c>
      <c r="DG48" s="1" t="s">
        <v>242</v>
      </c>
      <c r="DH48" s="4">
        <f>Table2[[#This Row],[Date]]</f>
        <v>46246</v>
      </c>
      <c r="DI48">
        <f>(DD49-Table2[[#This Row],[MWH Total]])*4000</f>
        <v>27680.000000000291</v>
      </c>
      <c r="DJ48">
        <f>(DA49-Table2[[#This Row],[PNG Meter (Outside)]])*2.936</f>
        <v>11.479759999999573</v>
      </c>
      <c r="DK48">
        <f>(DB49-Table2[[#This Row],[PNG Meter (Inside)]])*2.936</f>
        <v>427.45517599995827</v>
      </c>
      <c r="DL48">
        <f>(BH49-Table2[[#This Row],[3F Dough cooler - 2 ]])*1000</f>
        <v>449.99999999998863</v>
      </c>
      <c r="DM48">
        <f>(BI49-Table2[[#This Row],[3F Dough Cooler- 1]])*1000</f>
        <v>96.000000000003638</v>
      </c>
      <c r="DN48">
        <f>(BJ49-Table2[[#This Row],[4F Dough Production cooling Unit]])*1000</f>
        <v>60.999999999999943</v>
      </c>
      <c r="DO48">
        <f>(BQ49-Table2[[#This Row],[3F2 - PDB 3 - Dough Production Area]])*1000</f>
        <v>293.99999999998272</v>
      </c>
      <c r="DP48">
        <f>(BR49-Table2[[#This Row],[3F3 - PDB 4 - Dough Area]])*1000</f>
        <v>170.99999999999227</v>
      </c>
      <c r="DQ48">
        <f>AC49-Table2[[#This Row],[16F1 Tray washer Panel for Light]]</f>
        <v>659.1999999997206</v>
      </c>
      <c r="DR48">
        <f>CQ49-Table2[[#This Row],[2F1 Tray Washer - 1]]</f>
        <v>1405.7599999997765</v>
      </c>
      <c r="DS48">
        <f>CS49-Table2[[#This Row],[2F5 Destacker]]</f>
        <v>382.4320000000298</v>
      </c>
      <c r="DT48">
        <f>CU49-Table2[[#This Row],[5F1 Metering (TW-2)]]</f>
        <v>289.1809999999823</v>
      </c>
      <c r="DU48">
        <f>CV49-Table2[[#This Row],[6F1 Pre soaker Tray washer]]</f>
        <v>3.6832000000031258</v>
      </c>
      <c r="DV48">
        <f>CZ49-Table2[[#This Row],[6F5 Vent tray Storage]]</f>
        <v>68.511999999987893</v>
      </c>
      <c r="DW48">
        <f>I49-Table2[[#This Row],[Popeyes Meter ]]</f>
        <v>58.109999999999673</v>
      </c>
      <c r="DX48">
        <f>AZ49-Table2[[#This Row],[2F WH Chiller, Segregation Area]]</f>
        <v>0</v>
      </c>
      <c r="DY48">
        <f>BA49-Table2[[#This Row],[3F1 AC Unit WH dock cooling - 2 Nos]]</f>
        <v>21</v>
      </c>
      <c r="DZ48">
        <f>BB49-Table2[[#This Row],[3F2 AC Unit WH dock cooling - 3 Nos]]</f>
        <v>4.5999999999999375E-2</v>
      </c>
      <c r="EA48">
        <f>(BK49-Table2[[#This Row],[5F WH Perishable]])*1000</f>
        <v>289.99999999996362</v>
      </c>
      <c r="EB48">
        <f>BN49-Table2[[#This Row],[2F3 - PDB 9 - WH Dock Leveler Door ]]</f>
        <v>2.3304000000007363</v>
      </c>
      <c r="EC48">
        <f>BP49-Table2[[#This Row],[3F1 - PDB 5 - WH HSD]]</f>
        <v>83.391999999992549</v>
      </c>
      <c r="ED48">
        <f>BX49-Table2[[#This Row],[8F1 WH Dock AHU - Ventilation]]</f>
        <v>2319.6800000000512</v>
      </c>
      <c r="EE48">
        <f>BZ49-Table2[[#This Row],[8F3 ACPDB - 4 WH Dock air curtain]]</f>
        <v>37.423999999999069</v>
      </c>
      <c r="EF48">
        <f>CA49-Table2[[#This Row],[8F4 WH Light]]</f>
        <v>0</v>
      </c>
      <c r="EG48">
        <f>CC49-Table2[[#This Row],[9F1 - PDB 10 - WH Dock door &amp; Office]]</f>
        <v>101.90400000000955</v>
      </c>
      <c r="EH48">
        <f>CD49-Table2[[#This Row],[9F2 - PDB 11 - WH flycatchers]]</f>
        <v>214.27199999999721</v>
      </c>
      <c r="EI48">
        <f>CE49-Table2[[#This Row],[9F3 - PDB 12 - Other items]]</f>
        <v>1.4752000000007683</v>
      </c>
      <c r="EJ48">
        <f>CR49-Table2[[#This Row],[2F3 - PDB 1 - Dock 1 to 4 ]]</f>
        <v>63.296000000002095</v>
      </c>
      <c r="EK48">
        <f>BM49-Table2[[#This Row],[2F2 - PDB 3 - WH Truck &amp; Battery Charging]]</f>
        <v>582.20799999998417</v>
      </c>
      <c r="EL48">
        <f>(CK49-Table2[[#This Row],[PDB - 11 Truck Charging]])*1000</f>
        <v>28.000000000005798</v>
      </c>
      <c r="EM48">
        <f>P49-Table2[[#This Row],[5F3 Admin Area]]</f>
        <v>389.43999999994412</v>
      </c>
      <c r="EN48">
        <f>AH49-Table2[[#This Row],[2F5 Main Gate-1 Piller -1]]</f>
        <v>115.95199999999022</v>
      </c>
      <c r="EO48">
        <f>CW49-Table2[[#This Row],[6F2 Ground Floor AC]]</f>
        <v>32.480000000003201</v>
      </c>
      <c r="EP48">
        <f>CX49-Table2[[#This Row],[6F3 ACBD -1 (First floor AC)]]</f>
        <v>0</v>
      </c>
      <c r="EQ48">
        <f>CY49-Table2[[#This Row],[6F4 ACBD - 2 (Second &amp; Third floor AC)]]</f>
        <v>144.01600000000326</v>
      </c>
      <c r="ER48">
        <f>(BC49-Table2[[#This Row],[4F Old BMC cooling Unit]])</f>
        <v>17.639999999999418</v>
      </c>
      <c r="ES48">
        <f>BO49-Table2[[#This Row],[2F4 - Old BMC]]</f>
        <v>0</v>
      </c>
      <c r="ET48">
        <f>Y49-Table2[[#This Row],[14F2 New CK]]</f>
        <v>1604.3200000000652</v>
      </c>
      <c r="EU48">
        <f>(CL49-Table2[[#This Row],[OLD Ck Panel-1]])*1000</f>
        <v>662.00000000003456</v>
      </c>
      <c r="EV48">
        <f>CM49-Table2[[#This Row],[2F4 Old CK Blast (Blue star)]]</f>
        <v>0</v>
      </c>
      <c r="EW48">
        <f>CN49-Table2[[#This Row],[3F6 Old CK Blast (Carrier)]]</f>
        <v>598.29999999999563</v>
      </c>
      <c r="EX48">
        <f>(CO49-Table2[[#This Row],[Old CK Panel -2]])*1000</f>
        <v>933.0000000002201</v>
      </c>
      <c r="EY48">
        <f>N49-Table2[[#This Row],[4F1 Main UPS 1/C -1]]</f>
        <v>993.76000000000931</v>
      </c>
      <c r="EZ48">
        <f>Z49-Table2[[#This Row],[15F1 Main UPS Panel - I/C - 2]]</f>
        <v>0</v>
      </c>
      <c r="FA48">
        <f>BF49-Table2[[#This Row],[2F CLC -1 AC unit - 2]]</f>
        <v>0</v>
      </c>
      <c r="FB48">
        <f>(BG49-Table2[[#This Row],[2F CLC Anti room]])*1000</f>
        <v>35.0000000000108</v>
      </c>
      <c r="FC48">
        <f>BW49-Table2[[#This Row],[7F3 CLC Power Panel]]</f>
        <v>221.50399999995716</v>
      </c>
      <c r="FD48">
        <f>(CI49-Table2[[#This Row],[PDB - 17 CLC Section ]])*1000</f>
        <v>142.00000000002433</v>
      </c>
      <c r="FE48">
        <f>(W49-Table2[[#This Row],[13F3 Water &amp; Lift Old CK]])*1000</f>
        <v>1305.2999999999884</v>
      </c>
      <c r="FF48">
        <f>AA49-Table2[[#This Row],[15F2 New ETP Panel]]</f>
        <v>267.90399999998044</v>
      </c>
      <c r="FG48">
        <f>AL49-Table2[[#This Row],[3F4 Old ETP Panel]]</f>
        <v>77.567999999970198</v>
      </c>
      <c r="FH48">
        <f>AF49-Table2[[#This Row],[2F1 RO Plant]]</f>
        <v>586.23999999999069</v>
      </c>
      <c r="FI48">
        <f>AK49-Table2[[#This Row],[3F3 Fire Hydrant Panel]]</f>
        <v>8.9199999999982538</v>
      </c>
      <c r="FJ48">
        <f>R49-Table2[[#This Row],[7F1 Freon System Panel]]</f>
        <v>6083.839999999851</v>
      </c>
      <c r="FK48">
        <f>(AE49-Table2[[#This Row],[21F1 Refrigeration Ammonia]])*1000</f>
        <v>8442.3999999999069</v>
      </c>
      <c r="FL48">
        <f>(AG49-Table2[[#This Row],[2F3 Air Compressor]])*1000</f>
        <v>1365.0000000000091</v>
      </c>
      <c r="FM48">
        <f>(AX49-Table2[[#This Row],[Solar Reading Panel II]])*1000</f>
        <v>3509.0000000000146</v>
      </c>
      <c r="FN48">
        <f>AI49-Table2[[#This Row],[3F1 Maintenance Workshop]]</f>
        <v>6.8256000000001222</v>
      </c>
      <c r="FO48">
        <f>BD49-Table2[[#This Row],[4F B2B unit ]]</f>
        <v>69.087999999988824</v>
      </c>
      <c r="FP48">
        <f>BL49-Table2[[#This Row],[2F1 - PDB 6 - Bread, B2B section]]</f>
        <v>283.88479999999981</v>
      </c>
      <c r="FQ48">
        <f>(CG49-Table2[[#This Row],[9F5 - PDB 14 - Bread Lift]])</f>
        <v>8.5119999999878928</v>
      </c>
      <c r="FR48">
        <f>CJ49-Table2[[#This Row],[PDB - 16 Bread Section]]</f>
        <v>0</v>
      </c>
      <c r="FS48">
        <f>BU49-Table2[[#This Row],[7F1 Donut Production area]]</f>
        <v>243.8399999999674</v>
      </c>
      <c r="FT48">
        <f>CB49-Table2[[#This Row],[8F5 Donut Ban Bary]]</f>
        <v>49</v>
      </c>
      <c r="FU48">
        <f>CF49-Table2[[#This Row],[9F4 - PDB 13 - Donut Sink Geyser area]]</f>
        <v>16.335999999981141</v>
      </c>
      <c r="FV48">
        <f>BV49-Table2[[#This Row],[7F2 Flour Silo]]</f>
        <v>848.96000000007916</v>
      </c>
      <c r="FW48">
        <f>BY49-Table2[[#This Row],[8F2 ACPDB - 3 SILO Ventilation]]</f>
        <v>43.056000000011409</v>
      </c>
      <c r="FX48">
        <f>J49-Table2[[#This Row],[DG 1010KVA Running Hours]]</f>
        <v>0</v>
      </c>
      <c r="FY48">
        <f>K49-Table2[[#This Row],[DG 1010 KVA Meter Reading]]</f>
        <v>0</v>
      </c>
      <c r="FZ48">
        <f>L49-Table2[[#This Row],[GG 1010 KVA Running Hours]]</f>
        <v>0</v>
      </c>
      <c r="GA48">
        <f>M49-Table2[[#This Row],[GG 1010 KVA Meter Reading]]</f>
        <v>0</v>
      </c>
    </row>
    <row r="49" spans="1:183" x14ac:dyDescent="0.35">
      <c r="A49" s="1">
        <v>59</v>
      </c>
      <c r="B49" s="2">
        <v>46247.399456018517</v>
      </c>
      <c r="C49" s="2">
        <v>46247.44321759259</v>
      </c>
      <c r="D49" s="1" t="s">
        <v>111</v>
      </c>
      <c r="E49" s="1"/>
      <c r="F49" s="1"/>
      <c r="G49" s="3">
        <v>46247</v>
      </c>
      <c r="H49" s="1" t="s">
        <v>186</v>
      </c>
      <c r="I49" s="6">
        <v>7107.4719999999998</v>
      </c>
      <c r="J49" s="6">
        <v>4276.3</v>
      </c>
      <c r="K49" s="6">
        <v>1777570</v>
      </c>
      <c r="L49" s="6">
        <v>456</v>
      </c>
      <c r="M49" s="6">
        <v>191.81</v>
      </c>
      <c r="N49" s="6">
        <v>1877308.32</v>
      </c>
      <c r="O49" s="6">
        <v>4616450.88</v>
      </c>
      <c r="P49" s="6">
        <v>649335.87199999997</v>
      </c>
      <c r="Q49" s="6">
        <v>8116683.5199999996</v>
      </c>
      <c r="R49" s="6">
        <v>5592689.2800000003</v>
      </c>
      <c r="S49" s="6">
        <v>7393642.2400000002</v>
      </c>
      <c r="T49" s="6">
        <v>43322384.799000002</v>
      </c>
      <c r="U49" s="6">
        <v>2114831.52</v>
      </c>
      <c r="V49" s="6">
        <v>5132800.96</v>
      </c>
      <c r="W49" s="6">
        <v>1599.1722</v>
      </c>
      <c r="X49" s="6">
        <v>776488.70400000003</v>
      </c>
      <c r="Y49" s="6">
        <v>1104816.96</v>
      </c>
      <c r="Z49" s="6">
        <v>2777.8894</v>
      </c>
      <c r="AA49" s="6">
        <v>671180.41599999997</v>
      </c>
      <c r="AB49" s="6">
        <v>421389.02399999998</v>
      </c>
      <c r="AC49" s="6">
        <v>2145749.44</v>
      </c>
      <c r="AD49" s="6">
        <v>4162481.2949999999</v>
      </c>
      <c r="AE49" s="6">
        <v>12872.1592</v>
      </c>
      <c r="AF49" s="6">
        <v>880691.84</v>
      </c>
      <c r="AG49" s="6">
        <v>1411.0219999999999</v>
      </c>
      <c r="AH49" s="6">
        <v>134390.22399999999</v>
      </c>
      <c r="AI49" s="6">
        <v>14678.5152</v>
      </c>
      <c r="AJ49" s="6">
        <v>145380.03200000001</v>
      </c>
      <c r="AK49" s="6">
        <v>105343.47199999999</v>
      </c>
      <c r="AL49" s="6">
        <v>331262.43199999997</v>
      </c>
      <c r="AM49" s="6">
        <v>997.38800000000003</v>
      </c>
      <c r="AN49" s="6">
        <v>225.8</v>
      </c>
      <c r="AO49" s="6">
        <v>7</v>
      </c>
      <c r="AP49" s="6">
        <v>551625</v>
      </c>
      <c r="AQ49" s="6">
        <v>42478</v>
      </c>
      <c r="AR49" s="6">
        <v>41933</v>
      </c>
      <c r="AS49" s="6">
        <v>32390</v>
      </c>
      <c r="AT49" s="6">
        <v>22106</v>
      </c>
      <c r="AU49" s="6">
        <v>15861</v>
      </c>
      <c r="AV49" s="6">
        <v>6563</v>
      </c>
      <c r="AW49" s="6">
        <v>20.988786000000001</v>
      </c>
      <c r="AX49" s="6">
        <v>7261.0290000000005</v>
      </c>
      <c r="AY49" s="6">
        <v>680.33911999999998</v>
      </c>
      <c r="AZ49" s="6">
        <v>20.788</v>
      </c>
      <c r="BA49" s="6">
        <v>10591</v>
      </c>
      <c r="BB49" s="6">
        <v>45.213999999999999</v>
      </c>
      <c r="BC49" s="6">
        <v>114007.64</v>
      </c>
      <c r="BD49" s="6">
        <v>276542.08000000002</v>
      </c>
      <c r="BE49" s="6">
        <v>3738.6419999999998</v>
      </c>
      <c r="BF49" s="6">
        <v>1712.0419999999999</v>
      </c>
      <c r="BG49" s="6">
        <v>75.352000000000004</v>
      </c>
      <c r="BH49" s="6">
        <v>368.721</v>
      </c>
      <c r="BI49" s="6">
        <v>920.08699999999999</v>
      </c>
      <c r="BJ49" s="6">
        <v>15.212</v>
      </c>
      <c r="BK49" s="6">
        <v>567.06200000000001</v>
      </c>
      <c r="BL49" s="6">
        <v>74661.907200000001</v>
      </c>
      <c r="BM49" s="6">
        <v>313636.8</v>
      </c>
      <c r="BN49" s="6">
        <v>7218.7048000000004</v>
      </c>
      <c r="BO49" s="6">
        <v>53589.132799999999</v>
      </c>
      <c r="BP49" s="6">
        <v>315456.96000000002</v>
      </c>
      <c r="BQ49" s="6">
        <v>327.767</v>
      </c>
      <c r="BR49" s="6">
        <v>182.56</v>
      </c>
      <c r="BS49" s="6">
        <v>1023887.942</v>
      </c>
      <c r="BT49" s="6">
        <v>1400621.5390000001</v>
      </c>
      <c r="BU49" s="6">
        <v>631447.16799999995</v>
      </c>
      <c r="BV49" s="6">
        <v>1028689.92</v>
      </c>
      <c r="BW49" s="6">
        <v>571198.07999999996</v>
      </c>
      <c r="BX49" s="6">
        <v>1021732.16</v>
      </c>
      <c r="BY49" s="6">
        <v>158249.77600000001</v>
      </c>
      <c r="BZ49" s="6">
        <v>114559.72</v>
      </c>
      <c r="CA49" s="6">
        <v>1244.3607999999999</v>
      </c>
      <c r="CB49" s="6">
        <v>109216.8</v>
      </c>
      <c r="CC49" s="6">
        <v>152079.6</v>
      </c>
      <c r="CD49" s="6">
        <v>448644.32</v>
      </c>
      <c r="CE49" s="6">
        <v>49134.832000000002</v>
      </c>
      <c r="CF49" s="6">
        <v>156198.22399999999</v>
      </c>
      <c r="CG49" s="6">
        <v>360916.864</v>
      </c>
      <c r="CH49" s="6">
        <v>2385.8710000000001</v>
      </c>
      <c r="CI49" s="6">
        <v>216.20500000000001</v>
      </c>
      <c r="CJ49" s="6">
        <v>1191.5999999999999</v>
      </c>
      <c r="CK49" s="6">
        <v>78.581000000000003</v>
      </c>
      <c r="CL49" s="6">
        <v>739.94600000000003</v>
      </c>
      <c r="CM49" s="6">
        <v>551.4</v>
      </c>
      <c r="CN49" s="6">
        <v>49880.7</v>
      </c>
      <c r="CO49" s="6">
        <v>1660.5820000000001</v>
      </c>
      <c r="CP49" s="6">
        <v>296061.45400000003</v>
      </c>
      <c r="CQ49" s="6">
        <v>3699299.84</v>
      </c>
      <c r="CR49" s="6">
        <v>132007.68799999999</v>
      </c>
      <c r="CS49" s="6">
        <v>517779.45600000001</v>
      </c>
      <c r="CT49" s="6">
        <v>2966631.73</v>
      </c>
      <c r="CU49" s="6">
        <v>301723.973</v>
      </c>
      <c r="CV49" s="6">
        <v>30183.660800000001</v>
      </c>
      <c r="CW49" s="6">
        <v>63180.774400000002</v>
      </c>
      <c r="CX49" s="6">
        <v>33466.092799999999</v>
      </c>
      <c r="CY49" s="6">
        <v>169348.67199999999</v>
      </c>
      <c r="CZ49" s="6">
        <v>218738.576</v>
      </c>
      <c r="DA49" s="6">
        <v>19211.009999999998</v>
      </c>
      <c r="DB49" s="6">
        <v>151482.666</v>
      </c>
      <c r="DC49" s="6">
        <v>3100.57</v>
      </c>
      <c r="DD49" s="6">
        <v>3100.44</v>
      </c>
      <c r="DE49" s="6">
        <v>3129.34</v>
      </c>
      <c r="DF49" s="6">
        <v>0.98099999999999998</v>
      </c>
      <c r="DG49" s="1" t="s">
        <v>189</v>
      </c>
      <c r="DH49" s="4">
        <f>Table2[[#This Row],[Date]]</f>
        <v>46247</v>
      </c>
      <c r="DI49">
        <f>(DD50-Table2[[#This Row],[MWH Total]])*4000</f>
        <v>29119.999999998981</v>
      </c>
      <c r="DJ49">
        <f>(DA50-Table2[[#This Row],[PNG Meter (Outside)]])*2.936</f>
        <v>6.7528000000085449</v>
      </c>
      <c r="DK49">
        <f>(DB50-Table2[[#This Row],[PNG Meter (Inside)]])*2.936</f>
        <v>461.1017360000198</v>
      </c>
      <c r="DL49">
        <f>(BH50-Table2[[#This Row],[3F Dough cooler - 2 ]])*1000</f>
        <v>440.99999999997408</v>
      </c>
      <c r="DM49">
        <f>(BI50-Table2[[#This Row],[3F Dough Cooler- 1]])*1000</f>
        <v>475.99999999999909</v>
      </c>
      <c r="DN49">
        <f>(BJ50-Table2[[#This Row],[4F Dough Production cooling Unit]])*1000</f>
        <v>59.000000000001052</v>
      </c>
      <c r="DO49">
        <f>(BQ50-Table2[[#This Row],[3F2 - PDB 3 - Dough Production Area]])*1000</f>
        <v>302.99999999999727</v>
      </c>
      <c r="DP49">
        <f>(BR50-Table2[[#This Row],[3F3 - PDB 4 - Dough Area]])*1000</f>
        <v>169.00000000001114</v>
      </c>
      <c r="DQ49">
        <f>AC50-Table2[[#This Row],[16F1 Tray washer Panel for Light]]</f>
        <v>637.60000000009313</v>
      </c>
      <c r="DR49">
        <f>CQ50-Table2[[#This Row],[2F1 Tray Washer - 1]]</f>
        <v>1327.0400000000373</v>
      </c>
      <c r="DS49">
        <f>CS50-Table2[[#This Row],[2F5 Destacker]]</f>
        <v>334.88000000000466</v>
      </c>
      <c r="DT49">
        <f>CU50-Table2[[#This Row],[5F1 Metering (TW-2)]]</f>
        <v>308.90700000000652</v>
      </c>
      <c r="DU49">
        <f>CV50-Table2[[#This Row],[6F1 Pre soaker Tray washer]]</f>
        <v>3.6831999999994878</v>
      </c>
      <c r="DV49">
        <f>CZ50-Table2[[#This Row],[6F5 Vent tray Storage]]</f>
        <v>104.63999999998487</v>
      </c>
      <c r="DW49">
        <f>I50-Table2[[#This Row],[Popeyes Meter ]]</f>
        <v>37.680000000000291</v>
      </c>
      <c r="DX49">
        <f>AZ50-Table2[[#This Row],[2F WH Chiller, Segregation Area]]</f>
        <v>0</v>
      </c>
      <c r="DY49">
        <f>BA50-Table2[[#This Row],[3F1 AC Unit WH dock cooling - 2 Nos]]</f>
        <v>28</v>
      </c>
      <c r="DZ49">
        <f>BB50-Table2[[#This Row],[3F2 AC Unit WH dock cooling - 3 Nos]]</f>
        <v>3.6000000000001364E-2</v>
      </c>
      <c r="EA49">
        <f>(BK50-Table2[[#This Row],[5F WH Perishable]])*1000</f>
        <v>230.99999999999454</v>
      </c>
      <c r="EB49">
        <f>BN50-Table2[[#This Row],[2F3 - PDB 9 - WH Dock Leveler Door ]]</f>
        <v>4.9183999999995649</v>
      </c>
      <c r="EC49">
        <f>BP50-Table2[[#This Row],[3F1 - PDB 5 - WH HSD]]</f>
        <v>91.807999999960884</v>
      </c>
      <c r="ED49">
        <f>BX50-Table2[[#This Row],[8F1 WH Dock AHU - Ventilation]]</f>
        <v>2271.1199999999953</v>
      </c>
      <c r="EE49">
        <f>BZ50-Table2[[#This Row],[8F3 ACPDB - 4 WH Dock air curtain]]</f>
        <v>38.263999999995576</v>
      </c>
      <c r="EF49">
        <f>CA50-Table2[[#This Row],[8F4 WH Light]]</f>
        <v>0</v>
      </c>
      <c r="EG49">
        <f>CC50-Table2[[#This Row],[9F1 - PDB 10 - WH Dock door &amp; Office]]</f>
        <v>144.14400000000023</v>
      </c>
      <c r="EH49">
        <f>CD50-Table2[[#This Row],[9F2 - PDB 11 - WH flycatchers]]</f>
        <v>295.03999999997905</v>
      </c>
      <c r="EI49">
        <f>CE50-Table2[[#This Row],[9F3 - PDB 12 - Other items]]</f>
        <v>1.5103999999992084</v>
      </c>
      <c r="EJ49">
        <f>CR50-Table2[[#This Row],[2F3 - PDB 1 - Dock 1 to 4 ]]</f>
        <v>63.391999999992549</v>
      </c>
      <c r="EK49">
        <f>BM50-Table2[[#This Row],[2F2 - PDB 3 - WH Truck &amp; Battery Charging]]</f>
        <v>488.03200000000652</v>
      </c>
      <c r="EL49">
        <f>(CK50-Table2[[#This Row],[PDB - 11 Truck Charging]])*1000</f>
        <v>51.000000000001933</v>
      </c>
      <c r="EM49">
        <f>P50-Table2[[#This Row],[5F3 Admin Area]]</f>
        <v>381.50400000007357</v>
      </c>
      <c r="EN49">
        <f>AH50-Table2[[#This Row],[2F5 Main Gate-1 Piller -1]]</f>
        <v>116.60800000000745</v>
      </c>
      <c r="EO49">
        <f>CW50-Table2[[#This Row],[6F2 Ground Floor AC]]</f>
        <v>32.089599999999336</v>
      </c>
      <c r="EP49">
        <f>CX50-Table2[[#This Row],[6F3 ACBD -1 (First floor AC)]]</f>
        <v>0.29439999999885913</v>
      </c>
      <c r="EQ49">
        <f>CY50-Table2[[#This Row],[6F4 ACBD - 2 (Second &amp; Third floor AC)]]</f>
        <v>127.10400000002119</v>
      </c>
      <c r="ER49">
        <f>(BC50-Table2[[#This Row],[4F Old BMC cooling Unit]])</f>
        <v>8.7200000000011642</v>
      </c>
      <c r="ES49">
        <f>BO50-Table2[[#This Row],[2F4 - Old BMC]]</f>
        <v>0</v>
      </c>
      <c r="ET49">
        <f>Y50-Table2[[#This Row],[14F2 New CK]]</f>
        <v>1480.160000000149</v>
      </c>
      <c r="EU49">
        <f>(CL50-Table2[[#This Row],[OLD Ck Panel-1]])*1000</f>
        <v>688.99999999996453</v>
      </c>
      <c r="EV49">
        <f>CM50-Table2[[#This Row],[2F4 Old CK Blast (Blue star)]]</f>
        <v>0</v>
      </c>
      <c r="EW49">
        <f>CN50-Table2[[#This Row],[3F6 Old CK Blast (Carrier)]]</f>
        <v>587.80000000000291</v>
      </c>
      <c r="EX49">
        <f>(CO50-Table2[[#This Row],[Old CK Panel -2]])*1000</f>
        <v>1247.9999999998199</v>
      </c>
      <c r="EY49">
        <f>N50-Table2[[#This Row],[4F1 Main UPS 1/C -1]]</f>
        <v>980.47999999998137</v>
      </c>
      <c r="EZ49">
        <f>Z50-Table2[[#This Row],[15F1 Main UPS Panel - I/C - 2]]</f>
        <v>0</v>
      </c>
      <c r="FA49">
        <f>BF50-Table2[[#This Row],[2F CLC -1 AC unit - 2]]</f>
        <v>0</v>
      </c>
      <c r="FB49">
        <f>(BG50-Table2[[#This Row],[2F CLC Anti room]])*1000</f>
        <v>33.999999999991815</v>
      </c>
      <c r="FC49">
        <f>BW50-Table2[[#This Row],[7F3 CLC Power Panel]]</f>
        <v>201.47200000006706</v>
      </c>
      <c r="FD49">
        <f>(CI50-Table2[[#This Row],[PDB - 17 CLC Section ]])*1000</f>
        <v>121.99999999998568</v>
      </c>
      <c r="FE49">
        <f>(W50-Table2[[#This Row],[13F3 Water &amp; Lift Old CK]])*1000</f>
        <v>721.99999999997999</v>
      </c>
      <c r="FF49">
        <f>AA50-Table2[[#This Row],[15F2 New ETP Panel]]</f>
        <v>282.04800000006799</v>
      </c>
      <c r="FG49">
        <f>AL50-Table2[[#This Row],[3F4 Old ETP Panel]]</f>
        <v>82.336000000010245</v>
      </c>
      <c r="FH49">
        <f>AF50-Table2[[#This Row],[2F1 RO Plant]]</f>
        <v>613.56800000008661</v>
      </c>
      <c r="FI49">
        <f>AK50-Table2[[#This Row],[3F3 Fire Hydrant Panel]]</f>
        <v>8.1440000000002328</v>
      </c>
      <c r="FJ49">
        <f>R50-Table2[[#This Row],[7F1 Freon System Panel]]</f>
        <v>6405.1200000001118</v>
      </c>
      <c r="FK49">
        <f>(AE50-Table2[[#This Row],[21F1 Refrigeration Ammonia]])*1000</f>
        <v>7978.3999999999651</v>
      </c>
      <c r="FL49">
        <f>(AG50-Table2[[#This Row],[2F3 Air Compressor]])*1000</f>
        <v>1305.0000000000637</v>
      </c>
      <c r="FM49">
        <f>(AX50-Table2[[#This Row],[Solar Reading Panel II]])*1000</f>
        <v>2444.999999999709</v>
      </c>
      <c r="FN49">
        <f>AI50-Table2[[#This Row],[3F1 Maintenance Workshop]]</f>
        <v>5.5951999999997497</v>
      </c>
      <c r="FO49">
        <f>BD50-Table2[[#This Row],[4F B2B unit ]]</f>
        <v>70.271999999997206</v>
      </c>
      <c r="FP49">
        <f>BL50-Table2[[#This Row],[2F1 - PDB 6 - Bread, B2B section]]</f>
        <v>172.84479999999166</v>
      </c>
      <c r="FQ49">
        <f>(CG50-Table2[[#This Row],[9F5 - PDB 14 - Bread Lift]])</f>
        <v>7.7760000000125729</v>
      </c>
      <c r="FR49">
        <f>CJ50-Table2[[#This Row],[PDB - 16 Bread Section]]</f>
        <v>0</v>
      </c>
      <c r="FS49">
        <f>BU50-Table2[[#This Row],[7F1 Donut Production area]]</f>
        <v>255.16800000006333</v>
      </c>
      <c r="FT49">
        <f>CB50-Table2[[#This Row],[8F5 Donut Ban Bary]]</f>
        <v>41.335999999995693</v>
      </c>
      <c r="FU49">
        <f>CF50-Table2[[#This Row],[9F4 - PDB 13 - Donut Sink Geyser area]]</f>
        <v>15.6480000000156</v>
      </c>
      <c r="FV49">
        <f>BV50-Table2[[#This Row],[7F2 Flour Silo]]</f>
        <v>649.11999999999534</v>
      </c>
      <c r="FW49">
        <f>BY50-Table2[[#This Row],[8F2 ACPDB - 3 SILO Ventilation]]</f>
        <v>42.047999999980675</v>
      </c>
      <c r="FX49">
        <f>J50-Table2[[#This Row],[DG 1010KVA Running Hours]]</f>
        <v>0</v>
      </c>
      <c r="FY49">
        <f>K50-Table2[[#This Row],[DG 1010 KVA Meter Reading]]</f>
        <v>0</v>
      </c>
      <c r="FZ49">
        <f>L50-Table2[[#This Row],[GG 1010 KVA Running Hours]]</f>
        <v>0</v>
      </c>
      <c r="GA49">
        <f>M50-Table2[[#This Row],[GG 1010 KVA Meter Reading]]</f>
        <v>0</v>
      </c>
    </row>
    <row r="50" spans="1:183" x14ac:dyDescent="0.35">
      <c r="A50" s="1">
        <v>60</v>
      </c>
      <c r="B50" s="2">
        <v>46248.386030092595</v>
      </c>
      <c r="C50" s="2">
        <v>46248.424907407411</v>
      </c>
      <c r="D50" s="1" t="s">
        <v>111</v>
      </c>
      <c r="E50" s="1"/>
      <c r="F50" s="1"/>
      <c r="G50" s="3">
        <v>46248</v>
      </c>
      <c r="H50" s="1" t="s">
        <v>186</v>
      </c>
      <c r="I50" s="6">
        <v>7145.152</v>
      </c>
      <c r="J50" s="6">
        <v>4276.3</v>
      </c>
      <c r="K50" s="6">
        <v>1777570</v>
      </c>
      <c r="L50" s="6">
        <v>456</v>
      </c>
      <c r="M50" s="6">
        <v>191.81</v>
      </c>
      <c r="N50" s="6">
        <v>1878288.8</v>
      </c>
      <c r="O50" s="6">
        <v>4618479.3600000003</v>
      </c>
      <c r="P50" s="6">
        <v>649717.37600000005</v>
      </c>
      <c r="Q50" s="6">
        <v>8119676.7999999998</v>
      </c>
      <c r="R50" s="6">
        <v>5599094.4000000004</v>
      </c>
      <c r="S50" s="6">
        <v>7397333.7599999998</v>
      </c>
      <c r="T50" s="6">
        <v>43336913.052000001</v>
      </c>
      <c r="U50" s="6">
        <v>2116179.6800000002</v>
      </c>
      <c r="V50" s="6">
        <v>5134526.4000000004</v>
      </c>
      <c r="W50" s="6">
        <v>1599.8942</v>
      </c>
      <c r="X50" s="6">
        <v>776801.66399999999</v>
      </c>
      <c r="Y50" s="6">
        <v>1106297.1200000001</v>
      </c>
      <c r="Z50" s="6">
        <v>2777.8894</v>
      </c>
      <c r="AA50" s="6">
        <v>671462.46400000004</v>
      </c>
      <c r="AB50" s="6">
        <v>421399.84</v>
      </c>
      <c r="AC50" s="6">
        <v>2146387.04</v>
      </c>
      <c r="AD50" s="6">
        <v>2754882.2749999999</v>
      </c>
      <c r="AE50" s="6">
        <v>12880.1376</v>
      </c>
      <c r="AF50" s="6">
        <v>881305.40800000005</v>
      </c>
      <c r="AG50" s="6">
        <v>1412.327</v>
      </c>
      <c r="AH50" s="6">
        <v>134506.83199999999</v>
      </c>
      <c r="AI50" s="6">
        <v>14684.1104</v>
      </c>
      <c r="AJ50" s="6">
        <v>145380.03200000001</v>
      </c>
      <c r="AK50" s="6">
        <v>105351.61599999999</v>
      </c>
      <c r="AL50" s="6">
        <v>331344.76799999998</v>
      </c>
      <c r="AM50" s="6">
        <v>998.053</v>
      </c>
      <c r="AN50" s="6">
        <v>297.39999999999998</v>
      </c>
      <c r="AO50" s="6">
        <v>7.6</v>
      </c>
      <c r="AP50" s="6">
        <v>562126</v>
      </c>
      <c r="AQ50" s="6">
        <v>42501</v>
      </c>
      <c r="AR50" s="6">
        <v>41957</v>
      </c>
      <c r="AS50" s="6">
        <v>32390</v>
      </c>
      <c r="AT50" s="6">
        <v>22106</v>
      </c>
      <c r="AU50" s="6">
        <v>15885</v>
      </c>
      <c r="AV50" s="6">
        <v>6577</v>
      </c>
      <c r="AW50" s="6">
        <v>20.996562000000001</v>
      </c>
      <c r="AX50" s="6">
        <v>7263.4740000000002</v>
      </c>
      <c r="AY50" s="6">
        <v>680.50984000000005</v>
      </c>
      <c r="AZ50" s="6">
        <v>20.788</v>
      </c>
      <c r="BA50" s="6">
        <v>10619</v>
      </c>
      <c r="BB50" s="6">
        <v>45.25</v>
      </c>
      <c r="BC50" s="6">
        <v>114016.36</v>
      </c>
      <c r="BD50" s="6">
        <v>276612.35200000001</v>
      </c>
      <c r="BE50" s="6">
        <v>3739.9276</v>
      </c>
      <c r="BF50" s="6">
        <v>1712.0419999999999</v>
      </c>
      <c r="BG50" s="6">
        <v>75.385999999999996</v>
      </c>
      <c r="BH50" s="6">
        <v>369.16199999999998</v>
      </c>
      <c r="BI50" s="6">
        <v>920.56299999999999</v>
      </c>
      <c r="BJ50" s="6">
        <v>15.271000000000001</v>
      </c>
      <c r="BK50" s="6">
        <v>567.29300000000001</v>
      </c>
      <c r="BL50" s="6">
        <v>74834.751999999993</v>
      </c>
      <c r="BM50" s="6">
        <v>314124.83199999999</v>
      </c>
      <c r="BN50" s="6">
        <v>7223.6232</v>
      </c>
      <c r="BO50" s="6">
        <v>53589.132799999999</v>
      </c>
      <c r="BP50" s="6">
        <v>315548.76799999998</v>
      </c>
      <c r="BQ50" s="6">
        <v>328.07</v>
      </c>
      <c r="BR50" s="6">
        <v>182.72900000000001</v>
      </c>
      <c r="BS50" s="6">
        <v>1025214.759</v>
      </c>
      <c r="BT50" s="6">
        <v>1400621.54</v>
      </c>
      <c r="BU50" s="6">
        <v>631702.33600000001</v>
      </c>
      <c r="BV50" s="6">
        <v>1029339.04</v>
      </c>
      <c r="BW50" s="6">
        <v>571399.55200000003</v>
      </c>
      <c r="BX50" s="6">
        <v>1024003.28</v>
      </c>
      <c r="BY50" s="6">
        <v>158291.82399999999</v>
      </c>
      <c r="BZ50" s="6">
        <v>114597.984</v>
      </c>
      <c r="CA50" s="6">
        <v>1244.3607999999999</v>
      </c>
      <c r="CB50" s="6">
        <v>109258.136</v>
      </c>
      <c r="CC50" s="6">
        <v>152223.74400000001</v>
      </c>
      <c r="CD50" s="6">
        <v>448939.36</v>
      </c>
      <c r="CE50" s="6">
        <v>49136.342400000001</v>
      </c>
      <c r="CF50" s="6">
        <v>156213.872</v>
      </c>
      <c r="CG50" s="6">
        <v>360924.64</v>
      </c>
      <c r="CH50" s="6">
        <v>2385.8710000000001</v>
      </c>
      <c r="CI50" s="6">
        <v>216.327</v>
      </c>
      <c r="CJ50" s="6">
        <v>1191.5999999999999</v>
      </c>
      <c r="CK50" s="6">
        <v>78.632000000000005</v>
      </c>
      <c r="CL50" s="6">
        <v>740.63499999999999</v>
      </c>
      <c r="CM50" s="6">
        <v>551.4</v>
      </c>
      <c r="CN50" s="6">
        <v>50468.5</v>
      </c>
      <c r="CO50" s="6">
        <v>1661.83</v>
      </c>
      <c r="CP50" s="6">
        <v>296251.69699999999</v>
      </c>
      <c r="CQ50" s="6">
        <v>3700626.88</v>
      </c>
      <c r="CR50" s="6">
        <v>132071.07999999999</v>
      </c>
      <c r="CS50" s="6">
        <v>518114.33600000001</v>
      </c>
      <c r="CT50" s="6">
        <v>2970397.6090000002</v>
      </c>
      <c r="CU50" s="6">
        <v>302032.88</v>
      </c>
      <c r="CV50" s="6">
        <v>30187.344000000001</v>
      </c>
      <c r="CW50" s="6">
        <v>63212.864000000001</v>
      </c>
      <c r="CX50" s="6">
        <v>33466.387199999997</v>
      </c>
      <c r="CY50" s="6">
        <v>169475.77600000001</v>
      </c>
      <c r="CZ50" s="6">
        <v>218843.21599999999</v>
      </c>
      <c r="DA50" s="6">
        <v>19213.310000000001</v>
      </c>
      <c r="DB50" s="6">
        <v>151639.717</v>
      </c>
      <c r="DC50" s="6">
        <v>3107.85</v>
      </c>
      <c r="DD50" s="6">
        <v>3107.72</v>
      </c>
      <c r="DE50" s="6">
        <v>3136.82</v>
      </c>
      <c r="DF50" s="6">
        <v>0.98699999999999999</v>
      </c>
      <c r="DG50" s="1" t="s">
        <v>246</v>
      </c>
      <c r="DH50" s="4">
        <f>Table2[[#This Row],[Date]]</f>
        <v>46248</v>
      </c>
      <c r="DI50">
        <f>(DD51-Table2[[#This Row],[MWH Total]])*4000</f>
        <v>28959.999999999127</v>
      </c>
      <c r="DJ50">
        <f>(DA51-Table2[[#This Row],[PNG Meter (Outside)]])*2.936</f>
        <v>41.603119999994874</v>
      </c>
      <c r="DK50">
        <f>(DB51-Table2[[#This Row],[PNG Meter (Inside)]])*2.936</f>
        <v>1413.4373759999924</v>
      </c>
      <c r="DL50">
        <f>(BH51-Table2[[#This Row],[3F Dough cooler - 2 ]])*1000</f>
        <v>1889.00000000001</v>
      </c>
      <c r="DM50">
        <f>(BI51-Table2[[#This Row],[3F Dough Cooler- 1]])*1000</f>
        <v>2191.0000000000309</v>
      </c>
      <c r="DN50">
        <f>(BJ51-Table2[[#This Row],[4F Dough Production cooling Unit]])*1000</f>
        <v>253.99999999999955</v>
      </c>
      <c r="DO50">
        <f>(BQ51-Table2[[#This Row],[3F2 - PDB 3 - Dough Production Area]])*1000</f>
        <v>1108.9999999999804</v>
      </c>
      <c r="DP50">
        <f>(BR51-Table2[[#This Row],[3F3 - PDB 4 - Dough Area]])*1000</f>
        <v>669.99999999998749</v>
      </c>
      <c r="DQ50">
        <f>AC51-Table2[[#This Row],[16F1 Tray washer Panel for Light]]</f>
        <v>3407.6800000001676</v>
      </c>
      <c r="DR50">
        <f>CQ51-Table2[[#This Row],[2F1 Tray Washer - 1]]</f>
        <v>6322.8799999998882</v>
      </c>
      <c r="DS50">
        <f>CS51-Table2[[#This Row],[2F5 Destacker]]</f>
        <v>1537.5679999999702</v>
      </c>
      <c r="DT50">
        <f>CU51-Table2[[#This Row],[5F1 Metering (TW-2)]]</f>
        <v>1376.4079999999958</v>
      </c>
      <c r="DU50">
        <f>CV51-Table2[[#This Row],[6F1 Pre soaker Tray washer]]</f>
        <v>11.683199999999488</v>
      </c>
      <c r="DV50">
        <f>CZ51-Table2[[#This Row],[6F5 Vent tray Storage]]</f>
        <v>375.2160000000149</v>
      </c>
      <c r="DW50">
        <f>I51-Table2[[#This Row],[Popeyes Meter ]]</f>
        <v>159.60999999999967</v>
      </c>
      <c r="DX50">
        <f>AZ51-Table2[[#This Row],[2F WH Chiller, Segregation Area]]</f>
        <v>0</v>
      </c>
      <c r="DY50">
        <f>BA51-Table2[[#This Row],[3F1 AC Unit WH dock cooling - 2 Nos]]</f>
        <v>96</v>
      </c>
      <c r="DZ50">
        <f>BB51-Table2[[#This Row],[3F2 AC Unit WH dock cooling - 3 Nos]]</f>
        <v>0.2120000000000033</v>
      </c>
      <c r="EA50">
        <f>(BK51-Table2[[#This Row],[5F WH Perishable]])*1000</f>
        <v>1004.9999999999955</v>
      </c>
      <c r="EB50">
        <f>BN51-Table2[[#This Row],[2F3 - PDB 9 - WH Dock Leveler Door ]]</f>
        <v>26.64639999999963</v>
      </c>
      <c r="EC50">
        <f>BP51-Table2[[#This Row],[3F1 - PDB 5 - WH HSD]]</f>
        <v>497.2160000000149</v>
      </c>
      <c r="ED50">
        <f>BX51-Table2[[#This Row],[8F1 WH Dock AHU - Ventilation]]</f>
        <v>11623.599999999977</v>
      </c>
      <c r="EE50">
        <f>BZ51-Table2[[#This Row],[8F3 ACPDB - 4 WH Dock air curtain]]</f>
        <v>151.34399999999732</v>
      </c>
      <c r="EF50">
        <f>CA51-Table2[[#This Row],[8F4 WH Light]]</f>
        <v>0</v>
      </c>
      <c r="EG50">
        <f>CC51-Table2[[#This Row],[9F1 - PDB 10 - WH Dock door &amp; Office]]</f>
        <v>522.63999999998487</v>
      </c>
      <c r="EH50">
        <f>CD51-Table2[[#This Row],[9F2 - PDB 11 - WH flycatchers]]</f>
        <v>852.19200000003912</v>
      </c>
      <c r="EI50">
        <f>CE51-Table2[[#This Row],[9F3 - PDB 12 - Other items]]</f>
        <v>2.6368000000002212</v>
      </c>
      <c r="EJ50">
        <f>CR51-Table2[[#This Row],[2F3 - PDB 1 - Dock 1 to 4 ]]</f>
        <v>305.31200000000536</v>
      </c>
      <c r="EK50">
        <f>BM51-Table2[[#This Row],[2F2 - PDB 3 - WH Truck &amp; Battery Charging]]</f>
        <v>2465.1840000000084</v>
      </c>
      <c r="EL50">
        <f>(CK51-Table2[[#This Row],[PDB - 11 Truck Charging]])*1000</f>
        <v>171.99999999999704</v>
      </c>
      <c r="EM50">
        <f>P51-Table2[[#This Row],[5F3 Admin Area]]</f>
        <v>1872.3839999999618</v>
      </c>
      <c r="EN50">
        <f>AH51-Table2[[#This Row],[2F5 Main Gate-1 Piller -1]]</f>
        <v>565.44000000000233</v>
      </c>
      <c r="EO50">
        <f>CW51-Table2[[#This Row],[6F2 Ground Floor AC]]</f>
        <v>151.96159999999509</v>
      </c>
      <c r="EP50">
        <f>CX51-Table2[[#This Row],[6F3 ACBD -1 (First floor AC)]]</f>
        <v>43.209600000001956</v>
      </c>
      <c r="EQ50">
        <f>CY51-Table2[[#This Row],[6F4 ACBD - 2 (Second &amp; Third floor AC)]]</f>
        <v>595.77599999998347</v>
      </c>
      <c r="ER50">
        <f>(BC51-Table2[[#This Row],[4F Old BMC cooling Unit]])</f>
        <v>8.2079999999987194</v>
      </c>
      <c r="ES50">
        <f>BO51-Table2[[#This Row],[2F4 - Old BMC]]</f>
        <v>0</v>
      </c>
      <c r="ET50">
        <f>Y51-Table2[[#This Row],[14F2 New CK]]</f>
        <v>6514.2399999999907</v>
      </c>
      <c r="EU50">
        <f>(CL51-Table2[[#This Row],[OLD Ck Panel-1]])*1000</f>
        <v>2839.0000000000555</v>
      </c>
      <c r="EV50">
        <f>CM51-Table2[[#This Row],[2F4 Old CK Blast (Blue star)]]</f>
        <v>0</v>
      </c>
      <c r="EW50">
        <f>CN51-Table2[[#This Row],[3F6 Old CK Blast (Carrier)]]</f>
        <v>2243.6999999999971</v>
      </c>
      <c r="EX50">
        <f>(CO51-Table2[[#This Row],[Old CK Panel -2]])*1000</f>
        <v>7418.0000000001201</v>
      </c>
      <c r="EY50">
        <f>N51-Table2[[#This Row],[4F1 Main UPS 1/C -1]]</f>
        <v>4761.1199999998789</v>
      </c>
      <c r="EZ50">
        <f>Z51-Table2[[#This Row],[15F1 Main UPS Panel - I/C - 2]]</f>
        <v>0</v>
      </c>
      <c r="FA50">
        <f>BF51-Table2[[#This Row],[2F CLC -1 AC unit - 2]]</f>
        <v>2.1400000000001</v>
      </c>
      <c r="FB50">
        <f>(BG51-Table2[[#This Row],[2F CLC Anti room]])*1000</f>
        <v>115.00000000000909</v>
      </c>
      <c r="FC50">
        <f>BW51-Table2[[#This Row],[7F3 CLC Power Panel]]</f>
        <v>1038.2719999999972</v>
      </c>
      <c r="FD50">
        <f>(CI51-Table2[[#This Row],[PDB - 17 CLC Section ]])*1000</f>
        <v>668.00000000000637</v>
      </c>
      <c r="FE50">
        <f>(W51-Table2[[#This Row],[13F3 Water &amp; Lift Old CK]])*1000</f>
        <v>3021.8999999999596</v>
      </c>
      <c r="FF50">
        <f>AA51-Table2[[#This Row],[15F2 New ETP Panel]]</f>
        <v>1367.935999999987</v>
      </c>
      <c r="FG50">
        <f>AL51-Table2[[#This Row],[3F4 Old ETP Panel]]</f>
        <v>385.60000000003492</v>
      </c>
      <c r="FH50">
        <f>AF51-Table2[[#This Row],[2F1 RO Plant]]</f>
        <v>2793.3439999999246</v>
      </c>
      <c r="FI50">
        <f>AK51-Table2[[#This Row],[3F3 Fire Hydrant Panel]]</f>
        <v>54.80000000000291</v>
      </c>
      <c r="FJ50">
        <f>R51-Table2[[#This Row],[7F1 Freon System Panel]]</f>
        <v>28860.799999999814</v>
      </c>
      <c r="FK50">
        <f>(AE51-Table2[[#This Row],[21F1 Refrigeration Ammonia]])*1000</f>
        <v>36771.199999999226</v>
      </c>
      <c r="FL50">
        <f>(AG51-Table2[[#This Row],[2F3 Air Compressor]])*1000</f>
        <v>6691.0000000000309</v>
      </c>
      <c r="FM50">
        <f>(AX51-Table2[[#This Row],[Solar Reading Panel II]])*1000</f>
        <v>12563.999999999396</v>
      </c>
      <c r="FN50">
        <f>AI51-Table2[[#This Row],[3F1 Maintenance Workshop]]</f>
        <v>23.960000000000946</v>
      </c>
      <c r="FO50">
        <f>BD51-Table2[[#This Row],[4F B2B unit ]]</f>
        <v>205.53599999996368</v>
      </c>
      <c r="FP50">
        <f>BL51-Table2[[#This Row],[2F1 - PDB 6 - Bread, B2B section]]</f>
        <v>763.78240000001097</v>
      </c>
      <c r="FQ50">
        <f>(CG51-Table2[[#This Row],[9F5 - PDB 14 - Bread Lift]])</f>
        <v>14.975999999966007</v>
      </c>
      <c r="FR50">
        <f>CJ51-Table2[[#This Row],[PDB - 16 Bread Section]]</f>
        <v>0</v>
      </c>
      <c r="FS50">
        <f>BU51-Table2[[#This Row],[7F1 Donut Production area]]</f>
        <v>1006.9760000000242</v>
      </c>
      <c r="FT50">
        <f>CB51-Table2[[#This Row],[8F5 Donut Ban Bary]]</f>
        <v>243.38400000000547</v>
      </c>
      <c r="FU50">
        <f>CF51-Table2[[#This Row],[9F4 - PDB 13 - Donut Sink Geyser area]]</f>
        <v>97.199999999982538</v>
      </c>
      <c r="FV50">
        <f>BV51-Table2[[#This Row],[7F2 Flour Silo]]</f>
        <v>3158.4799999999814</v>
      </c>
      <c r="FW50">
        <f>BY51-Table2[[#This Row],[8F2 ACPDB - 3 SILO Ventilation]]</f>
        <v>217.60000000000582</v>
      </c>
      <c r="FX50">
        <f>J51-Table2[[#This Row],[DG 1010KVA Running Hours]]</f>
        <v>0</v>
      </c>
      <c r="FY50">
        <f>K51-Table2[[#This Row],[DG 1010 KVA Meter Reading]]</f>
        <v>0</v>
      </c>
      <c r="FZ50">
        <f>L51-Table2[[#This Row],[GG 1010 KVA Running Hours]]</f>
        <v>0</v>
      </c>
      <c r="GA50">
        <f>M51-Table2[[#This Row],[GG 1010 KVA Meter Reading]]</f>
        <v>0</v>
      </c>
    </row>
    <row r="51" spans="1:183" x14ac:dyDescent="0.35">
      <c r="A51" s="1">
        <v>61</v>
      </c>
      <c r="B51" s="2">
        <v>46253.405381944445</v>
      </c>
      <c r="C51" s="2">
        <v>46253.447893518518</v>
      </c>
      <c r="D51" s="1" t="s">
        <v>111</v>
      </c>
      <c r="E51" s="1"/>
      <c r="F51" s="1"/>
      <c r="G51" s="3">
        <v>46253</v>
      </c>
      <c r="H51" s="1" t="s">
        <v>291</v>
      </c>
      <c r="I51" s="6">
        <v>7304.7619999999997</v>
      </c>
      <c r="J51" s="6">
        <v>4276.3</v>
      </c>
      <c r="K51" s="6">
        <v>1777570</v>
      </c>
      <c r="L51" s="6">
        <v>456</v>
      </c>
      <c r="M51" s="6">
        <v>191.81</v>
      </c>
      <c r="N51" s="6">
        <v>1883049.92</v>
      </c>
      <c r="O51" s="6">
        <v>4628503.3600000003</v>
      </c>
      <c r="P51" s="6">
        <v>651589.76</v>
      </c>
      <c r="Q51" s="6">
        <v>8134367.3600000003</v>
      </c>
      <c r="R51" s="6">
        <v>5627955.2000000002</v>
      </c>
      <c r="S51" s="6">
        <v>7416490.8799999999</v>
      </c>
      <c r="T51" s="6">
        <v>42951555.758000001</v>
      </c>
      <c r="U51" s="6">
        <v>2122328</v>
      </c>
      <c r="V51" s="6">
        <v>5142447.04</v>
      </c>
      <c r="W51" s="6">
        <v>1602.9160999999999</v>
      </c>
      <c r="X51" s="6">
        <v>778168.70400000003</v>
      </c>
      <c r="Y51" s="6">
        <v>1112811.3600000001</v>
      </c>
      <c r="Z51" s="6">
        <v>2777.8894</v>
      </c>
      <c r="AA51" s="6">
        <v>672830.4</v>
      </c>
      <c r="AB51" s="6">
        <v>421454.11200000002</v>
      </c>
      <c r="AC51" s="6">
        <v>2149794.7200000002</v>
      </c>
      <c r="AD51" s="6">
        <v>4249474.4210000001</v>
      </c>
      <c r="AE51" s="6">
        <v>12916.908799999999</v>
      </c>
      <c r="AF51" s="6">
        <v>884098.75199999998</v>
      </c>
      <c r="AG51" s="6">
        <v>1419.018</v>
      </c>
      <c r="AH51" s="6">
        <v>135072.272</v>
      </c>
      <c r="AI51" s="6">
        <v>14708.070400000001</v>
      </c>
      <c r="AJ51" s="6">
        <v>145388.49600000001</v>
      </c>
      <c r="AK51" s="6">
        <v>105406.416</v>
      </c>
      <c r="AL51" s="6">
        <v>331730.36800000002</v>
      </c>
      <c r="AM51" s="6">
        <v>1001.2569999999999</v>
      </c>
      <c r="AN51" s="6">
        <v>296.89999999999998</v>
      </c>
      <c r="AO51" s="6">
        <v>7.1</v>
      </c>
      <c r="AP51" s="6">
        <v>613873</v>
      </c>
      <c r="AQ51" s="6">
        <v>42617</v>
      </c>
      <c r="AR51" s="6">
        <v>42072</v>
      </c>
      <c r="AS51" s="6">
        <v>32390</v>
      </c>
      <c r="AT51" s="6">
        <v>22106</v>
      </c>
      <c r="AU51" s="6">
        <v>16001</v>
      </c>
      <c r="AV51" s="6">
        <v>6642</v>
      </c>
      <c r="AW51" s="6">
        <v>21.032212000000001</v>
      </c>
      <c r="AX51" s="6">
        <v>7276.0379999999996</v>
      </c>
      <c r="AY51" s="6">
        <v>681.14279999999997</v>
      </c>
      <c r="AZ51" s="6">
        <v>20.788</v>
      </c>
      <c r="BA51" s="6">
        <v>10715</v>
      </c>
      <c r="BB51" s="6">
        <v>45.462000000000003</v>
      </c>
      <c r="BC51" s="6">
        <v>114024.568</v>
      </c>
      <c r="BD51" s="6">
        <v>276817.88799999998</v>
      </c>
      <c r="BE51" s="6">
        <v>3745.6352000000002</v>
      </c>
      <c r="BF51" s="6">
        <v>1714.182</v>
      </c>
      <c r="BG51" s="6">
        <v>75.501000000000005</v>
      </c>
      <c r="BH51" s="6">
        <v>371.05099999999999</v>
      </c>
      <c r="BI51" s="6">
        <v>922.75400000000002</v>
      </c>
      <c r="BJ51" s="6">
        <v>15.525</v>
      </c>
      <c r="BK51" s="6">
        <v>568.298</v>
      </c>
      <c r="BL51" s="6">
        <v>75598.534400000004</v>
      </c>
      <c r="BM51" s="6">
        <v>316590.016</v>
      </c>
      <c r="BN51" s="6">
        <v>7250.2695999999996</v>
      </c>
      <c r="BO51" s="6">
        <v>53589.132799999999</v>
      </c>
      <c r="BP51" s="6">
        <v>316045.984</v>
      </c>
      <c r="BQ51" s="6">
        <v>329.17899999999997</v>
      </c>
      <c r="BR51" s="6">
        <v>183.399</v>
      </c>
      <c r="BS51" s="6">
        <v>1031232.601</v>
      </c>
      <c r="BT51" s="6">
        <v>1400623.0090000001</v>
      </c>
      <c r="BU51" s="6">
        <v>632709.31200000003</v>
      </c>
      <c r="BV51" s="6">
        <v>1032497.52</v>
      </c>
      <c r="BW51" s="6">
        <v>572437.82400000002</v>
      </c>
      <c r="BX51" s="6">
        <v>1035626.88</v>
      </c>
      <c r="BY51" s="6">
        <v>158509.424</v>
      </c>
      <c r="BZ51" s="6">
        <v>114749.32799999999</v>
      </c>
      <c r="CA51" s="6">
        <v>1244.3607999999999</v>
      </c>
      <c r="CB51" s="6">
        <v>109501.52</v>
      </c>
      <c r="CC51" s="6">
        <v>152746.38399999999</v>
      </c>
      <c r="CD51" s="6">
        <v>449791.55200000003</v>
      </c>
      <c r="CE51" s="6">
        <v>49138.979200000002</v>
      </c>
      <c r="CF51" s="6">
        <v>156311.07199999999</v>
      </c>
      <c r="CG51" s="6">
        <v>360939.61599999998</v>
      </c>
      <c r="CH51" s="6">
        <v>2385.8710000000001</v>
      </c>
      <c r="CI51" s="6">
        <v>216.995</v>
      </c>
      <c r="CJ51" s="6">
        <v>1191.5999999999999</v>
      </c>
      <c r="CK51" s="6">
        <v>78.804000000000002</v>
      </c>
      <c r="CL51" s="6">
        <v>743.47400000000005</v>
      </c>
      <c r="CM51" s="6">
        <v>551.4</v>
      </c>
      <c r="CN51" s="6">
        <v>52712.2</v>
      </c>
      <c r="CO51" s="6">
        <v>1669.248</v>
      </c>
      <c r="CP51" s="6">
        <v>297262.88799999998</v>
      </c>
      <c r="CQ51" s="6">
        <v>3706949.76</v>
      </c>
      <c r="CR51" s="6">
        <v>132376.39199999999</v>
      </c>
      <c r="CS51" s="6">
        <v>519651.90399999998</v>
      </c>
      <c r="CT51" s="6">
        <v>2989949.6639999999</v>
      </c>
      <c r="CU51" s="6">
        <v>303409.288</v>
      </c>
      <c r="CV51" s="6">
        <v>30199.0272</v>
      </c>
      <c r="CW51" s="6">
        <v>63364.825599999996</v>
      </c>
      <c r="CX51" s="6">
        <v>33509.596799999999</v>
      </c>
      <c r="CY51" s="6">
        <v>170071.552</v>
      </c>
      <c r="CZ51" s="6">
        <v>219218.432</v>
      </c>
      <c r="DA51" s="6">
        <v>19227.48</v>
      </c>
      <c r="DB51" s="6">
        <v>152121.133</v>
      </c>
      <c r="DC51" s="6">
        <v>3140.78</v>
      </c>
      <c r="DD51" s="6">
        <f>DD50+7.24</f>
        <v>3114.9599999999996</v>
      </c>
      <c r="DE51" s="6">
        <v>3170.38</v>
      </c>
      <c r="DF51" s="6">
        <v>0.98899999999999999</v>
      </c>
      <c r="DG51" s="1" t="s">
        <v>253</v>
      </c>
      <c r="DH51" s="4">
        <f>Table2[[#This Row],[Date]]</f>
        <v>46253</v>
      </c>
      <c r="DI51">
        <f>(DD52-Table2[[#This Row],[MWH Total]])*4000</f>
        <v>24920.000000000073</v>
      </c>
      <c r="DJ51">
        <f>(DA52-Table2[[#This Row],[PNG Meter (Outside)]])*2.936</f>
        <v>16.970079999996582</v>
      </c>
      <c r="DK51">
        <f>(DB52-Table2[[#This Row],[PNG Meter (Inside)]])*2.936</f>
        <v>287.04684800003213</v>
      </c>
      <c r="DL51">
        <f>(BH52-Table2[[#This Row],[3F Dough cooler - 2 ]])*1000</f>
        <v>348.00000000001319</v>
      </c>
      <c r="DM51">
        <f>(BI52-Table2[[#This Row],[3F Dough Cooler- 1]])*1000</f>
        <v>478.99999999992815</v>
      </c>
      <c r="DN51">
        <f>(BJ52-Table2[[#This Row],[4F Dough Production cooling Unit]])*1000</f>
        <v>35.999999999999588</v>
      </c>
      <c r="DO51">
        <f>(BQ52-Table2[[#This Row],[3F2 - PDB 3 - Dough Production Area]])*1000</f>
        <v>229.00000000004184</v>
      </c>
      <c r="DP51">
        <f>(BR52-Table2[[#This Row],[3F3 - PDB 4 - Dough Area]])*1000</f>
        <v>151.00000000001046</v>
      </c>
      <c r="DQ51">
        <f>AC52-Table2[[#This Row],[16F1 Tray washer Panel for Light]]</f>
        <v>693.59999999962747</v>
      </c>
      <c r="DR51">
        <f>CQ52-Table2[[#This Row],[2F1 Tray Washer - 1]]</f>
        <v>1179.8400000003166</v>
      </c>
      <c r="DS51">
        <f>CS52-Table2[[#This Row],[2F5 Destacker]]</f>
        <v>346.20800000004238</v>
      </c>
      <c r="DT51">
        <f>CU52-Table2[[#This Row],[5F1 Metering (TW-2)]]</f>
        <v>300.97499999997672</v>
      </c>
      <c r="DU51">
        <f>CV52-Table2[[#This Row],[6F1 Pre soaker Tray washer]]</f>
        <v>2.2943999999988591</v>
      </c>
      <c r="DV51">
        <f>CZ52-Table2[[#This Row],[6F5 Vent tray Storage]]</f>
        <v>97.423999999999069</v>
      </c>
      <c r="DW51">
        <f>I52-Table2[[#This Row],[Popeyes Meter ]]</f>
        <v>72.119999999999891</v>
      </c>
      <c r="DX51">
        <f>AZ52-Table2[[#This Row],[2F WH Chiller, Segregation Area]]</f>
        <v>0</v>
      </c>
      <c r="DY51">
        <f>BA52-Table2[[#This Row],[3F1 AC Unit WH dock cooling - 2 Nos]]</f>
        <v>13</v>
      </c>
      <c r="DZ51">
        <f>BB52-Table2[[#This Row],[3F2 AC Unit WH dock cooling - 3 Nos]]</f>
        <v>3.7999999999996703E-2</v>
      </c>
      <c r="EA51">
        <f>(BK52-Table2[[#This Row],[5F WH Perishable]])*1000</f>
        <v>203.99999999995089</v>
      </c>
      <c r="EB51">
        <f>BN52-Table2[[#This Row],[2F3 - PDB 9 - WH Dock Leveler Door ]]</f>
        <v>5.2120000000004438</v>
      </c>
      <c r="EC51">
        <f>BP52-Table2[[#This Row],[3F1 - PDB 5 - WH HSD]]</f>
        <v>119.84000000002561</v>
      </c>
      <c r="ED51">
        <f>BX52-Table2[[#This Row],[8F1 WH Dock AHU - Ventilation]]</f>
        <v>1469.4399999999441</v>
      </c>
      <c r="EE51">
        <f>BZ52-Table2[[#This Row],[8F3 ACPDB - 4 WH Dock air curtain]]</f>
        <v>42.048000000009779</v>
      </c>
      <c r="EF51">
        <f>CA52-Table2[[#This Row],[8F4 WH Light]]</f>
        <v>0.22870000000011714</v>
      </c>
      <c r="EG51">
        <f>CC52-Table2[[#This Row],[9F1 - PDB 10 - WH Dock door &amp; Office]]</f>
        <v>104.20800000001327</v>
      </c>
      <c r="EH51">
        <f>CD52-Table2[[#This Row],[9F2 - PDB 11 - WH flycatchers]]</f>
        <v>242.87999999994645</v>
      </c>
      <c r="EI51">
        <f>CE52-Table2[[#This Row],[9F3 - PDB 12 - Other items]]</f>
        <v>2.0095999999975902</v>
      </c>
      <c r="EJ51">
        <f>CR52-Table2[[#This Row],[2F3 - PDB 1 - Dock 1 to 4 ]]</f>
        <v>47.592000000004191</v>
      </c>
      <c r="EK51">
        <f>BM52-Table2[[#This Row],[2F2 - PDB 3 - WH Truck &amp; Battery Charging]]</f>
        <v>608.8640000000014</v>
      </c>
      <c r="EL51">
        <f>(CK52-Table2[[#This Row],[PDB - 11 Truck Charging]])*1000</f>
        <v>66.000000000002501</v>
      </c>
      <c r="EM51">
        <f>P52-Table2[[#This Row],[5F3 Admin Area]]</f>
        <v>371.1359999999404</v>
      </c>
      <c r="EN51">
        <f>AH52-Table2[[#This Row],[2F5 Main Gate-1 Piller -1]]</f>
        <v>114.36800000001676</v>
      </c>
      <c r="EO51">
        <f>CW52-Table2[[#This Row],[6F2 Ground Floor AC]]</f>
        <v>31.699200000002747</v>
      </c>
      <c r="EP51">
        <f>CX52-Table2[[#This Row],[6F3 ACBD -1 (First floor AC)]]</f>
        <v>8.4447999999974854</v>
      </c>
      <c r="EQ51">
        <f>CY52-Table2[[#This Row],[6F4 ACBD - 2 (Second &amp; Third floor AC)]]</f>
        <v>120.06400000001304</v>
      </c>
      <c r="ER51">
        <f>(BC52-Table2[[#This Row],[4F Old BMC cooling Unit]])</f>
        <v>0</v>
      </c>
      <c r="ES51">
        <f>BO52-Table2[[#This Row],[2F4 - Old BMC]]</f>
        <v>0</v>
      </c>
      <c r="ET51">
        <f>Y52-Table2[[#This Row],[14F2 New CK]]</f>
        <v>1825.7600000000093</v>
      </c>
      <c r="EU51">
        <f>(CL52-Table2[[#This Row],[OLD Ck Panel-1]])*1000</f>
        <v>704.99999999992724</v>
      </c>
      <c r="EV51">
        <f>CM52-Table2[[#This Row],[2F4 Old CK Blast (Blue star)]]</f>
        <v>0</v>
      </c>
      <c r="EW51">
        <f>CN52-Table2[[#This Row],[3F6 Old CK Blast (Carrier)]]</f>
        <v>573.60000000000582</v>
      </c>
      <c r="EX51">
        <f>(CO52-Table2[[#This Row],[Old CK Panel -2]])*1000</f>
        <v>1548.9999999999782</v>
      </c>
      <c r="EY51">
        <f>N52-Table2[[#This Row],[4F1 Main UPS 1/C -1]]</f>
        <v>1046.7199999999721</v>
      </c>
      <c r="EZ51">
        <f>Z52-Table2[[#This Row],[15F1 Main UPS Panel - I/C - 2]]</f>
        <v>0</v>
      </c>
      <c r="FA51">
        <f>BF52-Table2[[#This Row],[2F CLC -1 AC unit - 2]]</f>
        <v>0</v>
      </c>
      <c r="FB51">
        <f>(BG52-Table2[[#This Row],[2F CLC Anti room]])*1000</f>
        <v>34.999999999996589</v>
      </c>
      <c r="FC51">
        <f>BW52-Table2[[#This Row],[7F3 CLC Power Panel]]</f>
        <v>288.95999999996275</v>
      </c>
      <c r="FD51">
        <f>(CI52-Table2[[#This Row],[PDB - 17 CLC Section ]])*1000</f>
        <v>206.99999999999363</v>
      </c>
      <c r="FE51">
        <f>(W52-Table2[[#This Row],[13F3 Water &amp; Lift Old CK]])*1000</f>
        <v>740.99999999998545</v>
      </c>
      <c r="FF51">
        <f>AA52-Table2[[#This Row],[15F2 New ETP Panel]]</f>
        <v>273.15200000000186</v>
      </c>
      <c r="FG51">
        <f>AL52-Table2[[#This Row],[3F4 Old ETP Panel]]</f>
        <v>70.655999999959022</v>
      </c>
      <c r="FH51">
        <f>AF52-Table2[[#This Row],[2F1 RO Plant]]</f>
        <v>595.45600000000559</v>
      </c>
      <c r="FI51">
        <f>AK52-Table2[[#This Row],[3F3 Fire Hydrant Panel]]</f>
        <v>12.98399999999674</v>
      </c>
      <c r="FJ51">
        <f>R52-Table2[[#This Row],[7F1 Freon System Panel]]</f>
        <v>5606.3999999994412</v>
      </c>
      <c r="FK51">
        <f>(AE52-Table2[[#This Row],[21F1 Refrigeration Ammonia]])*1000</f>
        <v>7752.0000000004075</v>
      </c>
      <c r="FL51">
        <f>(AG52-Table2[[#This Row],[2F3 Air Compressor]])*1000</f>
        <v>1379.9999999998818</v>
      </c>
      <c r="FM51">
        <f>(AX52-Table2[[#This Row],[Solar Reading Panel II]])*1000</f>
        <v>2701.0000000000218</v>
      </c>
      <c r="FN51">
        <f>AI52-Table2[[#This Row],[3F1 Maintenance Workshop]]</f>
        <v>5.3135999999994965</v>
      </c>
      <c r="FO51">
        <f>BD52-Table2[[#This Row],[4F B2B unit ]]</f>
        <v>56.960000000020955</v>
      </c>
      <c r="FP51">
        <f>BL52-Table2[[#This Row],[2F1 - PDB 6 - Bread, B2B section]]</f>
        <v>94.751999999993131</v>
      </c>
      <c r="FQ51">
        <f>(CG52-Table2[[#This Row],[9F5 - PDB 14 - Bread Lift]])</f>
        <v>3.9679999999934807</v>
      </c>
      <c r="FR51">
        <f>CJ52-Table2[[#This Row],[PDB - 16 Bread Section]]</f>
        <v>0</v>
      </c>
      <c r="FS51">
        <f>BU52-Table2[[#This Row],[7F1 Donut Production area]]</f>
        <v>183.87199999997392</v>
      </c>
      <c r="FT51">
        <f>CB52-Table2[[#This Row],[8F5 Donut Ban Bary]]</f>
        <v>48.815999999991618</v>
      </c>
      <c r="FU51">
        <f>CF52-Table2[[#This Row],[9F4 - PDB 13 - Donut Sink Geyser area]]</f>
        <v>23.920000000012806</v>
      </c>
      <c r="FV51">
        <f>BV52-Table2[[#This Row],[7F2 Flour Silo]]</f>
        <v>467.76000000000931</v>
      </c>
      <c r="FW51">
        <f>BY52-Table2[[#This Row],[8F2 ACPDB - 3 SILO Ventilation]]</f>
        <v>42.880000000004657</v>
      </c>
      <c r="FX51">
        <f>J52-Table2[[#This Row],[DG 1010KVA Running Hours]]</f>
        <v>0</v>
      </c>
      <c r="FY51">
        <f>K52-Table2[[#This Row],[DG 1010 KVA Meter Reading]]</f>
        <v>0</v>
      </c>
      <c r="FZ51">
        <f>L52-Table2[[#This Row],[GG 1010 KVA Running Hours]]</f>
        <v>0</v>
      </c>
      <c r="GA51">
        <f>M52-Table2[[#This Row],[GG 1010 KVA Meter Reading]]</f>
        <v>0</v>
      </c>
    </row>
    <row r="52" spans="1:183" x14ac:dyDescent="0.35">
      <c r="A52" s="1">
        <v>62</v>
      </c>
      <c r="B52" s="68">
        <v>46254.402060185188</v>
      </c>
      <c r="C52" s="68">
        <v>46254.448622685188</v>
      </c>
      <c r="D52" s="1" t="s">
        <v>111</v>
      </c>
      <c r="E52" s="1"/>
      <c r="F52" s="1"/>
      <c r="G52" s="3">
        <v>46254</v>
      </c>
      <c r="H52" s="1" t="s">
        <v>186</v>
      </c>
      <c r="I52" s="6">
        <v>7376.8819999999996</v>
      </c>
      <c r="J52" s="6">
        <v>4276.3</v>
      </c>
      <c r="K52" s="6">
        <v>1777570</v>
      </c>
      <c r="L52" s="6">
        <v>456</v>
      </c>
      <c r="M52" s="6">
        <v>191.81</v>
      </c>
      <c r="N52" s="6">
        <v>1884096.64</v>
      </c>
      <c r="O52" s="6">
        <v>4630570.88</v>
      </c>
      <c r="P52" s="6">
        <v>651960.89599999995</v>
      </c>
      <c r="Q52" s="6">
        <v>8137201.2800000003</v>
      </c>
      <c r="R52" s="6">
        <v>5633561.5999999996</v>
      </c>
      <c r="S52" s="6">
        <v>7420307.2000000002</v>
      </c>
      <c r="T52" s="6">
        <v>43416915.423</v>
      </c>
      <c r="U52" s="6">
        <v>2123659.6800000002</v>
      </c>
      <c r="V52" s="6">
        <v>5144041.5999999996</v>
      </c>
      <c r="W52" s="6">
        <v>1603.6570999999999</v>
      </c>
      <c r="X52" s="6">
        <v>778470.52800000005</v>
      </c>
      <c r="Y52" s="6">
        <v>1114637.1200000001</v>
      </c>
      <c r="Z52" s="6">
        <v>2777.8894</v>
      </c>
      <c r="AA52" s="6">
        <v>673103.55200000003</v>
      </c>
      <c r="AB52" s="6">
        <v>421464.25599999999</v>
      </c>
      <c r="AC52" s="6">
        <v>2150488.3199999998</v>
      </c>
      <c r="AD52" s="6">
        <v>4264829.9929999998</v>
      </c>
      <c r="AE52" s="6">
        <v>12924.6608</v>
      </c>
      <c r="AF52" s="6">
        <v>884694.20799999998</v>
      </c>
      <c r="AG52" s="6">
        <v>1420.3979999999999</v>
      </c>
      <c r="AH52" s="6">
        <v>135186.64000000001</v>
      </c>
      <c r="AI52" s="6">
        <v>14713.384</v>
      </c>
      <c r="AJ52" s="6">
        <v>145390.54399999999</v>
      </c>
      <c r="AK52" s="6">
        <v>105419.4</v>
      </c>
      <c r="AL52" s="6">
        <v>331801.02399999998</v>
      </c>
      <c r="AM52" s="6">
        <v>1001.924</v>
      </c>
      <c r="AN52" s="6">
        <v>251.7</v>
      </c>
      <c r="AO52" s="6">
        <v>6.9</v>
      </c>
      <c r="AP52" s="6">
        <v>627372</v>
      </c>
      <c r="AQ52" s="6">
        <v>42646</v>
      </c>
      <c r="AR52" s="6">
        <v>42101</v>
      </c>
      <c r="AS52" s="6">
        <v>0</v>
      </c>
      <c r="AT52" s="6">
        <v>0</v>
      </c>
      <c r="AU52" s="6">
        <v>16029</v>
      </c>
      <c r="AV52" s="6">
        <v>6659</v>
      </c>
      <c r="AW52" s="6">
        <v>21.039746000000001</v>
      </c>
      <c r="AX52" s="6">
        <v>7278.7389999999996</v>
      </c>
      <c r="AY52" s="6">
        <v>681.26559999999995</v>
      </c>
      <c r="AZ52" s="6">
        <v>20.788</v>
      </c>
      <c r="BA52" s="6">
        <v>10728</v>
      </c>
      <c r="BB52" s="6">
        <v>45.5</v>
      </c>
      <c r="BC52" s="6">
        <v>114024.568</v>
      </c>
      <c r="BD52" s="6">
        <v>276874.848</v>
      </c>
      <c r="BE52" s="6">
        <v>3746.7815999999998</v>
      </c>
      <c r="BF52" s="6">
        <v>1714.182</v>
      </c>
      <c r="BG52" s="6">
        <v>75.536000000000001</v>
      </c>
      <c r="BH52" s="6">
        <v>371.399</v>
      </c>
      <c r="BI52" s="6">
        <v>923.23299999999995</v>
      </c>
      <c r="BJ52" s="6">
        <v>15.561</v>
      </c>
      <c r="BK52" s="6">
        <v>568.50199999999995</v>
      </c>
      <c r="BL52" s="6">
        <v>75693.286399999997</v>
      </c>
      <c r="BM52" s="6">
        <v>317198.88</v>
      </c>
      <c r="BN52" s="6">
        <v>7255.4816000000001</v>
      </c>
      <c r="BO52" s="6">
        <v>53589.132799999999</v>
      </c>
      <c r="BP52" s="6">
        <v>316165.82400000002</v>
      </c>
      <c r="BQ52" s="6">
        <v>329.40800000000002</v>
      </c>
      <c r="BR52" s="6">
        <v>183.55</v>
      </c>
      <c r="BS52" s="6">
        <v>1032527.591</v>
      </c>
      <c r="BT52" s="6">
        <v>1400623.4669999999</v>
      </c>
      <c r="BU52" s="6">
        <v>632893.18400000001</v>
      </c>
      <c r="BV52" s="6">
        <v>1032965.28</v>
      </c>
      <c r="BW52" s="6">
        <v>572726.78399999999</v>
      </c>
      <c r="BX52" s="6">
        <v>1037096.32</v>
      </c>
      <c r="BY52" s="6">
        <v>158552.304</v>
      </c>
      <c r="BZ52" s="6">
        <v>114791.376</v>
      </c>
      <c r="CA52" s="6">
        <v>1244.5895</v>
      </c>
      <c r="CB52" s="6">
        <v>109550.336</v>
      </c>
      <c r="CC52" s="6">
        <v>152850.592</v>
      </c>
      <c r="CD52" s="6">
        <v>450034.43199999997</v>
      </c>
      <c r="CE52" s="6">
        <v>49140.988799999999</v>
      </c>
      <c r="CF52" s="6">
        <v>156334.992</v>
      </c>
      <c r="CG52" s="6">
        <v>360943.58399999997</v>
      </c>
      <c r="CH52" s="6">
        <v>2385.8710000000001</v>
      </c>
      <c r="CI52" s="6">
        <v>217.202</v>
      </c>
      <c r="CJ52" s="6">
        <v>1191.5999999999999</v>
      </c>
      <c r="CK52" s="6">
        <v>78.87</v>
      </c>
      <c r="CL52" s="6">
        <v>744.17899999999997</v>
      </c>
      <c r="CM52" s="6">
        <v>551.4</v>
      </c>
      <c r="CN52" s="6">
        <v>53285.8</v>
      </c>
      <c r="CO52" s="6">
        <v>1670.797</v>
      </c>
      <c r="CP52" s="6">
        <v>297482.663</v>
      </c>
      <c r="CQ52" s="6">
        <v>3708129.6</v>
      </c>
      <c r="CR52" s="6">
        <v>132423.984</v>
      </c>
      <c r="CS52" s="6">
        <v>519998.11200000002</v>
      </c>
      <c r="CT52" s="6">
        <v>2993833.8859999999</v>
      </c>
      <c r="CU52" s="6">
        <v>303710.26299999998</v>
      </c>
      <c r="CV52" s="6">
        <v>30201.321599999999</v>
      </c>
      <c r="CW52" s="6">
        <v>63396.524799999999</v>
      </c>
      <c r="CX52" s="6">
        <v>33518.041599999997</v>
      </c>
      <c r="CY52" s="6">
        <v>170191.61600000001</v>
      </c>
      <c r="CZ52" s="6">
        <v>219315.856</v>
      </c>
      <c r="DA52" s="6">
        <v>19233.259999999998</v>
      </c>
      <c r="DB52" s="6">
        <v>152218.90100000001</v>
      </c>
      <c r="DC52" s="6">
        <v>3147.55</v>
      </c>
      <c r="DD52" s="6">
        <f>DD51+6.23</f>
        <v>3121.1899999999996</v>
      </c>
      <c r="DE52" s="6">
        <v>3177.06</v>
      </c>
      <c r="DF52" s="6">
        <v>0.997</v>
      </c>
      <c r="DG52" s="1" t="s">
        <v>254</v>
      </c>
      <c r="DH52" s="4">
        <f>Table2[[#This Row],[Date]]</f>
        <v>46254</v>
      </c>
      <c r="DI52">
        <f>(DD53-Table2[[#This Row],[MWH Total]])*4000</f>
        <v>27079.999999999927</v>
      </c>
      <c r="DJ52">
        <f>(DA53-Table2[[#This Row],[PNG Meter (Outside)]])*2.936</f>
        <v>92.806960000001709</v>
      </c>
      <c r="DK52">
        <f>(DB53-Table2[[#This Row],[PNG Meter (Inside)]])*2.936</f>
        <v>314.22246399992889</v>
      </c>
      <c r="DL52">
        <f>(BH53-Table2[[#This Row],[3F Dough cooler - 2 ]])*1000</f>
        <v>389.99999999998636</v>
      </c>
      <c r="DM52">
        <f>(BI53-Table2[[#This Row],[3F Dough Cooler- 1]])*1000</f>
        <v>492.00000000007549</v>
      </c>
      <c r="DN52">
        <f>(BJ53-Table2[[#This Row],[4F Dough Production cooling Unit]])*1000</f>
        <v>53.000000000000824</v>
      </c>
      <c r="DO52">
        <f>(BQ53-Table2[[#This Row],[3F2 - PDB 3 - Dough Production Area]])*1000</f>
        <v>260.99999999996726</v>
      </c>
      <c r="DP52">
        <f>(BR53-Table2[[#This Row],[3F3 - PDB 4 - Dough Area]])*1000</f>
        <v>161.00000000000136</v>
      </c>
      <c r="DQ52">
        <f>AC53-Table2[[#This Row],[16F1 Tray washer Panel for Light]]</f>
        <v>713.92000000039116</v>
      </c>
      <c r="DR52">
        <f>CQ53-Table2[[#This Row],[2F1 Tray Washer - 1]]</f>
        <v>1237.1200000001118</v>
      </c>
      <c r="DS52">
        <f>CS53-Table2[[#This Row],[2F5 Destacker]]</f>
        <v>353.34399999998277</v>
      </c>
      <c r="DT52">
        <f>CU53-Table2[[#This Row],[5F1 Metering (TW-2)]]</f>
        <v>280.41800000000512</v>
      </c>
      <c r="DU52" s="1">
        <f>CV53-Table2[[#This Row],[6F1 Pre soaker Tray washer]]</f>
        <v>2.2943999999988591</v>
      </c>
      <c r="DV52">
        <f>CZ53-Table2[[#This Row],[6F5 Vent tray Storage]]</f>
        <v>125.79199999998673</v>
      </c>
      <c r="DW52" s="1">
        <f>I53-Table2[[#This Row],[Popeyes Meter ]]</f>
        <v>71.359999999999673</v>
      </c>
      <c r="DX52">
        <f>AZ53-Table2[[#This Row],[2F WH Chiller, Segregation Area]]</f>
        <v>0</v>
      </c>
      <c r="DY52">
        <f>BA53-Table2[[#This Row],[3F1 AC Unit WH dock cooling - 2 Nos]]</f>
        <v>24</v>
      </c>
      <c r="DZ52">
        <f>BB53-Table2[[#This Row],[3F2 AC Unit WH dock cooling - 3 Nos]]</f>
        <v>5.4999999999999716E-2</v>
      </c>
      <c r="EA52">
        <f>(BK53-Table2[[#This Row],[5F WH Perishable]])*1000</f>
        <v>265.00000000010004</v>
      </c>
      <c r="EB52">
        <f>BN53-Table2[[#This Row],[2F3 - PDB 9 - WH Dock Leveler Door ]]</f>
        <v>4.7295999999996639</v>
      </c>
      <c r="EC52">
        <f>BP53-Table2[[#This Row],[3F1 - PDB 5 - WH HSD]]</f>
        <v>110.7839999999851</v>
      </c>
      <c r="ED52">
        <f>BX53-Table2[[#This Row],[8F1 WH Dock AHU - Ventilation]]</f>
        <v>1518.1600000000326</v>
      </c>
      <c r="EE52">
        <f>BZ53-Table2[[#This Row],[8F3 ACPDB - 4 WH Dock air curtain]]</f>
        <v>29.255999999993946</v>
      </c>
      <c r="EF52">
        <f>CA53-Table2[[#This Row],[8F4 WH Light]]</f>
        <v>0</v>
      </c>
      <c r="EG52">
        <f>CC53-Table2[[#This Row],[9F1 - PDB 10 - WH Dock door &amp; Office]]</f>
        <v>103.96799999999348</v>
      </c>
      <c r="EH52">
        <f>CD53-Table2[[#This Row],[9F2 - PDB 11 - WH flycatchers]]</f>
        <v>349.2160000000149</v>
      </c>
      <c r="EI52">
        <f>CE53-Table2[[#This Row],[9F3 - PDB 12 - Other items]]</f>
        <v>0</v>
      </c>
      <c r="EJ52">
        <f>CR53-Table2[[#This Row],[2F3 - PDB 1 - Dock 1 to 4 ]]</f>
        <v>64.592000000004191</v>
      </c>
      <c r="EK52">
        <f>BM53-Table2[[#This Row],[2F2 - PDB 3 - WH Truck &amp; Battery Charging]]</f>
        <v>530.88000000000466</v>
      </c>
      <c r="EL52">
        <f>(CK53-Table2[[#This Row],[PDB - 11 Truck Charging]])*1000</f>
        <v>102.99999999999443</v>
      </c>
      <c r="EM52">
        <f>P53-Table2[[#This Row],[5F3 Admin Area]]</f>
        <v>405.05600000009872</v>
      </c>
      <c r="EN52">
        <f>AH53-Table2[[#This Row],[2F5 Main Gate-1 Piller -1]]</f>
        <v>127.10399999999208</v>
      </c>
      <c r="EO52">
        <f>CW53-Table2[[#This Row],[6F2 Ground Floor AC]]</f>
        <v>17.84320000000298</v>
      </c>
      <c r="EP52">
        <f>CX53-Table2[[#This Row],[6F3 ACBD -1 (First floor AC)]]</f>
        <v>8.5536000000065542</v>
      </c>
      <c r="EQ52">
        <f>CY53-Table2[[#This Row],[6F4 ACBD - 2 (Second &amp; Third floor AC)]]</f>
        <v>98.36799999998766</v>
      </c>
      <c r="ER52">
        <f>(BC53-Table2[[#This Row],[4F Old BMC cooling Unit]])</f>
        <v>0</v>
      </c>
      <c r="ES52">
        <f>BO53-Table2[[#This Row],[2F4 - Old BMC]]</f>
        <v>0</v>
      </c>
      <c r="ET52">
        <f>Y53-Table2[[#This Row],[14F2 New CK]]</f>
        <v>1766.8799999998882</v>
      </c>
      <c r="EU52">
        <f>(CL53-Table2[[#This Row],[OLD Ck Panel-1]])*1000</f>
        <v>671.00000000004911</v>
      </c>
      <c r="EV52">
        <f>CM53-Table2[[#This Row],[2F4 Old CK Blast (Blue star)]]</f>
        <v>0</v>
      </c>
      <c r="EW52">
        <f>CN53-Table2[[#This Row],[3F6 Old CK Blast (Carrier)]]</f>
        <v>540.19999999999709</v>
      </c>
      <c r="EX52">
        <f>(CO53-Table2[[#This Row],[Old CK Panel -2]])*1000</f>
        <v>1412.0000000000346</v>
      </c>
      <c r="EY52">
        <f>N53-Table2[[#This Row],[4F1 Main UPS 1/C -1]]</f>
        <v>1066.2399999999907</v>
      </c>
      <c r="EZ52">
        <f>Z53-Table2[[#This Row],[15F1 Main UPS Panel - I/C - 2]]</f>
        <v>0</v>
      </c>
      <c r="FA52">
        <f>BF53-Table2[[#This Row],[2F CLC -1 AC unit - 2]]</f>
        <v>0</v>
      </c>
      <c r="FB52">
        <f>(BG53-Table2[[#This Row],[2F CLC Anti room]])*1000</f>
        <v>36.000000000001364</v>
      </c>
      <c r="FC52">
        <f>BW53-Table2[[#This Row],[7F3 CLC Power Panel]]</f>
        <v>295.35999999998603</v>
      </c>
      <c r="FD52">
        <f>(CI53-Table2[[#This Row],[PDB - 17 CLC Section ]])*1000</f>
        <v>210.00000000000796</v>
      </c>
      <c r="FE52">
        <f>(W53-Table2[[#This Row],[13F3 Water &amp; Lift Old CK]])*1000</f>
        <v>863.90000000005784</v>
      </c>
      <c r="FF52">
        <f>AA53-Table2[[#This Row],[15F2 New ETP Panel]]</f>
        <v>274.55999999993946</v>
      </c>
      <c r="FG52">
        <f>AL53-Table2[[#This Row],[3F4 Old ETP Panel]]</f>
        <v>73.472000000008848</v>
      </c>
      <c r="FH52">
        <f>AF53-Table2[[#This Row],[2F1 RO Plant]]</f>
        <v>590.7839999999851</v>
      </c>
      <c r="FI52">
        <f>AK53-Table2[[#This Row],[3F3 Fire Hydrant Panel]]</f>
        <v>8.2240000000019791</v>
      </c>
      <c r="FJ52">
        <f>R53-Table2[[#This Row],[7F1 Freon System Panel]]</f>
        <v>5068.160000000149</v>
      </c>
      <c r="FK52">
        <f>(AE53-Table2[[#This Row],[21F1 Refrigeration Ammonia]])*1000</f>
        <v>8312.7999999996973</v>
      </c>
      <c r="FL52">
        <f>(AG53-Table2[[#This Row],[2F3 Air Compressor]])*1000</f>
        <v>1349.0000000001601</v>
      </c>
      <c r="FM52">
        <f>(AX53-Table2[[#This Row],[Solar Reading Panel II]])*1000</f>
        <v>3304.0000000000873</v>
      </c>
      <c r="FN52">
        <f>AI53-Table2[[#This Row],[3F1 Maintenance Workshop]]</f>
        <v>6.4959999999991851</v>
      </c>
      <c r="FO52">
        <f>BD53-Table2[[#This Row],[4F B2B unit ]]</f>
        <v>29.311999999976251</v>
      </c>
      <c r="FP52">
        <f>BL53-Table2[[#This Row],[2F1 - PDB 6 - Bread, B2B section]]</f>
        <v>71.411200000002282</v>
      </c>
      <c r="FQ52">
        <f>(CG53-Table2[[#This Row],[9F5 - PDB 14 - Bread Lift]])</f>
        <v>1.0880000000470318</v>
      </c>
      <c r="FR52">
        <f>CJ53-Table2[[#This Row],[PDB - 16 Bread Section]]</f>
        <v>0</v>
      </c>
      <c r="FS52">
        <f>BU53-Table2[[#This Row],[7F1 Donut Production area]]</f>
        <v>194.4320000000298</v>
      </c>
      <c r="FT52">
        <f>CB53-Table2[[#This Row],[8F5 Donut Ban Bary]]</f>
        <v>39.8240000000078</v>
      </c>
      <c r="FU52">
        <f>CF53-Table2[[#This Row],[9F4 - PDB 13 - Donut Sink Geyser area]]</f>
        <v>17.760000000009313</v>
      </c>
      <c r="FV52">
        <f>BV53-Table2[[#This Row],[7F2 Flour Silo]]</f>
        <v>501.76000000000931</v>
      </c>
      <c r="FW52">
        <f>BY53-Table2[[#This Row],[8F2 ACPDB - 3 SILO Ventilation]]</f>
        <v>44.815999999991618</v>
      </c>
      <c r="FX52">
        <f>J53-Table2[[#This Row],[DG 1010KVA Running Hours]]</f>
        <v>0.5999999999994543</v>
      </c>
      <c r="FY52">
        <f>K53-Table2[[#This Row],[DG 1010 KVA Meter Reading]]</f>
        <v>240</v>
      </c>
      <c r="FZ52">
        <f>L53-Table2[[#This Row],[GG 1010 KVA Running Hours]]</f>
        <v>1</v>
      </c>
      <c r="GA52">
        <f>M53-Table2[[#This Row],[GG 1010 KVA Meter Reading]]</f>
        <v>0.22999999999998977</v>
      </c>
    </row>
    <row r="53" spans="1:183" x14ac:dyDescent="0.35">
      <c r="A53" s="1">
        <v>63</v>
      </c>
      <c r="B53" s="68">
        <v>46255.442013888889</v>
      </c>
      <c r="C53" s="68">
        <v>46255.480821759258</v>
      </c>
      <c r="D53" s="1" t="s">
        <v>111</v>
      </c>
      <c r="E53" s="1"/>
      <c r="F53" s="1"/>
      <c r="G53" s="3">
        <v>46255</v>
      </c>
      <c r="H53" s="1" t="s">
        <v>186</v>
      </c>
      <c r="I53" s="6">
        <f>I52-I51+I52-0.76</f>
        <v>7448.2419999999993</v>
      </c>
      <c r="J53" s="6">
        <v>4276.8999999999996</v>
      </c>
      <c r="K53" s="6">
        <v>1777810</v>
      </c>
      <c r="L53" s="6">
        <v>457</v>
      </c>
      <c r="M53" s="6">
        <v>192.04</v>
      </c>
      <c r="N53" s="6">
        <v>1885162.88</v>
      </c>
      <c r="O53" s="6">
        <v>4632618.5599999996</v>
      </c>
      <c r="P53" s="6">
        <v>652365.95200000005</v>
      </c>
      <c r="Q53" s="6">
        <v>8140754.5599999996</v>
      </c>
      <c r="R53" s="6">
        <v>5638629.7599999998</v>
      </c>
      <c r="S53" s="6">
        <v>7424080</v>
      </c>
      <c r="T53" s="6">
        <v>42976363.261</v>
      </c>
      <c r="U53" s="6">
        <v>2124872.7999999998</v>
      </c>
      <c r="V53" s="6">
        <v>5145777.5999999996</v>
      </c>
      <c r="W53" s="6">
        <v>1604.521</v>
      </c>
      <c r="X53" s="6">
        <v>778755.58400000003</v>
      </c>
      <c r="Y53" s="6">
        <v>1116404</v>
      </c>
      <c r="Z53" s="6">
        <v>2777.8894</v>
      </c>
      <c r="AA53" s="6">
        <v>673378.11199999996</v>
      </c>
      <c r="AB53" s="6">
        <v>421481.08799999999</v>
      </c>
      <c r="AC53" s="6">
        <v>2151202.2400000002</v>
      </c>
      <c r="AD53" s="6">
        <v>4280901.7529999996</v>
      </c>
      <c r="AE53" s="6">
        <v>12932.973599999999</v>
      </c>
      <c r="AF53" s="6">
        <v>885284.99199999997</v>
      </c>
      <c r="AG53" s="6">
        <v>1421.7470000000001</v>
      </c>
      <c r="AH53" s="6">
        <v>135313.74400000001</v>
      </c>
      <c r="AI53" s="6">
        <v>14719.88</v>
      </c>
      <c r="AJ53" s="6">
        <v>145393.05600000001</v>
      </c>
      <c r="AK53" s="6">
        <v>105427.624</v>
      </c>
      <c r="AL53" s="6">
        <v>331874.49599999998</v>
      </c>
      <c r="AM53" s="6">
        <v>1002.553</v>
      </c>
      <c r="AN53" s="6">
        <v>330.4</v>
      </c>
      <c r="AO53" s="6">
        <v>7.4</v>
      </c>
      <c r="AP53" s="6">
        <v>637908</v>
      </c>
      <c r="AQ53" s="6">
        <v>42670</v>
      </c>
      <c r="AR53" s="6">
        <v>42125</v>
      </c>
      <c r="AS53" s="6">
        <v>0</v>
      </c>
      <c r="AT53" s="6">
        <v>0</v>
      </c>
      <c r="AU53" s="6">
        <v>16054</v>
      </c>
      <c r="AV53" s="6">
        <v>6672</v>
      </c>
      <c r="AW53" s="6">
        <v>21.047830000000001</v>
      </c>
      <c r="AX53" s="6">
        <v>7282.0429999999997</v>
      </c>
      <c r="AY53" s="6">
        <v>681.48504000000003</v>
      </c>
      <c r="AZ53" s="6">
        <v>20.788</v>
      </c>
      <c r="BA53" s="6">
        <v>10752</v>
      </c>
      <c r="BB53" s="6">
        <v>45.555</v>
      </c>
      <c r="BC53" s="6">
        <v>114024.568</v>
      </c>
      <c r="BD53" s="6">
        <v>276904.15999999997</v>
      </c>
      <c r="BE53" s="6">
        <v>3748.0783999999999</v>
      </c>
      <c r="BF53" s="6">
        <v>1714.182</v>
      </c>
      <c r="BG53" s="6">
        <v>75.572000000000003</v>
      </c>
      <c r="BH53" s="6">
        <v>371.78899999999999</v>
      </c>
      <c r="BI53" s="6">
        <v>923.72500000000002</v>
      </c>
      <c r="BJ53" s="6">
        <v>15.614000000000001</v>
      </c>
      <c r="BK53" s="6">
        <v>568.76700000000005</v>
      </c>
      <c r="BL53" s="6">
        <v>75764.6976</v>
      </c>
      <c r="BM53" s="6">
        <v>317729.76</v>
      </c>
      <c r="BN53" s="6">
        <v>7260.2111999999997</v>
      </c>
      <c r="BO53" s="6">
        <v>53589.132799999999</v>
      </c>
      <c r="BP53" s="6">
        <v>316276.60800000001</v>
      </c>
      <c r="BQ53" s="6">
        <v>329.66899999999998</v>
      </c>
      <c r="BR53" s="6">
        <v>183.71100000000001</v>
      </c>
      <c r="BS53" s="6">
        <v>1033715.1189999999</v>
      </c>
      <c r="BT53" s="6">
        <v>1400623.4890000001</v>
      </c>
      <c r="BU53" s="6">
        <v>633087.61600000004</v>
      </c>
      <c r="BV53" s="6">
        <v>1033467.04</v>
      </c>
      <c r="BW53" s="6">
        <v>573022.14399999997</v>
      </c>
      <c r="BX53" s="6">
        <v>1038614.48</v>
      </c>
      <c r="BY53" s="6">
        <v>158597.12</v>
      </c>
      <c r="BZ53" s="6">
        <v>114820.632</v>
      </c>
      <c r="CA53" s="6">
        <v>1244.5895</v>
      </c>
      <c r="CB53" s="6">
        <v>109590.16</v>
      </c>
      <c r="CC53" s="6">
        <v>152954.56</v>
      </c>
      <c r="CD53" s="6">
        <v>450383.64799999999</v>
      </c>
      <c r="CE53" s="6">
        <v>49140.988799999999</v>
      </c>
      <c r="CF53" s="6">
        <v>156352.75200000001</v>
      </c>
      <c r="CG53" s="6">
        <v>360944.67200000002</v>
      </c>
      <c r="CH53" s="6">
        <v>2385.8710000000001</v>
      </c>
      <c r="CI53" s="6">
        <v>217.41200000000001</v>
      </c>
      <c r="CJ53" s="6">
        <v>1191.5999999999999</v>
      </c>
      <c r="CK53" s="6">
        <v>78.972999999999999</v>
      </c>
      <c r="CL53" s="6">
        <v>744.85</v>
      </c>
      <c r="CM53" s="6">
        <v>551.4</v>
      </c>
      <c r="CN53" s="6">
        <v>53826</v>
      </c>
      <c r="CO53" s="6">
        <v>1672.2090000000001</v>
      </c>
      <c r="CP53" s="6">
        <v>297727.88400000002</v>
      </c>
      <c r="CQ53" s="6">
        <v>3709366.72</v>
      </c>
      <c r="CR53" s="6">
        <v>132488.576</v>
      </c>
      <c r="CS53" s="6">
        <v>520351.45600000001</v>
      </c>
      <c r="CT53" s="6">
        <v>2997677.889</v>
      </c>
      <c r="CU53" s="6">
        <v>303990.68099999998</v>
      </c>
      <c r="CV53" s="6">
        <f>CV52+CV52-CV51</f>
        <v>30203.615999999998</v>
      </c>
      <c r="CW53" s="6">
        <v>63414.368000000002</v>
      </c>
      <c r="CX53" s="6">
        <v>33526.595200000003</v>
      </c>
      <c r="CY53" s="6">
        <v>170289.984</v>
      </c>
      <c r="CZ53" s="6">
        <v>219441.64799999999</v>
      </c>
      <c r="DA53" s="6">
        <v>19264.87</v>
      </c>
      <c r="DB53" s="6">
        <v>152325.92499999999</v>
      </c>
      <c r="DC53" s="6">
        <v>3151.44</v>
      </c>
      <c r="DD53" s="6">
        <f>DD52+6.77</f>
        <v>3127.9599999999996</v>
      </c>
      <c r="DE53" s="6">
        <v>3180.57</v>
      </c>
      <c r="DF53" s="6">
        <v>0.999</v>
      </c>
      <c r="DG53" s="1" t="s">
        <v>292</v>
      </c>
      <c r="DH53" s="4">
        <f>Table2[[#This Row],[Date]]</f>
        <v>46255</v>
      </c>
      <c r="DI53">
        <f>(DD54-Table2[[#This Row],[MWH Total]])*4000</f>
        <v>19880.000000001019</v>
      </c>
      <c r="DJ53">
        <f>(DA54-Table2[[#This Row],[PNG Meter (Outside)]])*2.936</f>
        <v>7.1638400000068359</v>
      </c>
      <c r="DK53">
        <f>(DB54-Table2[[#This Row],[PNG Meter (Inside)]])*2.936</f>
        <v>298.84369600006426</v>
      </c>
      <c r="DL53">
        <f>(BH54-Table2[[#This Row],[3F Dough cooler - 2 ]])*1000</f>
        <v>331.00000000001728</v>
      </c>
      <c r="DM53">
        <f>(BI54-Table2[[#This Row],[3F Dough Cooler- 1]])*1000</f>
        <v>466.00000000000819</v>
      </c>
      <c r="DN53">
        <f>(BJ54-Table2[[#This Row],[4F Dough Production cooling Unit]])*1000</f>
        <v>46.99999999999882</v>
      </c>
      <c r="DO53">
        <f>(BQ54-Table2[[#This Row],[3F2 - PDB 3 - Dough Production Area]])*1000</f>
        <v>228.00000000000864</v>
      </c>
      <c r="DP53">
        <f>(BR54-Table2[[#This Row],[3F3 - PDB 4 - Dough Area]])*1000</f>
        <v>127.9999999999859</v>
      </c>
      <c r="DQ53">
        <f>AC54-Table2[[#This Row],[16F1 Tray washer Panel for Light]]</f>
        <v>665.75999999977648</v>
      </c>
      <c r="DR53">
        <f>CQ54-Table2[[#This Row],[2F1 Tray Washer - 1]]</f>
        <v>1090.8799999998882</v>
      </c>
      <c r="DS53">
        <f>CS54-Table2[[#This Row],[2F5 Destacker]]</f>
        <v>359.26399999996647</v>
      </c>
      <c r="DT53">
        <f>CU54-Table2[[#This Row],[5F1 Metering (TW-2)]]</f>
        <v>272.64500000001863</v>
      </c>
      <c r="DU53">
        <f>CV54-Table2[[#This Row],[6F1 Pre soaker Tray washer]]</f>
        <v>2.8943999999974039</v>
      </c>
      <c r="DV53">
        <f>CZ54-Table2[[#This Row],[6F5 Vent tray Storage]]</f>
        <v>116.41600000002654</v>
      </c>
      <c r="DW53">
        <f>I54-Table2[[#This Row],[Popeyes Meter ]]</f>
        <v>70.359999999999673</v>
      </c>
      <c r="DX53">
        <f>AZ54-Table2[[#This Row],[2F WH Chiller, Segregation Area]]</f>
        <v>0</v>
      </c>
      <c r="DY53">
        <f>BA54-Table2[[#This Row],[3F1 AC Unit WH dock cooling - 2 Nos]]</f>
        <v>21</v>
      </c>
      <c r="DZ53">
        <f>BB54-Table2[[#This Row],[3F2 AC Unit WH dock cooling - 3 Nos]]</f>
        <v>4.0999999999996817E-2</v>
      </c>
      <c r="EA53">
        <f>(BK54-Table2[[#This Row],[5F WH Perishable]])*1000</f>
        <v>269.99999999998181</v>
      </c>
      <c r="EB53">
        <f>BN54-Table2[[#This Row],[2F3 - PDB 9 - WH Dock Leveler Door ]]</f>
        <v>1.4207999999998719</v>
      </c>
      <c r="EC53">
        <f>BP54-Table2[[#This Row],[3F1 - PDB 5 - WH HSD]]</f>
        <v>114.91200000001118</v>
      </c>
      <c r="ED53">
        <f>BX54-Table2[[#This Row],[8F1 WH Dock AHU - Ventilation]]</f>
        <v>1405.6800000000512</v>
      </c>
      <c r="EE53">
        <f>BZ54-Table2[[#This Row],[8F3 ACPDB - 4 WH Dock air curtain]]</f>
        <v>31.047999999995227</v>
      </c>
      <c r="EF53">
        <f>CA54-Table2[[#This Row],[8F4 WH Light]]</f>
        <v>0</v>
      </c>
      <c r="EG53">
        <f>CC54-Table2[[#This Row],[9F1 - PDB 10 - WH Dock door &amp; Office]]</f>
        <v>149.51999999998952</v>
      </c>
      <c r="EH53">
        <f>CD54-Table2[[#This Row],[9F2 - PDB 11 - WH flycatchers]]</f>
        <v>211.35999999998603</v>
      </c>
      <c r="EI53">
        <f>CE54-Table2[[#This Row],[9F3 - PDB 12 - Other items]]</f>
        <v>0</v>
      </c>
      <c r="EJ53">
        <f>CR54-Table2[[#This Row],[2F3 - PDB 1 - Dock 1 to 4 ]]</f>
        <v>58.896000000007916</v>
      </c>
      <c r="EK53">
        <f>BM54-Table2[[#This Row],[2F2 - PDB 3 - WH Truck &amp; Battery Charging]]</f>
        <v>485.47200000000885</v>
      </c>
      <c r="EL53">
        <f>(CK54-Table2[[#This Row],[PDB - 11 Truck Charging]])*1000</f>
        <v>67.000000000007276</v>
      </c>
      <c r="EM53">
        <f>P54-Table2[[#This Row],[5F3 Admin Area]]</f>
        <v>366.52799999993294</v>
      </c>
      <c r="EN53">
        <f>AH54-Table2[[#This Row],[2F5 Main Gate-1 Piller -1]]</f>
        <v>128.94399999998859</v>
      </c>
      <c r="EO53">
        <f>CW54-Table2[[#This Row],[6F2 Ground Floor AC]]</f>
        <v>11.718399999997928</v>
      </c>
      <c r="EP53">
        <f>CX54-Table2[[#This Row],[6F3 ACBD -1 (First floor AC)]]</f>
        <v>7.9775999999983469</v>
      </c>
      <c r="EQ53">
        <f>CY54-Table2[[#This Row],[6F4 ACBD - 2 (Second &amp; Third floor AC)]]</f>
        <v>114.11199999999371</v>
      </c>
      <c r="ER53">
        <f>(BC54-Table2[[#This Row],[4F Old BMC cooling Unit]])</f>
        <v>0</v>
      </c>
      <c r="ES53">
        <f>BO54-Table2[[#This Row],[2F4 - Old BMC]]</f>
        <v>0</v>
      </c>
      <c r="ET53">
        <f>Y54-Table2[[#This Row],[14F2 New CK]]</f>
        <v>1612.3999999999069</v>
      </c>
      <c r="EU53">
        <f>(CL54-Table2[[#This Row],[OLD Ck Panel-1]])*1000</f>
        <v>658.00000000001546</v>
      </c>
      <c r="EV53">
        <f>CM54-Table2[[#This Row],[2F4 Old CK Blast (Blue star)]]</f>
        <v>0</v>
      </c>
      <c r="EW53">
        <f>CN54-Table2[[#This Row],[3F6 Old CK Blast (Carrier)]]</f>
        <v>528.40000000000146</v>
      </c>
      <c r="EX53">
        <f>(CO54-Table2[[#This Row],[Old CK Panel -2]])*1000</f>
        <v>1451.0000000000218</v>
      </c>
      <c r="EY53">
        <f>N54-Table2[[#This Row],[4F1 Main UPS 1/C -1]]</f>
        <v>963.68000000016764</v>
      </c>
      <c r="EZ53">
        <f>Z54-Table2[[#This Row],[15F1 Main UPS Panel - I/C - 2]]</f>
        <v>0</v>
      </c>
      <c r="FA53">
        <f>BF54-Table2[[#This Row],[2F CLC -1 AC unit - 2]]</f>
        <v>0</v>
      </c>
      <c r="FB53">
        <f>(BG54-Table2[[#This Row],[2F CLC Anti room]])*1000</f>
        <v>31.999999999996476</v>
      </c>
      <c r="FC53">
        <f>BW54-Table2[[#This Row],[7F3 CLC Power Panel]]</f>
        <v>283.26400000008289</v>
      </c>
      <c r="FD53">
        <f>(CI54-Table2[[#This Row],[PDB - 17 CLC Section ]])*1000</f>
        <v>164.99999999999204</v>
      </c>
      <c r="FE53">
        <f>(W54-Table2[[#This Row],[13F3 Water &amp; Lift Old CK]])*1000</f>
        <v>723.60000000003311</v>
      </c>
      <c r="FF53">
        <f>AA54-Table2[[#This Row],[15F2 New ETP Panel]]</f>
        <v>273.92000000004191</v>
      </c>
      <c r="FG53">
        <f>AL54-Table2[[#This Row],[3F4 Old ETP Panel]]</f>
        <v>70.239999999990687</v>
      </c>
      <c r="FH53">
        <f>AF54-Table2[[#This Row],[2F1 RO Plant]]</f>
        <v>590.7839999999851</v>
      </c>
      <c r="FI53">
        <f>AK54-Table2[[#This Row],[3F3 Fire Hydrant Panel]]</f>
        <v>14.520000000004075</v>
      </c>
      <c r="FJ53">
        <f>R54-Table2[[#This Row],[7F1 Freon System Panel]]</f>
        <v>5217.9199999999255</v>
      </c>
      <c r="FK53">
        <f>(AE54-Table2[[#This Row],[21F1 Refrigeration Ammonia]])*1000</f>
        <v>7208.8000000003376</v>
      </c>
      <c r="FL53">
        <f>(AG54-Table2[[#This Row],[2F3 Air Compressor]])*1000</f>
        <v>1215.9999999998945</v>
      </c>
      <c r="FM53">
        <f>(AX54-Table2[[#This Row],[Solar Reading Panel II]])*1000</f>
        <v>2650.0000000005457</v>
      </c>
      <c r="FN53">
        <f>AI54-Table2[[#This Row],[3F1 Maintenance Workshop]]</f>
        <v>5.3520000000007713</v>
      </c>
      <c r="FO53">
        <f>BD54-Table2[[#This Row],[4F B2B unit ]]</f>
        <v>42.880000000004657</v>
      </c>
      <c r="FP53">
        <f>BL54-Table2[[#This Row],[2F1 - PDB 6 - Bread, B2B section]]</f>
        <v>227.05920000000333</v>
      </c>
      <c r="FQ53">
        <f>(CG54-Table2[[#This Row],[9F5 - PDB 14 - Bread Lift]])</f>
        <v>1.9199999999837019</v>
      </c>
      <c r="FR53">
        <f>CJ54-Table2[[#This Row],[PDB - 16 Bread Section]]</f>
        <v>0</v>
      </c>
      <c r="FS53">
        <f>BU54-Table2[[#This Row],[7F1 Donut Production area]]</f>
        <v>161.59999999997672</v>
      </c>
      <c r="FT53">
        <f>CB54-Table2[[#This Row],[8F5 Donut Ban Bary]]</f>
        <v>40.543999999994412</v>
      </c>
      <c r="FU53">
        <f>CF54-Table2[[#This Row],[9F4 - PDB 13 - Donut Sink Geyser area]]</f>
        <v>9.0559999999823049</v>
      </c>
      <c r="FV53">
        <f>BV54-Table2[[#This Row],[7F2 Flour Silo]]</f>
        <v>699.59999999997672</v>
      </c>
      <c r="FW53">
        <f>BY54-Table2[[#This Row],[8F2 ACPDB - 3 SILO Ventilation]]</f>
        <v>41.168000000005122</v>
      </c>
      <c r="FX53">
        <f>J54-Table2[[#This Row],[DG 1010KVA Running Hours]]</f>
        <v>0</v>
      </c>
      <c r="FY53">
        <f>K54-Table2[[#This Row],[DG 1010 KVA Meter Reading]]</f>
        <v>0</v>
      </c>
      <c r="FZ53">
        <f>L54-Table2[[#This Row],[GG 1010 KVA Running Hours]]</f>
        <v>0</v>
      </c>
      <c r="GA53">
        <f>M54-Table2[[#This Row],[GG 1010 KVA Meter Reading]]</f>
        <v>0</v>
      </c>
    </row>
    <row r="54" spans="1:183" x14ac:dyDescent="0.35">
      <c r="A54" s="1">
        <v>64</v>
      </c>
      <c r="B54" s="68">
        <v>46256.407627314817</v>
      </c>
      <c r="C54" s="68">
        <v>46256.44059027778</v>
      </c>
      <c r="D54" s="1" t="s">
        <v>111</v>
      </c>
      <c r="E54" s="1"/>
      <c r="F54" s="1"/>
      <c r="G54" s="3">
        <v>46256</v>
      </c>
      <c r="H54" s="1" t="s">
        <v>291</v>
      </c>
      <c r="I54" s="6">
        <f>I53-I52+I53-1</f>
        <v>7518.601999999999</v>
      </c>
      <c r="J54" s="6">
        <v>4276.8999999999996</v>
      </c>
      <c r="K54" s="6">
        <v>1777810</v>
      </c>
      <c r="L54" s="6">
        <v>457</v>
      </c>
      <c r="M54" s="6">
        <v>192.04</v>
      </c>
      <c r="N54" s="6">
        <v>1886126.56</v>
      </c>
      <c r="O54" s="6">
        <v>4634532.4800000004</v>
      </c>
      <c r="P54" s="6">
        <v>652732.48</v>
      </c>
      <c r="Q54" s="6">
        <v>8143920</v>
      </c>
      <c r="R54" s="6">
        <v>5643847.6799999997</v>
      </c>
      <c r="S54" s="6">
        <v>7427678.7199999997</v>
      </c>
      <c r="T54" s="6">
        <v>42988560.574000001</v>
      </c>
      <c r="U54" s="6">
        <v>2126248.96</v>
      </c>
      <c r="V54" s="6">
        <v>5147369.92</v>
      </c>
      <c r="W54" s="6">
        <v>1605.2446</v>
      </c>
      <c r="X54" s="6">
        <v>779032.19200000004</v>
      </c>
      <c r="Y54" s="6">
        <v>1118016.3999999999</v>
      </c>
      <c r="Z54" s="6">
        <v>2777.8894</v>
      </c>
      <c r="AA54" s="6">
        <v>673652.03200000001</v>
      </c>
      <c r="AB54" s="6">
        <v>421498.56</v>
      </c>
      <c r="AC54" s="6">
        <v>2151868</v>
      </c>
      <c r="AD54" s="6">
        <v>4294977.4009999996</v>
      </c>
      <c r="AE54" s="6">
        <v>12940.1824</v>
      </c>
      <c r="AF54" s="6">
        <v>885875.77599999995</v>
      </c>
      <c r="AG54" s="6">
        <v>1422.963</v>
      </c>
      <c r="AH54" s="6">
        <v>135442.68799999999</v>
      </c>
      <c r="AI54" s="6">
        <v>14725.232</v>
      </c>
      <c r="AJ54" s="6">
        <v>145394.736</v>
      </c>
      <c r="AK54" s="6">
        <v>105442.144</v>
      </c>
      <c r="AL54" s="6">
        <v>331944.73599999998</v>
      </c>
      <c r="AM54" s="6">
        <v>1003.154</v>
      </c>
      <c r="AN54" s="6">
        <v>298.10000000000002</v>
      </c>
      <c r="AO54" s="6">
        <v>7.8</v>
      </c>
      <c r="AP54" s="6">
        <v>647236</v>
      </c>
      <c r="AQ54" s="6">
        <v>42693</v>
      </c>
      <c r="AR54" s="6">
        <v>42148</v>
      </c>
      <c r="AS54" s="6">
        <v>0</v>
      </c>
      <c r="AT54" s="6">
        <v>0</v>
      </c>
      <c r="AU54" s="6">
        <v>16077</v>
      </c>
      <c r="AV54" s="6">
        <v>6683</v>
      </c>
      <c r="AW54" s="6">
        <v>21.054838</v>
      </c>
      <c r="AX54" s="6">
        <v>7284.6930000000002</v>
      </c>
      <c r="AY54" s="6">
        <v>681.71032000000002</v>
      </c>
      <c r="AZ54" s="6">
        <v>20.788</v>
      </c>
      <c r="BA54" s="6">
        <v>10773</v>
      </c>
      <c r="BB54" s="6">
        <v>45.595999999999997</v>
      </c>
      <c r="BC54" s="6">
        <v>114024.568</v>
      </c>
      <c r="BD54" s="6">
        <v>276947.03999999998</v>
      </c>
      <c r="BE54" s="6">
        <v>3749.2739999999999</v>
      </c>
      <c r="BF54" s="6">
        <v>1714.182</v>
      </c>
      <c r="BG54" s="6">
        <v>75.603999999999999</v>
      </c>
      <c r="BH54" s="6">
        <v>372.12</v>
      </c>
      <c r="BI54" s="6">
        <v>924.19100000000003</v>
      </c>
      <c r="BJ54" s="6">
        <v>15.661</v>
      </c>
      <c r="BK54" s="6">
        <v>569.03700000000003</v>
      </c>
      <c r="BL54" s="6">
        <v>75991.756800000003</v>
      </c>
      <c r="BM54" s="6">
        <v>318215.23200000002</v>
      </c>
      <c r="BN54" s="6">
        <v>7261.6319999999996</v>
      </c>
      <c r="BO54" s="6">
        <v>53589.132799999999</v>
      </c>
      <c r="BP54" s="6">
        <v>316391.52</v>
      </c>
      <c r="BQ54" s="6">
        <v>329.89699999999999</v>
      </c>
      <c r="BR54" s="6">
        <v>183.839</v>
      </c>
      <c r="BS54" s="6">
        <v>1035078.682</v>
      </c>
      <c r="BT54" s="6">
        <v>1400623.4890000001</v>
      </c>
      <c r="BU54" s="6">
        <v>633249.21600000001</v>
      </c>
      <c r="BV54" s="6">
        <v>1034166.64</v>
      </c>
      <c r="BW54" s="6">
        <v>573305.40800000005</v>
      </c>
      <c r="BX54" s="6">
        <v>1040020.16</v>
      </c>
      <c r="BY54" s="6">
        <v>158638.288</v>
      </c>
      <c r="BZ54" s="6">
        <v>114851.68</v>
      </c>
      <c r="CA54" s="6">
        <v>1244.5895</v>
      </c>
      <c r="CB54" s="6">
        <v>109630.704</v>
      </c>
      <c r="CC54" s="6">
        <v>153104.07999999999</v>
      </c>
      <c r="CD54" s="6">
        <v>450595.00799999997</v>
      </c>
      <c r="CE54" s="6">
        <v>49140.988799999999</v>
      </c>
      <c r="CF54" s="6">
        <v>156361.80799999999</v>
      </c>
      <c r="CG54" s="6">
        <v>360946.592</v>
      </c>
      <c r="CH54" s="6">
        <v>2385.8710000000001</v>
      </c>
      <c r="CI54" s="6">
        <v>217.577</v>
      </c>
      <c r="CJ54" s="6">
        <v>1191.5999999999999</v>
      </c>
      <c r="CK54" s="6">
        <v>79.040000000000006</v>
      </c>
      <c r="CL54" s="6">
        <v>745.50800000000004</v>
      </c>
      <c r="CM54" s="6">
        <v>551.4</v>
      </c>
      <c r="CN54" s="6">
        <v>54354.400000000001</v>
      </c>
      <c r="CO54" s="6">
        <v>1673.66</v>
      </c>
      <c r="CP54" s="6">
        <v>297949.44900000002</v>
      </c>
      <c r="CQ54" s="6">
        <v>3710457.6</v>
      </c>
      <c r="CR54" s="6">
        <v>132547.47200000001</v>
      </c>
      <c r="CS54" s="6">
        <v>520710.72</v>
      </c>
      <c r="CT54" s="6">
        <v>3001339.355</v>
      </c>
      <c r="CU54" s="6">
        <v>304263.326</v>
      </c>
      <c r="CV54" s="6">
        <f>CV53+CV53-CV52+0.6</f>
        <v>30206.510399999996</v>
      </c>
      <c r="CW54" s="6">
        <v>63426.0864</v>
      </c>
      <c r="CX54" s="6">
        <v>33534.572800000002</v>
      </c>
      <c r="CY54" s="6">
        <v>170404.09599999999</v>
      </c>
      <c r="CZ54" s="6">
        <v>219558.06400000001</v>
      </c>
      <c r="DA54" s="6">
        <v>19267.310000000001</v>
      </c>
      <c r="DB54" s="6">
        <v>152427.71100000001</v>
      </c>
      <c r="DC54" s="6">
        <v>3157.81</v>
      </c>
      <c r="DD54" s="6">
        <v>3132.93</v>
      </c>
      <c r="DE54" s="6">
        <v>3187.14</v>
      </c>
      <c r="DF54" s="6">
        <v>0.995</v>
      </c>
      <c r="DG54" s="1" t="s">
        <v>245</v>
      </c>
      <c r="DH54" s="4">
        <f>Table2[[#This Row],[Date]]</f>
        <v>46256</v>
      </c>
      <c r="DI54">
        <f>(DD55-Table2[[#This Row],[MWH Total]])*4000</f>
        <v>43840.000000000146</v>
      </c>
      <c r="DJ54">
        <f>(DA55-Table2[[#This Row],[PNG Meter (Outside)]])*2.936</f>
        <v>17.704079999996583</v>
      </c>
      <c r="DK54">
        <f>(DB55-Table2[[#This Row],[PNG Meter (Inside)]])*2.936</f>
        <v>179.65384000000682</v>
      </c>
      <c r="DL54">
        <f>(BH55-Table2[[#This Row],[3F Dough cooler - 2 ]])*1000</f>
        <v>740.99999999998545</v>
      </c>
      <c r="DM54">
        <f>(BI55-Table2[[#This Row],[3F Dough Cooler- 1]])*1000</f>
        <v>370.00000000000455</v>
      </c>
      <c r="DN54">
        <f>(BJ55-Table2[[#This Row],[4F Dough Production cooling Unit]])*1000</f>
        <v>47.000000000000597</v>
      </c>
      <c r="DO54">
        <f>(BQ55-Table2[[#This Row],[3F2 - PDB 3 - Dough Production Area]])*1000</f>
        <v>153.00000000002001</v>
      </c>
      <c r="DP54">
        <f>(BR55-Table2[[#This Row],[3F3 - PDB 4 - Dough Area]])*1000</f>
        <v>84.000000000003183</v>
      </c>
      <c r="DQ54">
        <f>AC55-Table2[[#This Row],[16F1 Tray washer Panel for Light]]</f>
        <v>549.91999999992549</v>
      </c>
      <c r="DR54">
        <f>CQ55-Table2[[#This Row],[2F1 Tray Washer - 1]]</f>
        <v>957.12000000011176</v>
      </c>
      <c r="DS54">
        <f>CS55-Table2[[#This Row],[2F5 Destacker]]</f>
        <v>231.55200000002515</v>
      </c>
      <c r="DT54">
        <f>CU55-Table2[[#This Row],[5F1 Metering (TW-2)]]</f>
        <v>170.63099999999395</v>
      </c>
      <c r="DU54">
        <f>CV55-Table2[[#This Row],[6F1 Pre soaker Tray washer]]</f>
        <v>3.0943999999981315</v>
      </c>
      <c r="DV54">
        <f>CZ55-Table2[[#This Row],[6F5 Vent tray Storage]]</f>
        <v>63.583999999973457</v>
      </c>
      <c r="DW54">
        <f>I55-Table2[[#This Row],[Popeyes Meter ]]</f>
        <v>69.489999999999782</v>
      </c>
      <c r="DX54">
        <f>AZ55-Table2[[#This Row],[2F WH Chiller, Segregation Area]]</f>
        <v>0</v>
      </c>
      <c r="DY54">
        <f>BA55-Table2[[#This Row],[3F1 AC Unit WH dock cooling - 2 Nos]]</f>
        <v>16</v>
      </c>
      <c r="DZ54">
        <f>BB55-Table2[[#This Row],[3F2 AC Unit WH dock cooling - 3 Nos]]</f>
        <v>2.7000000000001023E-2</v>
      </c>
      <c r="EA54">
        <f>(BK55-Table2[[#This Row],[5F WH Perishable]])*1000</f>
        <v>213.99999999994179</v>
      </c>
      <c r="EB54">
        <f>BN55-Table2[[#This Row],[2F3 - PDB 9 - WH Dock Leveler Door ]]</f>
        <v>4.2344000000002779</v>
      </c>
      <c r="EC54">
        <f>BP55-Table2[[#This Row],[3F1 - PDB 5 - WH HSD]]</f>
        <v>93.119999999995343</v>
      </c>
      <c r="ED54">
        <f>BX55-Table2[[#This Row],[8F1 WH Dock AHU - Ventilation]]</f>
        <v>1125.1199999999953</v>
      </c>
      <c r="EE54">
        <f>BZ55-Table2[[#This Row],[8F3 ACPDB - 4 WH Dock air curtain]]</f>
        <v>27.63200000001234</v>
      </c>
      <c r="EF54">
        <f>CA55-Table2[[#This Row],[8F4 WH Light]]</f>
        <v>0</v>
      </c>
      <c r="EG54">
        <f>CC55-Table2[[#This Row],[9F1 - PDB 10 - WH Dock door &amp; Office]]</f>
        <v>116.89600000000792</v>
      </c>
      <c r="EH54">
        <f>CD55-Table2[[#This Row],[9F2 - PDB 11 - WH flycatchers]]</f>
        <v>204.73600000003353</v>
      </c>
      <c r="EI54">
        <f>CE55-Table2[[#This Row],[9F3 - PDB 12 - Other items]]</f>
        <v>0</v>
      </c>
      <c r="EJ54">
        <f>CR55-Table2[[#This Row],[2F3 - PDB 1 - Dock 1 to 4 ]]</f>
        <v>42.919999999983702</v>
      </c>
      <c r="EK54">
        <f>BM55-Table2[[#This Row],[2F2 - PDB 3 - WH Truck &amp; Battery Charging]]</f>
        <v>700.12799999996787</v>
      </c>
      <c r="EL54">
        <f>(CK55-Table2[[#This Row],[PDB - 11 Truck Charging]])*1000</f>
        <v>65.99999999998829</v>
      </c>
      <c r="EM54">
        <f>P55-Table2[[#This Row],[5F3 Admin Area]]</f>
        <v>286.01600000006147</v>
      </c>
      <c r="EN54">
        <f>AH55-Table2[[#This Row],[2F5 Main Gate-1 Piller -1]]</f>
        <v>101.50400000001537</v>
      </c>
      <c r="EO54">
        <f>CW55-Table2[[#This Row],[6F2 Ground Floor AC]]</f>
        <v>8.7168000000019674</v>
      </c>
      <c r="EP54">
        <f>CX55-Table2[[#This Row],[6F3 ACBD -1 (First floor AC)]]</f>
        <v>6.591999999996915</v>
      </c>
      <c r="EQ54">
        <f>CY55-Table2[[#This Row],[6F4 ACBD - 2 (Second &amp; Third floor AC)]]</f>
        <v>77.088000000017928</v>
      </c>
      <c r="ER54">
        <f>(BC55-Table2[[#This Row],[4F Old BMC cooling Unit]])</f>
        <v>0</v>
      </c>
      <c r="ES54" s="1">
        <f>BO55-Table2[[#This Row],[2F4 - Old BMC]]</f>
        <v>0</v>
      </c>
      <c r="ET54">
        <f>Y55-Table2[[#This Row],[14F2 New CK]]</f>
        <v>1383.3600000001024</v>
      </c>
      <c r="EU54">
        <f>(CL55-Table2[[#This Row],[OLD Ck Panel-1]])*1000</f>
        <v>318.99999999995998</v>
      </c>
      <c r="EV54">
        <f>CM55-Table2[[#This Row],[2F4 Old CK Blast (Blue star)]]</f>
        <v>0</v>
      </c>
      <c r="EW54">
        <f>CN55-Table2[[#This Row],[3F6 Old CK Blast (Carrier)]]</f>
        <v>224.69999999999709</v>
      </c>
      <c r="EX54">
        <f>(CO55-Table2[[#This Row],[Old CK Panel -2]])*1000</f>
        <v>1032.9999999999018</v>
      </c>
      <c r="EY54">
        <f>N55-Table2[[#This Row],[4F1 Main UPS 1/C -1]]</f>
        <v>730.39999999990687</v>
      </c>
      <c r="EZ54">
        <f>Z55-Table2[[#This Row],[15F1 Main UPS Panel - I/C - 2]]</f>
        <v>0</v>
      </c>
      <c r="FA54">
        <f>BF55-Table2[[#This Row],[2F CLC -1 AC unit - 2]]</f>
        <v>0</v>
      </c>
      <c r="FB54">
        <f>(BG55-Table2[[#This Row],[2F CLC Anti room]])*1000</f>
        <v>28.000000000005798</v>
      </c>
      <c r="FC54">
        <f>BW55-Table2[[#This Row],[7F3 CLC Power Panel]]</f>
        <v>223.10399999993388</v>
      </c>
      <c r="FD54">
        <f>(CI55-Table2[[#This Row],[PDB - 17 CLC Section ]])*1000</f>
        <v>123.99999999999523</v>
      </c>
      <c r="FE54">
        <f>(W55-Table2[[#This Row],[13F3 Water &amp; Lift Old CK]])*1000</f>
        <v>707.40000000000691</v>
      </c>
      <c r="FF54">
        <f>AA55-Table2[[#This Row],[15F2 New ETP Panel]]</f>
        <v>204.80000000004657</v>
      </c>
      <c r="FG54">
        <f>AL55-Table2[[#This Row],[3F4 Old ETP Panel]]</f>
        <v>58.271999999997206</v>
      </c>
      <c r="FH54">
        <f>AF55-Table2[[#This Row],[2F1 RO Plant]]</f>
        <v>384.89600000006612</v>
      </c>
      <c r="FI54">
        <f>AK55-Table2[[#This Row],[3F3 Fire Hydrant Panel]]</f>
        <v>6.5359999999927823</v>
      </c>
      <c r="FJ54">
        <f>R55-Table2[[#This Row],[7F1 Freon System Panel]]</f>
        <v>4170.8799999998882</v>
      </c>
      <c r="FK54">
        <f>(AE55-Table2[[#This Row],[21F1 Refrigeration Ammonia]])*1000</f>
        <v>5659.2000000000553</v>
      </c>
      <c r="FL54">
        <f>(AG55-Table2[[#This Row],[2F3 Air Compressor]])*1000</f>
        <v>992.99999999993815</v>
      </c>
      <c r="FM54">
        <f>(AX55-Table2[[#This Row],[Solar Reading Panel II]])*1000</f>
        <v>1858.9999999994689</v>
      </c>
      <c r="FN54">
        <f>AI55-Table2[[#This Row],[3F1 Maintenance Workshop]]</f>
        <v>3.7088000000003376</v>
      </c>
      <c r="FO54">
        <f>BD55-Table2[[#This Row],[4F B2B unit ]]</f>
        <v>34.304000000003725</v>
      </c>
      <c r="FP54">
        <f>BL55-Table2[[#This Row],[2F1 - PDB 6 - Bread, B2B section]]</f>
        <v>174.9311999999918</v>
      </c>
      <c r="FQ54">
        <f>(CG55-Table2[[#This Row],[9F5 - PDB 14 - Bread Lift]])</f>
        <v>5.0879999999888241</v>
      </c>
      <c r="FR54">
        <f>CJ55-Table2[[#This Row],[PDB - 16 Bread Section]]</f>
        <v>0</v>
      </c>
      <c r="FS54">
        <f>BU55-Table2[[#This Row],[7F1 Donut Production area]]</f>
        <v>167.35999999998603</v>
      </c>
      <c r="FT54">
        <f>CB55-Table2[[#This Row],[8F5 Donut Ban Bary]]</f>
        <v>20.01600000000326</v>
      </c>
      <c r="FU54">
        <f>CF55-Table2[[#This Row],[9F4 - PDB 13 - Donut Sink Geyser area]]</f>
        <v>56.112000000022817</v>
      </c>
      <c r="FV54">
        <f>BV55-Table2[[#This Row],[7F2 Flour Silo]]</f>
        <v>372.88000000000466</v>
      </c>
      <c r="FW54">
        <f>BY55-Table2[[#This Row],[8F2 ACPDB - 3 SILO Ventilation]]</f>
        <v>55.10999999998603</v>
      </c>
      <c r="FX54">
        <f>J55-Table2[[#This Row],[DG 1010KVA Running Hours]]</f>
        <v>0</v>
      </c>
      <c r="FY54">
        <f>K55-Table2[[#This Row],[DG 1010 KVA Meter Reading]]</f>
        <v>0</v>
      </c>
      <c r="FZ54">
        <f>L55-Table2[[#This Row],[GG 1010 KVA Running Hours]]</f>
        <v>0</v>
      </c>
      <c r="GA54">
        <f>M55-Table2[[#This Row],[GG 1010 KVA Meter Reading]]</f>
        <v>0</v>
      </c>
    </row>
    <row r="55" spans="1:183" x14ac:dyDescent="0.35">
      <c r="A55" s="1">
        <v>65</v>
      </c>
      <c r="B55" s="68">
        <v>46258.457118055558</v>
      </c>
      <c r="C55" s="68">
        <v>46258.478761574072</v>
      </c>
      <c r="D55" s="1" t="s">
        <v>111</v>
      </c>
      <c r="E55" s="1"/>
      <c r="F55" s="1"/>
      <c r="G55" s="3">
        <v>46257</v>
      </c>
      <c r="H55" s="1" t="s">
        <v>186</v>
      </c>
      <c r="I55" s="6">
        <f>I54-I53+I54-0.87</f>
        <v>7588.0919999999987</v>
      </c>
      <c r="J55" s="6">
        <v>4276.8999999999996</v>
      </c>
      <c r="K55" s="6">
        <v>1777810</v>
      </c>
      <c r="L55" s="6">
        <v>457</v>
      </c>
      <c r="M55" s="6">
        <v>192.04</v>
      </c>
      <c r="N55" s="6">
        <v>1886856.96</v>
      </c>
      <c r="O55" s="6">
        <v>4635991.3600000003</v>
      </c>
      <c r="P55" s="6">
        <v>653018.49600000004</v>
      </c>
      <c r="Q55" s="6">
        <v>8146140.7999999998</v>
      </c>
      <c r="R55" s="6">
        <v>5648018.5599999996</v>
      </c>
      <c r="S55" s="6">
        <v>743394.24</v>
      </c>
      <c r="T55" s="6">
        <v>42998009.691</v>
      </c>
      <c r="U55" s="6">
        <v>2127632.96</v>
      </c>
      <c r="V55" s="6">
        <v>5148712.96</v>
      </c>
      <c r="W55" s="6">
        <v>1605.952</v>
      </c>
      <c r="X55" s="6">
        <v>779204.48</v>
      </c>
      <c r="Y55" s="6">
        <v>1119399.76</v>
      </c>
      <c r="Z55" s="6">
        <v>2777.8894</v>
      </c>
      <c r="AA55" s="6">
        <v>673856.83200000005</v>
      </c>
      <c r="AB55" s="6">
        <v>421511.29599999997</v>
      </c>
      <c r="AC55" s="6">
        <v>2152417.92</v>
      </c>
      <c r="AD55" s="6">
        <v>2847539.5890000002</v>
      </c>
      <c r="AE55" s="6">
        <v>12945.8416</v>
      </c>
      <c r="AF55" s="6">
        <v>886260.67200000002</v>
      </c>
      <c r="AG55" s="6">
        <v>1423.9559999999999</v>
      </c>
      <c r="AH55" s="6">
        <v>135544.19200000001</v>
      </c>
      <c r="AI55" s="6">
        <v>14728.9408</v>
      </c>
      <c r="AJ55" s="6">
        <v>145396.54399999999</v>
      </c>
      <c r="AK55" s="6">
        <v>105448.68</v>
      </c>
      <c r="AL55" s="6">
        <v>332003.00799999997</v>
      </c>
      <c r="AM55" s="6">
        <v>1003.605</v>
      </c>
      <c r="AN55" s="6">
        <v>272.60000000000002</v>
      </c>
      <c r="AO55" s="6">
        <v>7.1</v>
      </c>
      <c r="AP55" s="6">
        <v>655174</v>
      </c>
      <c r="AQ55" s="6">
        <v>42712</v>
      </c>
      <c r="AR55" s="6">
        <v>42167</v>
      </c>
      <c r="AS55" s="6">
        <v>32390</v>
      </c>
      <c r="AT55" s="6">
        <v>22106</v>
      </c>
      <c r="AU55" s="6">
        <v>16095</v>
      </c>
      <c r="AV55" s="6">
        <v>6693</v>
      </c>
      <c r="AW55" s="6">
        <v>21.0603318</v>
      </c>
      <c r="AX55" s="6">
        <v>7286.5519999999997</v>
      </c>
      <c r="AY55" s="6">
        <v>681.87840000000006</v>
      </c>
      <c r="AZ55" s="6">
        <v>20.788</v>
      </c>
      <c r="BA55" s="6">
        <v>10789</v>
      </c>
      <c r="BB55" s="6">
        <v>45.622999999999998</v>
      </c>
      <c r="BC55" s="6">
        <v>114024.568</v>
      </c>
      <c r="BD55" s="6">
        <v>276981.34399999998</v>
      </c>
      <c r="BE55" s="6">
        <v>3750.3036000000002</v>
      </c>
      <c r="BF55" s="6">
        <v>1714.182</v>
      </c>
      <c r="BG55" s="6">
        <v>75.632000000000005</v>
      </c>
      <c r="BH55" s="6">
        <v>372.86099999999999</v>
      </c>
      <c r="BI55" s="6">
        <v>924.56100000000004</v>
      </c>
      <c r="BJ55" s="6">
        <v>15.708</v>
      </c>
      <c r="BK55" s="6">
        <v>569.25099999999998</v>
      </c>
      <c r="BL55" s="6">
        <v>76166.687999999995</v>
      </c>
      <c r="BM55" s="6">
        <v>318915.36</v>
      </c>
      <c r="BN55" s="6">
        <v>7265.8663999999999</v>
      </c>
      <c r="BO55" s="6">
        <v>53589.132799999999</v>
      </c>
      <c r="BP55" s="6">
        <v>316484.64</v>
      </c>
      <c r="BQ55" s="6">
        <v>330.05</v>
      </c>
      <c r="BR55" s="6">
        <v>183.923</v>
      </c>
      <c r="BS55" s="6">
        <v>1036423.1949999999</v>
      </c>
      <c r="BT55" s="6">
        <v>1400623.4890000001</v>
      </c>
      <c r="BU55" s="6">
        <v>633416.576</v>
      </c>
      <c r="BV55" s="6">
        <v>1034539.52</v>
      </c>
      <c r="BW55" s="6">
        <v>573528.51199999999</v>
      </c>
      <c r="BX55" s="6">
        <v>1041145.28</v>
      </c>
      <c r="BY55" s="6">
        <v>158693.39799999999</v>
      </c>
      <c r="BZ55" s="6">
        <v>114879.31200000001</v>
      </c>
      <c r="CA55" s="6">
        <v>1244.5895</v>
      </c>
      <c r="CB55" s="6">
        <v>109650.72</v>
      </c>
      <c r="CC55" s="6">
        <v>153220.976</v>
      </c>
      <c r="CD55" s="6">
        <v>450799.74400000001</v>
      </c>
      <c r="CE55" s="6">
        <v>49140.988799999999</v>
      </c>
      <c r="CF55" s="6">
        <v>156417.92000000001</v>
      </c>
      <c r="CG55" s="6">
        <v>360951.68</v>
      </c>
      <c r="CH55" s="6">
        <v>2385.8710000000001</v>
      </c>
      <c r="CI55" s="6">
        <v>217.70099999999999</v>
      </c>
      <c r="CJ55" s="6">
        <v>1191.5999999999999</v>
      </c>
      <c r="CK55" s="6">
        <v>79.105999999999995</v>
      </c>
      <c r="CL55" s="6">
        <v>745.827</v>
      </c>
      <c r="CM55" s="6">
        <v>551.4</v>
      </c>
      <c r="CN55" s="6">
        <v>54579.1</v>
      </c>
      <c r="CO55" s="6">
        <v>1674.693</v>
      </c>
      <c r="CP55" s="6">
        <v>298133.07299999997</v>
      </c>
      <c r="CQ55" s="6">
        <v>3711414.72</v>
      </c>
      <c r="CR55" s="6">
        <v>132590.39199999999</v>
      </c>
      <c r="CS55" s="6">
        <v>520942.272</v>
      </c>
      <c r="CT55" s="6">
        <v>3004198.3059999999</v>
      </c>
      <c r="CU55" s="6">
        <v>304433.95699999999</v>
      </c>
      <c r="CV55" s="6">
        <f>CV54+CV54-CV53+0.2</f>
        <v>30209.604799999994</v>
      </c>
      <c r="CW55" s="6">
        <v>63434.803200000002</v>
      </c>
      <c r="CX55" s="6">
        <v>33541.164799999999</v>
      </c>
      <c r="CY55" s="6">
        <v>170481.18400000001</v>
      </c>
      <c r="CZ55" s="6">
        <v>219621.64799999999</v>
      </c>
      <c r="DA55" s="6">
        <v>19273.34</v>
      </c>
      <c r="DB55" s="6">
        <v>152488.90100000001</v>
      </c>
      <c r="DC55" s="6">
        <v>3164.75</v>
      </c>
      <c r="DD55" s="6">
        <v>3143.89</v>
      </c>
      <c r="DE55" s="6">
        <v>3194.1</v>
      </c>
      <c r="DF55" s="6">
        <v>0.998</v>
      </c>
      <c r="DG55" s="1" t="s">
        <v>294</v>
      </c>
      <c r="DH55" s="4">
        <f>Table2[[#This Row],[Date]]</f>
        <v>46257</v>
      </c>
      <c r="DI55">
        <f>(DD56-Table2[[#This Row],[MWH Total]])*4000</f>
        <v>116640.00000000124</v>
      </c>
      <c r="DJ55">
        <f>(DA56-Table2[[#This Row],[PNG Meter (Outside)]])*2.936</f>
        <v>97.328400000004265</v>
      </c>
      <c r="DK55">
        <f>(DB56-Table2[[#This Row],[PNG Meter (Inside)]])*2.936</f>
        <v>240.33802399999041</v>
      </c>
      <c r="DL55" s="1">
        <f>(BH56-Table2[[#This Row],[3F Dough cooler - 2 ]])*1000</f>
        <v>31.999999999982265</v>
      </c>
      <c r="DM55">
        <f>(BI56-Table2[[#This Row],[3F Dough Cooler- 1]])*1000</f>
        <v>569.99999999993634</v>
      </c>
      <c r="DN55">
        <f>(BJ56-Table2[[#This Row],[4F Dough Production cooling Unit]])*1000</f>
        <v>63.000000000000611</v>
      </c>
      <c r="DO55">
        <f>(BQ56-Table2[[#This Row],[3F2 - PDB 3 - Dough Production Area]])*1000</f>
        <v>247.99999999999045</v>
      </c>
      <c r="DP55">
        <f>(BR56-Table2[[#This Row],[3F3 - PDB 4 - Dough Area]])*1000</f>
        <v>151.00000000001046</v>
      </c>
      <c r="DQ55">
        <f>AC56-Table2[[#This Row],[16F1 Tray washer Panel for Light]]</f>
        <v>866.39999999990687</v>
      </c>
      <c r="DR55">
        <f>CQ56-Table2[[#This Row],[2F1 Tray Washer - 1]]</f>
        <v>1332.1599999996834</v>
      </c>
      <c r="DS55">
        <f>CS56-Table2[[#This Row],[2F5 Destacker]]</f>
        <v>382.62400000001071</v>
      </c>
      <c r="DT55">
        <f>CU56-Table2[[#This Row],[5F1 Metering (TW-2)]]</f>
        <v>203.11300000001211</v>
      </c>
      <c r="DU55">
        <f>CV56-Table2[[#This Row],[6F1 Pre soaker Tray washer]]</f>
        <v>3.5943999999981315</v>
      </c>
      <c r="DV55">
        <f>CZ56-Table2[[#This Row],[6F5 Vent tray Storage]]</f>
        <v>55.296000000002095</v>
      </c>
      <c r="DW55">
        <f>I56-Table2[[#This Row],[Popeyes Meter ]]</f>
        <v>70.510000000000218</v>
      </c>
      <c r="DX55">
        <f>AZ56-Table2[[#This Row],[2F WH Chiller, Segregation Area]]</f>
        <v>0</v>
      </c>
      <c r="DY55" s="1">
        <f>BA56-Table2[[#This Row],[3F1 AC Unit WH dock cooling - 2 Nos]]</f>
        <v>19</v>
      </c>
      <c r="DZ55">
        <f>BB56-Table2[[#This Row],[3F2 AC Unit WH dock cooling - 3 Nos]]</f>
        <v>6.0000000000002274E-2</v>
      </c>
      <c r="EA55">
        <f>(BK56-Table2[[#This Row],[5F WH Perishable]])*1000</f>
        <v>345.00000000002728</v>
      </c>
      <c r="EB55">
        <f>BN56-Table2[[#This Row],[2F3 - PDB 9 - WH Dock Leveler Door ]]</f>
        <v>2.5864000000001397</v>
      </c>
      <c r="EC55">
        <f>BP56-Table2[[#This Row],[3F1 - PDB 5 - WH HSD]]</f>
        <v>122.20799999998417</v>
      </c>
      <c r="ED55">
        <f>BX56-Table2[[#This Row],[8F1 WH Dock AHU - Ventilation]]</f>
        <v>1840.8800000000047</v>
      </c>
      <c r="EE55">
        <f>BZ56-Table2[[#This Row],[8F3 ACPDB - 4 WH Dock air curtain]]</f>
        <v>25.463999999992666</v>
      </c>
      <c r="EF55">
        <f>CA56-Table2[[#This Row],[8F4 WH Light]]</f>
        <v>0</v>
      </c>
      <c r="EG55">
        <f>CC56-Table2[[#This Row],[9F1 - PDB 10 - WH Dock door &amp; Office]]</f>
        <v>110.84799999999814</v>
      </c>
      <c r="EH55">
        <f>CD56-Table2[[#This Row],[9F2 - PDB 11 - WH flycatchers]]</f>
        <v>156.64000000001397</v>
      </c>
      <c r="EI55">
        <f>CE56-Table2[[#This Row],[9F3 - PDB 12 - Other items]]</f>
        <v>4.4800000003306195E-2</v>
      </c>
      <c r="EJ55">
        <f>CR56-Table2[[#This Row],[2F3 - PDB 1 - Dock 1 to 4 ]]</f>
        <v>55.135999999998603</v>
      </c>
      <c r="EK55">
        <f>BM56-Table2[[#This Row],[2F2 - PDB 3 - WH Truck &amp; Battery Charging]]</f>
        <v>474.01600000000326</v>
      </c>
      <c r="EL55">
        <f>(CK56-Table2[[#This Row],[PDB - 11 Truck Charging]])*1000</f>
        <v>35.0000000000108</v>
      </c>
      <c r="EM55">
        <f>P56-Table2[[#This Row],[5F3 Admin Area]]</f>
        <v>415.23199999995995</v>
      </c>
      <c r="EN55">
        <f>AH56-Table2[[#This Row],[2F5 Main Gate-1 Piller -1]]</f>
        <v>143.42399999999907</v>
      </c>
      <c r="EO55">
        <f>CW56-Table2[[#This Row],[6F2 Ground Floor AC]]</f>
        <v>12.793599999997241</v>
      </c>
      <c r="EP55">
        <f>CX56-Table2[[#This Row],[6F3 ACBD -1 (First floor AC)]]</f>
        <v>11.03360000000248</v>
      </c>
      <c r="EQ55">
        <f>CY56-Table2[[#This Row],[6F4 ACBD - 2 (Second &amp; Third floor AC)]]</f>
        <v>100.14400000000023</v>
      </c>
      <c r="ER55">
        <f>(BC56-Table2[[#This Row],[4F Old BMC cooling Unit]])</f>
        <v>0</v>
      </c>
      <c r="ES55">
        <f>BO56-Table2[[#This Row],[2F4 - Old BMC]]</f>
        <v>0</v>
      </c>
      <c r="ET55">
        <f>Y56-Table2[[#This Row],[14F2 New CK]]</f>
        <v>1151.7600000000093</v>
      </c>
      <c r="EU55">
        <f>(CL56-Table2[[#This Row],[OLD Ck Panel-1]])*1000</f>
        <v>772.0000000000482</v>
      </c>
      <c r="EV55">
        <f>CM56-Table2[[#This Row],[2F4 Old CK Blast (Blue star)]]</f>
        <v>0</v>
      </c>
      <c r="EW55">
        <f>CN56-Table2[[#This Row],[3F6 Old CK Blast (Carrier)]]</f>
        <v>688.20000000000437</v>
      </c>
      <c r="EX55">
        <f>(CO56-Table2[[#This Row],[Old CK Panel -2]])*1000</f>
        <v>1159.0000000001055</v>
      </c>
      <c r="EY55">
        <f>N56-Table2[[#This Row],[4F1 Main UPS 1/C -1]]</f>
        <v>1129.1200000001118</v>
      </c>
      <c r="EZ55">
        <f>Z56-Table2[[#This Row],[15F1 Main UPS Panel - I/C - 2]]</f>
        <v>0</v>
      </c>
      <c r="FA55">
        <f>BF56-Table2[[#This Row],[2F CLC -1 AC unit - 2]]</f>
        <v>0</v>
      </c>
      <c r="FB55">
        <f>(BG56-Table2[[#This Row],[2F CLC Anti room]])*1000</f>
        <v>18.999999999991246</v>
      </c>
      <c r="FC55">
        <f>BW56-Table2[[#This Row],[7F3 CLC Power Panel]]</f>
        <v>199.16800000006333</v>
      </c>
      <c r="FD55">
        <f>(CI56-Table2[[#This Row],[PDB - 17 CLC Section ]])*1000</f>
        <v>125</v>
      </c>
      <c r="FE55">
        <f>(W56-Table2[[#This Row],[13F3 Water &amp; Lift Old CK]])*1000</f>
        <v>512.79999999997017</v>
      </c>
      <c r="FF55">
        <f>AA56-Table2[[#This Row],[15F2 New ETP Panel]]</f>
        <v>342.27199999999721</v>
      </c>
      <c r="FG55">
        <f>AL56-Table2[[#This Row],[3F4 Old ETP Panel]]</f>
        <v>85.664000000047963</v>
      </c>
      <c r="FH55">
        <f>AF56-Table2[[#This Row],[2F1 RO Plant]]</f>
        <v>741.31200000003446</v>
      </c>
      <c r="FI55">
        <f>AK56-Table2[[#This Row],[3F3 Fire Hydrant Panel]]</f>
        <v>12.768000000010943</v>
      </c>
      <c r="FJ55">
        <f>R56-Table2[[#This Row],[7F1 Freon System Panel]]</f>
        <v>5326.7200000006706</v>
      </c>
      <c r="FK55">
        <f>(AE56-Table2[[#This Row],[21F1 Refrigeration Ammonia]])*1000</f>
        <v>7944.8000000011234</v>
      </c>
      <c r="FL55">
        <f>(AG56-Table2[[#This Row],[2F3 Air Compressor]])*1000</f>
        <v>1326.0000000000218</v>
      </c>
      <c r="FM55">
        <f>(AX56-Table2[[#This Row],[Solar Reading Panel II]])*1000</f>
        <v>2416.0000000001673</v>
      </c>
      <c r="FN55">
        <f>AI56-Table2[[#This Row],[3F1 Maintenance Workshop]]</f>
        <v>8.8752000000004045</v>
      </c>
      <c r="FO55">
        <f>BD56-Table2[[#This Row],[4F B2B unit ]]</f>
        <v>25.37599999998929</v>
      </c>
      <c r="FP55">
        <f>BL56-Table2[[#This Row],[2F1 - PDB 6 - Bread, B2B section]]</f>
        <v>235.58400000000256</v>
      </c>
      <c r="FQ55" s="1">
        <f>(CG56-Table2[[#This Row],[9F5 - PDB 14 - Bread Lift]])</f>
        <v>0</v>
      </c>
      <c r="FR55">
        <f>CJ56-Table2[[#This Row],[PDB - 16 Bread Section]]</f>
        <v>0</v>
      </c>
      <c r="FS55">
        <f>BU56-Table2[[#This Row],[7F1 Donut Production area]]</f>
        <v>202.4320000000298</v>
      </c>
      <c r="FT55">
        <f>CB56-Table2[[#This Row],[8F5 Donut Ban Bary]]</f>
        <v>60.672000000005937</v>
      </c>
      <c r="FU55">
        <f>CF56-Table2[[#This Row],[9F4 - PDB 13 - Donut Sink Geyser area]]</f>
        <v>61.183999999979278</v>
      </c>
      <c r="FV55">
        <f>BV56-Table2[[#This Row],[7F2 Flour Silo]]</f>
        <v>534.07999999995809</v>
      </c>
      <c r="FW55">
        <f>BY56-Table2[[#This Row],[8F2 ACPDB - 3 SILO Ventilation]]</f>
        <v>58.202000000019325</v>
      </c>
      <c r="FX55">
        <f>J56-Table2[[#This Row],[DG 1010KVA Running Hours]]</f>
        <v>1</v>
      </c>
      <c r="FY55">
        <f>K56-Table2[[#This Row],[DG 1010 KVA Meter Reading]]</f>
        <v>254</v>
      </c>
      <c r="FZ55">
        <f>L56-Table2[[#This Row],[GG 1010 KVA Running Hours]]</f>
        <v>0</v>
      </c>
      <c r="GA55">
        <f>M56-Table2[[#This Row],[GG 1010 KVA Meter Reading]]</f>
        <v>0.27000000000001023</v>
      </c>
    </row>
    <row r="56" spans="1:183" x14ac:dyDescent="0.35">
      <c r="A56" s="1">
        <v>66</v>
      </c>
      <c r="B56" s="68">
        <v>46258.415219907409</v>
      </c>
      <c r="C56" s="68">
        <v>46258.451909722222</v>
      </c>
      <c r="D56" s="1" t="s">
        <v>111</v>
      </c>
      <c r="E56" s="1"/>
      <c r="F56" s="1"/>
      <c r="G56" s="3">
        <v>46258</v>
      </c>
      <c r="H56" s="1" t="s">
        <v>186</v>
      </c>
      <c r="I56" s="6">
        <f>I55-I54+I55+1.02</f>
        <v>7658.601999999999</v>
      </c>
      <c r="J56" s="6">
        <v>4277.8999999999996</v>
      </c>
      <c r="K56" s="6">
        <v>1778064</v>
      </c>
      <c r="L56" s="6">
        <v>457</v>
      </c>
      <c r="M56" s="6">
        <v>192.31</v>
      </c>
      <c r="N56" s="6">
        <v>1887986.08</v>
      </c>
      <c r="O56" s="6">
        <v>4638221.4400000004</v>
      </c>
      <c r="P56" s="6">
        <v>653433.728</v>
      </c>
      <c r="Q56" s="6">
        <v>8148917.7599999998</v>
      </c>
      <c r="R56" s="6">
        <v>5653345.2800000003</v>
      </c>
      <c r="S56" s="6">
        <v>7434108.1600000001</v>
      </c>
      <c r="T56" s="6">
        <v>43011008.328000002</v>
      </c>
      <c r="U56" s="6">
        <v>2129082.2400000002</v>
      </c>
      <c r="V56" s="6">
        <v>5150664</v>
      </c>
      <c r="W56" s="6">
        <v>1606.4648</v>
      </c>
      <c r="X56" s="6">
        <v>779405.56799999997</v>
      </c>
      <c r="Y56" s="6">
        <v>1120551.52</v>
      </c>
      <c r="Z56" s="6">
        <v>2777.8894</v>
      </c>
      <c r="AA56" s="6">
        <v>674199.10400000005</v>
      </c>
      <c r="AB56" s="6">
        <v>421570.304</v>
      </c>
      <c r="AC56" s="6">
        <v>2153284.3199999998</v>
      </c>
      <c r="AD56" s="6">
        <v>4321703.8380000005</v>
      </c>
      <c r="AE56" s="6">
        <v>12953.786400000001</v>
      </c>
      <c r="AF56" s="6">
        <v>887001.98400000005</v>
      </c>
      <c r="AG56" s="6">
        <v>1425.2819999999999</v>
      </c>
      <c r="AH56" s="6">
        <v>135687.61600000001</v>
      </c>
      <c r="AI56" s="6">
        <v>14737.816000000001</v>
      </c>
      <c r="AJ56" s="6">
        <v>145399.35999999999</v>
      </c>
      <c r="AK56" s="6">
        <v>105461.448</v>
      </c>
      <c r="AL56" s="6">
        <v>332088.67200000002</v>
      </c>
      <c r="AM56" s="6">
        <v>1004.351</v>
      </c>
      <c r="AN56" s="6">
        <v>303</v>
      </c>
      <c r="AO56" s="6">
        <v>7.7</v>
      </c>
      <c r="AP56" s="6">
        <v>663423</v>
      </c>
      <c r="AQ56" s="6">
        <v>42721</v>
      </c>
      <c r="AR56" s="6">
        <v>42176</v>
      </c>
      <c r="AS56" s="6">
        <v>32390</v>
      </c>
      <c r="AT56" s="6">
        <v>22106</v>
      </c>
      <c r="AU56" s="6">
        <v>16116</v>
      </c>
      <c r="AV56" s="6">
        <v>6705</v>
      </c>
      <c r="AW56" s="6">
        <v>21.067964</v>
      </c>
      <c r="AX56" s="6">
        <v>7288.9679999999998</v>
      </c>
      <c r="AY56" s="6">
        <v>682.13552000000004</v>
      </c>
      <c r="AZ56" s="6">
        <v>20.788</v>
      </c>
      <c r="BA56" s="6">
        <v>10808</v>
      </c>
      <c r="BB56" s="6">
        <v>45.683</v>
      </c>
      <c r="BC56" s="6">
        <v>114024.568</v>
      </c>
      <c r="BD56" s="6">
        <v>277006.71999999997</v>
      </c>
      <c r="BE56" s="6">
        <v>3751.7127999999998</v>
      </c>
      <c r="BF56" s="6">
        <v>1714.182</v>
      </c>
      <c r="BG56" s="6">
        <v>75.650999999999996</v>
      </c>
      <c r="BH56" s="6">
        <v>372.89299999999997</v>
      </c>
      <c r="BI56" s="6">
        <v>925.13099999999997</v>
      </c>
      <c r="BJ56" s="6">
        <v>15.771000000000001</v>
      </c>
      <c r="BK56" s="6">
        <v>569.596</v>
      </c>
      <c r="BL56" s="6">
        <v>76402.271999999997</v>
      </c>
      <c r="BM56" s="6">
        <v>319389.37599999999</v>
      </c>
      <c r="BN56" s="6">
        <v>7268.4528</v>
      </c>
      <c r="BO56" s="6">
        <v>53589.132799999999</v>
      </c>
      <c r="BP56" s="6">
        <v>316606.848</v>
      </c>
      <c r="BQ56" s="6">
        <v>330.298</v>
      </c>
      <c r="BR56" s="6">
        <v>184.07400000000001</v>
      </c>
      <c r="BS56" s="6">
        <v>1037848.547</v>
      </c>
      <c r="BT56" s="6">
        <v>1400623.503</v>
      </c>
      <c r="BU56" s="6">
        <v>633619.00800000003</v>
      </c>
      <c r="BV56" s="6">
        <v>1035073.6</v>
      </c>
      <c r="BW56" s="6">
        <v>573727.68000000005</v>
      </c>
      <c r="BX56" s="6">
        <v>1042986.16</v>
      </c>
      <c r="BY56" s="6">
        <v>158751.6</v>
      </c>
      <c r="BZ56" s="6">
        <v>114904.776</v>
      </c>
      <c r="CA56" s="6">
        <v>1244.5895</v>
      </c>
      <c r="CB56" s="6">
        <v>109711.39200000001</v>
      </c>
      <c r="CC56" s="6">
        <v>153331.82399999999</v>
      </c>
      <c r="CD56" s="6">
        <v>450956.38400000002</v>
      </c>
      <c r="CE56" s="6">
        <v>49141.033600000002</v>
      </c>
      <c r="CF56" s="6">
        <v>156479.10399999999</v>
      </c>
      <c r="CG56" s="6">
        <v>360951.68</v>
      </c>
      <c r="CH56" s="6">
        <v>2385.8710000000001</v>
      </c>
      <c r="CI56" s="6">
        <v>217.82599999999999</v>
      </c>
      <c r="CJ56" s="6">
        <v>1191.5999999999999</v>
      </c>
      <c r="CK56" s="6">
        <v>79.141000000000005</v>
      </c>
      <c r="CL56" s="6">
        <v>746.59900000000005</v>
      </c>
      <c r="CM56" s="6">
        <v>551.4</v>
      </c>
      <c r="CN56" s="6">
        <v>55267.3</v>
      </c>
      <c r="CO56" s="6">
        <v>1675.8520000000001</v>
      </c>
      <c r="CP56" s="6">
        <v>298414.16499999998</v>
      </c>
      <c r="CQ56" s="6">
        <v>3712746.88</v>
      </c>
      <c r="CR56" s="6">
        <v>132645.52799999999</v>
      </c>
      <c r="CS56" s="6">
        <v>521324.89600000001</v>
      </c>
      <c r="CT56" s="6">
        <v>3007912.821</v>
      </c>
      <c r="CU56" s="6">
        <v>304637.07</v>
      </c>
      <c r="CV56" s="6">
        <f>CV55+CV55-CV54+0.5</f>
        <v>30213.199199999992</v>
      </c>
      <c r="CW56" s="6">
        <v>63447.596799999999</v>
      </c>
      <c r="CX56" s="6">
        <v>33552.198400000001</v>
      </c>
      <c r="CY56" s="6">
        <v>170581.32800000001</v>
      </c>
      <c r="CZ56" s="6">
        <v>219676.94399999999</v>
      </c>
      <c r="DA56" s="6">
        <v>19306.490000000002</v>
      </c>
      <c r="DB56" s="6">
        <v>152570.76</v>
      </c>
      <c r="DC56" s="6">
        <v>3172.97</v>
      </c>
      <c r="DD56" s="6">
        <v>3173.05</v>
      </c>
      <c r="DE56" s="6">
        <v>3201.6</v>
      </c>
      <c r="DF56" s="6">
        <v>0.995</v>
      </c>
      <c r="DG56" s="1" t="s">
        <v>293</v>
      </c>
      <c r="DH56" s="4">
        <f>Table2[[#This Row],[Date]]</f>
        <v>0</v>
      </c>
      <c r="DI56">
        <f>(DD57-Table2[[#This Row],[MWH Total]])*4000</f>
        <v>-12692200</v>
      </c>
      <c r="DJ56">
        <f>(DA57-Table2[[#This Row],[PNG Meter (Outside)]])*2.936</f>
        <v>-56683.854640000005</v>
      </c>
      <c r="DK56">
        <f>(DB57-Table2[[#This Row],[PNG Meter (Inside)]])*2.936</f>
        <v>-447947.75135999999</v>
      </c>
      <c r="DL56">
        <f>(BH57-Table2[[#This Row],[3F Dough cooler - 2 ]])*1000</f>
        <v>-372893</v>
      </c>
      <c r="DM56">
        <f>(BI57-Table2[[#This Row],[3F Dough Cooler- 1]])*1000</f>
        <v>-925131</v>
      </c>
      <c r="DN56">
        <f>(BJ57-Table2[[#This Row],[4F Dough Production cooling Unit]])*1000</f>
        <v>-15771</v>
      </c>
      <c r="DO56">
        <f>(BQ57-Table2[[#This Row],[3F2 - PDB 3 - Dough Production Area]])*1000</f>
        <v>-330298</v>
      </c>
      <c r="DP56">
        <f>(BR57-Table2[[#This Row],[3F3 - PDB 4 - Dough Area]])*1000</f>
        <v>-184074</v>
      </c>
      <c r="DQ56">
        <f>AC57-Table2[[#This Row],[16F1 Tray washer Panel for Light]]</f>
        <v>-2153284.3199999998</v>
      </c>
      <c r="DR56">
        <f>CQ57-Table2[[#This Row],[2F1 Tray Washer - 1]]</f>
        <v>-3712746.88</v>
      </c>
      <c r="DS56">
        <f>CS57-Table2[[#This Row],[2F5 Destacker]]</f>
        <v>-521324.89600000001</v>
      </c>
      <c r="DT56">
        <f>CU57-Table2[[#This Row],[5F1 Metering (TW-2)]]</f>
        <v>-304637.07</v>
      </c>
      <c r="DU56">
        <f>CV57-Table2[[#This Row],[6F1 Pre soaker Tray washer]]</f>
        <v>-30213.199199999992</v>
      </c>
      <c r="DV56">
        <f>CZ57-Table2[[#This Row],[6F5 Vent tray Storage]]</f>
        <v>-219676.94399999999</v>
      </c>
      <c r="DW56">
        <f>I57-Table2[[#This Row],[Popeyes Meter ]]</f>
        <v>-7658.601999999999</v>
      </c>
      <c r="DX56">
        <f>AZ57-Table2[[#This Row],[2F WH Chiller, Segregation Area]]</f>
        <v>-20.788</v>
      </c>
      <c r="DY56">
        <f>BA57-Table2[[#This Row],[3F1 AC Unit WH dock cooling - 2 Nos]]</f>
        <v>-10808</v>
      </c>
      <c r="DZ56">
        <f>BB57-Table2[[#This Row],[3F2 AC Unit WH dock cooling - 3 Nos]]</f>
        <v>-45.683</v>
      </c>
      <c r="EA56">
        <f>(BK57-Table2[[#This Row],[5F WH Perishable]])*1000</f>
        <v>-569596</v>
      </c>
      <c r="EB56">
        <f>BN57-Table2[[#This Row],[2F3 - PDB 9 - WH Dock Leveler Door ]]</f>
        <v>-7268.4528</v>
      </c>
      <c r="EC56">
        <f>BP57-Table2[[#This Row],[3F1 - PDB 5 - WH HSD]]</f>
        <v>-316606.848</v>
      </c>
      <c r="ED56">
        <f>BX57-Table2[[#This Row],[8F1 WH Dock AHU - Ventilation]]</f>
        <v>-1042986.16</v>
      </c>
      <c r="EE56">
        <f>BZ57-Table2[[#This Row],[8F3 ACPDB - 4 WH Dock air curtain]]</f>
        <v>-114904.776</v>
      </c>
      <c r="EF56">
        <f>CA57-Table2[[#This Row],[8F4 WH Light]]</f>
        <v>-1244.5895</v>
      </c>
      <c r="EG56">
        <f>CC57-Table2[[#This Row],[9F1 - PDB 10 - WH Dock door &amp; Office]]</f>
        <v>-153331.82399999999</v>
      </c>
      <c r="EH56">
        <f>CD57-Table2[[#This Row],[9F2 - PDB 11 - WH flycatchers]]</f>
        <v>-450956.38400000002</v>
      </c>
      <c r="EI56">
        <f>CE57-Table2[[#This Row],[9F3 - PDB 12 - Other items]]</f>
        <v>-49141.033600000002</v>
      </c>
      <c r="EJ56">
        <f>CR57-Table2[[#This Row],[2F3 - PDB 1 - Dock 1 to 4 ]]</f>
        <v>-132645.52799999999</v>
      </c>
      <c r="EK56">
        <f>BM57-Table2[[#This Row],[2F2 - PDB 3 - WH Truck &amp; Battery Charging]]</f>
        <v>-319389.37599999999</v>
      </c>
      <c r="EL56">
        <f>(CK57-Table2[[#This Row],[PDB - 11 Truck Charging]])*1000</f>
        <v>-79141</v>
      </c>
      <c r="EM56">
        <f>P57-Table2[[#This Row],[5F3 Admin Area]]</f>
        <v>-653433.728</v>
      </c>
      <c r="EN56">
        <f>AH57-Table2[[#This Row],[2F5 Main Gate-1 Piller -1]]</f>
        <v>-135687.61600000001</v>
      </c>
      <c r="EO56">
        <f>CW57-Table2[[#This Row],[6F2 Ground Floor AC]]</f>
        <v>-63447.596799999999</v>
      </c>
      <c r="EP56">
        <f>CX57-Table2[[#This Row],[6F3 ACBD -1 (First floor AC)]]</f>
        <v>-33552.198400000001</v>
      </c>
      <c r="EQ56">
        <f>CY57-Table2[[#This Row],[6F4 ACBD - 2 (Second &amp; Third floor AC)]]</f>
        <v>-170581.32800000001</v>
      </c>
      <c r="ER56">
        <f>(BC57-Table2[[#This Row],[4F Old BMC cooling Unit]])</f>
        <v>-114024.568</v>
      </c>
      <c r="ES56">
        <f>BO57-Table2[[#This Row],[2F4 - Old BMC]]</f>
        <v>-53589.132799999999</v>
      </c>
      <c r="ET56">
        <f>Y57-Table2[[#This Row],[14F2 New CK]]</f>
        <v>-1120551.52</v>
      </c>
      <c r="EU56">
        <f>(CL57-Table2[[#This Row],[OLD Ck Panel-1]])*1000</f>
        <v>-746599</v>
      </c>
      <c r="EV56">
        <f>CM57-Table2[[#This Row],[2F4 Old CK Blast (Blue star)]]</f>
        <v>-551.4</v>
      </c>
      <c r="EW56">
        <f>CN57-Table2[[#This Row],[3F6 Old CK Blast (Carrier)]]</f>
        <v>-55267.3</v>
      </c>
      <c r="EX56">
        <f>(CO57-Table2[[#This Row],[Old CK Panel -2]])*1000</f>
        <v>-1675852</v>
      </c>
      <c r="EY56">
        <f>N57-Table2[[#This Row],[4F1 Main UPS 1/C -1]]</f>
        <v>-1887986.08</v>
      </c>
      <c r="EZ56">
        <f>Z57-Table2[[#This Row],[15F1 Main UPS Panel - I/C - 2]]</f>
        <v>-2777.8894</v>
      </c>
      <c r="FA56">
        <f>BF57-Table2[[#This Row],[2F CLC -1 AC unit - 2]]</f>
        <v>-1714.182</v>
      </c>
      <c r="FB56">
        <f>(BG57-Table2[[#This Row],[2F CLC Anti room]])*1000</f>
        <v>-75651</v>
      </c>
      <c r="FC56">
        <f>BW57-Table2[[#This Row],[7F3 CLC Power Panel]]</f>
        <v>-573727.68000000005</v>
      </c>
      <c r="FD56">
        <f>(CI57-Table2[[#This Row],[PDB - 17 CLC Section ]])*1000</f>
        <v>-217826</v>
      </c>
      <c r="FE56">
        <f>(W57-Table2[[#This Row],[13F3 Water &amp; Lift Old CK]])*1000</f>
        <v>-1606464.8</v>
      </c>
      <c r="FF56">
        <f>AA57-Table2[[#This Row],[15F2 New ETP Panel]]</f>
        <v>-674199.10400000005</v>
      </c>
      <c r="FG56">
        <f>AL57-Table2[[#This Row],[3F4 Old ETP Panel]]</f>
        <v>-332088.67200000002</v>
      </c>
      <c r="FH56">
        <f>AF57-Table2[[#This Row],[2F1 RO Plant]]</f>
        <v>-887001.98400000005</v>
      </c>
      <c r="FI56">
        <f>AK57-Table2[[#This Row],[3F3 Fire Hydrant Panel]]</f>
        <v>-105461.448</v>
      </c>
      <c r="FJ56">
        <f>R57-Table2[[#This Row],[7F1 Freon System Panel]]</f>
        <v>-5653345.2800000003</v>
      </c>
      <c r="FK56">
        <f>(AE57-Table2[[#This Row],[21F1 Refrigeration Ammonia]])*1000</f>
        <v>-12953786.4</v>
      </c>
      <c r="FL56">
        <f>(AG57-Table2[[#This Row],[2F3 Air Compressor]])*1000</f>
        <v>-1425282</v>
      </c>
      <c r="FM56">
        <f>(AX57-Table2[[#This Row],[Solar Reading Panel II]])*1000</f>
        <v>-7288968</v>
      </c>
      <c r="FN56">
        <f>AI57-Table2[[#This Row],[3F1 Maintenance Workshop]]</f>
        <v>-14737.816000000001</v>
      </c>
      <c r="FO56">
        <f>BD57-Table2[[#This Row],[4F B2B unit ]]</f>
        <v>-277006.71999999997</v>
      </c>
      <c r="FP56">
        <f>BL57-Table2[[#This Row],[2F1 - PDB 6 - Bread, B2B section]]</f>
        <v>-76402.271999999997</v>
      </c>
      <c r="FQ56">
        <f>(CG57-Table2[[#This Row],[9F5 - PDB 14 - Bread Lift]])</f>
        <v>-360951.68</v>
      </c>
      <c r="FR56">
        <f>CJ57-Table2[[#This Row],[PDB - 16 Bread Section]]</f>
        <v>-1191.5999999999999</v>
      </c>
      <c r="FS56">
        <f>BU57-Table2[[#This Row],[7F1 Donut Production area]]</f>
        <v>-633619.00800000003</v>
      </c>
      <c r="FT56">
        <f>CB57-Table2[[#This Row],[8F5 Donut Ban Bary]]</f>
        <v>-109711.39200000001</v>
      </c>
      <c r="FU56">
        <f>CF57-Table2[[#This Row],[9F4 - PDB 13 - Donut Sink Geyser area]]</f>
        <v>-156479.10399999999</v>
      </c>
      <c r="FV56">
        <f>BV57-Table2[[#This Row],[7F2 Flour Silo]]</f>
        <v>-1035073.6</v>
      </c>
      <c r="FW56">
        <f>BY57-Table2[[#This Row],[8F2 ACPDB - 3 SILO Ventilation]]</f>
        <v>-158751.6</v>
      </c>
      <c r="FX56">
        <f>J57-Table2[[#This Row],[DG 1010KVA Running Hours]]</f>
        <v>-4277.8999999999996</v>
      </c>
      <c r="FY56">
        <f>K57-Table2[[#This Row],[DG 1010 KVA Meter Reading]]</f>
        <v>-1778064</v>
      </c>
      <c r="FZ56">
        <f>L57-Table2[[#This Row],[GG 1010 KVA Running Hours]]</f>
        <v>-457</v>
      </c>
      <c r="GA56">
        <f>M57-Table2[[#This Row],[GG 1010 KVA Meter Reading]]</f>
        <v>-192.31</v>
      </c>
    </row>
    <row r="57" spans="1:183" x14ac:dyDescent="0.35">
      <c r="DH57" s="4" t="e">
        <f>Table2[[#This Row],[Date]]</f>
        <v>#VALUE!</v>
      </c>
      <c r="DI57" t="e">
        <f>(DD58-Table2[[#This Row],[MWH Total]])*4000</f>
        <v>#VALUE!</v>
      </c>
      <c r="DJ57" t="e">
        <f>(DA58-Table2[[#This Row],[PNG Meter (Outside)]])*2.936</f>
        <v>#VALUE!</v>
      </c>
      <c r="DK57" t="e">
        <f>(DB58-Table2[[#This Row],[PNG Meter (Inside)]])*2.936</f>
        <v>#VALUE!</v>
      </c>
      <c r="DL57" t="e">
        <f>(BH58-Table2[[#This Row],[3F Dough cooler - 2 ]])*1000</f>
        <v>#VALUE!</v>
      </c>
      <c r="DM57" t="e">
        <f>(BI58-Table2[[#This Row],[3F Dough Cooler- 1]])*1000</f>
        <v>#VALUE!</v>
      </c>
      <c r="DN57" t="e">
        <f>(BJ58-Table2[[#This Row],[4F Dough Production cooling Unit]])*1000</f>
        <v>#VALUE!</v>
      </c>
      <c r="DO57" t="e">
        <f>(BQ58-Table2[[#This Row],[3F2 - PDB 3 - Dough Production Area]])*1000</f>
        <v>#VALUE!</v>
      </c>
      <c r="DP57" t="e">
        <f>(BR58-Table2[[#This Row],[3F3 - PDB 4 - Dough Area]])*1000</f>
        <v>#VALUE!</v>
      </c>
      <c r="DQ57" t="e">
        <f>AC58-Table2[[#This Row],[16F1 Tray washer Panel for Light]]</f>
        <v>#VALUE!</v>
      </c>
      <c r="DR57" t="e">
        <f>CQ58-Table2[[#This Row],[2F1 Tray Washer - 1]]</f>
        <v>#VALUE!</v>
      </c>
      <c r="DS57" t="e">
        <f>CS58-Table2[[#This Row],[2F5 Destacker]]</f>
        <v>#VALUE!</v>
      </c>
      <c r="DT57" t="e">
        <f>CU58-Table2[[#This Row],[5F1 Metering (TW-2)]]</f>
        <v>#VALUE!</v>
      </c>
      <c r="DU57" t="e">
        <f>CV58-Table2[[#This Row],[6F1 Pre soaker Tray washer]]</f>
        <v>#VALUE!</v>
      </c>
      <c r="DV57" t="e">
        <f>CZ58-Table2[[#This Row],[6F5 Vent tray Storage]]</f>
        <v>#VALUE!</v>
      </c>
      <c r="DW57" t="e">
        <f>I58-Table2[[#This Row],[Popeyes Meter ]]</f>
        <v>#VALUE!</v>
      </c>
      <c r="DX57" t="e">
        <f>AZ58-Table2[[#This Row],[2F WH Chiller, Segregation Area]]</f>
        <v>#VALUE!</v>
      </c>
      <c r="DY57" t="e">
        <f>BA58-Table2[[#This Row],[3F1 AC Unit WH dock cooling - 2 Nos]]</f>
        <v>#VALUE!</v>
      </c>
      <c r="DZ57" t="e">
        <f>BB58-Table2[[#This Row],[3F2 AC Unit WH dock cooling - 3 Nos]]</f>
        <v>#VALUE!</v>
      </c>
      <c r="EA57" t="e">
        <f>(BK58-Table2[[#This Row],[5F WH Perishable]])*1000</f>
        <v>#VALUE!</v>
      </c>
      <c r="EB57" t="e">
        <f>BN58-Table2[[#This Row],[2F3 - PDB 9 - WH Dock Leveler Door ]]</f>
        <v>#VALUE!</v>
      </c>
      <c r="EC57" t="e">
        <f>BP58-Table2[[#This Row],[3F1 - PDB 5 - WH HSD]]</f>
        <v>#VALUE!</v>
      </c>
      <c r="ED57" t="e">
        <f>BX58-Table2[[#This Row],[8F1 WH Dock AHU - Ventilation]]</f>
        <v>#VALUE!</v>
      </c>
      <c r="EE57" t="e">
        <f>BZ58-Table2[[#This Row],[8F3 ACPDB - 4 WH Dock air curtain]]</f>
        <v>#VALUE!</v>
      </c>
      <c r="EF57" t="e">
        <f>CA58-Table2[[#This Row],[8F4 WH Light]]</f>
        <v>#VALUE!</v>
      </c>
      <c r="EG57" t="e">
        <f>CC58-Table2[[#This Row],[9F1 - PDB 10 - WH Dock door &amp; Office]]</f>
        <v>#VALUE!</v>
      </c>
      <c r="EH57" t="e">
        <f>CD58-Table2[[#This Row],[9F2 - PDB 11 - WH flycatchers]]</f>
        <v>#VALUE!</v>
      </c>
      <c r="EI57" t="e">
        <f>CE58-Table2[[#This Row],[9F3 - PDB 12 - Other items]]</f>
        <v>#VALUE!</v>
      </c>
      <c r="EJ57" t="e">
        <f>CR58-Table2[[#This Row],[2F3 - PDB 1 - Dock 1 to 4 ]]</f>
        <v>#VALUE!</v>
      </c>
      <c r="EK57" t="e">
        <f>BM58-Table2[[#This Row],[2F2 - PDB 3 - WH Truck &amp; Battery Charging]]</f>
        <v>#VALUE!</v>
      </c>
      <c r="EL57" t="e">
        <f>(CK58-Table2[[#This Row],[PDB - 11 Truck Charging]])*1000</f>
        <v>#VALUE!</v>
      </c>
      <c r="EM57" t="e">
        <f>P58-Table2[[#This Row],[5F3 Admin Area]]</f>
        <v>#VALUE!</v>
      </c>
      <c r="EN57" t="e">
        <f>AH58-Table2[[#This Row],[2F5 Main Gate-1 Piller -1]]</f>
        <v>#VALUE!</v>
      </c>
      <c r="EO57" t="e">
        <f>CW58-Table2[[#This Row],[6F2 Ground Floor AC]]</f>
        <v>#VALUE!</v>
      </c>
      <c r="EP57" t="e">
        <f>CX58-Table2[[#This Row],[6F3 ACBD -1 (First floor AC)]]</f>
        <v>#VALUE!</v>
      </c>
      <c r="EQ57" t="e">
        <f>CY58-Table2[[#This Row],[6F4 ACBD - 2 (Second &amp; Third floor AC)]]</f>
        <v>#VALUE!</v>
      </c>
      <c r="ER57" t="e">
        <f>(BC58-Table2[[#This Row],[4F Old BMC cooling Unit]])</f>
        <v>#VALUE!</v>
      </c>
      <c r="ES57" t="e">
        <f>BO58-Table2[[#This Row],[2F4 - Old BMC]]</f>
        <v>#VALUE!</v>
      </c>
      <c r="ET57" t="e">
        <f>Y58-Table2[[#This Row],[14F2 New CK]]</f>
        <v>#VALUE!</v>
      </c>
      <c r="EU57" t="e">
        <f>(CL58-Table2[[#This Row],[OLD Ck Panel-1]])*1000</f>
        <v>#VALUE!</v>
      </c>
      <c r="EV57" t="e">
        <f>CM58-Table2[[#This Row],[2F4 Old CK Blast (Blue star)]]</f>
        <v>#VALUE!</v>
      </c>
      <c r="EW57" t="e">
        <f>CN58-Table2[[#This Row],[3F6 Old CK Blast (Carrier)]]</f>
        <v>#VALUE!</v>
      </c>
      <c r="EX57" t="e">
        <f>(CO58-Table2[[#This Row],[Old CK Panel -2]])*1000</f>
        <v>#VALUE!</v>
      </c>
      <c r="EY57" t="e">
        <f>N58-Table2[[#This Row],[4F1 Main UPS 1/C -1]]</f>
        <v>#VALUE!</v>
      </c>
      <c r="EZ57" t="e">
        <f>Z58-Table2[[#This Row],[15F1 Main UPS Panel - I/C - 2]]</f>
        <v>#VALUE!</v>
      </c>
      <c r="FA57" t="e">
        <f>BF58-Table2[[#This Row],[2F CLC -1 AC unit - 2]]</f>
        <v>#VALUE!</v>
      </c>
      <c r="FB57" t="e">
        <f>(BG58-Table2[[#This Row],[2F CLC Anti room]])*1000</f>
        <v>#VALUE!</v>
      </c>
      <c r="FC57" t="e">
        <f>BW58-Table2[[#This Row],[7F3 CLC Power Panel]]</f>
        <v>#VALUE!</v>
      </c>
      <c r="FD57" t="e">
        <f>(CI58-Table2[[#This Row],[PDB - 17 CLC Section ]])*1000</f>
        <v>#VALUE!</v>
      </c>
      <c r="FE57" t="e">
        <f>(W58-Table2[[#This Row],[13F3 Water &amp; Lift Old CK]])*1000</f>
        <v>#VALUE!</v>
      </c>
      <c r="FF57" t="e">
        <f>AA58-Table2[[#This Row],[15F2 New ETP Panel]]</f>
        <v>#VALUE!</v>
      </c>
      <c r="FG57" t="e">
        <f>AL58-Table2[[#This Row],[3F4 Old ETP Panel]]</f>
        <v>#VALUE!</v>
      </c>
      <c r="FH57" t="e">
        <f>AF58-Table2[[#This Row],[2F1 RO Plant]]</f>
        <v>#VALUE!</v>
      </c>
      <c r="FI57" t="e">
        <f>AK58-Table2[[#This Row],[3F3 Fire Hydrant Panel]]</f>
        <v>#VALUE!</v>
      </c>
      <c r="FJ57" t="e">
        <f>R58-Table2[[#This Row],[7F1 Freon System Panel]]</f>
        <v>#VALUE!</v>
      </c>
      <c r="FK57" t="e">
        <f>(AE58-Table2[[#This Row],[21F1 Refrigeration Ammonia]])*1000</f>
        <v>#VALUE!</v>
      </c>
      <c r="FL57" t="e">
        <f>(AG58-Table2[[#This Row],[2F3 Air Compressor]])*1000</f>
        <v>#VALUE!</v>
      </c>
      <c r="FM57" t="e">
        <f>(AX58-Table2[[#This Row],[Solar Reading Panel II]])*1000</f>
        <v>#VALUE!</v>
      </c>
      <c r="FN57" t="e">
        <f>AI58-Table2[[#This Row],[3F1 Maintenance Workshop]]</f>
        <v>#VALUE!</v>
      </c>
      <c r="FO57" t="e">
        <f>BD58-Table2[[#This Row],[4F B2B unit ]]</f>
        <v>#VALUE!</v>
      </c>
      <c r="FP57" t="e">
        <f>BL58-Table2[[#This Row],[2F1 - PDB 6 - Bread, B2B section]]</f>
        <v>#VALUE!</v>
      </c>
      <c r="FQ57" t="e">
        <f>(CG58-Table2[[#This Row],[9F5 - PDB 14 - Bread Lift]])</f>
        <v>#VALUE!</v>
      </c>
      <c r="FR57" t="e">
        <f>CJ58-Table2[[#This Row],[PDB - 16 Bread Section]]</f>
        <v>#VALUE!</v>
      </c>
      <c r="FS57" t="e">
        <f>BU58-Table2[[#This Row],[7F1 Donut Production area]]</f>
        <v>#VALUE!</v>
      </c>
      <c r="FT57" t="e">
        <f>CB58-Table2[[#This Row],[8F5 Donut Ban Bary]]</f>
        <v>#VALUE!</v>
      </c>
      <c r="FU57" t="e">
        <f>CF58-Table2[[#This Row],[9F4 - PDB 13 - Donut Sink Geyser area]]</f>
        <v>#VALUE!</v>
      </c>
      <c r="FV57" t="e">
        <f>BV58-Table2[[#This Row],[7F2 Flour Silo]]</f>
        <v>#VALUE!</v>
      </c>
      <c r="FW57" t="e">
        <f>BY58-Table2[[#This Row],[8F2 ACPDB - 3 SILO Ventilation]]</f>
        <v>#VALUE!</v>
      </c>
      <c r="FX57" t="e">
        <f>J58-Table2[[#This Row],[DG 1010KVA Running Hours]]</f>
        <v>#VALUE!</v>
      </c>
      <c r="FY57" t="e">
        <f>K58-Table2[[#This Row],[DG 1010 KVA Meter Reading]]</f>
        <v>#VALUE!</v>
      </c>
      <c r="FZ57" t="e">
        <f>L58-Table2[[#This Row],[GG 1010 KVA Running Hours]]</f>
        <v>#VALUE!</v>
      </c>
      <c r="GA57" t="e">
        <f>M58-Table2[[#This Row],[GG 1010 KVA Meter Reading]]</f>
        <v>#VALUE!</v>
      </c>
    </row>
    <row r="58" spans="1:183" x14ac:dyDescent="0.35">
      <c r="DH58" s="4" t="e">
        <f>Table2[[#This Row],[Date]]</f>
        <v>#VALUE!</v>
      </c>
      <c r="DI58" t="e">
        <f>(DD59-Table2[[#This Row],[MWH Total]])*4000</f>
        <v>#VALUE!</v>
      </c>
      <c r="DJ58" t="e">
        <f>(DA59-Table2[[#This Row],[PNG Meter (Outside)]])*2.936</f>
        <v>#VALUE!</v>
      </c>
      <c r="DK58" t="e">
        <f>(DB59-Table2[[#This Row],[PNG Meter (Inside)]])*2.936</f>
        <v>#VALUE!</v>
      </c>
      <c r="DL58" t="e">
        <f>(BH59-Table2[[#This Row],[3F Dough cooler - 2 ]])*1000</f>
        <v>#VALUE!</v>
      </c>
      <c r="DM58" t="e">
        <f>(BI59-Table2[[#This Row],[3F Dough Cooler- 1]])*1000</f>
        <v>#VALUE!</v>
      </c>
      <c r="DN58" t="e">
        <f>(BJ59-Table2[[#This Row],[4F Dough Production cooling Unit]])*1000</f>
        <v>#VALUE!</v>
      </c>
      <c r="DO58" t="e">
        <f>(BQ59-Table2[[#This Row],[3F2 - PDB 3 - Dough Production Area]])*1000</f>
        <v>#VALUE!</v>
      </c>
      <c r="DP58" t="e">
        <f>(BR59-Table2[[#This Row],[3F3 - PDB 4 - Dough Area]])*1000</f>
        <v>#VALUE!</v>
      </c>
      <c r="DQ58" t="e">
        <f>AC59-Table2[[#This Row],[16F1 Tray washer Panel for Light]]</f>
        <v>#VALUE!</v>
      </c>
      <c r="DR58" t="e">
        <f>CQ59-Table2[[#This Row],[2F1 Tray Washer - 1]]</f>
        <v>#VALUE!</v>
      </c>
      <c r="DS58" t="e">
        <f>CS59-Table2[[#This Row],[2F5 Destacker]]</f>
        <v>#VALUE!</v>
      </c>
      <c r="DT58" t="e">
        <f>CU59-Table2[[#This Row],[5F1 Metering (TW-2)]]</f>
        <v>#VALUE!</v>
      </c>
      <c r="DU58" t="e">
        <f>CV59-Table2[[#This Row],[6F1 Pre soaker Tray washer]]</f>
        <v>#VALUE!</v>
      </c>
      <c r="DV58" t="e">
        <f>CZ59-Table2[[#This Row],[6F5 Vent tray Storage]]</f>
        <v>#VALUE!</v>
      </c>
      <c r="DW58" t="e">
        <f>I59-Table2[[#This Row],[Popeyes Meter ]]</f>
        <v>#VALUE!</v>
      </c>
      <c r="DX58" t="e">
        <f>AZ59-Table2[[#This Row],[2F WH Chiller, Segregation Area]]</f>
        <v>#VALUE!</v>
      </c>
      <c r="DY58" t="e">
        <f>BA59-Table2[[#This Row],[3F1 AC Unit WH dock cooling - 2 Nos]]</f>
        <v>#VALUE!</v>
      </c>
      <c r="DZ58" t="e">
        <f>BB59-Table2[[#This Row],[3F2 AC Unit WH dock cooling - 3 Nos]]</f>
        <v>#VALUE!</v>
      </c>
      <c r="EA58" t="e">
        <f>(BK59-Table2[[#This Row],[5F WH Perishable]])*1000</f>
        <v>#VALUE!</v>
      </c>
      <c r="EB58" t="e">
        <f>BN59-Table2[[#This Row],[2F3 - PDB 9 - WH Dock Leveler Door ]]</f>
        <v>#VALUE!</v>
      </c>
      <c r="EC58" t="e">
        <f>BP59-Table2[[#This Row],[3F1 - PDB 5 - WH HSD]]</f>
        <v>#VALUE!</v>
      </c>
      <c r="ED58" t="e">
        <f>BX59-Table2[[#This Row],[8F1 WH Dock AHU - Ventilation]]</f>
        <v>#VALUE!</v>
      </c>
      <c r="EE58" t="e">
        <f>BZ59-Table2[[#This Row],[8F3 ACPDB - 4 WH Dock air curtain]]</f>
        <v>#VALUE!</v>
      </c>
      <c r="EF58" t="e">
        <f>CA59-Table2[[#This Row],[8F4 WH Light]]</f>
        <v>#VALUE!</v>
      </c>
      <c r="EG58" t="e">
        <f>CC59-Table2[[#This Row],[9F1 - PDB 10 - WH Dock door &amp; Office]]</f>
        <v>#VALUE!</v>
      </c>
      <c r="EH58" t="e">
        <f>CD59-Table2[[#This Row],[9F2 - PDB 11 - WH flycatchers]]</f>
        <v>#VALUE!</v>
      </c>
      <c r="EI58" t="e">
        <f>CE59-Table2[[#This Row],[9F3 - PDB 12 - Other items]]</f>
        <v>#VALUE!</v>
      </c>
      <c r="EJ58" t="e">
        <f>CR59-Table2[[#This Row],[2F3 - PDB 1 - Dock 1 to 4 ]]</f>
        <v>#VALUE!</v>
      </c>
      <c r="EK58" t="e">
        <f>BM59-Table2[[#This Row],[2F2 - PDB 3 - WH Truck &amp; Battery Charging]]</f>
        <v>#VALUE!</v>
      </c>
      <c r="EL58" t="e">
        <f>(CK59-Table2[[#This Row],[PDB - 11 Truck Charging]])*1000</f>
        <v>#VALUE!</v>
      </c>
      <c r="EM58" t="e">
        <f>P59-Table2[[#This Row],[5F3 Admin Area]]</f>
        <v>#VALUE!</v>
      </c>
      <c r="EN58" t="e">
        <f>AH59-Table2[[#This Row],[2F5 Main Gate-1 Piller -1]]</f>
        <v>#VALUE!</v>
      </c>
      <c r="EO58" t="e">
        <f>CW59-Table2[[#This Row],[6F2 Ground Floor AC]]</f>
        <v>#VALUE!</v>
      </c>
      <c r="EP58" t="e">
        <f>CX59-Table2[[#This Row],[6F3 ACBD -1 (First floor AC)]]</f>
        <v>#VALUE!</v>
      </c>
      <c r="EQ58" t="e">
        <f>CY59-Table2[[#This Row],[6F4 ACBD - 2 (Second &amp; Third floor AC)]]</f>
        <v>#VALUE!</v>
      </c>
      <c r="ER58" t="e">
        <f>(BC59-Table2[[#This Row],[4F Old BMC cooling Unit]])</f>
        <v>#VALUE!</v>
      </c>
      <c r="ES58" t="e">
        <f>BO59-Table2[[#This Row],[2F4 - Old BMC]]</f>
        <v>#VALUE!</v>
      </c>
      <c r="ET58" t="e">
        <f>Y59-Table2[[#This Row],[14F2 New CK]]</f>
        <v>#VALUE!</v>
      </c>
      <c r="EU58" t="e">
        <f>(CL59-Table2[[#This Row],[OLD Ck Panel-1]])*1000</f>
        <v>#VALUE!</v>
      </c>
      <c r="EV58" t="e">
        <f>CM59-Table2[[#This Row],[2F4 Old CK Blast (Blue star)]]</f>
        <v>#VALUE!</v>
      </c>
      <c r="EW58" t="e">
        <f>CN59-Table2[[#This Row],[3F6 Old CK Blast (Carrier)]]</f>
        <v>#VALUE!</v>
      </c>
      <c r="EX58" t="e">
        <f>(CO59-Table2[[#This Row],[Old CK Panel -2]])*1000</f>
        <v>#VALUE!</v>
      </c>
      <c r="EY58" t="e">
        <f>N59-Table2[[#This Row],[4F1 Main UPS 1/C -1]]</f>
        <v>#VALUE!</v>
      </c>
      <c r="EZ58" t="e">
        <f>Z59-Table2[[#This Row],[15F1 Main UPS Panel - I/C - 2]]</f>
        <v>#VALUE!</v>
      </c>
      <c r="FA58" t="e">
        <f>BF59-Table2[[#This Row],[2F CLC -1 AC unit - 2]]</f>
        <v>#VALUE!</v>
      </c>
      <c r="FB58" t="e">
        <f>(BG59-Table2[[#This Row],[2F CLC Anti room]])*1000</f>
        <v>#VALUE!</v>
      </c>
      <c r="FC58" t="e">
        <f>BW59-Table2[[#This Row],[7F3 CLC Power Panel]]</f>
        <v>#VALUE!</v>
      </c>
      <c r="FD58" t="e">
        <f>(CI59-Table2[[#This Row],[PDB - 17 CLC Section ]])*1000</f>
        <v>#VALUE!</v>
      </c>
      <c r="FE58" t="e">
        <f>(W59-Table2[[#This Row],[13F3 Water &amp; Lift Old CK]])*1000</f>
        <v>#VALUE!</v>
      </c>
      <c r="FF58" t="e">
        <f>AA59-Table2[[#This Row],[15F2 New ETP Panel]]</f>
        <v>#VALUE!</v>
      </c>
      <c r="FG58" t="e">
        <f>AL59-Table2[[#This Row],[3F4 Old ETP Panel]]</f>
        <v>#VALUE!</v>
      </c>
      <c r="FH58" t="e">
        <f>AF59-Table2[[#This Row],[2F1 RO Plant]]</f>
        <v>#VALUE!</v>
      </c>
      <c r="FI58" t="e">
        <f>AK59-Table2[[#This Row],[3F3 Fire Hydrant Panel]]</f>
        <v>#VALUE!</v>
      </c>
      <c r="FJ58" t="e">
        <f>R59-Table2[[#This Row],[7F1 Freon System Panel]]</f>
        <v>#VALUE!</v>
      </c>
      <c r="FK58" t="e">
        <f>(AE59-Table2[[#This Row],[21F1 Refrigeration Ammonia]])*1000</f>
        <v>#VALUE!</v>
      </c>
      <c r="FL58" t="e">
        <f>(AG59-Table2[[#This Row],[2F3 Air Compressor]])*1000</f>
        <v>#VALUE!</v>
      </c>
      <c r="FM58" t="e">
        <f>(AX59-Table2[[#This Row],[Solar Reading Panel II]])*1000</f>
        <v>#VALUE!</v>
      </c>
      <c r="FN58" t="e">
        <f>AI59-Table2[[#This Row],[3F1 Maintenance Workshop]]</f>
        <v>#VALUE!</v>
      </c>
      <c r="FO58" t="e">
        <f>BD59-Table2[[#This Row],[4F B2B unit ]]</f>
        <v>#VALUE!</v>
      </c>
      <c r="FP58" t="e">
        <f>BL59-Table2[[#This Row],[2F1 - PDB 6 - Bread, B2B section]]</f>
        <v>#VALUE!</v>
      </c>
      <c r="FQ58" t="e">
        <f>(CG59-Table2[[#This Row],[9F5 - PDB 14 - Bread Lift]])</f>
        <v>#VALUE!</v>
      </c>
      <c r="FR58" t="e">
        <f>CJ59-Table2[[#This Row],[PDB - 16 Bread Section]]</f>
        <v>#VALUE!</v>
      </c>
      <c r="FS58" t="e">
        <f>BU59-Table2[[#This Row],[7F1 Donut Production area]]</f>
        <v>#VALUE!</v>
      </c>
      <c r="FT58" t="e">
        <f>CB59-Table2[[#This Row],[8F5 Donut Ban Bary]]</f>
        <v>#VALUE!</v>
      </c>
      <c r="FU58" t="e">
        <f>CF59-Table2[[#This Row],[9F4 - PDB 13 - Donut Sink Geyser area]]</f>
        <v>#VALUE!</v>
      </c>
      <c r="FV58" t="e">
        <f>BV59-Table2[[#This Row],[7F2 Flour Silo]]</f>
        <v>#VALUE!</v>
      </c>
      <c r="FW58" t="e">
        <f>BY59-Table2[[#This Row],[8F2 ACPDB - 3 SILO Ventilation]]</f>
        <v>#VALUE!</v>
      </c>
      <c r="FX58" t="e">
        <f>J59-Table2[[#This Row],[DG 1010KVA Running Hours]]</f>
        <v>#VALUE!</v>
      </c>
      <c r="FY58" t="e">
        <f>K59-Table2[[#This Row],[DG 1010 KVA Meter Reading]]</f>
        <v>#VALUE!</v>
      </c>
      <c r="FZ58" t="e">
        <f>L59-Table2[[#This Row],[GG 1010 KVA Running Hours]]</f>
        <v>#VALUE!</v>
      </c>
      <c r="GA58" t="e">
        <f>M59-Table2[[#This Row],[GG 1010 KVA Meter Reading]]</f>
        <v>#VALUE!</v>
      </c>
    </row>
    <row r="59" spans="1:183" x14ac:dyDescent="0.35">
      <c r="DH59" s="4" t="e">
        <f>Table2[[#This Row],[Date]]</f>
        <v>#VALUE!</v>
      </c>
      <c r="DI59" t="e">
        <f>(DD60-Table2[[#This Row],[MWH Total]])*4000</f>
        <v>#VALUE!</v>
      </c>
      <c r="DJ59" t="e">
        <f>(DA60-Table2[[#This Row],[PNG Meter (Outside)]])*2.936</f>
        <v>#VALUE!</v>
      </c>
      <c r="DK59" t="e">
        <f>(DB60-Table2[[#This Row],[PNG Meter (Inside)]])*2.936</f>
        <v>#VALUE!</v>
      </c>
      <c r="DL59" t="e">
        <f>(BH60-Table2[[#This Row],[3F Dough cooler - 2 ]])*1000</f>
        <v>#VALUE!</v>
      </c>
      <c r="DM59" t="e">
        <f>(BI60-Table2[[#This Row],[3F Dough Cooler- 1]])*1000</f>
        <v>#VALUE!</v>
      </c>
      <c r="DN59" t="e">
        <f>(BJ60-Table2[[#This Row],[4F Dough Production cooling Unit]])*1000</f>
        <v>#VALUE!</v>
      </c>
      <c r="DO59" t="e">
        <f>(BQ60-Table2[[#This Row],[3F2 - PDB 3 - Dough Production Area]])*1000</f>
        <v>#VALUE!</v>
      </c>
      <c r="DP59" t="e">
        <f>(BR60-Table2[[#This Row],[3F3 - PDB 4 - Dough Area]])*1000</f>
        <v>#VALUE!</v>
      </c>
      <c r="DQ59" t="e">
        <f>AC60-Table2[[#This Row],[16F1 Tray washer Panel for Light]]</f>
        <v>#VALUE!</v>
      </c>
      <c r="DR59" t="e">
        <f>CQ60-Table2[[#This Row],[2F1 Tray Washer - 1]]</f>
        <v>#VALUE!</v>
      </c>
      <c r="DS59" t="e">
        <f>CS60-Table2[[#This Row],[2F5 Destacker]]</f>
        <v>#VALUE!</v>
      </c>
      <c r="DT59" t="e">
        <f>CU60-Table2[[#This Row],[5F1 Metering (TW-2)]]</f>
        <v>#VALUE!</v>
      </c>
      <c r="DU59" t="e">
        <f>CV60-Table2[[#This Row],[6F1 Pre soaker Tray washer]]</f>
        <v>#VALUE!</v>
      </c>
      <c r="DV59" t="e">
        <f>CZ60-Table2[[#This Row],[6F5 Vent tray Storage]]</f>
        <v>#VALUE!</v>
      </c>
      <c r="DW59" t="e">
        <f>I60-Table2[[#This Row],[Popeyes Meter ]]</f>
        <v>#VALUE!</v>
      </c>
      <c r="DX59" t="e">
        <f>AZ60-Table2[[#This Row],[2F WH Chiller, Segregation Area]]</f>
        <v>#VALUE!</v>
      </c>
      <c r="DY59" t="e">
        <f>BA60-Table2[[#This Row],[3F1 AC Unit WH dock cooling - 2 Nos]]</f>
        <v>#VALUE!</v>
      </c>
      <c r="DZ59" t="e">
        <f>BB60-Table2[[#This Row],[3F2 AC Unit WH dock cooling - 3 Nos]]</f>
        <v>#VALUE!</v>
      </c>
      <c r="EA59" t="e">
        <f>(BK60-Table2[[#This Row],[5F WH Perishable]])*1000</f>
        <v>#VALUE!</v>
      </c>
      <c r="EB59" t="e">
        <f>BN60-Table2[[#This Row],[2F3 - PDB 9 - WH Dock Leveler Door ]]</f>
        <v>#VALUE!</v>
      </c>
      <c r="EC59" t="e">
        <f>BP60-Table2[[#This Row],[3F1 - PDB 5 - WH HSD]]</f>
        <v>#VALUE!</v>
      </c>
      <c r="ED59" t="e">
        <f>BX60-Table2[[#This Row],[8F1 WH Dock AHU - Ventilation]]</f>
        <v>#VALUE!</v>
      </c>
      <c r="EE59" t="e">
        <f>BZ60-Table2[[#This Row],[8F3 ACPDB - 4 WH Dock air curtain]]</f>
        <v>#VALUE!</v>
      </c>
      <c r="EF59" t="e">
        <f>CA60-Table2[[#This Row],[8F4 WH Light]]</f>
        <v>#VALUE!</v>
      </c>
      <c r="EG59" t="e">
        <f>CC60-Table2[[#This Row],[9F1 - PDB 10 - WH Dock door &amp; Office]]</f>
        <v>#VALUE!</v>
      </c>
      <c r="EH59" t="e">
        <f>CD60-Table2[[#This Row],[9F2 - PDB 11 - WH flycatchers]]</f>
        <v>#VALUE!</v>
      </c>
      <c r="EI59" t="e">
        <f>CE60-Table2[[#This Row],[9F3 - PDB 12 - Other items]]</f>
        <v>#VALUE!</v>
      </c>
      <c r="EJ59" t="e">
        <f>CR60-Table2[[#This Row],[2F3 - PDB 1 - Dock 1 to 4 ]]</f>
        <v>#VALUE!</v>
      </c>
      <c r="EK59" t="e">
        <f>BM60-Table2[[#This Row],[2F2 - PDB 3 - WH Truck &amp; Battery Charging]]</f>
        <v>#VALUE!</v>
      </c>
      <c r="EL59" t="e">
        <f>(CK60-Table2[[#This Row],[PDB - 11 Truck Charging]])*1000</f>
        <v>#VALUE!</v>
      </c>
      <c r="EM59" t="e">
        <f>P60-Table2[[#This Row],[5F3 Admin Area]]</f>
        <v>#VALUE!</v>
      </c>
      <c r="EN59" t="e">
        <f>AH60-Table2[[#This Row],[2F5 Main Gate-1 Piller -1]]</f>
        <v>#VALUE!</v>
      </c>
      <c r="EO59" t="e">
        <f>CW60-Table2[[#This Row],[6F2 Ground Floor AC]]</f>
        <v>#VALUE!</v>
      </c>
      <c r="EP59" t="e">
        <f>CX60-Table2[[#This Row],[6F3 ACBD -1 (First floor AC)]]</f>
        <v>#VALUE!</v>
      </c>
      <c r="EQ59" t="e">
        <f>CY60-Table2[[#This Row],[6F4 ACBD - 2 (Second &amp; Third floor AC)]]</f>
        <v>#VALUE!</v>
      </c>
      <c r="ER59" t="e">
        <f>(BC60-Table2[[#This Row],[4F Old BMC cooling Unit]])</f>
        <v>#VALUE!</v>
      </c>
      <c r="ES59" t="e">
        <f>BO60-Table2[[#This Row],[2F4 - Old BMC]]</f>
        <v>#VALUE!</v>
      </c>
      <c r="ET59" t="e">
        <f>Y60-Table2[[#This Row],[14F2 New CK]]</f>
        <v>#VALUE!</v>
      </c>
      <c r="EU59" t="e">
        <f>(CL60-Table2[[#This Row],[OLD Ck Panel-1]])*1000</f>
        <v>#VALUE!</v>
      </c>
      <c r="EV59" t="e">
        <f>CM60-Table2[[#This Row],[2F4 Old CK Blast (Blue star)]]</f>
        <v>#VALUE!</v>
      </c>
      <c r="EW59" t="e">
        <f>CN60-Table2[[#This Row],[3F6 Old CK Blast (Carrier)]]</f>
        <v>#VALUE!</v>
      </c>
      <c r="EX59" t="e">
        <f>(CO60-Table2[[#This Row],[Old CK Panel -2]])*1000</f>
        <v>#VALUE!</v>
      </c>
      <c r="EY59" t="e">
        <f>N60-Table2[[#This Row],[4F1 Main UPS 1/C -1]]</f>
        <v>#VALUE!</v>
      </c>
      <c r="EZ59" t="e">
        <f>Z60-Table2[[#This Row],[15F1 Main UPS Panel - I/C - 2]]</f>
        <v>#VALUE!</v>
      </c>
      <c r="FA59" t="e">
        <f>BF60-Table2[[#This Row],[2F CLC -1 AC unit - 2]]</f>
        <v>#VALUE!</v>
      </c>
      <c r="FB59" t="e">
        <f>(BG60-Table2[[#This Row],[2F CLC Anti room]])*1000</f>
        <v>#VALUE!</v>
      </c>
      <c r="FC59" t="e">
        <f>BW60-Table2[[#This Row],[7F3 CLC Power Panel]]</f>
        <v>#VALUE!</v>
      </c>
      <c r="FD59" t="e">
        <f>(CI60-Table2[[#This Row],[PDB - 17 CLC Section ]])*1000</f>
        <v>#VALUE!</v>
      </c>
      <c r="FE59" t="e">
        <f>(W60-Table2[[#This Row],[13F3 Water &amp; Lift Old CK]])*1000</f>
        <v>#VALUE!</v>
      </c>
      <c r="FF59" t="e">
        <f>AA60-Table2[[#This Row],[15F2 New ETP Panel]]</f>
        <v>#VALUE!</v>
      </c>
      <c r="FG59" t="e">
        <f>AL60-Table2[[#This Row],[3F4 Old ETP Panel]]</f>
        <v>#VALUE!</v>
      </c>
      <c r="FH59" t="e">
        <f>AF60-Table2[[#This Row],[2F1 RO Plant]]</f>
        <v>#VALUE!</v>
      </c>
      <c r="FI59" t="e">
        <f>AK60-Table2[[#This Row],[3F3 Fire Hydrant Panel]]</f>
        <v>#VALUE!</v>
      </c>
      <c r="FJ59" t="e">
        <f>R60-Table2[[#This Row],[7F1 Freon System Panel]]</f>
        <v>#VALUE!</v>
      </c>
      <c r="FK59" t="e">
        <f>(AE60-Table2[[#This Row],[21F1 Refrigeration Ammonia]])*1000</f>
        <v>#VALUE!</v>
      </c>
      <c r="FL59" t="e">
        <f>(AG60-Table2[[#This Row],[2F3 Air Compressor]])*1000</f>
        <v>#VALUE!</v>
      </c>
      <c r="FM59" t="e">
        <f>(AX60-Table2[[#This Row],[Solar Reading Panel II]])*1000</f>
        <v>#VALUE!</v>
      </c>
      <c r="FN59" t="e">
        <f>AI60-Table2[[#This Row],[3F1 Maintenance Workshop]]</f>
        <v>#VALUE!</v>
      </c>
      <c r="FO59" t="e">
        <f>BD60-Table2[[#This Row],[4F B2B unit ]]</f>
        <v>#VALUE!</v>
      </c>
      <c r="FP59" t="e">
        <f>BL60-Table2[[#This Row],[2F1 - PDB 6 - Bread, B2B section]]</f>
        <v>#VALUE!</v>
      </c>
      <c r="FQ59" t="e">
        <f>(CG60-Table2[[#This Row],[9F5 - PDB 14 - Bread Lift]])</f>
        <v>#VALUE!</v>
      </c>
      <c r="FR59" t="e">
        <f>CJ60-Table2[[#This Row],[PDB - 16 Bread Section]]</f>
        <v>#VALUE!</v>
      </c>
      <c r="FS59" t="e">
        <f>BU60-Table2[[#This Row],[7F1 Donut Production area]]</f>
        <v>#VALUE!</v>
      </c>
      <c r="FT59" t="e">
        <f>CB60-Table2[[#This Row],[8F5 Donut Ban Bary]]</f>
        <v>#VALUE!</v>
      </c>
      <c r="FU59" t="e">
        <f>CF60-Table2[[#This Row],[9F4 - PDB 13 - Donut Sink Geyser area]]</f>
        <v>#VALUE!</v>
      </c>
      <c r="FV59" t="e">
        <f>BV60-Table2[[#This Row],[7F2 Flour Silo]]</f>
        <v>#VALUE!</v>
      </c>
      <c r="FW59" t="e">
        <f>BY60-Table2[[#This Row],[8F2 ACPDB - 3 SILO Ventilation]]</f>
        <v>#VALUE!</v>
      </c>
      <c r="FX59" t="e">
        <f>J60-Table2[[#This Row],[DG 1010KVA Running Hours]]</f>
        <v>#VALUE!</v>
      </c>
      <c r="FY59" t="e">
        <f>K60-Table2[[#This Row],[DG 1010 KVA Meter Reading]]</f>
        <v>#VALUE!</v>
      </c>
      <c r="FZ59" t="e">
        <f>L60-Table2[[#This Row],[GG 1010 KVA Running Hours]]</f>
        <v>#VALUE!</v>
      </c>
      <c r="GA59" t="e">
        <f>M60-Table2[[#This Row],[GG 1010 KVA Meter Reading]]</f>
        <v>#VALUE!</v>
      </c>
    </row>
    <row r="60" spans="1:183" x14ac:dyDescent="0.35">
      <c r="DH60" s="4" t="e">
        <f>Table2[[#This Row],[Date]]</f>
        <v>#VALUE!</v>
      </c>
      <c r="DI60" t="e">
        <f>(DD61-Table2[[#This Row],[MWH Total]])*4000</f>
        <v>#VALUE!</v>
      </c>
      <c r="DJ60" t="e">
        <f>(DA61-Table2[[#This Row],[PNG Meter (Outside)]])*2.936</f>
        <v>#VALUE!</v>
      </c>
      <c r="DK60" t="e">
        <f>(DB61-Table2[[#This Row],[PNG Meter (Inside)]])*2.936</f>
        <v>#VALUE!</v>
      </c>
      <c r="DL60" t="e">
        <f>(BH61-Table2[[#This Row],[3F Dough cooler - 2 ]])*1000</f>
        <v>#VALUE!</v>
      </c>
      <c r="DM60" t="e">
        <f>(BI61-Table2[[#This Row],[3F Dough Cooler- 1]])*1000</f>
        <v>#VALUE!</v>
      </c>
      <c r="DN60" t="e">
        <f>(BJ61-Table2[[#This Row],[4F Dough Production cooling Unit]])*1000</f>
        <v>#VALUE!</v>
      </c>
      <c r="DO60" t="e">
        <f>(BQ61-Table2[[#This Row],[3F2 - PDB 3 - Dough Production Area]])*1000</f>
        <v>#VALUE!</v>
      </c>
      <c r="DP60" t="e">
        <f>(BR61-Table2[[#This Row],[3F3 - PDB 4 - Dough Area]])*1000</f>
        <v>#VALUE!</v>
      </c>
      <c r="DQ60" t="e">
        <f>AC61-Table2[[#This Row],[16F1 Tray washer Panel for Light]]</f>
        <v>#VALUE!</v>
      </c>
      <c r="DR60" t="e">
        <f>CQ61-Table2[[#This Row],[2F1 Tray Washer - 1]]</f>
        <v>#VALUE!</v>
      </c>
      <c r="DS60" t="e">
        <f>CS61-Table2[[#This Row],[2F5 Destacker]]</f>
        <v>#VALUE!</v>
      </c>
      <c r="DT60" t="e">
        <f>CU61-Table2[[#This Row],[5F1 Metering (TW-2)]]</f>
        <v>#VALUE!</v>
      </c>
      <c r="DU60" t="e">
        <f>CV61-Table2[[#This Row],[6F1 Pre soaker Tray washer]]</f>
        <v>#VALUE!</v>
      </c>
      <c r="DV60" t="e">
        <f>CZ61-Table2[[#This Row],[6F5 Vent tray Storage]]</f>
        <v>#VALUE!</v>
      </c>
      <c r="DW60" t="e">
        <f>I61-Table2[[#This Row],[Popeyes Meter ]]</f>
        <v>#VALUE!</v>
      </c>
      <c r="DX60" t="e">
        <f>AZ61-Table2[[#This Row],[2F WH Chiller, Segregation Area]]</f>
        <v>#VALUE!</v>
      </c>
      <c r="DY60" t="e">
        <f>BA61-Table2[[#This Row],[3F1 AC Unit WH dock cooling - 2 Nos]]</f>
        <v>#VALUE!</v>
      </c>
      <c r="DZ60" t="e">
        <f>BB61-Table2[[#This Row],[3F2 AC Unit WH dock cooling - 3 Nos]]</f>
        <v>#VALUE!</v>
      </c>
      <c r="EA60" t="e">
        <f>(BK61-Table2[[#This Row],[5F WH Perishable]])*1000</f>
        <v>#VALUE!</v>
      </c>
      <c r="EB60" t="e">
        <f>BN61-Table2[[#This Row],[2F3 - PDB 9 - WH Dock Leveler Door ]]</f>
        <v>#VALUE!</v>
      </c>
      <c r="EC60" t="e">
        <f>BP61-Table2[[#This Row],[3F1 - PDB 5 - WH HSD]]</f>
        <v>#VALUE!</v>
      </c>
      <c r="ED60" t="e">
        <f>BX61-Table2[[#This Row],[8F1 WH Dock AHU - Ventilation]]</f>
        <v>#VALUE!</v>
      </c>
      <c r="EE60" t="e">
        <f>BZ61-Table2[[#This Row],[8F3 ACPDB - 4 WH Dock air curtain]]</f>
        <v>#VALUE!</v>
      </c>
      <c r="EF60" t="e">
        <f>CA61-Table2[[#This Row],[8F4 WH Light]]</f>
        <v>#VALUE!</v>
      </c>
      <c r="EG60" t="e">
        <f>CC61-Table2[[#This Row],[9F1 - PDB 10 - WH Dock door &amp; Office]]</f>
        <v>#VALUE!</v>
      </c>
      <c r="EH60" t="e">
        <f>CD61-Table2[[#This Row],[9F2 - PDB 11 - WH flycatchers]]</f>
        <v>#VALUE!</v>
      </c>
      <c r="EI60" t="e">
        <f>CE61-Table2[[#This Row],[9F3 - PDB 12 - Other items]]</f>
        <v>#VALUE!</v>
      </c>
      <c r="EJ60" t="e">
        <f>CR61-Table2[[#This Row],[2F3 - PDB 1 - Dock 1 to 4 ]]</f>
        <v>#VALUE!</v>
      </c>
      <c r="EK60" t="e">
        <f>BM61-Table2[[#This Row],[2F2 - PDB 3 - WH Truck &amp; Battery Charging]]</f>
        <v>#VALUE!</v>
      </c>
      <c r="EL60" t="e">
        <f>(CK61-Table2[[#This Row],[PDB - 11 Truck Charging]])*1000</f>
        <v>#VALUE!</v>
      </c>
      <c r="EM60" t="e">
        <f>P61-Table2[[#This Row],[5F3 Admin Area]]</f>
        <v>#VALUE!</v>
      </c>
      <c r="EN60" t="e">
        <f>AH61-Table2[[#This Row],[2F5 Main Gate-1 Piller -1]]</f>
        <v>#VALUE!</v>
      </c>
      <c r="EO60" t="e">
        <f>CW61-Table2[[#This Row],[6F2 Ground Floor AC]]</f>
        <v>#VALUE!</v>
      </c>
      <c r="EP60" t="e">
        <f>CX61-Table2[[#This Row],[6F3 ACBD -1 (First floor AC)]]</f>
        <v>#VALUE!</v>
      </c>
      <c r="EQ60" t="e">
        <f>CY61-Table2[[#This Row],[6F4 ACBD - 2 (Second &amp; Third floor AC)]]</f>
        <v>#VALUE!</v>
      </c>
      <c r="ER60" t="e">
        <f>(BC61-Table2[[#This Row],[4F Old BMC cooling Unit]])</f>
        <v>#VALUE!</v>
      </c>
      <c r="ES60" t="e">
        <f>BO61-Table2[[#This Row],[2F4 - Old BMC]]</f>
        <v>#VALUE!</v>
      </c>
      <c r="ET60" t="e">
        <f>Y61-Table2[[#This Row],[14F2 New CK]]</f>
        <v>#VALUE!</v>
      </c>
      <c r="EU60" t="e">
        <f>(CL61-Table2[[#This Row],[OLD Ck Panel-1]])*1000</f>
        <v>#VALUE!</v>
      </c>
      <c r="EV60" t="e">
        <f>CM61-Table2[[#This Row],[2F4 Old CK Blast (Blue star)]]</f>
        <v>#VALUE!</v>
      </c>
      <c r="EW60" t="e">
        <f>CN61-Table2[[#This Row],[3F6 Old CK Blast (Carrier)]]</f>
        <v>#VALUE!</v>
      </c>
      <c r="EX60" t="e">
        <f>(CO61-Table2[[#This Row],[Old CK Panel -2]])*1000</f>
        <v>#VALUE!</v>
      </c>
      <c r="EY60" t="e">
        <f>N61-Table2[[#This Row],[4F1 Main UPS 1/C -1]]</f>
        <v>#VALUE!</v>
      </c>
      <c r="EZ60" t="e">
        <f>Z61-Table2[[#This Row],[15F1 Main UPS Panel - I/C - 2]]</f>
        <v>#VALUE!</v>
      </c>
      <c r="FA60" t="e">
        <f>BF61-Table2[[#This Row],[2F CLC -1 AC unit - 2]]</f>
        <v>#VALUE!</v>
      </c>
      <c r="FB60" t="e">
        <f>(BG61-Table2[[#This Row],[2F CLC Anti room]])*1000</f>
        <v>#VALUE!</v>
      </c>
      <c r="FC60" t="e">
        <f>BW61-Table2[[#This Row],[7F3 CLC Power Panel]]</f>
        <v>#VALUE!</v>
      </c>
      <c r="FD60" t="e">
        <f>(CI61-Table2[[#This Row],[PDB - 17 CLC Section ]])*1000</f>
        <v>#VALUE!</v>
      </c>
      <c r="FE60" t="e">
        <f>(W61-Table2[[#This Row],[13F3 Water &amp; Lift Old CK]])*1000</f>
        <v>#VALUE!</v>
      </c>
      <c r="FF60" t="e">
        <f>AA61-Table2[[#This Row],[15F2 New ETP Panel]]</f>
        <v>#VALUE!</v>
      </c>
      <c r="FG60" t="e">
        <f>AL61-Table2[[#This Row],[3F4 Old ETP Panel]]</f>
        <v>#VALUE!</v>
      </c>
      <c r="FH60" t="e">
        <f>AF61-Table2[[#This Row],[2F1 RO Plant]]</f>
        <v>#VALUE!</v>
      </c>
      <c r="FI60" t="e">
        <f>AK61-Table2[[#This Row],[3F3 Fire Hydrant Panel]]</f>
        <v>#VALUE!</v>
      </c>
      <c r="FJ60" t="e">
        <f>R61-Table2[[#This Row],[7F1 Freon System Panel]]</f>
        <v>#VALUE!</v>
      </c>
      <c r="FK60" t="e">
        <f>(AE61-Table2[[#This Row],[21F1 Refrigeration Ammonia]])*1000</f>
        <v>#VALUE!</v>
      </c>
      <c r="FL60" t="e">
        <f>(AG61-Table2[[#This Row],[2F3 Air Compressor]])*1000</f>
        <v>#VALUE!</v>
      </c>
      <c r="FM60" t="e">
        <f>(AX61-Table2[[#This Row],[Solar Reading Panel II]])*1000</f>
        <v>#VALUE!</v>
      </c>
      <c r="FN60" t="e">
        <f>AI61-Table2[[#This Row],[3F1 Maintenance Workshop]]</f>
        <v>#VALUE!</v>
      </c>
      <c r="FO60" t="e">
        <f>BD61-Table2[[#This Row],[4F B2B unit ]]</f>
        <v>#VALUE!</v>
      </c>
      <c r="FP60" t="e">
        <f>BL61-Table2[[#This Row],[2F1 - PDB 6 - Bread, B2B section]]</f>
        <v>#VALUE!</v>
      </c>
      <c r="FQ60" t="e">
        <f>(CG61-Table2[[#This Row],[9F5 - PDB 14 - Bread Lift]])</f>
        <v>#VALUE!</v>
      </c>
      <c r="FR60" t="e">
        <f>CJ61-Table2[[#This Row],[PDB - 16 Bread Section]]</f>
        <v>#VALUE!</v>
      </c>
      <c r="FS60" t="e">
        <f>BU61-Table2[[#This Row],[7F1 Donut Production area]]</f>
        <v>#VALUE!</v>
      </c>
      <c r="FT60" t="e">
        <f>CB61-Table2[[#This Row],[8F5 Donut Ban Bary]]</f>
        <v>#VALUE!</v>
      </c>
      <c r="FU60" t="e">
        <f>CF61-Table2[[#This Row],[9F4 - PDB 13 - Donut Sink Geyser area]]</f>
        <v>#VALUE!</v>
      </c>
      <c r="FV60" t="e">
        <f>BV61-Table2[[#This Row],[7F2 Flour Silo]]</f>
        <v>#VALUE!</v>
      </c>
      <c r="FW60" t="e">
        <f>BY61-Table2[[#This Row],[8F2 ACPDB - 3 SILO Ventilation]]</f>
        <v>#VALUE!</v>
      </c>
      <c r="FX60" t="e">
        <f>J61-Table2[[#This Row],[DG 1010KVA Running Hours]]</f>
        <v>#VALUE!</v>
      </c>
      <c r="FY60" t="e">
        <f>K61-Table2[[#This Row],[DG 1010 KVA Meter Reading]]</f>
        <v>#VALUE!</v>
      </c>
      <c r="FZ60" t="e">
        <f>L61-Table2[[#This Row],[GG 1010 KVA Running Hours]]</f>
        <v>#VALUE!</v>
      </c>
      <c r="GA60" t="e">
        <f>M61-Table2[[#This Row],[GG 1010 KVA Meter Reading]]</f>
        <v>#VALUE!</v>
      </c>
    </row>
  </sheetData>
  <mergeCells count="16">
    <mergeCell ref="DL1:DP1"/>
    <mergeCell ref="DJ1:DK1"/>
    <mergeCell ref="DR1:DV1"/>
    <mergeCell ref="FX1:FY1"/>
    <mergeCell ref="FZ1:GA1"/>
    <mergeCell ref="EY1:EZ1"/>
    <mergeCell ref="FA1:FD1"/>
    <mergeCell ref="FF1:FG1"/>
    <mergeCell ref="FV1:FW1"/>
    <mergeCell ref="FS1:FU1"/>
    <mergeCell ref="FP1:FR1"/>
    <mergeCell ref="DX1:EJ1"/>
    <mergeCell ref="EK1:EL1"/>
    <mergeCell ref="EM1:EQ1"/>
    <mergeCell ref="ER1:ES1"/>
    <mergeCell ref="EU1:EX1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3"/>
  <sheetViews>
    <sheetView zoomScale="76" workbookViewId="0">
      <pane ySplit="9" topLeftCell="A90" activePane="bottomLeft" state="frozen"/>
      <selection pane="bottomLeft" activeCell="G60" sqref="G60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2.6328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>SUBTOTAL(9,L10:L11152)</f>
        <v>-405117.19999999995</v>
      </c>
      <c r="M8" s="43">
        <f t="shared" ref="M8:X8" si="0">SUBTOTAL(9,M10:M11152)</f>
        <v>-219227.1</v>
      </c>
      <c r="N8" s="43">
        <f t="shared" si="0"/>
        <v>-43034</v>
      </c>
      <c r="O8" s="43">
        <f t="shared" si="0"/>
        <v>-363803.4</v>
      </c>
      <c r="P8" s="43">
        <f t="shared" si="0"/>
        <v>-244431.49999999997</v>
      </c>
      <c r="Q8" s="43">
        <f t="shared" si="0"/>
        <v>-519206.7</v>
      </c>
      <c r="R8" s="43">
        <f t="shared" si="0"/>
        <v>-306884.39999999997</v>
      </c>
      <c r="S8" s="43">
        <f t="shared" si="0"/>
        <v>-702622.9</v>
      </c>
      <c r="T8" s="43">
        <f t="shared" si="0"/>
        <v>-1418815</v>
      </c>
      <c r="U8" s="43">
        <f t="shared" si="0"/>
        <v>-924323.89999999991</v>
      </c>
      <c r="V8" s="43">
        <f t="shared" si="0"/>
        <v>-526111.5</v>
      </c>
      <c r="W8" s="43">
        <f t="shared" si="0"/>
        <v>-745656.9</v>
      </c>
      <c r="X8" s="43">
        <f t="shared" si="0"/>
        <v>-2027049.9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178</v>
      </c>
      <c r="B10" s="30">
        <v>404033.6</v>
      </c>
      <c r="C10" s="29" t="s">
        <v>179</v>
      </c>
      <c r="D10" s="31">
        <v>42299.4</v>
      </c>
      <c r="E10" s="31">
        <v>363122.7</v>
      </c>
      <c r="F10" s="31">
        <v>243935.3</v>
      </c>
      <c r="G10" s="31">
        <v>517399.2</v>
      </c>
      <c r="H10" s="32" t="s">
        <v>179</v>
      </c>
      <c r="I10" s="34">
        <v>700364.4</v>
      </c>
      <c r="J10" s="34">
        <v>1416644</v>
      </c>
      <c r="L10" s="46">
        <f>IFERROR(B11-B10,0)</f>
        <v>294.10000000003492</v>
      </c>
      <c r="M10" s="46">
        <f t="shared" ref="M10:T25" si="1">IFERROR(C11-C10,0)</f>
        <v>0</v>
      </c>
      <c r="N10" s="46">
        <f t="shared" si="1"/>
        <v>328.5</v>
      </c>
      <c r="O10" s="46">
        <f t="shared" si="1"/>
        <v>347.70000000001164</v>
      </c>
      <c r="P10" s="46">
        <f t="shared" si="1"/>
        <v>222.20000000001164</v>
      </c>
      <c r="Q10" s="46">
        <f t="shared" si="1"/>
        <v>556.09999999997672</v>
      </c>
      <c r="R10" s="46">
        <f t="shared" si="1"/>
        <v>0</v>
      </c>
      <c r="S10" s="46">
        <f t="shared" si="1"/>
        <v>1472.1999999999534</v>
      </c>
      <c r="T10" s="46">
        <f t="shared" si="1"/>
        <v>1284</v>
      </c>
      <c r="U10" s="47">
        <f>L10+Q10</f>
        <v>850.20000000001164</v>
      </c>
      <c r="V10" s="47">
        <f>M10+R10</f>
        <v>0</v>
      </c>
      <c r="W10" s="47">
        <f>N10+S10</f>
        <v>1800.6999999999534</v>
      </c>
      <c r="X10" s="47">
        <f t="shared" ref="X10:X41" si="2">O10+P10+T10</f>
        <v>1853.9000000000233</v>
      </c>
    </row>
    <row r="11" spans="1:24" ht="20" customHeight="1" x14ac:dyDescent="0.35">
      <c r="A11" s="29" t="s">
        <v>180</v>
      </c>
      <c r="B11" s="30">
        <v>404327.7</v>
      </c>
      <c r="C11" s="29" t="s">
        <v>179</v>
      </c>
      <c r="D11" s="31">
        <v>42627.9</v>
      </c>
      <c r="E11" s="31">
        <v>363470.4</v>
      </c>
      <c r="F11" s="31">
        <v>244157.5</v>
      </c>
      <c r="G11" s="31">
        <v>517955.3</v>
      </c>
      <c r="H11" s="32" t="s">
        <v>179</v>
      </c>
      <c r="I11" s="34">
        <v>701836.6</v>
      </c>
      <c r="J11" s="34">
        <v>1417928</v>
      </c>
      <c r="L11" s="46">
        <f t="shared" ref="L11:T44" si="3">IFERROR(B12-B11,0)</f>
        <v>0</v>
      </c>
      <c r="M11" s="46">
        <f t="shared" si="1"/>
        <v>0</v>
      </c>
      <c r="N11" s="46">
        <f t="shared" si="1"/>
        <v>318.09999999999854</v>
      </c>
      <c r="O11" s="46">
        <f t="shared" si="1"/>
        <v>349.29999999998836</v>
      </c>
      <c r="P11" s="46">
        <f t="shared" si="1"/>
        <v>240.60000000000582</v>
      </c>
      <c r="Q11" s="46">
        <f t="shared" si="1"/>
        <v>3.2000000000116415</v>
      </c>
      <c r="R11" s="46">
        <f t="shared" si="1"/>
        <v>0</v>
      </c>
      <c r="S11" s="46">
        <f t="shared" si="1"/>
        <v>1238.2000000000698</v>
      </c>
      <c r="T11" s="46">
        <f t="shared" si="1"/>
        <v>1432</v>
      </c>
      <c r="U11" s="47">
        <f t="shared" ref="U11:W44" si="4">L11+Q11</f>
        <v>3.2000000000116415</v>
      </c>
      <c r="V11" s="47">
        <f t="shared" si="4"/>
        <v>0</v>
      </c>
      <c r="W11" s="47">
        <f t="shared" si="4"/>
        <v>1556.3000000000684</v>
      </c>
      <c r="X11" s="47">
        <f t="shared" si="2"/>
        <v>2021.8999999999942</v>
      </c>
    </row>
    <row r="12" spans="1:24" ht="20" customHeight="1" x14ac:dyDescent="0.35">
      <c r="A12" s="29" t="s">
        <v>181</v>
      </c>
      <c r="B12" s="30">
        <v>404327.7</v>
      </c>
      <c r="C12" s="29">
        <v>218832.2</v>
      </c>
      <c r="D12" s="31">
        <v>42946</v>
      </c>
      <c r="E12" s="31">
        <v>363819.7</v>
      </c>
      <c r="F12" s="31">
        <v>244398.1</v>
      </c>
      <c r="G12" s="31">
        <v>517958.5</v>
      </c>
      <c r="H12" s="32">
        <v>306379.8</v>
      </c>
      <c r="I12" s="34">
        <v>703074.8</v>
      </c>
      <c r="J12" s="34">
        <v>1419360</v>
      </c>
      <c r="L12" s="46">
        <f t="shared" si="3"/>
        <v>181.5</v>
      </c>
      <c r="M12" s="46">
        <f t="shared" si="1"/>
        <v>374</v>
      </c>
      <c r="N12" s="46">
        <f t="shared" si="1"/>
        <v>96.099999999998545</v>
      </c>
      <c r="O12" s="46">
        <f t="shared" si="1"/>
        <v>384.5</v>
      </c>
      <c r="P12" s="46">
        <f t="shared" si="1"/>
        <v>273.5</v>
      </c>
      <c r="Q12" s="46">
        <f t="shared" si="1"/>
        <v>485.59999999997672</v>
      </c>
      <c r="R12" s="46">
        <f t="shared" si="1"/>
        <v>618.70000000001164</v>
      </c>
      <c r="S12" s="46">
        <f t="shared" si="1"/>
        <v>321</v>
      </c>
      <c r="T12" s="46">
        <f t="shared" si="1"/>
        <v>1467</v>
      </c>
      <c r="U12" s="47">
        <f t="shared" si="4"/>
        <v>667.09999999997672</v>
      </c>
      <c r="V12" s="47">
        <f t="shared" si="4"/>
        <v>992.70000000001164</v>
      </c>
      <c r="W12" s="47">
        <f t="shared" si="4"/>
        <v>417.09999999999854</v>
      </c>
      <c r="X12" s="47">
        <f t="shared" si="2"/>
        <v>2125</v>
      </c>
    </row>
    <row r="13" spans="1:24" ht="20" customHeight="1" x14ac:dyDescent="0.35">
      <c r="A13" s="29" t="s">
        <v>182</v>
      </c>
      <c r="B13" s="30">
        <v>404509.2</v>
      </c>
      <c r="C13" s="29">
        <v>219206.2</v>
      </c>
      <c r="D13" s="31">
        <v>43042.1</v>
      </c>
      <c r="E13" s="31">
        <v>364204.2</v>
      </c>
      <c r="F13" s="31">
        <v>244671.6</v>
      </c>
      <c r="G13" s="31">
        <v>518444.1</v>
      </c>
      <c r="H13" s="32">
        <v>306998.5</v>
      </c>
      <c r="I13" s="34">
        <v>703395.8</v>
      </c>
      <c r="J13" s="34">
        <v>1420827</v>
      </c>
      <c r="L13" s="46">
        <f t="shared" si="3"/>
        <v>0</v>
      </c>
      <c r="M13" s="46">
        <f t="shared" si="1"/>
        <v>0</v>
      </c>
      <c r="N13" s="46">
        <f t="shared" si="1"/>
        <v>144.90000000000146</v>
      </c>
      <c r="O13" s="46">
        <f t="shared" si="1"/>
        <v>267.59999999997672</v>
      </c>
      <c r="P13" s="46">
        <f t="shared" si="1"/>
        <v>224.79999999998836</v>
      </c>
      <c r="Q13" s="46">
        <f t="shared" si="1"/>
        <v>5.3000000000465661</v>
      </c>
      <c r="R13" s="46">
        <f t="shared" si="1"/>
        <v>17.099999999976717</v>
      </c>
      <c r="S13" s="46">
        <f t="shared" si="1"/>
        <v>296.5</v>
      </c>
      <c r="T13" s="46">
        <f t="shared" si="1"/>
        <v>1425</v>
      </c>
      <c r="U13" s="47">
        <f t="shared" si="4"/>
        <v>5.3000000000465661</v>
      </c>
      <c r="V13" s="47">
        <f t="shared" si="4"/>
        <v>17.099999999976717</v>
      </c>
      <c r="W13" s="47">
        <f t="shared" si="4"/>
        <v>441.40000000000146</v>
      </c>
      <c r="X13" s="47">
        <f t="shared" si="2"/>
        <v>1917.3999999999651</v>
      </c>
    </row>
    <row r="14" spans="1:24" ht="20" customHeight="1" x14ac:dyDescent="0.35">
      <c r="A14" s="29" t="s">
        <v>183</v>
      </c>
      <c r="B14" s="30">
        <v>404509.2</v>
      </c>
      <c r="C14" s="29">
        <v>219206.2</v>
      </c>
      <c r="D14" s="31">
        <v>43187</v>
      </c>
      <c r="E14" s="31">
        <v>364471.8</v>
      </c>
      <c r="F14" s="31">
        <v>244896.4</v>
      </c>
      <c r="G14" s="31">
        <v>518449.4</v>
      </c>
      <c r="H14" s="32">
        <v>307015.59999999998</v>
      </c>
      <c r="I14" s="34">
        <v>703692.3</v>
      </c>
      <c r="J14" s="34">
        <v>1422252</v>
      </c>
      <c r="L14" s="46">
        <f t="shared" si="3"/>
        <v>0</v>
      </c>
      <c r="M14" s="46">
        <f t="shared" si="1"/>
        <v>0</v>
      </c>
      <c r="N14" s="46">
        <f t="shared" si="1"/>
        <v>197.80000000000291</v>
      </c>
      <c r="O14" s="46">
        <f t="shared" si="1"/>
        <v>357.40000000002328</v>
      </c>
      <c r="P14" s="46">
        <f t="shared" si="1"/>
        <v>224.70000000001164</v>
      </c>
      <c r="Q14" s="46">
        <f t="shared" si="1"/>
        <v>1.5999999999767169</v>
      </c>
      <c r="R14" s="46">
        <f t="shared" si="1"/>
        <v>17.300000000046566</v>
      </c>
      <c r="S14" s="46">
        <f t="shared" si="1"/>
        <v>1034</v>
      </c>
      <c r="T14" s="46">
        <f t="shared" si="1"/>
        <v>1375</v>
      </c>
      <c r="U14" s="47">
        <f t="shared" si="4"/>
        <v>1.5999999999767169</v>
      </c>
      <c r="V14" s="47">
        <f t="shared" si="4"/>
        <v>17.300000000046566</v>
      </c>
      <c r="W14" s="47">
        <f t="shared" si="4"/>
        <v>1231.8000000000029</v>
      </c>
      <c r="X14" s="47">
        <f t="shared" si="2"/>
        <v>1957.1000000000349</v>
      </c>
    </row>
    <row r="15" spans="1:24" ht="20" customHeight="1" x14ac:dyDescent="0.35">
      <c r="A15" s="29" t="s">
        <v>184</v>
      </c>
      <c r="B15" s="30">
        <v>404509.2</v>
      </c>
      <c r="C15" s="29">
        <v>219206.2</v>
      </c>
      <c r="D15" s="31">
        <v>43384.800000000003</v>
      </c>
      <c r="E15" s="31">
        <v>364829.2</v>
      </c>
      <c r="F15" s="31">
        <v>245121.1</v>
      </c>
      <c r="G15" s="31">
        <v>518451</v>
      </c>
      <c r="H15" s="32">
        <v>307032.90000000002</v>
      </c>
      <c r="I15" s="34">
        <v>704726.3</v>
      </c>
      <c r="J15" s="34">
        <v>1423627</v>
      </c>
      <c r="L15" s="46">
        <f t="shared" si="3"/>
        <v>0</v>
      </c>
      <c r="M15" s="46">
        <f t="shared" si="1"/>
        <v>0</v>
      </c>
      <c r="N15" s="46">
        <f t="shared" si="1"/>
        <v>289.79999999999563</v>
      </c>
      <c r="O15" s="46">
        <f t="shared" si="1"/>
        <v>358.59999999997672</v>
      </c>
      <c r="P15" s="46">
        <f t="shared" si="1"/>
        <v>250</v>
      </c>
      <c r="Q15" s="46">
        <f t="shared" si="1"/>
        <v>2.5999999999767169</v>
      </c>
      <c r="R15" s="46">
        <f t="shared" si="1"/>
        <v>17.599999999976717</v>
      </c>
      <c r="S15" s="46">
        <f t="shared" si="1"/>
        <v>1156.5</v>
      </c>
      <c r="T15" s="46">
        <f t="shared" si="1"/>
        <v>1512</v>
      </c>
      <c r="U15" s="47">
        <f t="shared" si="4"/>
        <v>2.5999999999767169</v>
      </c>
      <c r="V15" s="47">
        <f t="shared" si="4"/>
        <v>17.599999999976717</v>
      </c>
      <c r="W15" s="47">
        <f t="shared" si="4"/>
        <v>1446.2999999999956</v>
      </c>
      <c r="X15" s="47">
        <f t="shared" si="2"/>
        <v>2120.5999999999767</v>
      </c>
    </row>
    <row r="16" spans="1:24" ht="20" customHeight="1" x14ac:dyDescent="0.35">
      <c r="A16" s="29" t="s">
        <v>191</v>
      </c>
      <c r="B16" s="30">
        <v>404509.2</v>
      </c>
      <c r="C16" s="29">
        <v>219206.2</v>
      </c>
      <c r="D16" s="31">
        <v>43674.6</v>
      </c>
      <c r="E16" s="31">
        <v>365187.8</v>
      </c>
      <c r="F16" s="31">
        <v>245371.1</v>
      </c>
      <c r="G16" s="31">
        <v>518453.6</v>
      </c>
      <c r="H16" s="32">
        <v>307050.5</v>
      </c>
      <c r="I16" s="34">
        <v>705882.8</v>
      </c>
      <c r="J16" s="34">
        <v>1425139</v>
      </c>
      <c r="L16" s="46">
        <f t="shared" si="3"/>
        <v>276.89999999996508</v>
      </c>
      <c r="M16" s="46">
        <f t="shared" si="1"/>
        <v>0</v>
      </c>
      <c r="N16" s="46">
        <f t="shared" si="1"/>
        <v>279</v>
      </c>
      <c r="O16" s="46">
        <f t="shared" si="1"/>
        <v>346.90000000002328</v>
      </c>
      <c r="P16" s="46">
        <f t="shared" si="1"/>
        <v>223.60000000000582</v>
      </c>
      <c r="Q16" s="46">
        <f t="shared" si="1"/>
        <v>509.60000000003492</v>
      </c>
      <c r="R16" s="46">
        <f t="shared" si="1"/>
        <v>17.700000000011642</v>
      </c>
      <c r="S16" s="46">
        <f t="shared" si="1"/>
        <v>1121.7999999999302</v>
      </c>
      <c r="T16" s="46">
        <f t="shared" si="1"/>
        <v>1520</v>
      </c>
      <c r="U16" s="47">
        <f t="shared" si="4"/>
        <v>786.5</v>
      </c>
      <c r="V16" s="47">
        <f t="shared" si="4"/>
        <v>17.700000000011642</v>
      </c>
      <c r="W16" s="47">
        <f t="shared" si="4"/>
        <v>1400.7999999999302</v>
      </c>
      <c r="X16" s="47">
        <f t="shared" si="2"/>
        <v>2090.5000000000291</v>
      </c>
    </row>
    <row r="17" spans="1:24" ht="20" customHeight="1" x14ac:dyDescent="0.35">
      <c r="A17" s="29" t="s">
        <v>192</v>
      </c>
      <c r="B17" s="30">
        <v>404786.1</v>
      </c>
      <c r="C17" s="29">
        <v>219206.2</v>
      </c>
      <c r="D17" s="31">
        <v>43953.599999999999</v>
      </c>
      <c r="E17" s="31">
        <v>365534.7</v>
      </c>
      <c r="F17" s="31">
        <v>245594.7</v>
      </c>
      <c r="G17" s="31">
        <v>518963.20000000001</v>
      </c>
      <c r="H17" s="32">
        <v>307068.2</v>
      </c>
      <c r="I17" s="34">
        <v>707004.6</v>
      </c>
      <c r="J17" s="34">
        <v>1426659</v>
      </c>
      <c r="L17" s="46">
        <f t="shared" si="3"/>
        <v>492.40000000002328</v>
      </c>
      <c r="M17" s="46">
        <f t="shared" si="1"/>
        <v>0</v>
      </c>
      <c r="N17" s="46">
        <f t="shared" si="1"/>
        <v>308.5</v>
      </c>
      <c r="O17" s="46">
        <f t="shared" si="1"/>
        <v>353.59999999997672</v>
      </c>
      <c r="P17" s="46">
        <f t="shared" si="1"/>
        <v>240</v>
      </c>
      <c r="Q17" s="46">
        <f t="shared" si="1"/>
        <v>852.59999999997672</v>
      </c>
      <c r="R17" s="46">
        <f t="shared" si="1"/>
        <v>17.700000000011642</v>
      </c>
      <c r="S17" s="46">
        <f t="shared" si="1"/>
        <v>1220.7000000000698</v>
      </c>
      <c r="T17" s="46">
        <f t="shared" si="1"/>
        <v>1099</v>
      </c>
      <c r="U17" s="47">
        <f t="shared" si="4"/>
        <v>1345</v>
      </c>
      <c r="V17" s="47">
        <f t="shared" si="4"/>
        <v>17.700000000011642</v>
      </c>
      <c r="W17" s="47">
        <f t="shared" si="4"/>
        <v>1529.2000000000698</v>
      </c>
      <c r="X17" s="47">
        <f t="shared" si="2"/>
        <v>1692.5999999999767</v>
      </c>
    </row>
    <row r="18" spans="1:24" ht="20" customHeight="1" x14ac:dyDescent="0.35">
      <c r="A18" s="29" t="s">
        <v>193</v>
      </c>
      <c r="B18" s="30">
        <v>405278.5</v>
      </c>
      <c r="C18" s="29">
        <v>219206.2</v>
      </c>
      <c r="D18" s="31">
        <v>44262.1</v>
      </c>
      <c r="E18" s="31">
        <v>365888.3</v>
      </c>
      <c r="F18" s="31">
        <v>245834.7</v>
      </c>
      <c r="G18" s="31">
        <v>519815.8</v>
      </c>
      <c r="H18" s="32">
        <v>307085.90000000002</v>
      </c>
      <c r="I18" s="34">
        <v>708225.3</v>
      </c>
      <c r="J18" s="34">
        <v>1427758</v>
      </c>
      <c r="L18" s="46">
        <f t="shared" si="3"/>
        <v>0</v>
      </c>
      <c r="M18" s="46">
        <f t="shared" si="1"/>
        <v>0</v>
      </c>
      <c r="N18" s="46">
        <f t="shared" si="1"/>
        <v>0</v>
      </c>
      <c r="O18" s="46">
        <f t="shared" si="1"/>
        <v>0</v>
      </c>
      <c r="P18" s="46">
        <f t="shared" si="1"/>
        <v>0</v>
      </c>
      <c r="Q18" s="46">
        <f t="shared" si="1"/>
        <v>0</v>
      </c>
      <c r="R18" s="46">
        <f t="shared" si="1"/>
        <v>0</v>
      </c>
      <c r="S18" s="46">
        <f t="shared" si="1"/>
        <v>0</v>
      </c>
      <c r="T18" s="46">
        <f t="shared" si="1"/>
        <v>0</v>
      </c>
      <c r="U18" s="47">
        <f t="shared" si="4"/>
        <v>0</v>
      </c>
      <c r="V18" s="47">
        <f t="shared" si="4"/>
        <v>0</v>
      </c>
      <c r="W18" s="47">
        <f t="shared" si="4"/>
        <v>0</v>
      </c>
      <c r="X18" s="47">
        <f t="shared" si="2"/>
        <v>0</v>
      </c>
    </row>
    <row r="19" spans="1:24" ht="20" customHeight="1" x14ac:dyDescent="0.35">
      <c r="A19" s="29" t="s">
        <v>194</v>
      </c>
      <c r="B19" s="30" t="s">
        <v>179</v>
      </c>
      <c r="C19" s="29" t="s">
        <v>179</v>
      </c>
      <c r="D19" s="31" t="s">
        <v>179</v>
      </c>
      <c r="E19" s="31" t="s">
        <v>179</v>
      </c>
      <c r="F19" s="31" t="s">
        <v>179</v>
      </c>
      <c r="G19" s="31" t="s">
        <v>179</v>
      </c>
      <c r="H19" s="32" t="s">
        <v>179</v>
      </c>
      <c r="I19" s="34" t="s">
        <v>179</v>
      </c>
      <c r="J19" s="34" t="s">
        <v>179</v>
      </c>
      <c r="L19" s="46">
        <f t="shared" si="3"/>
        <v>0</v>
      </c>
      <c r="M19" s="46">
        <f t="shared" si="1"/>
        <v>0</v>
      </c>
      <c r="N19" s="46">
        <f t="shared" si="1"/>
        <v>0</v>
      </c>
      <c r="O19" s="46">
        <f t="shared" si="1"/>
        <v>0</v>
      </c>
      <c r="P19" s="46">
        <f t="shared" si="1"/>
        <v>0</v>
      </c>
      <c r="Q19" s="46">
        <f t="shared" si="1"/>
        <v>0</v>
      </c>
      <c r="R19" s="46">
        <f t="shared" si="1"/>
        <v>0</v>
      </c>
      <c r="S19" s="46">
        <f t="shared" si="1"/>
        <v>0</v>
      </c>
      <c r="T19" s="46">
        <f t="shared" si="1"/>
        <v>0</v>
      </c>
      <c r="U19" s="47">
        <f t="shared" si="4"/>
        <v>0</v>
      </c>
      <c r="V19" s="47">
        <f t="shared" si="4"/>
        <v>0</v>
      </c>
      <c r="W19" s="47">
        <f t="shared" si="4"/>
        <v>0</v>
      </c>
      <c r="X19" s="47">
        <f t="shared" si="2"/>
        <v>0</v>
      </c>
    </row>
    <row r="20" spans="1:24" ht="20" customHeight="1" x14ac:dyDescent="0.35">
      <c r="A20" s="29" t="s">
        <v>195</v>
      </c>
      <c r="B20" s="30">
        <v>406241.5</v>
      </c>
      <c r="C20" s="29">
        <v>219230.4</v>
      </c>
      <c r="D20" s="31" t="s">
        <v>179</v>
      </c>
      <c r="E20" s="31">
        <v>366569</v>
      </c>
      <c r="F20" s="31">
        <v>246330.9</v>
      </c>
      <c r="G20" s="31">
        <v>521400.2</v>
      </c>
      <c r="H20" s="32">
        <v>307184.3</v>
      </c>
      <c r="I20" s="34" t="s">
        <v>179</v>
      </c>
      <c r="J20" s="34">
        <v>1429929</v>
      </c>
      <c r="L20" s="46">
        <f t="shared" si="3"/>
        <v>485.70000000001164</v>
      </c>
      <c r="M20" s="46">
        <f t="shared" si="1"/>
        <v>0</v>
      </c>
      <c r="N20" s="46">
        <f t="shared" si="1"/>
        <v>0</v>
      </c>
      <c r="O20" s="46">
        <f t="shared" si="1"/>
        <v>354.09999999997672</v>
      </c>
      <c r="P20" s="46">
        <f t="shared" si="1"/>
        <v>220.89999999999418</v>
      </c>
      <c r="Q20" s="46">
        <f t="shared" si="1"/>
        <v>1082.3999999999651</v>
      </c>
      <c r="R20" s="46">
        <f t="shared" si="1"/>
        <v>17.900000000023283</v>
      </c>
      <c r="S20" s="46">
        <f t="shared" si="1"/>
        <v>0</v>
      </c>
      <c r="T20" s="46">
        <f t="shared" si="1"/>
        <v>1072</v>
      </c>
      <c r="U20" s="47">
        <f t="shared" si="4"/>
        <v>1568.0999999999767</v>
      </c>
      <c r="V20" s="47">
        <f t="shared" si="4"/>
        <v>17.900000000023283</v>
      </c>
      <c r="W20" s="47">
        <f t="shared" si="4"/>
        <v>0</v>
      </c>
      <c r="X20" s="47">
        <f t="shared" si="2"/>
        <v>1646.9999999999709</v>
      </c>
    </row>
    <row r="21" spans="1:24" ht="20" customHeight="1" x14ac:dyDescent="0.35">
      <c r="A21" s="29" t="s">
        <v>196</v>
      </c>
      <c r="B21" s="30">
        <v>406727.2</v>
      </c>
      <c r="C21" s="29">
        <v>219230.4</v>
      </c>
      <c r="D21" s="31" t="s">
        <v>179</v>
      </c>
      <c r="E21" s="31">
        <v>366923.1</v>
      </c>
      <c r="F21" s="31">
        <v>246551.8</v>
      </c>
      <c r="G21" s="31">
        <v>522482.6</v>
      </c>
      <c r="H21" s="32">
        <v>307202.2</v>
      </c>
      <c r="I21" s="34" t="s">
        <v>179</v>
      </c>
      <c r="J21" s="34">
        <v>1431001</v>
      </c>
      <c r="L21" s="46">
        <f t="shared" si="3"/>
        <v>514.5</v>
      </c>
      <c r="M21" s="46">
        <f t="shared" si="1"/>
        <v>0.10000000000582077</v>
      </c>
      <c r="N21" s="46">
        <f t="shared" si="1"/>
        <v>0</v>
      </c>
      <c r="O21" s="46">
        <f t="shared" si="1"/>
        <v>336.10000000003492</v>
      </c>
      <c r="P21" s="46">
        <f t="shared" si="1"/>
        <v>230.10000000000582</v>
      </c>
      <c r="Q21" s="46">
        <f t="shared" si="1"/>
        <v>1059.3000000000466</v>
      </c>
      <c r="R21" s="46">
        <f t="shared" si="1"/>
        <v>19.200000000011642</v>
      </c>
      <c r="S21" s="46">
        <f t="shared" si="1"/>
        <v>0</v>
      </c>
      <c r="T21" s="46">
        <f t="shared" si="1"/>
        <v>1410</v>
      </c>
      <c r="U21" s="47">
        <f t="shared" si="4"/>
        <v>1573.8000000000466</v>
      </c>
      <c r="V21" s="47">
        <f t="shared" si="4"/>
        <v>19.300000000017462</v>
      </c>
      <c r="W21" s="47">
        <f t="shared" si="4"/>
        <v>0</v>
      </c>
      <c r="X21" s="47">
        <f t="shared" si="2"/>
        <v>1976.2000000000407</v>
      </c>
    </row>
    <row r="22" spans="1:24" ht="20" customHeight="1" x14ac:dyDescent="0.35">
      <c r="A22" s="29" t="s">
        <v>222</v>
      </c>
      <c r="B22" s="30">
        <v>407241.7</v>
      </c>
      <c r="C22" s="29">
        <v>219230.5</v>
      </c>
      <c r="D22" s="31">
        <v>44996.7</v>
      </c>
      <c r="E22" s="31">
        <v>367259.2</v>
      </c>
      <c r="F22" s="31">
        <v>246781.9</v>
      </c>
      <c r="G22" s="31">
        <v>523541.9</v>
      </c>
      <c r="H22" s="32">
        <v>307221.40000000002</v>
      </c>
      <c r="I22" s="34">
        <v>710483.8</v>
      </c>
      <c r="J22" s="34">
        <v>1432411</v>
      </c>
      <c r="L22" s="46">
        <f t="shared" si="3"/>
        <v>530.20000000001164</v>
      </c>
      <c r="M22" s="46">
        <f t="shared" si="1"/>
        <v>0</v>
      </c>
      <c r="N22" s="46">
        <f t="shared" si="1"/>
        <v>370.90000000000146</v>
      </c>
      <c r="O22" s="46">
        <f t="shared" si="1"/>
        <v>374.89999999996508</v>
      </c>
      <c r="P22" s="46">
        <f t="shared" si="1"/>
        <v>231.60000000000582</v>
      </c>
      <c r="Q22" s="46">
        <f t="shared" si="1"/>
        <v>1032.9000000000233</v>
      </c>
      <c r="R22" s="46">
        <f t="shared" si="1"/>
        <v>17.899999999965075</v>
      </c>
      <c r="S22" s="46">
        <f t="shared" si="1"/>
        <v>1109.1999999999534</v>
      </c>
      <c r="T22" s="46">
        <f t="shared" si="1"/>
        <v>1494</v>
      </c>
      <c r="U22" s="47">
        <f t="shared" si="4"/>
        <v>1563.1000000000349</v>
      </c>
      <c r="V22" s="47">
        <f t="shared" si="4"/>
        <v>17.899999999965075</v>
      </c>
      <c r="W22" s="47">
        <f t="shared" si="4"/>
        <v>1480.0999999999549</v>
      </c>
      <c r="X22" s="47">
        <f t="shared" si="2"/>
        <v>2100.4999999999709</v>
      </c>
    </row>
    <row r="23" spans="1:24" ht="20" customHeight="1" x14ac:dyDescent="0.35">
      <c r="A23" s="29" t="s">
        <v>224</v>
      </c>
      <c r="B23" s="30">
        <v>407771.9</v>
      </c>
      <c r="C23" s="29">
        <v>219230.5</v>
      </c>
      <c r="D23" s="31">
        <v>45367.6</v>
      </c>
      <c r="E23" s="31">
        <v>367634.1</v>
      </c>
      <c r="F23" s="31">
        <v>247013.5</v>
      </c>
      <c r="G23" s="31">
        <v>524574.80000000005</v>
      </c>
      <c r="H23" s="32">
        <v>307239.3</v>
      </c>
      <c r="I23" s="34">
        <v>711593</v>
      </c>
      <c r="J23" s="34">
        <v>1433905</v>
      </c>
      <c r="L23" s="46">
        <f t="shared" si="3"/>
        <v>531.29999999998836</v>
      </c>
      <c r="M23" s="46">
        <f t="shared" si="1"/>
        <v>0</v>
      </c>
      <c r="N23" s="46">
        <f t="shared" si="1"/>
        <v>346.20000000000437</v>
      </c>
      <c r="O23" s="46">
        <f t="shared" si="1"/>
        <v>375.80000000004657</v>
      </c>
      <c r="P23" s="46">
        <f t="shared" si="1"/>
        <v>231.39999999999418</v>
      </c>
      <c r="Q23" s="46">
        <f t="shared" si="1"/>
        <v>1039.5999999999767</v>
      </c>
      <c r="R23" s="46">
        <f t="shared" si="1"/>
        <v>18.100000000034925</v>
      </c>
      <c r="S23" s="46">
        <f t="shared" si="1"/>
        <v>937.5</v>
      </c>
      <c r="T23" s="46">
        <f t="shared" si="1"/>
        <v>1489</v>
      </c>
      <c r="U23" s="47">
        <f t="shared" si="4"/>
        <v>1570.8999999999651</v>
      </c>
      <c r="V23" s="47">
        <f t="shared" si="4"/>
        <v>18.100000000034925</v>
      </c>
      <c r="W23" s="47">
        <f t="shared" si="4"/>
        <v>1283.7000000000044</v>
      </c>
      <c r="X23" s="47">
        <f t="shared" si="2"/>
        <v>2096.2000000000407</v>
      </c>
    </row>
    <row r="24" spans="1:24" ht="20" customHeight="1" x14ac:dyDescent="0.35">
      <c r="A24" s="29" t="s">
        <v>223</v>
      </c>
      <c r="B24" s="30">
        <v>408303.2</v>
      </c>
      <c r="C24" s="29">
        <v>219230.5</v>
      </c>
      <c r="D24" s="31">
        <v>45713.8</v>
      </c>
      <c r="E24" s="31">
        <v>368009.9</v>
      </c>
      <c r="F24" s="31">
        <v>247244.9</v>
      </c>
      <c r="G24" s="31">
        <v>525614.4</v>
      </c>
      <c r="H24" s="32">
        <v>307257.40000000002</v>
      </c>
      <c r="I24" s="34">
        <v>712530.5</v>
      </c>
      <c r="J24" s="34">
        <v>1435394</v>
      </c>
      <c r="L24" s="46">
        <f t="shared" si="3"/>
        <v>528.20000000001164</v>
      </c>
      <c r="M24" s="46">
        <f t="shared" si="1"/>
        <v>0</v>
      </c>
      <c r="N24" s="46">
        <f t="shared" si="1"/>
        <v>348.29999999999563</v>
      </c>
      <c r="O24" s="46">
        <f t="shared" si="1"/>
        <v>376.5</v>
      </c>
      <c r="P24" s="46">
        <f t="shared" si="1"/>
        <v>231.70000000001164</v>
      </c>
      <c r="Q24" s="46">
        <f t="shared" si="1"/>
        <v>1004.6999999999534</v>
      </c>
      <c r="R24" s="46">
        <f t="shared" si="1"/>
        <v>18.299999999988358</v>
      </c>
      <c r="S24" s="46">
        <f t="shared" si="1"/>
        <v>978.5</v>
      </c>
      <c r="T24" s="46">
        <f t="shared" si="1"/>
        <v>1463</v>
      </c>
      <c r="U24" s="47">
        <f t="shared" si="4"/>
        <v>1532.8999999999651</v>
      </c>
      <c r="V24" s="47">
        <f t="shared" si="4"/>
        <v>18.299999999988358</v>
      </c>
      <c r="W24" s="47">
        <f t="shared" si="4"/>
        <v>1326.7999999999956</v>
      </c>
      <c r="X24" s="47">
        <f t="shared" si="2"/>
        <v>2071.2000000000116</v>
      </c>
    </row>
    <row r="25" spans="1:24" ht="20" customHeight="1" x14ac:dyDescent="0.35">
      <c r="A25" s="29" t="s">
        <v>227</v>
      </c>
      <c r="B25" s="30">
        <v>408831.4</v>
      </c>
      <c r="C25" s="29">
        <v>219230.5</v>
      </c>
      <c r="D25" s="31">
        <v>46062.1</v>
      </c>
      <c r="E25" s="31">
        <v>368386.4</v>
      </c>
      <c r="F25" s="31">
        <v>247476.6</v>
      </c>
      <c r="G25" s="31">
        <v>526619.1</v>
      </c>
      <c r="H25" s="32">
        <v>307275.7</v>
      </c>
      <c r="I25" s="34">
        <v>713509</v>
      </c>
      <c r="J25" s="34">
        <v>1436857</v>
      </c>
      <c r="L25" s="46">
        <f t="shared" si="3"/>
        <v>506.19999999995343</v>
      </c>
      <c r="M25" s="46">
        <f t="shared" si="1"/>
        <v>0</v>
      </c>
      <c r="N25" s="46">
        <f t="shared" si="1"/>
        <v>369.40000000000146</v>
      </c>
      <c r="O25" s="46">
        <f t="shared" si="1"/>
        <v>377</v>
      </c>
      <c r="P25" s="46">
        <f t="shared" si="1"/>
        <v>232.69999999998254</v>
      </c>
      <c r="Q25" s="46">
        <f t="shared" si="1"/>
        <v>906.90000000002328</v>
      </c>
      <c r="R25" s="46">
        <f t="shared" si="1"/>
        <v>0</v>
      </c>
      <c r="S25" s="46">
        <f t="shared" si="1"/>
        <v>1093.4000000000233</v>
      </c>
      <c r="T25" s="46">
        <f t="shared" si="1"/>
        <v>1470</v>
      </c>
      <c r="U25" s="47">
        <f t="shared" si="4"/>
        <v>1413.0999999999767</v>
      </c>
      <c r="V25" s="47">
        <f t="shared" si="4"/>
        <v>0</v>
      </c>
      <c r="W25" s="47">
        <f t="shared" si="4"/>
        <v>1462.8000000000247</v>
      </c>
      <c r="X25" s="47">
        <f t="shared" si="2"/>
        <v>2079.6999999999825</v>
      </c>
    </row>
    <row r="26" spans="1:24" ht="20" customHeight="1" x14ac:dyDescent="0.35">
      <c r="A26" s="29" t="s">
        <v>231</v>
      </c>
      <c r="B26" s="30">
        <v>409337.59999999998</v>
      </c>
      <c r="C26" s="29" t="s">
        <v>179</v>
      </c>
      <c r="D26" s="31">
        <v>46431.5</v>
      </c>
      <c r="E26" s="31">
        <v>368763.4</v>
      </c>
      <c r="F26" s="31">
        <v>247709.3</v>
      </c>
      <c r="G26" s="31">
        <v>527526</v>
      </c>
      <c r="H26" s="32" t="s">
        <v>179</v>
      </c>
      <c r="I26" s="34">
        <v>714602.4</v>
      </c>
      <c r="J26" s="34">
        <v>1438327</v>
      </c>
      <c r="L26" s="46">
        <f t="shared" si="3"/>
        <v>523.80000000004657</v>
      </c>
      <c r="M26" s="46">
        <f t="shared" si="3"/>
        <v>0</v>
      </c>
      <c r="N26" s="46">
        <f t="shared" si="3"/>
        <v>368.90000000000146</v>
      </c>
      <c r="O26" s="46">
        <f t="shared" si="3"/>
        <v>376.09999999997672</v>
      </c>
      <c r="P26" s="46">
        <f t="shared" si="3"/>
        <v>232.40000000002328</v>
      </c>
      <c r="Q26" s="46">
        <f t="shared" si="3"/>
        <v>995</v>
      </c>
      <c r="R26" s="46">
        <f t="shared" si="3"/>
        <v>0</v>
      </c>
      <c r="S26" s="46">
        <f t="shared" si="3"/>
        <v>879.09999999997672</v>
      </c>
      <c r="T26" s="46">
        <f t="shared" si="3"/>
        <v>1454</v>
      </c>
      <c r="U26" s="47">
        <f t="shared" si="4"/>
        <v>1518.8000000000466</v>
      </c>
      <c r="V26" s="47">
        <f t="shared" si="4"/>
        <v>0</v>
      </c>
      <c r="W26" s="47">
        <f t="shared" si="4"/>
        <v>1247.9999999999782</v>
      </c>
      <c r="X26" s="47">
        <f t="shared" si="2"/>
        <v>2062.5</v>
      </c>
    </row>
    <row r="27" spans="1:24" ht="42.75" customHeight="1" x14ac:dyDescent="0.35">
      <c r="A27" s="37" t="s">
        <v>236</v>
      </c>
      <c r="B27" s="38">
        <v>409861.4</v>
      </c>
      <c r="C27" s="29" t="s">
        <v>179</v>
      </c>
      <c r="D27" s="39">
        <v>46800.4</v>
      </c>
      <c r="E27" s="39">
        <v>369139.5</v>
      </c>
      <c r="F27" s="39">
        <v>247941.7</v>
      </c>
      <c r="G27" s="39">
        <v>528521</v>
      </c>
      <c r="H27" s="40" t="s">
        <v>237</v>
      </c>
      <c r="I27" s="34">
        <v>715481.5</v>
      </c>
      <c r="J27" s="42">
        <v>1439781</v>
      </c>
      <c r="L27" s="46">
        <f t="shared" si="3"/>
        <v>485.09999999997672</v>
      </c>
      <c r="M27" s="46">
        <f t="shared" si="3"/>
        <v>0</v>
      </c>
      <c r="N27" s="46">
        <f t="shared" si="3"/>
        <v>234</v>
      </c>
      <c r="O27" s="46">
        <f t="shared" si="3"/>
        <v>353.09999999997672</v>
      </c>
      <c r="P27" s="46">
        <f t="shared" si="3"/>
        <v>221.29999999998836</v>
      </c>
      <c r="Q27" s="46">
        <f t="shared" si="3"/>
        <v>595.40000000002328</v>
      </c>
      <c r="R27" s="46">
        <f t="shared" si="3"/>
        <v>0</v>
      </c>
      <c r="S27" s="46">
        <f t="shared" si="3"/>
        <v>462.90000000002328</v>
      </c>
      <c r="T27" s="46">
        <f t="shared" si="3"/>
        <v>1401</v>
      </c>
      <c r="U27" s="47">
        <f t="shared" si="4"/>
        <v>1080.5</v>
      </c>
      <c r="V27" s="47">
        <f t="shared" si="4"/>
        <v>0</v>
      </c>
      <c r="W27" s="47">
        <f t="shared" si="4"/>
        <v>696.90000000002328</v>
      </c>
      <c r="X27" s="47">
        <f t="shared" si="2"/>
        <v>1975.3999999999651</v>
      </c>
    </row>
    <row r="28" spans="1:24" ht="20" customHeight="1" x14ac:dyDescent="0.35">
      <c r="A28" s="29" t="s">
        <v>238</v>
      </c>
      <c r="B28" s="30">
        <v>410346.5</v>
      </c>
      <c r="C28" s="29" t="s">
        <v>237</v>
      </c>
      <c r="D28" s="31">
        <v>47034.400000000001</v>
      </c>
      <c r="E28" s="31">
        <v>369492.6</v>
      </c>
      <c r="F28" s="31">
        <v>248163</v>
      </c>
      <c r="G28" s="31">
        <v>529116.4</v>
      </c>
      <c r="H28" s="32" t="s">
        <v>237</v>
      </c>
      <c r="I28" s="34">
        <v>715944.4</v>
      </c>
      <c r="J28" s="34">
        <v>1441182</v>
      </c>
      <c r="L28" s="46">
        <f t="shared" si="3"/>
        <v>507.70000000001164</v>
      </c>
      <c r="M28" s="46">
        <f t="shared" si="3"/>
        <v>0</v>
      </c>
      <c r="N28" s="46">
        <f t="shared" si="3"/>
        <v>256.5</v>
      </c>
      <c r="O28" s="46">
        <f t="shared" si="3"/>
        <v>374.70000000001164</v>
      </c>
      <c r="P28" s="46">
        <f t="shared" si="3"/>
        <v>231.20000000001164</v>
      </c>
      <c r="Q28" s="46">
        <f t="shared" si="3"/>
        <v>750.5</v>
      </c>
      <c r="R28" s="46">
        <f t="shared" si="3"/>
        <v>0</v>
      </c>
      <c r="S28" s="46">
        <f t="shared" si="3"/>
        <v>1008</v>
      </c>
      <c r="T28" s="46">
        <f t="shared" si="3"/>
        <v>1483</v>
      </c>
      <c r="U28" s="47">
        <f t="shared" si="4"/>
        <v>1258.2000000000116</v>
      </c>
      <c r="V28" s="47">
        <f t="shared" si="4"/>
        <v>0</v>
      </c>
      <c r="W28" s="47">
        <f t="shared" si="4"/>
        <v>1264.5</v>
      </c>
      <c r="X28" s="47">
        <f t="shared" si="2"/>
        <v>2088.9000000000233</v>
      </c>
    </row>
    <row r="29" spans="1:24" ht="20" customHeight="1" x14ac:dyDescent="0.35">
      <c r="A29" s="29" t="s">
        <v>239</v>
      </c>
      <c r="B29" s="30">
        <v>410854.2</v>
      </c>
      <c r="C29" s="29" t="s">
        <v>237</v>
      </c>
      <c r="D29" s="31">
        <v>47290.9</v>
      </c>
      <c r="E29" s="31">
        <v>369867.3</v>
      </c>
      <c r="F29" s="31">
        <v>248394.2</v>
      </c>
      <c r="G29" s="31">
        <v>529866.9</v>
      </c>
      <c r="H29" s="32"/>
      <c r="I29" s="34">
        <v>716952.4</v>
      </c>
      <c r="J29" s="34">
        <v>1442665</v>
      </c>
      <c r="L29" s="46">
        <f t="shared" si="3"/>
        <v>517.89999999996508</v>
      </c>
      <c r="M29" s="46">
        <f t="shared" si="3"/>
        <v>0</v>
      </c>
      <c r="N29" s="46">
        <f t="shared" si="3"/>
        <v>391.59999999999854</v>
      </c>
      <c r="O29" s="46">
        <f t="shared" si="3"/>
        <v>374.20000000001164</v>
      </c>
      <c r="P29" s="46">
        <f t="shared" si="3"/>
        <v>231.5</v>
      </c>
      <c r="Q29" s="46">
        <f t="shared" si="3"/>
        <v>636.90000000002328</v>
      </c>
      <c r="R29" s="46">
        <f t="shared" si="3"/>
        <v>0</v>
      </c>
      <c r="S29" s="46">
        <f t="shared" si="3"/>
        <v>1303.5999999999767</v>
      </c>
      <c r="T29" s="46">
        <f t="shared" si="3"/>
        <v>1471</v>
      </c>
      <c r="U29" s="47">
        <f t="shared" si="4"/>
        <v>1154.7999999999884</v>
      </c>
      <c r="V29" s="47">
        <f t="shared" si="4"/>
        <v>0</v>
      </c>
      <c r="W29" s="47">
        <f t="shared" si="4"/>
        <v>1695.1999999999753</v>
      </c>
      <c r="X29" s="47">
        <f t="shared" si="2"/>
        <v>2076.7000000000116</v>
      </c>
    </row>
    <row r="30" spans="1:24" ht="20" customHeight="1" x14ac:dyDescent="0.35">
      <c r="A30" s="29" t="s">
        <v>240</v>
      </c>
      <c r="B30" s="30">
        <v>411372.1</v>
      </c>
      <c r="C30" s="29" t="s">
        <v>237</v>
      </c>
      <c r="D30" s="31">
        <v>47682.5</v>
      </c>
      <c r="E30" s="31">
        <v>370241.5</v>
      </c>
      <c r="F30" s="31">
        <v>248625.7</v>
      </c>
      <c r="G30" s="31">
        <v>530503.80000000005</v>
      </c>
      <c r="H30" s="32"/>
      <c r="I30" s="34">
        <v>718256</v>
      </c>
      <c r="J30" s="34">
        <v>1444136</v>
      </c>
      <c r="L30" s="46">
        <f t="shared" si="3"/>
        <v>501.80000000004657</v>
      </c>
      <c r="M30" s="46">
        <f t="shared" si="3"/>
        <v>0</v>
      </c>
      <c r="N30" s="46">
        <f t="shared" si="3"/>
        <v>388.19999999999709</v>
      </c>
      <c r="O30" s="46">
        <f t="shared" si="3"/>
        <v>374.59999999997672</v>
      </c>
      <c r="P30" s="46">
        <f t="shared" si="3"/>
        <v>231.39999999999418</v>
      </c>
      <c r="Q30" s="46">
        <f t="shared" si="3"/>
        <v>539.69999999995343</v>
      </c>
      <c r="R30" s="46">
        <f t="shared" si="3"/>
        <v>0</v>
      </c>
      <c r="S30" s="46">
        <f t="shared" si="3"/>
        <v>1257.4000000000233</v>
      </c>
      <c r="T30" s="46">
        <f t="shared" si="3"/>
        <v>1686</v>
      </c>
      <c r="U30" s="47">
        <f t="shared" si="4"/>
        <v>1041.5</v>
      </c>
      <c r="V30" s="47">
        <f t="shared" si="4"/>
        <v>0</v>
      </c>
      <c r="W30" s="47">
        <f t="shared" si="4"/>
        <v>1645.6000000000204</v>
      </c>
      <c r="X30" s="47">
        <f t="shared" si="2"/>
        <v>2291.9999999999709</v>
      </c>
    </row>
    <row r="31" spans="1:24" ht="20" customHeight="1" x14ac:dyDescent="0.35">
      <c r="A31" s="29" t="s">
        <v>243</v>
      </c>
      <c r="B31" s="30">
        <v>411873.9</v>
      </c>
      <c r="C31" s="29" t="s">
        <v>237</v>
      </c>
      <c r="D31" s="31">
        <v>48070.7</v>
      </c>
      <c r="E31" s="31">
        <v>370616.1</v>
      </c>
      <c r="F31" s="31">
        <v>248857.1</v>
      </c>
      <c r="G31" s="31">
        <v>531043.5</v>
      </c>
      <c r="H31" s="32" t="s">
        <v>237</v>
      </c>
      <c r="I31" s="34">
        <v>719513.4</v>
      </c>
      <c r="J31" s="34">
        <v>1445822</v>
      </c>
      <c r="L31" s="46">
        <f t="shared" si="3"/>
        <v>510.09999999997672</v>
      </c>
      <c r="M31" s="46">
        <f t="shared" si="3"/>
        <v>0</v>
      </c>
      <c r="N31" s="46">
        <f t="shared" si="3"/>
        <v>378</v>
      </c>
      <c r="O31" s="46">
        <f t="shared" si="3"/>
        <v>374.20000000001164</v>
      </c>
      <c r="P31" s="46">
        <f t="shared" si="3"/>
        <v>231.5</v>
      </c>
      <c r="Q31" s="46">
        <f t="shared" si="3"/>
        <v>594.80000000004657</v>
      </c>
      <c r="R31" s="46">
        <f t="shared" si="3"/>
        <v>0</v>
      </c>
      <c r="S31" s="46">
        <f t="shared" si="3"/>
        <v>1268.5</v>
      </c>
      <c r="T31" s="46">
        <f t="shared" si="3"/>
        <v>1846</v>
      </c>
      <c r="U31" s="47">
        <f t="shared" si="4"/>
        <v>1104.9000000000233</v>
      </c>
      <c r="V31" s="47">
        <f t="shared" si="4"/>
        <v>0</v>
      </c>
      <c r="W31" s="47">
        <f t="shared" si="4"/>
        <v>1646.5</v>
      </c>
      <c r="X31" s="47">
        <f t="shared" si="2"/>
        <v>2451.7000000000116</v>
      </c>
    </row>
    <row r="32" spans="1:24" ht="20" customHeight="1" x14ac:dyDescent="0.35">
      <c r="A32" s="29" t="s">
        <v>244</v>
      </c>
      <c r="B32" s="30">
        <v>412384</v>
      </c>
      <c r="C32" s="29" t="s">
        <v>237</v>
      </c>
      <c r="D32" s="31">
        <v>48448.7</v>
      </c>
      <c r="E32" s="31">
        <v>370990.3</v>
      </c>
      <c r="F32" s="31">
        <v>249088.6</v>
      </c>
      <c r="G32" s="31">
        <v>531638.30000000005</v>
      </c>
      <c r="H32" s="32" t="s">
        <v>237</v>
      </c>
      <c r="I32" s="34">
        <v>720781.9</v>
      </c>
      <c r="J32" s="34">
        <v>1447668</v>
      </c>
      <c r="L32" s="46">
        <f t="shared" si="3"/>
        <v>523.5</v>
      </c>
      <c r="M32" s="46">
        <f t="shared" si="3"/>
        <v>0</v>
      </c>
      <c r="N32" s="46">
        <f t="shared" si="3"/>
        <v>376.20000000000437</v>
      </c>
      <c r="O32" s="46">
        <f t="shared" si="3"/>
        <v>374.40000000002328</v>
      </c>
      <c r="P32" s="46">
        <f t="shared" si="3"/>
        <v>231.60000000000582</v>
      </c>
      <c r="Q32" s="46">
        <f t="shared" si="3"/>
        <v>577.09999999997672</v>
      </c>
      <c r="R32" s="46">
        <f t="shared" si="3"/>
        <v>0</v>
      </c>
      <c r="S32" s="46">
        <f t="shared" si="3"/>
        <v>1218.5</v>
      </c>
      <c r="T32" s="46">
        <f t="shared" si="3"/>
        <v>1849</v>
      </c>
      <c r="U32" s="47">
        <f t="shared" si="4"/>
        <v>1100.5999999999767</v>
      </c>
      <c r="V32" s="47">
        <f t="shared" si="4"/>
        <v>0</v>
      </c>
      <c r="W32" s="47">
        <f t="shared" si="4"/>
        <v>1594.7000000000044</v>
      </c>
      <c r="X32" s="47">
        <f t="shared" si="2"/>
        <v>2455.0000000000291</v>
      </c>
    </row>
    <row r="33" spans="1:24" ht="20" customHeight="1" x14ac:dyDescent="0.35">
      <c r="A33" s="29" t="s">
        <v>249</v>
      </c>
      <c r="B33" s="30">
        <v>412907.5</v>
      </c>
      <c r="C33" s="29" t="s">
        <v>237</v>
      </c>
      <c r="D33" s="31">
        <v>48824.9</v>
      </c>
      <c r="E33" s="31">
        <v>371364.7</v>
      </c>
      <c r="F33" s="31">
        <v>249320.2</v>
      </c>
      <c r="G33" s="31">
        <v>532215.4</v>
      </c>
      <c r="H33" s="32" t="s">
        <v>237</v>
      </c>
      <c r="I33" s="34">
        <v>722000.4</v>
      </c>
      <c r="J33" s="34">
        <v>1449517</v>
      </c>
      <c r="L33" s="46">
        <f t="shared" si="3"/>
        <v>506.79999999998836</v>
      </c>
      <c r="M33" s="46">
        <f t="shared" si="3"/>
        <v>0</v>
      </c>
      <c r="N33" s="46">
        <f t="shared" si="3"/>
        <v>365.09999999999854</v>
      </c>
      <c r="O33" s="46">
        <f t="shared" si="3"/>
        <v>368.59999999997672</v>
      </c>
      <c r="P33" s="46">
        <f t="shared" si="3"/>
        <v>225.59999999997672</v>
      </c>
      <c r="Q33" s="46">
        <f t="shared" si="3"/>
        <v>513.19999999995343</v>
      </c>
      <c r="R33" s="46">
        <f t="shared" si="3"/>
        <v>0</v>
      </c>
      <c r="S33" s="46">
        <f t="shared" si="3"/>
        <v>1273.9000000000233</v>
      </c>
      <c r="T33" s="46">
        <f t="shared" si="3"/>
        <v>1766</v>
      </c>
      <c r="U33" s="47">
        <f t="shared" si="4"/>
        <v>1019.9999999999418</v>
      </c>
      <c r="V33" s="47">
        <f t="shared" si="4"/>
        <v>0</v>
      </c>
      <c r="W33" s="47">
        <f t="shared" si="4"/>
        <v>1639.0000000000218</v>
      </c>
      <c r="X33" s="47">
        <f t="shared" si="2"/>
        <v>2360.1999999999534</v>
      </c>
    </row>
    <row r="34" spans="1:24" ht="20" customHeight="1" x14ac:dyDescent="0.35">
      <c r="A34" s="29" t="s">
        <v>250</v>
      </c>
      <c r="B34" s="30">
        <v>413414.3</v>
      </c>
      <c r="C34" s="29" t="s">
        <v>237</v>
      </c>
      <c r="D34" s="31">
        <v>49190</v>
      </c>
      <c r="E34" s="31">
        <v>371733.3</v>
      </c>
      <c r="F34" s="31">
        <v>249545.8</v>
      </c>
      <c r="G34" s="31">
        <v>532728.6</v>
      </c>
      <c r="H34" s="32" t="s">
        <v>237</v>
      </c>
      <c r="I34" s="34">
        <v>723274.3</v>
      </c>
      <c r="J34" s="34">
        <v>1451283</v>
      </c>
      <c r="L34" s="46">
        <f t="shared" si="3"/>
        <v>493.90000000002328</v>
      </c>
      <c r="M34" s="46">
        <f t="shared" si="3"/>
        <v>0</v>
      </c>
      <c r="N34" s="46">
        <f t="shared" si="3"/>
        <v>323.19999999999709</v>
      </c>
      <c r="O34" s="46">
        <f t="shared" si="3"/>
        <v>368.40000000002328</v>
      </c>
      <c r="P34" s="46">
        <f t="shared" si="3"/>
        <v>224.20000000001164</v>
      </c>
      <c r="Q34" s="46">
        <f t="shared" si="3"/>
        <v>431.90000000002328</v>
      </c>
      <c r="R34" s="46">
        <f t="shared" si="3"/>
        <v>0</v>
      </c>
      <c r="S34" s="46">
        <f t="shared" si="3"/>
        <v>788.19999999995343</v>
      </c>
      <c r="T34" s="46">
        <f t="shared" si="3"/>
        <v>1746</v>
      </c>
      <c r="U34" s="47">
        <f t="shared" si="4"/>
        <v>925.80000000004657</v>
      </c>
      <c r="V34" s="47">
        <f t="shared" si="4"/>
        <v>0</v>
      </c>
      <c r="W34" s="47">
        <f t="shared" si="4"/>
        <v>1111.3999999999505</v>
      </c>
      <c r="X34" s="47">
        <f t="shared" si="2"/>
        <v>2338.6000000000349</v>
      </c>
    </row>
    <row r="35" spans="1:24" ht="20" customHeight="1" x14ac:dyDescent="0.35">
      <c r="A35" s="29" t="s">
        <v>251</v>
      </c>
      <c r="B35" s="30">
        <v>413908.2</v>
      </c>
      <c r="C35" s="29" t="s">
        <v>237</v>
      </c>
      <c r="D35" s="31">
        <v>49513.2</v>
      </c>
      <c r="E35" s="31">
        <v>372101.7</v>
      </c>
      <c r="F35" s="31">
        <v>249770</v>
      </c>
      <c r="G35" s="31">
        <v>533160.5</v>
      </c>
      <c r="H35" s="32" t="s">
        <v>237</v>
      </c>
      <c r="I35" s="34">
        <v>724062.5</v>
      </c>
      <c r="J35" s="34">
        <v>1453029</v>
      </c>
      <c r="L35" s="46">
        <f t="shared" si="3"/>
        <v>522.89999999996508</v>
      </c>
      <c r="M35" s="46">
        <f t="shared" si="3"/>
        <v>0</v>
      </c>
      <c r="N35" s="46">
        <f t="shared" si="3"/>
        <v>366.20000000000437</v>
      </c>
      <c r="O35" s="46">
        <f t="shared" si="3"/>
        <v>366.5</v>
      </c>
      <c r="P35" s="46">
        <f t="shared" si="3"/>
        <v>221.89999999999418</v>
      </c>
      <c r="Q35" s="46">
        <f t="shared" si="3"/>
        <v>646.40000000002328</v>
      </c>
      <c r="R35" s="46">
        <f t="shared" si="3"/>
        <v>0</v>
      </c>
      <c r="S35" s="46">
        <f t="shared" si="3"/>
        <v>1285.5999999999767</v>
      </c>
      <c r="T35" s="46">
        <f t="shared" si="3"/>
        <v>1723</v>
      </c>
      <c r="U35" s="47">
        <f t="shared" si="4"/>
        <v>1169.2999999999884</v>
      </c>
      <c r="V35" s="47">
        <f t="shared" si="4"/>
        <v>0</v>
      </c>
      <c r="W35" s="47">
        <f t="shared" si="4"/>
        <v>1651.7999999999811</v>
      </c>
      <c r="X35" s="47">
        <f t="shared" si="2"/>
        <v>2311.3999999999942</v>
      </c>
    </row>
    <row r="36" spans="1:24" ht="20" customHeight="1" x14ac:dyDescent="0.35">
      <c r="A36" s="29" t="s">
        <v>252</v>
      </c>
      <c r="B36" s="30">
        <v>414431.1</v>
      </c>
      <c r="C36" s="29" t="s">
        <v>237</v>
      </c>
      <c r="D36" s="31">
        <v>49879.4</v>
      </c>
      <c r="E36" s="31">
        <v>372468.2</v>
      </c>
      <c r="F36" s="31">
        <v>249991.9</v>
      </c>
      <c r="G36" s="31">
        <v>533806.9</v>
      </c>
      <c r="H36" s="32" t="s">
        <v>237</v>
      </c>
      <c r="I36" s="34">
        <v>725348.1</v>
      </c>
      <c r="J36" s="34">
        <v>1454752</v>
      </c>
      <c r="L36" s="46">
        <f t="shared" si="3"/>
        <v>511</v>
      </c>
      <c r="M36" s="46">
        <f t="shared" si="3"/>
        <v>0</v>
      </c>
      <c r="N36" s="46">
        <f t="shared" si="3"/>
        <v>317.09999999999854</v>
      </c>
      <c r="O36" s="46">
        <f t="shared" si="3"/>
        <v>354.29999999998836</v>
      </c>
      <c r="P36" s="46">
        <f t="shared" si="3"/>
        <v>213.5</v>
      </c>
      <c r="Q36" s="46">
        <f t="shared" si="3"/>
        <v>577.29999999993015</v>
      </c>
      <c r="R36" s="46">
        <f t="shared" si="3"/>
        <v>0</v>
      </c>
      <c r="S36" s="46">
        <f t="shared" si="3"/>
        <v>1221.9000000000233</v>
      </c>
      <c r="T36" s="46">
        <f t="shared" si="3"/>
        <v>1469</v>
      </c>
      <c r="U36" s="47">
        <f t="shared" si="4"/>
        <v>1088.2999999999302</v>
      </c>
      <c r="V36" s="47">
        <f t="shared" si="4"/>
        <v>0</v>
      </c>
      <c r="W36" s="47">
        <f t="shared" si="4"/>
        <v>1539.0000000000218</v>
      </c>
      <c r="X36" s="47">
        <f t="shared" si="2"/>
        <v>2036.7999999999884</v>
      </c>
    </row>
    <row r="37" spans="1:24" ht="20" customHeight="1" x14ac:dyDescent="0.35">
      <c r="A37" s="29" t="s">
        <v>259</v>
      </c>
      <c r="B37" s="30">
        <v>414942.1</v>
      </c>
      <c r="C37" s="29" t="s">
        <v>237</v>
      </c>
      <c r="D37" s="31">
        <v>50196.5</v>
      </c>
      <c r="E37" s="31">
        <v>372822.5</v>
      </c>
      <c r="F37" s="31">
        <v>250205.4</v>
      </c>
      <c r="G37" s="31">
        <v>534384.19999999995</v>
      </c>
      <c r="H37" s="32" t="s">
        <v>237</v>
      </c>
      <c r="I37" s="34">
        <v>726570</v>
      </c>
      <c r="J37" s="34">
        <v>1456221</v>
      </c>
      <c r="L37" s="46">
        <f t="shared" si="3"/>
        <v>510.60000000003492</v>
      </c>
      <c r="M37" s="46">
        <f t="shared" si="3"/>
        <v>0</v>
      </c>
      <c r="N37" s="46">
        <f t="shared" si="3"/>
        <v>370.30000000000291</v>
      </c>
      <c r="O37" s="46">
        <f t="shared" si="3"/>
        <v>364.90000000002328</v>
      </c>
      <c r="P37" s="46">
        <f t="shared" si="3"/>
        <v>219.89999999999418</v>
      </c>
      <c r="Q37" s="46">
        <f t="shared" si="3"/>
        <v>602.60000000009313</v>
      </c>
      <c r="R37" s="46">
        <f t="shared" si="3"/>
        <v>0</v>
      </c>
      <c r="S37" s="46">
        <f t="shared" si="3"/>
        <v>1281.9000000000233</v>
      </c>
      <c r="T37" s="46">
        <f t="shared" si="3"/>
        <v>1475</v>
      </c>
      <c r="U37" s="47">
        <f t="shared" si="4"/>
        <v>1113.2000000001281</v>
      </c>
      <c r="V37" s="47">
        <f t="shared" si="4"/>
        <v>0</v>
      </c>
      <c r="W37" s="47">
        <f t="shared" si="4"/>
        <v>1652.2000000000262</v>
      </c>
      <c r="X37" s="47">
        <f t="shared" si="2"/>
        <v>2059.8000000000175</v>
      </c>
    </row>
    <row r="38" spans="1:24" ht="20" customHeight="1" x14ac:dyDescent="0.35">
      <c r="A38" s="29" t="s">
        <v>260</v>
      </c>
      <c r="B38" s="30">
        <v>415452.7</v>
      </c>
      <c r="C38" s="29" t="s">
        <v>237</v>
      </c>
      <c r="D38" s="31">
        <v>50566.8</v>
      </c>
      <c r="E38" s="31">
        <v>373187.4</v>
      </c>
      <c r="F38" s="31">
        <v>250425.3</v>
      </c>
      <c r="G38" s="31">
        <v>534986.80000000005</v>
      </c>
      <c r="H38" s="32" t="s">
        <v>237</v>
      </c>
      <c r="I38" s="34">
        <v>727851.9</v>
      </c>
      <c r="J38" s="34">
        <v>1457696</v>
      </c>
      <c r="L38" s="46">
        <f t="shared" si="3"/>
        <v>517.09999999997672</v>
      </c>
      <c r="M38" s="46">
        <f t="shared" si="3"/>
        <v>0</v>
      </c>
      <c r="N38" s="46">
        <f t="shared" si="3"/>
        <v>368.39999999999418</v>
      </c>
      <c r="O38" s="46">
        <f t="shared" si="3"/>
        <v>366.89999999996508</v>
      </c>
      <c r="P38" s="46">
        <f t="shared" si="3"/>
        <v>222.20000000001164</v>
      </c>
      <c r="Q38" s="46">
        <f t="shared" si="3"/>
        <v>615</v>
      </c>
      <c r="R38" s="46">
        <f t="shared" si="3"/>
        <v>0</v>
      </c>
      <c r="S38" s="46">
        <f t="shared" si="3"/>
        <v>1256.1999999999534</v>
      </c>
      <c r="T38" s="46">
        <f t="shared" si="3"/>
        <v>1683</v>
      </c>
      <c r="U38" s="47">
        <f t="shared" si="4"/>
        <v>1132.0999999999767</v>
      </c>
      <c r="V38" s="47">
        <f t="shared" si="4"/>
        <v>0</v>
      </c>
      <c r="W38" s="47">
        <f t="shared" si="4"/>
        <v>1624.5999999999476</v>
      </c>
      <c r="X38" s="47">
        <f t="shared" si="2"/>
        <v>2272.0999999999767</v>
      </c>
    </row>
    <row r="39" spans="1:24" ht="20" customHeight="1" x14ac:dyDescent="0.35">
      <c r="A39" s="29" t="s">
        <v>261</v>
      </c>
      <c r="B39" s="30">
        <v>415969.8</v>
      </c>
      <c r="C39" s="29" t="s">
        <v>237</v>
      </c>
      <c r="D39" s="31">
        <v>50935.199999999997</v>
      </c>
      <c r="E39" s="31">
        <v>373554.3</v>
      </c>
      <c r="F39" s="31">
        <v>250647.5</v>
      </c>
      <c r="G39" s="31">
        <v>535601.80000000005</v>
      </c>
      <c r="H39" s="32" t="s">
        <v>237</v>
      </c>
      <c r="I39" s="34">
        <v>729108.1</v>
      </c>
      <c r="J39" s="34">
        <v>1459379</v>
      </c>
      <c r="L39" s="46">
        <f t="shared" si="3"/>
        <v>371.60000000003492</v>
      </c>
      <c r="M39" s="46">
        <f t="shared" si="3"/>
        <v>0</v>
      </c>
      <c r="N39" s="46">
        <f t="shared" si="3"/>
        <v>376.30000000000291</v>
      </c>
      <c r="O39" s="46">
        <f t="shared" si="3"/>
        <v>376</v>
      </c>
      <c r="P39" s="46">
        <f t="shared" si="3"/>
        <v>232.10000000000582</v>
      </c>
      <c r="Q39" s="46">
        <f t="shared" si="3"/>
        <v>363.89999999990687</v>
      </c>
      <c r="R39" s="46">
        <f t="shared" si="3"/>
        <v>0</v>
      </c>
      <c r="S39" s="46">
        <f t="shared" si="3"/>
        <v>1369.5</v>
      </c>
      <c r="T39" s="46">
        <f t="shared" si="3"/>
        <v>1882</v>
      </c>
      <c r="U39" s="47">
        <f t="shared" si="4"/>
        <v>735.49999999994179</v>
      </c>
      <c r="V39" s="47">
        <f t="shared" si="4"/>
        <v>0</v>
      </c>
      <c r="W39" s="47">
        <f t="shared" si="4"/>
        <v>1745.8000000000029</v>
      </c>
      <c r="X39" s="47">
        <f t="shared" si="2"/>
        <v>2490.1000000000058</v>
      </c>
    </row>
    <row r="40" spans="1:24" ht="20" customHeight="1" x14ac:dyDescent="0.35">
      <c r="A40" s="29" t="s">
        <v>262</v>
      </c>
      <c r="B40" s="30">
        <v>416341.4</v>
      </c>
      <c r="C40" s="29" t="s">
        <v>237</v>
      </c>
      <c r="D40" s="31">
        <v>51311.5</v>
      </c>
      <c r="E40" s="31">
        <v>373930.3</v>
      </c>
      <c r="F40" s="31">
        <v>250879.6</v>
      </c>
      <c r="G40" s="31">
        <v>535965.69999999995</v>
      </c>
      <c r="H40" s="32" t="s">
        <v>237</v>
      </c>
      <c r="I40" s="34">
        <v>730477.6</v>
      </c>
      <c r="J40" s="34">
        <v>1461261</v>
      </c>
      <c r="L40" s="46">
        <f t="shared" si="3"/>
        <v>73.299999999988358</v>
      </c>
      <c r="M40" s="46">
        <f t="shared" si="3"/>
        <v>0</v>
      </c>
      <c r="N40" s="46">
        <f t="shared" si="3"/>
        <v>361.59999999999854</v>
      </c>
      <c r="O40" s="46">
        <f t="shared" si="3"/>
        <v>366.90000000002328</v>
      </c>
      <c r="P40" s="46">
        <f t="shared" si="3"/>
        <v>222.19999999998254</v>
      </c>
      <c r="Q40" s="46">
        <f t="shared" si="3"/>
        <v>19.900000000023283</v>
      </c>
      <c r="R40" s="46">
        <f t="shared" si="3"/>
        <v>0</v>
      </c>
      <c r="S40" s="46">
        <f t="shared" si="3"/>
        <v>1013</v>
      </c>
      <c r="T40" s="46">
        <f t="shared" si="3"/>
        <v>1641</v>
      </c>
      <c r="U40" s="47">
        <f t="shared" si="4"/>
        <v>93.200000000011642</v>
      </c>
      <c r="V40" s="47">
        <f t="shared" si="4"/>
        <v>0</v>
      </c>
      <c r="W40" s="47">
        <f t="shared" si="4"/>
        <v>1374.5999999999985</v>
      </c>
      <c r="X40" s="47">
        <f t="shared" si="2"/>
        <v>2230.1000000000058</v>
      </c>
    </row>
    <row r="41" spans="1:24" ht="20" customHeight="1" x14ac:dyDescent="0.35">
      <c r="A41" s="29" t="s">
        <v>263</v>
      </c>
      <c r="B41" s="30">
        <v>416414.7</v>
      </c>
      <c r="C41" s="29">
        <v>219312.7</v>
      </c>
      <c r="D41" s="31">
        <v>51673.1</v>
      </c>
      <c r="E41" s="31">
        <v>374297.2</v>
      </c>
      <c r="F41" s="31">
        <v>251101.8</v>
      </c>
      <c r="G41" s="31">
        <v>535985.6</v>
      </c>
      <c r="H41" s="32">
        <v>307466.7</v>
      </c>
      <c r="I41" s="34">
        <v>731490.6</v>
      </c>
      <c r="J41" s="34">
        <v>1462902</v>
      </c>
      <c r="L41" s="46">
        <f t="shared" si="3"/>
        <v>0</v>
      </c>
      <c r="M41" s="46">
        <f t="shared" si="3"/>
        <v>408.59999999997672</v>
      </c>
      <c r="N41" s="46">
        <f t="shared" si="3"/>
        <v>178.59999999999854</v>
      </c>
      <c r="O41" s="46">
        <f t="shared" si="3"/>
        <v>355</v>
      </c>
      <c r="P41" s="46">
        <f t="shared" si="3"/>
        <v>216.5</v>
      </c>
      <c r="Q41" s="46">
        <f t="shared" si="3"/>
        <v>0</v>
      </c>
      <c r="R41" s="46">
        <f t="shared" si="3"/>
        <v>522.59999999997672</v>
      </c>
      <c r="S41" s="46">
        <f t="shared" si="3"/>
        <v>554.90000000002328</v>
      </c>
      <c r="T41" s="46">
        <f t="shared" si="3"/>
        <v>1553</v>
      </c>
      <c r="U41" s="47">
        <f t="shared" si="4"/>
        <v>0</v>
      </c>
      <c r="V41" s="47">
        <f t="shared" si="4"/>
        <v>931.19999999995343</v>
      </c>
      <c r="W41" s="47">
        <f t="shared" si="4"/>
        <v>733.50000000002183</v>
      </c>
      <c r="X41" s="47">
        <f t="shared" si="2"/>
        <v>2124.5</v>
      </c>
    </row>
    <row r="42" spans="1:24" ht="20" customHeight="1" x14ac:dyDescent="0.35">
      <c r="A42" s="29" t="s">
        <v>264</v>
      </c>
      <c r="B42" s="30" t="s">
        <v>237</v>
      </c>
      <c r="C42" s="29">
        <v>219721.3</v>
      </c>
      <c r="D42" s="31">
        <v>51851.7</v>
      </c>
      <c r="E42" s="31">
        <v>374652.2</v>
      </c>
      <c r="F42" s="31">
        <v>251318.3</v>
      </c>
      <c r="G42" s="31" t="s">
        <v>237</v>
      </c>
      <c r="H42" s="32">
        <v>307989.3</v>
      </c>
      <c r="I42" s="34">
        <v>732045.5</v>
      </c>
      <c r="J42" s="34">
        <v>1464455</v>
      </c>
      <c r="L42" s="46">
        <f t="shared" si="3"/>
        <v>0</v>
      </c>
      <c r="M42" s="46">
        <f t="shared" si="3"/>
        <v>406.80000000001746</v>
      </c>
      <c r="N42" s="46">
        <f t="shared" si="3"/>
        <v>348.30000000000291</v>
      </c>
      <c r="O42" s="46">
        <f t="shared" si="3"/>
        <v>370.70000000001164</v>
      </c>
      <c r="P42" s="46">
        <f t="shared" si="3"/>
        <v>225.5</v>
      </c>
      <c r="Q42" s="46">
        <f t="shared" si="3"/>
        <v>0</v>
      </c>
      <c r="R42" s="46">
        <f t="shared" si="3"/>
        <v>439.60000000003492</v>
      </c>
      <c r="S42" s="46">
        <f t="shared" si="3"/>
        <v>1283.4000000000233</v>
      </c>
      <c r="T42" s="46">
        <f t="shared" si="3"/>
        <v>1481</v>
      </c>
      <c r="U42" s="47">
        <f t="shared" si="4"/>
        <v>0</v>
      </c>
      <c r="V42" s="47">
        <f t="shared" si="4"/>
        <v>846.40000000005239</v>
      </c>
      <c r="W42" s="47">
        <f t="shared" si="4"/>
        <v>1631.7000000000262</v>
      </c>
      <c r="X42" s="47">
        <f t="shared" ref="X42:X73" si="5">O42+P42+T42</f>
        <v>2077.2000000000116</v>
      </c>
    </row>
    <row r="43" spans="1:24" ht="20" customHeight="1" x14ac:dyDescent="0.35">
      <c r="A43" s="29" t="s">
        <v>265</v>
      </c>
      <c r="B43" s="30" t="s">
        <v>237</v>
      </c>
      <c r="C43" s="29">
        <v>220128.1</v>
      </c>
      <c r="D43" s="31">
        <v>52200</v>
      </c>
      <c r="E43" s="31">
        <v>375022.9</v>
      </c>
      <c r="F43" s="31">
        <v>251543.8</v>
      </c>
      <c r="G43" s="31" t="s">
        <v>237</v>
      </c>
      <c r="H43" s="32">
        <v>308428.90000000002</v>
      </c>
      <c r="I43" s="34">
        <v>733328.9</v>
      </c>
      <c r="J43" s="34">
        <v>1465936</v>
      </c>
      <c r="L43" s="46">
        <f t="shared" si="3"/>
        <v>0</v>
      </c>
      <c r="M43" s="46">
        <f t="shared" si="3"/>
        <v>414.79999999998836</v>
      </c>
      <c r="N43" s="46">
        <f t="shared" si="3"/>
        <v>362.80000000000291</v>
      </c>
      <c r="O43" s="46">
        <f t="shared" si="3"/>
        <v>374.19999999995343</v>
      </c>
      <c r="P43" s="46">
        <f t="shared" si="3"/>
        <v>230.10000000000582</v>
      </c>
      <c r="Q43" s="46">
        <f t="shared" si="3"/>
        <v>0</v>
      </c>
      <c r="R43" s="46">
        <f t="shared" si="3"/>
        <v>456.29999999998836</v>
      </c>
      <c r="S43" s="46">
        <f t="shared" si="3"/>
        <v>1274.4000000000233</v>
      </c>
      <c r="T43" s="46">
        <f t="shared" si="3"/>
        <v>1830</v>
      </c>
      <c r="U43" s="47">
        <f t="shared" si="4"/>
        <v>0</v>
      </c>
      <c r="V43" s="47">
        <f t="shared" si="4"/>
        <v>871.09999999997672</v>
      </c>
      <c r="W43" s="47">
        <f t="shared" si="4"/>
        <v>1637.2000000000262</v>
      </c>
      <c r="X43" s="47">
        <f t="shared" si="5"/>
        <v>2434.2999999999593</v>
      </c>
    </row>
    <row r="44" spans="1:24" ht="20" customHeight="1" x14ac:dyDescent="0.35">
      <c r="A44" s="29" t="s">
        <v>266</v>
      </c>
      <c r="B44" s="30" t="s">
        <v>237</v>
      </c>
      <c r="C44" s="29">
        <v>220542.9</v>
      </c>
      <c r="D44" s="31">
        <v>52562.8</v>
      </c>
      <c r="E44" s="31">
        <v>375397.1</v>
      </c>
      <c r="F44" s="31">
        <v>251773.9</v>
      </c>
      <c r="G44" s="31" t="s">
        <v>237</v>
      </c>
      <c r="H44" s="32">
        <v>308885.2</v>
      </c>
      <c r="I44" s="34">
        <v>734603.3</v>
      </c>
      <c r="J44" s="34">
        <v>1467766</v>
      </c>
      <c r="L44" s="46">
        <f t="shared" si="3"/>
        <v>0</v>
      </c>
      <c r="M44" s="46">
        <f t="shared" si="3"/>
        <v>414.80000000001746</v>
      </c>
      <c r="N44" s="46">
        <f t="shared" si="3"/>
        <v>370.79999999999563</v>
      </c>
      <c r="O44" s="46">
        <f t="shared" si="3"/>
        <v>365.70000000001164</v>
      </c>
      <c r="P44" s="46">
        <f t="shared" si="3"/>
        <v>220.60000000000582</v>
      </c>
      <c r="Q44" s="46">
        <f t="shared" si="3"/>
        <v>0</v>
      </c>
      <c r="R44" s="46">
        <f t="shared" si="3"/>
        <v>432.29999999998836</v>
      </c>
      <c r="S44" s="46">
        <f t="shared" si="3"/>
        <v>1297.1999999999534</v>
      </c>
      <c r="T44" s="46">
        <f t="shared" si="3"/>
        <v>1693</v>
      </c>
      <c r="U44" s="47">
        <f t="shared" si="4"/>
        <v>0</v>
      </c>
      <c r="V44" s="47">
        <f t="shared" si="4"/>
        <v>847.10000000000582</v>
      </c>
      <c r="W44" s="47">
        <f t="shared" si="4"/>
        <v>1667.9999999999491</v>
      </c>
      <c r="X44" s="47">
        <f t="shared" si="5"/>
        <v>2279.3000000000175</v>
      </c>
    </row>
    <row r="45" spans="1:24" ht="42.75" customHeight="1" x14ac:dyDescent="0.35">
      <c r="A45" s="37" t="s">
        <v>268</v>
      </c>
      <c r="B45" s="38">
        <v>416535.3</v>
      </c>
      <c r="C45" s="37">
        <v>220957.7</v>
      </c>
      <c r="D45" s="39">
        <v>52933.599999999999</v>
      </c>
      <c r="E45" s="39">
        <v>375762.8</v>
      </c>
      <c r="F45" s="39">
        <v>251994.5</v>
      </c>
      <c r="G45" s="39">
        <v>536208.69999999995</v>
      </c>
      <c r="H45" s="40">
        <v>309317.5</v>
      </c>
      <c r="I45" s="34">
        <v>735900.5</v>
      </c>
      <c r="J45" s="42">
        <v>1469459</v>
      </c>
      <c r="L45" s="46">
        <f t="shared" ref="L45:T73" si="6">IFERROR(B46-B45,0)</f>
        <v>491.20000000001164</v>
      </c>
      <c r="M45" s="46">
        <f t="shared" si="6"/>
        <v>414.59999999997672</v>
      </c>
      <c r="N45" s="46">
        <f t="shared" si="6"/>
        <v>363.20000000000437</v>
      </c>
      <c r="O45" s="46">
        <f t="shared" si="6"/>
        <v>363.60000000003492</v>
      </c>
      <c r="P45" s="46">
        <f t="shared" si="6"/>
        <v>219</v>
      </c>
      <c r="Q45" s="46">
        <f t="shared" si="6"/>
        <v>678.10000000009313</v>
      </c>
      <c r="R45" s="46">
        <f t="shared" si="6"/>
        <v>369</v>
      </c>
      <c r="S45" s="46">
        <f t="shared" si="6"/>
        <v>1289.6999999999534</v>
      </c>
      <c r="T45" s="46">
        <f t="shared" si="6"/>
        <v>1636</v>
      </c>
      <c r="U45" s="47">
        <f t="shared" ref="U45:W108" si="7">L45+Q45</f>
        <v>1169.3000000001048</v>
      </c>
      <c r="V45" s="47">
        <f t="shared" si="7"/>
        <v>783.59999999997672</v>
      </c>
      <c r="W45" s="47">
        <f t="shared" si="7"/>
        <v>1652.8999999999578</v>
      </c>
      <c r="X45" s="47">
        <f t="shared" si="5"/>
        <v>2218.6000000000349</v>
      </c>
    </row>
    <row r="46" spans="1:24" ht="20" customHeight="1" x14ac:dyDescent="0.35">
      <c r="A46" s="29" t="s">
        <v>269</v>
      </c>
      <c r="B46" s="30">
        <v>417026.5</v>
      </c>
      <c r="C46" s="29">
        <v>221372.3</v>
      </c>
      <c r="D46" s="31">
        <v>53296.800000000003</v>
      </c>
      <c r="E46" s="31">
        <v>376126.4</v>
      </c>
      <c r="F46" s="31">
        <v>252213.5</v>
      </c>
      <c r="G46" s="31">
        <v>536886.80000000005</v>
      </c>
      <c r="H46" s="29">
        <v>309686.5</v>
      </c>
      <c r="I46" s="31">
        <v>737190.2</v>
      </c>
      <c r="J46" s="34">
        <v>1471095</v>
      </c>
      <c r="L46" s="46">
        <f t="shared" si="6"/>
        <v>484.09999999997672</v>
      </c>
      <c r="M46" s="46">
        <f t="shared" si="6"/>
        <v>404.40000000002328</v>
      </c>
      <c r="N46" s="46">
        <f t="shared" si="6"/>
        <v>367.29999999999563</v>
      </c>
      <c r="O46" s="46">
        <f t="shared" si="6"/>
        <v>410.79999999998836</v>
      </c>
      <c r="P46" s="46">
        <f t="shared" si="6"/>
        <v>251.5</v>
      </c>
      <c r="Q46" s="46">
        <f t="shared" si="6"/>
        <v>558.19999999995343</v>
      </c>
      <c r="R46" s="46">
        <f t="shared" si="6"/>
        <v>332.40000000002328</v>
      </c>
      <c r="S46" s="46">
        <f t="shared" si="6"/>
        <v>1281.5</v>
      </c>
      <c r="T46" s="46">
        <f t="shared" si="6"/>
        <v>1794</v>
      </c>
      <c r="U46" s="47">
        <f t="shared" si="7"/>
        <v>1042.2999999999302</v>
      </c>
      <c r="V46" s="47">
        <f t="shared" si="7"/>
        <v>736.80000000004657</v>
      </c>
      <c r="W46" s="47">
        <f t="shared" si="7"/>
        <v>1648.7999999999956</v>
      </c>
      <c r="X46" s="47">
        <f t="shared" si="5"/>
        <v>2456.2999999999884</v>
      </c>
    </row>
    <row r="47" spans="1:24" ht="20" customHeight="1" x14ac:dyDescent="0.35">
      <c r="A47" s="29" t="s">
        <v>270</v>
      </c>
      <c r="B47" s="30">
        <v>417510.6</v>
      </c>
      <c r="C47" s="29">
        <v>221776.7</v>
      </c>
      <c r="D47" s="31">
        <v>53664.1</v>
      </c>
      <c r="E47" s="31">
        <v>376537.2</v>
      </c>
      <c r="F47" s="31">
        <v>252465</v>
      </c>
      <c r="G47" s="31">
        <v>537445</v>
      </c>
      <c r="H47" s="29">
        <v>310018.90000000002</v>
      </c>
      <c r="I47" s="31">
        <v>738471.7</v>
      </c>
      <c r="J47" s="34">
        <v>1472889</v>
      </c>
      <c r="L47" s="46">
        <f t="shared" si="6"/>
        <v>501.30000000004657</v>
      </c>
      <c r="M47" s="46">
        <f t="shared" si="6"/>
        <v>414.59999999997672</v>
      </c>
      <c r="N47" s="46">
        <f t="shared" si="6"/>
        <v>355</v>
      </c>
      <c r="O47" s="46">
        <f t="shared" si="6"/>
        <v>370.39999999996508</v>
      </c>
      <c r="P47" s="46">
        <f t="shared" si="6"/>
        <v>231.89999999999418</v>
      </c>
      <c r="Q47" s="46">
        <f t="shared" si="6"/>
        <v>566.69999999995343</v>
      </c>
      <c r="R47" s="46">
        <f t="shared" si="6"/>
        <v>399.79999999998836</v>
      </c>
      <c r="S47" s="46">
        <f t="shared" si="6"/>
        <v>955.90000000002328</v>
      </c>
      <c r="T47" s="46">
        <f t="shared" si="6"/>
        <v>1870</v>
      </c>
      <c r="U47" s="47">
        <f t="shared" si="7"/>
        <v>1068</v>
      </c>
      <c r="V47" s="47">
        <f t="shared" si="7"/>
        <v>814.39999999996508</v>
      </c>
      <c r="W47" s="47">
        <f t="shared" si="7"/>
        <v>1310.9000000000233</v>
      </c>
      <c r="X47" s="47">
        <f t="shared" si="5"/>
        <v>2472.2999999999593</v>
      </c>
    </row>
    <row r="48" spans="1:24" ht="20" customHeight="1" x14ac:dyDescent="0.35">
      <c r="A48" s="29" t="s">
        <v>274</v>
      </c>
      <c r="B48" s="30">
        <v>418011.9</v>
      </c>
      <c r="C48" s="29">
        <v>222191.3</v>
      </c>
      <c r="D48" s="31">
        <v>54019.1</v>
      </c>
      <c r="E48" s="31">
        <v>376907.6</v>
      </c>
      <c r="F48" s="31">
        <v>252696.9</v>
      </c>
      <c r="G48" s="31">
        <v>538011.69999999995</v>
      </c>
      <c r="H48" s="29">
        <v>310418.7</v>
      </c>
      <c r="I48" s="31">
        <v>739427.6</v>
      </c>
      <c r="J48" s="34">
        <v>1474759</v>
      </c>
      <c r="L48" s="46">
        <f t="shared" si="6"/>
        <v>481.09999999997672</v>
      </c>
      <c r="M48" s="46">
        <f t="shared" si="6"/>
        <v>0</v>
      </c>
      <c r="N48" s="46">
        <f t="shared" si="6"/>
        <v>333.09999999999854</v>
      </c>
      <c r="O48" s="46">
        <f t="shared" si="6"/>
        <v>377</v>
      </c>
      <c r="P48" s="46">
        <f t="shared" si="6"/>
        <v>232.70000000001164</v>
      </c>
      <c r="Q48" s="46">
        <f t="shared" si="6"/>
        <v>466.30000000004657</v>
      </c>
      <c r="R48" s="46">
        <f t="shared" si="6"/>
        <v>0</v>
      </c>
      <c r="S48" s="46">
        <f t="shared" si="6"/>
        <v>793.70000000006985</v>
      </c>
      <c r="T48" s="46">
        <f t="shared" si="6"/>
        <v>1835</v>
      </c>
      <c r="U48" s="47">
        <f t="shared" si="7"/>
        <v>947.40000000002328</v>
      </c>
      <c r="V48" s="47">
        <f t="shared" si="7"/>
        <v>0</v>
      </c>
      <c r="W48" s="47">
        <f t="shared" si="7"/>
        <v>1126.8000000000684</v>
      </c>
      <c r="X48" s="47">
        <f t="shared" si="5"/>
        <v>2444.7000000000116</v>
      </c>
    </row>
    <row r="49" spans="1:24" ht="20" customHeight="1" x14ac:dyDescent="0.35">
      <c r="A49" s="29" t="s">
        <v>275</v>
      </c>
      <c r="B49" s="30">
        <v>418493</v>
      </c>
      <c r="C49" s="29" t="s">
        <v>237</v>
      </c>
      <c r="D49" s="31">
        <v>54352.2</v>
      </c>
      <c r="E49" s="31">
        <v>377284.6</v>
      </c>
      <c r="F49" s="31">
        <v>252929.6</v>
      </c>
      <c r="G49" s="31">
        <v>538478</v>
      </c>
      <c r="H49" s="29" t="s">
        <v>237</v>
      </c>
      <c r="I49" s="31">
        <v>740221.3</v>
      </c>
      <c r="J49" s="34">
        <v>1476594</v>
      </c>
      <c r="L49" s="46">
        <f t="shared" si="6"/>
        <v>496</v>
      </c>
      <c r="M49" s="46">
        <f t="shared" si="6"/>
        <v>0</v>
      </c>
      <c r="N49" s="46">
        <f t="shared" si="6"/>
        <v>361</v>
      </c>
      <c r="O49" s="46">
        <f t="shared" si="6"/>
        <v>376.30000000004657</v>
      </c>
      <c r="P49" s="46">
        <f t="shared" si="6"/>
        <v>232.60000000000582</v>
      </c>
      <c r="Q49" s="46">
        <f t="shared" si="6"/>
        <v>585.5</v>
      </c>
      <c r="R49" s="46">
        <f t="shared" si="6"/>
        <v>0</v>
      </c>
      <c r="S49" s="46">
        <f t="shared" si="6"/>
        <v>1256.8999999999069</v>
      </c>
      <c r="T49" s="46">
        <f t="shared" si="6"/>
        <v>1820</v>
      </c>
      <c r="U49" s="47">
        <f t="shared" si="7"/>
        <v>1081.5</v>
      </c>
      <c r="V49" s="47">
        <f t="shared" si="7"/>
        <v>0</v>
      </c>
      <c r="W49" s="47">
        <f t="shared" si="7"/>
        <v>1617.8999999999069</v>
      </c>
      <c r="X49" s="47">
        <f t="shared" si="5"/>
        <v>2428.9000000000524</v>
      </c>
    </row>
    <row r="50" spans="1:24" ht="20" customHeight="1" x14ac:dyDescent="0.35">
      <c r="A50" s="29" t="s">
        <v>276</v>
      </c>
      <c r="B50" s="30">
        <v>418989</v>
      </c>
      <c r="C50" s="29" t="s">
        <v>237</v>
      </c>
      <c r="D50" s="31">
        <v>54713.2</v>
      </c>
      <c r="E50" s="31">
        <v>377660.9</v>
      </c>
      <c r="F50" s="31">
        <v>253162.2</v>
      </c>
      <c r="G50" s="31">
        <v>539063.5</v>
      </c>
      <c r="H50" s="29" t="s">
        <v>237</v>
      </c>
      <c r="I50" s="31">
        <v>741478.2</v>
      </c>
      <c r="J50" s="34">
        <v>1478414</v>
      </c>
      <c r="L50" s="46">
        <f t="shared" si="6"/>
        <v>511.29999999998836</v>
      </c>
      <c r="M50" s="46">
        <f t="shared" si="6"/>
        <v>0</v>
      </c>
      <c r="N50" s="46">
        <f t="shared" si="6"/>
        <v>372.40000000000146</v>
      </c>
      <c r="O50" s="46">
        <f t="shared" si="6"/>
        <v>376.19999999995343</v>
      </c>
      <c r="P50" s="46">
        <f t="shared" si="6"/>
        <v>232.29999999998836</v>
      </c>
      <c r="Q50" s="46">
        <f t="shared" si="6"/>
        <v>618</v>
      </c>
      <c r="R50" s="46">
        <f t="shared" si="6"/>
        <v>0</v>
      </c>
      <c r="S50" s="46">
        <f t="shared" si="6"/>
        <v>1353.6000000000931</v>
      </c>
      <c r="T50" s="46">
        <f t="shared" si="6"/>
        <v>1677</v>
      </c>
      <c r="U50" s="47">
        <f t="shared" si="7"/>
        <v>1129.2999999999884</v>
      </c>
      <c r="V50" s="47">
        <f t="shared" si="7"/>
        <v>0</v>
      </c>
      <c r="W50" s="47">
        <f t="shared" si="7"/>
        <v>1726.0000000000946</v>
      </c>
      <c r="X50" s="47">
        <f t="shared" si="5"/>
        <v>2285.4999999999418</v>
      </c>
    </row>
    <row r="51" spans="1:24" ht="20" customHeight="1" x14ac:dyDescent="0.35">
      <c r="A51" s="29" t="s">
        <v>277</v>
      </c>
      <c r="B51" s="30">
        <v>419500.3</v>
      </c>
      <c r="C51" s="29" t="s">
        <v>237</v>
      </c>
      <c r="D51" s="31">
        <v>55085.599999999999</v>
      </c>
      <c r="E51" s="31">
        <v>378037.1</v>
      </c>
      <c r="F51" s="31">
        <v>253394.5</v>
      </c>
      <c r="G51" s="31">
        <v>539681.5</v>
      </c>
      <c r="H51" s="29" t="s">
        <v>237</v>
      </c>
      <c r="I51" s="31">
        <v>742831.8</v>
      </c>
      <c r="J51" s="34">
        <v>1480091</v>
      </c>
      <c r="L51" s="46">
        <f t="shared" si="6"/>
        <v>501.29999999998836</v>
      </c>
      <c r="M51" s="46">
        <f t="shared" si="6"/>
        <v>0</v>
      </c>
      <c r="N51" s="46">
        <f t="shared" si="6"/>
        <v>367</v>
      </c>
      <c r="O51" s="46">
        <f t="shared" si="6"/>
        <v>370.70000000001164</v>
      </c>
      <c r="P51" s="46">
        <f t="shared" si="6"/>
        <v>228.10000000000582</v>
      </c>
      <c r="Q51" s="46">
        <f t="shared" si="6"/>
        <v>565.59999999997672</v>
      </c>
      <c r="R51" s="46">
        <f t="shared" si="6"/>
        <v>0</v>
      </c>
      <c r="S51" s="46">
        <f t="shared" si="6"/>
        <v>1378.6999999999534</v>
      </c>
      <c r="T51" s="46">
        <f t="shared" si="6"/>
        <v>1417</v>
      </c>
      <c r="U51" s="47">
        <f t="shared" si="7"/>
        <v>1066.8999999999651</v>
      </c>
      <c r="V51" s="47">
        <f t="shared" si="7"/>
        <v>0</v>
      </c>
      <c r="W51" s="47">
        <f t="shared" si="7"/>
        <v>1745.6999999999534</v>
      </c>
      <c r="X51" s="47">
        <f t="shared" si="5"/>
        <v>2015.8000000000175</v>
      </c>
    </row>
    <row r="52" spans="1:24" ht="20" customHeight="1" x14ac:dyDescent="0.35">
      <c r="A52" s="29" t="s">
        <v>278</v>
      </c>
      <c r="B52" s="30">
        <v>420001.6</v>
      </c>
      <c r="C52" s="29" t="s">
        <v>237</v>
      </c>
      <c r="D52" s="31">
        <v>55452.6</v>
      </c>
      <c r="E52" s="31">
        <v>378407.8</v>
      </c>
      <c r="F52" s="31">
        <v>253622.6</v>
      </c>
      <c r="G52" s="31">
        <v>540247.1</v>
      </c>
      <c r="H52" s="29" t="s">
        <v>237</v>
      </c>
      <c r="I52" s="31">
        <v>744210.5</v>
      </c>
      <c r="J52" s="34">
        <v>1481508</v>
      </c>
      <c r="L52" s="46">
        <f t="shared" si="6"/>
        <v>513.40000000002328</v>
      </c>
      <c r="M52" s="46">
        <f t="shared" si="6"/>
        <v>0</v>
      </c>
      <c r="N52" s="46">
        <f t="shared" si="6"/>
        <v>365</v>
      </c>
      <c r="O52" s="46">
        <f t="shared" si="6"/>
        <v>375.70000000001164</v>
      </c>
      <c r="P52" s="46">
        <f t="shared" si="6"/>
        <v>231.19999999998254</v>
      </c>
      <c r="Q52" s="46">
        <f t="shared" si="6"/>
        <v>742.20000000006985</v>
      </c>
      <c r="R52" s="46">
        <f t="shared" si="6"/>
        <v>0</v>
      </c>
      <c r="S52" s="46">
        <f t="shared" si="6"/>
        <v>1320.8000000000466</v>
      </c>
      <c r="T52" s="46">
        <f t="shared" si="6"/>
        <v>1450</v>
      </c>
      <c r="U52" s="47">
        <f t="shared" si="7"/>
        <v>1255.6000000000931</v>
      </c>
      <c r="V52" s="47">
        <f t="shared" si="7"/>
        <v>0</v>
      </c>
      <c r="W52" s="47">
        <f t="shared" si="7"/>
        <v>1685.8000000000466</v>
      </c>
      <c r="X52" s="47">
        <f t="shared" si="5"/>
        <v>2056.8999999999942</v>
      </c>
    </row>
    <row r="53" spans="1:24" ht="20" customHeight="1" x14ac:dyDescent="0.35">
      <c r="A53" s="29" t="s">
        <v>284</v>
      </c>
      <c r="B53" s="30">
        <v>420515</v>
      </c>
      <c r="C53" s="29" t="s">
        <v>237</v>
      </c>
      <c r="D53" s="31">
        <v>55817.599999999999</v>
      </c>
      <c r="E53" s="31">
        <v>378783.5</v>
      </c>
      <c r="F53" s="31">
        <v>253853.8</v>
      </c>
      <c r="G53" s="31">
        <v>540989.30000000005</v>
      </c>
      <c r="H53" s="29" t="s">
        <v>237</v>
      </c>
      <c r="I53" s="31">
        <v>745531.3</v>
      </c>
      <c r="J53" s="34">
        <v>1482958</v>
      </c>
      <c r="L53" s="46">
        <f t="shared" si="6"/>
        <v>518.5</v>
      </c>
      <c r="M53" s="46">
        <f t="shared" si="6"/>
        <v>0</v>
      </c>
      <c r="N53" s="46">
        <f t="shared" si="6"/>
        <v>371.70000000000437</v>
      </c>
      <c r="O53" s="46">
        <f t="shared" si="6"/>
        <v>375.79999999998836</v>
      </c>
      <c r="P53" s="46">
        <f t="shared" si="6"/>
        <v>231.40000000002328</v>
      </c>
      <c r="Q53" s="46">
        <f t="shared" si="6"/>
        <v>743.89999999990687</v>
      </c>
      <c r="R53" s="46">
        <f t="shared" si="6"/>
        <v>0</v>
      </c>
      <c r="S53" s="46">
        <f t="shared" si="6"/>
        <v>1378.7999999999302</v>
      </c>
      <c r="T53" s="46">
        <f t="shared" si="6"/>
        <v>1552</v>
      </c>
      <c r="U53" s="47">
        <f t="shared" si="7"/>
        <v>1262.3999999999069</v>
      </c>
      <c r="V53" s="47">
        <f t="shared" si="7"/>
        <v>0</v>
      </c>
      <c r="W53" s="47">
        <f t="shared" si="7"/>
        <v>1750.4999999999345</v>
      </c>
      <c r="X53" s="47">
        <f t="shared" si="5"/>
        <v>2159.2000000000116</v>
      </c>
    </row>
    <row r="54" spans="1:24" ht="20" customHeight="1" x14ac:dyDescent="0.35">
      <c r="A54" s="29" t="s">
        <v>285</v>
      </c>
      <c r="B54" s="30">
        <v>421033.5</v>
      </c>
      <c r="C54" s="29">
        <v>222479.8</v>
      </c>
      <c r="D54" s="31">
        <v>56189.3</v>
      </c>
      <c r="E54" s="31">
        <v>379159.3</v>
      </c>
      <c r="F54" s="31">
        <v>254085.2</v>
      </c>
      <c r="G54" s="31">
        <v>541733.19999999995</v>
      </c>
      <c r="H54" s="29">
        <v>310633.90000000002</v>
      </c>
      <c r="I54" s="31">
        <v>746910.1</v>
      </c>
      <c r="J54" s="34">
        <v>1484510</v>
      </c>
      <c r="L54" s="46">
        <f t="shared" si="6"/>
        <v>497.70000000001164</v>
      </c>
      <c r="M54" s="46">
        <f t="shared" si="6"/>
        <v>231.20000000001164</v>
      </c>
      <c r="N54" s="46">
        <f t="shared" si="6"/>
        <v>353.39999999999418</v>
      </c>
      <c r="O54" s="46">
        <f t="shared" si="6"/>
        <v>360</v>
      </c>
      <c r="P54" s="46">
        <f t="shared" si="6"/>
        <v>215.59999999997672</v>
      </c>
      <c r="Q54" s="46">
        <f t="shared" si="6"/>
        <v>622.10000000009313</v>
      </c>
      <c r="R54" s="46">
        <f t="shared" si="6"/>
        <v>142.79999999998836</v>
      </c>
      <c r="S54" s="46">
        <f t="shared" si="6"/>
        <v>1248.9000000000233</v>
      </c>
      <c r="T54" s="46">
        <f t="shared" si="6"/>
        <v>1645</v>
      </c>
      <c r="U54" s="47">
        <f t="shared" si="7"/>
        <v>1119.8000000001048</v>
      </c>
      <c r="V54" s="47">
        <f t="shared" si="7"/>
        <v>374</v>
      </c>
      <c r="W54" s="47">
        <f t="shared" si="7"/>
        <v>1602.3000000000175</v>
      </c>
      <c r="X54" s="47">
        <f t="shared" si="5"/>
        <v>2220.5999999999767</v>
      </c>
    </row>
    <row r="55" spans="1:24" ht="20" customHeight="1" x14ac:dyDescent="0.35">
      <c r="A55" s="29" t="s">
        <v>286</v>
      </c>
      <c r="B55" s="30">
        <v>421531.2</v>
      </c>
      <c r="C55" s="29">
        <v>222711</v>
      </c>
      <c r="D55" s="31">
        <v>56542.7</v>
      </c>
      <c r="E55" s="31">
        <v>379519.3</v>
      </c>
      <c r="F55" s="31">
        <v>254300.79999999999</v>
      </c>
      <c r="G55" s="31">
        <v>542355.30000000005</v>
      </c>
      <c r="H55" s="29">
        <v>310776.7</v>
      </c>
      <c r="I55" s="31">
        <v>748159</v>
      </c>
      <c r="J55" s="34">
        <v>1486155</v>
      </c>
      <c r="L55" s="46">
        <f t="shared" si="6"/>
        <v>469.39999999996508</v>
      </c>
      <c r="M55" s="46">
        <f t="shared" si="6"/>
        <v>201.89999999999418</v>
      </c>
      <c r="N55" s="46">
        <f t="shared" si="6"/>
        <v>349.20000000000437</v>
      </c>
      <c r="O55" s="46">
        <f t="shared" si="6"/>
        <v>283.29999999998836</v>
      </c>
      <c r="P55" s="46">
        <f t="shared" si="6"/>
        <v>216.40000000002328</v>
      </c>
      <c r="Q55" s="46">
        <f t="shared" si="6"/>
        <v>401.09999999997672</v>
      </c>
      <c r="R55" s="46">
        <f t="shared" si="6"/>
        <v>214.79999999998836</v>
      </c>
      <c r="S55" s="46">
        <f t="shared" si="6"/>
        <v>874.5</v>
      </c>
      <c r="T55" s="46">
        <f t="shared" si="6"/>
        <v>1554</v>
      </c>
      <c r="U55" s="47">
        <f t="shared" si="7"/>
        <v>870.49999999994179</v>
      </c>
      <c r="V55" s="47">
        <f t="shared" si="7"/>
        <v>416.69999999998254</v>
      </c>
      <c r="W55" s="47">
        <f t="shared" si="7"/>
        <v>1223.7000000000044</v>
      </c>
      <c r="X55" s="47">
        <f t="shared" si="5"/>
        <v>2053.7000000000116</v>
      </c>
    </row>
    <row r="56" spans="1:24" ht="20" customHeight="1" x14ac:dyDescent="0.35">
      <c r="A56" s="29" t="s">
        <v>287</v>
      </c>
      <c r="B56" s="30">
        <v>422000.6</v>
      </c>
      <c r="C56" s="29">
        <v>222912.9</v>
      </c>
      <c r="D56" s="31">
        <v>56891.9</v>
      </c>
      <c r="E56" s="31">
        <v>379802.6</v>
      </c>
      <c r="F56" s="31">
        <v>254517.2</v>
      </c>
      <c r="G56" s="31">
        <v>542756.4</v>
      </c>
      <c r="H56" s="29">
        <v>310991.5</v>
      </c>
      <c r="I56" s="31">
        <v>749033.5</v>
      </c>
      <c r="J56" s="34">
        <v>1487709</v>
      </c>
      <c r="L56" s="46">
        <f t="shared" si="6"/>
        <v>367.30000000004657</v>
      </c>
      <c r="M56" s="46">
        <f t="shared" si="6"/>
        <v>165.5</v>
      </c>
      <c r="N56" s="46">
        <f t="shared" si="6"/>
        <v>353.79999999999563</v>
      </c>
      <c r="O56" s="46">
        <f t="shared" si="6"/>
        <v>376.10000000003492</v>
      </c>
      <c r="P56" s="46">
        <f t="shared" si="6"/>
        <v>249.89999999999418</v>
      </c>
      <c r="Q56" s="46">
        <f t="shared" si="6"/>
        <v>471.09999999997672</v>
      </c>
      <c r="R56" s="46">
        <f t="shared" si="6"/>
        <v>281.40000000002328</v>
      </c>
      <c r="S56" s="46">
        <f t="shared" si="6"/>
        <v>1087.5999999999767</v>
      </c>
      <c r="T56" s="46">
        <f t="shared" si="6"/>
        <v>1584</v>
      </c>
      <c r="U56" s="47">
        <f t="shared" si="7"/>
        <v>838.40000000002328</v>
      </c>
      <c r="V56" s="47">
        <f t="shared" si="7"/>
        <v>446.90000000002328</v>
      </c>
      <c r="W56" s="47">
        <f t="shared" si="7"/>
        <v>1441.3999999999724</v>
      </c>
      <c r="X56" s="47">
        <f t="shared" si="5"/>
        <v>2210.0000000000291</v>
      </c>
    </row>
    <row r="57" spans="1:24" ht="20" customHeight="1" x14ac:dyDescent="0.35">
      <c r="A57" s="29" t="s">
        <v>288</v>
      </c>
      <c r="B57" s="30">
        <v>422367.9</v>
      </c>
      <c r="C57" s="31">
        <v>223078.39999999999</v>
      </c>
      <c r="D57" s="31">
        <v>57245.7</v>
      </c>
      <c r="E57" s="31">
        <v>380178.7</v>
      </c>
      <c r="F57" s="31">
        <v>254767.1</v>
      </c>
      <c r="G57" s="31">
        <v>543227.5</v>
      </c>
      <c r="H57" s="31">
        <v>311272.90000000002</v>
      </c>
      <c r="I57" s="31">
        <v>750121.1</v>
      </c>
      <c r="J57" s="34">
        <v>1489293</v>
      </c>
      <c r="L57" s="46">
        <f t="shared" si="6"/>
        <v>63</v>
      </c>
      <c r="M57" s="46">
        <f t="shared" si="6"/>
        <v>250.20000000001164</v>
      </c>
      <c r="N57" s="46">
        <f t="shared" si="6"/>
        <v>359.80000000000291</v>
      </c>
      <c r="O57" s="46">
        <f t="shared" si="6"/>
        <v>444.39999999996508</v>
      </c>
      <c r="P57" s="46">
        <f t="shared" si="6"/>
        <v>303.10000000000582</v>
      </c>
      <c r="Q57" s="46">
        <f t="shared" si="6"/>
        <v>49.300000000046566</v>
      </c>
      <c r="R57" s="46">
        <f t="shared" si="6"/>
        <v>391.19999999995343</v>
      </c>
      <c r="S57" s="46">
        <f t="shared" si="6"/>
        <v>1165.5</v>
      </c>
      <c r="T57" s="46">
        <f t="shared" si="6"/>
        <v>1665</v>
      </c>
      <c r="U57" s="47">
        <f t="shared" si="7"/>
        <v>112.30000000004657</v>
      </c>
      <c r="V57" s="47">
        <f t="shared" si="7"/>
        <v>641.39999999996508</v>
      </c>
      <c r="W57" s="47">
        <f t="shared" si="7"/>
        <v>1525.3000000000029</v>
      </c>
      <c r="X57" s="47">
        <f t="shared" si="5"/>
        <v>2412.4999999999709</v>
      </c>
    </row>
    <row r="58" spans="1:24" ht="20" customHeight="1" x14ac:dyDescent="0.35">
      <c r="A58" s="29" t="s">
        <v>289</v>
      </c>
      <c r="B58" s="30">
        <v>422430.9</v>
      </c>
      <c r="C58" s="31">
        <v>223328.6</v>
      </c>
      <c r="D58" s="31">
        <v>57605.5</v>
      </c>
      <c r="E58" s="31">
        <v>380623.1</v>
      </c>
      <c r="F58" s="31">
        <v>255070.2</v>
      </c>
      <c r="G58" s="31">
        <v>543276.80000000005</v>
      </c>
      <c r="H58" s="31">
        <v>311664.09999999998</v>
      </c>
      <c r="I58" s="31">
        <v>751286.6</v>
      </c>
      <c r="J58" s="34">
        <v>1490958</v>
      </c>
      <c r="L58" s="46">
        <f t="shared" si="6"/>
        <v>7.7999999999883585</v>
      </c>
      <c r="M58" s="46">
        <f t="shared" si="6"/>
        <v>429.19999999998254</v>
      </c>
      <c r="N58" s="46">
        <f t="shared" si="6"/>
        <v>376.5</v>
      </c>
      <c r="O58" s="46">
        <f t="shared" si="6"/>
        <v>390.70000000001164</v>
      </c>
      <c r="P58" s="46">
        <f t="shared" si="6"/>
        <v>257.19999999998254</v>
      </c>
      <c r="Q58" s="46">
        <f t="shared" si="6"/>
        <v>15.699999999953434</v>
      </c>
      <c r="R58" s="46">
        <f t="shared" si="6"/>
        <v>819.80000000004657</v>
      </c>
      <c r="S58" s="46">
        <f t="shared" si="6"/>
        <v>1243.0999999999767</v>
      </c>
      <c r="T58" s="46">
        <f t="shared" si="6"/>
        <v>1770</v>
      </c>
      <c r="U58" s="47">
        <f t="shared" si="7"/>
        <v>23.499999999941792</v>
      </c>
      <c r="V58" s="47">
        <f t="shared" si="7"/>
        <v>1249.0000000000291</v>
      </c>
      <c r="W58" s="47">
        <f t="shared" si="7"/>
        <v>1619.5999999999767</v>
      </c>
      <c r="X58" s="47">
        <f t="shared" si="5"/>
        <v>2417.8999999999942</v>
      </c>
    </row>
    <row r="59" spans="1:24" ht="20" customHeight="1" x14ac:dyDescent="0.35">
      <c r="A59" s="29" t="s">
        <v>290</v>
      </c>
      <c r="B59" s="30">
        <v>422438.7</v>
      </c>
      <c r="C59" s="31">
        <v>223757.8</v>
      </c>
      <c r="D59" s="31">
        <v>57982</v>
      </c>
      <c r="E59" s="31">
        <v>381013.8</v>
      </c>
      <c r="F59" s="31">
        <v>255327.4</v>
      </c>
      <c r="G59" s="31">
        <v>543292.5</v>
      </c>
      <c r="H59" s="31">
        <v>312483.90000000002</v>
      </c>
      <c r="I59" s="31">
        <v>752529.7</v>
      </c>
      <c r="J59" s="34">
        <v>1492728</v>
      </c>
      <c r="L59" s="46">
        <f t="shared" si="6"/>
        <v>153</v>
      </c>
      <c r="M59" s="46">
        <f t="shared" si="6"/>
        <v>443.30000000001746</v>
      </c>
      <c r="N59" s="46">
        <f t="shared" si="6"/>
        <v>383.69999999999709</v>
      </c>
      <c r="O59" s="46">
        <f t="shared" si="6"/>
        <v>373.60000000003492</v>
      </c>
      <c r="P59" s="46">
        <f t="shared" si="6"/>
        <v>240.5</v>
      </c>
      <c r="Q59" s="46">
        <f t="shared" si="6"/>
        <v>214.90000000002328</v>
      </c>
      <c r="R59" s="46">
        <f t="shared" si="6"/>
        <v>1027</v>
      </c>
      <c r="S59" s="46">
        <f t="shared" si="6"/>
        <v>1338</v>
      </c>
      <c r="T59" s="46">
        <f t="shared" si="6"/>
        <v>1698</v>
      </c>
      <c r="U59" s="47">
        <f t="shared" si="7"/>
        <v>367.90000000002328</v>
      </c>
      <c r="V59" s="47">
        <f t="shared" si="7"/>
        <v>1470.3000000000175</v>
      </c>
      <c r="W59" s="47">
        <f t="shared" si="7"/>
        <v>1721.6999999999971</v>
      </c>
      <c r="X59" s="47">
        <f t="shared" si="5"/>
        <v>2312.1000000000349</v>
      </c>
    </row>
    <row r="60" spans="1:24" ht="20" customHeight="1" x14ac:dyDescent="0.35">
      <c r="A60" s="29" t="s">
        <v>295</v>
      </c>
      <c r="B60" s="30">
        <v>422591.7</v>
      </c>
      <c r="C60" s="31">
        <v>224201.1</v>
      </c>
      <c r="D60" s="31">
        <v>58365.7</v>
      </c>
      <c r="E60" s="31">
        <v>381387.4</v>
      </c>
      <c r="F60" s="31">
        <v>255567.9</v>
      </c>
      <c r="G60" s="31">
        <v>543507.4</v>
      </c>
      <c r="H60" s="31">
        <v>313510.90000000002</v>
      </c>
      <c r="I60" s="31">
        <v>753867.7</v>
      </c>
      <c r="J60" s="34">
        <v>1494426</v>
      </c>
      <c r="L60" s="46">
        <f t="shared" si="6"/>
        <v>191.89999999996508</v>
      </c>
      <c r="M60" s="46">
        <f t="shared" si="6"/>
        <v>441.39999999999418</v>
      </c>
      <c r="N60" s="46">
        <f t="shared" si="6"/>
        <v>384.10000000000582</v>
      </c>
      <c r="O60" s="46">
        <f t="shared" si="6"/>
        <v>395.5</v>
      </c>
      <c r="P60" s="46">
        <f t="shared" si="6"/>
        <v>230</v>
      </c>
      <c r="Q60" s="46">
        <f t="shared" si="6"/>
        <v>1.2999999999301508</v>
      </c>
      <c r="R60" s="46">
        <f t="shared" si="6"/>
        <v>984.69999999995343</v>
      </c>
      <c r="S60" s="46">
        <f t="shared" si="6"/>
        <v>1262.3000000000466</v>
      </c>
      <c r="T60" s="46">
        <f t="shared" si="6"/>
        <v>1737</v>
      </c>
      <c r="U60" s="47">
        <f t="shared" si="7"/>
        <v>193.19999999989523</v>
      </c>
      <c r="V60" s="47">
        <f t="shared" si="7"/>
        <v>1426.0999999999476</v>
      </c>
      <c r="W60" s="47">
        <f t="shared" si="7"/>
        <v>1646.4000000000524</v>
      </c>
      <c r="X60" s="47">
        <f t="shared" si="5"/>
        <v>2362.5</v>
      </c>
    </row>
    <row r="61" spans="1:24" ht="20" customHeight="1" x14ac:dyDescent="0.35">
      <c r="A61" s="29" t="s">
        <v>296</v>
      </c>
      <c r="B61" s="30">
        <v>422783.6</v>
      </c>
      <c r="C61" s="31">
        <v>224642.5</v>
      </c>
      <c r="D61" s="31">
        <v>58749.8</v>
      </c>
      <c r="E61" s="31">
        <v>381782.9</v>
      </c>
      <c r="F61" s="31">
        <v>255797.9</v>
      </c>
      <c r="G61" s="31">
        <v>543508.69999999995</v>
      </c>
      <c r="H61" s="31">
        <v>314495.59999999998</v>
      </c>
      <c r="I61" s="31">
        <v>755130</v>
      </c>
      <c r="J61" s="34">
        <v>1496163</v>
      </c>
      <c r="L61" s="46">
        <f t="shared" si="6"/>
        <v>156.90000000002328</v>
      </c>
      <c r="M61" s="46">
        <f t="shared" si="6"/>
        <v>434.79999999998836</v>
      </c>
      <c r="N61" s="46">
        <f t="shared" si="6"/>
        <v>370.69999999999709</v>
      </c>
      <c r="O61" s="46">
        <f t="shared" si="6"/>
        <v>384.69999999995343</v>
      </c>
      <c r="P61" s="46">
        <f t="shared" si="6"/>
        <v>277.20000000001164</v>
      </c>
      <c r="Q61" s="46">
        <f t="shared" si="6"/>
        <v>1.4000000000232831</v>
      </c>
      <c r="R61" s="46">
        <f t="shared" si="6"/>
        <v>706.30000000004657</v>
      </c>
      <c r="S61" s="46">
        <f t="shared" si="6"/>
        <v>819.69999999995343</v>
      </c>
      <c r="T61" s="46">
        <f t="shared" si="6"/>
        <v>1885</v>
      </c>
      <c r="U61" s="47">
        <f t="shared" si="7"/>
        <v>158.30000000004657</v>
      </c>
      <c r="V61" s="47">
        <f t="shared" si="7"/>
        <v>1141.1000000000349</v>
      </c>
      <c r="W61" s="47">
        <f t="shared" si="7"/>
        <v>1190.3999999999505</v>
      </c>
      <c r="X61" s="47">
        <f t="shared" si="5"/>
        <v>2546.8999999999651</v>
      </c>
    </row>
    <row r="62" spans="1:24" ht="20" customHeight="1" x14ac:dyDescent="0.35">
      <c r="A62" s="29" t="s">
        <v>297</v>
      </c>
      <c r="B62" s="30">
        <v>422940.5</v>
      </c>
      <c r="C62" s="31">
        <v>225077.3</v>
      </c>
      <c r="D62" s="31">
        <v>59120.5</v>
      </c>
      <c r="E62" s="31">
        <v>382167.6</v>
      </c>
      <c r="F62" s="31">
        <v>256075.1</v>
      </c>
      <c r="G62" s="31">
        <v>543510.1</v>
      </c>
      <c r="H62" s="31">
        <v>315201.90000000002</v>
      </c>
      <c r="I62" s="31">
        <v>755949.7</v>
      </c>
      <c r="J62" s="34">
        <v>1498048</v>
      </c>
      <c r="L62" s="46">
        <f t="shared" si="6"/>
        <v>0</v>
      </c>
      <c r="M62" s="46">
        <f t="shared" si="6"/>
        <v>435.20000000001164</v>
      </c>
      <c r="N62" s="46">
        <f t="shared" si="6"/>
        <v>339.80000000000291</v>
      </c>
      <c r="O62" s="46">
        <f t="shared" si="6"/>
        <v>358.90000000002328</v>
      </c>
      <c r="P62" s="46">
        <f t="shared" si="6"/>
        <v>219.60000000000582</v>
      </c>
      <c r="Q62" s="46">
        <f t="shared" si="6"/>
        <v>0</v>
      </c>
      <c r="R62" s="46">
        <f t="shared" si="6"/>
        <v>628.09999999997672</v>
      </c>
      <c r="S62" s="46">
        <f t="shared" si="6"/>
        <v>886.90000000002328</v>
      </c>
      <c r="T62" s="46">
        <f t="shared" si="6"/>
        <v>1578</v>
      </c>
      <c r="U62" s="47">
        <f t="shared" si="7"/>
        <v>0</v>
      </c>
      <c r="V62" s="47">
        <f t="shared" si="7"/>
        <v>1063.2999999999884</v>
      </c>
      <c r="W62" s="47">
        <f t="shared" si="7"/>
        <v>1226.7000000000262</v>
      </c>
      <c r="X62" s="47">
        <f t="shared" si="5"/>
        <v>2156.5000000000291</v>
      </c>
    </row>
    <row r="63" spans="1:24" ht="16.75" customHeight="1" x14ac:dyDescent="0.35">
      <c r="A63" s="29" t="s">
        <v>298</v>
      </c>
      <c r="B63" s="30">
        <v>422940.5</v>
      </c>
      <c r="C63" s="31">
        <v>225512.5</v>
      </c>
      <c r="D63" s="31">
        <v>59460.3</v>
      </c>
      <c r="E63" s="31">
        <v>382526.5</v>
      </c>
      <c r="F63" s="31">
        <v>256294.7</v>
      </c>
      <c r="G63" s="31">
        <v>543510.1</v>
      </c>
      <c r="H63" s="31">
        <v>315830</v>
      </c>
      <c r="I63" s="31">
        <v>756836.6</v>
      </c>
      <c r="J63" s="34">
        <v>1499626</v>
      </c>
      <c r="L63" s="46">
        <f t="shared" si="6"/>
        <v>0</v>
      </c>
      <c r="M63" s="46">
        <f t="shared" si="6"/>
        <v>493</v>
      </c>
      <c r="N63" s="46">
        <f t="shared" si="6"/>
        <v>382.69999999999709</v>
      </c>
      <c r="O63" s="46">
        <f t="shared" si="6"/>
        <v>377.90000000002328</v>
      </c>
      <c r="P63" s="46">
        <f t="shared" si="6"/>
        <v>230.79999999998836</v>
      </c>
      <c r="Q63" s="46">
        <f t="shared" si="6"/>
        <v>2.7000000000698492</v>
      </c>
      <c r="R63" s="46">
        <f t="shared" si="6"/>
        <v>943.20000000001164</v>
      </c>
      <c r="S63" s="46">
        <f t="shared" si="6"/>
        <v>1369.8000000000466</v>
      </c>
      <c r="T63" s="46">
        <f t="shared" si="6"/>
        <v>1211</v>
      </c>
      <c r="U63" s="47">
        <f t="shared" si="7"/>
        <v>2.7000000000698492</v>
      </c>
      <c r="V63" s="47">
        <f t="shared" si="7"/>
        <v>1436.2000000000116</v>
      </c>
      <c r="W63" s="47">
        <f t="shared" si="7"/>
        <v>1752.5000000000437</v>
      </c>
      <c r="X63" s="47">
        <f t="shared" si="5"/>
        <v>1819.7000000000116</v>
      </c>
    </row>
    <row r="64" spans="1:24" ht="20" customHeight="1" x14ac:dyDescent="0.35">
      <c r="A64" s="29" t="s">
        <v>299</v>
      </c>
      <c r="B64" s="30">
        <v>422940.5</v>
      </c>
      <c r="C64" s="31">
        <v>226005.5</v>
      </c>
      <c r="D64" s="31">
        <v>59843</v>
      </c>
      <c r="E64" s="31">
        <v>382904.4</v>
      </c>
      <c r="F64" s="31">
        <v>256525.5</v>
      </c>
      <c r="G64" s="31">
        <v>543512.80000000005</v>
      </c>
      <c r="H64" s="31">
        <v>316773.2</v>
      </c>
      <c r="I64" s="31">
        <v>758206.4</v>
      </c>
      <c r="J64" s="34">
        <v>1500837</v>
      </c>
      <c r="L64" s="46">
        <f t="shared" si="6"/>
        <v>0</v>
      </c>
      <c r="M64" s="46">
        <f t="shared" si="6"/>
        <v>479.29999999998836</v>
      </c>
      <c r="N64" s="46">
        <f t="shared" si="6"/>
        <v>392.80000000000291</v>
      </c>
      <c r="O64" s="46">
        <f t="shared" si="6"/>
        <v>377.69999999995343</v>
      </c>
      <c r="P64" s="46">
        <f t="shared" si="6"/>
        <v>231.29999999998836</v>
      </c>
      <c r="Q64" s="46">
        <f t="shared" si="6"/>
        <v>2.7999999999301508</v>
      </c>
      <c r="R64" s="46">
        <f t="shared" si="6"/>
        <v>841.29999999998836</v>
      </c>
      <c r="S64" s="46">
        <f t="shared" si="6"/>
        <v>1488.1999999999534</v>
      </c>
      <c r="T64" s="46">
        <f t="shared" si="6"/>
        <v>1514</v>
      </c>
      <c r="U64" s="47">
        <f t="shared" si="7"/>
        <v>2.7999999999301508</v>
      </c>
      <c r="V64" s="47">
        <f t="shared" si="7"/>
        <v>1320.5999999999767</v>
      </c>
      <c r="W64" s="47">
        <f t="shared" si="7"/>
        <v>1880.9999999999563</v>
      </c>
      <c r="X64" s="47">
        <f t="shared" si="5"/>
        <v>2122.9999999999418</v>
      </c>
    </row>
    <row r="65" spans="1:24" ht="20" customHeight="1" x14ac:dyDescent="0.35">
      <c r="A65" s="29" t="s">
        <v>300</v>
      </c>
      <c r="B65" s="30">
        <v>422940.5</v>
      </c>
      <c r="C65" s="31">
        <v>226484.8</v>
      </c>
      <c r="D65" s="31">
        <v>60235.8</v>
      </c>
      <c r="E65" s="31">
        <v>383282.1</v>
      </c>
      <c r="F65" s="31">
        <v>256756.8</v>
      </c>
      <c r="G65" s="31">
        <v>543515.6</v>
      </c>
      <c r="H65" s="31">
        <v>317614.5</v>
      </c>
      <c r="I65" s="31">
        <v>759694.6</v>
      </c>
      <c r="J65" s="34">
        <v>1502351</v>
      </c>
      <c r="L65" s="46">
        <f t="shared" si="6"/>
        <v>0</v>
      </c>
      <c r="M65" s="46">
        <f t="shared" si="6"/>
        <v>474.10000000000582</v>
      </c>
      <c r="N65" s="46">
        <f t="shared" si="6"/>
        <v>396.5</v>
      </c>
      <c r="O65" s="46">
        <f t="shared" si="6"/>
        <v>378.20000000001164</v>
      </c>
      <c r="P65" s="46">
        <f t="shared" si="6"/>
        <v>231.70000000001164</v>
      </c>
      <c r="Q65" s="46">
        <f t="shared" si="6"/>
        <v>1.4000000000232831</v>
      </c>
      <c r="R65" s="46">
        <f t="shared" si="6"/>
        <v>762.70000000001164</v>
      </c>
      <c r="S65" s="46">
        <f t="shared" si="6"/>
        <v>1309</v>
      </c>
      <c r="T65" s="46">
        <f t="shared" si="6"/>
        <v>1515</v>
      </c>
      <c r="U65" s="47">
        <f t="shared" si="7"/>
        <v>1.4000000000232831</v>
      </c>
      <c r="V65" s="47">
        <f t="shared" si="7"/>
        <v>1236.8000000000175</v>
      </c>
      <c r="W65" s="47">
        <f t="shared" si="7"/>
        <v>1705.5</v>
      </c>
      <c r="X65" s="47">
        <f t="shared" si="5"/>
        <v>2124.9000000000233</v>
      </c>
    </row>
    <row r="66" spans="1:24" ht="20" customHeight="1" x14ac:dyDescent="0.35">
      <c r="A66" s="29" t="s">
        <v>301</v>
      </c>
      <c r="B66" s="30">
        <v>422940.5</v>
      </c>
      <c r="C66" s="31">
        <v>226958.9</v>
      </c>
      <c r="D66" s="31">
        <v>60632.3</v>
      </c>
      <c r="E66" s="31">
        <v>383660.3</v>
      </c>
      <c r="F66" s="31">
        <v>256988.5</v>
      </c>
      <c r="G66" s="31">
        <v>543517</v>
      </c>
      <c r="H66" s="31">
        <v>318377.2</v>
      </c>
      <c r="I66" s="31">
        <v>761003.6</v>
      </c>
      <c r="J66" s="34">
        <v>1503866</v>
      </c>
      <c r="L66" s="46">
        <f t="shared" si="6"/>
        <v>0</v>
      </c>
      <c r="M66" s="46">
        <f t="shared" si="6"/>
        <v>340.70000000001164</v>
      </c>
      <c r="N66" s="46">
        <f t="shared" si="6"/>
        <v>383.79999999999563</v>
      </c>
      <c r="O66" s="46">
        <f t="shared" si="6"/>
        <v>377.5</v>
      </c>
      <c r="P66" s="46">
        <f t="shared" si="6"/>
        <v>231.70000000001164</v>
      </c>
      <c r="Q66" s="46">
        <f t="shared" si="6"/>
        <v>1.3000000000465661</v>
      </c>
      <c r="R66" s="46">
        <f t="shared" si="6"/>
        <v>363.59999999997672</v>
      </c>
      <c r="S66" s="46">
        <f t="shared" si="6"/>
        <v>1435.5</v>
      </c>
      <c r="T66" s="46">
        <f t="shared" si="6"/>
        <v>1495</v>
      </c>
      <c r="U66" s="47">
        <f t="shared" si="7"/>
        <v>1.3000000000465661</v>
      </c>
      <c r="V66" s="47">
        <f t="shared" si="7"/>
        <v>704.29999999998836</v>
      </c>
      <c r="W66" s="47">
        <f t="shared" si="7"/>
        <v>1819.2999999999956</v>
      </c>
      <c r="X66" s="47">
        <f t="shared" si="5"/>
        <v>2104.2000000000116</v>
      </c>
    </row>
    <row r="67" spans="1:24" ht="20" customHeight="1" x14ac:dyDescent="0.35">
      <c r="A67" s="29" t="s">
        <v>302</v>
      </c>
      <c r="B67" s="30">
        <v>422940.5</v>
      </c>
      <c r="C67" s="31">
        <v>227299.6</v>
      </c>
      <c r="D67" s="31">
        <v>61016.1</v>
      </c>
      <c r="E67" s="31">
        <v>384037.8</v>
      </c>
      <c r="F67" s="31">
        <v>257220.2</v>
      </c>
      <c r="G67" s="31">
        <v>543518.30000000005</v>
      </c>
      <c r="H67" s="31">
        <v>318740.8</v>
      </c>
      <c r="I67" s="31">
        <v>762439.1</v>
      </c>
      <c r="J67" s="34">
        <v>1505361</v>
      </c>
      <c r="L67" s="46">
        <f t="shared" si="6"/>
        <v>0</v>
      </c>
      <c r="M67" s="46">
        <f t="shared" si="6"/>
        <v>164.5</v>
      </c>
      <c r="N67" s="46">
        <f t="shared" si="6"/>
        <v>387.90000000000146</v>
      </c>
      <c r="O67" s="46">
        <f t="shared" si="6"/>
        <v>378.70000000001164</v>
      </c>
      <c r="P67" s="46">
        <f t="shared" si="6"/>
        <v>232.5</v>
      </c>
      <c r="Q67" s="46">
        <f t="shared" si="6"/>
        <v>4.7999999999301508</v>
      </c>
      <c r="R67" s="46">
        <f t="shared" si="6"/>
        <v>136.40000000002328</v>
      </c>
      <c r="S67" s="46">
        <f t="shared" si="6"/>
        <v>1463.8000000000466</v>
      </c>
      <c r="T67" s="46">
        <f t="shared" si="6"/>
        <v>1518</v>
      </c>
      <c r="U67" s="47">
        <f t="shared" si="7"/>
        <v>4.7999999999301508</v>
      </c>
      <c r="V67" s="47">
        <f t="shared" si="7"/>
        <v>300.90000000002328</v>
      </c>
      <c r="W67" s="47">
        <f t="shared" si="7"/>
        <v>1851.700000000048</v>
      </c>
      <c r="X67" s="47">
        <f t="shared" si="5"/>
        <v>2129.2000000000116</v>
      </c>
    </row>
    <row r="68" spans="1:24" ht="20" customHeight="1" x14ac:dyDescent="0.35">
      <c r="A68" s="29" t="s">
        <v>303</v>
      </c>
      <c r="B68" s="30">
        <v>422940.5</v>
      </c>
      <c r="C68" s="31">
        <v>227464.1</v>
      </c>
      <c r="D68" s="31">
        <v>61404</v>
      </c>
      <c r="E68" s="31">
        <v>384416.5</v>
      </c>
      <c r="F68" s="31">
        <v>257452.7</v>
      </c>
      <c r="G68" s="31">
        <v>543523.1</v>
      </c>
      <c r="H68" s="31">
        <v>318877.2</v>
      </c>
      <c r="I68" s="31">
        <v>763902.9</v>
      </c>
      <c r="J68" s="34">
        <v>1506879</v>
      </c>
      <c r="L68" s="46">
        <f t="shared" si="6"/>
        <v>0</v>
      </c>
      <c r="M68" s="46">
        <f t="shared" si="6"/>
        <v>433.10000000000582</v>
      </c>
      <c r="N68" s="46">
        <f t="shared" si="6"/>
        <v>381.30000000000291</v>
      </c>
      <c r="O68" s="46">
        <f t="shared" si="6"/>
        <v>378.5</v>
      </c>
      <c r="P68" s="46">
        <f t="shared" si="6"/>
        <v>232.19999999998254</v>
      </c>
      <c r="Q68" s="46">
        <f t="shared" si="6"/>
        <v>1.4000000000232831</v>
      </c>
      <c r="R68" s="46">
        <f t="shared" si="6"/>
        <v>916.79999999998836</v>
      </c>
      <c r="S68" s="46">
        <f t="shared" si="6"/>
        <v>1110.4000000000233</v>
      </c>
      <c r="T68" s="46">
        <f t="shared" si="6"/>
        <v>1509</v>
      </c>
      <c r="U68" s="47">
        <f t="shared" si="7"/>
        <v>1.4000000000232831</v>
      </c>
      <c r="V68" s="47">
        <f t="shared" si="7"/>
        <v>1349.8999999999942</v>
      </c>
      <c r="W68" s="47">
        <f t="shared" si="7"/>
        <v>1491.7000000000262</v>
      </c>
      <c r="X68" s="47">
        <f t="shared" si="5"/>
        <v>2119.6999999999825</v>
      </c>
    </row>
    <row r="69" spans="1:24" ht="20" customHeight="1" x14ac:dyDescent="0.35">
      <c r="A69" s="29" t="s">
        <v>304</v>
      </c>
      <c r="B69" s="30">
        <v>422940.5</v>
      </c>
      <c r="C69" s="31">
        <v>227897.2</v>
      </c>
      <c r="D69" s="29">
        <v>61785.3</v>
      </c>
      <c r="E69" s="31">
        <v>384795</v>
      </c>
      <c r="F69" s="31">
        <v>257684.9</v>
      </c>
      <c r="G69" s="31">
        <v>543524.5</v>
      </c>
      <c r="H69" s="31">
        <v>319794</v>
      </c>
      <c r="I69" s="29">
        <v>765013.3</v>
      </c>
      <c r="J69" s="34">
        <v>1508388</v>
      </c>
      <c r="L69" s="46">
        <f t="shared" si="6"/>
        <v>0</v>
      </c>
      <c r="M69" s="46">
        <f t="shared" si="6"/>
        <v>457.79999999998836</v>
      </c>
      <c r="N69" s="46">
        <f t="shared" si="6"/>
        <v>299.19999999999709</v>
      </c>
      <c r="O69" s="46">
        <f t="shared" si="6"/>
        <v>379.5</v>
      </c>
      <c r="P69" s="46">
        <f t="shared" si="6"/>
        <v>232.5</v>
      </c>
      <c r="Q69" s="46">
        <f t="shared" si="6"/>
        <v>2.6999999999534339</v>
      </c>
      <c r="R69" s="46">
        <f t="shared" si="6"/>
        <v>603.40000000002328</v>
      </c>
      <c r="S69" s="46">
        <f t="shared" si="6"/>
        <v>691.69999999995343</v>
      </c>
      <c r="T69" s="46">
        <f t="shared" si="6"/>
        <v>1501</v>
      </c>
      <c r="U69" s="47">
        <f t="shared" si="7"/>
        <v>2.6999999999534339</v>
      </c>
      <c r="V69" s="47">
        <f t="shared" si="7"/>
        <v>1061.2000000000116</v>
      </c>
      <c r="W69" s="47">
        <f t="shared" si="7"/>
        <v>990.89999999995052</v>
      </c>
      <c r="X69" s="47">
        <f t="shared" si="5"/>
        <v>2113</v>
      </c>
    </row>
    <row r="70" spans="1:24" ht="20" customHeight="1" x14ac:dyDescent="0.35">
      <c r="A70" s="29" t="s">
        <v>305</v>
      </c>
      <c r="B70" s="30">
        <v>422940.5</v>
      </c>
      <c r="C70" s="31">
        <v>228355</v>
      </c>
      <c r="D70" s="29">
        <v>62084.5</v>
      </c>
      <c r="E70" s="31">
        <v>385174.5</v>
      </c>
      <c r="F70" s="31">
        <v>257917.4</v>
      </c>
      <c r="G70" s="31">
        <v>543527.19999999995</v>
      </c>
      <c r="H70" s="31">
        <v>320397.40000000002</v>
      </c>
      <c r="I70" s="29">
        <v>765705</v>
      </c>
      <c r="J70" s="34">
        <v>1509889</v>
      </c>
      <c r="L70" s="46">
        <f t="shared" si="6"/>
        <v>-422940.5</v>
      </c>
      <c r="M70" s="46">
        <f t="shared" si="6"/>
        <v>-228355</v>
      </c>
      <c r="N70" s="46">
        <f t="shared" si="6"/>
        <v>-62084.5</v>
      </c>
      <c r="O70" s="46">
        <f t="shared" si="6"/>
        <v>-385174.5</v>
      </c>
      <c r="P70" s="46">
        <f t="shared" si="6"/>
        <v>-257917.4</v>
      </c>
      <c r="Q70" s="46">
        <f t="shared" si="6"/>
        <v>-543527.19999999995</v>
      </c>
      <c r="R70" s="46">
        <f t="shared" si="6"/>
        <v>-320397.40000000002</v>
      </c>
      <c r="S70" s="46">
        <f t="shared" si="6"/>
        <v>-765705</v>
      </c>
      <c r="T70" s="46">
        <f t="shared" si="6"/>
        <v>-1509889</v>
      </c>
      <c r="U70" s="47">
        <f t="shared" si="7"/>
        <v>-966467.7</v>
      </c>
      <c r="V70" s="47">
        <f t="shared" si="7"/>
        <v>-548752.4</v>
      </c>
      <c r="W70" s="47">
        <f t="shared" si="7"/>
        <v>-827789.5</v>
      </c>
      <c r="X70" s="47">
        <f t="shared" si="5"/>
        <v>-2152980.9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6"/>
        <v>0</v>
      </c>
      <c r="M71" s="46">
        <f t="shared" si="6"/>
        <v>0</v>
      </c>
      <c r="N71" s="46">
        <f t="shared" si="6"/>
        <v>0</v>
      </c>
      <c r="O71" s="46">
        <f t="shared" si="6"/>
        <v>0</v>
      </c>
      <c r="P71" s="46">
        <f t="shared" si="6"/>
        <v>0</v>
      </c>
      <c r="Q71" s="46">
        <f t="shared" si="6"/>
        <v>0</v>
      </c>
      <c r="R71" s="46">
        <f t="shared" si="6"/>
        <v>0</v>
      </c>
      <c r="S71" s="46">
        <f t="shared" si="6"/>
        <v>0</v>
      </c>
      <c r="T71" s="46">
        <f t="shared" si="6"/>
        <v>0</v>
      </c>
      <c r="U71" s="47">
        <f t="shared" si="7"/>
        <v>0</v>
      </c>
      <c r="V71" s="47">
        <f t="shared" si="7"/>
        <v>0</v>
      </c>
      <c r="W71" s="47">
        <f t="shared" si="7"/>
        <v>0</v>
      </c>
      <c r="X71" s="47">
        <f t="shared" si="5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6"/>
        <v>0</v>
      </c>
      <c r="M72" s="46">
        <f t="shared" si="6"/>
        <v>0</v>
      </c>
      <c r="N72" s="46">
        <f t="shared" si="6"/>
        <v>0</v>
      </c>
      <c r="O72" s="46">
        <f t="shared" si="6"/>
        <v>0</v>
      </c>
      <c r="P72" s="46">
        <f t="shared" si="6"/>
        <v>0</v>
      </c>
      <c r="Q72" s="46">
        <f t="shared" si="6"/>
        <v>0</v>
      </c>
      <c r="R72" s="46">
        <f t="shared" si="6"/>
        <v>0</v>
      </c>
      <c r="S72" s="46">
        <f t="shared" si="6"/>
        <v>0</v>
      </c>
      <c r="T72" s="46">
        <f t="shared" si="6"/>
        <v>0</v>
      </c>
      <c r="U72" s="47">
        <f t="shared" si="7"/>
        <v>0</v>
      </c>
      <c r="V72" s="47">
        <f t="shared" si="7"/>
        <v>0</v>
      </c>
      <c r="W72" s="47">
        <f t="shared" si="7"/>
        <v>0</v>
      </c>
      <c r="X72" s="47">
        <f t="shared" si="5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si="6"/>
        <v>0</v>
      </c>
      <c r="M73" s="46">
        <f t="shared" si="6"/>
        <v>0</v>
      </c>
      <c r="N73" s="46">
        <f t="shared" si="6"/>
        <v>0</v>
      </c>
      <c r="O73" s="46">
        <f t="shared" ref="O73:T115" si="8">IFERROR(E74-E73,0)</f>
        <v>0</v>
      </c>
      <c r="P73" s="46">
        <f t="shared" si="8"/>
        <v>0</v>
      </c>
      <c r="Q73" s="46">
        <f t="shared" si="8"/>
        <v>0</v>
      </c>
      <c r="R73" s="46">
        <f t="shared" si="8"/>
        <v>0</v>
      </c>
      <c r="S73" s="46">
        <f t="shared" si="8"/>
        <v>0</v>
      </c>
      <c r="T73" s="46">
        <f t="shared" si="8"/>
        <v>0</v>
      </c>
      <c r="U73" s="47">
        <f t="shared" si="7"/>
        <v>0</v>
      </c>
      <c r="V73" s="47">
        <f t="shared" si="7"/>
        <v>0</v>
      </c>
      <c r="W73" s="47">
        <f t="shared" si="7"/>
        <v>0</v>
      </c>
      <c r="X73" s="47">
        <f t="shared" si="5"/>
        <v>0</v>
      </c>
    </row>
    <row r="74" spans="1:24" ht="20" customHeight="1" x14ac:dyDescent="0.35">
      <c r="A74" s="29"/>
      <c r="B74" s="30"/>
      <c r="C74" s="31"/>
      <c r="D74" s="29"/>
      <c r="E74" s="31"/>
      <c r="F74" s="31"/>
      <c r="G74" s="31"/>
      <c r="H74" s="31"/>
      <c r="I74" s="29"/>
      <c r="J74" s="34"/>
      <c r="L74" s="46">
        <f t="shared" ref="L74:Q137" si="9">IFERROR(B75-B74,0)</f>
        <v>0</v>
      </c>
      <c r="M74" s="46">
        <f t="shared" si="9"/>
        <v>0</v>
      </c>
      <c r="N74" s="46">
        <f t="shared" si="9"/>
        <v>0</v>
      </c>
      <c r="O74" s="46">
        <f t="shared" si="8"/>
        <v>0</v>
      </c>
      <c r="P74" s="46">
        <f t="shared" si="8"/>
        <v>0</v>
      </c>
      <c r="Q74" s="46">
        <f t="shared" si="8"/>
        <v>0</v>
      </c>
      <c r="R74" s="46">
        <f t="shared" si="8"/>
        <v>0</v>
      </c>
      <c r="S74" s="46">
        <f t="shared" si="8"/>
        <v>0</v>
      </c>
      <c r="T74" s="46">
        <f t="shared" si="8"/>
        <v>0</v>
      </c>
      <c r="U74" s="47">
        <f t="shared" si="7"/>
        <v>0</v>
      </c>
      <c r="V74" s="47">
        <f t="shared" si="7"/>
        <v>0</v>
      </c>
      <c r="W74" s="47">
        <f t="shared" si="7"/>
        <v>0</v>
      </c>
      <c r="X74" s="47">
        <f t="shared" ref="X74:X105" si="10">O74+P74+T74</f>
        <v>0</v>
      </c>
    </row>
    <row r="75" spans="1:24" ht="20" customHeight="1" x14ac:dyDescent="0.35">
      <c r="A75" s="29"/>
      <c r="B75" s="30"/>
      <c r="C75" s="31"/>
      <c r="D75" s="31"/>
      <c r="E75" s="31"/>
      <c r="F75" s="31"/>
      <c r="G75" s="31"/>
      <c r="H75" s="31"/>
      <c r="I75" s="31"/>
      <c r="J75" s="34"/>
      <c r="L75" s="46">
        <f t="shared" si="9"/>
        <v>0</v>
      </c>
      <c r="M75" s="46">
        <f t="shared" si="9"/>
        <v>0</v>
      </c>
      <c r="N75" s="46">
        <f t="shared" si="9"/>
        <v>0</v>
      </c>
      <c r="O75" s="46">
        <f t="shared" si="8"/>
        <v>0</v>
      </c>
      <c r="P75" s="46">
        <f t="shared" si="8"/>
        <v>0</v>
      </c>
      <c r="Q75" s="46">
        <f t="shared" si="8"/>
        <v>0</v>
      </c>
      <c r="R75" s="46">
        <f t="shared" si="8"/>
        <v>0</v>
      </c>
      <c r="S75" s="46">
        <f t="shared" si="8"/>
        <v>0</v>
      </c>
      <c r="T75" s="46">
        <f t="shared" si="8"/>
        <v>0</v>
      </c>
      <c r="U75" s="47">
        <f t="shared" si="7"/>
        <v>0</v>
      </c>
      <c r="V75" s="47">
        <f t="shared" si="7"/>
        <v>0</v>
      </c>
      <c r="W75" s="47">
        <f t="shared" si="7"/>
        <v>0</v>
      </c>
      <c r="X75" s="47">
        <f t="shared" si="10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9"/>
        <v>0</v>
      </c>
      <c r="M76" s="46">
        <f t="shared" si="9"/>
        <v>0</v>
      </c>
      <c r="N76" s="46">
        <f t="shared" si="9"/>
        <v>0</v>
      </c>
      <c r="O76" s="46">
        <f t="shared" si="8"/>
        <v>0</v>
      </c>
      <c r="P76" s="46">
        <f t="shared" si="8"/>
        <v>0</v>
      </c>
      <c r="Q76" s="46">
        <f t="shared" si="8"/>
        <v>0</v>
      </c>
      <c r="R76" s="46">
        <f t="shared" si="8"/>
        <v>0</v>
      </c>
      <c r="S76" s="46">
        <f t="shared" si="8"/>
        <v>0</v>
      </c>
      <c r="T76" s="46">
        <f t="shared" si="8"/>
        <v>0</v>
      </c>
      <c r="U76" s="47">
        <f t="shared" si="7"/>
        <v>0</v>
      </c>
      <c r="V76" s="47">
        <f t="shared" si="7"/>
        <v>0</v>
      </c>
      <c r="W76" s="47">
        <f t="shared" si="7"/>
        <v>0</v>
      </c>
      <c r="X76" s="47">
        <f t="shared" si="10"/>
        <v>0</v>
      </c>
    </row>
    <row r="77" spans="1:24" ht="20" customHeight="1" x14ac:dyDescent="0.35">
      <c r="A77" s="29"/>
      <c r="B77" s="30"/>
      <c r="C77" s="31"/>
      <c r="D77" s="29"/>
      <c r="E77" s="31"/>
      <c r="F77" s="31"/>
      <c r="G77" s="31"/>
      <c r="H77" s="31"/>
      <c r="I77" s="29"/>
      <c r="J77" s="34"/>
      <c r="L77" s="46">
        <f t="shared" si="9"/>
        <v>0</v>
      </c>
      <c r="M77" s="46">
        <f t="shared" si="9"/>
        <v>0</v>
      </c>
      <c r="N77" s="46">
        <f t="shared" si="9"/>
        <v>0</v>
      </c>
      <c r="O77" s="46">
        <f t="shared" si="8"/>
        <v>0</v>
      </c>
      <c r="P77" s="46">
        <f t="shared" si="8"/>
        <v>0</v>
      </c>
      <c r="Q77" s="46">
        <f t="shared" si="8"/>
        <v>0</v>
      </c>
      <c r="R77" s="46">
        <f t="shared" si="8"/>
        <v>0</v>
      </c>
      <c r="S77" s="46">
        <f t="shared" si="8"/>
        <v>0</v>
      </c>
      <c r="T77" s="46">
        <f t="shared" si="8"/>
        <v>0</v>
      </c>
      <c r="U77" s="47">
        <f t="shared" si="7"/>
        <v>0</v>
      </c>
      <c r="V77" s="47">
        <f t="shared" si="7"/>
        <v>0</v>
      </c>
      <c r="W77" s="47">
        <f t="shared" si="7"/>
        <v>0</v>
      </c>
      <c r="X77" s="47">
        <f t="shared" si="10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9"/>
        <v>0</v>
      </c>
      <c r="M78" s="46">
        <f t="shared" si="9"/>
        <v>0</v>
      </c>
      <c r="N78" s="46">
        <f t="shared" si="9"/>
        <v>0</v>
      </c>
      <c r="O78" s="46">
        <f t="shared" si="8"/>
        <v>0</v>
      </c>
      <c r="P78" s="46">
        <f t="shared" si="8"/>
        <v>0</v>
      </c>
      <c r="Q78" s="46">
        <f t="shared" si="8"/>
        <v>0</v>
      </c>
      <c r="R78" s="46">
        <f t="shared" si="8"/>
        <v>0</v>
      </c>
      <c r="S78" s="46">
        <f t="shared" si="8"/>
        <v>0</v>
      </c>
      <c r="T78" s="46">
        <f t="shared" si="8"/>
        <v>0</v>
      </c>
      <c r="U78" s="47">
        <f t="shared" si="7"/>
        <v>0</v>
      </c>
      <c r="V78" s="47">
        <f t="shared" si="7"/>
        <v>0</v>
      </c>
      <c r="W78" s="47">
        <f t="shared" si="7"/>
        <v>0</v>
      </c>
      <c r="X78" s="47">
        <f t="shared" si="10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9"/>
        <v>0</v>
      </c>
      <c r="M79" s="46">
        <f t="shared" si="9"/>
        <v>0</v>
      </c>
      <c r="N79" s="46">
        <f t="shared" si="9"/>
        <v>0</v>
      </c>
      <c r="O79" s="46">
        <f t="shared" si="8"/>
        <v>0</v>
      </c>
      <c r="P79" s="46">
        <f t="shared" si="8"/>
        <v>0</v>
      </c>
      <c r="Q79" s="46">
        <f t="shared" si="8"/>
        <v>0</v>
      </c>
      <c r="R79" s="46">
        <f t="shared" si="8"/>
        <v>0</v>
      </c>
      <c r="S79" s="46">
        <f t="shared" si="8"/>
        <v>0</v>
      </c>
      <c r="T79" s="46">
        <f t="shared" si="8"/>
        <v>0</v>
      </c>
      <c r="U79" s="47">
        <f t="shared" si="7"/>
        <v>0</v>
      </c>
      <c r="V79" s="47">
        <f t="shared" si="7"/>
        <v>0</v>
      </c>
      <c r="W79" s="47">
        <f t="shared" si="7"/>
        <v>0</v>
      </c>
      <c r="X79" s="47">
        <f t="shared" si="10"/>
        <v>0</v>
      </c>
    </row>
    <row r="80" spans="1:24" ht="20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9"/>
        <v>0</v>
      </c>
      <c r="M80" s="46">
        <f t="shared" si="9"/>
        <v>0</v>
      </c>
      <c r="N80" s="46">
        <f t="shared" si="9"/>
        <v>0</v>
      </c>
      <c r="O80" s="46">
        <f t="shared" si="8"/>
        <v>0</v>
      </c>
      <c r="P80" s="46">
        <f t="shared" si="8"/>
        <v>0</v>
      </c>
      <c r="Q80" s="46">
        <f t="shared" si="8"/>
        <v>0</v>
      </c>
      <c r="R80" s="46">
        <f t="shared" si="8"/>
        <v>0</v>
      </c>
      <c r="S80" s="46">
        <f t="shared" si="8"/>
        <v>0</v>
      </c>
      <c r="T80" s="46">
        <f t="shared" si="8"/>
        <v>0</v>
      </c>
      <c r="U80" s="47">
        <f t="shared" si="7"/>
        <v>0</v>
      </c>
      <c r="V80" s="47">
        <f t="shared" si="7"/>
        <v>0</v>
      </c>
      <c r="W80" s="47">
        <f t="shared" si="7"/>
        <v>0</v>
      </c>
      <c r="X80" s="47">
        <f t="shared" si="10"/>
        <v>0</v>
      </c>
    </row>
    <row r="81" spans="1:24" ht="16.75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9"/>
        <v>0</v>
      </c>
      <c r="M81" s="46">
        <f t="shared" si="9"/>
        <v>0</v>
      </c>
      <c r="N81" s="46">
        <f t="shared" si="9"/>
        <v>0</v>
      </c>
      <c r="O81" s="46">
        <f t="shared" si="8"/>
        <v>0</v>
      </c>
      <c r="P81" s="46">
        <f t="shared" si="8"/>
        <v>0</v>
      </c>
      <c r="Q81" s="46">
        <f t="shared" si="8"/>
        <v>0</v>
      </c>
      <c r="R81" s="46">
        <f t="shared" si="8"/>
        <v>0</v>
      </c>
      <c r="S81" s="46">
        <f t="shared" si="8"/>
        <v>0</v>
      </c>
      <c r="T81" s="46">
        <f t="shared" si="8"/>
        <v>0</v>
      </c>
      <c r="U81" s="47">
        <f t="shared" si="7"/>
        <v>0</v>
      </c>
      <c r="V81" s="47">
        <f t="shared" si="7"/>
        <v>0</v>
      </c>
      <c r="W81" s="47">
        <f t="shared" si="7"/>
        <v>0</v>
      </c>
      <c r="X81" s="47">
        <f t="shared" si="10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9"/>
        <v>0</v>
      </c>
      <c r="M82" s="46">
        <f t="shared" si="9"/>
        <v>0</v>
      </c>
      <c r="N82" s="46">
        <f t="shared" si="9"/>
        <v>0</v>
      </c>
      <c r="O82" s="46">
        <f t="shared" si="8"/>
        <v>0</v>
      </c>
      <c r="P82" s="46">
        <f t="shared" si="8"/>
        <v>0</v>
      </c>
      <c r="Q82" s="46">
        <f t="shared" si="8"/>
        <v>0</v>
      </c>
      <c r="R82" s="46">
        <f t="shared" si="8"/>
        <v>0</v>
      </c>
      <c r="S82" s="46">
        <f t="shared" si="8"/>
        <v>0</v>
      </c>
      <c r="T82" s="46">
        <f t="shared" si="8"/>
        <v>0</v>
      </c>
      <c r="U82" s="47">
        <f t="shared" si="7"/>
        <v>0</v>
      </c>
      <c r="V82" s="47">
        <f t="shared" si="7"/>
        <v>0</v>
      </c>
      <c r="W82" s="47">
        <f t="shared" si="7"/>
        <v>0</v>
      </c>
      <c r="X82" s="47">
        <f t="shared" si="10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9"/>
        <v>0</v>
      </c>
      <c r="M83" s="46">
        <f t="shared" si="9"/>
        <v>0</v>
      </c>
      <c r="N83" s="46">
        <f t="shared" si="9"/>
        <v>0</v>
      </c>
      <c r="O83" s="46">
        <f t="shared" si="8"/>
        <v>0</v>
      </c>
      <c r="P83" s="46">
        <f t="shared" si="8"/>
        <v>0</v>
      </c>
      <c r="Q83" s="46">
        <f t="shared" si="8"/>
        <v>0</v>
      </c>
      <c r="R83" s="46">
        <f t="shared" si="8"/>
        <v>0</v>
      </c>
      <c r="S83" s="46">
        <f t="shared" si="8"/>
        <v>0</v>
      </c>
      <c r="T83" s="46">
        <f t="shared" si="8"/>
        <v>0</v>
      </c>
      <c r="U83" s="47">
        <f t="shared" si="7"/>
        <v>0</v>
      </c>
      <c r="V83" s="47">
        <f t="shared" si="7"/>
        <v>0</v>
      </c>
      <c r="W83" s="47">
        <f t="shared" si="7"/>
        <v>0</v>
      </c>
      <c r="X83" s="47">
        <f t="shared" si="10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9"/>
        <v>0</v>
      </c>
      <c r="M84" s="46">
        <f t="shared" si="9"/>
        <v>0</v>
      </c>
      <c r="N84" s="46">
        <f t="shared" si="9"/>
        <v>0</v>
      </c>
      <c r="O84" s="46">
        <f t="shared" si="8"/>
        <v>0</v>
      </c>
      <c r="P84" s="46">
        <f t="shared" si="8"/>
        <v>0</v>
      </c>
      <c r="Q84" s="46">
        <f t="shared" si="8"/>
        <v>0</v>
      </c>
      <c r="R84" s="46">
        <f t="shared" si="8"/>
        <v>0</v>
      </c>
      <c r="S84" s="46">
        <f t="shared" si="8"/>
        <v>0</v>
      </c>
      <c r="T84" s="46">
        <f t="shared" si="8"/>
        <v>0</v>
      </c>
      <c r="U84" s="47">
        <f t="shared" si="7"/>
        <v>0</v>
      </c>
      <c r="V84" s="47">
        <f t="shared" si="7"/>
        <v>0</v>
      </c>
      <c r="W84" s="47">
        <f t="shared" si="7"/>
        <v>0</v>
      </c>
      <c r="X84" s="47">
        <f t="shared" si="10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9"/>
        <v>0</v>
      </c>
      <c r="M85" s="46">
        <f t="shared" si="9"/>
        <v>0</v>
      </c>
      <c r="N85" s="46">
        <f t="shared" si="9"/>
        <v>0</v>
      </c>
      <c r="O85" s="46">
        <f t="shared" si="8"/>
        <v>0</v>
      </c>
      <c r="P85" s="46">
        <f t="shared" si="8"/>
        <v>0</v>
      </c>
      <c r="Q85" s="46">
        <f t="shared" si="8"/>
        <v>0</v>
      </c>
      <c r="R85" s="46">
        <f t="shared" si="8"/>
        <v>0</v>
      </c>
      <c r="S85" s="46">
        <f t="shared" si="8"/>
        <v>0</v>
      </c>
      <c r="T85" s="46">
        <f t="shared" si="8"/>
        <v>0</v>
      </c>
      <c r="U85" s="47">
        <f t="shared" si="7"/>
        <v>0</v>
      </c>
      <c r="V85" s="47">
        <f t="shared" si="7"/>
        <v>0</v>
      </c>
      <c r="W85" s="47">
        <f t="shared" si="7"/>
        <v>0</v>
      </c>
      <c r="X85" s="47">
        <f t="shared" si="10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9"/>
        <v>0</v>
      </c>
      <c r="M86" s="46">
        <f t="shared" si="9"/>
        <v>0</v>
      </c>
      <c r="N86" s="46">
        <f t="shared" si="9"/>
        <v>0</v>
      </c>
      <c r="O86" s="46">
        <f t="shared" si="8"/>
        <v>0</v>
      </c>
      <c r="P86" s="46">
        <f t="shared" si="8"/>
        <v>0</v>
      </c>
      <c r="Q86" s="46">
        <f t="shared" si="8"/>
        <v>0</v>
      </c>
      <c r="R86" s="46">
        <f t="shared" si="8"/>
        <v>0</v>
      </c>
      <c r="S86" s="46">
        <f t="shared" si="8"/>
        <v>0</v>
      </c>
      <c r="T86" s="46">
        <f t="shared" si="8"/>
        <v>0</v>
      </c>
      <c r="U86" s="47">
        <f t="shared" si="7"/>
        <v>0</v>
      </c>
      <c r="V86" s="47">
        <f t="shared" si="7"/>
        <v>0</v>
      </c>
      <c r="W86" s="47">
        <f t="shared" si="7"/>
        <v>0</v>
      </c>
      <c r="X86" s="47">
        <f t="shared" si="10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9"/>
        <v>0</v>
      </c>
      <c r="M87" s="46">
        <f t="shared" si="9"/>
        <v>0</v>
      </c>
      <c r="N87" s="46">
        <f t="shared" si="9"/>
        <v>0</v>
      </c>
      <c r="O87" s="46">
        <f t="shared" si="8"/>
        <v>0</v>
      </c>
      <c r="P87" s="46">
        <f t="shared" si="8"/>
        <v>0</v>
      </c>
      <c r="Q87" s="46">
        <f t="shared" si="8"/>
        <v>0</v>
      </c>
      <c r="R87" s="46">
        <f t="shared" si="8"/>
        <v>0</v>
      </c>
      <c r="S87" s="46">
        <f t="shared" si="8"/>
        <v>0</v>
      </c>
      <c r="T87" s="46">
        <f t="shared" si="8"/>
        <v>0</v>
      </c>
      <c r="U87" s="47">
        <f t="shared" si="7"/>
        <v>0</v>
      </c>
      <c r="V87" s="47">
        <f t="shared" si="7"/>
        <v>0</v>
      </c>
      <c r="W87" s="47">
        <f t="shared" si="7"/>
        <v>0</v>
      </c>
      <c r="X87" s="47">
        <f t="shared" si="10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9"/>
        <v>0</v>
      </c>
      <c r="M88" s="46">
        <f t="shared" si="9"/>
        <v>0</v>
      </c>
      <c r="N88" s="46">
        <f t="shared" si="9"/>
        <v>0</v>
      </c>
      <c r="O88" s="46">
        <f t="shared" si="8"/>
        <v>0</v>
      </c>
      <c r="P88" s="46">
        <f t="shared" si="8"/>
        <v>0</v>
      </c>
      <c r="Q88" s="46">
        <f t="shared" si="8"/>
        <v>0</v>
      </c>
      <c r="R88" s="46">
        <f t="shared" si="8"/>
        <v>0</v>
      </c>
      <c r="S88" s="46">
        <f t="shared" si="8"/>
        <v>0</v>
      </c>
      <c r="T88" s="46">
        <f t="shared" si="8"/>
        <v>0</v>
      </c>
      <c r="U88" s="47">
        <f t="shared" si="7"/>
        <v>0</v>
      </c>
      <c r="V88" s="47">
        <f t="shared" si="7"/>
        <v>0</v>
      </c>
      <c r="W88" s="47">
        <f t="shared" si="7"/>
        <v>0</v>
      </c>
      <c r="X88" s="47">
        <f t="shared" si="10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9"/>
        <v>0</v>
      </c>
      <c r="M89" s="46">
        <f t="shared" si="9"/>
        <v>0</v>
      </c>
      <c r="N89" s="46">
        <f t="shared" si="9"/>
        <v>0</v>
      </c>
      <c r="O89" s="46">
        <f t="shared" si="8"/>
        <v>0</v>
      </c>
      <c r="P89" s="46">
        <f t="shared" si="8"/>
        <v>0</v>
      </c>
      <c r="Q89" s="46">
        <f t="shared" si="8"/>
        <v>0</v>
      </c>
      <c r="R89" s="46">
        <f t="shared" si="8"/>
        <v>0</v>
      </c>
      <c r="S89" s="46">
        <f t="shared" si="8"/>
        <v>0</v>
      </c>
      <c r="T89" s="46">
        <f t="shared" si="8"/>
        <v>0</v>
      </c>
      <c r="U89" s="47">
        <f t="shared" si="7"/>
        <v>0</v>
      </c>
      <c r="V89" s="47">
        <f t="shared" si="7"/>
        <v>0</v>
      </c>
      <c r="W89" s="47">
        <f t="shared" si="7"/>
        <v>0</v>
      </c>
      <c r="X89" s="47">
        <f t="shared" si="10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9"/>
        <v>0</v>
      </c>
      <c r="M90" s="46">
        <f t="shared" si="9"/>
        <v>0</v>
      </c>
      <c r="N90" s="46">
        <f t="shared" si="9"/>
        <v>0</v>
      </c>
      <c r="O90" s="46">
        <f t="shared" si="8"/>
        <v>0</v>
      </c>
      <c r="P90" s="46">
        <f t="shared" si="8"/>
        <v>0</v>
      </c>
      <c r="Q90" s="46">
        <f t="shared" si="8"/>
        <v>0</v>
      </c>
      <c r="R90" s="46">
        <f t="shared" si="8"/>
        <v>0</v>
      </c>
      <c r="S90" s="46">
        <f t="shared" si="8"/>
        <v>0</v>
      </c>
      <c r="T90" s="46">
        <f t="shared" si="8"/>
        <v>0</v>
      </c>
      <c r="U90" s="47">
        <f t="shared" si="7"/>
        <v>0</v>
      </c>
      <c r="V90" s="47">
        <f t="shared" si="7"/>
        <v>0</v>
      </c>
      <c r="W90" s="47">
        <f t="shared" si="7"/>
        <v>0</v>
      </c>
      <c r="X90" s="47">
        <f t="shared" si="10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9"/>
        <v>0</v>
      </c>
      <c r="M91" s="46">
        <f t="shared" si="9"/>
        <v>0</v>
      </c>
      <c r="N91" s="46">
        <f t="shared" si="9"/>
        <v>0</v>
      </c>
      <c r="O91" s="46">
        <f t="shared" si="8"/>
        <v>0</v>
      </c>
      <c r="P91" s="46">
        <f t="shared" si="8"/>
        <v>0</v>
      </c>
      <c r="Q91" s="46">
        <f t="shared" si="8"/>
        <v>0</v>
      </c>
      <c r="R91" s="46">
        <f t="shared" si="8"/>
        <v>0</v>
      </c>
      <c r="S91" s="46">
        <f t="shared" si="8"/>
        <v>0</v>
      </c>
      <c r="T91" s="46">
        <f t="shared" si="8"/>
        <v>0</v>
      </c>
      <c r="U91" s="47">
        <f t="shared" si="7"/>
        <v>0</v>
      </c>
      <c r="V91" s="47">
        <f t="shared" si="7"/>
        <v>0</v>
      </c>
      <c r="W91" s="47">
        <f t="shared" si="7"/>
        <v>0</v>
      </c>
      <c r="X91" s="47">
        <f t="shared" si="10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9"/>
        <v>0</v>
      </c>
      <c r="M92" s="46">
        <f t="shared" si="9"/>
        <v>0</v>
      </c>
      <c r="N92" s="46">
        <f t="shared" si="9"/>
        <v>0</v>
      </c>
      <c r="O92" s="46">
        <f t="shared" si="8"/>
        <v>0</v>
      </c>
      <c r="P92" s="46">
        <f t="shared" si="8"/>
        <v>0</v>
      </c>
      <c r="Q92" s="46">
        <f t="shared" si="8"/>
        <v>0</v>
      </c>
      <c r="R92" s="46">
        <f t="shared" si="8"/>
        <v>0</v>
      </c>
      <c r="S92" s="46">
        <f t="shared" si="8"/>
        <v>0</v>
      </c>
      <c r="T92" s="46">
        <f t="shared" si="8"/>
        <v>0</v>
      </c>
      <c r="U92" s="47">
        <f t="shared" si="7"/>
        <v>0</v>
      </c>
      <c r="V92" s="47">
        <f t="shared" si="7"/>
        <v>0</v>
      </c>
      <c r="W92" s="47">
        <f t="shared" si="7"/>
        <v>0</v>
      </c>
      <c r="X92" s="47">
        <f t="shared" si="10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9"/>
        <v>0</v>
      </c>
      <c r="M93" s="46">
        <f t="shared" si="9"/>
        <v>0</v>
      </c>
      <c r="N93" s="46">
        <f t="shared" si="9"/>
        <v>0</v>
      </c>
      <c r="O93" s="46">
        <f t="shared" si="8"/>
        <v>0</v>
      </c>
      <c r="P93" s="46">
        <f t="shared" si="8"/>
        <v>0</v>
      </c>
      <c r="Q93" s="46">
        <f t="shared" si="8"/>
        <v>0</v>
      </c>
      <c r="R93" s="46">
        <f t="shared" si="8"/>
        <v>0</v>
      </c>
      <c r="S93" s="46">
        <f t="shared" si="8"/>
        <v>0</v>
      </c>
      <c r="T93" s="46">
        <f t="shared" si="8"/>
        <v>0</v>
      </c>
      <c r="U93" s="47">
        <f t="shared" si="7"/>
        <v>0</v>
      </c>
      <c r="V93" s="47">
        <f t="shared" si="7"/>
        <v>0</v>
      </c>
      <c r="W93" s="47">
        <f t="shared" si="7"/>
        <v>0</v>
      </c>
      <c r="X93" s="47">
        <f t="shared" si="10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9"/>
        <v>0</v>
      </c>
      <c r="M94" s="46">
        <f t="shared" si="9"/>
        <v>0</v>
      </c>
      <c r="N94" s="46">
        <f t="shared" si="9"/>
        <v>0</v>
      </c>
      <c r="O94" s="46">
        <f t="shared" si="8"/>
        <v>0</v>
      </c>
      <c r="P94" s="46">
        <f t="shared" si="8"/>
        <v>0</v>
      </c>
      <c r="Q94" s="46">
        <f t="shared" si="8"/>
        <v>0</v>
      </c>
      <c r="R94" s="46">
        <f t="shared" si="8"/>
        <v>0</v>
      </c>
      <c r="S94" s="46">
        <f t="shared" si="8"/>
        <v>0</v>
      </c>
      <c r="T94" s="46">
        <f t="shared" si="8"/>
        <v>0</v>
      </c>
      <c r="U94" s="47">
        <f t="shared" si="7"/>
        <v>0</v>
      </c>
      <c r="V94" s="47">
        <f t="shared" si="7"/>
        <v>0</v>
      </c>
      <c r="W94" s="47">
        <f t="shared" si="7"/>
        <v>0</v>
      </c>
      <c r="X94" s="47">
        <f t="shared" si="10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9"/>
        <v>0</v>
      </c>
      <c r="M95" s="46">
        <f t="shared" si="9"/>
        <v>0</v>
      </c>
      <c r="N95" s="46">
        <f t="shared" si="9"/>
        <v>0</v>
      </c>
      <c r="O95" s="46">
        <f t="shared" si="8"/>
        <v>0</v>
      </c>
      <c r="P95" s="46">
        <f t="shared" si="8"/>
        <v>0</v>
      </c>
      <c r="Q95" s="46">
        <f t="shared" si="8"/>
        <v>0</v>
      </c>
      <c r="R95" s="46">
        <f t="shared" si="8"/>
        <v>0</v>
      </c>
      <c r="S95" s="46">
        <f t="shared" si="8"/>
        <v>0</v>
      </c>
      <c r="T95" s="46">
        <f t="shared" si="8"/>
        <v>0</v>
      </c>
      <c r="U95" s="47">
        <f t="shared" si="7"/>
        <v>0</v>
      </c>
      <c r="V95" s="47">
        <f t="shared" si="7"/>
        <v>0</v>
      </c>
      <c r="W95" s="47">
        <f t="shared" si="7"/>
        <v>0</v>
      </c>
      <c r="X95" s="47">
        <f t="shared" si="10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9"/>
        <v>0</v>
      </c>
      <c r="M96" s="46">
        <f t="shared" si="9"/>
        <v>0</v>
      </c>
      <c r="N96" s="46">
        <f t="shared" si="9"/>
        <v>0</v>
      </c>
      <c r="O96" s="46">
        <f t="shared" si="8"/>
        <v>0</v>
      </c>
      <c r="P96" s="46">
        <f t="shared" si="8"/>
        <v>0</v>
      </c>
      <c r="Q96" s="46">
        <f t="shared" si="8"/>
        <v>0</v>
      </c>
      <c r="R96" s="46">
        <f t="shared" si="8"/>
        <v>0</v>
      </c>
      <c r="S96" s="46">
        <f t="shared" si="8"/>
        <v>0</v>
      </c>
      <c r="T96" s="46">
        <f t="shared" si="8"/>
        <v>0</v>
      </c>
      <c r="U96" s="47">
        <f t="shared" si="7"/>
        <v>0</v>
      </c>
      <c r="V96" s="47">
        <f t="shared" si="7"/>
        <v>0</v>
      </c>
      <c r="W96" s="47">
        <f t="shared" si="7"/>
        <v>0</v>
      </c>
      <c r="X96" s="47">
        <f t="shared" si="10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9"/>
        <v>0</v>
      </c>
      <c r="M97" s="46">
        <f t="shared" si="9"/>
        <v>0</v>
      </c>
      <c r="N97" s="46">
        <f t="shared" si="9"/>
        <v>0</v>
      </c>
      <c r="O97" s="46">
        <f t="shared" si="8"/>
        <v>0</v>
      </c>
      <c r="P97" s="46">
        <f t="shared" si="8"/>
        <v>0</v>
      </c>
      <c r="Q97" s="46">
        <f t="shared" si="8"/>
        <v>0</v>
      </c>
      <c r="R97" s="46">
        <f t="shared" si="8"/>
        <v>0</v>
      </c>
      <c r="S97" s="46">
        <f t="shared" si="8"/>
        <v>0</v>
      </c>
      <c r="T97" s="46">
        <f t="shared" si="8"/>
        <v>0</v>
      </c>
      <c r="U97" s="47">
        <f t="shared" si="7"/>
        <v>0</v>
      </c>
      <c r="V97" s="47">
        <f t="shared" si="7"/>
        <v>0</v>
      </c>
      <c r="W97" s="47">
        <f t="shared" si="7"/>
        <v>0</v>
      </c>
      <c r="X97" s="47">
        <f t="shared" si="10"/>
        <v>0</v>
      </c>
    </row>
    <row r="98" spans="1:24" ht="20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9"/>
        <v>0</v>
      </c>
      <c r="M98" s="46">
        <f t="shared" si="9"/>
        <v>0</v>
      </c>
      <c r="N98" s="46">
        <f t="shared" si="9"/>
        <v>0</v>
      </c>
      <c r="O98" s="46">
        <f t="shared" si="8"/>
        <v>0</v>
      </c>
      <c r="P98" s="46">
        <f t="shared" si="8"/>
        <v>0</v>
      </c>
      <c r="Q98" s="46">
        <f t="shared" si="8"/>
        <v>0</v>
      </c>
      <c r="R98" s="46">
        <f t="shared" si="8"/>
        <v>0</v>
      </c>
      <c r="S98" s="46">
        <f t="shared" si="8"/>
        <v>0</v>
      </c>
      <c r="T98" s="46">
        <f t="shared" si="8"/>
        <v>0</v>
      </c>
      <c r="U98" s="47">
        <f t="shared" si="7"/>
        <v>0</v>
      </c>
      <c r="V98" s="47">
        <f t="shared" si="7"/>
        <v>0</v>
      </c>
      <c r="W98" s="47">
        <f t="shared" si="7"/>
        <v>0</v>
      </c>
      <c r="X98" s="47">
        <f t="shared" si="10"/>
        <v>0</v>
      </c>
    </row>
    <row r="99" spans="1:24" ht="16.75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9"/>
        <v>0</v>
      </c>
      <c r="M99" s="46">
        <f t="shared" si="9"/>
        <v>0</v>
      </c>
      <c r="N99" s="46">
        <f t="shared" si="9"/>
        <v>0</v>
      </c>
      <c r="O99" s="46">
        <f t="shared" si="8"/>
        <v>0</v>
      </c>
      <c r="P99" s="46">
        <f t="shared" si="8"/>
        <v>0</v>
      </c>
      <c r="Q99" s="46">
        <f t="shared" si="8"/>
        <v>0</v>
      </c>
      <c r="R99" s="46">
        <f t="shared" si="8"/>
        <v>0</v>
      </c>
      <c r="S99" s="46">
        <f t="shared" si="8"/>
        <v>0</v>
      </c>
      <c r="T99" s="46">
        <f t="shared" si="8"/>
        <v>0</v>
      </c>
      <c r="U99" s="47">
        <f t="shared" si="7"/>
        <v>0</v>
      </c>
      <c r="V99" s="47">
        <f t="shared" si="7"/>
        <v>0</v>
      </c>
      <c r="W99" s="47">
        <f t="shared" si="7"/>
        <v>0</v>
      </c>
      <c r="X99" s="47">
        <f t="shared" si="10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9"/>
        <v>0</v>
      </c>
      <c r="M100" s="46">
        <f t="shared" si="9"/>
        <v>0</v>
      </c>
      <c r="N100" s="46">
        <f t="shared" si="9"/>
        <v>0</v>
      </c>
      <c r="O100" s="46">
        <f t="shared" si="8"/>
        <v>0</v>
      </c>
      <c r="P100" s="46">
        <f t="shared" si="8"/>
        <v>0</v>
      </c>
      <c r="Q100" s="46">
        <f t="shared" si="8"/>
        <v>0</v>
      </c>
      <c r="R100" s="46">
        <f t="shared" si="8"/>
        <v>0</v>
      </c>
      <c r="S100" s="46">
        <f t="shared" si="8"/>
        <v>0</v>
      </c>
      <c r="T100" s="46">
        <f t="shared" si="8"/>
        <v>0</v>
      </c>
      <c r="U100" s="47">
        <f t="shared" si="7"/>
        <v>0</v>
      </c>
      <c r="V100" s="47">
        <f t="shared" si="7"/>
        <v>0</v>
      </c>
      <c r="W100" s="47">
        <f t="shared" si="7"/>
        <v>0</v>
      </c>
      <c r="X100" s="47">
        <f t="shared" si="10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9"/>
        <v>0</v>
      </c>
      <c r="M101" s="46">
        <f t="shared" si="9"/>
        <v>0</v>
      </c>
      <c r="N101" s="46">
        <f t="shared" si="9"/>
        <v>0</v>
      </c>
      <c r="O101" s="46">
        <f t="shared" si="8"/>
        <v>0</v>
      </c>
      <c r="P101" s="46">
        <f t="shared" si="8"/>
        <v>0</v>
      </c>
      <c r="Q101" s="46">
        <f t="shared" si="8"/>
        <v>0</v>
      </c>
      <c r="R101" s="46">
        <f t="shared" si="8"/>
        <v>0</v>
      </c>
      <c r="S101" s="46">
        <f t="shared" si="8"/>
        <v>0</v>
      </c>
      <c r="T101" s="46">
        <f t="shared" si="8"/>
        <v>0</v>
      </c>
      <c r="U101" s="47">
        <f t="shared" si="7"/>
        <v>0</v>
      </c>
      <c r="V101" s="47">
        <f t="shared" si="7"/>
        <v>0</v>
      </c>
      <c r="W101" s="47">
        <f t="shared" si="7"/>
        <v>0</v>
      </c>
      <c r="X101" s="47">
        <f t="shared" si="10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9"/>
        <v>0</v>
      </c>
      <c r="M102" s="46">
        <f t="shared" si="9"/>
        <v>0</v>
      </c>
      <c r="N102" s="46">
        <f t="shared" si="9"/>
        <v>0</v>
      </c>
      <c r="O102" s="46">
        <f t="shared" si="8"/>
        <v>0</v>
      </c>
      <c r="P102" s="46">
        <f t="shared" si="8"/>
        <v>0</v>
      </c>
      <c r="Q102" s="46">
        <f t="shared" si="8"/>
        <v>0</v>
      </c>
      <c r="R102" s="46">
        <f t="shared" si="8"/>
        <v>0</v>
      </c>
      <c r="S102" s="46">
        <f t="shared" si="8"/>
        <v>0</v>
      </c>
      <c r="T102" s="46">
        <f t="shared" si="8"/>
        <v>0</v>
      </c>
      <c r="U102" s="47">
        <f t="shared" si="7"/>
        <v>0</v>
      </c>
      <c r="V102" s="47">
        <f t="shared" si="7"/>
        <v>0</v>
      </c>
      <c r="W102" s="47">
        <f t="shared" si="7"/>
        <v>0</v>
      </c>
      <c r="X102" s="47">
        <f t="shared" si="10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9"/>
        <v>0</v>
      </c>
      <c r="M103" s="46">
        <f t="shared" si="9"/>
        <v>0</v>
      </c>
      <c r="N103" s="46">
        <f t="shared" si="9"/>
        <v>0</v>
      </c>
      <c r="O103" s="46">
        <f t="shared" si="8"/>
        <v>0</v>
      </c>
      <c r="P103" s="46">
        <f t="shared" si="8"/>
        <v>0</v>
      </c>
      <c r="Q103" s="46">
        <f t="shared" si="8"/>
        <v>0</v>
      </c>
      <c r="R103" s="46">
        <f t="shared" si="8"/>
        <v>0</v>
      </c>
      <c r="S103" s="46">
        <f t="shared" si="8"/>
        <v>0</v>
      </c>
      <c r="T103" s="46">
        <f t="shared" si="8"/>
        <v>0</v>
      </c>
      <c r="U103" s="47">
        <f t="shared" si="7"/>
        <v>0</v>
      </c>
      <c r="V103" s="47">
        <f t="shared" si="7"/>
        <v>0</v>
      </c>
      <c r="W103" s="47">
        <f t="shared" si="7"/>
        <v>0</v>
      </c>
      <c r="X103" s="47">
        <f t="shared" si="10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9"/>
        <v>0</v>
      </c>
      <c r="M104" s="46">
        <f t="shared" si="9"/>
        <v>0</v>
      </c>
      <c r="N104" s="46">
        <f t="shared" si="9"/>
        <v>0</v>
      </c>
      <c r="O104" s="46">
        <f t="shared" si="8"/>
        <v>0</v>
      </c>
      <c r="P104" s="46">
        <f t="shared" si="8"/>
        <v>0</v>
      </c>
      <c r="Q104" s="46">
        <f t="shared" si="8"/>
        <v>0</v>
      </c>
      <c r="R104" s="46">
        <f t="shared" si="8"/>
        <v>0</v>
      </c>
      <c r="S104" s="46">
        <f t="shared" si="8"/>
        <v>0</v>
      </c>
      <c r="T104" s="46">
        <f t="shared" si="8"/>
        <v>0</v>
      </c>
      <c r="U104" s="47">
        <f t="shared" si="7"/>
        <v>0</v>
      </c>
      <c r="V104" s="47">
        <f t="shared" si="7"/>
        <v>0</v>
      </c>
      <c r="W104" s="47">
        <f t="shared" si="7"/>
        <v>0</v>
      </c>
      <c r="X104" s="47">
        <f t="shared" si="10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9"/>
        <v>0</v>
      </c>
      <c r="M105" s="46">
        <f t="shared" si="9"/>
        <v>0</v>
      </c>
      <c r="N105" s="46">
        <f t="shared" si="9"/>
        <v>0</v>
      </c>
      <c r="O105" s="46">
        <f t="shared" si="8"/>
        <v>0</v>
      </c>
      <c r="P105" s="46">
        <f t="shared" si="8"/>
        <v>0</v>
      </c>
      <c r="Q105" s="46">
        <f t="shared" si="8"/>
        <v>0</v>
      </c>
      <c r="R105" s="46">
        <f t="shared" si="8"/>
        <v>0</v>
      </c>
      <c r="S105" s="46">
        <f t="shared" si="8"/>
        <v>0</v>
      </c>
      <c r="T105" s="46">
        <f t="shared" si="8"/>
        <v>0</v>
      </c>
      <c r="U105" s="47">
        <f t="shared" si="7"/>
        <v>0</v>
      </c>
      <c r="V105" s="47">
        <f t="shared" si="7"/>
        <v>0</v>
      </c>
      <c r="W105" s="47">
        <f t="shared" si="7"/>
        <v>0</v>
      </c>
      <c r="X105" s="47">
        <f t="shared" si="10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9"/>
        <v>0</v>
      </c>
      <c r="M106" s="46">
        <f t="shared" si="9"/>
        <v>0</v>
      </c>
      <c r="N106" s="46">
        <f t="shared" si="9"/>
        <v>0</v>
      </c>
      <c r="O106" s="46">
        <f t="shared" si="8"/>
        <v>0</v>
      </c>
      <c r="P106" s="46">
        <f t="shared" si="8"/>
        <v>0</v>
      </c>
      <c r="Q106" s="46">
        <f t="shared" si="8"/>
        <v>0</v>
      </c>
      <c r="R106" s="46">
        <f t="shared" si="8"/>
        <v>0</v>
      </c>
      <c r="S106" s="46">
        <f t="shared" si="8"/>
        <v>0</v>
      </c>
      <c r="T106" s="46">
        <f t="shared" si="8"/>
        <v>0</v>
      </c>
      <c r="U106" s="47">
        <f t="shared" si="7"/>
        <v>0</v>
      </c>
      <c r="V106" s="47">
        <f t="shared" si="7"/>
        <v>0</v>
      </c>
      <c r="W106" s="47">
        <f t="shared" si="7"/>
        <v>0</v>
      </c>
      <c r="X106" s="47">
        <f t="shared" ref="X106:X137" si="11">O106+P106+T106</f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9"/>
        <v>0</v>
      </c>
      <c r="M107" s="46">
        <f t="shared" si="9"/>
        <v>0</v>
      </c>
      <c r="N107" s="46">
        <f t="shared" si="9"/>
        <v>0</v>
      </c>
      <c r="O107" s="46">
        <f t="shared" si="8"/>
        <v>0</v>
      </c>
      <c r="P107" s="46">
        <f t="shared" si="8"/>
        <v>0</v>
      </c>
      <c r="Q107" s="46">
        <f t="shared" si="8"/>
        <v>0</v>
      </c>
      <c r="R107" s="46">
        <f t="shared" si="8"/>
        <v>0</v>
      </c>
      <c r="S107" s="46">
        <f t="shared" si="8"/>
        <v>0</v>
      </c>
      <c r="T107" s="46">
        <f t="shared" si="8"/>
        <v>0</v>
      </c>
      <c r="U107" s="47">
        <f t="shared" si="7"/>
        <v>0</v>
      </c>
      <c r="V107" s="47">
        <f t="shared" si="7"/>
        <v>0</v>
      </c>
      <c r="W107" s="47">
        <f t="shared" si="7"/>
        <v>0</v>
      </c>
      <c r="X107" s="47">
        <f t="shared" si="11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9"/>
        <v>0</v>
      </c>
      <c r="M108" s="46">
        <f t="shared" si="9"/>
        <v>0</v>
      </c>
      <c r="N108" s="46">
        <f t="shared" si="9"/>
        <v>0</v>
      </c>
      <c r="O108" s="46">
        <f t="shared" si="8"/>
        <v>0</v>
      </c>
      <c r="P108" s="46">
        <f t="shared" si="8"/>
        <v>0</v>
      </c>
      <c r="Q108" s="46">
        <f t="shared" si="8"/>
        <v>0</v>
      </c>
      <c r="R108" s="46">
        <f t="shared" si="8"/>
        <v>0</v>
      </c>
      <c r="S108" s="46">
        <f t="shared" si="8"/>
        <v>0</v>
      </c>
      <c r="T108" s="46">
        <f t="shared" si="8"/>
        <v>0</v>
      </c>
      <c r="U108" s="47">
        <f t="shared" si="7"/>
        <v>0</v>
      </c>
      <c r="V108" s="47">
        <f t="shared" si="7"/>
        <v>0</v>
      </c>
      <c r="W108" s="47">
        <f t="shared" si="7"/>
        <v>0</v>
      </c>
      <c r="X108" s="47">
        <f t="shared" si="11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9"/>
        <v>0</v>
      </c>
      <c r="M109" s="46">
        <f t="shared" si="9"/>
        <v>0</v>
      </c>
      <c r="N109" s="46">
        <f t="shared" si="9"/>
        <v>0</v>
      </c>
      <c r="O109" s="46">
        <f t="shared" si="8"/>
        <v>0</v>
      </c>
      <c r="P109" s="46">
        <f t="shared" si="8"/>
        <v>0</v>
      </c>
      <c r="Q109" s="46">
        <f t="shared" si="8"/>
        <v>0</v>
      </c>
      <c r="R109" s="46">
        <f t="shared" si="8"/>
        <v>0</v>
      </c>
      <c r="S109" s="46">
        <f t="shared" si="8"/>
        <v>0</v>
      </c>
      <c r="T109" s="46">
        <f t="shared" si="8"/>
        <v>0</v>
      </c>
      <c r="U109" s="47">
        <f t="shared" ref="U109:W152" si="12">L109+Q109</f>
        <v>0</v>
      </c>
      <c r="V109" s="47">
        <f t="shared" si="12"/>
        <v>0</v>
      </c>
      <c r="W109" s="47">
        <f t="shared" si="12"/>
        <v>0</v>
      </c>
      <c r="X109" s="47">
        <f t="shared" si="11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9"/>
        <v>0</v>
      </c>
      <c r="M110" s="46">
        <f t="shared" si="9"/>
        <v>0</v>
      </c>
      <c r="N110" s="46">
        <f t="shared" si="9"/>
        <v>0</v>
      </c>
      <c r="O110" s="46">
        <f t="shared" si="8"/>
        <v>0</v>
      </c>
      <c r="P110" s="46">
        <f t="shared" si="8"/>
        <v>0</v>
      </c>
      <c r="Q110" s="46">
        <f t="shared" si="8"/>
        <v>0</v>
      </c>
      <c r="R110" s="46">
        <f t="shared" si="8"/>
        <v>0</v>
      </c>
      <c r="S110" s="46">
        <f t="shared" si="8"/>
        <v>0</v>
      </c>
      <c r="T110" s="46">
        <f t="shared" si="8"/>
        <v>0</v>
      </c>
      <c r="U110" s="47">
        <f t="shared" si="12"/>
        <v>0</v>
      </c>
      <c r="V110" s="47">
        <f t="shared" si="12"/>
        <v>0</v>
      </c>
      <c r="W110" s="47">
        <f t="shared" si="12"/>
        <v>0</v>
      </c>
      <c r="X110" s="47">
        <f t="shared" si="11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9"/>
        <v>0</v>
      </c>
      <c r="M111" s="46">
        <f t="shared" si="9"/>
        <v>0</v>
      </c>
      <c r="N111" s="46">
        <f t="shared" si="9"/>
        <v>0</v>
      </c>
      <c r="O111" s="46">
        <f t="shared" si="8"/>
        <v>0</v>
      </c>
      <c r="P111" s="46">
        <f t="shared" si="8"/>
        <v>0</v>
      </c>
      <c r="Q111" s="46">
        <f t="shared" si="8"/>
        <v>0</v>
      </c>
      <c r="R111" s="46">
        <f t="shared" si="8"/>
        <v>0</v>
      </c>
      <c r="S111" s="46">
        <f t="shared" si="8"/>
        <v>0</v>
      </c>
      <c r="T111" s="46">
        <f t="shared" si="8"/>
        <v>0</v>
      </c>
      <c r="U111" s="47">
        <f t="shared" si="12"/>
        <v>0</v>
      </c>
      <c r="V111" s="47">
        <f t="shared" si="12"/>
        <v>0</v>
      </c>
      <c r="W111" s="47">
        <f t="shared" si="12"/>
        <v>0</v>
      </c>
      <c r="X111" s="47">
        <f t="shared" si="11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9"/>
        <v>0</v>
      </c>
      <c r="M112" s="46">
        <f t="shared" si="9"/>
        <v>0</v>
      </c>
      <c r="N112" s="46">
        <f t="shared" si="9"/>
        <v>0</v>
      </c>
      <c r="O112" s="46">
        <f t="shared" si="8"/>
        <v>0</v>
      </c>
      <c r="P112" s="46">
        <f t="shared" si="8"/>
        <v>0</v>
      </c>
      <c r="Q112" s="46">
        <f t="shared" si="8"/>
        <v>0</v>
      </c>
      <c r="R112" s="46">
        <f t="shared" si="8"/>
        <v>0</v>
      </c>
      <c r="S112" s="46">
        <f t="shared" si="8"/>
        <v>0</v>
      </c>
      <c r="T112" s="46">
        <f t="shared" si="8"/>
        <v>0</v>
      </c>
      <c r="U112" s="47">
        <f t="shared" si="12"/>
        <v>0</v>
      </c>
      <c r="V112" s="47">
        <f t="shared" si="12"/>
        <v>0</v>
      </c>
      <c r="W112" s="47">
        <f t="shared" si="12"/>
        <v>0</v>
      </c>
      <c r="X112" s="47">
        <f t="shared" si="11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9"/>
        <v>0</v>
      </c>
      <c r="M113" s="46">
        <f t="shared" si="9"/>
        <v>0</v>
      </c>
      <c r="N113" s="46">
        <f t="shared" si="9"/>
        <v>0</v>
      </c>
      <c r="O113" s="46">
        <f t="shared" si="8"/>
        <v>0</v>
      </c>
      <c r="P113" s="46">
        <f t="shared" si="8"/>
        <v>0</v>
      </c>
      <c r="Q113" s="46">
        <f t="shared" si="8"/>
        <v>0</v>
      </c>
      <c r="R113" s="46">
        <f t="shared" si="8"/>
        <v>0</v>
      </c>
      <c r="S113" s="46">
        <f t="shared" si="8"/>
        <v>0</v>
      </c>
      <c r="T113" s="46">
        <f t="shared" si="8"/>
        <v>0</v>
      </c>
      <c r="U113" s="47">
        <f t="shared" si="12"/>
        <v>0</v>
      </c>
      <c r="V113" s="47">
        <f t="shared" si="12"/>
        <v>0</v>
      </c>
      <c r="W113" s="47">
        <f t="shared" si="12"/>
        <v>0</v>
      </c>
      <c r="X113" s="47">
        <f t="shared" si="11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9"/>
        <v>0</v>
      </c>
      <c r="M114" s="46">
        <f t="shared" si="9"/>
        <v>0</v>
      </c>
      <c r="N114" s="46">
        <f t="shared" si="9"/>
        <v>0</v>
      </c>
      <c r="O114" s="46">
        <f t="shared" si="8"/>
        <v>0</v>
      </c>
      <c r="P114" s="46">
        <f t="shared" si="8"/>
        <v>0</v>
      </c>
      <c r="Q114" s="46">
        <f t="shared" si="8"/>
        <v>0</v>
      </c>
      <c r="R114" s="46">
        <f t="shared" si="8"/>
        <v>0</v>
      </c>
      <c r="S114" s="46">
        <f t="shared" si="8"/>
        <v>0</v>
      </c>
      <c r="T114" s="46">
        <f t="shared" si="8"/>
        <v>0</v>
      </c>
      <c r="U114" s="47">
        <f t="shared" si="12"/>
        <v>0</v>
      </c>
      <c r="V114" s="47">
        <f t="shared" si="12"/>
        <v>0</v>
      </c>
      <c r="W114" s="47">
        <f t="shared" si="12"/>
        <v>0</v>
      </c>
      <c r="X114" s="47">
        <f t="shared" si="11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9"/>
        <v>0</v>
      </c>
      <c r="M115" s="46">
        <f t="shared" si="9"/>
        <v>0</v>
      </c>
      <c r="N115" s="46">
        <f t="shared" si="9"/>
        <v>0</v>
      </c>
      <c r="O115" s="46">
        <f t="shared" si="8"/>
        <v>0</v>
      </c>
      <c r="P115" s="46">
        <f t="shared" si="8"/>
        <v>0</v>
      </c>
      <c r="Q115" s="46">
        <f t="shared" si="8"/>
        <v>0</v>
      </c>
      <c r="R115" s="46">
        <f t="shared" ref="R115:T152" si="13">IFERROR(H116-H115,0)</f>
        <v>0</v>
      </c>
      <c r="S115" s="46">
        <f t="shared" si="13"/>
        <v>0</v>
      </c>
      <c r="T115" s="46">
        <f t="shared" si="13"/>
        <v>0</v>
      </c>
      <c r="U115" s="47">
        <f t="shared" si="12"/>
        <v>0</v>
      </c>
      <c r="V115" s="47">
        <f t="shared" si="12"/>
        <v>0</v>
      </c>
      <c r="W115" s="47">
        <f t="shared" si="12"/>
        <v>0</v>
      </c>
      <c r="X115" s="47">
        <f t="shared" si="11"/>
        <v>0</v>
      </c>
    </row>
    <row r="116" spans="1:24" ht="20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9"/>
        <v>0</v>
      </c>
      <c r="M116" s="46">
        <f t="shared" si="9"/>
        <v>0</v>
      </c>
      <c r="N116" s="46">
        <f t="shared" si="9"/>
        <v>0</v>
      </c>
      <c r="O116" s="46">
        <f t="shared" si="9"/>
        <v>0</v>
      </c>
      <c r="P116" s="46">
        <f t="shared" si="9"/>
        <v>0</v>
      </c>
      <c r="Q116" s="46">
        <f t="shared" si="9"/>
        <v>0</v>
      </c>
      <c r="R116" s="46">
        <f t="shared" si="13"/>
        <v>0</v>
      </c>
      <c r="S116" s="46">
        <f t="shared" si="13"/>
        <v>0</v>
      </c>
      <c r="T116" s="46">
        <f t="shared" si="13"/>
        <v>0</v>
      </c>
      <c r="U116" s="47">
        <f t="shared" si="12"/>
        <v>0</v>
      </c>
      <c r="V116" s="47">
        <f t="shared" si="12"/>
        <v>0</v>
      </c>
      <c r="W116" s="47">
        <f t="shared" si="12"/>
        <v>0</v>
      </c>
      <c r="X116" s="47">
        <f t="shared" si="11"/>
        <v>0</v>
      </c>
    </row>
    <row r="117" spans="1:24" ht="16.75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9"/>
        <v>0</v>
      </c>
      <c r="M117" s="46">
        <f t="shared" si="9"/>
        <v>0</v>
      </c>
      <c r="N117" s="46">
        <f t="shared" si="9"/>
        <v>0</v>
      </c>
      <c r="O117" s="46">
        <f t="shared" si="9"/>
        <v>0</v>
      </c>
      <c r="P117" s="46">
        <f t="shared" si="9"/>
        <v>0</v>
      </c>
      <c r="Q117" s="46">
        <f t="shared" si="9"/>
        <v>0</v>
      </c>
      <c r="R117" s="46">
        <f t="shared" si="13"/>
        <v>0</v>
      </c>
      <c r="S117" s="46">
        <f t="shared" si="13"/>
        <v>0</v>
      </c>
      <c r="T117" s="46">
        <f t="shared" si="13"/>
        <v>0</v>
      </c>
      <c r="U117" s="47">
        <f t="shared" si="12"/>
        <v>0</v>
      </c>
      <c r="V117" s="47">
        <f t="shared" si="12"/>
        <v>0</v>
      </c>
      <c r="W117" s="47">
        <f t="shared" si="12"/>
        <v>0</v>
      </c>
      <c r="X117" s="47">
        <f t="shared" si="11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9"/>
        <v>0</v>
      </c>
      <c r="M118" s="46">
        <f t="shared" si="9"/>
        <v>0</v>
      </c>
      <c r="N118" s="46">
        <f t="shared" si="9"/>
        <v>0</v>
      </c>
      <c r="O118" s="46">
        <f t="shared" si="9"/>
        <v>0</v>
      </c>
      <c r="P118" s="46">
        <f t="shared" si="9"/>
        <v>0</v>
      </c>
      <c r="Q118" s="46">
        <f t="shared" si="9"/>
        <v>0</v>
      </c>
      <c r="R118" s="46">
        <f t="shared" si="13"/>
        <v>0</v>
      </c>
      <c r="S118" s="46">
        <f t="shared" si="13"/>
        <v>0</v>
      </c>
      <c r="T118" s="46">
        <f t="shared" si="13"/>
        <v>0</v>
      </c>
      <c r="U118" s="47">
        <f t="shared" si="12"/>
        <v>0</v>
      </c>
      <c r="V118" s="47">
        <f t="shared" si="12"/>
        <v>0</v>
      </c>
      <c r="W118" s="47">
        <f t="shared" si="12"/>
        <v>0</v>
      </c>
      <c r="X118" s="47">
        <f t="shared" si="11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9"/>
        <v>0</v>
      </c>
      <c r="M119" s="46">
        <f t="shared" si="9"/>
        <v>0</v>
      </c>
      <c r="N119" s="46">
        <f t="shared" si="9"/>
        <v>0</v>
      </c>
      <c r="O119" s="46">
        <f t="shared" si="9"/>
        <v>0</v>
      </c>
      <c r="P119" s="46">
        <f t="shared" si="9"/>
        <v>0</v>
      </c>
      <c r="Q119" s="46">
        <f t="shared" si="9"/>
        <v>0</v>
      </c>
      <c r="R119" s="46">
        <f t="shared" si="13"/>
        <v>0</v>
      </c>
      <c r="S119" s="46">
        <f t="shared" si="13"/>
        <v>0</v>
      </c>
      <c r="T119" s="46">
        <f t="shared" si="13"/>
        <v>0</v>
      </c>
      <c r="U119" s="47">
        <f t="shared" si="12"/>
        <v>0</v>
      </c>
      <c r="V119" s="47">
        <f t="shared" si="12"/>
        <v>0</v>
      </c>
      <c r="W119" s="47">
        <f t="shared" si="12"/>
        <v>0</v>
      </c>
      <c r="X119" s="47">
        <f t="shared" si="11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9"/>
        <v>0</v>
      </c>
      <c r="M120" s="46">
        <f t="shared" si="9"/>
        <v>0</v>
      </c>
      <c r="N120" s="46">
        <f t="shared" si="9"/>
        <v>0</v>
      </c>
      <c r="O120" s="46">
        <f t="shared" si="9"/>
        <v>0</v>
      </c>
      <c r="P120" s="46">
        <f t="shared" si="9"/>
        <v>0</v>
      </c>
      <c r="Q120" s="46">
        <f t="shared" si="9"/>
        <v>0</v>
      </c>
      <c r="R120" s="46">
        <f t="shared" si="13"/>
        <v>0</v>
      </c>
      <c r="S120" s="46">
        <f t="shared" si="13"/>
        <v>0</v>
      </c>
      <c r="T120" s="46">
        <f t="shared" si="13"/>
        <v>0</v>
      </c>
      <c r="U120" s="47">
        <f t="shared" si="12"/>
        <v>0</v>
      </c>
      <c r="V120" s="47">
        <f t="shared" si="12"/>
        <v>0</v>
      </c>
      <c r="W120" s="47">
        <f t="shared" si="12"/>
        <v>0</v>
      </c>
      <c r="X120" s="47">
        <f t="shared" si="11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9"/>
        <v>0</v>
      </c>
      <c r="M121" s="46">
        <f t="shared" si="9"/>
        <v>0</v>
      </c>
      <c r="N121" s="46">
        <f t="shared" si="9"/>
        <v>0</v>
      </c>
      <c r="O121" s="46">
        <f t="shared" si="9"/>
        <v>0</v>
      </c>
      <c r="P121" s="46">
        <f t="shared" si="9"/>
        <v>0</v>
      </c>
      <c r="Q121" s="46">
        <f t="shared" si="9"/>
        <v>0</v>
      </c>
      <c r="R121" s="46">
        <f t="shared" si="13"/>
        <v>0</v>
      </c>
      <c r="S121" s="46">
        <f t="shared" si="13"/>
        <v>0</v>
      </c>
      <c r="T121" s="46">
        <f t="shared" si="13"/>
        <v>0</v>
      </c>
      <c r="U121" s="47">
        <f t="shared" si="12"/>
        <v>0</v>
      </c>
      <c r="V121" s="47">
        <f t="shared" si="12"/>
        <v>0</v>
      </c>
      <c r="W121" s="47">
        <f t="shared" si="12"/>
        <v>0</v>
      </c>
      <c r="X121" s="47">
        <f t="shared" si="11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9"/>
        <v>0</v>
      </c>
      <c r="M122" s="46">
        <f t="shared" si="9"/>
        <v>0</v>
      </c>
      <c r="N122" s="46">
        <f t="shared" si="9"/>
        <v>0</v>
      </c>
      <c r="O122" s="46">
        <f t="shared" si="9"/>
        <v>0</v>
      </c>
      <c r="P122" s="46">
        <f t="shared" si="9"/>
        <v>0</v>
      </c>
      <c r="Q122" s="46">
        <f t="shared" si="9"/>
        <v>0</v>
      </c>
      <c r="R122" s="46">
        <f t="shared" si="13"/>
        <v>0</v>
      </c>
      <c r="S122" s="46">
        <f t="shared" si="13"/>
        <v>0</v>
      </c>
      <c r="T122" s="46">
        <f t="shared" si="13"/>
        <v>0</v>
      </c>
      <c r="U122" s="47">
        <f t="shared" si="12"/>
        <v>0</v>
      </c>
      <c r="V122" s="47">
        <f t="shared" si="12"/>
        <v>0</v>
      </c>
      <c r="W122" s="47">
        <f t="shared" si="12"/>
        <v>0</v>
      </c>
      <c r="X122" s="47">
        <f t="shared" si="11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9"/>
        <v>0</v>
      </c>
      <c r="M123" s="46">
        <f t="shared" si="9"/>
        <v>0</v>
      </c>
      <c r="N123" s="46">
        <f t="shared" si="9"/>
        <v>0</v>
      </c>
      <c r="O123" s="46">
        <f t="shared" si="9"/>
        <v>0</v>
      </c>
      <c r="P123" s="46">
        <f t="shared" si="9"/>
        <v>0</v>
      </c>
      <c r="Q123" s="46">
        <f t="shared" si="9"/>
        <v>0</v>
      </c>
      <c r="R123" s="46">
        <f t="shared" si="13"/>
        <v>0</v>
      </c>
      <c r="S123" s="46">
        <f t="shared" si="13"/>
        <v>0</v>
      </c>
      <c r="T123" s="46">
        <f t="shared" si="13"/>
        <v>0</v>
      </c>
      <c r="U123" s="47">
        <f t="shared" si="12"/>
        <v>0</v>
      </c>
      <c r="V123" s="47">
        <f t="shared" si="12"/>
        <v>0</v>
      </c>
      <c r="W123" s="47">
        <f t="shared" si="12"/>
        <v>0</v>
      </c>
      <c r="X123" s="47">
        <f t="shared" si="11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9"/>
        <v>0</v>
      </c>
      <c r="M124" s="46">
        <f t="shared" si="9"/>
        <v>0</v>
      </c>
      <c r="N124" s="46">
        <f t="shared" si="9"/>
        <v>0</v>
      </c>
      <c r="O124" s="46">
        <f t="shared" si="9"/>
        <v>0</v>
      </c>
      <c r="P124" s="46">
        <f t="shared" si="9"/>
        <v>0</v>
      </c>
      <c r="Q124" s="46">
        <f t="shared" si="9"/>
        <v>0</v>
      </c>
      <c r="R124" s="46">
        <f t="shared" si="13"/>
        <v>0</v>
      </c>
      <c r="S124" s="46">
        <f t="shared" si="13"/>
        <v>0</v>
      </c>
      <c r="T124" s="46">
        <f t="shared" si="13"/>
        <v>0</v>
      </c>
      <c r="U124" s="47">
        <f t="shared" si="12"/>
        <v>0</v>
      </c>
      <c r="V124" s="47">
        <f t="shared" si="12"/>
        <v>0</v>
      </c>
      <c r="W124" s="47">
        <f t="shared" si="12"/>
        <v>0</v>
      </c>
      <c r="X124" s="47">
        <f t="shared" si="11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9"/>
        <v>0</v>
      </c>
      <c r="M125" s="46">
        <f t="shared" si="9"/>
        <v>0</v>
      </c>
      <c r="N125" s="46">
        <f t="shared" si="9"/>
        <v>0</v>
      </c>
      <c r="O125" s="46">
        <f t="shared" si="9"/>
        <v>0</v>
      </c>
      <c r="P125" s="46">
        <f t="shared" si="9"/>
        <v>0</v>
      </c>
      <c r="Q125" s="46">
        <f t="shared" si="9"/>
        <v>0</v>
      </c>
      <c r="R125" s="46">
        <f t="shared" si="13"/>
        <v>0</v>
      </c>
      <c r="S125" s="46">
        <f t="shared" si="13"/>
        <v>0</v>
      </c>
      <c r="T125" s="46">
        <f t="shared" si="13"/>
        <v>0</v>
      </c>
      <c r="U125" s="47">
        <f t="shared" si="12"/>
        <v>0</v>
      </c>
      <c r="V125" s="47">
        <f t="shared" si="12"/>
        <v>0</v>
      </c>
      <c r="W125" s="47">
        <f t="shared" si="12"/>
        <v>0</v>
      </c>
      <c r="X125" s="47">
        <f t="shared" si="11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9"/>
        <v>0</v>
      </c>
      <c r="M126" s="46">
        <f t="shared" si="9"/>
        <v>0</v>
      </c>
      <c r="N126" s="46">
        <f t="shared" si="9"/>
        <v>0</v>
      </c>
      <c r="O126" s="46">
        <f t="shared" si="9"/>
        <v>0</v>
      </c>
      <c r="P126" s="46">
        <f t="shared" si="9"/>
        <v>0</v>
      </c>
      <c r="Q126" s="46">
        <f t="shared" si="9"/>
        <v>0</v>
      </c>
      <c r="R126" s="46">
        <f t="shared" si="13"/>
        <v>0</v>
      </c>
      <c r="S126" s="46">
        <f t="shared" si="13"/>
        <v>0</v>
      </c>
      <c r="T126" s="46">
        <f t="shared" si="13"/>
        <v>0</v>
      </c>
      <c r="U126" s="47">
        <f t="shared" si="12"/>
        <v>0</v>
      </c>
      <c r="V126" s="47">
        <f t="shared" si="12"/>
        <v>0</v>
      </c>
      <c r="W126" s="47">
        <f t="shared" si="12"/>
        <v>0</v>
      </c>
      <c r="X126" s="47">
        <f t="shared" si="11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9"/>
        <v>0</v>
      </c>
      <c r="M127" s="46">
        <f t="shared" si="9"/>
        <v>0</v>
      </c>
      <c r="N127" s="46">
        <f t="shared" si="9"/>
        <v>0</v>
      </c>
      <c r="O127" s="46">
        <f t="shared" si="9"/>
        <v>0</v>
      </c>
      <c r="P127" s="46">
        <f t="shared" si="9"/>
        <v>0</v>
      </c>
      <c r="Q127" s="46">
        <f t="shared" si="9"/>
        <v>0</v>
      </c>
      <c r="R127" s="46">
        <f t="shared" si="13"/>
        <v>0</v>
      </c>
      <c r="S127" s="46">
        <f t="shared" si="13"/>
        <v>0</v>
      </c>
      <c r="T127" s="46">
        <f t="shared" si="13"/>
        <v>0</v>
      </c>
      <c r="U127" s="47">
        <f t="shared" si="12"/>
        <v>0</v>
      </c>
      <c r="V127" s="47">
        <f t="shared" si="12"/>
        <v>0</v>
      </c>
      <c r="W127" s="47">
        <f t="shared" si="12"/>
        <v>0</v>
      </c>
      <c r="X127" s="47">
        <f t="shared" si="11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9"/>
        <v>0</v>
      </c>
      <c r="M128" s="46">
        <f t="shared" si="9"/>
        <v>0</v>
      </c>
      <c r="N128" s="46">
        <f t="shared" si="9"/>
        <v>0</v>
      </c>
      <c r="O128" s="46">
        <f t="shared" si="9"/>
        <v>0</v>
      </c>
      <c r="P128" s="46">
        <f t="shared" si="9"/>
        <v>0</v>
      </c>
      <c r="Q128" s="46">
        <f t="shared" si="9"/>
        <v>0</v>
      </c>
      <c r="R128" s="46">
        <f t="shared" si="13"/>
        <v>0</v>
      </c>
      <c r="S128" s="46">
        <f t="shared" si="13"/>
        <v>0</v>
      </c>
      <c r="T128" s="46">
        <f t="shared" si="13"/>
        <v>0</v>
      </c>
      <c r="U128" s="47">
        <f t="shared" si="12"/>
        <v>0</v>
      </c>
      <c r="V128" s="47">
        <f t="shared" si="12"/>
        <v>0</v>
      </c>
      <c r="W128" s="47">
        <f t="shared" si="12"/>
        <v>0</v>
      </c>
      <c r="X128" s="47">
        <f t="shared" si="11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9"/>
        <v>0</v>
      </c>
      <c r="M129" s="46">
        <f t="shared" si="9"/>
        <v>0</v>
      </c>
      <c r="N129" s="46">
        <f t="shared" si="9"/>
        <v>0</v>
      </c>
      <c r="O129" s="46">
        <f t="shared" si="9"/>
        <v>0</v>
      </c>
      <c r="P129" s="46">
        <f t="shared" si="9"/>
        <v>0</v>
      </c>
      <c r="Q129" s="46">
        <f t="shared" si="9"/>
        <v>0</v>
      </c>
      <c r="R129" s="46">
        <f t="shared" si="13"/>
        <v>0</v>
      </c>
      <c r="S129" s="46">
        <f t="shared" si="13"/>
        <v>0</v>
      </c>
      <c r="T129" s="46">
        <f t="shared" si="13"/>
        <v>0</v>
      </c>
      <c r="U129" s="47">
        <f t="shared" si="12"/>
        <v>0</v>
      </c>
      <c r="V129" s="47">
        <f t="shared" si="12"/>
        <v>0</v>
      </c>
      <c r="W129" s="47">
        <f t="shared" si="12"/>
        <v>0</v>
      </c>
      <c r="X129" s="47">
        <f t="shared" si="11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9"/>
        <v>0</v>
      </c>
      <c r="M130" s="46">
        <f t="shared" si="9"/>
        <v>0</v>
      </c>
      <c r="N130" s="46">
        <f t="shared" si="9"/>
        <v>0</v>
      </c>
      <c r="O130" s="46">
        <f t="shared" si="9"/>
        <v>0</v>
      </c>
      <c r="P130" s="46">
        <f t="shared" si="9"/>
        <v>0</v>
      </c>
      <c r="Q130" s="46">
        <f t="shared" si="9"/>
        <v>0</v>
      </c>
      <c r="R130" s="46">
        <f t="shared" si="13"/>
        <v>0</v>
      </c>
      <c r="S130" s="46">
        <f t="shared" si="13"/>
        <v>0</v>
      </c>
      <c r="T130" s="46">
        <f t="shared" si="13"/>
        <v>0</v>
      </c>
      <c r="U130" s="47">
        <f t="shared" si="12"/>
        <v>0</v>
      </c>
      <c r="V130" s="47">
        <f t="shared" si="12"/>
        <v>0</v>
      </c>
      <c r="W130" s="47">
        <f t="shared" si="12"/>
        <v>0</v>
      </c>
      <c r="X130" s="47">
        <f t="shared" si="11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9"/>
        <v>0</v>
      </c>
      <c r="M131" s="46">
        <f t="shared" si="9"/>
        <v>0</v>
      </c>
      <c r="N131" s="46">
        <f t="shared" si="9"/>
        <v>0</v>
      </c>
      <c r="O131" s="46">
        <f t="shared" si="9"/>
        <v>0</v>
      </c>
      <c r="P131" s="46">
        <f t="shared" si="9"/>
        <v>0</v>
      </c>
      <c r="Q131" s="46">
        <f t="shared" si="9"/>
        <v>0</v>
      </c>
      <c r="R131" s="46">
        <f t="shared" si="13"/>
        <v>0</v>
      </c>
      <c r="S131" s="46">
        <f t="shared" si="13"/>
        <v>0</v>
      </c>
      <c r="T131" s="46">
        <f t="shared" si="13"/>
        <v>0</v>
      </c>
      <c r="U131" s="47">
        <f t="shared" si="12"/>
        <v>0</v>
      </c>
      <c r="V131" s="47">
        <f t="shared" si="12"/>
        <v>0</v>
      </c>
      <c r="W131" s="47">
        <f t="shared" si="12"/>
        <v>0</v>
      </c>
      <c r="X131" s="47">
        <f t="shared" si="11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9"/>
        <v>0</v>
      </c>
      <c r="M132" s="46">
        <f t="shared" si="9"/>
        <v>0</v>
      </c>
      <c r="N132" s="46">
        <f t="shared" si="9"/>
        <v>0</v>
      </c>
      <c r="O132" s="46">
        <f t="shared" si="9"/>
        <v>0</v>
      </c>
      <c r="P132" s="46">
        <f t="shared" si="9"/>
        <v>0</v>
      </c>
      <c r="Q132" s="46">
        <f t="shared" si="9"/>
        <v>0</v>
      </c>
      <c r="R132" s="46">
        <f t="shared" si="13"/>
        <v>0</v>
      </c>
      <c r="S132" s="46">
        <f t="shared" si="13"/>
        <v>0</v>
      </c>
      <c r="T132" s="46">
        <f t="shared" si="13"/>
        <v>0</v>
      </c>
      <c r="U132" s="47">
        <f t="shared" si="12"/>
        <v>0</v>
      </c>
      <c r="V132" s="47">
        <f t="shared" si="12"/>
        <v>0</v>
      </c>
      <c r="W132" s="47">
        <f t="shared" si="12"/>
        <v>0</v>
      </c>
      <c r="X132" s="47">
        <f t="shared" si="11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9"/>
        <v>0</v>
      </c>
      <c r="M133" s="46">
        <f t="shared" si="9"/>
        <v>0</v>
      </c>
      <c r="N133" s="46">
        <f t="shared" si="9"/>
        <v>0</v>
      </c>
      <c r="O133" s="46">
        <f t="shared" si="9"/>
        <v>0</v>
      </c>
      <c r="P133" s="46">
        <f t="shared" si="9"/>
        <v>0</v>
      </c>
      <c r="Q133" s="46">
        <f t="shared" si="9"/>
        <v>0</v>
      </c>
      <c r="R133" s="46">
        <f t="shared" si="13"/>
        <v>0</v>
      </c>
      <c r="S133" s="46">
        <f t="shared" si="13"/>
        <v>0</v>
      </c>
      <c r="T133" s="46">
        <f t="shared" si="13"/>
        <v>0</v>
      </c>
      <c r="U133" s="47">
        <f t="shared" si="12"/>
        <v>0</v>
      </c>
      <c r="V133" s="47">
        <f t="shared" si="12"/>
        <v>0</v>
      </c>
      <c r="W133" s="47">
        <f t="shared" si="12"/>
        <v>0</v>
      </c>
      <c r="X133" s="47">
        <f t="shared" si="11"/>
        <v>0</v>
      </c>
    </row>
    <row r="134" spans="1:24" ht="20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9"/>
        <v>0</v>
      </c>
      <c r="M134" s="46">
        <f t="shared" si="9"/>
        <v>0</v>
      </c>
      <c r="N134" s="46">
        <f t="shared" si="9"/>
        <v>0</v>
      </c>
      <c r="O134" s="46">
        <f t="shared" si="9"/>
        <v>0</v>
      </c>
      <c r="P134" s="46">
        <f t="shared" si="9"/>
        <v>0</v>
      </c>
      <c r="Q134" s="46">
        <f t="shared" si="9"/>
        <v>0</v>
      </c>
      <c r="R134" s="46">
        <f t="shared" si="13"/>
        <v>0</v>
      </c>
      <c r="S134" s="46">
        <f t="shared" si="13"/>
        <v>0</v>
      </c>
      <c r="T134" s="46">
        <f t="shared" si="13"/>
        <v>0</v>
      </c>
      <c r="U134" s="47">
        <f t="shared" si="12"/>
        <v>0</v>
      </c>
      <c r="V134" s="47">
        <f t="shared" si="12"/>
        <v>0</v>
      </c>
      <c r="W134" s="47">
        <f t="shared" si="12"/>
        <v>0</v>
      </c>
      <c r="X134" s="47">
        <f t="shared" si="11"/>
        <v>0</v>
      </c>
    </row>
    <row r="135" spans="1:24" ht="16.75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9"/>
        <v>0</v>
      </c>
      <c r="M135" s="46">
        <f t="shared" si="9"/>
        <v>0</v>
      </c>
      <c r="N135" s="46">
        <f t="shared" si="9"/>
        <v>0</v>
      </c>
      <c r="O135" s="46">
        <f t="shared" si="9"/>
        <v>0</v>
      </c>
      <c r="P135" s="46">
        <f t="shared" si="9"/>
        <v>0</v>
      </c>
      <c r="Q135" s="46">
        <f t="shared" si="9"/>
        <v>0</v>
      </c>
      <c r="R135" s="46">
        <f t="shared" si="13"/>
        <v>0</v>
      </c>
      <c r="S135" s="46">
        <f t="shared" si="13"/>
        <v>0</v>
      </c>
      <c r="T135" s="46">
        <f t="shared" si="13"/>
        <v>0</v>
      </c>
      <c r="U135" s="47">
        <f t="shared" si="12"/>
        <v>0</v>
      </c>
      <c r="V135" s="47">
        <f t="shared" si="12"/>
        <v>0</v>
      </c>
      <c r="W135" s="47">
        <f t="shared" si="12"/>
        <v>0</v>
      </c>
      <c r="X135" s="47">
        <f t="shared" si="11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9"/>
        <v>0</v>
      </c>
      <c r="M136" s="46">
        <f t="shared" si="9"/>
        <v>0</v>
      </c>
      <c r="N136" s="46">
        <f t="shared" si="9"/>
        <v>0</v>
      </c>
      <c r="O136" s="46">
        <f t="shared" si="9"/>
        <v>0</v>
      </c>
      <c r="P136" s="46">
        <f t="shared" si="9"/>
        <v>0</v>
      </c>
      <c r="Q136" s="46">
        <f t="shared" si="9"/>
        <v>0</v>
      </c>
      <c r="R136" s="46">
        <f t="shared" si="13"/>
        <v>0</v>
      </c>
      <c r="S136" s="46">
        <f t="shared" si="13"/>
        <v>0</v>
      </c>
      <c r="T136" s="46">
        <f t="shared" si="13"/>
        <v>0</v>
      </c>
      <c r="U136" s="47">
        <f t="shared" si="12"/>
        <v>0</v>
      </c>
      <c r="V136" s="47">
        <f t="shared" si="12"/>
        <v>0</v>
      </c>
      <c r="W136" s="47">
        <f t="shared" si="12"/>
        <v>0</v>
      </c>
      <c r="X136" s="47">
        <f t="shared" si="11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si="9"/>
        <v>0</v>
      </c>
      <c r="M137" s="46">
        <f t="shared" si="9"/>
        <v>0</v>
      </c>
      <c r="N137" s="46">
        <f t="shared" si="9"/>
        <v>0</v>
      </c>
      <c r="O137" s="46">
        <f t="shared" ref="O137:Q152" si="14">IFERROR(E138-E137,0)</f>
        <v>0</v>
      </c>
      <c r="P137" s="46">
        <f t="shared" si="14"/>
        <v>0</v>
      </c>
      <c r="Q137" s="46">
        <f t="shared" si="14"/>
        <v>0</v>
      </c>
      <c r="R137" s="46">
        <f t="shared" si="13"/>
        <v>0</v>
      </c>
      <c r="S137" s="46">
        <f t="shared" si="13"/>
        <v>0</v>
      </c>
      <c r="T137" s="46">
        <f t="shared" si="13"/>
        <v>0</v>
      </c>
      <c r="U137" s="47">
        <f t="shared" si="12"/>
        <v>0</v>
      </c>
      <c r="V137" s="47">
        <f t="shared" si="12"/>
        <v>0</v>
      </c>
      <c r="W137" s="47">
        <f t="shared" si="12"/>
        <v>0</v>
      </c>
      <c r="X137" s="47">
        <f t="shared" si="11"/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ref="L138:N152" si="15">IFERROR(B139-B138,0)</f>
        <v>0</v>
      </c>
      <c r="M138" s="46">
        <f t="shared" si="15"/>
        <v>0</v>
      </c>
      <c r="N138" s="46">
        <f t="shared" si="15"/>
        <v>0</v>
      </c>
      <c r="O138" s="46">
        <f t="shared" si="14"/>
        <v>0</v>
      </c>
      <c r="P138" s="46">
        <f t="shared" si="14"/>
        <v>0</v>
      </c>
      <c r="Q138" s="46">
        <f t="shared" si="14"/>
        <v>0</v>
      </c>
      <c r="R138" s="46">
        <f t="shared" si="13"/>
        <v>0</v>
      </c>
      <c r="S138" s="46">
        <f t="shared" si="13"/>
        <v>0</v>
      </c>
      <c r="T138" s="46">
        <f t="shared" si="13"/>
        <v>0</v>
      </c>
      <c r="U138" s="47">
        <f t="shared" si="12"/>
        <v>0</v>
      </c>
      <c r="V138" s="47">
        <f t="shared" si="12"/>
        <v>0</v>
      </c>
      <c r="W138" s="47">
        <f t="shared" si="12"/>
        <v>0</v>
      </c>
      <c r="X138" s="47">
        <f t="shared" ref="X138:X153" si="16">O138+P138+T138</f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15"/>
        <v>0</v>
      </c>
      <c r="M139" s="46">
        <f t="shared" si="15"/>
        <v>0</v>
      </c>
      <c r="N139" s="46">
        <f t="shared" si="15"/>
        <v>0</v>
      </c>
      <c r="O139" s="46">
        <f t="shared" si="14"/>
        <v>0</v>
      </c>
      <c r="P139" s="46">
        <f t="shared" si="14"/>
        <v>0</v>
      </c>
      <c r="Q139" s="46">
        <f t="shared" si="14"/>
        <v>0</v>
      </c>
      <c r="R139" s="46">
        <f t="shared" si="13"/>
        <v>0</v>
      </c>
      <c r="S139" s="46">
        <f t="shared" si="13"/>
        <v>0</v>
      </c>
      <c r="T139" s="46">
        <f t="shared" si="13"/>
        <v>0</v>
      </c>
      <c r="U139" s="47">
        <f t="shared" si="12"/>
        <v>0</v>
      </c>
      <c r="V139" s="47">
        <f t="shared" si="12"/>
        <v>0</v>
      </c>
      <c r="W139" s="47">
        <f t="shared" si="12"/>
        <v>0</v>
      </c>
      <c r="X139" s="47">
        <f t="shared" si="16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15"/>
        <v>0</v>
      </c>
      <c r="M140" s="46">
        <f t="shared" si="15"/>
        <v>0</v>
      </c>
      <c r="N140" s="46">
        <f t="shared" si="15"/>
        <v>0</v>
      </c>
      <c r="O140" s="46">
        <f t="shared" si="14"/>
        <v>0</v>
      </c>
      <c r="P140" s="46">
        <f t="shared" si="14"/>
        <v>0</v>
      </c>
      <c r="Q140" s="46">
        <f t="shared" si="14"/>
        <v>0</v>
      </c>
      <c r="R140" s="46">
        <f t="shared" si="13"/>
        <v>0</v>
      </c>
      <c r="S140" s="46">
        <f t="shared" si="13"/>
        <v>0</v>
      </c>
      <c r="T140" s="46">
        <f t="shared" si="13"/>
        <v>0</v>
      </c>
      <c r="U140" s="47">
        <f t="shared" si="12"/>
        <v>0</v>
      </c>
      <c r="V140" s="47">
        <f t="shared" si="12"/>
        <v>0</v>
      </c>
      <c r="W140" s="47">
        <f t="shared" si="12"/>
        <v>0</v>
      </c>
      <c r="X140" s="47">
        <f t="shared" si="16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15"/>
        <v>0</v>
      </c>
      <c r="M141" s="46">
        <f t="shared" si="15"/>
        <v>0</v>
      </c>
      <c r="N141" s="46">
        <f t="shared" si="15"/>
        <v>0</v>
      </c>
      <c r="O141" s="46">
        <f t="shared" si="14"/>
        <v>0</v>
      </c>
      <c r="P141" s="46">
        <f t="shared" si="14"/>
        <v>0</v>
      </c>
      <c r="Q141" s="46">
        <f t="shared" si="14"/>
        <v>0</v>
      </c>
      <c r="R141" s="46">
        <f t="shared" si="13"/>
        <v>0</v>
      </c>
      <c r="S141" s="46">
        <f t="shared" si="13"/>
        <v>0</v>
      </c>
      <c r="T141" s="46">
        <f t="shared" si="13"/>
        <v>0</v>
      </c>
      <c r="U141" s="47">
        <f t="shared" si="12"/>
        <v>0</v>
      </c>
      <c r="V141" s="47">
        <f t="shared" si="12"/>
        <v>0</v>
      </c>
      <c r="W141" s="47">
        <f t="shared" si="12"/>
        <v>0</v>
      </c>
      <c r="X141" s="47">
        <f t="shared" si="16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15"/>
        <v>0</v>
      </c>
      <c r="M142" s="46">
        <f t="shared" si="15"/>
        <v>0</v>
      </c>
      <c r="N142" s="46">
        <f t="shared" si="15"/>
        <v>0</v>
      </c>
      <c r="O142" s="46">
        <f t="shared" si="14"/>
        <v>0</v>
      </c>
      <c r="P142" s="46">
        <f t="shared" si="14"/>
        <v>0</v>
      </c>
      <c r="Q142" s="46">
        <f t="shared" si="14"/>
        <v>0</v>
      </c>
      <c r="R142" s="46">
        <f t="shared" si="13"/>
        <v>0</v>
      </c>
      <c r="S142" s="46">
        <f t="shared" si="13"/>
        <v>0</v>
      </c>
      <c r="T142" s="46">
        <f t="shared" si="13"/>
        <v>0</v>
      </c>
      <c r="U142" s="47">
        <f t="shared" si="12"/>
        <v>0</v>
      </c>
      <c r="V142" s="47">
        <f t="shared" si="12"/>
        <v>0</v>
      </c>
      <c r="W142" s="47">
        <f t="shared" si="12"/>
        <v>0</v>
      </c>
      <c r="X142" s="47">
        <f t="shared" si="16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15"/>
        <v>0</v>
      </c>
      <c r="M143" s="46">
        <f t="shared" si="15"/>
        <v>0</v>
      </c>
      <c r="N143" s="46">
        <f t="shared" si="15"/>
        <v>0</v>
      </c>
      <c r="O143" s="46">
        <f t="shared" si="14"/>
        <v>0</v>
      </c>
      <c r="P143" s="46">
        <f t="shared" si="14"/>
        <v>0</v>
      </c>
      <c r="Q143" s="46">
        <f t="shared" si="14"/>
        <v>0</v>
      </c>
      <c r="R143" s="46">
        <f t="shared" si="13"/>
        <v>0</v>
      </c>
      <c r="S143" s="46">
        <f t="shared" si="13"/>
        <v>0</v>
      </c>
      <c r="T143" s="46">
        <f t="shared" si="13"/>
        <v>0</v>
      </c>
      <c r="U143" s="47">
        <f t="shared" si="12"/>
        <v>0</v>
      </c>
      <c r="V143" s="47">
        <f t="shared" si="12"/>
        <v>0</v>
      </c>
      <c r="W143" s="47">
        <f t="shared" si="12"/>
        <v>0</v>
      </c>
      <c r="X143" s="47">
        <f t="shared" si="16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15"/>
        <v>0</v>
      </c>
      <c r="M144" s="46">
        <f t="shared" si="15"/>
        <v>0</v>
      </c>
      <c r="N144" s="46">
        <f t="shared" si="15"/>
        <v>0</v>
      </c>
      <c r="O144" s="46">
        <f t="shared" si="14"/>
        <v>0</v>
      </c>
      <c r="P144" s="46">
        <f t="shared" si="14"/>
        <v>0</v>
      </c>
      <c r="Q144" s="46">
        <f t="shared" si="14"/>
        <v>0</v>
      </c>
      <c r="R144" s="46">
        <f t="shared" si="13"/>
        <v>0</v>
      </c>
      <c r="S144" s="46">
        <f t="shared" si="13"/>
        <v>0</v>
      </c>
      <c r="T144" s="46">
        <f t="shared" si="13"/>
        <v>0</v>
      </c>
      <c r="U144" s="47">
        <f t="shared" si="12"/>
        <v>0</v>
      </c>
      <c r="V144" s="47">
        <f t="shared" si="12"/>
        <v>0</v>
      </c>
      <c r="W144" s="47">
        <f t="shared" si="12"/>
        <v>0</v>
      </c>
      <c r="X144" s="47">
        <f t="shared" si="16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15"/>
        <v>0</v>
      </c>
      <c r="M145" s="46">
        <f t="shared" si="15"/>
        <v>0</v>
      </c>
      <c r="N145" s="46">
        <f t="shared" si="15"/>
        <v>0</v>
      </c>
      <c r="O145" s="46">
        <f t="shared" si="14"/>
        <v>0</v>
      </c>
      <c r="P145" s="46">
        <f t="shared" si="14"/>
        <v>0</v>
      </c>
      <c r="Q145" s="46">
        <f t="shared" si="14"/>
        <v>0</v>
      </c>
      <c r="R145" s="46">
        <f t="shared" si="13"/>
        <v>0</v>
      </c>
      <c r="S145" s="46">
        <f t="shared" si="13"/>
        <v>0</v>
      </c>
      <c r="T145" s="46">
        <f t="shared" si="13"/>
        <v>0</v>
      </c>
      <c r="U145" s="47">
        <f t="shared" si="12"/>
        <v>0</v>
      </c>
      <c r="V145" s="47">
        <f t="shared" si="12"/>
        <v>0</v>
      </c>
      <c r="W145" s="47">
        <f t="shared" si="12"/>
        <v>0</v>
      </c>
      <c r="X145" s="47">
        <f t="shared" si="16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15"/>
        <v>0</v>
      </c>
      <c r="M146" s="46">
        <f t="shared" si="15"/>
        <v>0</v>
      </c>
      <c r="N146" s="46">
        <f t="shared" si="15"/>
        <v>0</v>
      </c>
      <c r="O146" s="46">
        <f t="shared" si="14"/>
        <v>0</v>
      </c>
      <c r="P146" s="46">
        <f t="shared" si="14"/>
        <v>0</v>
      </c>
      <c r="Q146" s="46">
        <f t="shared" si="14"/>
        <v>0</v>
      </c>
      <c r="R146" s="46">
        <f t="shared" si="13"/>
        <v>0</v>
      </c>
      <c r="S146" s="46">
        <f t="shared" si="13"/>
        <v>0</v>
      </c>
      <c r="T146" s="46">
        <f t="shared" si="13"/>
        <v>0</v>
      </c>
      <c r="U146" s="47">
        <f t="shared" si="12"/>
        <v>0</v>
      </c>
      <c r="V146" s="47">
        <f t="shared" si="12"/>
        <v>0</v>
      </c>
      <c r="W146" s="47">
        <f t="shared" si="12"/>
        <v>0</v>
      </c>
      <c r="X146" s="47">
        <f t="shared" si="16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15"/>
        <v>0</v>
      </c>
      <c r="M147" s="46">
        <f t="shared" si="15"/>
        <v>0</v>
      </c>
      <c r="N147" s="46">
        <f t="shared" si="15"/>
        <v>0</v>
      </c>
      <c r="O147" s="46">
        <f t="shared" si="14"/>
        <v>0</v>
      </c>
      <c r="P147" s="46">
        <f t="shared" si="14"/>
        <v>0</v>
      </c>
      <c r="Q147" s="46">
        <f t="shared" si="14"/>
        <v>0</v>
      </c>
      <c r="R147" s="46">
        <f t="shared" si="13"/>
        <v>0</v>
      </c>
      <c r="S147" s="46">
        <f t="shared" si="13"/>
        <v>0</v>
      </c>
      <c r="T147" s="46">
        <f t="shared" si="13"/>
        <v>0</v>
      </c>
      <c r="U147" s="47">
        <f t="shared" si="12"/>
        <v>0</v>
      </c>
      <c r="V147" s="47">
        <f t="shared" si="12"/>
        <v>0</v>
      </c>
      <c r="W147" s="47">
        <f t="shared" si="12"/>
        <v>0</v>
      </c>
      <c r="X147" s="47">
        <f t="shared" si="16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15"/>
        <v>0</v>
      </c>
      <c r="M148" s="46">
        <f t="shared" si="15"/>
        <v>0</v>
      </c>
      <c r="N148" s="46">
        <f t="shared" si="15"/>
        <v>0</v>
      </c>
      <c r="O148" s="46">
        <f t="shared" si="14"/>
        <v>0</v>
      </c>
      <c r="P148" s="46">
        <f t="shared" si="14"/>
        <v>0</v>
      </c>
      <c r="Q148" s="46">
        <f t="shared" si="14"/>
        <v>0</v>
      </c>
      <c r="R148" s="46">
        <f t="shared" si="13"/>
        <v>0</v>
      </c>
      <c r="S148" s="46">
        <f t="shared" si="13"/>
        <v>0</v>
      </c>
      <c r="T148" s="46">
        <f t="shared" si="13"/>
        <v>0</v>
      </c>
      <c r="U148" s="47">
        <f t="shared" si="12"/>
        <v>0</v>
      </c>
      <c r="V148" s="47">
        <f t="shared" si="12"/>
        <v>0</v>
      </c>
      <c r="W148" s="47">
        <f t="shared" si="12"/>
        <v>0</v>
      </c>
      <c r="X148" s="47">
        <f t="shared" si="16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15"/>
        <v>0</v>
      </c>
      <c r="M149" s="46">
        <f t="shared" si="15"/>
        <v>0</v>
      </c>
      <c r="N149" s="46">
        <f t="shared" si="15"/>
        <v>0</v>
      </c>
      <c r="O149" s="46">
        <f t="shared" si="14"/>
        <v>0</v>
      </c>
      <c r="P149" s="46">
        <f t="shared" si="14"/>
        <v>0</v>
      </c>
      <c r="Q149" s="46">
        <f t="shared" si="14"/>
        <v>0</v>
      </c>
      <c r="R149" s="46">
        <f t="shared" si="13"/>
        <v>0</v>
      </c>
      <c r="S149" s="46">
        <f t="shared" si="13"/>
        <v>0</v>
      </c>
      <c r="T149" s="46">
        <f t="shared" si="13"/>
        <v>0</v>
      </c>
      <c r="U149" s="47">
        <f t="shared" si="12"/>
        <v>0</v>
      </c>
      <c r="V149" s="47">
        <f t="shared" si="12"/>
        <v>0</v>
      </c>
      <c r="W149" s="47">
        <f t="shared" si="12"/>
        <v>0</v>
      </c>
      <c r="X149" s="47">
        <f t="shared" si="16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15"/>
        <v>0</v>
      </c>
      <c r="M150" s="46">
        <f t="shared" si="15"/>
        <v>0</v>
      </c>
      <c r="N150" s="46">
        <f t="shared" si="15"/>
        <v>0</v>
      </c>
      <c r="O150" s="46">
        <f t="shared" si="14"/>
        <v>0</v>
      </c>
      <c r="P150" s="46">
        <f t="shared" si="14"/>
        <v>0</v>
      </c>
      <c r="Q150" s="46">
        <f t="shared" si="14"/>
        <v>0</v>
      </c>
      <c r="R150" s="46">
        <f t="shared" si="13"/>
        <v>0</v>
      </c>
      <c r="S150" s="46">
        <f t="shared" si="13"/>
        <v>0</v>
      </c>
      <c r="T150" s="46">
        <f t="shared" si="13"/>
        <v>0</v>
      </c>
      <c r="U150" s="47">
        <f t="shared" si="12"/>
        <v>0</v>
      </c>
      <c r="V150" s="47">
        <f t="shared" si="12"/>
        <v>0</v>
      </c>
      <c r="W150" s="47">
        <f t="shared" si="12"/>
        <v>0</v>
      </c>
      <c r="X150" s="47">
        <f t="shared" si="16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15"/>
        <v>0</v>
      </c>
      <c r="M151" s="46">
        <f t="shared" si="15"/>
        <v>0</v>
      </c>
      <c r="N151" s="46">
        <f t="shared" si="15"/>
        <v>0</v>
      </c>
      <c r="O151" s="46">
        <f t="shared" si="14"/>
        <v>0</v>
      </c>
      <c r="P151" s="46">
        <f t="shared" si="14"/>
        <v>0</v>
      </c>
      <c r="Q151" s="46">
        <f t="shared" si="14"/>
        <v>0</v>
      </c>
      <c r="R151" s="46">
        <f t="shared" si="13"/>
        <v>0</v>
      </c>
      <c r="S151" s="46">
        <f t="shared" si="13"/>
        <v>0</v>
      </c>
      <c r="T151" s="46">
        <f t="shared" si="13"/>
        <v>0</v>
      </c>
      <c r="U151" s="47">
        <f t="shared" si="12"/>
        <v>0</v>
      </c>
      <c r="V151" s="47">
        <f t="shared" si="12"/>
        <v>0</v>
      </c>
      <c r="W151" s="47">
        <f t="shared" si="12"/>
        <v>0</v>
      </c>
      <c r="X151" s="47">
        <f t="shared" si="16"/>
        <v>0</v>
      </c>
    </row>
    <row r="152" spans="1:24" ht="20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46">
        <f t="shared" si="15"/>
        <v>0</v>
      </c>
      <c r="M152" s="46">
        <f t="shared" si="15"/>
        <v>0</v>
      </c>
      <c r="N152" s="46">
        <f t="shared" si="15"/>
        <v>0</v>
      </c>
      <c r="O152" s="46">
        <f t="shared" si="14"/>
        <v>0</v>
      </c>
      <c r="P152" s="46">
        <f t="shared" si="14"/>
        <v>0</v>
      </c>
      <c r="Q152" s="46">
        <f t="shared" si="14"/>
        <v>0</v>
      </c>
      <c r="R152" s="46">
        <f t="shared" si="13"/>
        <v>0</v>
      </c>
      <c r="S152" s="46">
        <f t="shared" si="13"/>
        <v>0</v>
      </c>
      <c r="T152" s="46">
        <f t="shared" si="13"/>
        <v>0</v>
      </c>
      <c r="U152" s="47">
        <f t="shared" si="12"/>
        <v>0</v>
      </c>
      <c r="V152" s="47">
        <f t="shared" si="12"/>
        <v>0</v>
      </c>
      <c r="W152" s="47">
        <f t="shared" si="12"/>
        <v>0</v>
      </c>
      <c r="X152" s="47">
        <f t="shared" si="16"/>
        <v>0</v>
      </c>
    </row>
    <row r="153" spans="1:24" ht="16.75" customHeight="1" x14ac:dyDescent="0.35">
      <c r="A153" s="29"/>
      <c r="B153" s="30"/>
      <c r="C153" s="31"/>
      <c r="D153" s="31"/>
      <c r="E153" s="31"/>
      <c r="F153" s="31"/>
      <c r="G153" s="31"/>
      <c r="H153" s="31"/>
      <c r="I153" s="31"/>
      <c r="J153" s="34"/>
      <c r="L153" s="35"/>
      <c r="M153" s="35"/>
      <c r="N153" s="35"/>
      <c r="O153" s="35"/>
      <c r="P153" s="35"/>
      <c r="Q153" s="35"/>
      <c r="R153" s="35"/>
      <c r="S153" s="35"/>
      <c r="T153" s="35"/>
      <c r="U153" s="36">
        <f t="shared" ref="U153:W153" si="17">L153+Q153</f>
        <v>0</v>
      </c>
      <c r="V153" s="36">
        <f t="shared" si="17"/>
        <v>0</v>
      </c>
      <c r="W153" s="36">
        <f t="shared" si="17"/>
        <v>0</v>
      </c>
      <c r="X153" s="36">
        <f t="shared" si="16"/>
        <v>0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52"/>
  <sheetViews>
    <sheetView topLeftCell="Q1" zoomScale="76" workbookViewId="0">
      <selection activeCell="Z39" sqref="Z39"/>
    </sheetView>
  </sheetViews>
  <sheetFormatPr defaultRowHeight="13" x14ac:dyDescent="0.35"/>
  <cols>
    <col min="1" max="1" width="18.54296875" style="21" customWidth="1"/>
    <col min="2" max="2" width="11.26953125" style="21" customWidth="1"/>
    <col min="3" max="10" width="10.6328125" style="21" customWidth="1"/>
    <col min="11" max="11" width="8.7265625" style="21"/>
    <col min="12" max="19" width="15.453125" style="22" customWidth="1"/>
    <col min="20" max="20" width="11.26953125" style="22" customWidth="1"/>
    <col min="21" max="23" width="11.453125" style="21" customWidth="1"/>
    <col min="24" max="24" width="10.26953125" style="21" customWidth="1"/>
    <col min="25" max="16384" width="8.7265625" style="21"/>
  </cols>
  <sheetData>
    <row r="1" spans="1:24" ht="14.25" customHeight="1" x14ac:dyDescent="0.3">
      <c r="A1" s="19" t="s">
        <v>146</v>
      </c>
      <c r="B1" s="19"/>
      <c r="C1" s="19"/>
      <c r="D1" s="20"/>
      <c r="E1" s="20"/>
      <c r="F1" s="20"/>
      <c r="G1" s="20"/>
      <c r="H1" s="20"/>
      <c r="I1" s="19" t="s">
        <v>147</v>
      </c>
      <c r="J1" s="19"/>
    </row>
    <row r="2" spans="1:24" ht="14.25" customHeight="1" x14ac:dyDescent="0.3">
      <c r="A2" s="19" t="s">
        <v>148</v>
      </c>
      <c r="B2" s="19"/>
      <c r="C2" s="19"/>
      <c r="D2" s="20"/>
      <c r="E2" s="20"/>
      <c r="F2" s="20"/>
      <c r="G2" s="20"/>
      <c r="H2" s="20"/>
      <c r="I2" s="20"/>
      <c r="J2" s="20"/>
    </row>
    <row r="3" spans="1:24" ht="14.25" customHeight="1" x14ac:dyDescent="0.3">
      <c r="A3" s="19" t="s">
        <v>149</v>
      </c>
      <c r="B3" s="19"/>
      <c r="C3" s="20"/>
      <c r="D3" s="20"/>
      <c r="E3" s="20"/>
      <c r="F3" s="20"/>
      <c r="G3" s="20"/>
      <c r="H3" s="20"/>
      <c r="I3" s="20"/>
      <c r="J3" s="20"/>
    </row>
    <row r="4" spans="1:24" ht="14.25" customHeight="1" x14ac:dyDescent="0.3">
      <c r="A4" s="19" t="s">
        <v>150</v>
      </c>
      <c r="B4" s="19"/>
      <c r="C4" s="19"/>
      <c r="D4" s="20"/>
      <c r="E4" s="20"/>
      <c r="F4" s="20"/>
      <c r="G4" s="20"/>
      <c r="H4" s="20"/>
      <c r="I4" s="20"/>
      <c r="J4" s="20"/>
    </row>
    <row r="5" spans="1:24" ht="14.25" customHeight="1" x14ac:dyDescent="0.3">
      <c r="A5" s="19" t="s">
        <v>151</v>
      </c>
      <c r="B5" s="19"/>
      <c r="C5" s="20"/>
      <c r="D5" s="20"/>
      <c r="E5" s="20"/>
      <c r="F5" s="20"/>
      <c r="G5" s="20"/>
      <c r="H5" s="20"/>
      <c r="I5" s="20"/>
      <c r="J5" s="20"/>
    </row>
    <row r="6" spans="1:24" ht="14.25" customHeight="1" x14ac:dyDescent="0.3">
      <c r="A6" s="19" t="s">
        <v>152</v>
      </c>
      <c r="B6" s="19"/>
      <c r="C6" s="19"/>
      <c r="D6" s="20"/>
      <c r="E6" s="20"/>
      <c r="F6" s="20"/>
      <c r="G6" s="20"/>
      <c r="H6" s="20"/>
      <c r="I6" s="20"/>
      <c r="J6" s="20"/>
    </row>
    <row r="7" spans="1:24" ht="14.25" customHeight="1" x14ac:dyDescent="0.3">
      <c r="A7" s="19" t="s">
        <v>153</v>
      </c>
      <c r="B7" s="19"/>
      <c r="C7" s="20"/>
      <c r="D7" s="20"/>
      <c r="E7" s="20"/>
      <c r="F7" s="20"/>
      <c r="G7" s="20"/>
      <c r="H7" s="20"/>
      <c r="I7" s="20"/>
      <c r="J7" s="20"/>
    </row>
    <row r="8" spans="1:24" ht="29" customHeight="1" x14ac:dyDescent="0.3">
      <c r="A8" s="23" t="s">
        <v>154</v>
      </c>
      <c r="B8" s="23"/>
      <c r="C8" s="24"/>
      <c r="D8" s="24"/>
      <c r="E8" s="24"/>
      <c r="F8" s="24"/>
      <c r="G8" s="24"/>
      <c r="H8" s="24"/>
      <c r="I8" s="24"/>
      <c r="J8" s="24"/>
      <c r="L8" s="43">
        <f t="shared" ref="L8:X8" si="0">SUBTOTAL(9,L10:L11151)</f>
        <v>-395634.9</v>
      </c>
      <c r="M8" s="43">
        <f t="shared" si="0"/>
        <v>-216048.1</v>
      </c>
      <c r="N8" s="43">
        <f t="shared" si="0"/>
        <v>-34876.199999999997</v>
      </c>
      <c r="O8" s="43">
        <f t="shared" si="0"/>
        <v>-355078.5</v>
      </c>
      <c r="P8" s="43">
        <f t="shared" si="0"/>
        <v>-238362.8</v>
      </c>
      <c r="Q8" s="43">
        <f t="shared" si="0"/>
        <v>-502130.1</v>
      </c>
      <c r="R8" s="43">
        <f t="shared" si="0"/>
        <v>-303165.5</v>
      </c>
      <c r="S8" s="43">
        <f t="shared" si="0"/>
        <v>-671211.6</v>
      </c>
      <c r="T8" s="43">
        <f t="shared" si="0"/>
        <v>-1382335</v>
      </c>
      <c r="U8" s="43">
        <f t="shared" si="0"/>
        <v>-897765</v>
      </c>
      <c r="V8" s="43">
        <f t="shared" si="0"/>
        <v>-519213.6</v>
      </c>
      <c r="W8" s="43">
        <f t="shared" si="0"/>
        <v>-706087.79999999993</v>
      </c>
      <c r="X8" s="43">
        <f t="shared" si="0"/>
        <v>-1975776.2999999998</v>
      </c>
    </row>
    <row r="9" spans="1:24" ht="52" x14ac:dyDescent="0.35">
      <c r="A9" s="25" t="s">
        <v>155</v>
      </c>
      <c r="B9" s="26" t="s">
        <v>156</v>
      </c>
      <c r="C9" s="25" t="s">
        <v>157</v>
      </c>
      <c r="D9" s="25" t="s">
        <v>158</v>
      </c>
      <c r="E9" s="25" t="s">
        <v>159</v>
      </c>
      <c r="F9" s="25" t="s">
        <v>160</v>
      </c>
      <c r="G9" s="25" t="s">
        <v>161</v>
      </c>
      <c r="H9" s="27" t="s">
        <v>162</v>
      </c>
      <c r="I9" s="28" t="s">
        <v>163</v>
      </c>
      <c r="J9" s="25" t="s">
        <v>164</v>
      </c>
      <c r="L9" s="44" t="s">
        <v>167</v>
      </c>
      <c r="M9" s="44" t="s">
        <v>168</v>
      </c>
      <c r="N9" s="44" t="s">
        <v>169</v>
      </c>
      <c r="O9" s="44" t="s">
        <v>170</v>
      </c>
      <c r="P9" s="44" t="s">
        <v>171</v>
      </c>
      <c r="Q9" s="44" t="s">
        <v>172</v>
      </c>
      <c r="R9" s="44" t="s">
        <v>173</v>
      </c>
      <c r="S9" s="44" t="s">
        <v>174</v>
      </c>
      <c r="T9" s="44" t="s">
        <v>175</v>
      </c>
      <c r="U9" s="45" t="s">
        <v>165</v>
      </c>
      <c r="V9" s="45" t="s">
        <v>128</v>
      </c>
      <c r="W9" s="45" t="s">
        <v>130</v>
      </c>
      <c r="X9" s="45" t="s">
        <v>166</v>
      </c>
    </row>
    <row r="10" spans="1:24" ht="20" customHeight="1" x14ac:dyDescent="0.35">
      <c r="A10" s="29" t="s">
        <v>198</v>
      </c>
      <c r="B10" s="51">
        <v>395634.9</v>
      </c>
      <c r="C10" s="29" t="s">
        <v>179</v>
      </c>
      <c r="D10" s="52">
        <v>34876.199999999997</v>
      </c>
      <c r="E10" s="52">
        <v>355078.5</v>
      </c>
      <c r="F10" s="52">
        <v>238362.8</v>
      </c>
      <c r="G10" s="52">
        <v>502130.1</v>
      </c>
      <c r="H10" s="32" t="s">
        <v>179</v>
      </c>
      <c r="I10" s="52">
        <v>671211.6</v>
      </c>
      <c r="J10" s="52">
        <v>1382335</v>
      </c>
      <c r="L10" s="46">
        <f>IFERROR(B11-B10,0)</f>
        <v>501.69999999995343</v>
      </c>
      <c r="M10" s="46">
        <f t="shared" ref="M10:T25" si="1">IFERROR(C11-C10,0)</f>
        <v>0</v>
      </c>
      <c r="N10" s="46">
        <f t="shared" si="1"/>
        <v>204.90000000000146</v>
      </c>
      <c r="O10" s="46">
        <f t="shared" si="1"/>
        <v>371.59999999997672</v>
      </c>
      <c r="P10" s="46">
        <f t="shared" si="1"/>
        <v>227.20000000001164</v>
      </c>
      <c r="Q10" s="46">
        <f t="shared" si="1"/>
        <v>917.90000000002328</v>
      </c>
      <c r="R10" s="46">
        <f t="shared" si="1"/>
        <v>0</v>
      </c>
      <c r="S10" s="46">
        <f t="shared" si="1"/>
        <v>951.20000000006985</v>
      </c>
      <c r="T10" s="46">
        <f t="shared" si="1"/>
        <v>1452</v>
      </c>
      <c r="U10" s="47">
        <f>L10+Q10</f>
        <v>1419.5999999999767</v>
      </c>
      <c r="V10" s="47">
        <f>M10+R10</f>
        <v>0</v>
      </c>
      <c r="W10" s="47">
        <f>N10+S10</f>
        <v>1156.1000000000713</v>
      </c>
      <c r="X10" s="47">
        <f t="shared" ref="X10:X72" si="2">O10+P10+T10</f>
        <v>2050.7999999999884</v>
      </c>
    </row>
    <row r="11" spans="1:24" ht="20" customHeight="1" x14ac:dyDescent="0.35">
      <c r="A11" s="29" t="s">
        <v>199</v>
      </c>
      <c r="B11" s="51">
        <v>396136.6</v>
      </c>
      <c r="C11" s="29" t="s">
        <v>179</v>
      </c>
      <c r="D11" s="52">
        <v>35081.1</v>
      </c>
      <c r="E11" s="52">
        <v>355450.1</v>
      </c>
      <c r="F11" s="52">
        <v>238590</v>
      </c>
      <c r="G11" s="52">
        <v>503048</v>
      </c>
      <c r="H11" s="32" t="s">
        <v>179</v>
      </c>
      <c r="I11" s="52">
        <v>672162.8</v>
      </c>
      <c r="J11" s="52">
        <v>1383787</v>
      </c>
      <c r="L11" s="46">
        <f t="shared" ref="L11:T43" si="3">IFERROR(B12-B11,0)</f>
        <v>502.5</v>
      </c>
      <c r="M11" s="46">
        <f t="shared" si="1"/>
        <v>0</v>
      </c>
      <c r="N11" s="46">
        <f t="shared" si="1"/>
        <v>326.40000000000146</v>
      </c>
      <c r="O11" s="46">
        <f t="shared" si="1"/>
        <v>365.40000000002328</v>
      </c>
      <c r="P11" s="46">
        <f t="shared" si="1"/>
        <v>222.20000000001164</v>
      </c>
      <c r="Q11" s="46">
        <f t="shared" si="1"/>
        <v>873.29999999998836</v>
      </c>
      <c r="R11" s="46">
        <f t="shared" si="1"/>
        <v>0</v>
      </c>
      <c r="S11" s="46">
        <f t="shared" si="1"/>
        <v>1377.3999999999069</v>
      </c>
      <c r="T11" s="46">
        <f t="shared" si="1"/>
        <v>1404</v>
      </c>
      <c r="U11" s="47">
        <f t="shared" ref="U11:W43" si="4">L11+Q11</f>
        <v>1375.7999999999884</v>
      </c>
      <c r="V11" s="47">
        <f t="shared" si="4"/>
        <v>0</v>
      </c>
      <c r="W11" s="47">
        <f t="shared" si="4"/>
        <v>1703.7999999999083</v>
      </c>
      <c r="X11" s="47">
        <f t="shared" si="2"/>
        <v>1991.6000000000349</v>
      </c>
    </row>
    <row r="12" spans="1:24" ht="20" customHeight="1" x14ac:dyDescent="0.35">
      <c r="A12" s="29" t="s">
        <v>200</v>
      </c>
      <c r="B12" s="51">
        <v>396639.1</v>
      </c>
      <c r="C12" s="29" t="s">
        <v>179</v>
      </c>
      <c r="D12" s="52">
        <v>35407.5</v>
      </c>
      <c r="E12" s="52">
        <v>355815.5</v>
      </c>
      <c r="F12" s="52">
        <v>238812.2</v>
      </c>
      <c r="G12" s="52">
        <v>503921.3</v>
      </c>
      <c r="H12" s="32" t="s">
        <v>179</v>
      </c>
      <c r="I12" s="52">
        <v>673540.2</v>
      </c>
      <c r="J12" s="52">
        <v>1385191</v>
      </c>
      <c r="L12" s="46">
        <f t="shared" si="3"/>
        <v>497.40000000002328</v>
      </c>
      <c r="M12" s="46">
        <f t="shared" si="1"/>
        <v>0</v>
      </c>
      <c r="N12" s="46">
        <f t="shared" si="1"/>
        <v>334</v>
      </c>
      <c r="O12" s="46">
        <f t="shared" si="1"/>
        <v>369.70000000001164</v>
      </c>
      <c r="P12" s="46">
        <f t="shared" si="1"/>
        <v>227</v>
      </c>
      <c r="Q12" s="46">
        <f t="shared" si="1"/>
        <v>927</v>
      </c>
      <c r="R12" s="46">
        <f t="shared" si="1"/>
        <v>0</v>
      </c>
      <c r="S12" s="46">
        <f t="shared" si="1"/>
        <v>1302.8000000000466</v>
      </c>
      <c r="T12" s="46">
        <f t="shared" si="1"/>
        <v>1436</v>
      </c>
      <c r="U12" s="47">
        <f t="shared" si="4"/>
        <v>1424.4000000000233</v>
      </c>
      <c r="V12" s="47">
        <f t="shared" si="4"/>
        <v>0</v>
      </c>
      <c r="W12" s="47">
        <f t="shared" si="4"/>
        <v>1636.8000000000466</v>
      </c>
      <c r="X12" s="47">
        <f t="shared" si="2"/>
        <v>2032.7000000000116</v>
      </c>
    </row>
    <row r="13" spans="1:24" ht="20" customHeight="1" x14ac:dyDescent="0.35">
      <c r="A13" s="29" t="s">
        <v>201</v>
      </c>
      <c r="B13" s="51">
        <v>397136.5</v>
      </c>
      <c r="C13" s="29" t="s">
        <v>179</v>
      </c>
      <c r="D13" s="52">
        <v>35741.5</v>
      </c>
      <c r="E13" s="52">
        <v>356185.2</v>
      </c>
      <c r="F13" s="52">
        <v>239039.2</v>
      </c>
      <c r="G13" s="52">
        <v>504848.3</v>
      </c>
      <c r="H13" s="32" t="s">
        <v>179</v>
      </c>
      <c r="I13" s="52">
        <v>674843</v>
      </c>
      <c r="J13" s="52">
        <v>1386627</v>
      </c>
      <c r="L13" s="46">
        <f t="shared" si="3"/>
        <v>326.40000000002328</v>
      </c>
      <c r="M13" s="46">
        <f t="shared" si="1"/>
        <v>0</v>
      </c>
      <c r="N13" s="46">
        <f t="shared" si="1"/>
        <v>328.5</v>
      </c>
      <c r="O13" s="46">
        <f t="shared" si="1"/>
        <v>371.70000000001164</v>
      </c>
      <c r="P13" s="46">
        <f t="shared" si="1"/>
        <v>228.5</v>
      </c>
      <c r="Q13" s="46">
        <f t="shared" si="1"/>
        <v>568</v>
      </c>
      <c r="R13" s="46">
        <f t="shared" si="1"/>
        <v>0</v>
      </c>
      <c r="S13" s="46">
        <f t="shared" si="1"/>
        <v>1371.5999999999767</v>
      </c>
      <c r="T13" s="46">
        <f t="shared" si="1"/>
        <v>1469</v>
      </c>
      <c r="U13" s="47">
        <f t="shared" si="4"/>
        <v>894.40000000002328</v>
      </c>
      <c r="V13" s="47">
        <f t="shared" si="4"/>
        <v>0</v>
      </c>
      <c r="W13" s="47">
        <f t="shared" si="4"/>
        <v>1700.0999999999767</v>
      </c>
      <c r="X13" s="47">
        <f t="shared" si="2"/>
        <v>2069.2000000000116</v>
      </c>
    </row>
    <row r="14" spans="1:24" ht="20" customHeight="1" x14ac:dyDescent="0.35">
      <c r="A14" s="29" t="s">
        <v>202</v>
      </c>
      <c r="B14" s="51">
        <v>397462.9</v>
      </c>
      <c r="C14" s="53">
        <v>216027.3</v>
      </c>
      <c r="D14" s="52">
        <v>36070</v>
      </c>
      <c r="E14" s="52">
        <v>356556.9</v>
      </c>
      <c r="F14" s="52">
        <v>239267.7</v>
      </c>
      <c r="G14" s="52">
        <v>505416.3</v>
      </c>
      <c r="H14" s="54">
        <v>303115.90000000002</v>
      </c>
      <c r="I14" s="52">
        <v>676214.6</v>
      </c>
      <c r="J14" s="52">
        <v>1388096</v>
      </c>
      <c r="L14" s="46">
        <f t="shared" si="3"/>
        <v>0</v>
      </c>
      <c r="M14" s="46">
        <f t="shared" si="1"/>
        <v>431.60000000000582</v>
      </c>
      <c r="N14" s="46">
        <f t="shared" si="1"/>
        <v>335.59999999999854</v>
      </c>
      <c r="O14" s="46">
        <f t="shared" si="1"/>
        <v>364</v>
      </c>
      <c r="P14" s="46">
        <f t="shared" si="1"/>
        <v>246.09999999997672</v>
      </c>
      <c r="Q14" s="46">
        <f t="shared" si="1"/>
        <v>7.1000000000349246</v>
      </c>
      <c r="R14" s="46">
        <f t="shared" si="1"/>
        <v>555.5</v>
      </c>
      <c r="S14" s="46">
        <f t="shared" si="1"/>
        <v>1335.8000000000466</v>
      </c>
      <c r="T14" s="46">
        <f t="shared" si="1"/>
        <v>1297</v>
      </c>
      <c r="U14" s="47">
        <f t="shared" si="4"/>
        <v>7.1000000000349246</v>
      </c>
      <c r="V14" s="47">
        <f t="shared" si="4"/>
        <v>987.10000000000582</v>
      </c>
      <c r="W14" s="47">
        <f t="shared" si="4"/>
        <v>1671.4000000000451</v>
      </c>
      <c r="X14" s="47">
        <f t="shared" si="2"/>
        <v>1907.0999999999767</v>
      </c>
    </row>
    <row r="15" spans="1:24" ht="20" customHeight="1" x14ac:dyDescent="0.35">
      <c r="A15" s="29" t="s">
        <v>203</v>
      </c>
      <c r="B15" s="51">
        <v>397462.9</v>
      </c>
      <c r="C15" s="53">
        <v>216458.9</v>
      </c>
      <c r="D15" s="52">
        <v>36405.599999999999</v>
      </c>
      <c r="E15" s="52">
        <v>356920.9</v>
      </c>
      <c r="F15" s="52">
        <v>239513.8</v>
      </c>
      <c r="G15" s="52">
        <v>505423.4</v>
      </c>
      <c r="H15" s="54">
        <v>303671.40000000002</v>
      </c>
      <c r="I15" s="52">
        <v>677550.4</v>
      </c>
      <c r="J15" s="52">
        <v>1389393</v>
      </c>
      <c r="L15" s="46">
        <f t="shared" si="3"/>
        <v>0</v>
      </c>
      <c r="M15" s="46">
        <f t="shared" si="1"/>
        <v>430.5</v>
      </c>
      <c r="N15" s="46">
        <f t="shared" si="1"/>
        <v>329.80000000000291</v>
      </c>
      <c r="O15" s="46">
        <f t="shared" si="1"/>
        <v>250</v>
      </c>
      <c r="P15" s="46">
        <f t="shared" si="1"/>
        <v>231.90000000002328</v>
      </c>
      <c r="Q15" s="46">
        <f t="shared" si="1"/>
        <v>4.5999999999767169</v>
      </c>
      <c r="R15" s="46">
        <f t="shared" si="1"/>
        <v>553.19999999995343</v>
      </c>
      <c r="S15" s="46">
        <f t="shared" si="1"/>
        <v>1085.9000000000233</v>
      </c>
      <c r="T15" s="46">
        <f t="shared" si="1"/>
        <v>1511</v>
      </c>
      <c r="U15" s="47">
        <f t="shared" si="4"/>
        <v>4.5999999999767169</v>
      </c>
      <c r="V15" s="47">
        <f t="shared" si="4"/>
        <v>983.69999999995343</v>
      </c>
      <c r="W15" s="47">
        <f t="shared" si="4"/>
        <v>1415.7000000000262</v>
      </c>
      <c r="X15" s="47">
        <f t="shared" si="2"/>
        <v>1992.9000000000233</v>
      </c>
    </row>
    <row r="16" spans="1:24" ht="20" customHeight="1" x14ac:dyDescent="0.35">
      <c r="A16" s="29" t="s">
        <v>204</v>
      </c>
      <c r="B16" s="51">
        <v>397462.9</v>
      </c>
      <c r="C16" s="53">
        <v>216889.4</v>
      </c>
      <c r="D16" s="52">
        <v>36735.4</v>
      </c>
      <c r="E16" s="52">
        <v>357170.9</v>
      </c>
      <c r="F16" s="52">
        <v>239745.7</v>
      </c>
      <c r="G16" s="52">
        <v>505428</v>
      </c>
      <c r="H16" s="54">
        <v>304224.59999999998</v>
      </c>
      <c r="I16" s="52">
        <v>678636.3</v>
      </c>
      <c r="J16" s="52">
        <v>1390904</v>
      </c>
      <c r="L16" s="46">
        <f t="shared" si="3"/>
        <v>0</v>
      </c>
      <c r="M16" s="46">
        <f t="shared" si="1"/>
        <v>421.5</v>
      </c>
      <c r="N16" s="46">
        <f t="shared" si="1"/>
        <v>223.40000000000146</v>
      </c>
      <c r="O16" s="46">
        <f t="shared" si="1"/>
        <v>250.29999999998836</v>
      </c>
      <c r="P16" s="46">
        <f t="shared" si="1"/>
        <v>231.19999999998254</v>
      </c>
      <c r="Q16" s="46">
        <f t="shared" si="1"/>
        <v>4.2000000000116415</v>
      </c>
      <c r="R16" s="46">
        <f t="shared" si="1"/>
        <v>425.80000000004657</v>
      </c>
      <c r="S16" s="46">
        <f t="shared" si="1"/>
        <v>477</v>
      </c>
      <c r="T16" s="46">
        <f t="shared" si="1"/>
        <v>1485</v>
      </c>
      <c r="U16" s="47">
        <f t="shared" si="4"/>
        <v>4.2000000000116415</v>
      </c>
      <c r="V16" s="47">
        <f t="shared" si="4"/>
        <v>847.30000000004657</v>
      </c>
      <c r="W16" s="47">
        <f t="shared" si="4"/>
        <v>700.40000000000146</v>
      </c>
      <c r="X16" s="47">
        <f t="shared" si="2"/>
        <v>1966.4999999999709</v>
      </c>
    </row>
    <row r="17" spans="1:24" ht="20" customHeight="1" x14ac:dyDescent="0.35">
      <c r="A17" s="29" t="s">
        <v>205</v>
      </c>
      <c r="B17" s="51">
        <v>397462.9</v>
      </c>
      <c r="C17" s="53">
        <v>217310.9</v>
      </c>
      <c r="D17" s="52">
        <v>36958.800000000003</v>
      </c>
      <c r="E17" s="52">
        <v>357421.2</v>
      </c>
      <c r="F17" s="52">
        <v>239976.9</v>
      </c>
      <c r="G17" s="52">
        <v>505432.2</v>
      </c>
      <c r="H17" s="54">
        <v>304650.40000000002</v>
      </c>
      <c r="I17" s="52">
        <v>679113.3</v>
      </c>
      <c r="J17" s="52">
        <v>1392389</v>
      </c>
      <c r="L17" s="46">
        <f t="shared" si="3"/>
        <v>0</v>
      </c>
      <c r="M17" s="46">
        <f t="shared" si="1"/>
        <v>421.60000000000582</v>
      </c>
      <c r="N17" s="46">
        <f t="shared" si="1"/>
        <v>333.79999999999563</v>
      </c>
      <c r="O17" s="46">
        <f t="shared" si="1"/>
        <v>249.39999999996508</v>
      </c>
      <c r="P17" s="46">
        <f t="shared" si="1"/>
        <v>229.60000000000582</v>
      </c>
      <c r="Q17" s="46">
        <f t="shared" si="1"/>
        <v>6.2000000000116415</v>
      </c>
      <c r="R17" s="46">
        <f t="shared" si="1"/>
        <v>511.69999999995343</v>
      </c>
      <c r="S17" s="46">
        <f t="shared" si="1"/>
        <v>1523.3999999999069</v>
      </c>
      <c r="T17" s="46">
        <f t="shared" si="1"/>
        <v>1466</v>
      </c>
      <c r="U17" s="47">
        <f t="shared" si="4"/>
        <v>6.2000000000116415</v>
      </c>
      <c r="V17" s="47">
        <f t="shared" si="4"/>
        <v>933.29999999995925</v>
      </c>
      <c r="W17" s="47">
        <f t="shared" si="4"/>
        <v>1857.1999999999025</v>
      </c>
      <c r="X17" s="47">
        <f t="shared" si="2"/>
        <v>1944.9999999999709</v>
      </c>
    </row>
    <row r="18" spans="1:24" ht="20" customHeight="1" x14ac:dyDescent="0.35">
      <c r="A18" s="29" t="s">
        <v>206</v>
      </c>
      <c r="B18" s="51">
        <v>397462.9</v>
      </c>
      <c r="C18" s="53">
        <v>217732.5</v>
      </c>
      <c r="D18" s="52">
        <v>37292.6</v>
      </c>
      <c r="E18" s="52">
        <v>357670.6</v>
      </c>
      <c r="F18" s="52">
        <v>240206.5</v>
      </c>
      <c r="G18" s="52">
        <v>505438.4</v>
      </c>
      <c r="H18" s="54">
        <v>305162.09999999998</v>
      </c>
      <c r="I18" s="52">
        <v>680636.7</v>
      </c>
      <c r="J18" s="52">
        <v>1393855</v>
      </c>
      <c r="L18" s="46">
        <f t="shared" si="3"/>
        <v>0</v>
      </c>
      <c r="M18" s="46">
        <f t="shared" si="1"/>
        <v>419.89999999999418</v>
      </c>
      <c r="N18" s="46">
        <f t="shared" si="1"/>
        <v>336.80000000000291</v>
      </c>
      <c r="O18" s="46">
        <f t="shared" si="1"/>
        <v>254.90000000002328</v>
      </c>
      <c r="P18" s="46">
        <f t="shared" si="1"/>
        <v>249.10000000000582</v>
      </c>
      <c r="Q18" s="46">
        <f t="shared" si="1"/>
        <v>6.7999999999883585</v>
      </c>
      <c r="R18" s="46">
        <f t="shared" si="1"/>
        <v>442.30000000004657</v>
      </c>
      <c r="S18" s="46">
        <f t="shared" si="1"/>
        <v>1404.7000000000698</v>
      </c>
      <c r="T18" s="46">
        <f t="shared" si="1"/>
        <v>1382</v>
      </c>
      <c r="U18" s="47">
        <f t="shared" si="4"/>
        <v>6.7999999999883585</v>
      </c>
      <c r="V18" s="47">
        <f t="shared" si="4"/>
        <v>862.20000000004075</v>
      </c>
      <c r="W18" s="47">
        <f t="shared" si="4"/>
        <v>1741.5000000000728</v>
      </c>
      <c r="X18" s="47">
        <f t="shared" si="2"/>
        <v>1886.0000000000291</v>
      </c>
    </row>
    <row r="19" spans="1:24" ht="20" customHeight="1" x14ac:dyDescent="0.35">
      <c r="A19" s="29" t="s">
        <v>207</v>
      </c>
      <c r="B19" s="51">
        <v>397462.9</v>
      </c>
      <c r="C19" s="53">
        <v>218152.4</v>
      </c>
      <c r="D19" s="52">
        <v>37629.4</v>
      </c>
      <c r="E19" s="52">
        <v>357925.5</v>
      </c>
      <c r="F19" s="52">
        <v>240455.6</v>
      </c>
      <c r="G19" s="52">
        <v>505445.2</v>
      </c>
      <c r="H19" s="54">
        <v>305604.40000000002</v>
      </c>
      <c r="I19" s="52">
        <v>682041.4</v>
      </c>
      <c r="J19" s="52">
        <v>1395237</v>
      </c>
      <c r="L19" s="46">
        <f t="shared" si="3"/>
        <v>0</v>
      </c>
      <c r="M19" s="46">
        <f t="shared" si="1"/>
        <v>429</v>
      </c>
      <c r="N19" s="46">
        <f t="shared" si="1"/>
        <v>326.59999999999854</v>
      </c>
      <c r="O19" s="46">
        <f t="shared" si="1"/>
        <v>372.09999999997672</v>
      </c>
      <c r="P19" s="46">
        <f t="shared" si="1"/>
        <v>231.69999999998254</v>
      </c>
      <c r="Q19" s="46">
        <f t="shared" si="1"/>
        <v>3</v>
      </c>
      <c r="R19" s="46">
        <f t="shared" si="1"/>
        <v>481.19999999995343</v>
      </c>
      <c r="S19" s="46">
        <f t="shared" si="1"/>
        <v>1353.2999999999302</v>
      </c>
      <c r="T19" s="46">
        <f t="shared" si="1"/>
        <v>1521</v>
      </c>
      <c r="U19" s="47">
        <f t="shared" si="4"/>
        <v>3</v>
      </c>
      <c r="V19" s="47">
        <f t="shared" si="4"/>
        <v>910.19999999995343</v>
      </c>
      <c r="W19" s="47">
        <f t="shared" si="4"/>
        <v>1679.8999999999287</v>
      </c>
      <c r="X19" s="47">
        <f t="shared" si="2"/>
        <v>2124.7999999999593</v>
      </c>
    </row>
    <row r="20" spans="1:24" ht="20" customHeight="1" x14ac:dyDescent="0.35">
      <c r="A20" s="29" t="s">
        <v>208</v>
      </c>
      <c r="B20" s="51">
        <v>397462.9</v>
      </c>
      <c r="C20" s="53">
        <v>218581.4</v>
      </c>
      <c r="D20" s="52">
        <v>37956</v>
      </c>
      <c r="E20" s="52">
        <v>358297.59999999998</v>
      </c>
      <c r="F20" s="52">
        <v>240687.3</v>
      </c>
      <c r="G20" s="52">
        <v>505448.2</v>
      </c>
      <c r="H20" s="54">
        <v>306085.59999999998</v>
      </c>
      <c r="I20" s="52">
        <v>683394.7</v>
      </c>
      <c r="J20" s="52">
        <v>1396758</v>
      </c>
      <c r="L20" s="46">
        <f t="shared" si="3"/>
        <v>249.79999999998836</v>
      </c>
      <c r="M20" s="46">
        <f t="shared" si="1"/>
        <v>230</v>
      </c>
      <c r="N20" s="46">
        <f t="shared" si="1"/>
        <v>335</v>
      </c>
      <c r="O20" s="46">
        <f t="shared" si="1"/>
        <v>394.60000000003492</v>
      </c>
      <c r="P20" s="46">
        <f t="shared" si="1"/>
        <v>228.30000000001746</v>
      </c>
      <c r="Q20" s="46">
        <f t="shared" si="1"/>
        <v>496.29999999998836</v>
      </c>
      <c r="R20" s="46">
        <f t="shared" si="1"/>
        <v>244.60000000003492</v>
      </c>
      <c r="S20" s="46">
        <f t="shared" si="1"/>
        <v>1501.2000000000698</v>
      </c>
      <c r="T20" s="46">
        <f t="shared" si="1"/>
        <v>1478</v>
      </c>
      <c r="U20" s="47">
        <f t="shared" si="4"/>
        <v>746.09999999997672</v>
      </c>
      <c r="V20" s="47">
        <f t="shared" si="4"/>
        <v>474.60000000003492</v>
      </c>
      <c r="W20" s="47">
        <f t="shared" si="4"/>
        <v>1836.2000000000698</v>
      </c>
      <c r="X20" s="47">
        <f t="shared" si="2"/>
        <v>2100.9000000000524</v>
      </c>
    </row>
    <row r="21" spans="1:24" ht="20" customHeight="1" x14ac:dyDescent="0.35">
      <c r="A21" s="29" t="s">
        <v>209</v>
      </c>
      <c r="B21" s="51">
        <v>397712.7</v>
      </c>
      <c r="C21" s="53">
        <v>218811.4</v>
      </c>
      <c r="D21" s="52">
        <v>38291</v>
      </c>
      <c r="E21" s="52">
        <v>358692.2</v>
      </c>
      <c r="F21" s="52">
        <v>240915.6</v>
      </c>
      <c r="G21" s="52">
        <v>505944.5</v>
      </c>
      <c r="H21" s="54">
        <v>306330.2</v>
      </c>
      <c r="I21" s="52">
        <v>684895.9</v>
      </c>
      <c r="J21" s="52">
        <v>1398236</v>
      </c>
      <c r="L21" s="46">
        <f t="shared" si="3"/>
        <v>493.20000000001164</v>
      </c>
      <c r="M21" s="46">
        <f t="shared" si="1"/>
        <v>0</v>
      </c>
      <c r="N21" s="46">
        <f t="shared" si="1"/>
        <v>329</v>
      </c>
      <c r="O21" s="46">
        <f t="shared" si="1"/>
        <v>373.79999999998836</v>
      </c>
      <c r="P21" s="46">
        <f t="shared" si="1"/>
        <v>229.39999999999418</v>
      </c>
      <c r="Q21" s="46">
        <f t="shared" si="1"/>
        <v>968.20000000001164</v>
      </c>
      <c r="R21" s="46">
        <f t="shared" si="1"/>
        <v>0</v>
      </c>
      <c r="S21" s="46">
        <f t="shared" si="1"/>
        <v>1309.5999999999767</v>
      </c>
      <c r="T21" s="46">
        <f t="shared" si="1"/>
        <v>1499</v>
      </c>
      <c r="U21" s="47">
        <f t="shared" si="4"/>
        <v>1461.4000000000233</v>
      </c>
      <c r="V21" s="47">
        <f t="shared" si="4"/>
        <v>0</v>
      </c>
      <c r="W21" s="47">
        <f t="shared" si="4"/>
        <v>1638.5999999999767</v>
      </c>
      <c r="X21" s="47">
        <f t="shared" si="2"/>
        <v>2102.1999999999825</v>
      </c>
    </row>
    <row r="22" spans="1:24" ht="20" customHeight="1" x14ac:dyDescent="0.35">
      <c r="A22" s="29" t="s">
        <v>210</v>
      </c>
      <c r="B22" s="51">
        <v>398205.9</v>
      </c>
      <c r="C22" s="29" t="s">
        <v>179</v>
      </c>
      <c r="D22" s="52">
        <v>38620</v>
      </c>
      <c r="E22" s="52">
        <v>359066</v>
      </c>
      <c r="F22" s="52">
        <v>241145</v>
      </c>
      <c r="G22" s="52">
        <v>506912.7</v>
      </c>
      <c r="H22" s="32" t="s">
        <v>179</v>
      </c>
      <c r="I22" s="55">
        <v>686205.5</v>
      </c>
      <c r="J22" s="52">
        <v>1399735</v>
      </c>
      <c r="L22" s="46">
        <f t="shared" si="3"/>
        <v>493.59999999997672</v>
      </c>
      <c r="M22" s="46">
        <f t="shared" si="1"/>
        <v>0</v>
      </c>
      <c r="N22" s="46">
        <f t="shared" si="1"/>
        <v>335</v>
      </c>
      <c r="O22" s="46">
        <f t="shared" si="1"/>
        <v>395.20000000001164</v>
      </c>
      <c r="P22" s="46">
        <f t="shared" si="1"/>
        <v>247.79999999998836</v>
      </c>
      <c r="Q22" s="46">
        <f t="shared" si="1"/>
        <v>978.29999999998836</v>
      </c>
      <c r="R22" s="46">
        <f t="shared" si="1"/>
        <v>0</v>
      </c>
      <c r="S22" s="46">
        <f t="shared" si="1"/>
        <v>1260.5999999999767</v>
      </c>
      <c r="T22" s="46">
        <f t="shared" si="1"/>
        <v>1526</v>
      </c>
      <c r="U22" s="47">
        <f t="shared" si="4"/>
        <v>1471.8999999999651</v>
      </c>
      <c r="V22" s="47">
        <f t="shared" si="4"/>
        <v>0</v>
      </c>
      <c r="W22" s="47">
        <f t="shared" si="4"/>
        <v>1595.5999999999767</v>
      </c>
      <c r="X22" s="47">
        <f t="shared" si="2"/>
        <v>2169</v>
      </c>
    </row>
    <row r="23" spans="1:24" ht="20" customHeight="1" x14ac:dyDescent="0.35">
      <c r="A23" s="29" t="s">
        <v>211</v>
      </c>
      <c r="B23" s="51">
        <v>398699.5</v>
      </c>
      <c r="C23" s="29" t="s">
        <v>179</v>
      </c>
      <c r="D23" s="52">
        <v>38955</v>
      </c>
      <c r="E23" s="52">
        <v>359461.2</v>
      </c>
      <c r="F23" s="52">
        <v>241392.8</v>
      </c>
      <c r="G23" s="52">
        <v>507891</v>
      </c>
      <c r="H23" s="32" t="s">
        <v>179</v>
      </c>
      <c r="I23" s="55">
        <v>687466.1</v>
      </c>
      <c r="J23" s="52">
        <v>1401261</v>
      </c>
      <c r="L23" s="46">
        <f t="shared" si="3"/>
        <v>479.79999999998836</v>
      </c>
      <c r="M23" s="46">
        <f t="shared" si="1"/>
        <v>0</v>
      </c>
      <c r="N23" s="46">
        <f t="shared" si="1"/>
        <v>274.90000000000146</v>
      </c>
      <c r="O23" s="46">
        <f t="shared" si="1"/>
        <v>377.20000000001164</v>
      </c>
      <c r="P23" s="46">
        <f t="shared" si="1"/>
        <v>232.5</v>
      </c>
      <c r="Q23" s="46">
        <f t="shared" si="1"/>
        <v>668.09999999997672</v>
      </c>
      <c r="R23" s="46">
        <f t="shared" si="1"/>
        <v>0</v>
      </c>
      <c r="S23" s="46">
        <f t="shared" si="1"/>
        <v>580.80000000004657</v>
      </c>
      <c r="T23" s="46">
        <f t="shared" si="1"/>
        <v>1529</v>
      </c>
      <c r="U23" s="47">
        <f t="shared" si="4"/>
        <v>1147.8999999999651</v>
      </c>
      <c r="V23" s="47">
        <f t="shared" si="4"/>
        <v>0</v>
      </c>
      <c r="W23" s="47">
        <f t="shared" si="4"/>
        <v>855.70000000004802</v>
      </c>
      <c r="X23" s="47">
        <f t="shared" si="2"/>
        <v>2138.7000000000116</v>
      </c>
    </row>
    <row r="24" spans="1:24" ht="20" customHeight="1" x14ac:dyDescent="0.35">
      <c r="A24" s="29" t="s">
        <v>212</v>
      </c>
      <c r="B24" s="51">
        <v>399179.3</v>
      </c>
      <c r="C24" s="29" t="s">
        <v>179</v>
      </c>
      <c r="D24" s="52">
        <v>39229.9</v>
      </c>
      <c r="E24" s="52">
        <v>359838.4</v>
      </c>
      <c r="F24" s="52">
        <v>241625.3</v>
      </c>
      <c r="G24" s="52">
        <v>508559.1</v>
      </c>
      <c r="H24" s="32" t="s">
        <v>179</v>
      </c>
      <c r="I24" s="55">
        <v>688046.9</v>
      </c>
      <c r="J24" s="52">
        <v>1402790</v>
      </c>
      <c r="L24" s="46">
        <f t="shared" si="3"/>
        <v>497.29999999998836</v>
      </c>
      <c r="M24" s="46">
        <f t="shared" si="1"/>
        <v>0</v>
      </c>
      <c r="N24" s="46">
        <f t="shared" si="1"/>
        <v>328.19999999999709</v>
      </c>
      <c r="O24" s="46">
        <f t="shared" si="1"/>
        <v>376.39999999996508</v>
      </c>
      <c r="P24" s="46">
        <f t="shared" si="1"/>
        <v>231.70000000001164</v>
      </c>
      <c r="Q24" s="46">
        <f t="shared" si="1"/>
        <v>1003.2000000000116</v>
      </c>
      <c r="R24" s="46">
        <f t="shared" si="1"/>
        <v>0</v>
      </c>
      <c r="S24" s="46">
        <f t="shared" si="1"/>
        <v>1269.9000000000233</v>
      </c>
      <c r="T24" s="46">
        <f t="shared" si="1"/>
        <v>1487</v>
      </c>
      <c r="U24" s="47">
        <f t="shared" si="4"/>
        <v>1500.5</v>
      </c>
      <c r="V24" s="47">
        <f t="shared" si="4"/>
        <v>0</v>
      </c>
      <c r="W24" s="47">
        <f t="shared" si="4"/>
        <v>1598.1000000000204</v>
      </c>
      <c r="X24" s="47">
        <f t="shared" si="2"/>
        <v>2095.0999999999767</v>
      </c>
    </row>
    <row r="25" spans="1:24" ht="20" customHeight="1" x14ac:dyDescent="0.35">
      <c r="A25" s="29" t="s">
        <v>213</v>
      </c>
      <c r="B25" s="51">
        <v>399676.6</v>
      </c>
      <c r="C25" s="29" t="s">
        <v>179</v>
      </c>
      <c r="D25" s="52">
        <v>39558.1</v>
      </c>
      <c r="E25" s="52">
        <v>360214.8</v>
      </c>
      <c r="F25" s="52">
        <v>241857</v>
      </c>
      <c r="G25" s="52">
        <v>509562.3</v>
      </c>
      <c r="H25" s="32" t="s">
        <v>179</v>
      </c>
      <c r="I25" s="55">
        <v>689316.8</v>
      </c>
      <c r="J25" s="52">
        <v>1404277</v>
      </c>
      <c r="L25" s="46">
        <f t="shared" si="3"/>
        <v>495.70000000001164</v>
      </c>
      <c r="M25" s="46">
        <f t="shared" si="1"/>
        <v>0</v>
      </c>
      <c r="N25" s="46">
        <f t="shared" si="1"/>
        <v>324.20000000000437</v>
      </c>
      <c r="O25" s="46">
        <f t="shared" si="1"/>
        <v>350.60000000003492</v>
      </c>
      <c r="P25" s="46">
        <f t="shared" si="1"/>
        <v>225.29999999998836</v>
      </c>
      <c r="Q25" s="46">
        <f t="shared" si="1"/>
        <v>1020.9000000000233</v>
      </c>
      <c r="R25" s="46">
        <f t="shared" si="1"/>
        <v>0</v>
      </c>
      <c r="S25" s="46">
        <f t="shared" si="1"/>
        <v>1444</v>
      </c>
      <c r="T25" s="46">
        <f t="shared" si="1"/>
        <v>1143</v>
      </c>
      <c r="U25" s="47">
        <f t="shared" si="4"/>
        <v>1516.6000000000349</v>
      </c>
      <c r="V25" s="47">
        <f t="shared" si="4"/>
        <v>0</v>
      </c>
      <c r="W25" s="47">
        <f t="shared" si="4"/>
        <v>1768.2000000000044</v>
      </c>
      <c r="X25" s="47">
        <f t="shared" si="2"/>
        <v>1718.9000000000233</v>
      </c>
    </row>
    <row r="26" spans="1:24" ht="20" customHeight="1" x14ac:dyDescent="0.35">
      <c r="A26" s="29" t="s">
        <v>214</v>
      </c>
      <c r="B26" s="51">
        <v>400172.3</v>
      </c>
      <c r="C26" s="29" t="s">
        <v>179</v>
      </c>
      <c r="D26" s="52">
        <v>39882.300000000003</v>
      </c>
      <c r="E26" s="52">
        <v>360565.4</v>
      </c>
      <c r="F26" s="52">
        <v>242082.3</v>
      </c>
      <c r="G26" s="52">
        <v>510583.2</v>
      </c>
      <c r="H26" s="32" t="s">
        <v>179</v>
      </c>
      <c r="I26" s="55">
        <v>690760.8</v>
      </c>
      <c r="J26" s="52">
        <v>1405420</v>
      </c>
      <c r="L26" s="46">
        <f t="shared" si="3"/>
        <v>495.90000000002328</v>
      </c>
      <c r="M26" s="46">
        <f t="shared" si="3"/>
        <v>0</v>
      </c>
      <c r="N26" s="46">
        <f t="shared" si="3"/>
        <v>334</v>
      </c>
      <c r="O26" s="46">
        <f t="shared" si="3"/>
        <v>329.39999999996508</v>
      </c>
      <c r="P26" s="46">
        <f t="shared" si="3"/>
        <v>222.60000000000582</v>
      </c>
      <c r="Q26" s="46">
        <f t="shared" si="3"/>
        <v>968.09999999997672</v>
      </c>
      <c r="R26" s="46">
        <f t="shared" si="3"/>
        <v>0</v>
      </c>
      <c r="S26" s="46">
        <f t="shared" si="3"/>
        <v>1424.8999999999069</v>
      </c>
      <c r="T26" s="46">
        <f t="shared" si="3"/>
        <v>1091</v>
      </c>
      <c r="U26" s="47">
        <f t="shared" si="4"/>
        <v>1464</v>
      </c>
      <c r="V26" s="47">
        <f t="shared" si="4"/>
        <v>0</v>
      </c>
      <c r="W26" s="47">
        <f t="shared" si="4"/>
        <v>1758.8999999999069</v>
      </c>
      <c r="X26" s="47">
        <f t="shared" si="2"/>
        <v>1642.9999999999709</v>
      </c>
    </row>
    <row r="27" spans="1:24" ht="42.75" customHeight="1" x14ac:dyDescent="0.35">
      <c r="A27" s="37" t="s">
        <v>215</v>
      </c>
      <c r="B27" s="56">
        <v>400668.2</v>
      </c>
      <c r="C27" s="37" t="s">
        <v>179</v>
      </c>
      <c r="D27" s="57">
        <v>40216.300000000003</v>
      </c>
      <c r="E27" s="57">
        <v>360894.8</v>
      </c>
      <c r="F27" s="57">
        <v>242304.9</v>
      </c>
      <c r="G27" s="57">
        <v>511551.3</v>
      </c>
      <c r="H27" s="40" t="s">
        <v>179</v>
      </c>
      <c r="I27" s="58">
        <v>692185.7</v>
      </c>
      <c r="J27" s="57">
        <v>1406511</v>
      </c>
      <c r="L27" s="46">
        <f t="shared" si="3"/>
        <v>490.5</v>
      </c>
      <c r="M27" s="46">
        <f t="shared" si="3"/>
        <v>0</v>
      </c>
      <c r="N27" s="46">
        <f t="shared" si="3"/>
        <v>327.59999999999854</v>
      </c>
      <c r="O27" s="46">
        <f t="shared" si="3"/>
        <v>299.10000000003492</v>
      </c>
      <c r="P27" s="46">
        <f t="shared" si="3"/>
        <v>230.10000000000582</v>
      </c>
      <c r="Q27" s="46">
        <f t="shared" si="3"/>
        <v>1075.4000000000233</v>
      </c>
      <c r="R27" s="46">
        <f t="shared" si="3"/>
        <v>0</v>
      </c>
      <c r="S27" s="46">
        <f t="shared" si="3"/>
        <v>1316.2000000000698</v>
      </c>
      <c r="T27" s="46">
        <f t="shared" si="3"/>
        <v>1294</v>
      </c>
      <c r="U27" s="47">
        <f t="shared" si="4"/>
        <v>1565.9000000000233</v>
      </c>
      <c r="V27" s="47">
        <f t="shared" si="4"/>
        <v>0</v>
      </c>
      <c r="W27" s="47">
        <f t="shared" si="4"/>
        <v>1643.8000000000684</v>
      </c>
      <c r="X27" s="47">
        <f t="shared" si="2"/>
        <v>1823.2000000000407</v>
      </c>
    </row>
    <row r="28" spans="1:24" ht="20" customHeight="1" x14ac:dyDescent="0.35">
      <c r="A28" s="29" t="s">
        <v>216</v>
      </c>
      <c r="B28" s="51">
        <v>401158.7</v>
      </c>
      <c r="C28" s="29" t="s">
        <v>179</v>
      </c>
      <c r="D28" s="52">
        <v>40543.9</v>
      </c>
      <c r="E28" s="52">
        <v>361193.9</v>
      </c>
      <c r="F28" s="52">
        <v>242535</v>
      </c>
      <c r="G28" s="52">
        <v>512626.7</v>
      </c>
      <c r="H28" s="32" t="s">
        <v>179</v>
      </c>
      <c r="I28" s="55">
        <v>693501.9</v>
      </c>
      <c r="J28" s="52">
        <v>1407805</v>
      </c>
      <c r="L28" s="46">
        <f t="shared" si="3"/>
        <v>481.29999999998836</v>
      </c>
      <c r="M28" s="46">
        <f t="shared" si="3"/>
        <v>0</v>
      </c>
      <c r="N28" s="46">
        <f t="shared" si="3"/>
        <v>325.79999999999563</v>
      </c>
      <c r="O28" s="46">
        <f t="shared" si="3"/>
        <v>257.59999999997672</v>
      </c>
      <c r="P28" s="46">
        <f t="shared" si="3"/>
        <v>223.39999999999418</v>
      </c>
      <c r="Q28" s="46">
        <f t="shared" si="3"/>
        <v>890</v>
      </c>
      <c r="R28" s="46">
        <f t="shared" si="3"/>
        <v>0</v>
      </c>
      <c r="S28" s="46">
        <f t="shared" si="3"/>
        <v>1287.0999999999767</v>
      </c>
      <c r="T28" s="46">
        <f t="shared" si="3"/>
        <v>1528</v>
      </c>
      <c r="U28" s="47">
        <f t="shared" si="4"/>
        <v>1371.2999999999884</v>
      </c>
      <c r="V28" s="47">
        <f t="shared" si="4"/>
        <v>0</v>
      </c>
      <c r="W28" s="47">
        <f t="shared" si="4"/>
        <v>1612.8999999999724</v>
      </c>
      <c r="X28" s="47">
        <f t="shared" si="2"/>
        <v>2008.9999999999709</v>
      </c>
    </row>
    <row r="29" spans="1:24" ht="20" customHeight="1" x14ac:dyDescent="0.35">
      <c r="A29" s="29" t="s">
        <v>217</v>
      </c>
      <c r="B29" s="51">
        <v>401640</v>
      </c>
      <c r="C29" s="29" t="s">
        <v>179</v>
      </c>
      <c r="D29" s="52">
        <v>40869.699999999997</v>
      </c>
      <c r="E29" s="52">
        <v>361451.5</v>
      </c>
      <c r="F29" s="52">
        <v>242758.39999999999</v>
      </c>
      <c r="G29" s="52">
        <v>513516.7</v>
      </c>
      <c r="H29" s="32" t="s">
        <v>179</v>
      </c>
      <c r="I29" s="55">
        <v>694789</v>
      </c>
      <c r="J29" s="52">
        <v>1409333</v>
      </c>
      <c r="L29" s="46">
        <f t="shared" si="3"/>
        <v>475.40000000002328</v>
      </c>
      <c r="M29" s="46">
        <f t="shared" si="3"/>
        <v>0</v>
      </c>
      <c r="N29" s="46">
        <f t="shared" si="3"/>
        <v>312.30000000000291</v>
      </c>
      <c r="O29" s="46">
        <f t="shared" si="3"/>
        <v>331.5</v>
      </c>
      <c r="P29" s="46">
        <f t="shared" si="3"/>
        <v>239.39999999999418</v>
      </c>
      <c r="Q29" s="46">
        <f t="shared" si="3"/>
        <v>821.79999999998836</v>
      </c>
      <c r="R29" s="46">
        <f t="shared" si="3"/>
        <v>0</v>
      </c>
      <c r="S29" s="46">
        <f t="shared" si="3"/>
        <v>1092</v>
      </c>
      <c r="T29" s="46">
        <f t="shared" si="3"/>
        <v>1423</v>
      </c>
      <c r="U29" s="47">
        <f t="shared" si="4"/>
        <v>1297.2000000000116</v>
      </c>
      <c r="V29" s="47">
        <f t="shared" si="4"/>
        <v>0</v>
      </c>
      <c r="W29" s="47">
        <f t="shared" si="4"/>
        <v>1404.3000000000029</v>
      </c>
      <c r="X29" s="47">
        <f t="shared" si="2"/>
        <v>1993.8999999999942</v>
      </c>
    </row>
    <row r="30" spans="1:24" ht="20" customHeight="1" x14ac:dyDescent="0.35">
      <c r="A30" s="29" t="s">
        <v>218</v>
      </c>
      <c r="B30" s="51">
        <v>402115.4</v>
      </c>
      <c r="C30" s="29" t="s">
        <v>179</v>
      </c>
      <c r="D30" s="52">
        <v>41182</v>
      </c>
      <c r="E30" s="52">
        <v>361783</v>
      </c>
      <c r="F30" s="52">
        <v>242997.8</v>
      </c>
      <c r="G30" s="52">
        <v>514338.5</v>
      </c>
      <c r="H30" s="32" t="s">
        <v>179</v>
      </c>
      <c r="I30" s="55">
        <v>695881</v>
      </c>
      <c r="J30" s="52">
        <v>1410756</v>
      </c>
      <c r="L30" s="46">
        <f t="shared" si="3"/>
        <v>470.19999999995343</v>
      </c>
      <c r="M30" s="46">
        <f t="shared" si="3"/>
        <v>0</v>
      </c>
      <c r="N30" s="46">
        <f t="shared" si="3"/>
        <v>243.5</v>
      </c>
      <c r="O30" s="46">
        <f t="shared" si="3"/>
        <v>369.40000000002328</v>
      </c>
      <c r="P30" s="46">
        <f t="shared" si="3"/>
        <v>215.80000000001746</v>
      </c>
      <c r="Q30" s="46">
        <f t="shared" si="3"/>
        <v>608.90000000002328</v>
      </c>
      <c r="R30" s="46">
        <f t="shared" si="3"/>
        <v>0</v>
      </c>
      <c r="S30" s="46">
        <f t="shared" si="3"/>
        <v>603.40000000002328</v>
      </c>
      <c r="T30" s="46">
        <f t="shared" si="3"/>
        <v>1515</v>
      </c>
      <c r="U30" s="47">
        <f t="shared" si="4"/>
        <v>1079.0999999999767</v>
      </c>
      <c r="V30" s="47">
        <f t="shared" si="4"/>
        <v>0</v>
      </c>
      <c r="W30" s="47">
        <f t="shared" si="4"/>
        <v>846.90000000002328</v>
      </c>
      <c r="X30" s="47">
        <f t="shared" si="2"/>
        <v>2100.2000000000407</v>
      </c>
    </row>
    <row r="31" spans="1:24" ht="20" customHeight="1" x14ac:dyDescent="0.35">
      <c r="A31" s="29" t="s">
        <v>219</v>
      </c>
      <c r="B31" s="51">
        <v>402585.59999999998</v>
      </c>
      <c r="C31" s="29" t="s">
        <v>179</v>
      </c>
      <c r="D31" s="52">
        <v>41425.5</v>
      </c>
      <c r="E31" s="52">
        <v>362152.4</v>
      </c>
      <c r="F31" s="52">
        <v>243213.6</v>
      </c>
      <c r="G31" s="52">
        <v>514947.4</v>
      </c>
      <c r="H31" s="32" t="s">
        <v>179</v>
      </c>
      <c r="I31" s="55">
        <v>696484.4</v>
      </c>
      <c r="J31" s="52">
        <v>1412271</v>
      </c>
      <c r="L31" s="46">
        <f t="shared" si="3"/>
        <v>471.5</v>
      </c>
      <c r="M31" s="46">
        <f t="shared" si="3"/>
        <v>0</v>
      </c>
      <c r="N31" s="46">
        <f t="shared" si="3"/>
        <v>220.5</v>
      </c>
      <c r="O31" s="46">
        <f t="shared" si="3"/>
        <v>331.5</v>
      </c>
      <c r="P31" s="46">
        <f t="shared" si="3"/>
        <v>224.19999999998254</v>
      </c>
      <c r="Q31" s="46">
        <f t="shared" si="3"/>
        <v>772.59999999997672</v>
      </c>
      <c r="R31" s="46">
        <f t="shared" si="3"/>
        <v>0</v>
      </c>
      <c r="S31" s="46">
        <f t="shared" si="3"/>
        <v>999.19999999995343</v>
      </c>
      <c r="T31" s="46">
        <f t="shared" si="3"/>
        <v>1519</v>
      </c>
      <c r="U31" s="47">
        <f t="shared" si="4"/>
        <v>1244.0999999999767</v>
      </c>
      <c r="V31" s="47">
        <f t="shared" si="4"/>
        <v>0</v>
      </c>
      <c r="W31" s="47">
        <f t="shared" si="4"/>
        <v>1219.6999999999534</v>
      </c>
      <c r="X31" s="47">
        <f t="shared" si="2"/>
        <v>2074.6999999999825</v>
      </c>
    </row>
    <row r="32" spans="1:24" ht="20" customHeight="1" x14ac:dyDescent="0.35">
      <c r="A32" s="29" t="s">
        <v>220</v>
      </c>
      <c r="B32" s="51">
        <v>403057.1</v>
      </c>
      <c r="C32" s="29" t="s">
        <v>179</v>
      </c>
      <c r="D32" s="52">
        <v>41646</v>
      </c>
      <c r="E32" s="52">
        <v>362483.9</v>
      </c>
      <c r="F32" s="52">
        <v>243437.8</v>
      </c>
      <c r="G32" s="52">
        <v>515720</v>
      </c>
      <c r="H32" s="32" t="s">
        <v>179</v>
      </c>
      <c r="I32" s="55">
        <v>697483.6</v>
      </c>
      <c r="J32" s="52">
        <v>1413790</v>
      </c>
      <c r="L32" s="46">
        <f t="shared" si="3"/>
        <v>498.5</v>
      </c>
      <c r="M32" s="46">
        <f t="shared" si="3"/>
        <v>0</v>
      </c>
      <c r="N32" s="46">
        <f t="shared" si="3"/>
        <v>324.30000000000291</v>
      </c>
      <c r="O32" s="46">
        <f t="shared" si="3"/>
        <v>331.09999999997672</v>
      </c>
      <c r="P32" s="46">
        <f t="shared" si="3"/>
        <v>222.60000000000582</v>
      </c>
      <c r="Q32" s="46">
        <f t="shared" si="3"/>
        <v>872.90000000002328</v>
      </c>
      <c r="R32" s="46">
        <f t="shared" si="3"/>
        <v>0</v>
      </c>
      <c r="S32" s="46">
        <f t="shared" si="3"/>
        <v>1403.5</v>
      </c>
      <c r="T32" s="46">
        <f t="shared" si="3"/>
        <v>1508</v>
      </c>
      <c r="U32" s="47">
        <f t="shared" si="4"/>
        <v>1371.4000000000233</v>
      </c>
      <c r="V32" s="47">
        <f t="shared" si="4"/>
        <v>0</v>
      </c>
      <c r="W32" s="47">
        <f t="shared" si="4"/>
        <v>1727.8000000000029</v>
      </c>
      <c r="X32" s="47">
        <f t="shared" si="2"/>
        <v>2061.6999999999825</v>
      </c>
    </row>
    <row r="33" spans="1:24" ht="20" customHeight="1" x14ac:dyDescent="0.35">
      <c r="A33" s="29" t="s">
        <v>221</v>
      </c>
      <c r="B33" s="51">
        <v>403555.6</v>
      </c>
      <c r="C33" s="29" t="s">
        <v>179</v>
      </c>
      <c r="D33" s="52">
        <v>41970.3</v>
      </c>
      <c r="E33" s="52">
        <v>362815</v>
      </c>
      <c r="F33" s="52">
        <v>243660.4</v>
      </c>
      <c r="G33" s="52">
        <v>516592.9</v>
      </c>
      <c r="H33" s="32" t="s">
        <v>179</v>
      </c>
      <c r="I33" s="55">
        <v>698887.1</v>
      </c>
      <c r="J33" s="52">
        <v>1415298</v>
      </c>
      <c r="L33" s="46">
        <f t="shared" ref="L33:T34" si="5">IFERROR(B34-B33,0)</f>
        <v>478</v>
      </c>
      <c r="M33" s="46">
        <f t="shared" si="5"/>
        <v>0</v>
      </c>
      <c r="N33" s="46">
        <f t="shared" si="5"/>
        <v>329.09999999999854</v>
      </c>
      <c r="O33" s="46">
        <f t="shared" si="5"/>
        <v>307.70000000001164</v>
      </c>
      <c r="P33" s="46">
        <f t="shared" si="5"/>
        <v>274.89999999999418</v>
      </c>
      <c r="Q33" s="46">
        <f t="shared" si="5"/>
        <v>806.29999999998836</v>
      </c>
      <c r="R33" s="46">
        <f t="shared" si="5"/>
        <v>0</v>
      </c>
      <c r="S33" s="46">
        <f t="shared" si="5"/>
        <v>1477.3000000000466</v>
      </c>
      <c r="T33" s="46">
        <f t="shared" si="5"/>
        <v>1346</v>
      </c>
      <c r="U33" s="47">
        <f t="shared" si="4"/>
        <v>1284.2999999999884</v>
      </c>
      <c r="V33" s="47">
        <f t="shared" si="4"/>
        <v>0</v>
      </c>
      <c r="W33" s="47">
        <f t="shared" si="4"/>
        <v>1806.4000000000451</v>
      </c>
      <c r="X33" s="47">
        <f t="shared" si="2"/>
        <v>1928.6000000000058</v>
      </c>
    </row>
    <row r="34" spans="1:24" ht="20" customHeight="1" x14ac:dyDescent="0.35">
      <c r="A34" s="29" t="s">
        <v>178</v>
      </c>
      <c r="B34" s="51">
        <v>404033.6</v>
      </c>
      <c r="C34" s="29" t="s">
        <v>179</v>
      </c>
      <c r="D34" s="52">
        <v>42299.4</v>
      </c>
      <c r="E34" s="52">
        <v>363122.7</v>
      </c>
      <c r="F34" s="52">
        <v>243935.3</v>
      </c>
      <c r="G34" s="52">
        <v>517399.2</v>
      </c>
      <c r="H34" s="32" t="s">
        <v>179</v>
      </c>
      <c r="I34" s="55">
        <v>700364.4</v>
      </c>
      <c r="J34" s="52">
        <v>1416644</v>
      </c>
      <c r="L34" s="46">
        <f t="shared" si="5"/>
        <v>294.10000000003492</v>
      </c>
      <c r="M34" s="46">
        <f t="shared" si="5"/>
        <v>0</v>
      </c>
      <c r="N34" s="46">
        <f t="shared" si="5"/>
        <v>328.5</v>
      </c>
      <c r="O34" s="46">
        <f t="shared" si="5"/>
        <v>347.70000000001164</v>
      </c>
      <c r="P34" s="46">
        <f t="shared" si="5"/>
        <v>222.20000000001164</v>
      </c>
      <c r="Q34" s="46">
        <f t="shared" si="5"/>
        <v>556.09999999997672</v>
      </c>
      <c r="R34" s="46">
        <f t="shared" si="5"/>
        <v>0</v>
      </c>
      <c r="S34" s="46">
        <f t="shared" si="5"/>
        <v>1472.1999999999534</v>
      </c>
      <c r="T34" s="46">
        <f t="shared" si="5"/>
        <v>1284</v>
      </c>
      <c r="U34" s="47">
        <f t="shared" ref="U34" si="6">L34+Q34</f>
        <v>850.20000000001164</v>
      </c>
      <c r="V34" s="47">
        <f t="shared" ref="V34" si="7">M34+R34</f>
        <v>0</v>
      </c>
      <c r="W34" s="47">
        <f t="shared" ref="W34" si="8">N34+S34</f>
        <v>1800.6999999999534</v>
      </c>
      <c r="X34" s="47">
        <f t="shared" ref="X34" si="9">O34+P34+T34</f>
        <v>1853.9000000000233</v>
      </c>
    </row>
    <row r="35" spans="1:24" ht="20" customHeight="1" x14ac:dyDescent="0.35">
      <c r="A35" s="29" t="s">
        <v>180</v>
      </c>
      <c r="B35" s="30">
        <v>404327.7</v>
      </c>
      <c r="C35" s="29" t="s">
        <v>179</v>
      </c>
      <c r="D35" s="31">
        <v>42627.9</v>
      </c>
      <c r="E35" s="31">
        <v>363470.4</v>
      </c>
      <c r="F35" s="31">
        <v>244157.5</v>
      </c>
      <c r="G35" s="31">
        <v>517955.3</v>
      </c>
      <c r="H35" s="32" t="s">
        <v>179</v>
      </c>
      <c r="I35" s="33">
        <v>701836.6</v>
      </c>
      <c r="J35" s="34">
        <v>1417928</v>
      </c>
      <c r="L35" s="46">
        <f t="shared" si="3"/>
        <v>0</v>
      </c>
      <c r="M35" s="46">
        <f t="shared" si="3"/>
        <v>0</v>
      </c>
      <c r="N35" s="46">
        <f t="shared" si="3"/>
        <v>318.09999999999854</v>
      </c>
      <c r="O35" s="46">
        <f t="shared" si="3"/>
        <v>349.29999999998836</v>
      </c>
      <c r="P35" s="46">
        <f t="shared" si="3"/>
        <v>240.60000000000582</v>
      </c>
      <c r="Q35" s="46">
        <f t="shared" si="3"/>
        <v>3.2000000000116415</v>
      </c>
      <c r="R35" s="46">
        <f t="shared" si="3"/>
        <v>0</v>
      </c>
      <c r="S35" s="46">
        <f t="shared" si="3"/>
        <v>1238.2000000000698</v>
      </c>
      <c r="T35" s="46">
        <f t="shared" si="3"/>
        <v>1432</v>
      </c>
      <c r="U35" s="47">
        <f t="shared" si="4"/>
        <v>3.2000000000116415</v>
      </c>
      <c r="V35" s="47">
        <f t="shared" si="4"/>
        <v>0</v>
      </c>
      <c r="W35" s="47">
        <f t="shared" si="4"/>
        <v>1556.3000000000684</v>
      </c>
      <c r="X35" s="47">
        <f t="shared" si="2"/>
        <v>2021.8999999999942</v>
      </c>
    </row>
    <row r="36" spans="1:24" ht="20" customHeight="1" x14ac:dyDescent="0.35">
      <c r="A36" s="29" t="s">
        <v>181</v>
      </c>
      <c r="B36" s="30">
        <v>404327.7</v>
      </c>
      <c r="C36" s="29">
        <v>218832.2</v>
      </c>
      <c r="D36" s="31">
        <v>42946</v>
      </c>
      <c r="E36" s="31">
        <v>363819.7</v>
      </c>
      <c r="F36" s="31">
        <v>244398.1</v>
      </c>
      <c r="G36" s="31">
        <v>517958.5</v>
      </c>
      <c r="H36" s="32">
        <v>306379.8</v>
      </c>
      <c r="I36" s="33">
        <v>703074.8</v>
      </c>
      <c r="J36" s="34">
        <v>1419360</v>
      </c>
      <c r="L36" s="46">
        <f t="shared" si="3"/>
        <v>181.5</v>
      </c>
      <c r="M36" s="46">
        <f t="shared" si="3"/>
        <v>374</v>
      </c>
      <c r="N36" s="46">
        <f t="shared" si="3"/>
        <v>96.099999999998545</v>
      </c>
      <c r="O36" s="46">
        <f t="shared" si="3"/>
        <v>384.5</v>
      </c>
      <c r="P36" s="46">
        <f t="shared" si="3"/>
        <v>273.5</v>
      </c>
      <c r="Q36" s="46">
        <f t="shared" si="3"/>
        <v>485.59999999997672</v>
      </c>
      <c r="R36" s="46">
        <f t="shared" si="3"/>
        <v>618.70000000001164</v>
      </c>
      <c r="S36" s="46">
        <f t="shared" si="3"/>
        <v>321</v>
      </c>
      <c r="T36" s="46">
        <f t="shared" si="3"/>
        <v>1467</v>
      </c>
      <c r="U36" s="47">
        <f t="shared" si="4"/>
        <v>667.09999999997672</v>
      </c>
      <c r="V36" s="47">
        <f t="shared" si="4"/>
        <v>992.70000000001164</v>
      </c>
      <c r="W36" s="47">
        <f t="shared" si="4"/>
        <v>417.09999999999854</v>
      </c>
      <c r="X36" s="47">
        <f t="shared" si="2"/>
        <v>2125</v>
      </c>
    </row>
    <row r="37" spans="1:24" ht="20" customHeight="1" x14ac:dyDescent="0.35">
      <c r="A37" s="29" t="s">
        <v>182</v>
      </c>
      <c r="B37" s="30">
        <v>404509.2</v>
      </c>
      <c r="C37" s="29">
        <v>219206.2</v>
      </c>
      <c r="D37" s="31">
        <v>43042.1</v>
      </c>
      <c r="E37" s="31">
        <v>364204.2</v>
      </c>
      <c r="F37" s="31">
        <v>244671.6</v>
      </c>
      <c r="G37" s="31">
        <v>518444.1</v>
      </c>
      <c r="H37" s="32">
        <v>306998.5</v>
      </c>
      <c r="I37" s="33">
        <v>703395.8</v>
      </c>
      <c r="J37" s="34">
        <v>1420827</v>
      </c>
      <c r="L37" s="46">
        <f t="shared" si="3"/>
        <v>0</v>
      </c>
      <c r="M37" s="46">
        <f t="shared" si="3"/>
        <v>0</v>
      </c>
      <c r="N37" s="46">
        <f t="shared" si="3"/>
        <v>144.90000000000146</v>
      </c>
      <c r="O37" s="46">
        <f t="shared" si="3"/>
        <v>267.59999999997672</v>
      </c>
      <c r="P37" s="46">
        <f t="shared" si="3"/>
        <v>224.79999999998836</v>
      </c>
      <c r="Q37" s="46">
        <f t="shared" si="3"/>
        <v>5.3000000000465661</v>
      </c>
      <c r="R37" s="46">
        <f t="shared" si="3"/>
        <v>17.099999999976717</v>
      </c>
      <c r="S37" s="46">
        <f t="shared" si="3"/>
        <v>296.5</v>
      </c>
      <c r="T37" s="46">
        <f t="shared" si="3"/>
        <v>1425</v>
      </c>
      <c r="U37" s="47">
        <f t="shared" si="4"/>
        <v>5.3000000000465661</v>
      </c>
      <c r="V37" s="47">
        <f t="shared" si="4"/>
        <v>17.099999999976717</v>
      </c>
      <c r="W37" s="47">
        <f t="shared" si="4"/>
        <v>441.40000000000146</v>
      </c>
      <c r="X37" s="47">
        <f t="shared" si="2"/>
        <v>1917.3999999999651</v>
      </c>
    </row>
    <row r="38" spans="1:24" ht="20" customHeight="1" x14ac:dyDescent="0.35">
      <c r="A38" s="29" t="s">
        <v>183</v>
      </c>
      <c r="B38" s="30">
        <v>404509.2</v>
      </c>
      <c r="C38" s="29">
        <v>219206.2</v>
      </c>
      <c r="D38" s="31">
        <v>43187</v>
      </c>
      <c r="E38" s="31">
        <v>364471.8</v>
      </c>
      <c r="F38" s="31">
        <v>244896.4</v>
      </c>
      <c r="G38" s="31">
        <v>518449.4</v>
      </c>
      <c r="H38" s="32">
        <v>307015.59999999998</v>
      </c>
      <c r="I38" s="33">
        <v>703692.3</v>
      </c>
      <c r="J38" s="34">
        <v>1422252</v>
      </c>
      <c r="L38" s="46">
        <f t="shared" si="3"/>
        <v>0</v>
      </c>
      <c r="M38" s="46">
        <f t="shared" si="3"/>
        <v>0</v>
      </c>
      <c r="N38" s="46">
        <f t="shared" si="3"/>
        <v>197.80000000000291</v>
      </c>
      <c r="O38" s="46">
        <f t="shared" si="3"/>
        <v>357.40000000002328</v>
      </c>
      <c r="P38" s="46">
        <f t="shared" si="3"/>
        <v>224.70000000001164</v>
      </c>
      <c r="Q38" s="46">
        <f t="shared" si="3"/>
        <v>1.5999999999767169</v>
      </c>
      <c r="R38" s="46">
        <f t="shared" si="3"/>
        <v>17.300000000046566</v>
      </c>
      <c r="S38" s="46">
        <f t="shared" si="3"/>
        <v>1034</v>
      </c>
      <c r="T38" s="46">
        <f t="shared" si="3"/>
        <v>1375</v>
      </c>
      <c r="U38" s="47">
        <f t="shared" si="4"/>
        <v>1.5999999999767169</v>
      </c>
      <c r="V38" s="47">
        <f t="shared" si="4"/>
        <v>17.300000000046566</v>
      </c>
      <c r="W38" s="47">
        <f t="shared" si="4"/>
        <v>1231.8000000000029</v>
      </c>
      <c r="X38" s="47">
        <f t="shared" si="2"/>
        <v>1957.1000000000349</v>
      </c>
    </row>
    <row r="39" spans="1:24" ht="20" customHeight="1" x14ac:dyDescent="0.35">
      <c r="A39" s="29" t="s">
        <v>184</v>
      </c>
      <c r="B39" s="30">
        <v>404509.2</v>
      </c>
      <c r="C39" s="29">
        <v>219206.2</v>
      </c>
      <c r="D39" s="31">
        <v>43384.800000000003</v>
      </c>
      <c r="E39" s="31">
        <v>364829.2</v>
      </c>
      <c r="F39" s="31">
        <v>245121.1</v>
      </c>
      <c r="G39" s="31">
        <v>518451</v>
      </c>
      <c r="H39" s="32">
        <v>307032.90000000002</v>
      </c>
      <c r="I39" s="33">
        <v>704726.3</v>
      </c>
      <c r="J39" s="34">
        <v>1423627</v>
      </c>
      <c r="L39" s="46">
        <f t="shared" ref="L39" si="10">IFERROR(B40-B39,0)</f>
        <v>0</v>
      </c>
      <c r="M39" s="46">
        <f t="shared" ref="M39" si="11">IFERROR(C40-C39,0)</f>
        <v>0</v>
      </c>
      <c r="N39" s="46">
        <f t="shared" ref="N39" si="12">IFERROR(D40-D39,0)</f>
        <v>289.79999999999563</v>
      </c>
      <c r="O39" s="46">
        <f t="shared" ref="O39" si="13">IFERROR(E40-E39,0)</f>
        <v>358.59999999997672</v>
      </c>
      <c r="P39" s="46">
        <f t="shared" ref="P39" si="14">IFERROR(F40-F39,0)</f>
        <v>250</v>
      </c>
      <c r="Q39" s="46">
        <f t="shared" ref="Q39" si="15">IFERROR(G40-G39,0)</f>
        <v>2.5999999999767169</v>
      </c>
      <c r="R39" s="46">
        <f t="shared" ref="R39" si="16">IFERROR(H40-H39,0)</f>
        <v>17.599999999976717</v>
      </c>
      <c r="S39" s="46">
        <f t="shared" ref="S39" si="17">IFERROR(I40-I39,0)</f>
        <v>1156.5</v>
      </c>
      <c r="T39" s="46">
        <f t="shared" ref="T39" si="18">IFERROR(J40-J39,0)</f>
        <v>1512</v>
      </c>
      <c r="U39" s="47">
        <f t="shared" ref="U39" si="19">L39+Q39</f>
        <v>2.5999999999767169</v>
      </c>
      <c r="V39" s="47">
        <f t="shared" ref="V39" si="20">M39+R39</f>
        <v>17.599999999976717</v>
      </c>
      <c r="W39" s="47">
        <f t="shared" ref="W39" si="21">N39+S39</f>
        <v>1446.2999999999956</v>
      </c>
      <c r="X39" s="47">
        <f t="shared" ref="X39" si="22">O39+P39+T39</f>
        <v>2120.5999999999767</v>
      </c>
    </row>
    <row r="40" spans="1:24" ht="20" customHeight="1" x14ac:dyDescent="0.35">
      <c r="A40" s="59" t="s">
        <v>191</v>
      </c>
      <c r="B40" s="30">
        <v>404509.2</v>
      </c>
      <c r="C40" s="29">
        <v>219206.2</v>
      </c>
      <c r="D40" s="31">
        <v>43674.6</v>
      </c>
      <c r="E40" s="31">
        <v>365187.8</v>
      </c>
      <c r="F40" s="31">
        <v>245371.1</v>
      </c>
      <c r="G40" s="31">
        <v>518453.6</v>
      </c>
      <c r="H40" s="32">
        <v>307050.5</v>
      </c>
      <c r="I40" s="33">
        <v>705882.8</v>
      </c>
      <c r="J40" s="34">
        <v>1425139</v>
      </c>
      <c r="L40" s="46">
        <f t="shared" si="3"/>
        <v>-404509.2</v>
      </c>
      <c r="M40" s="46">
        <f t="shared" si="3"/>
        <v>-219206.2</v>
      </c>
      <c r="N40" s="46">
        <f t="shared" si="3"/>
        <v>-43674.6</v>
      </c>
      <c r="O40" s="46">
        <f t="shared" si="3"/>
        <v>-365187.8</v>
      </c>
      <c r="P40" s="46">
        <f t="shared" si="3"/>
        <v>-245371.1</v>
      </c>
      <c r="Q40" s="46">
        <f t="shared" si="3"/>
        <v>-518453.6</v>
      </c>
      <c r="R40" s="46">
        <f t="shared" si="3"/>
        <v>-307050.5</v>
      </c>
      <c r="S40" s="46">
        <f t="shared" si="3"/>
        <v>-705882.8</v>
      </c>
      <c r="T40" s="46">
        <f t="shared" si="3"/>
        <v>-1425139</v>
      </c>
      <c r="U40" s="47">
        <f t="shared" si="4"/>
        <v>-922962.8</v>
      </c>
      <c r="V40" s="47">
        <f t="shared" si="4"/>
        <v>-526256.69999999995</v>
      </c>
      <c r="W40" s="47">
        <f t="shared" si="4"/>
        <v>-749557.4</v>
      </c>
      <c r="X40" s="47">
        <f t="shared" si="2"/>
        <v>-2035697.9</v>
      </c>
    </row>
    <row r="41" spans="1:24" ht="20" customHeight="1" x14ac:dyDescent="0.35">
      <c r="A41" s="29"/>
      <c r="B41" s="30"/>
      <c r="C41" s="29"/>
      <c r="D41" s="31"/>
      <c r="E41" s="31"/>
      <c r="F41" s="31"/>
      <c r="G41" s="31"/>
      <c r="H41" s="32"/>
      <c r="I41" s="33"/>
      <c r="J41" s="34"/>
      <c r="L41" s="46">
        <f t="shared" si="3"/>
        <v>0</v>
      </c>
      <c r="M41" s="46">
        <f t="shared" si="3"/>
        <v>0</v>
      </c>
      <c r="N41" s="46">
        <f t="shared" si="3"/>
        <v>0</v>
      </c>
      <c r="O41" s="46">
        <f t="shared" si="3"/>
        <v>0</v>
      </c>
      <c r="P41" s="46">
        <f t="shared" si="3"/>
        <v>0</v>
      </c>
      <c r="Q41" s="46">
        <f t="shared" si="3"/>
        <v>0</v>
      </c>
      <c r="R41" s="46">
        <f t="shared" si="3"/>
        <v>0</v>
      </c>
      <c r="S41" s="46">
        <f t="shared" si="3"/>
        <v>0</v>
      </c>
      <c r="T41" s="46">
        <f t="shared" si="3"/>
        <v>0</v>
      </c>
      <c r="U41" s="47">
        <f t="shared" si="4"/>
        <v>0</v>
      </c>
      <c r="V41" s="47">
        <f t="shared" si="4"/>
        <v>0</v>
      </c>
      <c r="W41" s="47">
        <f t="shared" si="4"/>
        <v>0</v>
      </c>
      <c r="X41" s="47">
        <f t="shared" si="2"/>
        <v>0</v>
      </c>
    </row>
    <row r="42" spans="1:24" ht="20" customHeight="1" x14ac:dyDescent="0.35">
      <c r="A42" s="29"/>
      <c r="B42" s="30"/>
      <c r="C42" s="29"/>
      <c r="D42" s="31"/>
      <c r="E42" s="31"/>
      <c r="F42" s="31"/>
      <c r="G42" s="31"/>
      <c r="H42" s="32"/>
      <c r="I42" s="33"/>
      <c r="J42" s="34"/>
      <c r="L42" s="46">
        <f t="shared" si="3"/>
        <v>0</v>
      </c>
      <c r="M42" s="46">
        <f t="shared" si="3"/>
        <v>0</v>
      </c>
      <c r="N42" s="46">
        <f t="shared" si="3"/>
        <v>0</v>
      </c>
      <c r="O42" s="46">
        <f t="shared" si="3"/>
        <v>0</v>
      </c>
      <c r="P42" s="46">
        <f t="shared" si="3"/>
        <v>0</v>
      </c>
      <c r="Q42" s="46">
        <f t="shared" si="3"/>
        <v>0</v>
      </c>
      <c r="R42" s="46">
        <f t="shared" si="3"/>
        <v>0</v>
      </c>
      <c r="S42" s="46">
        <f t="shared" si="3"/>
        <v>0</v>
      </c>
      <c r="T42" s="46">
        <f t="shared" si="3"/>
        <v>0</v>
      </c>
      <c r="U42" s="47">
        <f t="shared" si="4"/>
        <v>0</v>
      </c>
      <c r="V42" s="47">
        <f t="shared" si="4"/>
        <v>0</v>
      </c>
      <c r="W42" s="47">
        <f t="shared" si="4"/>
        <v>0</v>
      </c>
      <c r="X42" s="47">
        <f t="shared" si="2"/>
        <v>0</v>
      </c>
    </row>
    <row r="43" spans="1:24" ht="20" customHeight="1" x14ac:dyDescent="0.35">
      <c r="A43" s="29"/>
      <c r="B43" s="30"/>
      <c r="C43" s="29"/>
      <c r="D43" s="31"/>
      <c r="E43" s="31"/>
      <c r="F43" s="31"/>
      <c r="G43" s="31"/>
      <c r="H43" s="32"/>
      <c r="I43" s="33"/>
      <c r="J43" s="34"/>
      <c r="L43" s="46">
        <f t="shared" si="3"/>
        <v>0</v>
      </c>
      <c r="M43" s="46">
        <f t="shared" si="3"/>
        <v>0</v>
      </c>
      <c r="N43" s="46">
        <f t="shared" si="3"/>
        <v>0</v>
      </c>
      <c r="O43" s="46">
        <f t="shared" si="3"/>
        <v>0</v>
      </c>
      <c r="P43" s="46">
        <f t="shared" si="3"/>
        <v>0</v>
      </c>
      <c r="Q43" s="46">
        <f t="shared" si="3"/>
        <v>0</v>
      </c>
      <c r="R43" s="46">
        <f t="shared" si="3"/>
        <v>0</v>
      </c>
      <c r="S43" s="46">
        <f t="shared" si="3"/>
        <v>0</v>
      </c>
      <c r="T43" s="46">
        <f t="shared" si="3"/>
        <v>0</v>
      </c>
      <c r="U43" s="47">
        <f t="shared" si="4"/>
        <v>0</v>
      </c>
      <c r="V43" s="47">
        <f t="shared" si="4"/>
        <v>0</v>
      </c>
      <c r="W43" s="47">
        <f t="shared" si="4"/>
        <v>0</v>
      </c>
      <c r="X43" s="47">
        <f t="shared" si="2"/>
        <v>0</v>
      </c>
    </row>
    <row r="44" spans="1:24" ht="42.75" customHeight="1" x14ac:dyDescent="0.35">
      <c r="A44" s="37"/>
      <c r="B44" s="38"/>
      <c r="C44" s="37"/>
      <c r="D44" s="39"/>
      <c r="E44" s="39"/>
      <c r="F44" s="39"/>
      <c r="G44" s="39"/>
      <c r="H44" s="40"/>
      <c r="I44" s="41"/>
      <c r="J44" s="42"/>
      <c r="L44" s="46">
        <f t="shared" ref="L44:T72" si="23">IFERROR(B45-B44,0)</f>
        <v>0</v>
      </c>
      <c r="M44" s="46">
        <f t="shared" si="23"/>
        <v>0</v>
      </c>
      <c r="N44" s="46">
        <f t="shared" si="23"/>
        <v>0</v>
      </c>
      <c r="O44" s="46">
        <f t="shared" si="23"/>
        <v>0</v>
      </c>
      <c r="P44" s="46">
        <f t="shared" si="23"/>
        <v>0</v>
      </c>
      <c r="Q44" s="46">
        <f t="shared" si="23"/>
        <v>0</v>
      </c>
      <c r="R44" s="46">
        <f t="shared" si="23"/>
        <v>0</v>
      </c>
      <c r="S44" s="46">
        <f t="shared" si="23"/>
        <v>0</v>
      </c>
      <c r="T44" s="46">
        <f t="shared" si="23"/>
        <v>0</v>
      </c>
      <c r="U44" s="47">
        <f t="shared" ref="U44:W107" si="24">L44+Q44</f>
        <v>0</v>
      </c>
      <c r="V44" s="47">
        <f t="shared" si="24"/>
        <v>0</v>
      </c>
      <c r="W44" s="47">
        <f t="shared" si="24"/>
        <v>0</v>
      </c>
      <c r="X44" s="47">
        <f t="shared" si="2"/>
        <v>0</v>
      </c>
    </row>
    <row r="45" spans="1:24" ht="20" customHeight="1" x14ac:dyDescent="0.35">
      <c r="A45" s="29"/>
      <c r="B45" s="30"/>
      <c r="C45" s="29"/>
      <c r="D45" s="31"/>
      <c r="E45" s="31"/>
      <c r="F45" s="31"/>
      <c r="G45" s="31"/>
      <c r="H45" s="29"/>
      <c r="I45" s="31"/>
      <c r="J45" s="34"/>
      <c r="L45" s="46">
        <f t="shared" si="23"/>
        <v>0</v>
      </c>
      <c r="M45" s="46">
        <f t="shared" si="23"/>
        <v>0</v>
      </c>
      <c r="N45" s="46">
        <f t="shared" si="23"/>
        <v>0</v>
      </c>
      <c r="O45" s="46">
        <f t="shared" si="23"/>
        <v>0</v>
      </c>
      <c r="P45" s="46">
        <f t="shared" si="23"/>
        <v>0</v>
      </c>
      <c r="Q45" s="46">
        <f t="shared" si="23"/>
        <v>0</v>
      </c>
      <c r="R45" s="46">
        <f t="shared" si="23"/>
        <v>0</v>
      </c>
      <c r="S45" s="46">
        <f t="shared" si="23"/>
        <v>0</v>
      </c>
      <c r="T45" s="46">
        <f t="shared" si="23"/>
        <v>0</v>
      </c>
      <c r="U45" s="47">
        <f t="shared" si="24"/>
        <v>0</v>
      </c>
      <c r="V45" s="47">
        <f t="shared" si="24"/>
        <v>0</v>
      </c>
      <c r="W45" s="47">
        <f t="shared" si="24"/>
        <v>0</v>
      </c>
      <c r="X45" s="47">
        <f t="shared" si="2"/>
        <v>0</v>
      </c>
    </row>
    <row r="46" spans="1:24" ht="20" customHeight="1" x14ac:dyDescent="0.35">
      <c r="A46" s="29"/>
      <c r="B46" s="30"/>
      <c r="C46" s="29"/>
      <c r="D46" s="31"/>
      <c r="E46" s="31"/>
      <c r="F46" s="31"/>
      <c r="G46" s="31"/>
      <c r="H46" s="29"/>
      <c r="I46" s="31"/>
      <c r="J46" s="34"/>
      <c r="L46" s="46">
        <f t="shared" si="23"/>
        <v>0</v>
      </c>
      <c r="M46" s="46">
        <f t="shared" si="23"/>
        <v>0</v>
      </c>
      <c r="N46" s="46">
        <f t="shared" si="23"/>
        <v>0</v>
      </c>
      <c r="O46" s="46">
        <f t="shared" si="23"/>
        <v>0</v>
      </c>
      <c r="P46" s="46">
        <f t="shared" si="23"/>
        <v>0</v>
      </c>
      <c r="Q46" s="46">
        <f t="shared" si="23"/>
        <v>0</v>
      </c>
      <c r="R46" s="46">
        <f t="shared" si="23"/>
        <v>0</v>
      </c>
      <c r="S46" s="46">
        <f t="shared" si="23"/>
        <v>0</v>
      </c>
      <c r="T46" s="46">
        <f t="shared" si="23"/>
        <v>0</v>
      </c>
      <c r="U46" s="47">
        <f t="shared" si="24"/>
        <v>0</v>
      </c>
      <c r="V46" s="47">
        <f t="shared" si="24"/>
        <v>0</v>
      </c>
      <c r="W46" s="47">
        <f t="shared" si="24"/>
        <v>0</v>
      </c>
      <c r="X46" s="47">
        <f t="shared" si="2"/>
        <v>0</v>
      </c>
    </row>
    <row r="47" spans="1:24" ht="20" customHeight="1" x14ac:dyDescent="0.35">
      <c r="A47" s="29"/>
      <c r="B47" s="30"/>
      <c r="C47" s="29"/>
      <c r="D47" s="31"/>
      <c r="E47" s="31"/>
      <c r="F47" s="31"/>
      <c r="G47" s="31"/>
      <c r="H47" s="29"/>
      <c r="I47" s="31"/>
      <c r="J47" s="34"/>
      <c r="L47" s="46">
        <f t="shared" si="23"/>
        <v>0</v>
      </c>
      <c r="M47" s="46">
        <f t="shared" si="23"/>
        <v>0</v>
      </c>
      <c r="N47" s="46">
        <f t="shared" si="23"/>
        <v>0</v>
      </c>
      <c r="O47" s="46">
        <f t="shared" si="23"/>
        <v>0</v>
      </c>
      <c r="P47" s="46">
        <f t="shared" si="23"/>
        <v>0</v>
      </c>
      <c r="Q47" s="46">
        <f t="shared" si="23"/>
        <v>0</v>
      </c>
      <c r="R47" s="46">
        <f t="shared" si="23"/>
        <v>0</v>
      </c>
      <c r="S47" s="46">
        <f t="shared" si="23"/>
        <v>0</v>
      </c>
      <c r="T47" s="46">
        <f t="shared" si="23"/>
        <v>0</v>
      </c>
      <c r="U47" s="47">
        <f t="shared" si="24"/>
        <v>0</v>
      </c>
      <c r="V47" s="47">
        <f t="shared" si="24"/>
        <v>0</v>
      </c>
      <c r="W47" s="47">
        <f t="shared" si="24"/>
        <v>0</v>
      </c>
      <c r="X47" s="47">
        <f t="shared" si="2"/>
        <v>0</v>
      </c>
    </row>
    <row r="48" spans="1:24" ht="20" customHeight="1" x14ac:dyDescent="0.35">
      <c r="A48" s="29"/>
      <c r="B48" s="30"/>
      <c r="C48" s="29"/>
      <c r="D48" s="31"/>
      <c r="E48" s="31"/>
      <c r="F48" s="31"/>
      <c r="G48" s="31"/>
      <c r="H48" s="29"/>
      <c r="I48" s="31"/>
      <c r="J48" s="34"/>
      <c r="L48" s="46">
        <f t="shared" si="23"/>
        <v>0</v>
      </c>
      <c r="M48" s="46">
        <f t="shared" si="23"/>
        <v>0</v>
      </c>
      <c r="N48" s="46">
        <f t="shared" si="23"/>
        <v>0</v>
      </c>
      <c r="O48" s="46">
        <f t="shared" si="23"/>
        <v>0</v>
      </c>
      <c r="P48" s="46">
        <f t="shared" si="23"/>
        <v>0</v>
      </c>
      <c r="Q48" s="46">
        <f t="shared" si="23"/>
        <v>0</v>
      </c>
      <c r="R48" s="46">
        <f t="shared" si="23"/>
        <v>0</v>
      </c>
      <c r="S48" s="46">
        <f t="shared" si="23"/>
        <v>0</v>
      </c>
      <c r="T48" s="46">
        <f t="shared" si="23"/>
        <v>0</v>
      </c>
      <c r="U48" s="47">
        <f t="shared" si="24"/>
        <v>0</v>
      </c>
      <c r="V48" s="47">
        <f t="shared" si="24"/>
        <v>0</v>
      </c>
      <c r="W48" s="47">
        <f t="shared" si="24"/>
        <v>0</v>
      </c>
      <c r="X48" s="47">
        <f t="shared" si="2"/>
        <v>0</v>
      </c>
    </row>
    <row r="49" spans="1:24" ht="20" customHeight="1" x14ac:dyDescent="0.35">
      <c r="A49" s="29"/>
      <c r="B49" s="30"/>
      <c r="C49" s="29"/>
      <c r="D49" s="31"/>
      <c r="E49" s="31"/>
      <c r="F49" s="31"/>
      <c r="G49" s="31"/>
      <c r="H49" s="29"/>
      <c r="I49" s="31"/>
      <c r="J49" s="34"/>
      <c r="L49" s="46">
        <f t="shared" si="23"/>
        <v>0</v>
      </c>
      <c r="M49" s="46">
        <f t="shared" si="23"/>
        <v>0</v>
      </c>
      <c r="N49" s="46">
        <f t="shared" si="23"/>
        <v>0</v>
      </c>
      <c r="O49" s="46">
        <f t="shared" si="23"/>
        <v>0</v>
      </c>
      <c r="P49" s="46">
        <f t="shared" si="23"/>
        <v>0</v>
      </c>
      <c r="Q49" s="46">
        <f t="shared" si="23"/>
        <v>0</v>
      </c>
      <c r="R49" s="46">
        <f t="shared" si="23"/>
        <v>0</v>
      </c>
      <c r="S49" s="46">
        <f t="shared" si="23"/>
        <v>0</v>
      </c>
      <c r="T49" s="46">
        <f t="shared" si="23"/>
        <v>0</v>
      </c>
      <c r="U49" s="47">
        <f t="shared" si="24"/>
        <v>0</v>
      </c>
      <c r="V49" s="47">
        <f t="shared" si="24"/>
        <v>0</v>
      </c>
      <c r="W49" s="47">
        <f t="shared" si="24"/>
        <v>0</v>
      </c>
      <c r="X49" s="47">
        <f t="shared" si="2"/>
        <v>0</v>
      </c>
    </row>
    <row r="50" spans="1:24" ht="20" customHeight="1" x14ac:dyDescent="0.35">
      <c r="A50" s="29"/>
      <c r="B50" s="30"/>
      <c r="C50" s="29"/>
      <c r="D50" s="31"/>
      <c r="E50" s="31"/>
      <c r="F50" s="31"/>
      <c r="G50" s="31"/>
      <c r="H50" s="29"/>
      <c r="I50" s="31"/>
      <c r="J50" s="34"/>
      <c r="L50" s="46">
        <f t="shared" si="23"/>
        <v>0</v>
      </c>
      <c r="M50" s="46">
        <f t="shared" si="23"/>
        <v>0</v>
      </c>
      <c r="N50" s="46">
        <f t="shared" si="23"/>
        <v>0</v>
      </c>
      <c r="O50" s="46">
        <f t="shared" si="23"/>
        <v>0</v>
      </c>
      <c r="P50" s="46">
        <f t="shared" si="23"/>
        <v>0</v>
      </c>
      <c r="Q50" s="46">
        <f t="shared" si="23"/>
        <v>0</v>
      </c>
      <c r="R50" s="46">
        <f t="shared" si="23"/>
        <v>0</v>
      </c>
      <c r="S50" s="46">
        <f t="shared" si="23"/>
        <v>0</v>
      </c>
      <c r="T50" s="46">
        <f t="shared" si="23"/>
        <v>0</v>
      </c>
      <c r="U50" s="47">
        <f t="shared" si="24"/>
        <v>0</v>
      </c>
      <c r="V50" s="47">
        <f t="shared" si="24"/>
        <v>0</v>
      </c>
      <c r="W50" s="47">
        <f t="shared" si="24"/>
        <v>0</v>
      </c>
      <c r="X50" s="47">
        <f t="shared" si="2"/>
        <v>0</v>
      </c>
    </row>
    <row r="51" spans="1:24" ht="20" customHeight="1" x14ac:dyDescent="0.35">
      <c r="A51" s="29"/>
      <c r="B51" s="30"/>
      <c r="C51" s="29"/>
      <c r="D51" s="31"/>
      <c r="E51" s="31"/>
      <c r="F51" s="31"/>
      <c r="G51" s="31"/>
      <c r="H51" s="29"/>
      <c r="I51" s="31"/>
      <c r="J51" s="34"/>
      <c r="L51" s="46">
        <f t="shared" si="23"/>
        <v>0</v>
      </c>
      <c r="M51" s="46">
        <f t="shared" si="23"/>
        <v>0</v>
      </c>
      <c r="N51" s="46">
        <f t="shared" si="23"/>
        <v>0</v>
      </c>
      <c r="O51" s="46">
        <f t="shared" si="23"/>
        <v>0</v>
      </c>
      <c r="P51" s="46">
        <f t="shared" si="23"/>
        <v>0</v>
      </c>
      <c r="Q51" s="46">
        <f t="shared" si="23"/>
        <v>0</v>
      </c>
      <c r="R51" s="46">
        <f t="shared" si="23"/>
        <v>0</v>
      </c>
      <c r="S51" s="46">
        <f t="shared" si="23"/>
        <v>0</v>
      </c>
      <c r="T51" s="46">
        <f t="shared" si="23"/>
        <v>0</v>
      </c>
      <c r="U51" s="47">
        <f t="shared" si="24"/>
        <v>0</v>
      </c>
      <c r="V51" s="47">
        <f t="shared" si="24"/>
        <v>0</v>
      </c>
      <c r="W51" s="47">
        <f t="shared" si="24"/>
        <v>0</v>
      </c>
      <c r="X51" s="47">
        <f t="shared" si="2"/>
        <v>0</v>
      </c>
    </row>
    <row r="52" spans="1:24" ht="20" customHeight="1" x14ac:dyDescent="0.35">
      <c r="A52" s="29"/>
      <c r="B52" s="30"/>
      <c r="C52" s="29"/>
      <c r="D52" s="31"/>
      <c r="E52" s="31"/>
      <c r="F52" s="31"/>
      <c r="G52" s="31"/>
      <c r="H52" s="29"/>
      <c r="I52" s="31"/>
      <c r="J52" s="34"/>
      <c r="L52" s="46">
        <f t="shared" si="23"/>
        <v>0</v>
      </c>
      <c r="M52" s="46">
        <f t="shared" si="23"/>
        <v>0</v>
      </c>
      <c r="N52" s="46">
        <f t="shared" si="23"/>
        <v>0</v>
      </c>
      <c r="O52" s="46">
        <f t="shared" si="23"/>
        <v>0</v>
      </c>
      <c r="P52" s="46">
        <f t="shared" si="23"/>
        <v>0</v>
      </c>
      <c r="Q52" s="46">
        <f t="shared" si="23"/>
        <v>0</v>
      </c>
      <c r="R52" s="46">
        <f t="shared" si="23"/>
        <v>0</v>
      </c>
      <c r="S52" s="46">
        <f t="shared" si="23"/>
        <v>0</v>
      </c>
      <c r="T52" s="46">
        <f t="shared" si="23"/>
        <v>0</v>
      </c>
      <c r="U52" s="47">
        <f t="shared" si="24"/>
        <v>0</v>
      </c>
      <c r="V52" s="47">
        <f t="shared" si="24"/>
        <v>0</v>
      </c>
      <c r="W52" s="47">
        <f t="shared" si="24"/>
        <v>0</v>
      </c>
      <c r="X52" s="47">
        <f t="shared" si="2"/>
        <v>0</v>
      </c>
    </row>
    <row r="53" spans="1:24" ht="20" customHeight="1" x14ac:dyDescent="0.35">
      <c r="A53" s="29"/>
      <c r="B53" s="30"/>
      <c r="C53" s="29"/>
      <c r="D53" s="31"/>
      <c r="E53" s="31"/>
      <c r="F53" s="31"/>
      <c r="G53" s="31"/>
      <c r="H53" s="29"/>
      <c r="I53" s="31"/>
      <c r="J53" s="34"/>
      <c r="L53" s="46">
        <f t="shared" si="23"/>
        <v>0</v>
      </c>
      <c r="M53" s="46">
        <f t="shared" si="23"/>
        <v>0</v>
      </c>
      <c r="N53" s="46">
        <f t="shared" si="23"/>
        <v>0</v>
      </c>
      <c r="O53" s="46">
        <f t="shared" si="23"/>
        <v>0</v>
      </c>
      <c r="P53" s="46">
        <f t="shared" si="23"/>
        <v>0</v>
      </c>
      <c r="Q53" s="46">
        <f t="shared" si="23"/>
        <v>0</v>
      </c>
      <c r="R53" s="46">
        <f t="shared" si="23"/>
        <v>0</v>
      </c>
      <c r="S53" s="46">
        <f t="shared" si="23"/>
        <v>0</v>
      </c>
      <c r="T53" s="46">
        <f t="shared" si="23"/>
        <v>0</v>
      </c>
      <c r="U53" s="47">
        <f t="shared" si="24"/>
        <v>0</v>
      </c>
      <c r="V53" s="47">
        <f t="shared" si="24"/>
        <v>0</v>
      </c>
      <c r="W53" s="47">
        <f t="shared" si="24"/>
        <v>0</v>
      </c>
      <c r="X53" s="47">
        <f t="shared" si="2"/>
        <v>0</v>
      </c>
    </row>
    <row r="54" spans="1:24" ht="20" customHeight="1" x14ac:dyDescent="0.35">
      <c r="A54" s="29"/>
      <c r="B54" s="30"/>
      <c r="C54" s="29"/>
      <c r="D54" s="31"/>
      <c r="E54" s="31"/>
      <c r="F54" s="31"/>
      <c r="G54" s="31"/>
      <c r="H54" s="29"/>
      <c r="I54" s="31"/>
      <c r="J54" s="34"/>
      <c r="L54" s="46">
        <f t="shared" si="23"/>
        <v>0</v>
      </c>
      <c r="M54" s="46">
        <f t="shared" si="23"/>
        <v>0</v>
      </c>
      <c r="N54" s="46">
        <f t="shared" si="23"/>
        <v>0</v>
      </c>
      <c r="O54" s="46">
        <f t="shared" si="23"/>
        <v>0</v>
      </c>
      <c r="P54" s="46">
        <f t="shared" si="23"/>
        <v>0</v>
      </c>
      <c r="Q54" s="46">
        <f t="shared" si="23"/>
        <v>0</v>
      </c>
      <c r="R54" s="46">
        <f t="shared" si="23"/>
        <v>0</v>
      </c>
      <c r="S54" s="46">
        <f t="shared" si="23"/>
        <v>0</v>
      </c>
      <c r="T54" s="46">
        <f t="shared" si="23"/>
        <v>0</v>
      </c>
      <c r="U54" s="47">
        <f t="shared" si="24"/>
        <v>0</v>
      </c>
      <c r="V54" s="47">
        <f t="shared" si="24"/>
        <v>0</v>
      </c>
      <c r="W54" s="47">
        <f t="shared" si="24"/>
        <v>0</v>
      </c>
      <c r="X54" s="47">
        <f t="shared" si="2"/>
        <v>0</v>
      </c>
    </row>
    <row r="55" spans="1:24" ht="20" customHeight="1" x14ac:dyDescent="0.35">
      <c r="A55" s="29"/>
      <c r="B55" s="30"/>
      <c r="C55" s="29"/>
      <c r="D55" s="31"/>
      <c r="E55" s="31"/>
      <c r="F55" s="31"/>
      <c r="G55" s="31"/>
      <c r="H55" s="29"/>
      <c r="I55" s="31"/>
      <c r="J55" s="34"/>
      <c r="L55" s="46">
        <f t="shared" si="23"/>
        <v>0</v>
      </c>
      <c r="M55" s="46">
        <f t="shared" si="23"/>
        <v>0</v>
      </c>
      <c r="N55" s="46">
        <f t="shared" si="23"/>
        <v>0</v>
      </c>
      <c r="O55" s="46">
        <f t="shared" si="23"/>
        <v>0</v>
      </c>
      <c r="P55" s="46">
        <f t="shared" si="23"/>
        <v>0</v>
      </c>
      <c r="Q55" s="46">
        <f t="shared" si="23"/>
        <v>0</v>
      </c>
      <c r="R55" s="46">
        <f t="shared" si="23"/>
        <v>0</v>
      </c>
      <c r="S55" s="46">
        <f t="shared" si="23"/>
        <v>0</v>
      </c>
      <c r="T55" s="46">
        <f t="shared" si="23"/>
        <v>0</v>
      </c>
      <c r="U55" s="47">
        <f t="shared" si="24"/>
        <v>0</v>
      </c>
      <c r="V55" s="47">
        <f t="shared" si="24"/>
        <v>0</v>
      </c>
      <c r="W55" s="47">
        <f t="shared" si="24"/>
        <v>0</v>
      </c>
      <c r="X55" s="47">
        <f t="shared" si="2"/>
        <v>0</v>
      </c>
    </row>
    <row r="56" spans="1:24" ht="20" customHeight="1" x14ac:dyDescent="0.35">
      <c r="A56" s="29"/>
      <c r="B56" s="30"/>
      <c r="C56" s="31"/>
      <c r="D56" s="31"/>
      <c r="E56" s="31"/>
      <c r="F56" s="31"/>
      <c r="G56" s="31"/>
      <c r="H56" s="31"/>
      <c r="I56" s="31"/>
      <c r="J56" s="34"/>
      <c r="L56" s="46">
        <f t="shared" si="23"/>
        <v>0</v>
      </c>
      <c r="M56" s="46">
        <f t="shared" si="23"/>
        <v>0</v>
      </c>
      <c r="N56" s="46">
        <f t="shared" si="23"/>
        <v>0</v>
      </c>
      <c r="O56" s="46">
        <f t="shared" si="23"/>
        <v>0</v>
      </c>
      <c r="P56" s="46">
        <f t="shared" si="23"/>
        <v>0</v>
      </c>
      <c r="Q56" s="46">
        <f t="shared" si="23"/>
        <v>0</v>
      </c>
      <c r="R56" s="46">
        <f t="shared" si="23"/>
        <v>0</v>
      </c>
      <c r="S56" s="46">
        <f t="shared" si="23"/>
        <v>0</v>
      </c>
      <c r="T56" s="46">
        <f t="shared" si="23"/>
        <v>0</v>
      </c>
      <c r="U56" s="47">
        <f t="shared" si="24"/>
        <v>0</v>
      </c>
      <c r="V56" s="47">
        <f t="shared" si="24"/>
        <v>0</v>
      </c>
      <c r="W56" s="47">
        <f t="shared" si="24"/>
        <v>0</v>
      </c>
      <c r="X56" s="47">
        <f t="shared" si="2"/>
        <v>0</v>
      </c>
    </row>
    <row r="57" spans="1:24" ht="20" customHeight="1" x14ac:dyDescent="0.35">
      <c r="A57" s="29"/>
      <c r="B57" s="30"/>
      <c r="C57" s="31"/>
      <c r="D57" s="31"/>
      <c r="E57" s="31"/>
      <c r="F57" s="31"/>
      <c r="G57" s="31"/>
      <c r="H57" s="31"/>
      <c r="I57" s="31"/>
      <c r="J57" s="34"/>
      <c r="L57" s="46">
        <f t="shared" si="23"/>
        <v>0</v>
      </c>
      <c r="M57" s="46">
        <f t="shared" si="23"/>
        <v>0</v>
      </c>
      <c r="N57" s="46">
        <f t="shared" si="23"/>
        <v>0</v>
      </c>
      <c r="O57" s="46">
        <f t="shared" si="23"/>
        <v>0</v>
      </c>
      <c r="P57" s="46">
        <f t="shared" si="23"/>
        <v>0</v>
      </c>
      <c r="Q57" s="46">
        <f t="shared" si="23"/>
        <v>0</v>
      </c>
      <c r="R57" s="46">
        <f t="shared" si="23"/>
        <v>0</v>
      </c>
      <c r="S57" s="46">
        <f t="shared" si="23"/>
        <v>0</v>
      </c>
      <c r="T57" s="46">
        <f t="shared" si="23"/>
        <v>0</v>
      </c>
      <c r="U57" s="47">
        <f t="shared" si="24"/>
        <v>0</v>
      </c>
      <c r="V57" s="47">
        <f t="shared" si="24"/>
        <v>0</v>
      </c>
      <c r="W57" s="47">
        <f t="shared" si="24"/>
        <v>0</v>
      </c>
      <c r="X57" s="47">
        <f t="shared" si="2"/>
        <v>0</v>
      </c>
    </row>
    <row r="58" spans="1:24" ht="20" customHeight="1" x14ac:dyDescent="0.35">
      <c r="A58" s="29"/>
      <c r="B58" s="30"/>
      <c r="C58" s="31"/>
      <c r="D58" s="31"/>
      <c r="E58" s="31"/>
      <c r="F58" s="31"/>
      <c r="G58" s="31"/>
      <c r="H58" s="31"/>
      <c r="I58" s="31"/>
      <c r="J58" s="34"/>
      <c r="L58" s="46">
        <f t="shared" si="23"/>
        <v>0</v>
      </c>
      <c r="M58" s="46">
        <f t="shared" si="23"/>
        <v>0</v>
      </c>
      <c r="N58" s="46">
        <f t="shared" si="23"/>
        <v>0</v>
      </c>
      <c r="O58" s="46">
        <f t="shared" si="23"/>
        <v>0</v>
      </c>
      <c r="P58" s="46">
        <f t="shared" si="23"/>
        <v>0</v>
      </c>
      <c r="Q58" s="46">
        <f t="shared" si="23"/>
        <v>0</v>
      </c>
      <c r="R58" s="46">
        <f t="shared" si="23"/>
        <v>0</v>
      </c>
      <c r="S58" s="46">
        <f t="shared" si="23"/>
        <v>0</v>
      </c>
      <c r="T58" s="46">
        <f t="shared" si="23"/>
        <v>0</v>
      </c>
      <c r="U58" s="47">
        <f t="shared" si="24"/>
        <v>0</v>
      </c>
      <c r="V58" s="47">
        <f t="shared" si="24"/>
        <v>0</v>
      </c>
      <c r="W58" s="47">
        <f t="shared" si="24"/>
        <v>0</v>
      </c>
      <c r="X58" s="47">
        <f t="shared" si="2"/>
        <v>0</v>
      </c>
    </row>
    <row r="59" spans="1:24" ht="20" customHeight="1" x14ac:dyDescent="0.35">
      <c r="A59" s="29"/>
      <c r="B59" s="30"/>
      <c r="C59" s="31"/>
      <c r="D59" s="31"/>
      <c r="E59" s="31"/>
      <c r="F59" s="31"/>
      <c r="G59" s="31"/>
      <c r="H59" s="31"/>
      <c r="I59" s="31"/>
      <c r="J59" s="34"/>
      <c r="L59" s="46">
        <f t="shared" si="23"/>
        <v>0</v>
      </c>
      <c r="M59" s="46">
        <f t="shared" si="23"/>
        <v>0</v>
      </c>
      <c r="N59" s="46">
        <f t="shared" si="23"/>
        <v>0</v>
      </c>
      <c r="O59" s="46">
        <f t="shared" si="23"/>
        <v>0</v>
      </c>
      <c r="P59" s="46">
        <f t="shared" si="23"/>
        <v>0</v>
      </c>
      <c r="Q59" s="46">
        <f t="shared" si="23"/>
        <v>0</v>
      </c>
      <c r="R59" s="46">
        <f t="shared" si="23"/>
        <v>0</v>
      </c>
      <c r="S59" s="46">
        <f t="shared" si="23"/>
        <v>0</v>
      </c>
      <c r="T59" s="46">
        <f t="shared" si="23"/>
        <v>0</v>
      </c>
      <c r="U59" s="47">
        <f t="shared" si="24"/>
        <v>0</v>
      </c>
      <c r="V59" s="47">
        <f t="shared" si="24"/>
        <v>0</v>
      </c>
      <c r="W59" s="47">
        <f t="shared" si="24"/>
        <v>0</v>
      </c>
      <c r="X59" s="47">
        <f t="shared" si="2"/>
        <v>0</v>
      </c>
    </row>
    <row r="60" spans="1:24" ht="20" customHeight="1" x14ac:dyDescent="0.35">
      <c r="A60" s="29"/>
      <c r="B60" s="30"/>
      <c r="C60" s="31"/>
      <c r="D60" s="31"/>
      <c r="E60" s="31"/>
      <c r="F60" s="31"/>
      <c r="G60" s="31"/>
      <c r="H60" s="31"/>
      <c r="I60" s="31"/>
      <c r="J60" s="34"/>
      <c r="L60" s="46">
        <f t="shared" si="23"/>
        <v>0</v>
      </c>
      <c r="M60" s="46">
        <f t="shared" si="23"/>
        <v>0</v>
      </c>
      <c r="N60" s="46">
        <f t="shared" si="23"/>
        <v>0</v>
      </c>
      <c r="O60" s="46">
        <f t="shared" si="23"/>
        <v>0</v>
      </c>
      <c r="P60" s="46">
        <f t="shared" si="23"/>
        <v>0</v>
      </c>
      <c r="Q60" s="46">
        <f t="shared" si="23"/>
        <v>0</v>
      </c>
      <c r="R60" s="46">
        <f t="shared" si="23"/>
        <v>0</v>
      </c>
      <c r="S60" s="46">
        <f t="shared" si="23"/>
        <v>0</v>
      </c>
      <c r="T60" s="46">
        <f t="shared" si="23"/>
        <v>0</v>
      </c>
      <c r="U60" s="47">
        <f t="shared" si="24"/>
        <v>0</v>
      </c>
      <c r="V60" s="47">
        <f t="shared" si="24"/>
        <v>0</v>
      </c>
      <c r="W60" s="47">
        <f t="shared" si="24"/>
        <v>0</v>
      </c>
      <c r="X60" s="47">
        <f t="shared" si="2"/>
        <v>0</v>
      </c>
    </row>
    <row r="61" spans="1:24" ht="20" customHeight="1" x14ac:dyDescent="0.35">
      <c r="A61" s="29"/>
      <c r="B61" s="30"/>
      <c r="C61" s="31"/>
      <c r="D61" s="31"/>
      <c r="E61" s="31"/>
      <c r="F61" s="31"/>
      <c r="G61" s="31"/>
      <c r="H61" s="31"/>
      <c r="I61" s="31"/>
      <c r="J61" s="34"/>
      <c r="L61" s="46">
        <f t="shared" si="23"/>
        <v>0</v>
      </c>
      <c r="M61" s="46">
        <f t="shared" si="23"/>
        <v>0</v>
      </c>
      <c r="N61" s="46">
        <f t="shared" si="23"/>
        <v>0</v>
      </c>
      <c r="O61" s="46">
        <f t="shared" si="23"/>
        <v>0</v>
      </c>
      <c r="P61" s="46">
        <f t="shared" si="23"/>
        <v>0</v>
      </c>
      <c r="Q61" s="46">
        <f t="shared" si="23"/>
        <v>0</v>
      </c>
      <c r="R61" s="46">
        <f t="shared" si="23"/>
        <v>0</v>
      </c>
      <c r="S61" s="46">
        <f t="shared" si="23"/>
        <v>0</v>
      </c>
      <c r="T61" s="46">
        <f t="shared" si="23"/>
        <v>0</v>
      </c>
      <c r="U61" s="47">
        <f t="shared" si="24"/>
        <v>0</v>
      </c>
      <c r="V61" s="47">
        <f t="shared" si="24"/>
        <v>0</v>
      </c>
      <c r="W61" s="47">
        <f t="shared" si="24"/>
        <v>0</v>
      </c>
      <c r="X61" s="47">
        <f t="shared" si="2"/>
        <v>0</v>
      </c>
    </row>
    <row r="62" spans="1:24" ht="16.75" customHeight="1" x14ac:dyDescent="0.35">
      <c r="A62" s="29"/>
      <c r="B62" s="30"/>
      <c r="C62" s="31"/>
      <c r="D62" s="31"/>
      <c r="E62" s="31"/>
      <c r="F62" s="31"/>
      <c r="G62" s="31"/>
      <c r="H62" s="31"/>
      <c r="I62" s="31"/>
      <c r="J62" s="34"/>
      <c r="L62" s="46">
        <f t="shared" si="23"/>
        <v>0</v>
      </c>
      <c r="M62" s="46">
        <f t="shared" si="23"/>
        <v>0</v>
      </c>
      <c r="N62" s="46">
        <f t="shared" si="23"/>
        <v>0</v>
      </c>
      <c r="O62" s="46">
        <f t="shared" si="23"/>
        <v>0</v>
      </c>
      <c r="P62" s="46">
        <f t="shared" si="23"/>
        <v>0</v>
      </c>
      <c r="Q62" s="46">
        <f t="shared" si="23"/>
        <v>0</v>
      </c>
      <c r="R62" s="46">
        <f t="shared" si="23"/>
        <v>0</v>
      </c>
      <c r="S62" s="46">
        <f t="shared" si="23"/>
        <v>0</v>
      </c>
      <c r="T62" s="46">
        <f t="shared" si="23"/>
        <v>0</v>
      </c>
      <c r="U62" s="47">
        <f t="shared" si="24"/>
        <v>0</v>
      </c>
      <c r="V62" s="47">
        <f t="shared" si="24"/>
        <v>0</v>
      </c>
      <c r="W62" s="47">
        <f t="shared" si="24"/>
        <v>0</v>
      </c>
      <c r="X62" s="47">
        <f t="shared" si="2"/>
        <v>0</v>
      </c>
    </row>
    <row r="63" spans="1:24" ht="20" customHeight="1" x14ac:dyDescent="0.35">
      <c r="A63" s="29"/>
      <c r="B63" s="30"/>
      <c r="C63" s="31"/>
      <c r="D63" s="31"/>
      <c r="E63" s="31"/>
      <c r="F63" s="31"/>
      <c r="G63" s="31"/>
      <c r="H63" s="31"/>
      <c r="I63" s="31"/>
      <c r="J63" s="34"/>
      <c r="L63" s="46">
        <f t="shared" si="23"/>
        <v>0</v>
      </c>
      <c r="M63" s="46">
        <f t="shared" si="23"/>
        <v>0</v>
      </c>
      <c r="N63" s="46">
        <f t="shared" si="23"/>
        <v>0</v>
      </c>
      <c r="O63" s="46">
        <f t="shared" si="23"/>
        <v>0</v>
      </c>
      <c r="P63" s="46">
        <f t="shared" si="23"/>
        <v>0</v>
      </c>
      <c r="Q63" s="46">
        <f t="shared" si="23"/>
        <v>0</v>
      </c>
      <c r="R63" s="46">
        <f t="shared" si="23"/>
        <v>0</v>
      </c>
      <c r="S63" s="46">
        <f t="shared" si="23"/>
        <v>0</v>
      </c>
      <c r="T63" s="46">
        <f t="shared" si="23"/>
        <v>0</v>
      </c>
      <c r="U63" s="47">
        <f t="shared" si="24"/>
        <v>0</v>
      </c>
      <c r="V63" s="47">
        <f t="shared" si="24"/>
        <v>0</v>
      </c>
      <c r="W63" s="47">
        <f t="shared" si="24"/>
        <v>0</v>
      </c>
      <c r="X63" s="47">
        <f t="shared" si="2"/>
        <v>0</v>
      </c>
    </row>
    <row r="64" spans="1:24" ht="20" customHeight="1" x14ac:dyDescent="0.35">
      <c r="A64" s="29"/>
      <c r="B64" s="30"/>
      <c r="C64" s="31"/>
      <c r="D64" s="31"/>
      <c r="E64" s="31"/>
      <c r="F64" s="31"/>
      <c r="G64" s="31"/>
      <c r="H64" s="31"/>
      <c r="I64" s="31"/>
      <c r="J64" s="34"/>
      <c r="L64" s="46">
        <f t="shared" si="23"/>
        <v>0</v>
      </c>
      <c r="M64" s="46">
        <f t="shared" si="23"/>
        <v>0</v>
      </c>
      <c r="N64" s="46">
        <f t="shared" si="23"/>
        <v>0</v>
      </c>
      <c r="O64" s="46">
        <f t="shared" si="23"/>
        <v>0</v>
      </c>
      <c r="P64" s="46">
        <f t="shared" si="23"/>
        <v>0</v>
      </c>
      <c r="Q64" s="46">
        <f t="shared" si="23"/>
        <v>0</v>
      </c>
      <c r="R64" s="46">
        <f t="shared" si="23"/>
        <v>0</v>
      </c>
      <c r="S64" s="46">
        <f t="shared" si="23"/>
        <v>0</v>
      </c>
      <c r="T64" s="46">
        <f t="shared" si="23"/>
        <v>0</v>
      </c>
      <c r="U64" s="47">
        <f t="shared" si="24"/>
        <v>0</v>
      </c>
      <c r="V64" s="47">
        <f t="shared" si="24"/>
        <v>0</v>
      </c>
      <c r="W64" s="47">
        <f t="shared" si="24"/>
        <v>0</v>
      </c>
      <c r="X64" s="47">
        <f t="shared" si="2"/>
        <v>0</v>
      </c>
    </row>
    <row r="65" spans="1:24" ht="20" customHeight="1" x14ac:dyDescent="0.35">
      <c r="A65" s="29"/>
      <c r="B65" s="30"/>
      <c r="C65" s="31"/>
      <c r="D65" s="31"/>
      <c r="E65" s="31"/>
      <c r="F65" s="31"/>
      <c r="G65" s="31"/>
      <c r="H65" s="31"/>
      <c r="I65" s="31"/>
      <c r="J65" s="34"/>
      <c r="L65" s="46">
        <f t="shared" si="23"/>
        <v>0</v>
      </c>
      <c r="M65" s="46">
        <f t="shared" si="23"/>
        <v>0</v>
      </c>
      <c r="N65" s="46">
        <f t="shared" si="23"/>
        <v>0</v>
      </c>
      <c r="O65" s="46">
        <f t="shared" si="23"/>
        <v>0</v>
      </c>
      <c r="P65" s="46">
        <f t="shared" si="23"/>
        <v>0</v>
      </c>
      <c r="Q65" s="46">
        <f t="shared" si="23"/>
        <v>0</v>
      </c>
      <c r="R65" s="46">
        <f t="shared" si="23"/>
        <v>0</v>
      </c>
      <c r="S65" s="46">
        <f t="shared" si="23"/>
        <v>0</v>
      </c>
      <c r="T65" s="46">
        <f t="shared" si="23"/>
        <v>0</v>
      </c>
      <c r="U65" s="47">
        <f t="shared" si="24"/>
        <v>0</v>
      </c>
      <c r="V65" s="47">
        <f t="shared" si="24"/>
        <v>0</v>
      </c>
      <c r="W65" s="47">
        <f t="shared" si="24"/>
        <v>0</v>
      </c>
      <c r="X65" s="47">
        <f t="shared" si="2"/>
        <v>0</v>
      </c>
    </row>
    <row r="66" spans="1:24" ht="20" customHeight="1" x14ac:dyDescent="0.35">
      <c r="A66" s="29"/>
      <c r="B66" s="30"/>
      <c r="C66" s="31"/>
      <c r="D66" s="31"/>
      <c r="E66" s="31"/>
      <c r="F66" s="31"/>
      <c r="G66" s="31"/>
      <c r="H66" s="31"/>
      <c r="I66" s="31"/>
      <c r="J66" s="34"/>
      <c r="L66" s="46">
        <f t="shared" si="23"/>
        <v>0</v>
      </c>
      <c r="M66" s="46">
        <f t="shared" si="23"/>
        <v>0</v>
      </c>
      <c r="N66" s="46">
        <f t="shared" si="23"/>
        <v>0</v>
      </c>
      <c r="O66" s="46">
        <f t="shared" si="23"/>
        <v>0</v>
      </c>
      <c r="P66" s="46">
        <f t="shared" si="23"/>
        <v>0</v>
      </c>
      <c r="Q66" s="46">
        <f t="shared" si="23"/>
        <v>0</v>
      </c>
      <c r="R66" s="46">
        <f t="shared" si="23"/>
        <v>0</v>
      </c>
      <c r="S66" s="46">
        <f t="shared" si="23"/>
        <v>0</v>
      </c>
      <c r="T66" s="46">
        <f t="shared" si="23"/>
        <v>0</v>
      </c>
      <c r="U66" s="47">
        <f t="shared" si="24"/>
        <v>0</v>
      </c>
      <c r="V66" s="47">
        <f t="shared" si="24"/>
        <v>0</v>
      </c>
      <c r="W66" s="47">
        <f t="shared" si="24"/>
        <v>0</v>
      </c>
      <c r="X66" s="47">
        <f t="shared" si="2"/>
        <v>0</v>
      </c>
    </row>
    <row r="67" spans="1:24" ht="20" customHeight="1" x14ac:dyDescent="0.35">
      <c r="A67" s="29"/>
      <c r="B67" s="30"/>
      <c r="C67" s="31"/>
      <c r="D67" s="31"/>
      <c r="E67" s="31"/>
      <c r="F67" s="31"/>
      <c r="G67" s="31"/>
      <c r="H67" s="31"/>
      <c r="I67" s="31"/>
      <c r="J67" s="34"/>
      <c r="L67" s="46">
        <f t="shared" si="23"/>
        <v>0</v>
      </c>
      <c r="M67" s="46">
        <f t="shared" si="23"/>
        <v>0</v>
      </c>
      <c r="N67" s="46">
        <f t="shared" si="23"/>
        <v>0</v>
      </c>
      <c r="O67" s="46">
        <f t="shared" si="23"/>
        <v>0</v>
      </c>
      <c r="P67" s="46">
        <f t="shared" si="23"/>
        <v>0</v>
      </c>
      <c r="Q67" s="46">
        <f t="shared" si="23"/>
        <v>0</v>
      </c>
      <c r="R67" s="46">
        <f t="shared" si="23"/>
        <v>0</v>
      </c>
      <c r="S67" s="46">
        <f t="shared" si="23"/>
        <v>0</v>
      </c>
      <c r="T67" s="46">
        <f t="shared" si="23"/>
        <v>0</v>
      </c>
      <c r="U67" s="47">
        <f t="shared" si="24"/>
        <v>0</v>
      </c>
      <c r="V67" s="47">
        <f t="shared" si="24"/>
        <v>0</v>
      </c>
      <c r="W67" s="47">
        <f t="shared" si="24"/>
        <v>0</v>
      </c>
      <c r="X67" s="47">
        <f t="shared" si="2"/>
        <v>0</v>
      </c>
    </row>
    <row r="68" spans="1:24" ht="20" customHeight="1" x14ac:dyDescent="0.35">
      <c r="A68" s="29"/>
      <c r="B68" s="30"/>
      <c r="C68" s="31"/>
      <c r="D68" s="29"/>
      <c r="E68" s="31"/>
      <c r="F68" s="31"/>
      <c r="G68" s="31"/>
      <c r="H68" s="31"/>
      <c r="I68" s="29"/>
      <c r="J68" s="34"/>
      <c r="L68" s="46">
        <f t="shared" si="23"/>
        <v>0</v>
      </c>
      <c r="M68" s="46">
        <f t="shared" si="23"/>
        <v>0</v>
      </c>
      <c r="N68" s="46">
        <f t="shared" si="23"/>
        <v>0</v>
      </c>
      <c r="O68" s="46">
        <f t="shared" si="23"/>
        <v>0</v>
      </c>
      <c r="P68" s="46">
        <f t="shared" si="23"/>
        <v>0</v>
      </c>
      <c r="Q68" s="46">
        <f t="shared" si="23"/>
        <v>0</v>
      </c>
      <c r="R68" s="46">
        <f t="shared" si="23"/>
        <v>0</v>
      </c>
      <c r="S68" s="46">
        <f t="shared" si="23"/>
        <v>0</v>
      </c>
      <c r="T68" s="46">
        <f t="shared" si="23"/>
        <v>0</v>
      </c>
      <c r="U68" s="47">
        <f t="shared" si="24"/>
        <v>0</v>
      </c>
      <c r="V68" s="47">
        <f t="shared" si="24"/>
        <v>0</v>
      </c>
      <c r="W68" s="47">
        <f t="shared" si="24"/>
        <v>0</v>
      </c>
      <c r="X68" s="47">
        <f t="shared" si="2"/>
        <v>0</v>
      </c>
    </row>
    <row r="69" spans="1:24" ht="20" customHeight="1" x14ac:dyDescent="0.35">
      <c r="A69" s="29"/>
      <c r="B69" s="30"/>
      <c r="C69" s="31"/>
      <c r="D69" s="29"/>
      <c r="E69" s="31"/>
      <c r="F69" s="31"/>
      <c r="G69" s="31"/>
      <c r="H69" s="31"/>
      <c r="I69" s="29"/>
      <c r="J69" s="34"/>
      <c r="L69" s="46">
        <f t="shared" si="23"/>
        <v>0</v>
      </c>
      <c r="M69" s="46">
        <f t="shared" si="23"/>
        <v>0</v>
      </c>
      <c r="N69" s="46">
        <f t="shared" si="23"/>
        <v>0</v>
      </c>
      <c r="O69" s="46">
        <f t="shared" si="23"/>
        <v>0</v>
      </c>
      <c r="P69" s="46">
        <f t="shared" si="23"/>
        <v>0</v>
      </c>
      <c r="Q69" s="46">
        <f t="shared" si="23"/>
        <v>0</v>
      </c>
      <c r="R69" s="46">
        <f t="shared" si="23"/>
        <v>0</v>
      </c>
      <c r="S69" s="46">
        <f t="shared" si="23"/>
        <v>0</v>
      </c>
      <c r="T69" s="46">
        <f t="shared" si="23"/>
        <v>0</v>
      </c>
      <c r="U69" s="47">
        <f t="shared" si="24"/>
        <v>0</v>
      </c>
      <c r="V69" s="47">
        <f t="shared" si="24"/>
        <v>0</v>
      </c>
      <c r="W69" s="47">
        <f t="shared" si="24"/>
        <v>0</v>
      </c>
      <c r="X69" s="47">
        <f t="shared" si="2"/>
        <v>0</v>
      </c>
    </row>
    <row r="70" spans="1:24" ht="20" customHeight="1" x14ac:dyDescent="0.35">
      <c r="A70" s="29"/>
      <c r="B70" s="30"/>
      <c r="C70" s="31"/>
      <c r="D70" s="29"/>
      <c r="E70" s="31"/>
      <c r="F70" s="31"/>
      <c r="G70" s="31"/>
      <c r="H70" s="31"/>
      <c r="I70" s="29"/>
      <c r="J70" s="34"/>
      <c r="L70" s="46">
        <f t="shared" si="23"/>
        <v>0</v>
      </c>
      <c r="M70" s="46">
        <f t="shared" si="23"/>
        <v>0</v>
      </c>
      <c r="N70" s="46">
        <f t="shared" si="23"/>
        <v>0</v>
      </c>
      <c r="O70" s="46">
        <f t="shared" si="23"/>
        <v>0</v>
      </c>
      <c r="P70" s="46">
        <f t="shared" si="23"/>
        <v>0</v>
      </c>
      <c r="Q70" s="46">
        <f t="shared" si="23"/>
        <v>0</v>
      </c>
      <c r="R70" s="46">
        <f t="shared" si="23"/>
        <v>0</v>
      </c>
      <c r="S70" s="46">
        <f t="shared" si="23"/>
        <v>0</v>
      </c>
      <c r="T70" s="46">
        <f t="shared" si="23"/>
        <v>0</v>
      </c>
      <c r="U70" s="47">
        <f t="shared" si="24"/>
        <v>0</v>
      </c>
      <c r="V70" s="47">
        <f t="shared" si="24"/>
        <v>0</v>
      </c>
      <c r="W70" s="47">
        <f t="shared" si="24"/>
        <v>0</v>
      </c>
      <c r="X70" s="47">
        <f t="shared" si="2"/>
        <v>0</v>
      </c>
    </row>
    <row r="71" spans="1:24" ht="20" customHeight="1" x14ac:dyDescent="0.35">
      <c r="A71" s="29"/>
      <c r="B71" s="30"/>
      <c r="C71" s="31"/>
      <c r="D71" s="29"/>
      <c r="E71" s="31"/>
      <c r="F71" s="31"/>
      <c r="G71" s="31"/>
      <c r="H71" s="31"/>
      <c r="I71" s="29"/>
      <c r="J71" s="34"/>
      <c r="L71" s="46">
        <f t="shared" si="23"/>
        <v>0</v>
      </c>
      <c r="M71" s="46">
        <f t="shared" si="23"/>
        <v>0</v>
      </c>
      <c r="N71" s="46">
        <f t="shared" si="23"/>
        <v>0</v>
      </c>
      <c r="O71" s="46">
        <f t="shared" si="23"/>
        <v>0</v>
      </c>
      <c r="P71" s="46">
        <f t="shared" si="23"/>
        <v>0</v>
      </c>
      <c r="Q71" s="46">
        <f t="shared" si="23"/>
        <v>0</v>
      </c>
      <c r="R71" s="46">
        <f t="shared" si="23"/>
        <v>0</v>
      </c>
      <c r="S71" s="46">
        <f t="shared" si="23"/>
        <v>0</v>
      </c>
      <c r="T71" s="46">
        <f t="shared" si="23"/>
        <v>0</v>
      </c>
      <c r="U71" s="47">
        <f t="shared" si="24"/>
        <v>0</v>
      </c>
      <c r="V71" s="47">
        <f t="shared" si="24"/>
        <v>0</v>
      </c>
      <c r="W71" s="47">
        <f t="shared" si="24"/>
        <v>0</v>
      </c>
      <c r="X71" s="47">
        <f t="shared" si="2"/>
        <v>0</v>
      </c>
    </row>
    <row r="72" spans="1:24" ht="20" customHeight="1" x14ac:dyDescent="0.35">
      <c r="A72" s="29"/>
      <c r="B72" s="30"/>
      <c r="C72" s="31"/>
      <c r="D72" s="29"/>
      <c r="E72" s="31"/>
      <c r="F72" s="31"/>
      <c r="G72" s="31"/>
      <c r="H72" s="31"/>
      <c r="I72" s="29"/>
      <c r="J72" s="34"/>
      <c r="L72" s="46">
        <f t="shared" si="23"/>
        <v>0</v>
      </c>
      <c r="M72" s="46">
        <f t="shared" si="23"/>
        <v>0</v>
      </c>
      <c r="N72" s="46">
        <f t="shared" si="23"/>
        <v>0</v>
      </c>
      <c r="O72" s="46">
        <f t="shared" ref="O72:T114" si="25">IFERROR(E73-E72,0)</f>
        <v>0</v>
      </c>
      <c r="P72" s="46">
        <f t="shared" si="25"/>
        <v>0</v>
      </c>
      <c r="Q72" s="46">
        <f t="shared" si="25"/>
        <v>0</v>
      </c>
      <c r="R72" s="46">
        <f t="shared" si="25"/>
        <v>0</v>
      </c>
      <c r="S72" s="46">
        <f t="shared" si="25"/>
        <v>0</v>
      </c>
      <c r="T72" s="46">
        <f t="shared" si="25"/>
        <v>0</v>
      </c>
      <c r="U72" s="47">
        <f t="shared" si="24"/>
        <v>0</v>
      </c>
      <c r="V72" s="47">
        <f t="shared" si="24"/>
        <v>0</v>
      </c>
      <c r="W72" s="47">
        <f t="shared" si="24"/>
        <v>0</v>
      </c>
      <c r="X72" s="47">
        <f t="shared" si="2"/>
        <v>0</v>
      </c>
    </row>
    <row r="73" spans="1:24" ht="20" customHeight="1" x14ac:dyDescent="0.35">
      <c r="A73" s="29"/>
      <c r="B73" s="30"/>
      <c r="C73" s="31"/>
      <c r="D73" s="29"/>
      <c r="E73" s="31"/>
      <c r="F73" s="31"/>
      <c r="G73" s="31"/>
      <c r="H73" s="31"/>
      <c r="I73" s="29"/>
      <c r="J73" s="34"/>
      <c r="L73" s="46">
        <f t="shared" ref="L73:Q136" si="26">IFERROR(B74-B73,0)</f>
        <v>0</v>
      </c>
      <c r="M73" s="46">
        <f t="shared" si="26"/>
        <v>0</v>
      </c>
      <c r="N73" s="46">
        <f t="shared" si="26"/>
        <v>0</v>
      </c>
      <c r="O73" s="46">
        <f t="shared" si="25"/>
        <v>0</v>
      </c>
      <c r="P73" s="46">
        <f t="shared" si="25"/>
        <v>0</v>
      </c>
      <c r="Q73" s="46">
        <f t="shared" si="25"/>
        <v>0</v>
      </c>
      <c r="R73" s="46">
        <f t="shared" si="25"/>
        <v>0</v>
      </c>
      <c r="S73" s="46">
        <f t="shared" si="25"/>
        <v>0</v>
      </c>
      <c r="T73" s="46">
        <f t="shared" si="25"/>
        <v>0</v>
      </c>
      <c r="U73" s="47">
        <f t="shared" si="24"/>
        <v>0</v>
      </c>
      <c r="V73" s="47">
        <f t="shared" si="24"/>
        <v>0</v>
      </c>
      <c r="W73" s="47">
        <f t="shared" si="24"/>
        <v>0</v>
      </c>
      <c r="X73" s="47">
        <f t="shared" ref="X73:X136" si="27">O73+P73+T73</f>
        <v>0</v>
      </c>
    </row>
    <row r="74" spans="1:24" ht="20" customHeight="1" x14ac:dyDescent="0.35">
      <c r="A74" s="29"/>
      <c r="B74" s="30"/>
      <c r="C74" s="31"/>
      <c r="D74" s="31"/>
      <c r="E74" s="31"/>
      <c r="F74" s="31"/>
      <c r="G74" s="31"/>
      <c r="H74" s="31"/>
      <c r="I74" s="31"/>
      <c r="J74" s="34"/>
      <c r="L74" s="46">
        <f t="shared" si="26"/>
        <v>0</v>
      </c>
      <c r="M74" s="46">
        <f t="shared" si="26"/>
        <v>0</v>
      </c>
      <c r="N74" s="46">
        <f t="shared" si="26"/>
        <v>0</v>
      </c>
      <c r="O74" s="46">
        <f t="shared" si="25"/>
        <v>0</v>
      </c>
      <c r="P74" s="46">
        <f t="shared" si="25"/>
        <v>0</v>
      </c>
      <c r="Q74" s="46">
        <f t="shared" si="25"/>
        <v>0</v>
      </c>
      <c r="R74" s="46">
        <f t="shared" si="25"/>
        <v>0</v>
      </c>
      <c r="S74" s="46">
        <f t="shared" si="25"/>
        <v>0</v>
      </c>
      <c r="T74" s="46">
        <f t="shared" si="25"/>
        <v>0</v>
      </c>
      <c r="U74" s="47">
        <f t="shared" si="24"/>
        <v>0</v>
      </c>
      <c r="V74" s="47">
        <f t="shared" si="24"/>
        <v>0</v>
      </c>
      <c r="W74" s="47">
        <f t="shared" si="24"/>
        <v>0</v>
      </c>
      <c r="X74" s="47">
        <f t="shared" si="27"/>
        <v>0</v>
      </c>
    </row>
    <row r="75" spans="1:24" ht="20" customHeight="1" x14ac:dyDescent="0.35">
      <c r="A75" s="29"/>
      <c r="B75" s="30"/>
      <c r="C75" s="31"/>
      <c r="D75" s="29"/>
      <c r="E75" s="31"/>
      <c r="F75" s="31"/>
      <c r="G75" s="31"/>
      <c r="H75" s="31"/>
      <c r="I75" s="29"/>
      <c r="J75" s="34"/>
      <c r="L75" s="46">
        <f t="shared" si="26"/>
        <v>0</v>
      </c>
      <c r="M75" s="46">
        <f t="shared" si="26"/>
        <v>0</v>
      </c>
      <c r="N75" s="46">
        <f t="shared" si="26"/>
        <v>0</v>
      </c>
      <c r="O75" s="46">
        <f t="shared" si="25"/>
        <v>0</v>
      </c>
      <c r="P75" s="46">
        <f t="shared" si="25"/>
        <v>0</v>
      </c>
      <c r="Q75" s="46">
        <f t="shared" si="25"/>
        <v>0</v>
      </c>
      <c r="R75" s="46">
        <f t="shared" si="25"/>
        <v>0</v>
      </c>
      <c r="S75" s="46">
        <f t="shared" si="25"/>
        <v>0</v>
      </c>
      <c r="T75" s="46">
        <f t="shared" si="25"/>
        <v>0</v>
      </c>
      <c r="U75" s="47">
        <f t="shared" si="24"/>
        <v>0</v>
      </c>
      <c r="V75" s="47">
        <f t="shared" si="24"/>
        <v>0</v>
      </c>
      <c r="W75" s="47">
        <f t="shared" si="24"/>
        <v>0</v>
      </c>
      <c r="X75" s="47">
        <f t="shared" si="27"/>
        <v>0</v>
      </c>
    </row>
    <row r="76" spans="1:24" ht="20" customHeight="1" x14ac:dyDescent="0.35">
      <c r="A76" s="29"/>
      <c r="B76" s="30"/>
      <c r="C76" s="31"/>
      <c r="D76" s="29"/>
      <c r="E76" s="31"/>
      <c r="F76" s="31"/>
      <c r="G76" s="31"/>
      <c r="H76" s="31"/>
      <c r="I76" s="29"/>
      <c r="J76" s="34"/>
      <c r="L76" s="46">
        <f t="shared" si="26"/>
        <v>0</v>
      </c>
      <c r="M76" s="46">
        <f t="shared" si="26"/>
        <v>0</v>
      </c>
      <c r="N76" s="46">
        <f t="shared" si="26"/>
        <v>0</v>
      </c>
      <c r="O76" s="46">
        <f t="shared" si="25"/>
        <v>0</v>
      </c>
      <c r="P76" s="46">
        <f t="shared" si="25"/>
        <v>0</v>
      </c>
      <c r="Q76" s="46">
        <f t="shared" si="25"/>
        <v>0</v>
      </c>
      <c r="R76" s="46">
        <f t="shared" si="25"/>
        <v>0</v>
      </c>
      <c r="S76" s="46">
        <f t="shared" si="25"/>
        <v>0</v>
      </c>
      <c r="T76" s="46">
        <f t="shared" si="25"/>
        <v>0</v>
      </c>
      <c r="U76" s="47">
        <f t="shared" si="24"/>
        <v>0</v>
      </c>
      <c r="V76" s="47">
        <f t="shared" si="24"/>
        <v>0</v>
      </c>
      <c r="W76" s="47">
        <f t="shared" si="24"/>
        <v>0</v>
      </c>
      <c r="X76" s="47">
        <f t="shared" si="27"/>
        <v>0</v>
      </c>
    </row>
    <row r="77" spans="1:24" ht="20" customHeight="1" x14ac:dyDescent="0.35">
      <c r="A77" s="29"/>
      <c r="B77" s="30"/>
      <c r="C77" s="31"/>
      <c r="D77" s="31"/>
      <c r="E77" s="31"/>
      <c r="F77" s="31"/>
      <c r="G77" s="31"/>
      <c r="H77" s="31"/>
      <c r="I77" s="31"/>
      <c r="J77" s="34"/>
      <c r="L77" s="46">
        <f t="shared" si="26"/>
        <v>0</v>
      </c>
      <c r="M77" s="46">
        <f t="shared" si="26"/>
        <v>0</v>
      </c>
      <c r="N77" s="46">
        <f t="shared" si="26"/>
        <v>0</v>
      </c>
      <c r="O77" s="46">
        <f t="shared" si="25"/>
        <v>0</v>
      </c>
      <c r="P77" s="46">
        <f t="shared" si="25"/>
        <v>0</v>
      </c>
      <c r="Q77" s="46">
        <f t="shared" si="25"/>
        <v>0</v>
      </c>
      <c r="R77" s="46">
        <f t="shared" si="25"/>
        <v>0</v>
      </c>
      <c r="S77" s="46">
        <f t="shared" si="25"/>
        <v>0</v>
      </c>
      <c r="T77" s="46">
        <f t="shared" si="25"/>
        <v>0</v>
      </c>
      <c r="U77" s="47">
        <f t="shared" si="24"/>
        <v>0</v>
      </c>
      <c r="V77" s="47">
        <f t="shared" si="24"/>
        <v>0</v>
      </c>
      <c r="W77" s="47">
        <f t="shared" si="24"/>
        <v>0</v>
      </c>
      <c r="X77" s="47">
        <f t="shared" si="27"/>
        <v>0</v>
      </c>
    </row>
    <row r="78" spans="1:24" ht="20" customHeight="1" x14ac:dyDescent="0.35">
      <c r="A78" s="29"/>
      <c r="B78" s="30"/>
      <c r="C78" s="31"/>
      <c r="D78" s="31"/>
      <c r="E78" s="31"/>
      <c r="F78" s="31"/>
      <c r="G78" s="31"/>
      <c r="H78" s="31"/>
      <c r="I78" s="31"/>
      <c r="J78" s="34"/>
      <c r="L78" s="46">
        <f t="shared" si="26"/>
        <v>0</v>
      </c>
      <c r="M78" s="46">
        <f t="shared" si="26"/>
        <v>0</v>
      </c>
      <c r="N78" s="46">
        <f t="shared" si="26"/>
        <v>0</v>
      </c>
      <c r="O78" s="46">
        <f t="shared" si="25"/>
        <v>0</v>
      </c>
      <c r="P78" s="46">
        <f t="shared" si="25"/>
        <v>0</v>
      </c>
      <c r="Q78" s="46">
        <f t="shared" si="25"/>
        <v>0</v>
      </c>
      <c r="R78" s="46">
        <f t="shared" si="25"/>
        <v>0</v>
      </c>
      <c r="S78" s="46">
        <f t="shared" si="25"/>
        <v>0</v>
      </c>
      <c r="T78" s="46">
        <f t="shared" si="25"/>
        <v>0</v>
      </c>
      <c r="U78" s="47">
        <f t="shared" si="24"/>
        <v>0</v>
      </c>
      <c r="V78" s="47">
        <f t="shared" si="24"/>
        <v>0</v>
      </c>
      <c r="W78" s="47">
        <f t="shared" si="24"/>
        <v>0</v>
      </c>
      <c r="X78" s="47">
        <f t="shared" si="27"/>
        <v>0</v>
      </c>
    </row>
    <row r="79" spans="1:24" ht="20" customHeight="1" x14ac:dyDescent="0.35">
      <c r="A79" s="29"/>
      <c r="B79" s="30"/>
      <c r="C79" s="31"/>
      <c r="D79" s="31"/>
      <c r="E79" s="31"/>
      <c r="F79" s="31"/>
      <c r="G79" s="31"/>
      <c r="H79" s="31"/>
      <c r="I79" s="31"/>
      <c r="J79" s="34"/>
      <c r="L79" s="46">
        <f t="shared" si="26"/>
        <v>0</v>
      </c>
      <c r="M79" s="46">
        <f t="shared" si="26"/>
        <v>0</v>
      </c>
      <c r="N79" s="46">
        <f t="shared" si="26"/>
        <v>0</v>
      </c>
      <c r="O79" s="46">
        <f t="shared" si="25"/>
        <v>0</v>
      </c>
      <c r="P79" s="46">
        <f t="shared" si="25"/>
        <v>0</v>
      </c>
      <c r="Q79" s="46">
        <f t="shared" si="25"/>
        <v>0</v>
      </c>
      <c r="R79" s="46">
        <f t="shared" si="25"/>
        <v>0</v>
      </c>
      <c r="S79" s="46">
        <f t="shared" si="25"/>
        <v>0</v>
      </c>
      <c r="T79" s="46">
        <f t="shared" si="25"/>
        <v>0</v>
      </c>
      <c r="U79" s="47">
        <f t="shared" si="24"/>
        <v>0</v>
      </c>
      <c r="V79" s="47">
        <f t="shared" si="24"/>
        <v>0</v>
      </c>
      <c r="W79" s="47">
        <f t="shared" si="24"/>
        <v>0</v>
      </c>
      <c r="X79" s="47">
        <f t="shared" si="27"/>
        <v>0</v>
      </c>
    </row>
    <row r="80" spans="1:24" ht="16.75" customHeight="1" x14ac:dyDescent="0.35">
      <c r="A80" s="29"/>
      <c r="B80" s="30"/>
      <c r="C80" s="31"/>
      <c r="D80" s="31"/>
      <c r="E80" s="31"/>
      <c r="F80" s="31"/>
      <c r="G80" s="31"/>
      <c r="H80" s="31"/>
      <c r="I80" s="31"/>
      <c r="J80" s="34"/>
      <c r="L80" s="46">
        <f t="shared" si="26"/>
        <v>0</v>
      </c>
      <c r="M80" s="46">
        <f t="shared" si="26"/>
        <v>0</v>
      </c>
      <c r="N80" s="46">
        <f t="shared" si="26"/>
        <v>0</v>
      </c>
      <c r="O80" s="46">
        <f t="shared" si="25"/>
        <v>0</v>
      </c>
      <c r="P80" s="46">
        <f t="shared" si="25"/>
        <v>0</v>
      </c>
      <c r="Q80" s="46">
        <f t="shared" si="25"/>
        <v>0</v>
      </c>
      <c r="R80" s="46">
        <f t="shared" si="25"/>
        <v>0</v>
      </c>
      <c r="S80" s="46">
        <f t="shared" si="25"/>
        <v>0</v>
      </c>
      <c r="T80" s="46">
        <f t="shared" si="25"/>
        <v>0</v>
      </c>
      <c r="U80" s="47">
        <f t="shared" si="24"/>
        <v>0</v>
      </c>
      <c r="V80" s="47">
        <f t="shared" si="24"/>
        <v>0</v>
      </c>
      <c r="W80" s="47">
        <f t="shared" si="24"/>
        <v>0</v>
      </c>
      <c r="X80" s="47">
        <f t="shared" si="27"/>
        <v>0</v>
      </c>
    </row>
    <row r="81" spans="1:24" ht="20" customHeight="1" x14ac:dyDescent="0.35">
      <c r="A81" s="29"/>
      <c r="B81" s="30"/>
      <c r="C81" s="31"/>
      <c r="D81" s="31"/>
      <c r="E81" s="31"/>
      <c r="F81" s="31"/>
      <c r="G81" s="31"/>
      <c r="H81" s="31"/>
      <c r="I81" s="31"/>
      <c r="J81" s="34"/>
      <c r="L81" s="46">
        <f t="shared" si="26"/>
        <v>0</v>
      </c>
      <c r="M81" s="46">
        <f t="shared" si="26"/>
        <v>0</v>
      </c>
      <c r="N81" s="46">
        <f t="shared" si="26"/>
        <v>0</v>
      </c>
      <c r="O81" s="46">
        <f t="shared" si="25"/>
        <v>0</v>
      </c>
      <c r="P81" s="46">
        <f t="shared" si="25"/>
        <v>0</v>
      </c>
      <c r="Q81" s="46">
        <f t="shared" si="25"/>
        <v>0</v>
      </c>
      <c r="R81" s="46">
        <f t="shared" si="25"/>
        <v>0</v>
      </c>
      <c r="S81" s="46">
        <f t="shared" si="25"/>
        <v>0</v>
      </c>
      <c r="T81" s="46">
        <f t="shared" si="25"/>
        <v>0</v>
      </c>
      <c r="U81" s="47">
        <f t="shared" si="24"/>
        <v>0</v>
      </c>
      <c r="V81" s="47">
        <f t="shared" si="24"/>
        <v>0</v>
      </c>
      <c r="W81" s="47">
        <f t="shared" si="24"/>
        <v>0</v>
      </c>
      <c r="X81" s="47">
        <f t="shared" si="27"/>
        <v>0</v>
      </c>
    </row>
    <row r="82" spans="1:24" ht="20" customHeight="1" x14ac:dyDescent="0.35">
      <c r="A82" s="29"/>
      <c r="B82" s="30"/>
      <c r="C82" s="31"/>
      <c r="D82" s="31"/>
      <c r="E82" s="31"/>
      <c r="F82" s="31"/>
      <c r="G82" s="31"/>
      <c r="H82" s="31"/>
      <c r="I82" s="31"/>
      <c r="J82" s="34"/>
      <c r="L82" s="46">
        <f t="shared" si="26"/>
        <v>0</v>
      </c>
      <c r="M82" s="46">
        <f t="shared" si="26"/>
        <v>0</v>
      </c>
      <c r="N82" s="46">
        <f t="shared" si="26"/>
        <v>0</v>
      </c>
      <c r="O82" s="46">
        <f t="shared" si="25"/>
        <v>0</v>
      </c>
      <c r="P82" s="46">
        <f t="shared" si="25"/>
        <v>0</v>
      </c>
      <c r="Q82" s="46">
        <f t="shared" si="25"/>
        <v>0</v>
      </c>
      <c r="R82" s="46">
        <f t="shared" si="25"/>
        <v>0</v>
      </c>
      <c r="S82" s="46">
        <f t="shared" si="25"/>
        <v>0</v>
      </c>
      <c r="T82" s="46">
        <f t="shared" si="25"/>
        <v>0</v>
      </c>
      <c r="U82" s="47">
        <f t="shared" si="24"/>
        <v>0</v>
      </c>
      <c r="V82" s="47">
        <f t="shared" si="24"/>
        <v>0</v>
      </c>
      <c r="W82" s="47">
        <f t="shared" si="24"/>
        <v>0</v>
      </c>
      <c r="X82" s="47">
        <f t="shared" si="27"/>
        <v>0</v>
      </c>
    </row>
    <row r="83" spans="1:24" ht="20" customHeight="1" x14ac:dyDescent="0.35">
      <c r="A83" s="29"/>
      <c r="B83" s="30"/>
      <c r="C83" s="31"/>
      <c r="D83" s="31"/>
      <c r="E83" s="31"/>
      <c r="F83" s="31"/>
      <c r="G83" s="31"/>
      <c r="H83" s="31"/>
      <c r="I83" s="31"/>
      <c r="J83" s="34"/>
      <c r="L83" s="46">
        <f t="shared" si="26"/>
        <v>0</v>
      </c>
      <c r="M83" s="46">
        <f t="shared" si="26"/>
        <v>0</v>
      </c>
      <c r="N83" s="46">
        <f t="shared" si="26"/>
        <v>0</v>
      </c>
      <c r="O83" s="46">
        <f t="shared" si="25"/>
        <v>0</v>
      </c>
      <c r="P83" s="46">
        <f t="shared" si="25"/>
        <v>0</v>
      </c>
      <c r="Q83" s="46">
        <f t="shared" si="25"/>
        <v>0</v>
      </c>
      <c r="R83" s="46">
        <f t="shared" si="25"/>
        <v>0</v>
      </c>
      <c r="S83" s="46">
        <f t="shared" si="25"/>
        <v>0</v>
      </c>
      <c r="T83" s="46">
        <f t="shared" si="25"/>
        <v>0</v>
      </c>
      <c r="U83" s="47">
        <f t="shared" si="24"/>
        <v>0</v>
      </c>
      <c r="V83" s="47">
        <f t="shared" si="24"/>
        <v>0</v>
      </c>
      <c r="W83" s="47">
        <f t="shared" si="24"/>
        <v>0</v>
      </c>
      <c r="X83" s="47">
        <f t="shared" si="27"/>
        <v>0</v>
      </c>
    </row>
    <row r="84" spans="1:24" ht="20" customHeight="1" x14ac:dyDescent="0.35">
      <c r="A84" s="29"/>
      <c r="B84" s="30"/>
      <c r="C84" s="31"/>
      <c r="D84" s="31"/>
      <c r="E84" s="31"/>
      <c r="F84" s="31"/>
      <c r="G84" s="31"/>
      <c r="H84" s="31"/>
      <c r="I84" s="31"/>
      <c r="J84" s="34"/>
      <c r="L84" s="46">
        <f t="shared" si="26"/>
        <v>0</v>
      </c>
      <c r="M84" s="46">
        <f t="shared" si="26"/>
        <v>0</v>
      </c>
      <c r="N84" s="46">
        <f t="shared" si="26"/>
        <v>0</v>
      </c>
      <c r="O84" s="46">
        <f t="shared" si="25"/>
        <v>0</v>
      </c>
      <c r="P84" s="46">
        <f t="shared" si="25"/>
        <v>0</v>
      </c>
      <c r="Q84" s="46">
        <f t="shared" si="25"/>
        <v>0</v>
      </c>
      <c r="R84" s="46">
        <f t="shared" si="25"/>
        <v>0</v>
      </c>
      <c r="S84" s="46">
        <f t="shared" si="25"/>
        <v>0</v>
      </c>
      <c r="T84" s="46">
        <f t="shared" si="25"/>
        <v>0</v>
      </c>
      <c r="U84" s="47">
        <f t="shared" si="24"/>
        <v>0</v>
      </c>
      <c r="V84" s="47">
        <f t="shared" si="24"/>
        <v>0</v>
      </c>
      <c r="W84" s="47">
        <f t="shared" si="24"/>
        <v>0</v>
      </c>
      <c r="X84" s="47">
        <f t="shared" si="27"/>
        <v>0</v>
      </c>
    </row>
    <row r="85" spans="1:24" ht="20" customHeight="1" x14ac:dyDescent="0.35">
      <c r="A85" s="29"/>
      <c r="B85" s="30"/>
      <c r="C85" s="31"/>
      <c r="D85" s="31"/>
      <c r="E85" s="31"/>
      <c r="F85" s="31"/>
      <c r="G85" s="31"/>
      <c r="H85" s="31"/>
      <c r="I85" s="31"/>
      <c r="J85" s="34"/>
      <c r="L85" s="46">
        <f t="shared" si="26"/>
        <v>0</v>
      </c>
      <c r="M85" s="46">
        <f t="shared" si="26"/>
        <v>0</v>
      </c>
      <c r="N85" s="46">
        <f t="shared" si="26"/>
        <v>0</v>
      </c>
      <c r="O85" s="46">
        <f t="shared" si="25"/>
        <v>0</v>
      </c>
      <c r="P85" s="46">
        <f t="shared" si="25"/>
        <v>0</v>
      </c>
      <c r="Q85" s="46">
        <f t="shared" si="25"/>
        <v>0</v>
      </c>
      <c r="R85" s="46">
        <f t="shared" si="25"/>
        <v>0</v>
      </c>
      <c r="S85" s="46">
        <f t="shared" si="25"/>
        <v>0</v>
      </c>
      <c r="T85" s="46">
        <f t="shared" si="25"/>
        <v>0</v>
      </c>
      <c r="U85" s="47">
        <f t="shared" si="24"/>
        <v>0</v>
      </c>
      <c r="V85" s="47">
        <f t="shared" si="24"/>
        <v>0</v>
      </c>
      <c r="W85" s="47">
        <f t="shared" si="24"/>
        <v>0</v>
      </c>
      <c r="X85" s="47">
        <f t="shared" si="27"/>
        <v>0</v>
      </c>
    </row>
    <row r="86" spans="1:24" ht="20" customHeight="1" x14ac:dyDescent="0.35">
      <c r="A86" s="29"/>
      <c r="B86" s="30"/>
      <c r="C86" s="31"/>
      <c r="D86" s="31"/>
      <c r="E86" s="31"/>
      <c r="F86" s="31"/>
      <c r="G86" s="31"/>
      <c r="H86" s="31"/>
      <c r="I86" s="31"/>
      <c r="J86" s="34"/>
      <c r="L86" s="46">
        <f t="shared" si="26"/>
        <v>0</v>
      </c>
      <c r="M86" s="46">
        <f t="shared" si="26"/>
        <v>0</v>
      </c>
      <c r="N86" s="46">
        <f t="shared" si="26"/>
        <v>0</v>
      </c>
      <c r="O86" s="46">
        <f t="shared" si="25"/>
        <v>0</v>
      </c>
      <c r="P86" s="46">
        <f t="shared" si="25"/>
        <v>0</v>
      </c>
      <c r="Q86" s="46">
        <f t="shared" si="25"/>
        <v>0</v>
      </c>
      <c r="R86" s="46">
        <f t="shared" si="25"/>
        <v>0</v>
      </c>
      <c r="S86" s="46">
        <f t="shared" si="25"/>
        <v>0</v>
      </c>
      <c r="T86" s="46">
        <f t="shared" si="25"/>
        <v>0</v>
      </c>
      <c r="U86" s="47">
        <f t="shared" si="24"/>
        <v>0</v>
      </c>
      <c r="V86" s="47">
        <f t="shared" si="24"/>
        <v>0</v>
      </c>
      <c r="W86" s="47">
        <f t="shared" si="24"/>
        <v>0</v>
      </c>
      <c r="X86" s="47">
        <f t="shared" si="27"/>
        <v>0</v>
      </c>
    </row>
    <row r="87" spans="1:24" ht="20" customHeight="1" x14ac:dyDescent="0.35">
      <c r="A87" s="29"/>
      <c r="B87" s="30"/>
      <c r="C87" s="31"/>
      <c r="D87" s="31"/>
      <c r="E87" s="31"/>
      <c r="F87" s="31"/>
      <c r="G87" s="31"/>
      <c r="H87" s="31"/>
      <c r="I87" s="31"/>
      <c r="J87" s="34"/>
      <c r="L87" s="46">
        <f t="shared" si="26"/>
        <v>0</v>
      </c>
      <c r="M87" s="46">
        <f t="shared" si="26"/>
        <v>0</v>
      </c>
      <c r="N87" s="46">
        <f t="shared" si="26"/>
        <v>0</v>
      </c>
      <c r="O87" s="46">
        <f t="shared" si="25"/>
        <v>0</v>
      </c>
      <c r="P87" s="46">
        <f t="shared" si="25"/>
        <v>0</v>
      </c>
      <c r="Q87" s="46">
        <f t="shared" si="25"/>
        <v>0</v>
      </c>
      <c r="R87" s="46">
        <f t="shared" si="25"/>
        <v>0</v>
      </c>
      <c r="S87" s="46">
        <f t="shared" si="25"/>
        <v>0</v>
      </c>
      <c r="T87" s="46">
        <f t="shared" si="25"/>
        <v>0</v>
      </c>
      <c r="U87" s="47">
        <f t="shared" si="24"/>
        <v>0</v>
      </c>
      <c r="V87" s="47">
        <f t="shared" si="24"/>
        <v>0</v>
      </c>
      <c r="W87" s="47">
        <f t="shared" si="24"/>
        <v>0</v>
      </c>
      <c r="X87" s="47">
        <f t="shared" si="27"/>
        <v>0</v>
      </c>
    </row>
    <row r="88" spans="1:24" ht="20" customHeight="1" x14ac:dyDescent="0.35">
      <c r="A88" s="29"/>
      <c r="B88" s="30"/>
      <c r="C88" s="31"/>
      <c r="D88" s="31"/>
      <c r="E88" s="31"/>
      <c r="F88" s="31"/>
      <c r="G88" s="31"/>
      <c r="H88" s="31"/>
      <c r="I88" s="31"/>
      <c r="J88" s="34"/>
      <c r="L88" s="46">
        <f t="shared" si="26"/>
        <v>0</v>
      </c>
      <c r="M88" s="46">
        <f t="shared" si="26"/>
        <v>0</v>
      </c>
      <c r="N88" s="46">
        <f t="shared" si="26"/>
        <v>0</v>
      </c>
      <c r="O88" s="46">
        <f t="shared" si="25"/>
        <v>0</v>
      </c>
      <c r="P88" s="46">
        <f t="shared" si="25"/>
        <v>0</v>
      </c>
      <c r="Q88" s="46">
        <f t="shared" si="25"/>
        <v>0</v>
      </c>
      <c r="R88" s="46">
        <f t="shared" si="25"/>
        <v>0</v>
      </c>
      <c r="S88" s="46">
        <f t="shared" si="25"/>
        <v>0</v>
      </c>
      <c r="T88" s="46">
        <f t="shared" si="25"/>
        <v>0</v>
      </c>
      <c r="U88" s="47">
        <f t="shared" si="24"/>
        <v>0</v>
      </c>
      <c r="V88" s="47">
        <f t="shared" si="24"/>
        <v>0</v>
      </c>
      <c r="W88" s="47">
        <f t="shared" si="24"/>
        <v>0</v>
      </c>
      <c r="X88" s="47">
        <f t="shared" si="27"/>
        <v>0</v>
      </c>
    </row>
    <row r="89" spans="1:24" ht="20" customHeight="1" x14ac:dyDescent="0.35">
      <c r="A89" s="29"/>
      <c r="B89" s="30"/>
      <c r="C89" s="31"/>
      <c r="D89" s="31"/>
      <c r="E89" s="31"/>
      <c r="F89" s="31"/>
      <c r="G89" s="31"/>
      <c r="H89" s="31"/>
      <c r="I89" s="31"/>
      <c r="J89" s="34"/>
      <c r="L89" s="46">
        <f t="shared" si="26"/>
        <v>0</v>
      </c>
      <c r="M89" s="46">
        <f t="shared" si="26"/>
        <v>0</v>
      </c>
      <c r="N89" s="46">
        <f t="shared" si="26"/>
        <v>0</v>
      </c>
      <c r="O89" s="46">
        <f t="shared" si="25"/>
        <v>0</v>
      </c>
      <c r="P89" s="46">
        <f t="shared" si="25"/>
        <v>0</v>
      </c>
      <c r="Q89" s="46">
        <f t="shared" si="25"/>
        <v>0</v>
      </c>
      <c r="R89" s="46">
        <f t="shared" si="25"/>
        <v>0</v>
      </c>
      <c r="S89" s="46">
        <f t="shared" si="25"/>
        <v>0</v>
      </c>
      <c r="T89" s="46">
        <f t="shared" si="25"/>
        <v>0</v>
      </c>
      <c r="U89" s="47">
        <f t="shared" si="24"/>
        <v>0</v>
      </c>
      <c r="V89" s="47">
        <f t="shared" si="24"/>
        <v>0</v>
      </c>
      <c r="W89" s="47">
        <f t="shared" si="24"/>
        <v>0</v>
      </c>
      <c r="X89" s="47">
        <f t="shared" si="27"/>
        <v>0</v>
      </c>
    </row>
    <row r="90" spans="1:24" ht="20" customHeight="1" x14ac:dyDescent="0.35">
      <c r="A90" s="29"/>
      <c r="B90" s="30"/>
      <c r="C90" s="31"/>
      <c r="D90" s="31"/>
      <c r="E90" s="31"/>
      <c r="F90" s="31"/>
      <c r="G90" s="31"/>
      <c r="H90" s="31"/>
      <c r="I90" s="31"/>
      <c r="J90" s="34"/>
      <c r="L90" s="46">
        <f t="shared" si="26"/>
        <v>0</v>
      </c>
      <c r="M90" s="46">
        <f t="shared" si="26"/>
        <v>0</v>
      </c>
      <c r="N90" s="46">
        <f t="shared" si="26"/>
        <v>0</v>
      </c>
      <c r="O90" s="46">
        <f t="shared" si="25"/>
        <v>0</v>
      </c>
      <c r="P90" s="46">
        <f t="shared" si="25"/>
        <v>0</v>
      </c>
      <c r="Q90" s="46">
        <f t="shared" si="25"/>
        <v>0</v>
      </c>
      <c r="R90" s="46">
        <f t="shared" si="25"/>
        <v>0</v>
      </c>
      <c r="S90" s="46">
        <f t="shared" si="25"/>
        <v>0</v>
      </c>
      <c r="T90" s="46">
        <f t="shared" si="25"/>
        <v>0</v>
      </c>
      <c r="U90" s="47">
        <f t="shared" si="24"/>
        <v>0</v>
      </c>
      <c r="V90" s="47">
        <f t="shared" si="24"/>
        <v>0</v>
      </c>
      <c r="W90" s="47">
        <f t="shared" si="24"/>
        <v>0</v>
      </c>
      <c r="X90" s="47">
        <f t="shared" si="27"/>
        <v>0</v>
      </c>
    </row>
    <row r="91" spans="1:24" ht="20" customHeight="1" x14ac:dyDescent="0.35">
      <c r="A91" s="29"/>
      <c r="B91" s="30"/>
      <c r="C91" s="31"/>
      <c r="D91" s="31"/>
      <c r="E91" s="31"/>
      <c r="F91" s="31"/>
      <c r="G91" s="31"/>
      <c r="H91" s="31"/>
      <c r="I91" s="31"/>
      <c r="J91" s="34"/>
      <c r="L91" s="46">
        <f t="shared" si="26"/>
        <v>0</v>
      </c>
      <c r="M91" s="46">
        <f t="shared" si="26"/>
        <v>0</v>
      </c>
      <c r="N91" s="46">
        <f t="shared" si="26"/>
        <v>0</v>
      </c>
      <c r="O91" s="46">
        <f t="shared" si="25"/>
        <v>0</v>
      </c>
      <c r="P91" s="46">
        <f t="shared" si="25"/>
        <v>0</v>
      </c>
      <c r="Q91" s="46">
        <f t="shared" si="25"/>
        <v>0</v>
      </c>
      <c r="R91" s="46">
        <f t="shared" si="25"/>
        <v>0</v>
      </c>
      <c r="S91" s="46">
        <f t="shared" si="25"/>
        <v>0</v>
      </c>
      <c r="T91" s="46">
        <f t="shared" si="25"/>
        <v>0</v>
      </c>
      <c r="U91" s="47">
        <f t="shared" si="24"/>
        <v>0</v>
      </c>
      <c r="V91" s="47">
        <f t="shared" si="24"/>
        <v>0</v>
      </c>
      <c r="W91" s="47">
        <f t="shared" si="24"/>
        <v>0</v>
      </c>
      <c r="X91" s="47">
        <f t="shared" si="27"/>
        <v>0</v>
      </c>
    </row>
    <row r="92" spans="1:24" ht="20" customHeight="1" x14ac:dyDescent="0.35">
      <c r="A92" s="29"/>
      <c r="B92" s="30"/>
      <c r="C92" s="31"/>
      <c r="D92" s="31"/>
      <c r="E92" s="31"/>
      <c r="F92" s="31"/>
      <c r="G92" s="31"/>
      <c r="H92" s="31"/>
      <c r="I92" s="31"/>
      <c r="J92" s="34"/>
      <c r="L92" s="46">
        <f t="shared" si="26"/>
        <v>0</v>
      </c>
      <c r="M92" s="46">
        <f t="shared" si="26"/>
        <v>0</v>
      </c>
      <c r="N92" s="46">
        <f t="shared" si="26"/>
        <v>0</v>
      </c>
      <c r="O92" s="46">
        <f t="shared" si="25"/>
        <v>0</v>
      </c>
      <c r="P92" s="46">
        <f t="shared" si="25"/>
        <v>0</v>
      </c>
      <c r="Q92" s="46">
        <f t="shared" si="25"/>
        <v>0</v>
      </c>
      <c r="R92" s="46">
        <f t="shared" si="25"/>
        <v>0</v>
      </c>
      <c r="S92" s="46">
        <f t="shared" si="25"/>
        <v>0</v>
      </c>
      <c r="T92" s="46">
        <f t="shared" si="25"/>
        <v>0</v>
      </c>
      <c r="U92" s="47">
        <f t="shared" si="24"/>
        <v>0</v>
      </c>
      <c r="V92" s="47">
        <f t="shared" si="24"/>
        <v>0</v>
      </c>
      <c r="W92" s="47">
        <f t="shared" si="24"/>
        <v>0</v>
      </c>
      <c r="X92" s="47">
        <f t="shared" si="27"/>
        <v>0</v>
      </c>
    </row>
    <row r="93" spans="1:24" ht="20" customHeight="1" x14ac:dyDescent="0.35">
      <c r="A93" s="29"/>
      <c r="B93" s="30"/>
      <c r="C93" s="31"/>
      <c r="D93" s="31"/>
      <c r="E93" s="31"/>
      <c r="F93" s="31"/>
      <c r="G93" s="31"/>
      <c r="H93" s="31"/>
      <c r="I93" s="31"/>
      <c r="J93" s="34"/>
      <c r="L93" s="46">
        <f t="shared" si="26"/>
        <v>0</v>
      </c>
      <c r="M93" s="46">
        <f t="shared" si="26"/>
        <v>0</v>
      </c>
      <c r="N93" s="46">
        <f t="shared" si="26"/>
        <v>0</v>
      </c>
      <c r="O93" s="46">
        <f t="shared" si="25"/>
        <v>0</v>
      </c>
      <c r="P93" s="46">
        <f t="shared" si="25"/>
        <v>0</v>
      </c>
      <c r="Q93" s="46">
        <f t="shared" si="25"/>
        <v>0</v>
      </c>
      <c r="R93" s="46">
        <f t="shared" si="25"/>
        <v>0</v>
      </c>
      <c r="S93" s="46">
        <f t="shared" si="25"/>
        <v>0</v>
      </c>
      <c r="T93" s="46">
        <f t="shared" si="25"/>
        <v>0</v>
      </c>
      <c r="U93" s="47">
        <f t="shared" si="24"/>
        <v>0</v>
      </c>
      <c r="V93" s="47">
        <f t="shared" si="24"/>
        <v>0</v>
      </c>
      <c r="W93" s="47">
        <f t="shared" si="24"/>
        <v>0</v>
      </c>
      <c r="X93" s="47">
        <f t="shared" si="27"/>
        <v>0</v>
      </c>
    </row>
    <row r="94" spans="1:24" ht="20" customHeight="1" x14ac:dyDescent="0.35">
      <c r="A94" s="29"/>
      <c r="B94" s="30"/>
      <c r="C94" s="31"/>
      <c r="D94" s="31"/>
      <c r="E94" s="31"/>
      <c r="F94" s="31"/>
      <c r="G94" s="31"/>
      <c r="H94" s="31"/>
      <c r="I94" s="31"/>
      <c r="J94" s="34"/>
      <c r="L94" s="46">
        <f t="shared" si="26"/>
        <v>0</v>
      </c>
      <c r="M94" s="46">
        <f t="shared" si="26"/>
        <v>0</v>
      </c>
      <c r="N94" s="46">
        <f t="shared" si="26"/>
        <v>0</v>
      </c>
      <c r="O94" s="46">
        <f t="shared" si="25"/>
        <v>0</v>
      </c>
      <c r="P94" s="46">
        <f t="shared" si="25"/>
        <v>0</v>
      </c>
      <c r="Q94" s="46">
        <f t="shared" si="25"/>
        <v>0</v>
      </c>
      <c r="R94" s="46">
        <f t="shared" si="25"/>
        <v>0</v>
      </c>
      <c r="S94" s="46">
        <f t="shared" si="25"/>
        <v>0</v>
      </c>
      <c r="T94" s="46">
        <f t="shared" si="25"/>
        <v>0</v>
      </c>
      <c r="U94" s="47">
        <f t="shared" si="24"/>
        <v>0</v>
      </c>
      <c r="V94" s="47">
        <f t="shared" si="24"/>
        <v>0</v>
      </c>
      <c r="W94" s="47">
        <f t="shared" si="24"/>
        <v>0</v>
      </c>
      <c r="X94" s="47">
        <f t="shared" si="27"/>
        <v>0</v>
      </c>
    </row>
    <row r="95" spans="1:24" ht="20" customHeight="1" x14ac:dyDescent="0.35">
      <c r="A95" s="29"/>
      <c r="B95" s="30"/>
      <c r="C95" s="31"/>
      <c r="D95" s="31"/>
      <c r="E95" s="31"/>
      <c r="F95" s="31"/>
      <c r="G95" s="31"/>
      <c r="H95" s="31"/>
      <c r="I95" s="31"/>
      <c r="J95" s="34"/>
      <c r="L95" s="46">
        <f t="shared" si="26"/>
        <v>0</v>
      </c>
      <c r="M95" s="46">
        <f t="shared" si="26"/>
        <v>0</v>
      </c>
      <c r="N95" s="46">
        <f t="shared" si="26"/>
        <v>0</v>
      </c>
      <c r="O95" s="46">
        <f t="shared" si="25"/>
        <v>0</v>
      </c>
      <c r="P95" s="46">
        <f t="shared" si="25"/>
        <v>0</v>
      </c>
      <c r="Q95" s="46">
        <f t="shared" si="25"/>
        <v>0</v>
      </c>
      <c r="R95" s="46">
        <f t="shared" si="25"/>
        <v>0</v>
      </c>
      <c r="S95" s="46">
        <f t="shared" si="25"/>
        <v>0</v>
      </c>
      <c r="T95" s="46">
        <f t="shared" si="25"/>
        <v>0</v>
      </c>
      <c r="U95" s="47">
        <f t="shared" si="24"/>
        <v>0</v>
      </c>
      <c r="V95" s="47">
        <f t="shared" si="24"/>
        <v>0</v>
      </c>
      <c r="W95" s="47">
        <f t="shared" si="24"/>
        <v>0</v>
      </c>
      <c r="X95" s="47">
        <f t="shared" si="27"/>
        <v>0</v>
      </c>
    </row>
    <row r="96" spans="1:24" ht="20" customHeight="1" x14ac:dyDescent="0.35">
      <c r="A96" s="29"/>
      <c r="B96" s="30"/>
      <c r="C96" s="31"/>
      <c r="D96" s="31"/>
      <c r="E96" s="31"/>
      <c r="F96" s="31"/>
      <c r="G96" s="31"/>
      <c r="H96" s="31"/>
      <c r="I96" s="31"/>
      <c r="J96" s="34"/>
      <c r="L96" s="46">
        <f t="shared" si="26"/>
        <v>0</v>
      </c>
      <c r="M96" s="46">
        <f t="shared" si="26"/>
        <v>0</v>
      </c>
      <c r="N96" s="46">
        <f t="shared" si="26"/>
        <v>0</v>
      </c>
      <c r="O96" s="46">
        <f t="shared" si="25"/>
        <v>0</v>
      </c>
      <c r="P96" s="46">
        <f t="shared" si="25"/>
        <v>0</v>
      </c>
      <c r="Q96" s="46">
        <f t="shared" si="25"/>
        <v>0</v>
      </c>
      <c r="R96" s="46">
        <f t="shared" si="25"/>
        <v>0</v>
      </c>
      <c r="S96" s="46">
        <f t="shared" si="25"/>
        <v>0</v>
      </c>
      <c r="T96" s="46">
        <f t="shared" si="25"/>
        <v>0</v>
      </c>
      <c r="U96" s="47">
        <f t="shared" si="24"/>
        <v>0</v>
      </c>
      <c r="V96" s="47">
        <f t="shared" si="24"/>
        <v>0</v>
      </c>
      <c r="W96" s="47">
        <f t="shared" si="24"/>
        <v>0</v>
      </c>
      <c r="X96" s="47">
        <f t="shared" si="27"/>
        <v>0</v>
      </c>
    </row>
    <row r="97" spans="1:24" ht="20" customHeight="1" x14ac:dyDescent="0.35">
      <c r="A97" s="29"/>
      <c r="B97" s="30"/>
      <c r="C97" s="31"/>
      <c r="D97" s="31"/>
      <c r="E97" s="31"/>
      <c r="F97" s="31"/>
      <c r="G97" s="31"/>
      <c r="H97" s="31"/>
      <c r="I97" s="31"/>
      <c r="J97" s="34"/>
      <c r="L97" s="46">
        <f t="shared" si="26"/>
        <v>0</v>
      </c>
      <c r="M97" s="46">
        <f t="shared" si="26"/>
        <v>0</v>
      </c>
      <c r="N97" s="46">
        <f t="shared" si="26"/>
        <v>0</v>
      </c>
      <c r="O97" s="46">
        <f t="shared" si="25"/>
        <v>0</v>
      </c>
      <c r="P97" s="46">
        <f t="shared" si="25"/>
        <v>0</v>
      </c>
      <c r="Q97" s="46">
        <f t="shared" si="25"/>
        <v>0</v>
      </c>
      <c r="R97" s="46">
        <f t="shared" si="25"/>
        <v>0</v>
      </c>
      <c r="S97" s="46">
        <f t="shared" si="25"/>
        <v>0</v>
      </c>
      <c r="T97" s="46">
        <f t="shared" si="25"/>
        <v>0</v>
      </c>
      <c r="U97" s="47">
        <f t="shared" si="24"/>
        <v>0</v>
      </c>
      <c r="V97" s="47">
        <f t="shared" si="24"/>
        <v>0</v>
      </c>
      <c r="W97" s="47">
        <f t="shared" si="24"/>
        <v>0</v>
      </c>
      <c r="X97" s="47">
        <f t="shared" si="27"/>
        <v>0</v>
      </c>
    </row>
    <row r="98" spans="1:24" ht="16.75" customHeight="1" x14ac:dyDescent="0.35">
      <c r="A98" s="29"/>
      <c r="B98" s="30"/>
      <c r="C98" s="31"/>
      <c r="D98" s="31"/>
      <c r="E98" s="31"/>
      <c r="F98" s="31"/>
      <c r="G98" s="31"/>
      <c r="H98" s="31"/>
      <c r="I98" s="31"/>
      <c r="J98" s="34"/>
      <c r="L98" s="46">
        <f t="shared" si="26"/>
        <v>0</v>
      </c>
      <c r="M98" s="46">
        <f t="shared" si="26"/>
        <v>0</v>
      </c>
      <c r="N98" s="46">
        <f t="shared" si="26"/>
        <v>0</v>
      </c>
      <c r="O98" s="46">
        <f t="shared" si="25"/>
        <v>0</v>
      </c>
      <c r="P98" s="46">
        <f t="shared" si="25"/>
        <v>0</v>
      </c>
      <c r="Q98" s="46">
        <f t="shared" si="25"/>
        <v>0</v>
      </c>
      <c r="R98" s="46">
        <f t="shared" si="25"/>
        <v>0</v>
      </c>
      <c r="S98" s="46">
        <f t="shared" si="25"/>
        <v>0</v>
      </c>
      <c r="T98" s="46">
        <f t="shared" si="25"/>
        <v>0</v>
      </c>
      <c r="U98" s="47">
        <f t="shared" si="24"/>
        <v>0</v>
      </c>
      <c r="V98" s="47">
        <f t="shared" si="24"/>
        <v>0</v>
      </c>
      <c r="W98" s="47">
        <f t="shared" si="24"/>
        <v>0</v>
      </c>
      <c r="X98" s="47">
        <f t="shared" si="27"/>
        <v>0</v>
      </c>
    </row>
    <row r="99" spans="1:24" ht="20" customHeight="1" x14ac:dyDescent="0.35">
      <c r="A99" s="29"/>
      <c r="B99" s="30"/>
      <c r="C99" s="31"/>
      <c r="D99" s="31"/>
      <c r="E99" s="31"/>
      <c r="F99" s="31"/>
      <c r="G99" s="31"/>
      <c r="H99" s="31"/>
      <c r="I99" s="31"/>
      <c r="J99" s="34"/>
      <c r="L99" s="46">
        <f t="shared" si="26"/>
        <v>0</v>
      </c>
      <c r="M99" s="46">
        <f t="shared" si="26"/>
        <v>0</v>
      </c>
      <c r="N99" s="46">
        <f t="shared" si="26"/>
        <v>0</v>
      </c>
      <c r="O99" s="46">
        <f t="shared" si="25"/>
        <v>0</v>
      </c>
      <c r="P99" s="46">
        <f t="shared" si="25"/>
        <v>0</v>
      </c>
      <c r="Q99" s="46">
        <f t="shared" si="25"/>
        <v>0</v>
      </c>
      <c r="R99" s="46">
        <f t="shared" si="25"/>
        <v>0</v>
      </c>
      <c r="S99" s="46">
        <f t="shared" si="25"/>
        <v>0</v>
      </c>
      <c r="T99" s="46">
        <f t="shared" si="25"/>
        <v>0</v>
      </c>
      <c r="U99" s="47">
        <f t="shared" si="24"/>
        <v>0</v>
      </c>
      <c r="V99" s="47">
        <f t="shared" si="24"/>
        <v>0</v>
      </c>
      <c r="W99" s="47">
        <f t="shared" si="24"/>
        <v>0</v>
      </c>
      <c r="X99" s="47">
        <f t="shared" si="27"/>
        <v>0</v>
      </c>
    </row>
    <row r="100" spans="1:24" ht="20" customHeight="1" x14ac:dyDescent="0.35">
      <c r="A100" s="29"/>
      <c r="B100" s="30"/>
      <c r="C100" s="31"/>
      <c r="D100" s="31"/>
      <c r="E100" s="31"/>
      <c r="F100" s="31"/>
      <c r="G100" s="31"/>
      <c r="H100" s="31"/>
      <c r="I100" s="31"/>
      <c r="J100" s="34"/>
      <c r="L100" s="46">
        <f t="shared" si="26"/>
        <v>0</v>
      </c>
      <c r="M100" s="46">
        <f t="shared" si="26"/>
        <v>0</v>
      </c>
      <c r="N100" s="46">
        <f t="shared" si="26"/>
        <v>0</v>
      </c>
      <c r="O100" s="46">
        <f t="shared" si="25"/>
        <v>0</v>
      </c>
      <c r="P100" s="46">
        <f t="shared" si="25"/>
        <v>0</v>
      </c>
      <c r="Q100" s="46">
        <f t="shared" si="25"/>
        <v>0</v>
      </c>
      <c r="R100" s="46">
        <f t="shared" si="25"/>
        <v>0</v>
      </c>
      <c r="S100" s="46">
        <f t="shared" si="25"/>
        <v>0</v>
      </c>
      <c r="T100" s="46">
        <f t="shared" si="25"/>
        <v>0</v>
      </c>
      <c r="U100" s="47">
        <f t="shared" si="24"/>
        <v>0</v>
      </c>
      <c r="V100" s="47">
        <f t="shared" si="24"/>
        <v>0</v>
      </c>
      <c r="W100" s="47">
        <f t="shared" si="24"/>
        <v>0</v>
      </c>
      <c r="X100" s="47">
        <f t="shared" si="27"/>
        <v>0</v>
      </c>
    </row>
    <row r="101" spans="1:24" ht="20" customHeight="1" x14ac:dyDescent="0.35">
      <c r="A101" s="29"/>
      <c r="B101" s="30"/>
      <c r="C101" s="31"/>
      <c r="D101" s="31"/>
      <c r="E101" s="31"/>
      <c r="F101" s="31"/>
      <c r="G101" s="31"/>
      <c r="H101" s="31"/>
      <c r="I101" s="31"/>
      <c r="J101" s="34"/>
      <c r="L101" s="46">
        <f t="shared" si="26"/>
        <v>0</v>
      </c>
      <c r="M101" s="46">
        <f t="shared" si="26"/>
        <v>0</v>
      </c>
      <c r="N101" s="46">
        <f t="shared" si="26"/>
        <v>0</v>
      </c>
      <c r="O101" s="46">
        <f t="shared" si="25"/>
        <v>0</v>
      </c>
      <c r="P101" s="46">
        <f t="shared" si="25"/>
        <v>0</v>
      </c>
      <c r="Q101" s="46">
        <f t="shared" si="25"/>
        <v>0</v>
      </c>
      <c r="R101" s="46">
        <f t="shared" si="25"/>
        <v>0</v>
      </c>
      <c r="S101" s="46">
        <f t="shared" si="25"/>
        <v>0</v>
      </c>
      <c r="T101" s="46">
        <f t="shared" si="25"/>
        <v>0</v>
      </c>
      <c r="U101" s="47">
        <f t="shared" si="24"/>
        <v>0</v>
      </c>
      <c r="V101" s="47">
        <f t="shared" si="24"/>
        <v>0</v>
      </c>
      <c r="W101" s="47">
        <f t="shared" si="24"/>
        <v>0</v>
      </c>
      <c r="X101" s="47">
        <f t="shared" si="27"/>
        <v>0</v>
      </c>
    </row>
    <row r="102" spans="1:24" ht="20" customHeight="1" x14ac:dyDescent="0.35">
      <c r="A102" s="29"/>
      <c r="B102" s="30"/>
      <c r="C102" s="31"/>
      <c r="D102" s="31"/>
      <c r="E102" s="31"/>
      <c r="F102" s="31"/>
      <c r="G102" s="31"/>
      <c r="H102" s="31"/>
      <c r="I102" s="31"/>
      <c r="J102" s="34"/>
      <c r="L102" s="46">
        <f t="shared" si="26"/>
        <v>0</v>
      </c>
      <c r="M102" s="46">
        <f t="shared" si="26"/>
        <v>0</v>
      </c>
      <c r="N102" s="46">
        <f t="shared" si="26"/>
        <v>0</v>
      </c>
      <c r="O102" s="46">
        <f t="shared" si="25"/>
        <v>0</v>
      </c>
      <c r="P102" s="46">
        <f t="shared" si="25"/>
        <v>0</v>
      </c>
      <c r="Q102" s="46">
        <f t="shared" si="25"/>
        <v>0</v>
      </c>
      <c r="R102" s="46">
        <f t="shared" si="25"/>
        <v>0</v>
      </c>
      <c r="S102" s="46">
        <f t="shared" si="25"/>
        <v>0</v>
      </c>
      <c r="T102" s="46">
        <f t="shared" si="25"/>
        <v>0</v>
      </c>
      <c r="U102" s="47">
        <f t="shared" si="24"/>
        <v>0</v>
      </c>
      <c r="V102" s="47">
        <f t="shared" si="24"/>
        <v>0</v>
      </c>
      <c r="W102" s="47">
        <f t="shared" si="24"/>
        <v>0</v>
      </c>
      <c r="X102" s="47">
        <f t="shared" si="27"/>
        <v>0</v>
      </c>
    </row>
    <row r="103" spans="1:24" ht="20" customHeight="1" x14ac:dyDescent="0.35">
      <c r="A103" s="29"/>
      <c r="B103" s="30"/>
      <c r="C103" s="31"/>
      <c r="D103" s="31"/>
      <c r="E103" s="31"/>
      <c r="F103" s="31"/>
      <c r="G103" s="31"/>
      <c r="H103" s="31"/>
      <c r="I103" s="31"/>
      <c r="J103" s="34"/>
      <c r="L103" s="46">
        <f t="shared" si="26"/>
        <v>0</v>
      </c>
      <c r="M103" s="46">
        <f t="shared" si="26"/>
        <v>0</v>
      </c>
      <c r="N103" s="46">
        <f t="shared" si="26"/>
        <v>0</v>
      </c>
      <c r="O103" s="46">
        <f t="shared" si="25"/>
        <v>0</v>
      </c>
      <c r="P103" s="46">
        <f t="shared" si="25"/>
        <v>0</v>
      </c>
      <c r="Q103" s="46">
        <f t="shared" si="25"/>
        <v>0</v>
      </c>
      <c r="R103" s="46">
        <f t="shared" si="25"/>
        <v>0</v>
      </c>
      <c r="S103" s="46">
        <f t="shared" si="25"/>
        <v>0</v>
      </c>
      <c r="T103" s="46">
        <f t="shared" si="25"/>
        <v>0</v>
      </c>
      <c r="U103" s="47">
        <f t="shared" si="24"/>
        <v>0</v>
      </c>
      <c r="V103" s="47">
        <f t="shared" si="24"/>
        <v>0</v>
      </c>
      <c r="W103" s="47">
        <f t="shared" si="24"/>
        <v>0</v>
      </c>
      <c r="X103" s="47">
        <f t="shared" si="27"/>
        <v>0</v>
      </c>
    </row>
    <row r="104" spans="1:24" ht="20" customHeight="1" x14ac:dyDescent="0.35">
      <c r="A104" s="29"/>
      <c r="B104" s="30"/>
      <c r="C104" s="31"/>
      <c r="D104" s="31"/>
      <c r="E104" s="31"/>
      <c r="F104" s="31"/>
      <c r="G104" s="31"/>
      <c r="H104" s="31"/>
      <c r="I104" s="31"/>
      <c r="J104" s="34"/>
      <c r="L104" s="46">
        <f t="shared" si="26"/>
        <v>0</v>
      </c>
      <c r="M104" s="46">
        <f t="shared" si="26"/>
        <v>0</v>
      </c>
      <c r="N104" s="46">
        <f t="shared" si="26"/>
        <v>0</v>
      </c>
      <c r="O104" s="46">
        <f t="shared" si="25"/>
        <v>0</v>
      </c>
      <c r="P104" s="46">
        <f t="shared" si="25"/>
        <v>0</v>
      </c>
      <c r="Q104" s="46">
        <f t="shared" si="25"/>
        <v>0</v>
      </c>
      <c r="R104" s="46">
        <f t="shared" si="25"/>
        <v>0</v>
      </c>
      <c r="S104" s="46">
        <f t="shared" si="25"/>
        <v>0</v>
      </c>
      <c r="T104" s="46">
        <f t="shared" si="25"/>
        <v>0</v>
      </c>
      <c r="U104" s="47">
        <f t="shared" si="24"/>
        <v>0</v>
      </c>
      <c r="V104" s="47">
        <f t="shared" si="24"/>
        <v>0</v>
      </c>
      <c r="W104" s="47">
        <f t="shared" si="24"/>
        <v>0</v>
      </c>
      <c r="X104" s="47">
        <f t="shared" si="27"/>
        <v>0</v>
      </c>
    </row>
    <row r="105" spans="1:24" ht="20" customHeight="1" x14ac:dyDescent="0.35">
      <c r="A105" s="29"/>
      <c r="B105" s="30"/>
      <c r="C105" s="31"/>
      <c r="D105" s="31"/>
      <c r="E105" s="31"/>
      <c r="F105" s="31"/>
      <c r="G105" s="31"/>
      <c r="H105" s="31"/>
      <c r="I105" s="31"/>
      <c r="J105" s="34"/>
      <c r="L105" s="46">
        <f t="shared" si="26"/>
        <v>0</v>
      </c>
      <c r="M105" s="46">
        <f t="shared" si="26"/>
        <v>0</v>
      </c>
      <c r="N105" s="46">
        <f t="shared" si="26"/>
        <v>0</v>
      </c>
      <c r="O105" s="46">
        <f t="shared" si="25"/>
        <v>0</v>
      </c>
      <c r="P105" s="46">
        <f t="shared" si="25"/>
        <v>0</v>
      </c>
      <c r="Q105" s="46">
        <f t="shared" si="25"/>
        <v>0</v>
      </c>
      <c r="R105" s="46">
        <f t="shared" si="25"/>
        <v>0</v>
      </c>
      <c r="S105" s="46">
        <f t="shared" si="25"/>
        <v>0</v>
      </c>
      <c r="T105" s="46">
        <f t="shared" si="25"/>
        <v>0</v>
      </c>
      <c r="U105" s="47">
        <f t="shared" si="24"/>
        <v>0</v>
      </c>
      <c r="V105" s="47">
        <f t="shared" si="24"/>
        <v>0</v>
      </c>
      <c r="W105" s="47">
        <f t="shared" si="24"/>
        <v>0</v>
      </c>
      <c r="X105" s="47">
        <f t="shared" si="27"/>
        <v>0</v>
      </c>
    </row>
    <row r="106" spans="1:24" ht="20" customHeight="1" x14ac:dyDescent="0.35">
      <c r="A106" s="29"/>
      <c r="B106" s="30"/>
      <c r="C106" s="31"/>
      <c r="D106" s="31"/>
      <c r="E106" s="31"/>
      <c r="F106" s="31"/>
      <c r="G106" s="31"/>
      <c r="H106" s="31"/>
      <c r="I106" s="31"/>
      <c r="J106" s="34"/>
      <c r="L106" s="46">
        <f t="shared" si="26"/>
        <v>0</v>
      </c>
      <c r="M106" s="46">
        <f t="shared" si="26"/>
        <v>0</v>
      </c>
      <c r="N106" s="46">
        <f t="shared" si="26"/>
        <v>0</v>
      </c>
      <c r="O106" s="46">
        <f t="shared" si="25"/>
        <v>0</v>
      </c>
      <c r="P106" s="46">
        <f t="shared" si="25"/>
        <v>0</v>
      </c>
      <c r="Q106" s="46">
        <f t="shared" si="25"/>
        <v>0</v>
      </c>
      <c r="R106" s="46">
        <f t="shared" si="25"/>
        <v>0</v>
      </c>
      <c r="S106" s="46">
        <f t="shared" si="25"/>
        <v>0</v>
      </c>
      <c r="T106" s="46">
        <f t="shared" si="25"/>
        <v>0</v>
      </c>
      <c r="U106" s="47">
        <f t="shared" si="24"/>
        <v>0</v>
      </c>
      <c r="V106" s="47">
        <f t="shared" si="24"/>
        <v>0</v>
      </c>
      <c r="W106" s="47">
        <f t="shared" si="24"/>
        <v>0</v>
      </c>
      <c r="X106" s="47">
        <f t="shared" si="27"/>
        <v>0</v>
      </c>
    </row>
    <row r="107" spans="1:24" ht="20" customHeight="1" x14ac:dyDescent="0.35">
      <c r="A107" s="29"/>
      <c r="B107" s="30"/>
      <c r="C107" s="31"/>
      <c r="D107" s="31"/>
      <c r="E107" s="31"/>
      <c r="F107" s="31"/>
      <c r="G107" s="31"/>
      <c r="H107" s="31"/>
      <c r="I107" s="31"/>
      <c r="J107" s="34"/>
      <c r="L107" s="46">
        <f t="shared" si="26"/>
        <v>0</v>
      </c>
      <c r="M107" s="46">
        <f t="shared" si="26"/>
        <v>0</v>
      </c>
      <c r="N107" s="46">
        <f t="shared" si="26"/>
        <v>0</v>
      </c>
      <c r="O107" s="46">
        <f t="shared" si="25"/>
        <v>0</v>
      </c>
      <c r="P107" s="46">
        <f t="shared" si="25"/>
        <v>0</v>
      </c>
      <c r="Q107" s="46">
        <f t="shared" si="25"/>
        <v>0</v>
      </c>
      <c r="R107" s="46">
        <f t="shared" si="25"/>
        <v>0</v>
      </c>
      <c r="S107" s="46">
        <f t="shared" si="25"/>
        <v>0</v>
      </c>
      <c r="T107" s="46">
        <f t="shared" si="25"/>
        <v>0</v>
      </c>
      <c r="U107" s="47">
        <f t="shared" si="24"/>
        <v>0</v>
      </c>
      <c r="V107" s="47">
        <f t="shared" si="24"/>
        <v>0</v>
      </c>
      <c r="W107" s="47">
        <f t="shared" si="24"/>
        <v>0</v>
      </c>
      <c r="X107" s="47">
        <f t="shared" si="27"/>
        <v>0</v>
      </c>
    </row>
    <row r="108" spans="1:24" ht="20" customHeight="1" x14ac:dyDescent="0.35">
      <c r="A108" s="29"/>
      <c r="B108" s="30"/>
      <c r="C108" s="31"/>
      <c r="D108" s="31"/>
      <c r="E108" s="31"/>
      <c r="F108" s="31"/>
      <c r="G108" s="31"/>
      <c r="H108" s="31"/>
      <c r="I108" s="31"/>
      <c r="J108" s="34"/>
      <c r="L108" s="46">
        <f t="shared" si="26"/>
        <v>0</v>
      </c>
      <c r="M108" s="46">
        <f t="shared" si="26"/>
        <v>0</v>
      </c>
      <c r="N108" s="46">
        <f t="shared" si="26"/>
        <v>0</v>
      </c>
      <c r="O108" s="46">
        <f t="shared" si="25"/>
        <v>0</v>
      </c>
      <c r="P108" s="46">
        <f t="shared" si="25"/>
        <v>0</v>
      </c>
      <c r="Q108" s="46">
        <f t="shared" si="25"/>
        <v>0</v>
      </c>
      <c r="R108" s="46">
        <f t="shared" si="25"/>
        <v>0</v>
      </c>
      <c r="S108" s="46">
        <f t="shared" si="25"/>
        <v>0</v>
      </c>
      <c r="T108" s="46">
        <f t="shared" si="25"/>
        <v>0</v>
      </c>
      <c r="U108" s="47">
        <f t="shared" ref="U108:W151" si="28">L108+Q108</f>
        <v>0</v>
      </c>
      <c r="V108" s="47">
        <f t="shared" si="28"/>
        <v>0</v>
      </c>
      <c r="W108" s="47">
        <f t="shared" si="28"/>
        <v>0</v>
      </c>
      <c r="X108" s="47">
        <f t="shared" si="27"/>
        <v>0</v>
      </c>
    </row>
    <row r="109" spans="1:24" ht="20" customHeight="1" x14ac:dyDescent="0.35">
      <c r="A109" s="29"/>
      <c r="B109" s="30"/>
      <c r="C109" s="31"/>
      <c r="D109" s="31"/>
      <c r="E109" s="31"/>
      <c r="F109" s="31"/>
      <c r="G109" s="31"/>
      <c r="H109" s="31"/>
      <c r="I109" s="31"/>
      <c r="J109" s="34"/>
      <c r="L109" s="46">
        <f t="shared" si="26"/>
        <v>0</v>
      </c>
      <c r="M109" s="46">
        <f t="shared" si="26"/>
        <v>0</v>
      </c>
      <c r="N109" s="46">
        <f t="shared" si="26"/>
        <v>0</v>
      </c>
      <c r="O109" s="46">
        <f t="shared" si="25"/>
        <v>0</v>
      </c>
      <c r="P109" s="46">
        <f t="shared" si="25"/>
        <v>0</v>
      </c>
      <c r="Q109" s="46">
        <f t="shared" si="25"/>
        <v>0</v>
      </c>
      <c r="R109" s="46">
        <f t="shared" si="25"/>
        <v>0</v>
      </c>
      <c r="S109" s="46">
        <f t="shared" si="25"/>
        <v>0</v>
      </c>
      <c r="T109" s="46">
        <f t="shared" si="25"/>
        <v>0</v>
      </c>
      <c r="U109" s="47">
        <f t="shared" si="28"/>
        <v>0</v>
      </c>
      <c r="V109" s="47">
        <f t="shared" si="28"/>
        <v>0</v>
      </c>
      <c r="W109" s="47">
        <f t="shared" si="28"/>
        <v>0</v>
      </c>
      <c r="X109" s="47">
        <f t="shared" si="27"/>
        <v>0</v>
      </c>
    </row>
    <row r="110" spans="1:24" ht="20" customHeight="1" x14ac:dyDescent="0.35">
      <c r="A110" s="29"/>
      <c r="B110" s="30"/>
      <c r="C110" s="31"/>
      <c r="D110" s="31"/>
      <c r="E110" s="31"/>
      <c r="F110" s="31"/>
      <c r="G110" s="31"/>
      <c r="H110" s="31"/>
      <c r="I110" s="31"/>
      <c r="J110" s="34"/>
      <c r="L110" s="46">
        <f t="shared" si="26"/>
        <v>0</v>
      </c>
      <c r="M110" s="46">
        <f t="shared" si="26"/>
        <v>0</v>
      </c>
      <c r="N110" s="46">
        <f t="shared" si="26"/>
        <v>0</v>
      </c>
      <c r="O110" s="46">
        <f t="shared" si="25"/>
        <v>0</v>
      </c>
      <c r="P110" s="46">
        <f t="shared" si="25"/>
        <v>0</v>
      </c>
      <c r="Q110" s="46">
        <f t="shared" si="25"/>
        <v>0</v>
      </c>
      <c r="R110" s="46">
        <f t="shared" si="25"/>
        <v>0</v>
      </c>
      <c r="S110" s="46">
        <f t="shared" si="25"/>
        <v>0</v>
      </c>
      <c r="T110" s="46">
        <f t="shared" si="25"/>
        <v>0</v>
      </c>
      <c r="U110" s="47">
        <f t="shared" si="28"/>
        <v>0</v>
      </c>
      <c r="V110" s="47">
        <f t="shared" si="28"/>
        <v>0</v>
      </c>
      <c r="W110" s="47">
        <f t="shared" si="28"/>
        <v>0</v>
      </c>
      <c r="X110" s="47">
        <f t="shared" si="27"/>
        <v>0</v>
      </c>
    </row>
    <row r="111" spans="1:24" ht="20" customHeight="1" x14ac:dyDescent="0.35">
      <c r="A111" s="29"/>
      <c r="B111" s="30"/>
      <c r="C111" s="31"/>
      <c r="D111" s="31"/>
      <c r="E111" s="31"/>
      <c r="F111" s="31"/>
      <c r="G111" s="31"/>
      <c r="H111" s="31"/>
      <c r="I111" s="31"/>
      <c r="J111" s="34"/>
      <c r="L111" s="46">
        <f t="shared" si="26"/>
        <v>0</v>
      </c>
      <c r="M111" s="46">
        <f t="shared" si="26"/>
        <v>0</v>
      </c>
      <c r="N111" s="46">
        <f t="shared" si="26"/>
        <v>0</v>
      </c>
      <c r="O111" s="46">
        <f t="shared" si="25"/>
        <v>0</v>
      </c>
      <c r="P111" s="46">
        <f t="shared" si="25"/>
        <v>0</v>
      </c>
      <c r="Q111" s="46">
        <f t="shared" si="25"/>
        <v>0</v>
      </c>
      <c r="R111" s="46">
        <f t="shared" si="25"/>
        <v>0</v>
      </c>
      <c r="S111" s="46">
        <f t="shared" si="25"/>
        <v>0</v>
      </c>
      <c r="T111" s="46">
        <f t="shared" si="25"/>
        <v>0</v>
      </c>
      <c r="U111" s="47">
        <f t="shared" si="28"/>
        <v>0</v>
      </c>
      <c r="V111" s="47">
        <f t="shared" si="28"/>
        <v>0</v>
      </c>
      <c r="W111" s="47">
        <f t="shared" si="28"/>
        <v>0</v>
      </c>
      <c r="X111" s="47">
        <f t="shared" si="27"/>
        <v>0</v>
      </c>
    </row>
    <row r="112" spans="1:24" ht="20" customHeight="1" x14ac:dyDescent="0.35">
      <c r="A112" s="29"/>
      <c r="B112" s="30"/>
      <c r="C112" s="31"/>
      <c r="D112" s="31"/>
      <c r="E112" s="31"/>
      <c r="F112" s="31"/>
      <c r="G112" s="31"/>
      <c r="H112" s="31"/>
      <c r="I112" s="31"/>
      <c r="J112" s="34"/>
      <c r="L112" s="46">
        <f t="shared" si="26"/>
        <v>0</v>
      </c>
      <c r="M112" s="46">
        <f t="shared" si="26"/>
        <v>0</v>
      </c>
      <c r="N112" s="46">
        <f t="shared" si="26"/>
        <v>0</v>
      </c>
      <c r="O112" s="46">
        <f t="shared" si="25"/>
        <v>0</v>
      </c>
      <c r="P112" s="46">
        <f t="shared" si="25"/>
        <v>0</v>
      </c>
      <c r="Q112" s="46">
        <f t="shared" si="25"/>
        <v>0</v>
      </c>
      <c r="R112" s="46">
        <f t="shared" si="25"/>
        <v>0</v>
      </c>
      <c r="S112" s="46">
        <f t="shared" si="25"/>
        <v>0</v>
      </c>
      <c r="T112" s="46">
        <f t="shared" si="25"/>
        <v>0</v>
      </c>
      <c r="U112" s="47">
        <f t="shared" si="28"/>
        <v>0</v>
      </c>
      <c r="V112" s="47">
        <f t="shared" si="28"/>
        <v>0</v>
      </c>
      <c r="W112" s="47">
        <f t="shared" si="28"/>
        <v>0</v>
      </c>
      <c r="X112" s="47">
        <f t="shared" si="27"/>
        <v>0</v>
      </c>
    </row>
    <row r="113" spans="1:24" ht="20" customHeight="1" x14ac:dyDescent="0.35">
      <c r="A113" s="29"/>
      <c r="B113" s="30"/>
      <c r="C113" s="31"/>
      <c r="D113" s="31"/>
      <c r="E113" s="31"/>
      <c r="F113" s="31"/>
      <c r="G113" s="31"/>
      <c r="H113" s="31"/>
      <c r="I113" s="31"/>
      <c r="J113" s="34"/>
      <c r="L113" s="46">
        <f t="shared" si="26"/>
        <v>0</v>
      </c>
      <c r="M113" s="46">
        <f t="shared" si="26"/>
        <v>0</v>
      </c>
      <c r="N113" s="46">
        <f t="shared" si="26"/>
        <v>0</v>
      </c>
      <c r="O113" s="46">
        <f t="shared" si="25"/>
        <v>0</v>
      </c>
      <c r="P113" s="46">
        <f t="shared" si="25"/>
        <v>0</v>
      </c>
      <c r="Q113" s="46">
        <f t="shared" si="25"/>
        <v>0</v>
      </c>
      <c r="R113" s="46">
        <f t="shared" si="25"/>
        <v>0</v>
      </c>
      <c r="S113" s="46">
        <f t="shared" si="25"/>
        <v>0</v>
      </c>
      <c r="T113" s="46">
        <f t="shared" si="25"/>
        <v>0</v>
      </c>
      <c r="U113" s="47">
        <f t="shared" si="28"/>
        <v>0</v>
      </c>
      <c r="V113" s="47">
        <f t="shared" si="28"/>
        <v>0</v>
      </c>
      <c r="W113" s="47">
        <f t="shared" si="28"/>
        <v>0</v>
      </c>
      <c r="X113" s="47">
        <f t="shared" si="27"/>
        <v>0</v>
      </c>
    </row>
    <row r="114" spans="1:24" ht="20" customHeight="1" x14ac:dyDescent="0.35">
      <c r="A114" s="29"/>
      <c r="B114" s="30"/>
      <c r="C114" s="31"/>
      <c r="D114" s="31"/>
      <c r="E114" s="31"/>
      <c r="F114" s="31"/>
      <c r="G114" s="31"/>
      <c r="H114" s="31"/>
      <c r="I114" s="31"/>
      <c r="J114" s="34"/>
      <c r="L114" s="46">
        <f t="shared" si="26"/>
        <v>0</v>
      </c>
      <c r="M114" s="46">
        <f t="shared" si="26"/>
        <v>0</v>
      </c>
      <c r="N114" s="46">
        <f t="shared" si="26"/>
        <v>0</v>
      </c>
      <c r="O114" s="46">
        <f t="shared" si="25"/>
        <v>0</v>
      </c>
      <c r="P114" s="46">
        <f t="shared" si="25"/>
        <v>0</v>
      </c>
      <c r="Q114" s="46">
        <f t="shared" si="25"/>
        <v>0</v>
      </c>
      <c r="R114" s="46">
        <f t="shared" ref="R114:T151" si="29">IFERROR(H115-H114,0)</f>
        <v>0</v>
      </c>
      <c r="S114" s="46">
        <f t="shared" si="29"/>
        <v>0</v>
      </c>
      <c r="T114" s="46">
        <f t="shared" si="29"/>
        <v>0</v>
      </c>
      <c r="U114" s="47">
        <f t="shared" si="28"/>
        <v>0</v>
      </c>
      <c r="V114" s="47">
        <f t="shared" si="28"/>
        <v>0</v>
      </c>
      <c r="W114" s="47">
        <f t="shared" si="28"/>
        <v>0</v>
      </c>
      <c r="X114" s="47">
        <f t="shared" si="27"/>
        <v>0</v>
      </c>
    </row>
    <row r="115" spans="1:24" ht="20" customHeight="1" x14ac:dyDescent="0.35">
      <c r="A115" s="29"/>
      <c r="B115" s="30"/>
      <c r="C115" s="31"/>
      <c r="D115" s="31"/>
      <c r="E115" s="31"/>
      <c r="F115" s="31"/>
      <c r="G115" s="31"/>
      <c r="H115" s="31"/>
      <c r="I115" s="31"/>
      <c r="J115" s="34"/>
      <c r="L115" s="46">
        <f t="shared" si="26"/>
        <v>0</v>
      </c>
      <c r="M115" s="46">
        <f t="shared" si="26"/>
        <v>0</v>
      </c>
      <c r="N115" s="46">
        <f t="shared" si="26"/>
        <v>0</v>
      </c>
      <c r="O115" s="46">
        <f t="shared" si="26"/>
        <v>0</v>
      </c>
      <c r="P115" s="46">
        <f t="shared" si="26"/>
        <v>0</v>
      </c>
      <c r="Q115" s="46">
        <f t="shared" si="26"/>
        <v>0</v>
      </c>
      <c r="R115" s="46">
        <f t="shared" si="29"/>
        <v>0</v>
      </c>
      <c r="S115" s="46">
        <f t="shared" si="29"/>
        <v>0</v>
      </c>
      <c r="T115" s="46">
        <f t="shared" si="29"/>
        <v>0</v>
      </c>
      <c r="U115" s="47">
        <f t="shared" si="28"/>
        <v>0</v>
      </c>
      <c r="V115" s="47">
        <f t="shared" si="28"/>
        <v>0</v>
      </c>
      <c r="W115" s="47">
        <f t="shared" si="28"/>
        <v>0</v>
      </c>
      <c r="X115" s="47">
        <f t="shared" si="27"/>
        <v>0</v>
      </c>
    </row>
    <row r="116" spans="1:24" ht="16.75" customHeight="1" x14ac:dyDescent="0.35">
      <c r="A116" s="29"/>
      <c r="B116" s="30"/>
      <c r="C116" s="31"/>
      <c r="D116" s="31"/>
      <c r="E116" s="31"/>
      <c r="F116" s="31"/>
      <c r="G116" s="31"/>
      <c r="H116" s="31"/>
      <c r="I116" s="31"/>
      <c r="J116" s="34"/>
      <c r="L116" s="46">
        <f t="shared" si="26"/>
        <v>0</v>
      </c>
      <c r="M116" s="46">
        <f t="shared" si="26"/>
        <v>0</v>
      </c>
      <c r="N116" s="46">
        <f t="shared" si="26"/>
        <v>0</v>
      </c>
      <c r="O116" s="46">
        <f t="shared" si="26"/>
        <v>0</v>
      </c>
      <c r="P116" s="46">
        <f t="shared" si="26"/>
        <v>0</v>
      </c>
      <c r="Q116" s="46">
        <f t="shared" si="26"/>
        <v>0</v>
      </c>
      <c r="R116" s="46">
        <f t="shared" si="29"/>
        <v>0</v>
      </c>
      <c r="S116" s="46">
        <f t="shared" si="29"/>
        <v>0</v>
      </c>
      <c r="T116" s="46">
        <f t="shared" si="29"/>
        <v>0</v>
      </c>
      <c r="U116" s="47">
        <f t="shared" si="28"/>
        <v>0</v>
      </c>
      <c r="V116" s="47">
        <f t="shared" si="28"/>
        <v>0</v>
      </c>
      <c r="W116" s="47">
        <f t="shared" si="28"/>
        <v>0</v>
      </c>
      <c r="X116" s="47">
        <f t="shared" si="27"/>
        <v>0</v>
      </c>
    </row>
    <row r="117" spans="1:24" ht="20" customHeight="1" x14ac:dyDescent="0.35">
      <c r="A117" s="29"/>
      <c r="B117" s="30"/>
      <c r="C117" s="31"/>
      <c r="D117" s="31"/>
      <c r="E117" s="31"/>
      <c r="F117" s="31"/>
      <c r="G117" s="31"/>
      <c r="H117" s="31"/>
      <c r="I117" s="31"/>
      <c r="J117" s="34"/>
      <c r="L117" s="46">
        <f t="shared" si="26"/>
        <v>0</v>
      </c>
      <c r="M117" s="46">
        <f t="shared" si="26"/>
        <v>0</v>
      </c>
      <c r="N117" s="46">
        <f t="shared" si="26"/>
        <v>0</v>
      </c>
      <c r="O117" s="46">
        <f t="shared" si="26"/>
        <v>0</v>
      </c>
      <c r="P117" s="46">
        <f t="shared" si="26"/>
        <v>0</v>
      </c>
      <c r="Q117" s="46">
        <f t="shared" si="26"/>
        <v>0</v>
      </c>
      <c r="R117" s="46">
        <f t="shared" si="29"/>
        <v>0</v>
      </c>
      <c r="S117" s="46">
        <f t="shared" si="29"/>
        <v>0</v>
      </c>
      <c r="T117" s="46">
        <f t="shared" si="29"/>
        <v>0</v>
      </c>
      <c r="U117" s="47">
        <f t="shared" si="28"/>
        <v>0</v>
      </c>
      <c r="V117" s="47">
        <f t="shared" si="28"/>
        <v>0</v>
      </c>
      <c r="W117" s="47">
        <f t="shared" si="28"/>
        <v>0</v>
      </c>
      <c r="X117" s="47">
        <f t="shared" si="27"/>
        <v>0</v>
      </c>
    </row>
    <row r="118" spans="1:24" ht="20" customHeight="1" x14ac:dyDescent="0.35">
      <c r="A118" s="29"/>
      <c r="B118" s="30"/>
      <c r="C118" s="31"/>
      <c r="D118" s="31"/>
      <c r="E118" s="31"/>
      <c r="F118" s="31"/>
      <c r="G118" s="31"/>
      <c r="H118" s="31"/>
      <c r="I118" s="31"/>
      <c r="J118" s="34"/>
      <c r="L118" s="46">
        <f t="shared" si="26"/>
        <v>0</v>
      </c>
      <c r="M118" s="46">
        <f t="shared" si="26"/>
        <v>0</v>
      </c>
      <c r="N118" s="46">
        <f t="shared" si="26"/>
        <v>0</v>
      </c>
      <c r="O118" s="46">
        <f t="shared" si="26"/>
        <v>0</v>
      </c>
      <c r="P118" s="46">
        <f t="shared" si="26"/>
        <v>0</v>
      </c>
      <c r="Q118" s="46">
        <f t="shared" si="26"/>
        <v>0</v>
      </c>
      <c r="R118" s="46">
        <f t="shared" si="29"/>
        <v>0</v>
      </c>
      <c r="S118" s="46">
        <f t="shared" si="29"/>
        <v>0</v>
      </c>
      <c r="T118" s="46">
        <f t="shared" si="29"/>
        <v>0</v>
      </c>
      <c r="U118" s="47">
        <f t="shared" si="28"/>
        <v>0</v>
      </c>
      <c r="V118" s="47">
        <f t="shared" si="28"/>
        <v>0</v>
      </c>
      <c r="W118" s="47">
        <f t="shared" si="28"/>
        <v>0</v>
      </c>
      <c r="X118" s="47">
        <f t="shared" si="27"/>
        <v>0</v>
      </c>
    </row>
    <row r="119" spans="1:24" ht="20" customHeight="1" x14ac:dyDescent="0.35">
      <c r="A119" s="29"/>
      <c r="B119" s="30"/>
      <c r="C119" s="31"/>
      <c r="D119" s="31"/>
      <c r="E119" s="31"/>
      <c r="F119" s="31"/>
      <c r="G119" s="31"/>
      <c r="H119" s="31"/>
      <c r="I119" s="31"/>
      <c r="J119" s="34"/>
      <c r="L119" s="46">
        <f t="shared" si="26"/>
        <v>0</v>
      </c>
      <c r="M119" s="46">
        <f t="shared" si="26"/>
        <v>0</v>
      </c>
      <c r="N119" s="46">
        <f t="shared" si="26"/>
        <v>0</v>
      </c>
      <c r="O119" s="46">
        <f t="shared" si="26"/>
        <v>0</v>
      </c>
      <c r="P119" s="46">
        <f t="shared" si="26"/>
        <v>0</v>
      </c>
      <c r="Q119" s="46">
        <f t="shared" si="26"/>
        <v>0</v>
      </c>
      <c r="R119" s="46">
        <f t="shared" si="29"/>
        <v>0</v>
      </c>
      <c r="S119" s="46">
        <f t="shared" si="29"/>
        <v>0</v>
      </c>
      <c r="T119" s="46">
        <f t="shared" si="29"/>
        <v>0</v>
      </c>
      <c r="U119" s="47">
        <f t="shared" si="28"/>
        <v>0</v>
      </c>
      <c r="V119" s="47">
        <f t="shared" si="28"/>
        <v>0</v>
      </c>
      <c r="W119" s="47">
        <f t="shared" si="28"/>
        <v>0</v>
      </c>
      <c r="X119" s="47">
        <f t="shared" si="27"/>
        <v>0</v>
      </c>
    </row>
    <row r="120" spans="1:24" ht="20" customHeight="1" x14ac:dyDescent="0.35">
      <c r="A120" s="29"/>
      <c r="B120" s="30"/>
      <c r="C120" s="31"/>
      <c r="D120" s="31"/>
      <c r="E120" s="31"/>
      <c r="F120" s="31"/>
      <c r="G120" s="31"/>
      <c r="H120" s="31"/>
      <c r="I120" s="31"/>
      <c r="J120" s="34"/>
      <c r="L120" s="46">
        <f t="shared" si="26"/>
        <v>0</v>
      </c>
      <c r="M120" s="46">
        <f t="shared" si="26"/>
        <v>0</v>
      </c>
      <c r="N120" s="46">
        <f t="shared" si="26"/>
        <v>0</v>
      </c>
      <c r="O120" s="46">
        <f t="shared" si="26"/>
        <v>0</v>
      </c>
      <c r="P120" s="46">
        <f t="shared" si="26"/>
        <v>0</v>
      </c>
      <c r="Q120" s="46">
        <f t="shared" si="26"/>
        <v>0</v>
      </c>
      <c r="R120" s="46">
        <f t="shared" si="29"/>
        <v>0</v>
      </c>
      <c r="S120" s="46">
        <f t="shared" si="29"/>
        <v>0</v>
      </c>
      <c r="T120" s="46">
        <f t="shared" si="29"/>
        <v>0</v>
      </c>
      <c r="U120" s="47">
        <f t="shared" si="28"/>
        <v>0</v>
      </c>
      <c r="V120" s="47">
        <f t="shared" si="28"/>
        <v>0</v>
      </c>
      <c r="W120" s="47">
        <f t="shared" si="28"/>
        <v>0</v>
      </c>
      <c r="X120" s="47">
        <f t="shared" si="27"/>
        <v>0</v>
      </c>
    </row>
    <row r="121" spans="1:24" ht="20" customHeight="1" x14ac:dyDescent="0.35">
      <c r="A121" s="29"/>
      <c r="B121" s="30"/>
      <c r="C121" s="31"/>
      <c r="D121" s="31"/>
      <c r="E121" s="31"/>
      <c r="F121" s="31"/>
      <c r="G121" s="31"/>
      <c r="H121" s="31"/>
      <c r="I121" s="31"/>
      <c r="J121" s="34"/>
      <c r="L121" s="46">
        <f t="shared" si="26"/>
        <v>0</v>
      </c>
      <c r="M121" s="46">
        <f t="shared" si="26"/>
        <v>0</v>
      </c>
      <c r="N121" s="46">
        <f t="shared" si="26"/>
        <v>0</v>
      </c>
      <c r="O121" s="46">
        <f t="shared" si="26"/>
        <v>0</v>
      </c>
      <c r="P121" s="46">
        <f t="shared" si="26"/>
        <v>0</v>
      </c>
      <c r="Q121" s="46">
        <f t="shared" si="26"/>
        <v>0</v>
      </c>
      <c r="R121" s="46">
        <f t="shared" si="29"/>
        <v>0</v>
      </c>
      <c r="S121" s="46">
        <f t="shared" si="29"/>
        <v>0</v>
      </c>
      <c r="T121" s="46">
        <f t="shared" si="29"/>
        <v>0</v>
      </c>
      <c r="U121" s="47">
        <f t="shared" si="28"/>
        <v>0</v>
      </c>
      <c r="V121" s="47">
        <f t="shared" si="28"/>
        <v>0</v>
      </c>
      <c r="W121" s="47">
        <f t="shared" si="28"/>
        <v>0</v>
      </c>
      <c r="X121" s="47">
        <f t="shared" si="27"/>
        <v>0</v>
      </c>
    </row>
    <row r="122" spans="1:24" ht="20" customHeight="1" x14ac:dyDescent="0.35">
      <c r="A122" s="29"/>
      <c r="B122" s="30"/>
      <c r="C122" s="31"/>
      <c r="D122" s="31"/>
      <c r="E122" s="31"/>
      <c r="F122" s="31"/>
      <c r="G122" s="31"/>
      <c r="H122" s="31"/>
      <c r="I122" s="31"/>
      <c r="J122" s="34"/>
      <c r="L122" s="46">
        <f t="shared" si="26"/>
        <v>0</v>
      </c>
      <c r="M122" s="46">
        <f t="shared" si="26"/>
        <v>0</v>
      </c>
      <c r="N122" s="46">
        <f t="shared" si="26"/>
        <v>0</v>
      </c>
      <c r="O122" s="46">
        <f t="shared" si="26"/>
        <v>0</v>
      </c>
      <c r="P122" s="46">
        <f t="shared" si="26"/>
        <v>0</v>
      </c>
      <c r="Q122" s="46">
        <f t="shared" si="26"/>
        <v>0</v>
      </c>
      <c r="R122" s="46">
        <f t="shared" si="29"/>
        <v>0</v>
      </c>
      <c r="S122" s="46">
        <f t="shared" si="29"/>
        <v>0</v>
      </c>
      <c r="T122" s="46">
        <f t="shared" si="29"/>
        <v>0</v>
      </c>
      <c r="U122" s="47">
        <f t="shared" si="28"/>
        <v>0</v>
      </c>
      <c r="V122" s="47">
        <f t="shared" si="28"/>
        <v>0</v>
      </c>
      <c r="W122" s="47">
        <f t="shared" si="28"/>
        <v>0</v>
      </c>
      <c r="X122" s="47">
        <f t="shared" si="27"/>
        <v>0</v>
      </c>
    </row>
    <row r="123" spans="1:24" ht="20" customHeight="1" x14ac:dyDescent="0.35">
      <c r="A123" s="29"/>
      <c r="B123" s="30"/>
      <c r="C123" s="31"/>
      <c r="D123" s="31"/>
      <c r="E123" s="31"/>
      <c r="F123" s="31"/>
      <c r="G123" s="31"/>
      <c r="H123" s="31"/>
      <c r="I123" s="31"/>
      <c r="J123" s="34"/>
      <c r="L123" s="46">
        <f t="shared" si="26"/>
        <v>0</v>
      </c>
      <c r="M123" s="46">
        <f t="shared" si="26"/>
        <v>0</v>
      </c>
      <c r="N123" s="46">
        <f t="shared" si="26"/>
        <v>0</v>
      </c>
      <c r="O123" s="46">
        <f t="shared" si="26"/>
        <v>0</v>
      </c>
      <c r="P123" s="46">
        <f t="shared" si="26"/>
        <v>0</v>
      </c>
      <c r="Q123" s="46">
        <f t="shared" si="26"/>
        <v>0</v>
      </c>
      <c r="R123" s="46">
        <f t="shared" si="29"/>
        <v>0</v>
      </c>
      <c r="S123" s="46">
        <f t="shared" si="29"/>
        <v>0</v>
      </c>
      <c r="T123" s="46">
        <f t="shared" si="29"/>
        <v>0</v>
      </c>
      <c r="U123" s="47">
        <f t="shared" si="28"/>
        <v>0</v>
      </c>
      <c r="V123" s="47">
        <f t="shared" si="28"/>
        <v>0</v>
      </c>
      <c r="W123" s="47">
        <f t="shared" si="28"/>
        <v>0</v>
      </c>
      <c r="X123" s="47">
        <f t="shared" si="27"/>
        <v>0</v>
      </c>
    </row>
    <row r="124" spans="1:24" ht="20" customHeight="1" x14ac:dyDescent="0.35">
      <c r="A124" s="29"/>
      <c r="B124" s="30"/>
      <c r="C124" s="31"/>
      <c r="D124" s="31"/>
      <c r="E124" s="31"/>
      <c r="F124" s="31"/>
      <c r="G124" s="31"/>
      <c r="H124" s="31"/>
      <c r="I124" s="31"/>
      <c r="J124" s="34"/>
      <c r="L124" s="46">
        <f t="shared" si="26"/>
        <v>0</v>
      </c>
      <c r="M124" s="46">
        <f t="shared" si="26"/>
        <v>0</v>
      </c>
      <c r="N124" s="46">
        <f t="shared" si="26"/>
        <v>0</v>
      </c>
      <c r="O124" s="46">
        <f t="shared" si="26"/>
        <v>0</v>
      </c>
      <c r="P124" s="46">
        <f t="shared" si="26"/>
        <v>0</v>
      </c>
      <c r="Q124" s="46">
        <f t="shared" si="26"/>
        <v>0</v>
      </c>
      <c r="R124" s="46">
        <f t="shared" si="29"/>
        <v>0</v>
      </c>
      <c r="S124" s="46">
        <f t="shared" si="29"/>
        <v>0</v>
      </c>
      <c r="T124" s="46">
        <f t="shared" si="29"/>
        <v>0</v>
      </c>
      <c r="U124" s="47">
        <f t="shared" si="28"/>
        <v>0</v>
      </c>
      <c r="V124" s="47">
        <f t="shared" si="28"/>
        <v>0</v>
      </c>
      <c r="W124" s="47">
        <f t="shared" si="28"/>
        <v>0</v>
      </c>
      <c r="X124" s="47">
        <f t="shared" si="27"/>
        <v>0</v>
      </c>
    </row>
    <row r="125" spans="1:24" ht="20" customHeight="1" x14ac:dyDescent="0.35">
      <c r="A125" s="29"/>
      <c r="B125" s="30"/>
      <c r="C125" s="31"/>
      <c r="D125" s="31"/>
      <c r="E125" s="31"/>
      <c r="F125" s="31"/>
      <c r="G125" s="31"/>
      <c r="H125" s="31"/>
      <c r="I125" s="31"/>
      <c r="J125" s="34"/>
      <c r="L125" s="46">
        <f t="shared" si="26"/>
        <v>0</v>
      </c>
      <c r="M125" s="46">
        <f t="shared" si="26"/>
        <v>0</v>
      </c>
      <c r="N125" s="46">
        <f t="shared" si="26"/>
        <v>0</v>
      </c>
      <c r="O125" s="46">
        <f t="shared" si="26"/>
        <v>0</v>
      </c>
      <c r="P125" s="46">
        <f t="shared" si="26"/>
        <v>0</v>
      </c>
      <c r="Q125" s="46">
        <f t="shared" si="26"/>
        <v>0</v>
      </c>
      <c r="R125" s="46">
        <f t="shared" si="29"/>
        <v>0</v>
      </c>
      <c r="S125" s="46">
        <f t="shared" si="29"/>
        <v>0</v>
      </c>
      <c r="T125" s="46">
        <f t="shared" si="29"/>
        <v>0</v>
      </c>
      <c r="U125" s="47">
        <f t="shared" si="28"/>
        <v>0</v>
      </c>
      <c r="V125" s="47">
        <f t="shared" si="28"/>
        <v>0</v>
      </c>
      <c r="W125" s="47">
        <f t="shared" si="28"/>
        <v>0</v>
      </c>
      <c r="X125" s="47">
        <f t="shared" si="27"/>
        <v>0</v>
      </c>
    </row>
    <row r="126" spans="1:24" ht="20" customHeight="1" x14ac:dyDescent="0.35">
      <c r="A126" s="29"/>
      <c r="B126" s="30"/>
      <c r="C126" s="31"/>
      <c r="D126" s="31"/>
      <c r="E126" s="31"/>
      <c r="F126" s="31"/>
      <c r="G126" s="31"/>
      <c r="H126" s="31"/>
      <c r="I126" s="31"/>
      <c r="J126" s="34"/>
      <c r="L126" s="46">
        <f t="shared" si="26"/>
        <v>0</v>
      </c>
      <c r="M126" s="46">
        <f t="shared" si="26"/>
        <v>0</v>
      </c>
      <c r="N126" s="46">
        <f t="shared" si="26"/>
        <v>0</v>
      </c>
      <c r="O126" s="46">
        <f t="shared" si="26"/>
        <v>0</v>
      </c>
      <c r="P126" s="46">
        <f t="shared" si="26"/>
        <v>0</v>
      </c>
      <c r="Q126" s="46">
        <f t="shared" si="26"/>
        <v>0</v>
      </c>
      <c r="R126" s="46">
        <f t="shared" si="29"/>
        <v>0</v>
      </c>
      <c r="S126" s="46">
        <f t="shared" si="29"/>
        <v>0</v>
      </c>
      <c r="T126" s="46">
        <f t="shared" si="29"/>
        <v>0</v>
      </c>
      <c r="U126" s="47">
        <f t="shared" si="28"/>
        <v>0</v>
      </c>
      <c r="V126" s="47">
        <f t="shared" si="28"/>
        <v>0</v>
      </c>
      <c r="W126" s="47">
        <f t="shared" si="28"/>
        <v>0</v>
      </c>
      <c r="X126" s="47">
        <f t="shared" si="27"/>
        <v>0</v>
      </c>
    </row>
    <row r="127" spans="1:24" ht="20" customHeight="1" x14ac:dyDescent="0.35">
      <c r="A127" s="29"/>
      <c r="B127" s="30"/>
      <c r="C127" s="31"/>
      <c r="D127" s="31"/>
      <c r="E127" s="31"/>
      <c r="F127" s="31"/>
      <c r="G127" s="31"/>
      <c r="H127" s="31"/>
      <c r="I127" s="31"/>
      <c r="J127" s="34"/>
      <c r="L127" s="46">
        <f t="shared" si="26"/>
        <v>0</v>
      </c>
      <c r="M127" s="46">
        <f t="shared" si="26"/>
        <v>0</v>
      </c>
      <c r="N127" s="46">
        <f t="shared" si="26"/>
        <v>0</v>
      </c>
      <c r="O127" s="46">
        <f t="shared" si="26"/>
        <v>0</v>
      </c>
      <c r="P127" s="46">
        <f t="shared" si="26"/>
        <v>0</v>
      </c>
      <c r="Q127" s="46">
        <f t="shared" si="26"/>
        <v>0</v>
      </c>
      <c r="R127" s="46">
        <f t="shared" si="29"/>
        <v>0</v>
      </c>
      <c r="S127" s="46">
        <f t="shared" si="29"/>
        <v>0</v>
      </c>
      <c r="T127" s="46">
        <f t="shared" si="29"/>
        <v>0</v>
      </c>
      <c r="U127" s="47">
        <f t="shared" si="28"/>
        <v>0</v>
      </c>
      <c r="V127" s="47">
        <f t="shared" si="28"/>
        <v>0</v>
      </c>
      <c r="W127" s="47">
        <f t="shared" si="28"/>
        <v>0</v>
      </c>
      <c r="X127" s="47">
        <f t="shared" si="27"/>
        <v>0</v>
      </c>
    </row>
    <row r="128" spans="1:24" ht="20" customHeight="1" x14ac:dyDescent="0.35">
      <c r="A128" s="29"/>
      <c r="B128" s="30"/>
      <c r="C128" s="31"/>
      <c r="D128" s="31"/>
      <c r="E128" s="31"/>
      <c r="F128" s="31"/>
      <c r="G128" s="31"/>
      <c r="H128" s="31"/>
      <c r="I128" s="31"/>
      <c r="J128" s="34"/>
      <c r="L128" s="46">
        <f t="shared" si="26"/>
        <v>0</v>
      </c>
      <c r="M128" s="46">
        <f t="shared" si="26"/>
        <v>0</v>
      </c>
      <c r="N128" s="46">
        <f t="shared" si="26"/>
        <v>0</v>
      </c>
      <c r="O128" s="46">
        <f t="shared" si="26"/>
        <v>0</v>
      </c>
      <c r="P128" s="46">
        <f t="shared" si="26"/>
        <v>0</v>
      </c>
      <c r="Q128" s="46">
        <f t="shared" si="26"/>
        <v>0</v>
      </c>
      <c r="R128" s="46">
        <f t="shared" si="29"/>
        <v>0</v>
      </c>
      <c r="S128" s="46">
        <f t="shared" si="29"/>
        <v>0</v>
      </c>
      <c r="T128" s="46">
        <f t="shared" si="29"/>
        <v>0</v>
      </c>
      <c r="U128" s="47">
        <f t="shared" si="28"/>
        <v>0</v>
      </c>
      <c r="V128" s="47">
        <f t="shared" si="28"/>
        <v>0</v>
      </c>
      <c r="W128" s="47">
        <f t="shared" si="28"/>
        <v>0</v>
      </c>
      <c r="X128" s="47">
        <f t="shared" si="27"/>
        <v>0</v>
      </c>
    </row>
    <row r="129" spans="1:24" ht="20" customHeight="1" x14ac:dyDescent="0.35">
      <c r="A129" s="29"/>
      <c r="B129" s="30"/>
      <c r="C129" s="31"/>
      <c r="D129" s="31"/>
      <c r="E129" s="31"/>
      <c r="F129" s="31"/>
      <c r="G129" s="31"/>
      <c r="H129" s="31"/>
      <c r="I129" s="31"/>
      <c r="J129" s="34"/>
      <c r="L129" s="46">
        <f t="shared" si="26"/>
        <v>0</v>
      </c>
      <c r="M129" s="46">
        <f t="shared" si="26"/>
        <v>0</v>
      </c>
      <c r="N129" s="46">
        <f t="shared" si="26"/>
        <v>0</v>
      </c>
      <c r="O129" s="46">
        <f t="shared" si="26"/>
        <v>0</v>
      </c>
      <c r="P129" s="46">
        <f t="shared" si="26"/>
        <v>0</v>
      </c>
      <c r="Q129" s="46">
        <f t="shared" si="26"/>
        <v>0</v>
      </c>
      <c r="R129" s="46">
        <f t="shared" si="29"/>
        <v>0</v>
      </c>
      <c r="S129" s="46">
        <f t="shared" si="29"/>
        <v>0</v>
      </c>
      <c r="T129" s="46">
        <f t="shared" si="29"/>
        <v>0</v>
      </c>
      <c r="U129" s="47">
        <f t="shared" si="28"/>
        <v>0</v>
      </c>
      <c r="V129" s="47">
        <f t="shared" si="28"/>
        <v>0</v>
      </c>
      <c r="W129" s="47">
        <f t="shared" si="28"/>
        <v>0</v>
      </c>
      <c r="X129" s="47">
        <f t="shared" si="27"/>
        <v>0</v>
      </c>
    </row>
    <row r="130" spans="1:24" ht="20" customHeight="1" x14ac:dyDescent="0.35">
      <c r="A130" s="29"/>
      <c r="B130" s="30"/>
      <c r="C130" s="31"/>
      <c r="D130" s="31"/>
      <c r="E130" s="31"/>
      <c r="F130" s="31"/>
      <c r="G130" s="31"/>
      <c r="H130" s="31"/>
      <c r="I130" s="31"/>
      <c r="J130" s="34"/>
      <c r="L130" s="46">
        <f t="shared" si="26"/>
        <v>0</v>
      </c>
      <c r="M130" s="46">
        <f t="shared" si="26"/>
        <v>0</v>
      </c>
      <c r="N130" s="46">
        <f t="shared" si="26"/>
        <v>0</v>
      </c>
      <c r="O130" s="46">
        <f t="shared" si="26"/>
        <v>0</v>
      </c>
      <c r="P130" s="46">
        <f t="shared" si="26"/>
        <v>0</v>
      </c>
      <c r="Q130" s="46">
        <f t="shared" si="26"/>
        <v>0</v>
      </c>
      <c r="R130" s="46">
        <f t="shared" si="29"/>
        <v>0</v>
      </c>
      <c r="S130" s="46">
        <f t="shared" si="29"/>
        <v>0</v>
      </c>
      <c r="T130" s="46">
        <f t="shared" si="29"/>
        <v>0</v>
      </c>
      <c r="U130" s="47">
        <f t="shared" si="28"/>
        <v>0</v>
      </c>
      <c r="V130" s="47">
        <f t="shared" si="28"/>
        <v>0</v>
      </c>
      <c r="W130" s="47">
        <f t="shared" si="28"/>
        <v>0</v>
      </c>
      <c r="X130" s="47">
        <f t="shared" si="27"/>
        <v>0</v>
      </c>
    </row>
    <row r="131" spans="1:24" ht="20" customHeight="1" x14ac:dyDescent="0.35">
      <c r="A131" s="29"/>
      <c r="B131" s="30"/>
      <c r="C131" s="31"/>
      <c r="D131" s="31"/>
      <c r="E131" s="31"/>
      <c r="F131" s="31"/>
      <c r="G131" s="31"/>
      <c r="H131" s="31"/>
      <c r="I131" s="31"/>
      <c r="J131" s="34"/>
      <c r="L131" s="46">
        <f t="shared" si="26"/>
        <v>0</v>
      </c>
      <c r="M131" s="46">
        <f t="shared" si="26"/>
        <v>0</v>
      </c>
      <c r="N131" s="46">
        <f t="shared" si="26"/>
        <v>0</v>
      </c>
      <c r="O131" s="46">
        <f t="shared" si="26"/>
        <v>0</v>
      </c>
      <c r="P131" s="46">
        <f t="shared" si="26"/>
        <v>0</v>
      </c>
      <c r="Q131" s="46">
        <f t="shared" si="26"/>
        <v>0</v>
      </c>
      <c r="R131" s="46">
        <f t="shared" si="29"/>
        <v>0</v>
      </c>
      <c r="S131" s="46">
        <f t="shared" si="29"/>
        <v>0</v>
      </c>
      <c r="T131" s="46">
        <f t="shared" si="29"/>
        <v>0</v>
      </c>
      <c r="U131" s="47">
        <f t="shared" si="28"/>
        <v>0</v>
      </c>
      <c r="V131" s="47">
        <f t="shared" si="28"/>
        <v>0</v>
      </c>
      <c r="W131" s="47">
        <f t="shared" si="28"/>
        <v>0</v>
      </c>
      <c r="X131" s="47">
        <f t="shared" si="27"/>
        <v>0</v>
      </c>
    </row>
    <row r="132" spans="1:24" ht="20" customHeight="1" x14ac:dyDescent="0.35">
      <c r="A132" s="29"/>
      <c r="B132" s="30"/>
      <c r="C132" s="31"/>
      <c r="D132" s="31"/>
      <c r="E132" s="31"/>
      <c r="F132" s="31"/>
      <c r="G132" s="31"/>
      <c r="H132" s="31"/>
      <c r="I132" s="31"/>
      <c r="J132" s="34"/>
      <c r="L132" s="46">
        <f t="shared" si="26"/>
        <v>0</v>
      </c>
      <c r="M132" s="46">
        <f t="shared" si="26"/>
        <v>0</v>
      </c>
      <c r="N132" s="46">
        <f t="shared" si="26"/>
        <v>0</v>
      </c>
      <c r="O132" s="46">
        <f t="shared" si="26"/>
        <v>0</v>
      </c>
      <c r="P132" s="46">
        <f t="shared" si="26"/>
        <v>0</v>
      </c>
      <c r="Q132" s="46">
        <f t="shared" si="26"/>
        <v>0</v>
      </c>
      <c r="R132" s="46">
        <f t="shared" si="29"/>
        <v>0</v>
      </c>
      <c r="S132" s="46">
        <f t="shared" si="29"/>
        <v>0</v>
      </c>
      <c r="T132" s="46">
        <f t="shared" si="29"/>
        <v>0</v>
      </c>
      <c r="U132" s="47">
        <f t="shared" si="28"/>
        <v>0</v>
      </c>
      <c r="V132" s="47">
        <f t="shared" si="28"/>
        <v>0</v>
      </c>
      <c r="W132" s="47">
        <f t="shared" si="28"/>
        <v>0</v>
      </c>
      <c r="X132" s="47">
        <f t="shared" si="27"/>
        <v>0</v>
      </c>
    </row>
    <row r="133" spans="1:24" ht="20" customHeight="1" x14ac:dyDescent="0.35">
      <c r="A133" s="29"/>
      <c r="B133" s="30"/>
      <c r="C133" s="31"/>
      <c r="D133" s="31"/>
      <c r="E133" s="31"/>
      <c r="F133" s="31"/>
      <c r="G133" s="31"/>
      <c r="H133" s="31"/>
      <c r="I133" s="31"/>
      <c r="J133" s="34"/>
      <c r="L133" s="46">
        <f t="shared" si="26"/>
        <v>0</v>
      </c>
      <c r="M133" s="46">
        <f t="shared" si="26"/>
        <v>0</v>
      </c>
      <c r="N133" s="46">
        <f t="shared" si="26"/>
        <v>0</v>
      </c>
      <c r="O133" s="46">
        <f t="shared" si="26"/>
        <v>0</v>
      </c>
      <c r="P133" s="46">
        <f t="shared" si="26"/>
        <v>0</v>
      </c>
      <c r="Q133" s="46">
        <f t="shared" si="26"/>
        <v>0</v>
      </c>
      <c r="R133" s="46">
        <f t="shared" si="29"/>
        <v>0</v>
      </c>
      <c r="S133" s="46">
        <f t="shared" si="29"/>
        <v>0</v>
      </c>
      <c r="T133" s="46">
        <f t="shared" si="29"/>
        <v>0</v>
      </c>
      <c r="U133" s="47">
        <f t="shared" si="28"/>
        <v>0</v>
      </c>
      <c r="V133" s="47">
        <f t="shared" si="28"/>
        <v>0</v>
      </c>
      <c r="W133" s="47">
        <f t="shared" si="28"/>
        <v>0</v>
      </c>
      <c r="X133" s="47">
        <f t="shared" si="27"/>
        <v>0</v>
      </c>
    </row>
    <row r="134" spans="1:24" ht="16.75" customHeight="1" x14ac:dyDescent="0.35">
      <c r="A134" s="29"/>
      <c r="B134" s="30"/>
      <c r="C134" s="31"/>
      <c r="D134" s="31"/>
      <c r="E134" s="31"/>
      <c r="F134" s="31"/>
      <c r="G134" s="31"/>
      <c r="H134" s="31"/>
      <c r="I134" s="31"/>
      <c r="J134" s="34"/>
      <c r="L134" s="46">
        <f t="shared" si="26"/>
        <v>0</v>
      </c>
      <c r="M134" s="46">
        <f t="shared" si="26"/>
        <v>0</v>
      </c>
      <c r="N134" s="46">
        <f t="shared" si="26"/>
        <v>0</v>
      </c>
      <c r="O134" s="46">
        <f t="shared" si="26"/>
        <v>0</v>
      </c>
      <c r="P134" s="46">
        <f t="shared" si="26"/>
        <v>0</v>
      </c>
      <c r="Q134" s="46">
        <f t="shared" si="26"/>
        <v>0</v>
      </c>
      <c r="R134" s="46">
        <f t="shared" si="29"/>
        <v>0</v>
      </c>
      <c r="S134" s="46">
        <f t="shared" si="29"/>
        <v>0</v>
      </c>
      <c r="T134" s="46">
        <f t="shared" si="29"/>
        <v>0</v>
      </c>
      <c r="U134" s="47">
        <f t="shared" si="28"/>
        <v>0</v>
      </c>
      <c r="V134" s="47">
        <f t="shared" si="28"/>
        <v>0</v>
      </c>
      <c r="W134" s="47">
        <f t="shared" si="28"/>
        <v>0</v>
      </c>
      <c r="X134" s="47">
        <f t="shared" si="27"/>
        <v>0</v>
      </c>
    </row>
    <row r="135" spans="1:24" ht="20" customHeight="1" x14ac:dyDescent="0.35">
      <c r="A135" s="29"/>
      <c r="B135" s="30"/>
      <c r="C135" s="31"/>
      <c r="D135" s="31"/>
      <c r="E135" s="31"/>
      <c r="F135" s="31"/>
      <c r="G135" s="31"/>
      <c r="H135" s="31"/>
      <c r="I135" s="31"/>
      <c r="J135" s="34"/>
      <c r="L135" s="46">
        <f t="shared" si="26"/>
        <v>0</v>
      </c>
      <c r="M135" s="46">
        <f t="shared" si="26"/>
        <v>0</v>
      </c>
      <c r="N135" s="46">
        <f t="shared" si="26"/>
        <v>0</v>
      </c>
      <c r="O135" s="46">
        <f t="shared" si="26"/>
        <v>0</v>
      </c>
      <c r="P135" s="46">
        <f t="shared" si="26"/>
        <v>0</v>
      </c>
      <c r="Q135" s="46">
        <f t="shared" si="26"/>
        <v>0</v>
      </c>
      <c r="R135" s="46">
        <f t="shared" si="29"/>
        <v>0</v>
      </c>
      <c r="S135" s="46">
        <f t="shared" si="29"/>
        <v>0</v>
      </c>
      <c r="T135" s="46">
        <f t="shared" si="29"/>
        <v>0</v>
      </c>
      <c r="U135" s="47">
        <f t="shared" si="28"/>
        <v>0</v>
      </c>
      <c r="V135" s="47">
        <f t="shared" si="28"/>
        <v>0</v>
      </c>
      <c r="W135" s="47">
        <f t="shared" si="28"/>
        <v>0</v>
      </c>
      <c r="X135" s="47">
        <f t="shared" si="27"/>
        <v>0</v>
      </c>
    </row>
    <row r="136" spans="1:24" ht="20" customHeight="1" x14ac:dyDescent="0.35">
      <c r="A136" s="29"/>
      <c r="B136" s="30"/>
      <c r="C136" s="31"/>
      <c r="D136" s="31"/>
      <c r="E136" s="31"/>
      <c r="F136" s="31"/>
      <c r="G136" s="31"/>
      <c r="H136" s="31"/>
      <c r="I136" s="31"/>
      <c r="J136" s="34"/>
      <c r="L136" s="46">
        <f t="shared" si="26"/>
        <v>0</v>
      </c>
      <c r="M136" s="46">
        <f t="shared" si="26"/>
        <v>0</v>
      </c>
      <c r="N136" s="46">
        <f t="shared" si="26"/>
        <v>0</v>
      </c>
      <c r="O136" s="46">
        <f t="shared" ref="O136:Q151" si="30">IFERROR(E137-E136,0)</f>
        <v>0</v>
      </c>
      <c r="P136" s="46">
        <f t="shared" si="30"/>
        <v>0</v>
      </c>
      <c r="Q136" s="46">
        <f t="shared" si="30"/>
        <v>0</v>
      </c>
      <c r="R136" s="46">
        <f t="shared" si="29"/>
        <v>0</v>
      </c>
      <c r="S136" s="46">
        <f t="shared" si="29"/>
        <v>0</v>
      </c>
      <c r="T136" s="46">
        <f t="shared" si="29"/>
        <v>0</v>
      </c>
      <c r="U136" s="47">
        <f t="shared" si="28"/>
        <v>0</v>
      </c>
      <c r="V136" s="47">
        <f t="shared" si="28"/>
        <v>0</v>
      </c>
      <c r="W136" s="47">
        <f t="shared" si="28"/>
        <v>0</v>
      </c>
      <c r="X136" s="47">
        <f t="shared" si="27"/>
        <v>0</v>
      </c>
    </row>
    <row r="137" spans="1:24" ht="20" customHeight="1" x14ac:dyDescent="0.35">
      <c r="A137" s="29"/>
      <c r="B137" s="30"/>
      <c r="C137" s="31"/>
      <c r="D137" s="31"/>
      <c r="E137" s="31"/>
      <c r="F137" s="31"/>
      <c r="G137" s="31"/>
      <c r="H137" s="31"/>
      <c r="I137" s="31"/>
      <c r="J137" s="34"/>
      <c r="L137" s="46">
        <f t="shared" ref="L137:N151" si="31">IFERROR(B138-B137,0)</f>
        <v>0</v>
      </c>
      <c r="M137" s="46">
        <f t="shared" si="31"/>
        <v>0</v>
      </c>
      <c r="N137" s="46">
        <f t="shared" si="31"/>
        <v>0</v>
      </c>
      <c r="O137" s="46">
        <f t="shared" si="30"/>
        <v>0</v>
      </c>
      <c r="P137" s="46">
        <f t="shared" si="30"/>
        <v>0</v>
      </c>
      <c r="Q137" s="46">
        <f t="shared" si="30"/>
        <v>0</v>
      </c>
      <c r="R137" s="46">
        <f t="shared" si="29"/>
        <v>0</v>
      </c>
      <c r="S137" s="46">
        <f t="shared" si="29"/>
        <v>0</v>
      </c>
      <c r="T137" s="46">
        <f t="shared" si="29"/>
        <v>0</v>
      </c>
      <c r="U137" s="47">
        <f t="shared" si="28"/>
        <v>0</v>
      </c>
      <c r="V137" s="47">
        <f t="shared" si="28"/>
        <v>0</v>
      </c>
      <c r="W137" s="47">
        <f t="shared" si="28"/>
        <v>0</v>
      </c>
      <c r="X137" s="47">
        <f t="shared" ref="X137:X152" si="32">O137+P137+T137</f>
        <v>0</v>
      </c>
    </row>
    <row r="138" spans="1:24" ht="20" customHeight="1" x14ac:dyDescent="0.35">
      <c r="A138" s="29"/>
      <c r="B138" s="30"/>
      <c r="C138" s="31"/>
      <c r="D138" s="31"/>
      <c r="E138" s="31"/>
      <c r="F138" s="31"/>
      <c r="G138" s="31"/>
      <c r="H138" s="31"/>
      <c r="I138" s="31"/>
      <c r="J138" s="34"/>
      <c r="L138" s="46">
        <f t="shared" si="31"/>
        <v>0</v>
      </c>
      <c r="M138" s="46">
        <f t="shared" si="31"/>
        <v>0</v>
      </c>
      <c r="N138" s="46">
        <f t="shared" si="31"/>
        <v>0</v>
      </c>
      <c r="O138" s="46">
        <f t="shared" si="30"/>
        <v>0</v>
      </c>
      <c r="P138" s="46">
        <f t="shared" si="30"/>
        <v>0</v>
      </c>
      <c r="Q138" s="46">
        <f t="shared" si="30"/>
        <v>0</v>
      </c>
      <c r="R138" s="46">
        <f t="shared" si="29"/>
        <v>0</v>
      </c>
      <c r="S138" s="46">
        <f t="shared" si="29"/>
        <v>0</v>
      </c>
      <c r="T138" s="46">
        <f t="shared" si="29"/>
        <v>0</v>
      </c>
      <c r="U138" s="47">
        <f t="shared" si="28"/>
        <v>0</v>
      </c>
      <c r="V138" s="47">
        <f t="shared" si="28"/>
        <v>0</v>
      </c>
      <c r="W138" s="47">
        <f t="shared" si="28"/>
        <v>0</v>
      </c>
      <c r="X138" s="47">
        <f t="shared" si="32"/>
        <v>0</v>
      </c>
    </row>
    <row r="139" spans="1:24" ht="20" customHeight="1" x14ac:dyDescent="0.35">
      <c r="A139" s="29"/>
      <c r="B139" s="30"/>
      <c r="C139" s="31"/>
      <c r="D139" s="31"/>
      <c r="E139" s="31"/>
      <c r="F139" s="31"/>
      <c r="G139" s="31"/>
      <c r="H139" s="31"/>
      <c r="I139" s="31"/>
      <c r="J139" s="34"/>
      <c r="L139" s="46">
        <f t="shared" si="31"/>
        <v>0</v>
      </c>
      <c r="M139" s="46">
        <f t="shared" si="31"/>
        <v>0</v>
      </c>
      <c r="N139" s="46">
        <f t="shared" si="31"/>
        <v>0</v>
      </c>
      <c r="O139" s="46">
        <f t="shared" si="30"/>
        <v>0</v>
      </c>
      <c r="P139" s="46">
        <f t="shared" si="30"/>
        <v>0</v>
      </c>
      <c r="Q139" s="46">
        <f t="shared" si="30"/>
        <v>0</v>
      </c>
      <c r="R139" s="46">
        <f t="shared" si="29"/>
        <v>0</v>
      </c>
      <c r="S139" s="46">
        <f t="shared" si="29"/>
        <v>0</v>
      </c>
      <c r="T139" s="46">
        <f t="shared" si="29"/>
        <v>0</v>
      </c>
      <c r="U139" s="47">
        <f t="shared" si="28"/>
        <v>0</v>
      </c>
      <c r="V139" s="47">
        <f t="shared" si="28"/>
        <v>0</v>
      </c>
      <c r="W139" s="47">
        <f t="shared" si="28"/>
        <v>0</v>
      </c>
      <c r="X139" s="47">
        <f t="shared" si="32"/>
        <v>0</v>
      </c>
    </row>
    <row r="140" spans="1:24" ht="20" customHeight="1" x14ac:dyDescent="0.35">
      <c r="A140" s="29"/>
      <c r="B140" s="30"/>
      <c r="C140" s="31"/>
      <c r="D140" s="31"/>
      <c r="E140" s="31"/>
      <c r="F140" s="31"/>
      <c r="G140" s="31"/>
      <c r="H140" s="31"/>
      <c r="I140" s="31"/>
      <c r="J140" s="34"/>
      <c r="L140" s="46">
        <f t="shared" si="31"/>
        <v>0</v>
      </c>
      <c r="M140" s="46">
        <f t="shared" si="31"/>
        <v>0</v>
      </c>
      <c r="N140" s="46">
        <f t="shared" si="31"/>
        <v>0</v>
      </c>
      <c r="O140" s="46">
        <f t="shared" si="30"/>
        <v>0</v>
      </c>
      <c r="P140" s="46">
        <f t="shared" si="30"/>
        <v>0</v>
      </c>
      <c r="Q140" s="46">
        <f t="shared" si="30"/>
        <v>0</v>
      </c>
      <c r="R140" s="46">
        <f t="shared" si="29"/>
        <v>0</v>
      </c>
      <c r="S140" s="46">
        <f t="shared" si="29"/>
        <v>0</v>
      </c>
      <c r="T140" s="46">
        <f t="shared" si="29"/>
        <v>0</v>
      </c>
      <c r="U140" s="47">
        <f t="shared" si="28"/>
        <v>0</v>
      </c>
      <c r="V140" s="47">
        <f t="shared" si="28"/>
        <v>0</v>
      </c>
      <c r="W140" s="47">
        <f t="shared" si="28"/>
        <v>0</v>
      </c>
      <c r="X140" s="47">
        <f t="shared" si="32"/>
        <v>0</v>
      </c>
    </row>
    <row r="141" spans="1:24" ht="20" customHeight="1" x14ac:dyDescent="0.35">
      <c r="A141" s="29"/>
      <c r="B141" s="30"/>
      <c r="C141" s="31"/>
      <c r="D141" s="31"/>
      <c r="E141" s="31"/>
      <c r="F141" s="31"/>
      <c r="G141" s="31"/>
      <c r="H141" s="31"/>
      <c r="I141" s="31"/>
      <c r="J141" s="34"/>
      <c r="L141" s="46">
        <f t="shared" si="31"/>
        <v>0</v>
      </c>
      <c r="M141" s="46">
        <f t="shared" si="31"/>
        <v>0</v>
      </c>
      <c r="N141" s="46">
        <f t="shared" si="31"/>
        <v>0</v>
      </c>
      <c r="O141" s="46">
        <f t="shared" si="30"/>
        <v>0</v>
      </c>
      <c r="P141" s="46">
        <f t="shared" si="30"/>
        <v>0</v>
      </c>
      <c r="Q141" s="46">
        <f t="shared" si="30"/>
        <v>0</v>
      </c>
      <c r="R141" s="46">
        <f t="shared" si="29"/>
        <v>0</v>
      </c>
      <c r="S141" s="46">
        <f t="shared" si="29"/>
        <v>0</v>
      </c>
      <c r="T141" s="46">
        <f t="shared" si="29"/>
        <v>0</v>
      </c>
      <c r="U141" s="47">
        <f t="shared" si="28"/>
        <v>0</v>
      </c>
      <c r="V141" s="47">
        <f t="shared" si="28"/>
        <v>0</v>
      </c>
      <c r="W141" s="47">
        <f t="shared" si="28"/>
        <v>0</v>
      </c>
      <c r="X141" s="47">
        <f t="shared" si="32"/>
        <v>0</v>
      </c>
    </row>
    <row r="142" spans="1:24" ht="20" customHeight="1" x14ac:dyDescent="0.35">
      <c r="A142" s="29"/>
      <c r="B142" s="30"/>
      <c r="C142" s="31"/>
      <c r="D142" s="31"/>
      <c r="E142" s="31"/>
      <c r="F142" s="31"/>
      <c r="G142" s="31"/>
      <c r="H142" s="31"/>
      <c r="I142" s="31"/>
      <c r="J142" s="34"/>
      <c r="L142" s="46">
        <f t="shared" si="31"/>
        <v>0</v>
      </c>
      <c r="M142" s="46">
        <f t="shared" si="31"/>
        <v>0</v>
      </c>
      <c r="N142" s="46">
        <f t="shared" si="31"/>
        <v>0</v>
      </c>
      <c r="O142" s="46">
        <f t="shared" si="30"/>
        <v>0</v>
      </c>
      <c r="P142" s="46">
        <f t="shared" si="30"/>
        <v>0</v>
      </c>
      <c r="Q142" s="46">
        <f t="shared" si="30"/>
        <v>0</v>
      </c>
      <c r="R142" s="46">
        <f t="shared" si="29"/>
        <v>0</v>
      </c>
      <c r="S142" s="46">
        <f t="shared" si="29"/>
        <v>0</v>
      </c>
      <c r="T142" s="46">
        <f t="shared" si="29"/>
        <v>0</v>
      </c>
      <c r="U142" s="47">
        <f t="shared" si="28"/>
        <v>0</v>
      </c>
      <c r="V142" s="47">
        <f t="shared" si="28"/>
        <v>0</v>
      </c>
      <c r="W142" s="47">
        <f t="shared" si="28"/>
        <v>0</v>
      </c>
      <c r="X142" s="47">
        <f t="shared" si="32"/>
        <v>0</v>
      </c>
    </row>
    <row r="143" spans="1:24" ht="20" customHeight="1" x14ac:dyDescent="0.35">
      <c r="A143" s="29"/>
      <c r="B143" s="30"/>
      <c r="C143" s="31"/>
      <c r="D143" s="31"/>
      <c r="E143" s="31"/>
      <c r="F143" s="31"/>
      <c r="G143" s="31"/>
      <c r="H143" s="31"/>
      <c r="I143" s="31"/>
      <c r="J143" s="34"/>
      <c r="L143" s="46">
        <f t="shared" si="31"/>
        <v>0</v>
      </c>
      <c r="M143" s="46">
        <f t="shared" si="31"/>
        <v>0</v>
      </c>
      <c r="N143" s="46">
        <f t="shared" si="31"/>
        <v>0</v>
      </c>
      <c r="O143" s="46">
        <f t="shared" si="30"/>
        <v>0</v>
      </c>
      <c r="P143" s="46">
        <f t="shared" si="30"/>
        <v>0</v>
      </c>
      <c r="Q143" s="46">
        <f t="shared" si="30"/>
        <v>0</v>
      </c>
      <c r="R143" s="46">
        <f t="shared" si="29"/>
        <v>0</v>
      </c>
      <c r="S143" s="46">
        <f t="shared" si="29"/>
        <v>0</v>
      </c>
      <c r="T143" s="46">
        <f t="shared" si="29"/>
        <v>0</v>
      </c>
      <c r="U143" s="47">
        <f t="shared" si="28"/>
        <v>0</v>
      </c>
      <c r="V143" s="47">
        <f t="shared" si="28"/>
        <v>0</v>
      </c>
      <c r="W143" s="47">
        <f t="shared" si="28"/>
        <v>0</v>
      </c>
      <c r="X143" s="47">
        <f t="shared" si="32"/>
        <v>0</v>
      </c>
    </row>
    <row r="144" spans="1:24" ht="20" customHeight="1" x14ac:dyDescent="0.35">
      <c r="A144" s="29"/>
      <c r="B144" s="30"/>
      <c r="C144" s="31"/>
      <c r="D144" s="31"/>
      <c r="E144" s="31"/>
      <c r="F144" s="31"/>
      <c r="G144" s="31"/>
      <c r="H144" s="31"/>
      <c r="I144" s="31"/>
      <c r="J144" s="34"/>
      <c r="L144" s="46">
        <f t="shared" si="31"/>
        <v>0</v>
      </c>
      <c r="M144" s="46">
        <f t="shared" si="31"/>
        <v>0</v>
      </c>
      <c r="N144" s="46">
        <f t="shared" si="31"/>
        <v>0</v>
      </c>
      <c r="O144" s="46">
        <f t="shared" si="30"/>
        <v>0</v>
      </c>
      <c r="P144" s="46">
        <f t="shared" si="30"/>
        <v>0</v>
      </c>
      <c r="Q144" s="46">
        <f t="shared" si="30"/>
        <v>0</v>
      </c>
      <c r="R144" s="46">
        <f t="shared" si="29"/>
        <v>0</v>
      </c>
      <c r="S144" s="46">
        <f t="shared" si="29"/>
        <v>0</v>
      </c>
      <c r="T144" s="46">
        <f t="shared" si="29"/>
        <v>0</v>
      </c>
      <c r="U144" s="47">
        <f t="shared" si="28"/>
        <v>0</v>
      </c>
      <c r="V144" s="47">
        <f t="shared" si="28"/>
        <v>0</v>
      </c>
      <c r="W144" s="47">
        <f t="shared" si="28"/>
        <v>0</v>
      </c>
      <c r="X144" s="47">
        <f t="shared" si="32"/>
        <v>0</v>
      </c>
    </row>
    <row r="145" spans="1:24" ht="20" customHeight="1" x14ac:dyDescent="0.35">
      <c r="A145" s="29"/>
      <c r="B145" s="30"/>
      <c r="C145" s="31"/>
      <c r="D145" s="31"/>
      <c r="E145" s="31"/>
      <c r="F145" s="31"/>
      <c r="G145" s="31"/>
      <c r="H145" s="31"/>
      <c r="I145" s="31"/>
      <c r="J145" s="34"/>
      <c r="L145" s="46">
        <f t="shared" si="31"/>
        <v>0</v>
      </c>
      <c r="M145" s="46">
        <f t="shared" si="31"/>
        <v>0</v>
      </c>
      <c r="N145" s="46">
        <f t="shared" si="31"/>
        <v>0</v>
      </c>
      <c r="O145" s="46">
        <f t="shared" si="30"/>
        <v>0</v>
      </c>
      <c r="P145" s="46">
        <f t="shared" si="30"/>
        <v>0</v>
      </c>
      <c r="Q145" s="46">
        <f t="shared" si="30"/>
        <v>0</v>
      </c>
      <c r="R145" s="46">
        <f t="shared" si="29"/>
        <v>0</v>
      </c>
      <c r="S145" s="46">
        <f t="shared" si="29"/>
        <v>0</v>
      </c>
      <c r="T145" s="46">
        <f t="shared" si="29"/>
        <v>0</v>
      </c>
      <c r="U145" s="47">
        <f t="shared" si="28"/>
        <v>0</v>
      </c>
      <c r="V145" s="47">
        <f t="shared" si="28"/>
        <v>0</v>
      </c>
      <c r="W145" s="47">
        <f t="shared" si="28"/>
        <v>0</v>
      </c>
      <c r="X145" s="47">
        <f t="shared" si="32"/>
        <v>0</v>
      </c>
    </row>
    <row r="146" spans="1:24" ht="20" customHeight="1" x14ac:dyDescent="0.35">
      <c r="A146" s="29"/>
      <c r="B146" s="30"/>
      <c r="C146" s="31"/>
      <c r="D146" s="31"/>
      <c r="E146" s="31"/>
      <c r="F146" s="31"/>
      <c r="G146" s="31"/>
      <c r="H146" s="31"/>
      <c r="I146" s="31"/>
      <c r="J146" s="34"/>
      <c r="L146" s="46">
        <f t="shared" si="31"/>
        <v>0</v>
      </c>
      <c r="M146" s="46">
        <f t="shared" si="31"/>
        <v>0</v>
      </c>
      <c r="N146" s="46">
        <f t="shared" si="31"/>
        <v>0</v>
      </c>
      <c r="O146" s="46">
        <f t="shared" si="30"/>
        <v>0</v>
      </c>
      <c r="P146" s="46">
        <f t="shared" si="30"/>
        <v>0</v>
      </c>
      <c r="Q146" s="46">
        <f t="shared" si="30"/>
        <v>0</v>
      </c>
      <c r="R146" s="46">
        <f t="shared" si="29"/>
        <v>0</v>
      </c>
      <c r="S146" s="46">
        <f t="shared" si="29"/>
        <v>0</v>
      </c>
      <c r="T146" s="46">
        <f t="shared" si="29"/>
        <v>0</v>
      </c>
      <c r="U146" s="47">
        <f t="shared" si="28"/>
        <v>0</v>
      </c>
      <c r="V146" s="47">
        <f t="shared" si="28"/>
        <v>0</v>
      </c>
      <c r="W146" s="47">
        <f t="shared" si="28"/>
        <v>0</v>
      </c>
      <c r="X146" s="47">
        <f t="shared" si="32"/>
        <v>0</v>
      </c>
    </row>
    <row r="147" spans="1:24" ht="20" customHeight="1" x14ac:dyDescent="0.35">
      <c r="A147" s="29"/>
      <c r="B147" s="30"/>
      <c r="C147" s="31"/>
      <c r="D147" s="31"/>
      <c r="E147" s="31"/>
      <c r="F147" s="31"/>
      <c r="G147" s="31"/>
      <c r="H147" s="31"/>
      <c r="I147" s="31"/>
      <c r="J147" s="34"/>
      <c r="L147" s="46">
        <f t="shared" si="31"/>
        <v>0</v>
      </c>
      <c r="M147" s="46">
        <f t="shared" si="31"/>
        <v>0</v>
      </c>
      <c r="N147" s="46">
        <f t="shared" si="31"/>
        <v>0</v>
      </c>
      <c r="O147" s="46">
        <f t="shared" si="30"/>
        <v>0</v>
      </c>
      <c r="P147" s="46">
        <f t="shared" si="30"/>
        <v>0</v>
      </c>
      <c r="Q147" s="46">
        <f t="shared" si="30"/>
        <v>0</v>
      </c>
      <c r="R147" s="46">
        <f t="shared" si="29"/>
        <v>0</v>
      </c>
      <c r="S147" s="46">
        <f t="shared" si="29"/>
        <v>0</v>
      </c>
      <c r="T147" s="46">
        <f t="shared" si="29"/>
        <v>0</v>
      </c>
      <c r="U147" s="47">
        <f t="shared" si="28"/>
        <v>0</v>
      </c>
      <c r="V147" s="47">
        <f t="shared" si="28"/>
        <v>0</v>
      </c>
      <c r="W147" s="47">
        <f t="shared" si="28"/>
        <v>0</v>
      </c>
      <c r="X147" s="47">
        <f t="shared" si="32"/>
        <v>0</v>
      </c>
    </row>
    <row r="148" spans="1:24" ht="20" customHeight="1" x14ac:dyDescent="0.35">
      <c r="A148" s="29"/>
      <c r="B148" s="30"/>
      <c r="C148" s="31"/>
      <c r="D148" s="31"/>
      <c r="E148" s="31"/>
      <c r="F148" s="31"/>
      <c r="G148" s="31"/>
      <c r="H148" s="31"/>
      <c r="I148" s="31"/>
      <c r="J148" s="34"/>
      <c r="L148" s="46">
        <f t="shared" si="31"/>
        <v>0</v>
      </c>
      <c r="M148" s="46">
        <f t="shared" si="31"/>
        <v>0</v>
      </c>
      <c r="N148" s="46">
        <f t="shared" si="31"/>
        <v>0</v>
      </c>
      <c r="O148" s="46">
        <f t="shared" si="30"/>
        <v>0</v>
      </c>
      <c r="P148" s="46">
        <f t="shared" si="30"/>
        <v>0</v>
      </c>
      <c r="Q148" s="46">
        <f t="shared" si="30"/>
        <v>0</v>
      </c>
      <c r="R148" s="46">
        <f t="shared" si="29"/>
        <v>0</v>
      </c>
      <c r="S148" s="46">
        <f t="shared" si="29"/>
        <v>0</v>
      </c>
      <c r="T148" s="46">
        <f t="shared" si="29"/>
        <v>0</v>
      </c>
      <c r="U148" s="47">
        <f t="shared" si="28"/>
        <v>0</v>
      </c>
      <c r="V148" s="47">
        <f t="shared" si="28"/>
        <v>0</v>
      </c>
      <c r="W148" s="47">
        <f t="shared" si="28"/>
        <v>0</v>
      </c>
      <c r="X148" s="47">
        <f t="shared" si="32"/>
        <v>0</v>
      </c>
    </row>
    <row r="149" spans="1:24" ht="20" customHeight="1" x14ac:dyDescent="0.35">
      <c r="A149" s="29"/>
      <c r="B149" s="30"/>
      <c r="C149" s="31"/>
      <c r="D149" s="31"/>
      <c r="E149" s="31"/>
      <c r="F149" s="31"/>
      <c r="G149" s="31"/>
      <c r="H149" s="31"/>
      <c r="I149" s="31"/>
      <c r="J149" s="34"/>
      <c r="L149" s="46">
        <f t="shared" si="31"/>
        <v>0</v>
      </c>
      <c r="M149" s="46">
        <f t="shared" si="31"/>
        <v>0</v>
      </c>
      <c r="N149" s="46">
        <f t="shared" si="31"/>
        <v>0</v>
      </c>
      <c r="O149" s="46">
        <f t="shared" si="30"/>
        <v>0</v>
      </c>
      <c r="P149" s="46">
        <f t="shared" si="30"/>
        <v>0</v>
      </c>
      <c r="Q149" s="46">
        <f t="shared" si="30"/>
        <v>0</v>
      </c>
      <c r="R149" s="46">
        <f t="shared" si="29"/>
        <v>0</v>
      </c>
      <c r="S149" s="46">
        <f t="shared" si="29"/>
        <v>0</v>
      </c>
      <c r="T149" s="46">
        <f t="shared" si="29"/>
        <v>0</v>
      </c>
      <c r="U149" s="47">
        <f t="shared" si="28"/>
        <v>0</v>
      </c>
      <c r="V149" s="47">
        <f t="shared" si="28"/>
        <v>0</v>
      </c>
      <c r="W149" s="47">
        <f t="shared" si="28"/>
        <v>0</v>
      </c>
      <c r="X149" s="47">
        <f t="shared" si="32"/>
        <v>0</v>
      </c>
    </row>
    <row r="150" spans="1:24" ht="20" customHeight="1" x14ac:dyDescent="0.35">
      <c r="A150" s="29"/>
      <c r="B150" s="30"/>
      <c r="C150" s="31"/>
      <c r="D150" s="31"/>
      <c r="E150" s="31"/>
      <c r="F150" s="31"/>
      <c r="G150" s="31"/>
      <c r="H150" s="31"/>
      <c r="I150" s="31"/>
      <c r="J150" s="34"/>
      <c r="L150" s="46">
        <f t="shared" si="31"/>
        <v>0</v>
      </c>
      <c r="M150" s="46">
        <f t="shared" si="31"/>
        <v>0</v>
      </c>
      <c r="N150" s="46">
        <f t="shared" si="31"/>
        <v>0</v>
      </c>
      <c r="O150" s="46">
        <f t="shared" si="30"/>
        <v>0</v>
      </c>
      <c r="P150" s="46">
        <f t="shared" si="30"/>
        <v>0</v>
      </c>
      <c r="Q150" s="46">
        <f t="shared" si="30"/>
        <v>0</v>
      </c>
      <c r="R150" s="46">
        <f t="shared" si="29"/>
        <v>0</v>
      </c>
      <c r="S150" s="46">
        <f t="shared" si="29"/>
        <v>0</v>
      </c>
      <c r="T150" s="46">
        <f t="shared" si="29"/>
        <v>0</v>
      </c>
      <c r="U150" s="47">
        <f t="shared" si="28"/>
        <v>0</v>
      </c>
      <c r="V150" s="47">
        <f t="shared" si="28"/>
        <v>0</v>
      </c>
      <c r="W150" s="47">
        <f t="shared" si="28"/>
        <v>0</v>
      </c>
      <c r="X150" s="47">
        <f t="shared" si="32"/>
        <v>0</v>
      </c>
    </row>
    <row r="151" spans="1:24" ht="20" customHeight="1" x14ac:dyDescent="0.35">
      <c r="A151" s="29"/>
      <c r="B151" s="30"/>
      <c r="C151" s="31"/>
      <c r="D151" s="31"/>
      <c r="E151" s="31"/>
      <c r="F151" s="31"/>
      <c r="G151" s="31"/>
      <c r="H151" s="31"/>
      <c r="I151" s="31"/>
      <c r="J151" s="34"/>
      <c r="L151" s="46">
        <f t="shared" si="31"/>
        <v>0</v>
      </c>
      <c r="M151" s="46">
        <f t="shared" si="31"/>
        <v>0</v>
      </c>
      <c r="N151" s="46">
        <f t="shared" si="31"/>
        <v>0</v>
      </c>
      <c r="O151" s="46">
        <f t="shared" si="30"/>
        <v>0</v>
      </c>
      <c r="P151" s="46">
        <f t="shared" si="30"/>
        <v>0</v>
      </c>
      <c r="Q151" s="46">
        <f t="shared" si="30"/>
        <v>0</v>
      </c>
      <c r="R151" s="46">
        <f t="shared" si="29"/>
        <v>0</v>
      </c>
      <c r="S151" s="46">
        <f t="shared" si="29"/>
        <v>0</v>
      </c>
      <c r="T151" s="46">
        <f t="shared" si="29"/>
        <v>0</v>
      </c>
      <c r="U151" s="47">
        <f t="shared" si="28"/>
        <v>0</v>
      </c>
      <c r="V151" s="47">
        <f t="shared" si="28"/>
        <v>0</v>
      </c>
      <c r="W151" s="47">
        <f t="shared" si="28"/>
        <v>0</v>
      </c>
      <c r="X151" s="47">
        <f t="shared" si="32"/>
        <v>0</v>
      </c>
    </row>
    <row r="152" spans="1:24" ht="16.75" customHeight="1" x14ac:dyDescent="0.35">
      <c r="A152" s="29"/>
      <c r="B152" s="30"/>
      <c r="C152" s="31"/>
      <c r="D152" s="31"/>
      <c r="E152" s="31"/>
      <c r="F152" s="31"/>
      <c r="G152" s="31"/>
      <c r="H152" s="31"/>
      <c r="I152" s="31"/>
      <c r="J152" s="34"/>
      <c r="L152" s="35"/>
      <c r="M152" s="35"/>
      <c r="N152" s="35"/>
      <c r="O152" s="35"/>
      <c r="P152" s="35"/>
      <c r="Q152" s="35"/>
      <c r="R152" s="35"/>
      <c r="S152" s="35"/>
      <c r="T152" s="35"/>
      <c r="U152" s="36">
        <f t="shared" ref="U152:W152" si="33">L152+Q152</f>
        <v>0</v>
      </c>
      <c r="V152" s="36">
        <f t="shared" si="33"/>
        <v>0</v>
      </c>
      <c r="W152" s="36">
        <f t="shared" si="33"/>
        <v>0</v>
      </c>
      <c r="X152" s="36">
        <f t="shared" si="32"/>
        <v>0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Freon Meter reading</vt:lpstr>
      <vt:lpstr>Freon Meter reading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Rituraj Changmai</dc:creator>
  <cp:lastModifiedBy>Rituraj Changmai</cp:lastModifiedBy>
  <dcterms:created xsi:type="dcterms:W3CDTF">2026-06-30T09:32:03Z</dcterms:created>
  <dcterms:modified xsi:type="dcterms:W3CDTF">2026-08-24T08:51:08Z</dcterms:modified>
</cp:coreProperties>
</file>