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DT25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X35" i="3" s="1"/>
  <c r="S35" i="3"/>
  <c r="R35" i="3"/>
  <c r="Q35" i="3"/>
  <c r="P35" i="3"/>
  <c r="O35" i="3"/>
  <c r="N35" i="3"/>
  <c r="W35" i="3" s="1"/>
  <c r="M35" i="3"/>
  <c r="L35" i="3"/>
  <c r="T34" i="3"/>
  <c r="S34" i="3"/>
  <c r="W34" i="3" s="1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T32" i="3"/>
  <c r="S32" i="3"/>
  <c r="R32" i="3"/>
  <c r="Q32" i="3"/>
  <c r="P32" i="3"/>
  <c r="O32" i="3"/>
  <c r="N32" i="3"/>
  <c r="W32" i="3" s="1"/>
  <c r="M32" i="3"/>
  <c r="V32" i="3" s="1"/>
  <c r="L32" i="3"/>
  <c r="T31" i="3"/>
  <c r="X31" i="3" s="1"/>
  <c r="S31" i="3"/>
  <c r="R31" i="3"/>
  <c r="Q31" i="3"/>
  <c r="P31" i="3"/>
  <c r="O31" i="3"/>
  <c r="N31" i="3"/>
  <c r="M31" i="3"/>
  <c r="L31" i="3"/>
  <c r="U31" i="3" s="1"/>
  <c r="T30" i="3"/>
  <c r="S30" i="3"/>
  <c r="W30" i="3" s="1"/>
  <c r="R30" i="3"/>
  <c r="Q30" i="3"/>
  <c r="P30" i="3"/>
  <c r="O30" i="3"/>
  <c r="X30" i="3" s="1"/>
  <c r="N30" i="3"/>
  <c r="M30" i="3"/>
  <c r="V30" i="3" s="1"/>
  <c r="L30" i="3"/>
  <c r="U30" i="3" s="1"/>
  <c r="T29" i="3"/>
  <c r="S29" i="3"/>
  <c r="R29" i="3"/>
  <c r="Q29" i="3"/>
  <c r="P29" i="3"/>
  <c r="O29" i="3"/>
  <c r="X29" i="3" s="1"/>
  <c r="N29" i="3"/>
  <c r="W29" i="3" s="1"/>
  <c r="M29" i="3"/>
  <c r="L29" i="3"/>
  <c r="U29" i="3" s="1"/>
  <c r="X28" i="3"/>
  <c r="T28" i="3"/>
  <c r="S28" i="3"/>
  <c r="R28" i="3"/>
  <c r="Q28" i="3"/>
  <c r="P28" i="3"/>
  <c r="O28" i="3"/>
  <c r="N28" i="3"/>
  <c r="W28" i="3" s="1"/>
  <c r="M28" i="3"/>
  <c r="V28" i="3" s="1"/>
  <c r="L28" i="3"/>
  <c r="W27" i="3"/>
  <c r="T27" i="3"/>
  <c r="X27" i="3" s="1"/>
  <c r="S27" i="3"/>
  <c r="R27" i="3"/>
  <c r="Q27" i="3"/>
  <c r="P27" i="3"/>
  <c r="O27" i="3"/>
  <c r="N27" i="3"/>
  <c r="M27" i="3"/>
  <c r="V27" i="3" s="1"/>
  <c r="L27" i="3"/>
  <c r="U27" i="3" s="1"/>
  <c r="V26" i="3"/>
  <c r="T26" i="3"/>
  <c r="S26" i="3"/>
  <c r="W26" i="3" s="1"/>
  <c r="R26" i="3"/>
  <c r="Q26" i="3"/>
  <c r="U26" i="3" s="1"/>
  <c r="P26" i="3"/>
  <c r="O26" i="3"/>
  <c r="N26" i="3"/>
  <c r="M26" i="3"/>
  <c r="L26" i="3"/>
  <c r="T25" i="3"/>
  <c r="S25" i="3"/>
  <c r="R25" i="3"/>
  <c r="V25" i="3" s="1"/>
  <c r="Q25" i="3"/>
  <c r="U25" i="3" s="1"/>
  <c r="P25" i="3"/>
  <c r="O25" i="3"/>
  <c r="N25" i="3"/>
  <c r="M25" i="3"/>
  <c r="L25" i="3"/>
  <c r="T24" i="3"/>
  <c r="S24" i="3"/>
  <c r="R24" i="3"/>
  <c r="Q24" i="3"/>
  <c r="P24" i="3"/>
  <c r="O24" i="3"/>
  <c r="N24" i="3"/>
  <c r="W24" i="3" s="1"/>
  <c r="M24" i="3"/>
  <c r="V24" i="3" s="1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12" i="3" l="1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25" i="2"/>
  <c r="DI3" i="2"/>
  <c r="GA4" i="2"/>
  <c r="GA5" i="2"/>
  <c r="GA6" i="2"/>
  <c r="GA7" i="2"/>
  <c r="GA14" i="2"/>
  <c r="GA15" i="2"/>
  <c r="GA16" i="2"/>
  <c r="GA17" i="2"/>
  <c r="GA18" i="2"/>
  <c r="GA19" i="2"/>
  <c r="GA20" i="2"/>
  <c r="GA21" i="2"/>
  <c r="GA22" i="2"/>
  <c r="GA23" i="2"/>
  <c r="GA24" i="2"/>
  <c r="GA25" i="2"/>
  <c r="GA3" i="2"/>
  <c r="FZ4" i="2"/>
  <c r="FZ5" i="2"/>
  <c r="FZ6" i="2"/>
  <c r="FZ7" i="2"/>
  <c r="FZ14" i="2"/>
  <c r="FZ15" i="2"/>
  <c r="FZ16" i="2"/>
  <c r="FZ17" i="2"/>
  <c r="FZ18" i="2"/>
  <c r="FZ19" i="2"/>
  <c r="FZ20" i="2"/>
  <c r="FZ21" i="2"/>
  <c r="FZ22" i="2"/>
  <c r="FZ23" i="2"/>
  <c r="FZ24" i="2"/>
  <c r="FZ25" i="2"/>
  <c r="FZ3" i="2"/>
  <c r="FY4" i="2"/>
  <c r="FY5" i="2"/>
  <c r="FY6" i="2"/>
  <c r="FY7" i="2"/>
  <c r="FY14" i="2"/>
  <c r="FY15" i="2"/>
  <c r="FY16" i="2"/>
  <c r="FY17" i="2"/>
  <c r="FY18" i="2"/>
  <c r="FY19" i="2"/>
  <c r="FY20" i="2"/>
  <c r="FY21" i="2"/>
  <c r="FY22" i="2"/>
  <c r="FY23" i="2"/>
  <c r="FY24" i="2"/>
  <c r="FY25" i="2"/>
  <c r="FY3" i="2"/>
  <c r="FX4" i="2"/>
  <c r="FX5" i="2"/>
  <c r="FX6" i="2"/>
  <c r="FX7" i="2"/>
  <c r="FX14" i="2"/>
  <c r="FX15" i="2"/>
  <c r="FX16" i="2"/>
  <c r="FX17" i="2"/>
  <c r="FX18" i="2"/>
  <c r="FX19" i="2"/>
  <c r="FX20" i="2"/>
  <c r="FX21" i="2"/>
  <c r="FX22" i="2"/>
  <c r="FX23" i="2"/>
  <c r="FX24" i="2"/>
  <c r="FX2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25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25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25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25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25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25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25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25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25" i="2"/>
  <c r="FN3" i="2"/>
  <c r="FM4" i="2"/>
  <c r="FM5" i="2"/>
  <c r="FM6" i="2"/>
  <c r="FM7" i="2"/>
  <c r="FM14" i="2"/>
  <c r="FM15" i="2"/>
  <c r="FM16" i="2"/>
  <c r="FM17" i="2"/>
  <c r="FM18" i="2"/>
  <c r="FM19" i="2"/>
  <c r="FM20" i="2"/>
  <c r="FM21" i="2"/>
  <c r="FM22" i="2"/>
  <c r="FM23" i="2"/>
  <c r="FM24" i="2"/>
  <c r="FM25" i="2"/>
  <c r="FM3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25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25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25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25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25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25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25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25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25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25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25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25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DH25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25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25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25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25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25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25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25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25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25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25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25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25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25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25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25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25" i="2"/>
  <c r="EJ3" i="2"/>
  <c r="EI4" i="2"/>
  <c r="EI5" i="2"/>
  <c r="EI6" i="2"/>
  <c r="EI7" i="2"/>
  <c r="EI14" i="2"/>
  <c r="EI15" i="2"/>
  <c r="EI16" i="2"/>
  <c r="EI17" i="2"/>
  <c r="EI18" i="2"/>
  <c r="EI19" i="2"/>
  <c r="EI20" i="2"/>
  <c r="EI21" i="2"/>
  <c r="EI22" i="2"/>
  <c r="EI23" i="2"/>
  <c r="EI24" i="2"/>
  <c r="EI25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25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25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25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25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25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25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25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25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25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25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25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25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25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25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25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25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25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25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25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25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25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25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25" i="2"/>
  <c r="DJ3" i="2"/>
  <c r="DH3" i="2"/>
</calcChain>
</file>

<file path=xl/sharedStrings.xml><?xml version="1.0" encoding="utf-8"?>
<sst xmlns="http://schemas.openxmlformats.org/spreadsheetml/2006/main" count="391" uniqueCount="198">
  <si>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</si>
  <si>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</si>
  <si>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</si>
  <si>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</si>
  <si>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</si>
  <si>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</si>
  <si>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</si>
  <si>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</si>
  <si>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</si>
  <si>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</si>
  <si>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</si>
  <si>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</si>
  <si>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</si>
  <si>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</si>
  <si>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</si>
  <si>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</si>
  <si>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</si>
  <si>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</si>
  <si>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</si>
  <si>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</si>
  <si>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</si>
  <si>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</si>
  <si>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</si>
  <si>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</si>
  <si>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</si>
  <si>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</si>
  <si>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</si>
  <si>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</si>
  <si>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</si>
  <si>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</si>
  <si>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</si>
  <si>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</si>
  <si>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</si>
  <si>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</si>
  <si>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</si>
  <si>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</si>
  <si>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</si>
  <si>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</si>
  <si>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</si>
  <si>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</si>
  <si>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</si>
  <si>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</si>
  <si>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</si>
  <si>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</si>
  <si>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</si>
  <si>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</si>
  <si>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</si>
  <si>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</si>
  <si>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</si>
  <si>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</si>
  <si>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</si>
  <si>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</si>
  <si>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</si>
  <si>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</si>
  <si>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</si>
  <si>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</si>
  <si>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</si>
  <si>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</si>
  <si>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</si>
  <si>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</si>
  <si>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</si>
  <si>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</si>
  <si>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</si>
  <si>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</si>
  <si>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</si>
  <si>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</si>
  <si>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</si>
  <si>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</si>
  <si>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</si>
  <si>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</si>
  <si>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</si>
  <si>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</si>
  <si>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</si>
  <si>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</si>
  <si>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</si>
  <si>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</si>
  <si>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</si>
  <si>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</si>
  <si>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</si>
  <si>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</si>
  <si>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</si>
  <si>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</si>
  <si>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</si>
  <si>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</si>
  <si>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</si>
  <si>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</si>
  <si>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</si>
  <si>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</si>
  <si>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</si>
  <si>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</si>
  <si>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</si>
  <si>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</si>
  <si>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</si>
  <si>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</si>
  <si>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</si>
  <si>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</si>
  <si>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</si>
  <si>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</si>
  <si>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</si>
  <si>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</si>
  <si>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</si>
  <si>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</si>
  <si>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</si>
  <si>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</si>
  <si>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</si>
  <si>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</si>
  <si>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</si>
  <si>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</si>
  <si>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</si>
  <si>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</si>
  <si>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</si>
  <si>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</si>
  <si>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</si>
  <si>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</si>
  <si>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</si>
  <si>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</si>
  <si>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</si>
  <si>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</si>
  <si>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</si>
  <si>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</si>
  <si>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</si>
  <si>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</si>
  <si>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</si>
  <si>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</si>
  <si>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</si>
  <si>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</si>
  <si>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</si>
  <si>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</si>
  <si>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</si>
  <si>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</si>
  <si>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</si>
  <si>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</si>
  <si>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</si>
  <si>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</si>
  <si>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</si>
  <si>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</si>
  <si>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</si>
  <si>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PNG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</si>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</sst>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5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0" fillId="2" borderId="0" xfId="0" applyFill="1"/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Table2" displayName="Table2" ref="A2:DG52" totalsRowShown="0" headerRowDxfId="112" dataDxfId="111">
  <autoFilter ref="A2:DG52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2"/>
  <sheetViews>
    <sheetView tabSelected="1" topLeftCell="DB1" workbookViewId="0">
      <selection activeCell="DI10" sqref="DI10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139</v>
      </c>
      <c r="O1" s="9" t="s">
        <v>140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141</v>
      </c>
      <c r="X1" s="9" t="s">
        <v>116</v>
      </c>
      <c r="Y1" s="9" t="s">
        <v>117</v>
      </c>
      <c r="Z1" s="9" t="s">
        <v>139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137</v>
      </c>
      <c r="DB1" s="9" t="s">
        <v>137</v>
      </c>
      <c r="DC1" s="12"/>
      <c r="DD1" s="9" t="s">
        <v>138</v>
      </c>
      <c r="DE1" s="12"/>
      <c r="DF1" s="17" t="s">
        <v>109</v>
      </c>
      <c r="DG1" s="12"/>
      <c r="DI1" s="15" t="s">
        <v>138</v>
      </c>
      <c r="DJ1" s="50" t="s">
        <v>142</v>
      </c>
      <c r="DK1" s="51"/>
      <c r="DL1" s="49" t="s">
        <v>131</v>
      </c>
      <c r="DM1" s="49"/>
      <c r="DN1" s="49"/>
      <c r="DO1" s="49"/>
      <c r="DP1" s="49"/>
      <c r="DQ1" s="15" t="s">
        <v>178</v>
      </c>
      <c r="DR1" s="52" t="s">
        <v>116</v>
      </c>
      <c r="DS1" s="52"/>
      <c r="DT1" s="52"/>
      <c r="DU1" s="52"/>
      <c r="DV1" s="53"/>
      <c r="DW1" s="14" t="s">
        <v>114</v>
      </c>
      <c r="DX1" s="49" t="s">
        <v>127</v>
      </c>
      <c r="DY1" s="49"/>
      <c r="DZ1" s="49"/>
      <c r="EA1" s="49"/>
      <c r="EB1" s="49"/>
      <c r="EC1" s="49"/>
      <c r="ED1" s="49"/>
      <c r="EE1" s="49"/>
      <c r="EF1" s="49"/>
      <c r="EG1" s="49"/>
      <c r="EH1" s="49"/>
      <c r="EI1" s="49"/>
      <c r="EJ1" s="49"/>
      <c r="EK1" s="49" t="s">
        <v>124</v>
      </c>
      <c r="EL1" s="49"/>
      <c r="EM1" s="50" t="s">
        <v>122</v>
      </c>
      <c r="EN1" s="51"/>
      <c r="EO1" s="51"/>
      <c r="EP1" s="51"/>
      <c r="EQ1" s="51"/>
      <c r="ER1" s="49" t="s">
        <v>128</v>
      </c>
      <c r="ES1" s="49"/>
      <c r="ET1" s="15" t="s">
        <v>117</v>
      </c>
      <c r="EU1" s="49" t="s">
        <v>143</v>
      </c>
      <c r="EV1" s="49"/>
      <c r="EW1" s="49"/>
      <c r="EX1" s="49"/>
      <c r="EY1" s="54" t="s">
        <v>139</v>
      </c>
      <c r="EZ1" s="55"/>
      <c r="FA1" s="49" t="s">
        <v>130</v>
      </c>
      <c r="FB1" s="49"/>
      <c r="FC1" s="49"/>
      <c r="FD1" s="49"/>
      <c r="FE1" s="14" t="s">
        <v>141</v>
      </c>
      <c r="FF1" s="49" t="s">
        <v>118</v>
      </c>
      <c r="FG1" s="49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50" t="s">
        <v>132</v>
      </c>
      <c r="FQ1" s="51"/>
      <c r="FR1" s="56"/>
      <c r="FS1" s="50" t="s">
        <v>133</v>
      </c>
      <c r="FT1" s="51"/>
      <c r="FU1" s="56"/>
      <c r="FV1" s="54" t="s">
        <v>134</v>
      </c>
      <c r="FW1" s="55"/>
      <c r="FX1" s="54" t="s">
        <v>144</v>
      </c>
      <c r="FY1" s="55"/>
      <c r="FZ1" s="49" t="s">
        <v>145</v>
      </c>
      <c r="GA1" s="49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146</v>
      </c>
      <c r="DJ2" s="9" t="s">
        <v>104</v>
      </c>
      <c r="DK2" s="9" t="s">
        <v>105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6">
        <v>7064.2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3500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6">
        <v>7067.7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3350.0000000003638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6">
        <v>7071.05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1769.9999999995271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6">
        <v>7072.82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4119.9999999998909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6">
        <v>7076.94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177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57">
        <f>(AX8-Table2[[#This Row],[Solar Reading Panel II]])*1000</f>
        <v>3000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6">
        <v>7079.94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186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57">
        <f>(AX9-Table2[[#This Row],[Solar Reading Panel II]])*1000</f>
        <v>1999.0000000007058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187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6">
        <v>7081.9390000000003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189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0.83840000000054715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-593779.96799999999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57">
        <f>(AX10-Table2[[#This Row],[Solar Reading Panel II]])*1000</f>
        <v>3320.9999999999127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187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66081.279999999999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6">
        <v>7085.26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30115.9136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188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-1.0000000111176632E-4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594293.76000000001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57">
        <f>(AX11-Table2[[#This Row],[Solar Reading Panel II]])*1000</f>
        <v>4110.9999999998763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6">
        <v>7089.3710000000001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190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5367.9999999994834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-1165.4000000000001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6">
        <v>7094.7389999999996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0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191</v>
      </c>
      <c r="DH12" s="4">
        <f>Table2[[#This Row],[Date]]</f>
        <v>46210</v>
      </c>
      <c r="DI12">
        <f>(DD13-Table2[[#This Row],[MWH Total]])*4000</f>
        <v>-11494960</v>
      </c>
      <c r="DJ12">
        <f>(DA13-Table2[[#This Row],[PNG Meter (Outside)]])*2.936</f>
        <v>-52124.364079999992</v>
      </c>
      <c r="DK12">
        <f>(DB13-Table2[[#This Row],[PNG Meter (Inside)]])*2.936</f>
        <v>-432891.79068800004</v>
      </c>
      <c r="DL12">
        <f>(BH13-Table2[[#This Row],[3F Dough cooler - 2 ]])*1000</f>
        <v>-354934</v>
      </c>
      <c r="DM12">
        <f>(BI13-Table2[[#This Row],[3F Dough Cooler- 1]])*1000</f>
        <v>-902367</v>
      </c>
      <c r="DN12">
        <f>(BJ13-Table2[[#This Row],[4F Dough Production cooling Unit]])*1000</f>
        <v>-13410</v>
      </c>
      <c r="DO12">
        <f>(BQ13-Table2[[#This Row],[3F2 - PDB 3 - Dough Production Area]])*1000</f>
        <v>-319727</v>
      </c>
      <c r="DP12">
        <f>(BR13-Table2[[#This Row],[3F3 - PDB 4 - Dough Area]])*1000</f>
        <v>-178167</v>
      </c>
      <c r="DQ12">
        <f>AC13-Table2[[#This Row],[16F1 Tray washer Panel for Light]]</f>
        <v>-2118816.3199999998</v>
      </c>
      <c r="DR12">
        <f>CQ13-Table2[[#This Row],[2F1 Tray Washer - 1]]</f>
        <v>-3653252.8</v>
      </c>
      <c r="DS12">
        <f>CS13-Table2[[#This Row],[2F5 Destacker]]</f>
        <v>-505984.54399999999</v>
      </c>
      <c r="DT12">
        <f>CU13-Table2[[#This Row],[5F1 Metering (TW-2)]]</f>
        <v>-291649.05099999998</v>
      </c>
      <c r="DU12">
        <f>CV13-Table2[[#This Row],[6F1 Pre soaker Tray washer]]</f>
        <v>-30118.060799999999</v>
      </c>
      <c r="DV12">
        <f>CZ13-Table2[[#This Row],[6F5 Vent tray Storage]]</f>
        <v>-216113.08799999999</v>
      </c>
      <c r="DW12">
        <f>I13-Table2[[#This Row],[Popeyes Meter ]]</f>
        <v>-5497.6719999999996</v>
      </c>
      <c r="DX12">
        <f>AZ13-Table2[[#This Row],[2F WH Chiller, Segregation Area]]</f>
        <v>-20.788</v>
      </c>
      <c r="DY12">
        <f>BA13-Table2[[#This Row],[3F1 AC Unit WH dock cooling - 2 Nos]]</f>
        <v>-9849.2070000000003</v>
      </c>
      <c r="DZ12">
        <f>BB13-Table2[[#This Row],[3F2 AC Unit WH dock cooling - 3 Nos]]</f>
        <v>-43.539000000000001</v>
      </c>
      <c r="EA12">
        <f>(BK13-Table2[[#This Row],[5F WH Perishable]])*1000</f>
        <v>-556390</v>
      </c>
      <c r="EB12">
        <f>BN13-Table2[[#This Row],[2F3 - PDB 9 - WH Dock Leveler Door ]]</f>
        <v>-7132.9744000000001</v>
      </c>
      <c r="EC12">
        <f>BP13-Table2[[#This Row],[3F1 - PDB 5 - WH HSD]]</f>
        <v>-310803.68</v>
      </c>
      <c r="ED12">
        <f>BX13-Table2[[#This Row],[8F1 WH Dock AHU - Ventilation]]</f>
        <v>-935212.48</v>
      </c>
      <c r="EE12">
        <f>BZ13-Table2[[#This Row],[8F3 ACPDB - 4 WH Dock air curtain]]</f>
        <v>-114190.232</v>
      </c>
      <c r="EF12">
        <f>CA13-Table2[[#This Row],[8F4 WH Light]]</f>
        <v>-1171.2620999999999</v>
      </c>
      <c r="EG12">
        <f>CC13-Table2[[#This Row],[9F1 - PDB 10 - WH Dock door &amp; Office]]</f>
        <v>-147409.35999999999</v>
      </c>
      <c r="EH12">
        <f>CD13-Table2[[#This Row],[9F2 - PDB 11 - WH flycatchers]]</f>
        <v>-441739.26400000002</v>
      </c>
      <c r="EI12">
        <f>CE13-Table2[[#This Row],[9F3 - PDB 12 - Other items]]</f>
        <v>-49125.260799999996</v>
      </c>
      <c r="EJ12">
        <f>CR13-Table2[[#This Row],[2F3 - PDB 1 - Dock 1 to 4 ]]</f>
        <v>-129369.75199999999</v>
      </c>
      <c r="EK12">
        <f>BM13-Table2[[#This Row],[2F2 - PDB 3 - WH Truck &amp; Battery Charging]]</f>
        <v>-296108.79999999999</v>
      </c>
      <c r="EL12">
        <f>(CK13-Table2[[#This Row],[PDB - 11 Truck Charging]])*1000</f>
        <v>-76825</v>
      </c>
      <c r="EM12">
        <f>P13-Table2[[#This Row],[5F3 Admin Area]]</f>
        <v>-635056.89599999995</v>
      </c>
      <c r="EN12">
        <f>AH13-Table2[[#This Row],[2F5 Main Gate-1 Piller -1]]</f>
        <v>-130202.264</v>
      </c>
      <c r="EO12">
        <f>CW13-Table2[[#This Row],[6F2 Ground Floor AC]]</f>
        <v>-62155.206400000003</v>
      </c>
      <c r="EP12">
        <f>CX13-Table2[[#This Row],[6F3 ACBD -1 (First floor AC)]]</f>
        <v>-33195.660799999998</v>
      </c>
      <c r="EQ12">
        <f>CY13-Table2[[#This Row],[6F4 ACBD - 2 (Second &amp; Third floor AC)]]</f>
        <v>-164534.48000000001</v>
      </c>
      <c r="ER12">
        <f>(BC13-Table2[[#This Row],[4F Old BMC cooling Unit]])</f>
        <v>-113978.504</v>
      </c>
      <c r="ES12">
        <f>BO13-Table2[[#This Row],[2F4 - Old BMC]]</f>
        <v>-53505.718399999998</v>
      </c>
      <c r="ET12">
        <f>Y13-Table2[[#This Row],[14F2 New CK]]</f>
        <v>-1057248.72</v>
      </c>
      <c r="EU12">
        <f>(CL13-Table2[[#This Row],[OLD Ck Panel-1]])*1000</f>
        <v>-719183</v>
      </c>
      <c r="EV12">
        <f>CM13-Table2[[#This Row],[2F4 Old CK Blast (Blue star)]]</f>
        <v>-551.4</v>
      </c>
      <c r="EW12">
        <f>CN13-Table2[[#This Row],[3F6 Old CK Blast (Carrier)]]</f>
        <v>-33741.9</v>
      </c>
      <c r="EX12">
        <f>(CO13-Table2[[#This Row],[Old CK Panel -2]])*1000</f>
        <v>-1626770</v>
      </c>
      <c r="EY12">
        <f>N13-Table2[[#This Row],[4F1 Main UPS 1/C -1]]</f>
        <v>-1843392.64</v>
      </c>
      <c r="EZ12">
        <f>Z13-Table2[[#This Row],[15F1 Main UPS Panel - I/C - 2]]</f>
        <v>-2777.8894</v>
      </c>
      <c r="FA12">
        <f>BF13-Table2[[#This Row],[2F CLC -1 AC unit - 2]]</f>
        <v>-1712.0419999999999</v>
      </c>
      <c r="FB12">
        <f>(BG13-Table2[[#This Row],[2F CLC Anti room]])*1000</f>
        <v>-74170</v>
      </c>
      <c r="FC12">
        <f>BW13-Table2[[#This Row],[7F3 CLC Power Panel]]</f>
        <v>-562285.18400000001</v>
      </c>
      <c r="FD12">
        <f>(CI13-Table2[[#This Row],[PDB - 17 CLC Section ]])*1000</f>
        <v>-210420</v>
      </c>
      <c r="FE12">
        <f>(W13-Table2[[#This Row],[13F3 Water &amp; Lift Old CK]])*1000</f>
        <v>-1574297.7000000002</v>
      </c>
      <c r="FF12">
        <f>AA13-Table2[[#This Row],[15F2 New ETP Panel]]</f>
        <v>-660631.93599999999</v>
      </c>
      <c r="FG12">
        <f>AL13-Table2[[#This Row],[3F4 Old ETP Panel]]</f>
        <v>-328557.79200000002</v>
      </c>
      <c r="FH12">
        <f>AF13-Table2[[#This Row],[2F1 RO Plant]]</f>
        <v>-859602.04799999995</v>
      </c>
      <c r="FI12">
        <f>AK13-Table2[[#This Row],[3F3 Fire Hydrant Panel]]</f>
        <v>-104930.304</v>
      </c>
      <c r="FJ12">
        <f>R13-Table2[[#This Row],[7F1 Freon System Panel]]</f>
        <v>-5384236.7999999998</v>
      </c>
      <c r="FK12">
        <f>(AE13-Table2[[#This Row],[21F1 Refrigeration Ammonia]])*1000</f>
        <v>-12615965.6</v>
      </c>
      <c r="FL12">
        <f>(AG13-Table2[[#This Row],[2F3 Air Compressor]])*1000</f>
        <v>-1369043</v>
      </c>
      <c r="FM12">
        <f>(AX13-Table2[[#This Row],[Solar Reading Panel II]])*1000</f>
        <v>-7094739</v>
      </c>
      <c r="FN12">
        <f>AI13-Table2[[#This Row],[3F1 Maintenance Workshop]]</f>
        <v>-14485.2768</v>
      </c>
      <c r="FO12">
        <f>BD13-Table2[[#This Row],[4F B2B unit ]]</f>
        <v>-274497.63199999998</v>
      </c>
      <c r="FP12">
        <f>BL13-Table2[[#This Row],[2F1 - PDB 6 - Bread, B2B section]]</f>
        <v>-68287.967999999993</v>
      </c>
      <c r="FQ12">
        <f>(CG13-Table2[[#This Row],[9F5 - PDB 14 - Bread Lift]])</f>
        <v>-360750.45600000001</v>
      </c>
      <c r="FR12">
        <f>CJ13-Table2[[#This Row],[PDB - 16 Bread Section]]</f>
        <v>0</v>
      </c>
      <c r="FS12">
        <f>BU13-Table2[[#This Row],[7F1 Donut Production area]]</f>
        <v>-623427.64800000004</v>
      </c>
      <c r="FT12">
        <f>CB13-Table2[[#This Row],[8F5 Donut Ban Bary]]</f>
        <v>-107209.09600000001</v>
      </c>
      <c r="FU12">
        <f>CF13-Table2[[#This Row],[9F4 - PDB 13 - Donut Sink Geyser area]]</f>
        <v>-155270.64000000001</v>
      </c>
      <c r="FV12">
        <f>BV13-Table2[[#This Row],[7F2 Flour Silo]]</f>
        <v>-1009897.84</v>
      </c>
      <c r="FW12">
        <f>BY13-Table2[[#This Row],[8F2 ACPDB - 3 SILO Ventilation]]</f>
        <v>-156394.89600000001</v>
      </c>
      <c r="FX12">
        <f>J13-Table2[[#This Row],[DG 1010KVA Running Hours]]</f>
        <v>-4248.3999999999996</v>
      </c>
      <c r="FY12">
        <f>K13-Table2[[#This Row],[DG 1010 KVA Meter Reading]]</f>
        <v>-1765691</v>
      </c>
      <c r="FZ12">
        <f>L13-Table2[[#This Row],[GG 1010 KVA Running Hours]]</f>
        <v>-430</v>
      </c>
      <c r="GA12">
        <f>M13-Table2[[#This Row],[GG 1010 KVA Meter Reading]]</f>
        <v>-179.07</v>
      </c>
    </row>
    <row r="13" spans="1:183" x14ac:dyDescent="0.35">
      <c r="A13" s="1"/>
      <c r="B13" s="2"/>
      <c r="C13" s="2"/>
      <c r="D13" s="1"/>
      <c r="E13" s="1"/>
      <c r="F13" s="1"/>
      <c r="G13" s="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6"/>
      <c r="DC13" s="1"/>
      <c r="DD13" s="1"/>
      <c r="DE13" s="1"/>
      <c r="DF13" s="1"/>
      <c r="DG13" s="1"/>
      <c r="DH13" s="4">
        <f>Table2[[#This Row],[Date]]</f>
        <v>0</v>
      </c>
      <c r="DI13">
        <f>(DD14-Table2[[#This Row],[MWH Total]])*4000</f>
        <v>0</v>
      </c>
      <c r="DJ13">
        <f>(DA14-Table2[[#This Row],[PNG Meter (Outside)]])*2.936</f>
        <v>0</v>
      </c>
      <c r="DK13">
        <f>(DB14-Table2[[#This Row],[PNG Meter (Inside)]])*2.936</f>
        <v>0</v>
      </c>
      <c r="DL13">
        <f>(BH14-Table2[[#This Row],[3F Dough cooler - 2 ]])*1000</f>
        <v>0</v>
      </c>
      <c r="DM13">
        <f>(BI14-Table2[[#This Row],[3F Dough Cooler- 1]])*1000</f>
        <v>0</v>
      </c>
      <c r="DN13">
        <f>(BJ14-Table2[[#This Row],[4F Dough Production cooling Unit]])*1000</f>
        <v>0</v>
      </c>
      <c r="DO13">
        <f>(BQ14-Table2[[#This Row],[3F2 - PDB 3 - Dough Production Area]])*1000</f>
        <v>0</v>
      </c>
      <c r="DP13">
        <f>(BR14-Table2[[#This Row],[3F3 - PDB 4 - Dough Area]])*1000</f>
        <v>0</v>
      </c>
      <c r="DQ13">
        <f>AC14-Table2[[#This Row],[16F1 Tray washer Panel for Light]]</f>
        <v>0</v>
      </c>
      <c r="DR13">
        <f>CQ14-Table2[[#This Row],[2F1 Tray Washer - 1]]</f>
        <v>0</v>
      </c>
      <c r="DS13">
        <f>CS14-Table2[[#This Row],[2F5 Destacker]]</f>
        <v>0</v>
      </c>
      <c r="DT13">
        <f>CU14-Table2[[#This Row],[5F1 Metering (TW-2)]]</f>
        <v>0</v>
      </c>
      <c r="DU13">
        <f>CV14-Table2[[#This Row],[6F1 Pre soaker Tray washer]]</f>
        <v>0</v>
      </c>
      <c r="DV13">
        <f>CZ14-Table2[[#This Row],[6F5 Vent tray Storage]]</f>
        <v>0</v>
      </c>
      <c r="DW13">
        <f>I14-Table2[[#This Row],[Popeyes Meter ]]</f>
        <v>0</v>
      </c>
      <c r="DX13">
        <f>AZ14-Table2[[#This Row],[2F WH Chiller, Segregation Area]]</f>
        <v>0</v>
      </c>
      <c r="DY13">
        <f>BA14-Table2[[#This Row],[3F1 AC Unit WH dock cooling - 2 Nos]]</f>
        <v>0</v>
      </c>
      <c r="DZ13">
        <f>BB14-Table2[[#This Row],[3F2 AC Unit WH dock cooling - 3 Nos]]</f>
        <v>0</v>
      </c>
      <c r="EA13">
        <f>(BK14-Table2[[#This Row],[5F WH Perishable]])*1000</f>
        <v>0</v>
      </c>
      <c r="EB13">
        <f>BN14-Table2[[#This Row],[2F3 - PDB 9 - WH Dock Leveler Door ]]</f>
        <v>0</v>
      </c>
      <c r="EC13">
        <f>BP14-Table2[[#This Row],[3F1 - PDB 5 - WH HSD]]</f>
        <v>0</v>
      </c>
      <c r="ED13">
        <f>BX14-Table2[[#This Row],[8F1 WH Dock AHU - Ventilation]]</f>
        <v>0</v>
      </c>
      <c r="EE13">
        <f>BZ14-Table2[[#This Row],[8F3 ACPDB - 4 WH Dock air curtain]]</f>
        <v>0</v>
      </c>
      <c r="EF13">
        <f>CA14-Table2[[#This Row],[8F4 WH Light]]</f>
        <v>0</v>
      </c>
      <c r="EG13">
        <f>CC14-Table2[[#This Row],[9F1 - PDB 10 - WH Dock door &amp; Office]]</f>
        <v>0</v>
      </c>
      <c r="EH13">
        <f>CD14-Table2[[#This Row],[9F2 - PDB 11 - WH flycatchers]]</f>
        <v>0</v>
      </c>
      <c r="EI13">
        <f>CE14-Table2[[#This Row],[9F3 - PDB 12 - Other items]]</f>
        <v>0</v>
      </c>
      <c r="EJ13">
        <f>CR14-Table2[[#This Row],[2F3 - PDB 1 - Dock 1 to 4 ]]</f>
        <v>0</v>
      </c>
      <c r="EK13">
        <f>BM14-Table2[[#This Row],[2F2 - PDB 3 - WH Truck &amp; Battery Charging]]</f>
        <v>0</v>
      </c>
      <c r="EL13">
        <f>(CK14-Table2[[#This Row],[PDB - 11 Truck Charging]])*1000</f>
        <v>0</v>
      </c>
      <c r="EM13">
        <f>P14-Table2[[#This Row],[5F3 Admin Area]]</f>
        <v>0</v>
      </c>
      <c r="EN13">
        <f>AH14-Table2[[#This Row],[2F5 Main Gate-1 Piller -1]]</f>
        <v>0</v>
      </c>
      <c r="EO13">
        <f>CW14-Table2[[#This Row],[6F2 Ground Floor AC]]</f>
        <v>0</v>
      </c>
      <c r="EP13">
        <f>CX14-Table2[[#This Row],[6F3 ACBD -1 (First floor AC)]]</f>
        <v>0</v>
      </c>
      <c r="EQ13">
        <f>CY14-Table2[[#This Row],[6F4 ACBD - 2 (Second &amp; Third floor AC)]]</f>
        <v>0</v>
      </c>
      <c r="ER13">
        <f>(BC14-Table2[[#This Row],[4F Old BMC cooling Unit]])</f>
        <v>0</v>
      </c>
      <c r="ES13">
        <f>BO14-Table2[[#This Row],[2F4 - Old BMC]]</f>
        <v>0</v>
      </c>
      <c r="ET13">
        <f>Y14-Table2[[#This Row],[14F2 New CK]]</f>
        <v>0</v>
      </c>
      <c r="EU13">
        <f>(CL14-Table2[[#This Row],[OLD Ck Panel-1]])*1000</f>
        <v>0</v>
      </c>
      <c r="EV13">
        <f>CM14-Table2[[#This Row],[2F4 Old CK Blast (Blue star)]]</f>
        <v>0</v>
      </c>
      <c r="EW13">
        <f>CN14-Table2[[#This Row],[3F6 Old CK Blast (Carrier)]]</f>
        <v>0</v>
      </c>
      <c r="EX13">
        <f>(CO14-Table2[[#This Row],[Old CK Panel -2]])*1000</f>
        <v>0</v>
      </c>
      <c r="EY13">
        <f>N14-Table2[[#This Row],[4F1 Main UPS 1/C -1]]</f>
        <v>0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0</v>
      </c>
      <c r="FC13">
        <f>BW14-Table2[[#This Row],[7F3 CLC Power Panel]]</f>
        <v>0</v>
      </c>
      <c r="FD13">
        <f>(CI14-Table2[[#This Row],[PDB - 17 CLC Section ]])*1000</f>
        <v>0</v>
      </c>
      <c r="FE13">
        <f>(W14-Table2[[#This Row],[13F3 Water &amp; Lift Old CK]])*1000</f>
        <v>0</v>
      </c>
      <c r="FF13">
        <f>AA14-Table2[[#This Row],[15F2 New ETP Panel]]</f>
        <v>0</v>
      </c>
      <c r="FG13">
        <f>AL14-Table2[[#This Row],[3F4 Old ETP Panel]]</f>
        <v>0</v>
      </c>
      <c r="FH13">
        <f>AF14-Table2[[#This Row],[2F1 RO Plant]]</f>
        <v>0</v>
      </c>
      <c r="FI13">
        <f>AK14-Table2[[#This Row],[3F3 Fire Hydrant Panel]]</f>
        <v>0</v>
      </c>
      <c r="FJ13">
        <f>R14-Table2[[#This Row],[7F1 Freon System Panel]]</f>
        <v>0</v>
      </c>
      <c r="FK13">
        <f>(AE14-Table2[[#This Row],[21F1 Refrigeration Ammonia]])*1000</f>
        <v>0</v>
      </c>
      <c r="FL13">
        <f>(AG14-Table2[[#This Row],[2F3 Air Compressor]])*1000</f>
        <v>0</v>
      </c>
      <c r="FM13">
        <f>(AX14-Table2[[#This Row],[Solar Reading Panel II]])*1000</f>
        <v>0</v>
      </c>
      <c r="FN13">
        <f>AI14-Table2[[#This Row],[3F1 Maintenance Workshop]]</f>
        <v>0</v>
      </c>
      <c r="FO13">
        <f>BD14-Table2[[#This Row],[4F B2B unit ]]</f>
        <v>0</v>
      </c>
      <c r="FP13">
        <f>BL14-Table2[[#This Row],[2F1 - PDB 6 - Bread, B2B section]]</f>
        <v>0</v>
      </c>
      <c r="FQ13">
        <f>(CG14-Table2[[#This Row],[9F5 - PDB 14 - Bread Lift]])</f>
        <v>0</v>
      </c>
      <c r="FR13">
        <f>CJ14-Table2[[#This Row],[PDB - 16 Bread Section]]</f>
        <v>0</v>
      </c>
      <c r="FS13">
        <f>BU14-Table2[[#This Row],[7F1 Donut Production area]]</f>
        <v>0</v>
      </c>
      <c r="FT13">
        <f>CB14-Table2[[#This Row],[8F5 Donut Ban Bary]]</f>
        <v>0</v>
      </c>
      <c r="FU13">
        <f>CF14-Table2[[#This Row],[9F4 - PDB 13 - Donut Sink Geyser area]]</f>
        <v>0</v>
      </c>
      <c r="FV13">
        <f>BV14-Table2[[#This Row],[7F2 Flour Silo]]</f>
        <v>0</v>
      </c>
      <c r="FW13">
        <f>BY14-Table2[[#This Row],[8F2 ACPDB - 3 SILO Ventilation]]</f>
        <v>0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/>
      <c r="B14" s="2"/>
      <c r="C14" s="2"/>
      <c r="D14" s="1"/>
      <c r="E14" s="1"/>
      <c r="F14" s="1"/>
      <c r="G14" s="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4">
        <f>Table2[[#This Row],[Date]]</f>
        <v>0</v>
      </c>
      <c r="DI14">
        <f>(DD15-Table2[[#This Row],[MWH Total]])*4000</f>
        <v>0</v>
      </c>
      <c r="DJ14">
        <f>(DA15-Table2[[#This Row],[PNG Meter (Outside)]])*2.936</f>
        <v>0</v>
      </c>
      <c r="DK14">
        <f>(DB15-Table2[[#This Row],[PNG Meter (Inside)]])*2.936</f>
        <v>0</v>
      </c>
      <c r="DL14">
        <f>(BH15-Table2[[#This Row],[3F Dough cooler - 2 ]])*1000</f>
        <v>0</v>
      </c>
      <c r="DM14">
        <f>(BI15-Table2[[#This Row],[3F Dough Cooler- 1]])*1000</f>
        <v>0</v>
      </c>
      <c r="DN14">
        <f>(BJ15-Table2[[#This Row],[4F Dough Production cooling Unit]])*1000</f>
        <v>0</v>
      </c>
      <c r="DO14">
        <f>(BQ15-Table2[[#This Row],[3F2 - PDB 3 - Dough Production Area]])*1000</f>
        <v>0</v>
      </c>
      <c r="DP14">
        <f>(BR15-Table2[[#This Row],[3F3 - PDB 4 - Dough Area]])*1000</f>
        <v>0</v>
      </c>
      <c r="DQ14">
        <f>AC15-Table2[[#This Row],[16F1 Tray washer Panel for Light]]</f>
        <v>0</v>
      </c>
      <c r="DR14">
        <f>CQ15-Table2[[#This Row],[2F1 Tray Washer - 1]]</f>
        <v>0</v>
      </c>
      <c r="DS14">
        <f>CS15-Table2[[#This Row],[2F5 Destacker]]</f>
        <v>0</v>
      </c>
      <c r="DT14">
        <f>CU15-Table2[[#This Row],[5F1 Metering (TW-2)]]</f>
        <v>0</v>
      </c>
      <c r="DU14">
        <f>CV15-Table2[[#This Row],[6F1 Pre soaker Tray washer]]</f>
        <v>0</v>
      </c>
      <c r="DV14">
        <f>CZ15-Table2[[#This Row],[6F5 Vent tray Storage]]</f>
        <v>0</v>
      </c>
      <c r="DW14">
        <f>I15-Table2[[#This Row],[Popeyes Meter ]]</f>
        <v>0</v>
      </c>
      <c r="DX14">
        <f>AZ15-Table2[[#This Row],[2F WH Chiller, Segregation Area]]</f>
        <v>0</v>
      </c>
      <c r="DY14">
        <f>BA15-Table2[[#This Row],[3F1 AC Unit WH dock cooling - 2 Nos]]</f>
        <v>0</v>
      </c>
      <c r="DZ14">
        <f>BB15-Table2[[#This Row],[3F2 AC Unit WH dock cooling - 3 Nos]]</f>
        <v>0</v>
      </c>
      <c r="EA14">
        <f>(BK15-Table2[[#This Row],[5F WH Perishable]])*1000</f>
        <v>0</v>
      </c>
      <c r="EB14">
        <f>BN15-Table2[[#This Row],[2F3 - PDB 9 - WH Dock Leveler Door ]]</f>
        <v>0</v>
      </c>
      <c r="EC14">
        <f>BP15-Table2[[#This Row],[3F1 - PDB 5 - WH HSD]]</f>
        <v>0</v>
      </c>
      <c r="ED14">
        <f>BX15-Table2[[#This Row],[8F1 WH Dock AHU - Ventilation]]</f>
        <v>0</v>
      </c>
      <c r="EE14">
        <f>BZ15-Table2[[#This Row],[8F3 ACPDB - 4 WH Dock air curtain]]</f>
        <v>0</v>
      </c>
      <c r="EF14">
        <f>CA15-Table2[[#This Row],[8F4 WH Light]]</f>
        <v>0</v>
      </c>
      <c r="EG14">
        <f>CC15-Table2[[#This Row],[9F1 - PDB 10 - WH Dock door &amp; Office]]</f>
        <v>0</v>
      </c>
      <c r="EH14">
        <f>CD15-Table2[[#This Row],[9F2 - PDB 11 - WH flycatchers]]</f>
        <v>0</v>
      </c>
      <c r="EI14">
        <f>CE15-Table2[[#This Row],[9F3 - PDB 12 - Other items]]</f>
        <v>0</v>
      </c>
      <c r="EJ14">
        <f>CR15-Table2[[#This Row],[2F3 - PDB 1 - Dock 1 to 4 ]]</f>
        <v>0</v>
      </c>
      <c r="EK14">
        <f>BM15-Table2[[#This Row],[2F2 - PDB 3 - WH Truck &amp; Battery Charging]]</f>
        <v>0</v>
      </c>
      <c r="EL14">
        <f>(CK15-Table2[[#This Row],[PDB - 11 Truck Charging]])*1000</f>
        <v>0</v>
      </c>
      <c r="EM14">
        <f>P15-Table2[[#This Row],[5F3 Admin Area]]</f>
        <v>0</v>
      </c>
      <c r="EN14">
        <f>AH15-Table2[[#This Row],[2F5 Main Gate-1 Piller -1]]</f>
        <v>0</v>
      </c>
      <c r="EO14">
        <f>CW15-Table2[[#This Row],[6F2 Ground Floor AC]]</f>
        <v>0</v>
      </c>
      <c r="EP14">
        <f>CX15-Table2[[#This Row],[6F3 ACBD -1 (First floor AC)]]</f>
        <v>0</v>
      </c>
      <c r="EQ14">
        <f>CY15-Table2[[#This Row],[6F4 ACBD - 2 (Second &amp; Third floor AC)]]</f>
        <v>0</v>
      </c>
      <c r="ER14">
        <f>(BC15-Table2[[#This Row],[4F Old BMC cooling Unit]])</f>
        <v>0</v>
      </c>
      <c r="ES14">
        <f>BO15-Table2[[#This Row],[2F4 - Old BMC]]</f>
        <v>0</v>
      </c>
      <c r="ET14">
        <f>Y15-Table2[[#This Row],[14F2 New CK]]</f>
        <v>0</v>
      </c>
      <c r="EU14">
        <f>(CL15-Table2[[#This Row],[OLD Ck Panel-1]])*1000</f>
        <v>0</v>
      </c>
      <c r="EV14">
        <f>CM15-Table2[[#This Row],[2F4 Old CK Blast (Blue star)]]</f>
        <v>0</v>
      </c>
      <c r="EW14">
        <f>CN15-Table2[[#This Row],[3F6 Old CK Blast (Carrier)]]</f>
        <v>0</v>
      </c>
      <c r="EX14">
        <f>(CO15-Table2[[#This Row],[Old CK Panel -2]])*1000</f>
        <v>0</v>
      </c>
      <c r="EY14">
        <f>N15-Table2[[#This Row],[4F1 Main UPS 1/C -1]]</f>
        <v>0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0</v>
      </c>
      <c r="FC14">
        <f>BW15-Table2[[#This Row],[7F3 CLC Power Panel]]</f>
        <v>0</v>
      </c>
      <c r="FD14">
        <f>(CI15-Table2[[#This Row],[PDB - 17 CLC Section ]])*1000</f>
        <v>0</v>
      </c>
      <c r="FE14">
        <f>(W15-Table2[[#This Row],[13F3 Water &amp; Lift Old CK]])*1000</f>
        <v>0</v>
      </c>
      <c r="FF14">
        <f>AA15-Table2[[#This Row],[15F2 New ETP Panel]]</f>
        <v>0</v>
      </c>
      <c r="FG14">
        <f>AL15-Table2[[#This Row],[3F4 Old ETP Panel]]</f>
        <v>0</v>
      </c>
      <c r="FH14">
        <f>AF15-Table2[[#This Row],[2F1 RO Plant]]</f>
        <v>0</v>
      </c>
      <c r="FI14">
        <f>AK15-Table2[[#This Row],[3F3 Fire Hydrant Panel]]</f>
        <v>0</v>
      </c>
      <c r="FJ14">
        <f>R15-Table2[[#This Row],[7F1 Freon System Panel]]</f>
        <v>0</v>
      </c>
      <c r="FK14">
        <f>(AE15-Table2[[#This Row],[21F1 Refrigeration Ammonia]])*1000</f>
        <v>0</v>
      </c>
      <c r="FL14">
        <f>(AG15-Table2[[#This Row],[2F3 Air Compressor]])*1000</f>
        <v>0</v>
      </c>
      <c r="FM14">
        <f>(AX15-Table2[[#This Row],[Solar Reading Panel II]])*1000</f>
        <v>0</v>
      </c>
      <c r="FN14">
        <f>AI15-Table2[[#This Row],[3F1 Maintenance Workshop]]</f>
        <v>0</v>
      </c>
      <c r="FO14">
        <f>BD15-Table2[[#This Row],[4F B2B unit ]]</f>
        <v>0</v>
      </c>
      <c r="FP14">
        <f>BL15-Table2[[#This Row],[2F1 - PDB 6 - Bread, B2B section]]</f>
        <v>0</v>
      </c>
      <c r="FQ14">
        <f>(CG15-Table2[[#This Row],[9F5 - PDB 14 - Bread Lift]])</f>
        <v>0</v>
      </c>
      <c r="FR14">
        <f>CJ15-Table2[[#This Row],[PDB - 16 Bread Section]]</f>
        <v>0</v>
      </c>
      <c r="FS14">
        <f>BU15-Table2[[#This Row],[7F1 Donut Production area]]</f>
        <v>0</v>
      </c>
      <c r="FT14">
        <f>CB15-Table2[[#This Row],[8F5 Donut Ban Bary]]</f>
        <v>0</v>
      </c>
      <c r="FU14">
        <f>CF15-Table2[[#This Row],[9F4 - PDB 13 - Donut Sink Geyser area]]</f>
        <v>0</v>
      </c>
      <c r="FV14">
        <f>BV15-Table2[[#This Row],[7F2 Flour Silo]]</f>
        <v>0</v>
      </c>
      <c r="FW14">
        <f>BY15-Table2[[#This Row],[8F2 ACPDB - 3 SILO Ventilation]]</f>
        <v>0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/>
      <c r="B15" s="2"/>
      <c r="C15" s="2"/>
      <c r="D15" s="1"/>
      <c r="E15" s="1"/>
      <c r="F15" s="1"/>
      <c r="G15" s="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4">
        <f>Table2[[#This Row],[Date]]</f>
        <v>0</v>
      </c>
      <c r="DI15">
        <f>(DD16-Table2[[#This Row],[MWH Total]])*4000</f>
        <v>0</v>
      </c>
      <c r="DJ15">
        <f>(DA16-Table2[[#This Row],[PNG Meter (Outside)]])*2.936</f>
        <v>0</v>
      </c>
      <c r="DK15">
        <f>(DB16-Table2[[#This Row],[PNG Meter (Inside)]])*2.936</f>
        <v>0</v>
      </c>
      <c r="DL15">
        <f>(BH16-Table2[[#This Row],[3F Dough cooler - 2 ]])*1000</f>
        <v>0</v>
      </c>
      <c r="DM15">
        <f>(BI16-Table2[[#This Row],[3F Dough Cooler- 1]])*1000</f>
        <v>0</v>
      </c>
      <c r="DN15">
        <f>(BJ16-Table2[[#This Row],[4F Dough Production cooling Unit]])*1000</f>
        <v>0</v>
      </c>
      <c r="DO15">
        <f>(BQ16-Table2[[#This Row],[3F2 - PDB 3 - Dough Production Area]])*1000</f>
        <v>0</v>
      </c>
      <c r="DP15">
        <f>(BR16-Table2[[#This Row],[3F3 - PDB 4 - Dough Area]])*1000</f>
        <v>0</v>
      </c>
      <c r="DQ15">
        <f>AC16-Table2[[#This Row],[16F1 Tray washer Panel for Light]]</f>
        <v>0</v>
      </c>
      <c r="DR15">
        <f>CQ16-Table2[[#This Row],[2F1 Tray Washer - 1]]</f>
        <v>0</v>
      </c>
      <c r="DS15">
        <f>CS16-Table2[[#This Row],[2F5 Destacker]]</f>
        <v>0</v>
      </c>
      <c r="DT15">
        <f>CU16-Table2[[#This Row],[5F1 Metering (TW-2)]]</f>
        <v>0</v>
      </c>
      <c r="DU15">
        <f>CV16-Table2[[#This Row],[6F1 Pre soaker Tray washer]]</f>
        <v>0</v>
      </c>
      <c r="DV15">
        <f>CZ16-Table2[[#This Row],[6F5 Vent tray Storage]]</f>
        <v>0</v>
      </c>
      <c r="DW15">
        <f>I16-Table2[[#This Row],[Popeyes Meter ]]</f>
        <v>0</v>
      </c>
      <c r="DX15">
        <f>AZ16-Table2[[#This Row],[2F WH Chiller, Segregation Area]]</f>
        <v>0</v>
      </c>
      <c r="DY15">
        <f>BA16-Table2[[#This Row],[3F1 AC Unit WH dock cooling - 2 Nos]]</f>
        <v>0</v>
      </c>
      <c r="DZ15">
        <f>BB16-Table2[[#This Row],[3F2 AC Unit WH dock cooling - 3 Nos]]</f>
        <v>0</v>
      </c>
      <c r="EA15">
        <f>(BK16-Table2[[#This Row],[5F WH Perishable]])*1000</f>
        <v>0</v>
      </c>
      <c r="EB15">
        <f>BN16-Table2[[#This Row],[2F3 - PDB 9 - WH Dock Leveler Door ]]</f>
        <v>0</v>
      </c>
      <c r="EC15">
        <f>BP16-Table2[[#This Row],[3F1 - PDB 5 - WH HSD]]</f>
        <v>0</v>
      </c>
      <c r="ED15">
        <f>BX16-Table2[[#This Row],[8F1 WH Dock AHU - Ventilation]]</f>
        <v>0</v>
      </c>
      <c r="EE15">
        <f>BZ16-Table2[[#This Row],[8F3 ACPDB - 4 WH Dock air curtain]]</f>
        <v>0</v>
      </c>
      <c r="EF15">
        <f>CA16-Table2[[#This Row],[8F4 WH Light]]</f>
        <v>0</v>
      </c>
      <c r="EG15">
        <f>CC16-Table2[[#This Row],[9F1 - PDB 10 - WH Dock door &amp; Office]]</f>
        <v>0</v>
      </c>
      <c r="EH15">
        <f>CD16-Table2[[#This Row],[9F2 - PDB 11 - WH flycatchers]]</f>
        <v>0</v>
      </c>
      <c r="EI15">
        <f>CE16-Table2[[#This Row],[9F3 - PDB 12 - Other items]]</f>
        <v>0</v>
      </c>
      <c r="EJ15">
        <f>CR16-Table2[[#This Row],[2F3 - PDB 1 - Dock 1 to 4 ]]</f>
        <v>0</v>
      </c>
      <c r="EK15">
        <f>BM16-Table2[[#This Row],[2F2 - PDB 3 - WH Truck &amp; Battery Charging]]</f>
        <v>0</v>
      </c>
      <c r="EL15">
        <f>(CK16-Table2[[#This Row],[PDB - 11 Truck Charging]])*1000</f>
        <v>0</v>
      </c>
      <c r="EM15">
        <f>P16-Table2[[#This Row],[5F3 Admin Area]]</f>
        <v>0</v>
      </c>
      <c r="EN15">
        <f>AH16-Table2[[#This Row],[2F5 Main Gate-1 Piller -1]]</f>
        <v>0</v>
      </c>
      <c r="EO15">
        <f>CW16-Table2[[#This Row],[6F2 Ground Floor AC]]</f>
        <v>0</v>
      </c>
      <c r="EP15">
        <f>CX16-Table2[[#This Row],[6F3 ACBD -1 (First floor AC)]]</f>
        <v>0</v>
      </c>
      <c r="EQ15">
        <f>CY16-Table2[[#This Row],[6F4 ACBD - 2 (Second &amp; Third floor AC)]]</f>
        <v>0</v>
      </c>
      <c r="ER15">
        <f>(BC16-Table2[[#This Row],[4F Old BMC cooling Unit]])</f>
        <v>0</v>
      </c>
      <c r="ES15">
        <f>BO16-Table2[[#This Row],[2F4 - Old BMC]]</f>
        <v>0</v>
      </c>
      <c r="ET15">
        <f>Y16-Table2[[#This Row],[14F2 New CK]]</f>
        <v>0</v>
      </c>
      <c r="EU15">
        <f>(CL16-Table2[[#This Row],[OLD Ck Panel-1]])*1000</f>
        <v>0</v>
      </c>
      <c r="EV15">
        <f>CM16-Table2[[#This Row],[2F4 Old CK Blast (Blue star)]]</f>
        <v>0</v>
      </c>
      <c r="EW15">
        <f>CN16-Table2[[#This Row],[3F6 Old CK Blast (Carrier)]]</f>
        <v>0</v>
      </c>
      <c r="EX15">
        <f>(CO16-Table2[[#This Row],[Old CK Panel -2]])*1000</f>
        <v>0</v>
      </c>
      <c r="EY15">
        <f>N16-Table2[[#This Row],[4F1 Main UPS 1/C -1]]</f>
        <v>0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0</v>
      </c>
      <c r="FC15">
        <f>BW16-Table2[[#This Row],[7F3 CLC Power Panel]]</f>
        <v>0</v>
      </c>
      <c r="FD15">
        <f>(CI16-Table2[[#This Row],[PDB - 17 CLC Section ]])*1000</f>
        <v>0</v>
      </c>
      <c r="FE15">
        <f>(W16-Table2[[#This Row],[13F3 Water &amp; Lift Old CK]])*1000</f>
        <v>0</v>
      </c>
      <c r="FF15">
        <f>AA16-Table2[[#This Row],[15F2 New ETP Panel]]</f>
        <v>0</v>
      </c>
      <c r="FG15">
        <f>AL16-Table2[[#This Row],[3F4 Old ETP Panel]]</f>
        <v>0</v>
      </c>
      <c r="FH15">
        <f>AF16-Table2[[#This Row],[2F1 RO Plant]]</f>
        <v>0</v>
      </c>
      <c r="FI15">
        <f>AK16-Table2[[#This Row],[3F3 Fire Hydrant Panel]]</f>
        <v>0</v>
      </c>
      <c r="FJ15">
        <f>R16-Table2[[#This Row],[7F1 Freon System Panel]]</f>
        <v>0</v>
      </c>
      <c r="FK15">
        <f>(AE16-Table2[[#This Row],[21F1 Refrigeration Ammonia]])*1000</f>
        <v>0</v>
      </c>
      <c r="FL15">
        <f>(AG16-Table2[[#This Row],[2F3 Air Compressor]])*1000</f>
        <v>0</v>
      </c>
      <c r="FM15">
        <f>(AX16-Table2[[#This Row],[Solar Reading Panel II]])*1000</f>
        <v>0</v>
      </c>
      <c r="FN15">
        <f>AI16-Table2[[#This Row],[3F1 Maintenance Workshop]]</f>
        <v>0</v>
      </c>
      <c r="FO15">
        <f>BD16-Table2[[#This Row],[4F B2B unit ]]</f>
        <v>0</v>
      </c>
      <c r="FP15">
        <f>BL16-Table2[[#This Row],[2F1 - PDB 6 - Bread, B2B section]]</f>
        <v>0</v>
      </c>
      <c r="FQ15">
        <f>(CG16-Table2[[#This Row],[9F5 - PDB 14 - Bread Lift]])</f>
        <v>0</v>
      </c>
      <c r="FR15">
        <f>CJ16-Table2[[#This Row],[PDB - 16 Bread Section]]</f>
        <v>0</v>
      </c>
      <c r="FS15">
        <f>BU16-Table2[[#This Row],[7F1 Donut Production area]]</f>
        <v>0</v>
      </c>
      <c r="FT15">
        <f>CB16-Table2[[#This Row],[8F5 Donut Ban Bary]]</f>
        <v>0</v>
      </c>
      <c r="FU15">
        <f>CF16-Table2[[#This Row],[9F4 - PDB 13 - Donut Sink Geyser area]]</f>
        <v>0</v>
      </c>
      <c r="FV15">
        <f>BV16-Table2[[#This Row],[7F2 Flour Silo]]</f>
        <v>0</v>
      </c>
      <c r="FW15">
        <f>BY16-Table2[[#This Row],[8F2 ACPDB - 3 SILO Ventilation]]</f>
        <v>0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/>
      <c r="B16" s="2"/>
      <c r="C16" s="2"/>
      <c r="D16" s="1"/>
      <c r="E16" s="1"/>
      <c r="F16" s="1"/>
      <c r="G16" s="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4">
        <f>Table2[[#This Row],[Date]]</f>
        <v>0</v>
      </c>
      <c r="DI16">
        <f>(DD17-Table2[[#This Row],[MWH Total]])*4000</f>
        <v>0</v>
      </c>
      <c r="DJ16">
        <f>(DA17-Table2[[#This Row],[PNG Meter (Outside)]])*2.936</f>
        <v>0</v>
      </c>
      <c r="DK16">
        <f>(DB17-Table2[[#This Row],[PNG Meter (Inside)]])*2.936</f>
        <v>0</v>
      </c>
      <c r="DL16">
        <f>(BH17-Table2[[#This Row],[3F Dough cooler - 2 ]])*1000</f>
        <v>0</v>
      </c>
      <c r="DM16">
        <f>(BI17-Table2[[#This Row],[3F Dough Cooler- 1]])*1000</f>
        <v>0</v>
      </c>
      <c r="DN16">
        <f>(BJ17-Table2[[#This Row],[4F Dough Production cooling Unit]])*1000</f>
        <v>0</v>
      </c>
      <c r="DO16">
        <f>(BQ17-Table2[[#This Row],[3F2 - PDB 3 - Dough Production Area]])*1000</f>
        <v>0</v>
      </c>
      <c r="DP16">
        <f>(BR17-Table2[[#This Row],[3F3 - PDB 4 - Dough Area]])*1000</f>
        <v>0</v>
      </c>
      <c r="DQ16">
        <f>AC17-Table2[[#This Row],[16F1 Tray washer Panel for Light]]</f>
        <v>0</v>
      </c>
      <c r="DR16">
        <f>CQ17-Table2[[#This Row],[2F1 Tray Washer - 1]]</f>
        <v>0</v>
      </c>
      <c r="DS16">
        <f>CS17-Table2[[#This Row],[2F5 Destacker]]</f>
        <v>0</v>
      </c>
      <c r="DT16">
        <f>CU17-Table2[[#This Row],[5F1 Metering (TW-2)]]</f>
        <v>0</v>
      </c>
      <c r="DU16">
        <f>CV17-Table2[[#This Row],[6F1 Pre soaker Tray washer]]</f>
        <v>0</v>
      </c>
      <c r="DV16">
        <f>CZ17-Table2[[#This Row],[6F5 Vent tray Storage]]</f>
        <v>0</v>
      </c>
      <c r="DW16">
        <f>I17-Table2[[#This Row],[Popeyes Meter ]]</f>
        <v>0</v>
      </c>
      <c r="DX16">
        <f>AZ17-Table2[[#This Row],[2F WH Chiller, Segregation Area]]</f>
        <v>0</v>
      </c>
      <c r="DY16">
        <f>BA17-Table2[[#This Row],[3F1 AC Unit WH dock cooling - 2 Nos]]</f>
        <v>0</v>
      </c>
      <c r="DZ16">
        <f>BB17-Table2[[#This Row],[3F2 AC Unit WH dock cooling - 3 Nos]]</f>
        <v>0</v>
      </c>
      <c r="EA16">
        <f>(BK17-Table2[[#This Row],[5F WH Perishable]])*1000</f>
        <v>0</v>
      </c>
      <c r="EB16">
        <f>BN17-Table2[[#This Row],[2F3 - PDB 9 - WH Dock Leveler Door ]]</f>
        <v>0</v>
      </c>
      <c r="EC16">
        <f>BP17-Table2[[#This Row],[3F1 - PDB 5 - WH HSD]]</f>
        <v>0</v>
      </c>
      <c r="ED16">
        <f>BX17-Table2[[#This Row],[8F1 WH Dock AHU - Ventilation]]</f>
        <v>0</v>
      </c>
      <c r="EE16">
        <f>BZ17-Table2[[#This Row],[8F3 ACPDB - 4 WH Dock air curtain]]</f>
        <v>0</v>
      </c>
      <c r="EF16">
        <f>CA17-Table2[[#This Row],[8F4 WH Light]]</f>
        <v>0</v>
      </c>
      <c r="EG16">
        <f>CC17-Table2[[#This Row],[9F1 - PDB 10 - WH Dock door &amp; Office]]</f>
        <v>0</v>
      </c>
      <c r="EH16">
        <f>CD17-Table2[[#This Row],[9F2 - PDB 11 - WH flycatchers]]</f>
        <v>0</v>
      </c>
      <c r="EI16">
        <f>CE17-Table2[[#This Row],[9F3 - PDB 12 - Other items]]</f>
        <v>0</v>
      </c>
      <c r="EJ16">
        <f>CR17-Table2[[#This Row],[2F3 - PDB 1 - Dock 1 to 4 ]]</f>
        <v>0</v>
      </c>
      <c r="EK16">
        <f>BM17-Table2[[#This Row],[2F2 - PDB 3 - WH Truck &amp; Battery Charging]]</f>
        <v>0</v>
      </c>
      <c r="EL16">
        <f>(CK17-Table2[[#This Row],[PDB - 11 Truck Charging]])*1000</f>
        <v>0</v>
      </c>
      <c r="EM16">
        <f>P17-Table2[[#This Row],[5F3 Admin Area]]</f>
        <v>0</v>
      </c>
      <c r="EN16">
        <f>AH17-Table2[[#This Row],[2F5 Main Gate-1 Piller -1]]</f>
        <v>0</v>
      </c>
      <c r="EO16">
        <f>CW17-Table2[[#This Row],[6F2 Ground Floor AC]]</f>
        <v>0</v>
      </c>
      <c r="EP16">
        <f>CX17-Table2[[#This Row],[6F3 ACBD -1 (First floor AC)]]</f>
        <v>0</v>
      </c>
      <c r="EQ16">
        <f>CY17-Table2[[#This Row],[6F4 ACBD - 2 (Second &amp; Third floor AC)]]</f>
        <v>0</v>
      </c>
      <c r="ER16">
        <f>(BC17-Table2[[#This Row],[4F Old BMC cooling Unit]])</f>
        <v>0</v>
      </c>
      <c r="ES16">
        <f>BO17-Table2[[#This Row],[2F4 - Old BMC]]</f>
        <v>0</v>
      </c>
      <c r="ET16">
        <f>Y17-Table2[[#This Row],[14F2 New CK]]</f>
        <v>0</v>
      </c>
      <c r="EU16">
        <f>(CL17-Table2[[#This Row],[OLD Ck Panel-1]])*1000</f>
        <v>0</v>
      </c>
      <c r="EV16">
        <f>CM17-Table2[[#This Row],[2F4 Old CK Blast (Blue star)]]</f>
        <v>0</v>
      </c>
      <c r="EW16">
        <f>CN17-Table2[[#This Row],[3F6 Old CK Blast (Carrier)]]</f>
        <v>0</v>
      </c>
      <c r="EX16">
        <f>(CO17-Table2[[#This Row],[Old CK Panel -2]])*1000</f>
        <v>0</v>
      </c>
      <c r="EY16">
        <f>N17-Table2[[#This Row],[4F1 Main UPS 1/C -1]]</f>
        <v>0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0</v>
      </c>
      <c r="FC16">
        <f>BW17-Table2[[#This Row],[7F3 CLC Power Panel]]</f>
        <v>0</v>
      </c>
      <c r="FD16">
        <f>(CI17-Table2[[#This Row],[PDB - 17 CLC Section ]])*1000</f>
        <v>0</v>
      </c>
      <c r="FE16">
        <f>(W17-Table2[[#This Row],[13F3 Water &amp; Lift Old CK]])*1000</f>
        <v>0</v>
      </c>
      <c r="FF16">
        <f>AA17-Table2[[#This Row],[15F2 New ETP Panel]]</f>
        <v>0</v>
      </c>
      <c r="FG16">
        <f>AL17-Table2[[#This Row],[3F4 Old ETP Panel]]</f>
        <v>0</v>
      </c>
      <c r="FH16">
        <f>AF17-Table2[[#This Row],[2F1 RO Plant]]</f>
        <v>0</v>
      </c>
      <c r="FI16">
        <f>AK17-Table2[[#This Row],[3F3 Fire Hydrant Panel]]</f>
        <v>0</v>
      </c>
      <c r="FJ16">
        <f>R17-Table2[[#This Row],[7F1 Freon System Panel]]</f>
        <v>0</v>
      </c>
      <c r="FK16">
        <f>(AE17-Table2[[#This Row],[21F1 Refrigeration Ammonia]])*1000</f>
        <v>0</v>
      </c>
      <c r="FL16">
        <f>(AG17-Table2[[#This Row],[2F3 Air Compressor]])*1000</f>
        <v>0</v>
      </c>
      <c r="FM16">
        <f>(AX17-Table2[[#This Row],[Solar Reading Panel II]])*1000</f>
        <v>0</v>
      </c>
      <c r="FN16">
        <f>AI17-Table2[[#This Row],[3F1 Maintenance Workshop]]</f>
        <v>0</v>
      </c>
      <c r="FO16">
        <f>BD17-Table2[[#This Row],[4F B2B unit ]]</f>
        <v>0</v>
      </c>
      <c r="FP16">
        <f>BL17-Table2[[#This Row],[2F1 - PDB 6 - Bread, B2B section]]</f>
        <v>0</v>
      </c>
      <c r="FQ16">
        <f>(CG17-Table2[[#This Row],[9F5 - PDB 14 - Bread Lift]])</f>
        <v>0</v>
      </c>
      <c r="FR16">
        <f>CJ17-Table2[[#This Row],[PDB - 16 Bread Section]]</f>
        <v>0</v>
      </c>
      <c r="FS16">
        <f>BU17-Table2[[#This Row],[7F1 Donut Production area]]</f>
        <v>0</v>
      </c>
      <c r="FT16">
        <f>CB17-Table2[[#This Row],[8F5 Donut Ban Bary]]</f>
        <v>0</v>
      </c>
      <c r="FU16">
        <f>CF17-Table2[[#This Row],[9F4 - PDB 13 - Donut Sink Geyser area]]</f>
        <v>0</v>
      </c>
      <c r="FV16">
        <f>BV17-Table2[[#This Row],[7F2 Flour Silo]]</f>
        <v>0</v>
      </c>
      <c r="FW16">
        <f>BY17-Table2[[#This Row],[8F2 ACPDB - 3 SILO Ventilation]]</f>
        <v>0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/>
      <c r="B17" s="2"/>
      <c r="C17" s="2"/>
      <c r="D17" s="1"/>
      <c r="E17" s="1"/>
      <c r="F17" s="1"/>
      <c r="G17" s="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4">
        <f>Table2[[#This Row],[Date]]</f>
        <v>0</v>
      </c>
      <c r="DI17">
        <f>(DD18-Table2[[#This Row],[MWH Total]])*4000</f>
        <v>0</v>
      </c>
      <c r="DJ17">
        <f>(DA18-Table2[[#This Row],[PNG Meter (Outside)]])*2.936</f>
        <v>0</v>
      </c>
      <c r="DK17">
        <f>(DB18-Table2[[#This Row],[PNG Meter (Inside)]])*2.936</f>
        <v>0</v>
      </c>
      <c r="DL17">
        <f>(BH18-Table2[[#This Row],[3F Dough cooler - 2 ]])*1000</f>
        <v>0</v>
      </c>
      <c r="DM17">
        <f>(BI18-Table2[[#This Row],[3F Dough Cooler- 1]])*1000</f>
        <v>0</v>
      </c>
      <c r="DN17">
        <f>(BJ18-Table2[[#This Row],[4F Dough Production cooling Unit]])*1000</f>
        <v>0</v>
      </c>
      <c r="DO17">
        <f>(BQ18-Table2[[#This Row],[3F2 - PDB 3 - Dough Production Area]])*1000</f>
        <v>0</v>
      </c>
      <c r="DP17">
        <f>(BR18-Table2[[#This Row],[3F3 - PDB 4 - Dough Area]])*1000</f>
        <v>0</v>
      </c>
      <c r="DQ17">
        <f>AC18-Table2[[#This Row],[16F1 Tray washer Panel for Light]]</f>
        <v>0</v>
      </c>
      <c r="DR17">
        <f>CQ18-Table2[[#This Row],[2F1 Tray Washer - 1]]</f>
        <v>0</v>
      </c>
      <c r="DS17">
        <f>CS18-Table2[[#This Row],[2F5 Destacker]]</f>
        <v>0</v>
      </c>
      <c r="DT17">
        <f>CU18-Table2[[#This Row],[5F1 Metering (TW-2)]]</f>
        <v>0</v>
      </c>
      <c r="DU17">
        <f>CV18-Table2[[#This Row],[6F1 Pre soaker Tray washer]]</f>
        <v>0</v>
      </c>
      <c r="DV17">
        <f>CZ18-Table2[[#This Row],[6F5 Vent tray Storage]]</f>
        <v>0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0</v>
      </c>
      <c r="DZ17">
        <f>BB18-Table2[[#This Row],[3F2 AC Unit WH dock cooling - 3 Nos]]</f>
        <v>0</v>
      </c>
      <c r="EA17">
        <f>(BK18-Table2[[#This Row],[5F WH Perishable]])*1000</f>
        <v>0</v>
      </c>
      <c r="EB17">
        <f>BN18-Table2[[#This Row],[2F3 - PDB 9 - WH Dock Leveler Door ]]</f>
        <v>0</v>
      </c>
      <c r="EC17">
        <f>BP18-Table2[[#This Row],[3F1 - PDB 5 - WH HSD]]</f>
        <v>0</v>
      </c>
      <c r="ED17">
        <f>BX18-Table2[[#This Row],[8F1 WH Dock AHU - Ventilation]]</f>
        <v>0</v>
      </c>
      <c r="EE17">
        <f>BZ18-Table2[[#This Row],[8F3 ACPDB - 4 WH Dock air curtain]]</f>
        <v>0</v>
      </c>
      <c r="EF17">
        <f>CA18-Table2[[#This Row],[8F4 WH Light]]</f>
        <v>0</v>
      </c>
      <c r="EG17">
        <f>CC18-Table2[[#This Row],[9F1 - PDB 10 - WH Dock door &amp; Office]]</f>
        <v>0</v>
      </c>
      <c r="EH17">
        <f>CD18-Table2[[#This Row],[9F2 - PDB 11 - WH flycatchers]]</f>
        <v>0</v>
      </c>
      <c r="EI17">
        <f>CE18-Table2[[#This Row],[9F3 - PDB 12 - Other items]]</f>
        <v>0</v>
      </c>
      <c r="EJ17">
        <f>CR18-Table2[[#This Row],[2F3 - PDB 1 - Dock 1 to 4 ]]</f>
        <v>0</v>
      </c>
      <c r="EK17">
        <f>BM18-Table2[[#This Row],[2F2 - PDB 3 - WH Truck &amp; Battery Charging]]</f>
        <v>0</v>
      </c>
      <c r="EL17">
        <f>(CK18-Table2[[#This Row],[PDB - 11 Truck Charging]])*1000</f>
        <v>0</v>
      </c>
      <c r="EM17">
        <f>P18-Table2[[#This Row],[5F3 Admin Area]]</f>
        <v>0</v>
      </c>
      <c r="EN17">
        <f>AH18-Table2[[#This Row],[2F5 Main Gate-1 Piller -1]]</f>
        <v>0</v>
      </c>
      <c r="EO17">
        <f>CW18-Table2[[#This Row],[6F2 Ground Floor AC]]</f>
        <v>0</v>
      </c>
      <c r="EP17">
        <f>CX18-Table2[[#This Row],[6F3 ACBD -1 (First floor AC)]]</f>
        <v>0</v>
      </c>
      <c r="EQ17">
        <f>CY18-Table2[[#This Row],[6F4 ACBD - 2 (Second &amp; Third floor AC)]]</f>
        <v>0</v>
      </c>
      <c r="ER17">
        <f>(BC18-Table2[[#This Row],[4F Old BMC cooling Unit]])</f>
        <v>0</v>
      </c>
      <c r="ES17">
        <f>BO18-Table2[[#This Row],[2F4 - Old BMC]]</f>
        <v>0</v>
      </c>
      <c r="ET17">
        <f>Y18-Table2[[#This Row],[14F2 New CK]]</f>
        <v>0</v>
      </c>
      <c r="EU17">
        <f>(CL18-Table2[[#This Row],[OLD Ck Panel-1]])*1000</f>
        <v>0</v>
      </c>
      <c r="EV17">
        <f>CM18-Table2[[#This Row],[2F4 Old CK Blast (Blue star)]]</f>
        <v>0</v>
      </c>
      <c r="EW17">
        <f>CN18-Table2[[#This Row],[3F6 Old CK Blast (Carrier)]]</f>
        <v>0</v>
      </c>
      <c r="EX17">
        <f>(CO18-Table2[[#This Row],[Old CK Panel -2]])*1000</f>
        <v>0</v>
      </c>
      <c r="EY17">
        <f>N18-Table2[[#This Row],[4F1 Main UPS 1/C -1]]</f>
        <v>0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0</v>
      </c>
      <c r="FC17">
        <f>BW18-Table2[[#This Row],[7F3 CLC Power Panel]]</f>
        <v>0</v>
      </c>
      <c r="FD17">
        <f>(CI18-Table2[[#This Row],[PDB - 17 CLC Section ]])*1000</f>
        <v>0</v>
      </c>
      <c r="FE17">
        <f>(W18-Table2[[#This Row],[13F3 Water &amp; Lift Old CK]])*1000</f>
        <v>0</v>
      </c>
      <c r="FF17">
        <f>AA18-Table2[[#This Row],[15F2 New ETP Panel]]</f>
        <v>0</v>
      </c>
      <c r="FG17">
        <f>AL18-Table2[[#This Row],[3F4 Old ETP Panel]]</f>
        <v>0</v>
      </c>
      <c r="FH17">
        <f>AF18-Table2[[#This Row],[2F1 RO Plant]]</f>
        <v>0</v>
      </c>
      <c r="FI17">
        <f>AK18-Table2[[#This Row],[3F3 Fire Hydrant Panel]]</f>
        <v>0</v>
      </c>
      <c r="FJ17">
        <f>R18-Table2[[#This Row],[7F1 Freon System Panel]]</f>
        <v>0</v>
      </c>
      <c r="FK17">
        <f>(AE18-Table2[[#This Row],[21F1 Refrigeration Ammonia]])*1000</f>
        <v>0</v>
      </c>
      <c r="FL17">
        <f>(AG18-Table2[[#This Row],[2F3 Air Compressor]])*1000</f>
        <v>0</v>
      </c>
      <c r="FM17">
        <f>(AX18-Table2[[#This Row],[Solar Reading Panel II]])*1000</f>
        <v>0</v>
      </c>
      <c r="FN17">
        <f>AI18-Table2[[#This Row],[3F1 Maintenance Workshop]]</f>
        <v>0</v>
      </c>
      <c r="FO17">
        <f>BD18-Table2[[#This Row],[4F B2B unit ]]</f>
        <v>0</v>
      </c>
      <c r="FP17">
        <f>BL18-Table2[[#This Row],[2F1 - PDB 6 - Bread, B2B section]]</f>
        <v>0</v>
      </c>
      <c r="FQ17">
        <f>(CG18-Table2[[#This Row],[9F5 - PDB 14 - Bread Lift]])</f>
        <v>0</v>
      </c>
      <c r="FR17">
        <f>CJ18-Table2[[#This Row],[PDB - 16 Bread Section]]</f>
        <v>0</v>
      </c>
      <c r="FS17">
        <f>BU18-Table2[[#This Row],[7F1 Donut Production area]]</f>
        <v>0</v>
      </c>
      <c r="FT17">
        <f>CB18-Table2[[#This Row],[8F5 Donut Ban Bary]]</f>
        <v>0</v>
      </c>
      <c r="FU17">
        <f>CF18-Table2[[#This Row],[9F4 - PDB 13 - Donut Sink Geyser area]]</f>
        <v>0</v>
      </c>
      <c r="FV17">
        <f>BV18-Table2[[#This Row],[7F2 Flour Silo]]</f>
        <v>0</v>
      </c>
      <c r="FW17">
        <f>BY18-Table2[[#This Row],[8F2 ACPDB - 3 SILO Ventilation]]</f>
        <v>0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/>
      <c r="B18" s="2"/>
      <c r="C18" s="2"/>
      <c r="D18" s="1"/>
      <c r="E18" s="1"/>
      <c r="F18" s="1"/>
      <c r="G18" s="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4">
        <f>Table2[[#This Row],[Date]]</f>
        <v>0</v>
      </c>
      <c r="DI18">
        <f>(DD19-Table2[[#This Row],[MWH Total]])*4000</f>
        <v>0</v>
      </c>
      <c r="DJ18">
        <f>(DA19-Table2[[#This Row],[PNG Meter (Outside)]])*2.936</f>
        <v>0</v>
      </c>
      <c r="DK18">
        <f>(DB19-Table2[[#This Row],[PNG Meter (Inside)]])*2.936</f>
        <v>0</v>
      </c>
      <c r="DL18">
        <f>(BH19-Table2[[#This Row],[3F Dough cooler - 2 ]])*1000</f>
        <v>0</v>
      </c>
      <c r="DM18">
        <f>(BI19-Table2[[#This Row],[3F Dough Cooler- 1]])*1000</f>
        <v>0</v>
      </c>
      <c r="DN18">
        <f>(BJ19-Table2[[#This Row],[4F Dough Production cooling Unit]])*1000</f>
        <v>0</v>
      </c>
      <c r="DO18">
        <f>(BQ19-Table2[[#This Row],[3F2 - PDB 3 - Dough Production Area]])*1000</f>
        <v>0</v>
      </c>
      <c r="DP18">
        <f>(BR19-Table2[[#This Row],[3F3 - PDB 4 - Dough Area]])*1000</f>
        <v>0</v>
      </c>
      <c r="DQ18">
        <f>AC19-Table2[[#This Row],[16F1 Tray washer Panel for Light]]</f>
        <v>0</v>
      </c>
      <c r="DR18">
        <f>CQ19-Table2[[#This Row],[2F1 Tray Washer - 1]]</f>
        <v>0</v>
      </c>
      <c r="DS18">
        <f>CS19-Table2[[#This Row],[2F5 Destacker]]</f>
        <v>0</v>
      </c>
      <c r="DT18">
        <f>CU19-Table2[[#This Row],[5F1 Metering (TW-2)]]</f>
        <v>0</v>
      </c>
      <c r="DU18">
        <f>CV19-Table2[[#This Row],[6F1 Pre soaker Tray washer]]</f>
        <v>0</v>
      </c>
      <c r="DV18">
        <f>CZ19-Table2[[#This Row],[6F5 Vent tray Storage]]</f>
        <v>0</v>
      </c>
      <c r="DW18">
        <f>I19-Table2[[#This Row],[Popeyes Meter ]]</f>
        <v>0</v>
      </c>
      <c r="DX18">
        <f>AZ19-Table2[[#This Row],[2F WH Chiller, Segregation Area]]</f>
        <v>0</v>
      </c>
      <c r="DY18">
        <f>BA19-Table2[[#This Row],[3F1 AC Unit WH dock cooling - 2 Nos]]</f>
        <v>0</v>
      </c>
      <c r="DZ18">
        <f>BB19-Table2[[#This Row],[3F2 AC Unit WH dock cooling - 3 Nos]]</f>
        <v>0</v>
      </c>
      <c r="EA18">
        <f>(BK19-Table2[[#This Row],[5F WH Perishable]])*1000</f>
        <v>0</v>
      </c>
      <c r="EB18">
        <f>BN19-Table2[[#This Row],[2F3 - PDB 9 - WH Dock Leveler Door ]]</f>
        <v>0</v>
      </c>
      <c r="EC18">
        <f>BP19-Table2[[#This Row],[3F1 - PDB 5 - WH HSD]]</f>
        <v>0</v>
      </c>
      <c r="ED18">
        <f>BX19-Table2[[#This Row],[8F1 WH Dock AHU - Ventilation]]</f>
        <v>0</v>
      </c>
      <c r="EE18">
        <f>BZ19-Table2[[#This Row],[8F3 ACPDB - 4 WH Dock air curtain]]</f>
        <v>0</v>
      </c>
      <c r="EF18">
        <f>CA19-Table2[[#This Row],[8F4 WH Light]]</f>
        <v>0</v>
      </c>
      <c r="EG18">
        <f>CC19-Table2[[#This Row],[9F1 - PDB 10 - WH Dock door &amp; Office]]</f>
        <v>0</v>
      </c>
      <c r="EH18">
        <f>CD19-Table2[[#This Row],[9F2 - PDB 11 - WH flycatchers]]</f>
        <v>0</v>
      </c>
      <c r="EI18">
        <f>CE19-Table2[[#This Row],[9F3 - PDB 12 - Other items]]</f>
        <v>0</v>
      </c>
      <c r="EJ18">
        <f>CR19-Table2[[#This Row],[2F3 - PDB 1 - Dock 1 to 4 ]]</f>
        <v>0</v>
      </c>
      <c r="EK18">
        <f>BM19-Table2[[#This Row],[2F2 - PDB 3 - WH Truck &amp; Battery Charging]]</f>
        <v>0</v>
      </c>
      <c r="EL18">
        <f>(CK19-Table2[[#This Row],[PDB - 11 Truck Charging]])*1000</f>
        <v>0</v>
      </c>
      <c r="EM18">
        <f>P19-Table2[[#This Row],[5F3 Admin Area]]</f>
        <v>0</v>
      </c>
      <c r="EN18">
        <f>AH19-Table2[[#This Row],[2F5 Main Gate-1 Piller -1]]</f>
        <v>0</v>
      </c>
      <c r="EO18">
        <f>CW19-Table2[[#This Row],[6F2 Ground Floor AC]]</f>
        <v>0</v>
      </c>
      <c r="EP18">
        <f>CX19-Table2[[#This Row],[6F3 ACBD -1 (First floor AC)]]</f>
        <v>0</v>
      </c>
      <c r="EQ18">
        <f>CY19-Table2[[#This Row],[6F4 ACBD - 2 (Second &amp; Third floor AC)]]</f>
        <v>0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0</v>
      </c>
      <c r="EU18">
        <f>(CL19-Table2[[#This Row],[OLD Ck Panel-1]])*1000</f>
        <v>0</v>
      </c>
      <c r="EV18">
        <f>CM19-Table2[[#This Row],[2F4 Old CK Blast (Blue star)]]</f>
        <v>0</v>
      </c>
      <c r="EW18">
        <f>CN19-Table2[[#This Row],[3F6 Old CK Blast (Carrier)]]</f>
        <v>0</v>
      </c>
      <c r="EX18">
        <f>(CO19-Table2[[#This Row],[Old CK Panel -2]])*1000</f>
        <v>0</v>
      </c>
      <c r="EY18">
        <f>N19-Table2[[#This Row],[4F1 Main UPS 1/C -1]]</f>
        <v>0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0</v>
      </c>
      <c r="FC18">
        <f>BW19-Table2[[#This Row],[7F3 CLC Power Panel]]</f>
        <v>0</v>
      </c>
      <c r="FD18">
        <f>(CI19-Table2[[#This Row],[PDB - 17 CLC Section ]])*1000</f>
        <v>0</v>
      </c>
      <c r="FE18">
        <f>(W19-Table2[[#This Row],[13F3 Water &amp; Lift Old CK]])*1000</f>
        <v>0</v>
      </c>
      <c r="FF18">
        <f>AA19-Table2[[#This Row],[15F2 New ETP Panel]]</f>
        <v>0</v>
      </c>
      <c r="FG18">
        <f>AL19-Table2[[#This Row],[3F4 Old ETP Panel]]</f>
        <v>0</v>
      </c>
      <c r="FH18">
        <f>AF19-Table2[[#This Row],[2F1 RO Plant]]</f>
        <v>0</v>
      </c>
      <c r="FI18">
        <f>AK19-Table2[[#This Row],[3F3 Fire Hydrant Panel]]</f>
        <v>0</v>
      </c>
      <c r="FJ18">
        <f>R19-Table2[[#This Row],[7F1 Freon System Panel]]</f>
        <v>0</v>
      </c>
      <c r="FK18">
        <f>(AE19-Table2[[#This Row],[21F1 Refrigeration Ammonia]])*1000</f>
        <v>0</v>
      </c>
      <c r="FL18">
        <f>(AG19-Table2[[#This Row],[2F3 Air Compressor]])*1000</f>
        <v>0</v>
      </c>
      <c r="FM18">
        <f>(AX19-Table2[[#This Row],[Solar Reading Panel II]])*1000</f>
        <v>0</v>
      </c>
      <c r="FN18">
        <f>AI19-Table2[[#This Row],[3F1 Maintenance Workshop]]</f>
        <v>0</v>
      </c>
      <c r="FO18">
        <f>BD19-Table2[[#This Row],[4F B2B unit ]]</f>
        <v>0</v>
      </c>
      <c r="FP18">
        <f>BL19-Table2[[#This Row],[2F1 - PDB 6 - Bread, B2B section]]</f>
        <v>0</v>
      </c>
      <c r="FQ18">
        <f>(CG19-Table2[[#This Row],[9F5 - PDB 14 - Bread Lift]])</f>
        <v>0</v>
      </c>
      <c r="FR18">
        <f>CJ19-Table2[[#This Row],[PDB - 16 Bread Section]]</f>
        <v>0</v>
      </c>
      <c r="FS18">
        <f>BU19-Table2[[#This Row],[7F1 Donut Production area]]</f>
        <v>0</v>
      </c>
      <c r="FT18">
        <f>CB19-Table2[[#This Row],[8F5 Donut Ban Bary]]</f>
        <v>0</v>
      </c>
      <c r="FU18">
        <f>CF19-Table2[[#This Row],[9F4 - PDB 13 - Donut Sink Geyser area]]</f>
        <v>0</v>
      </c>
      <c r="FV18">
        <f>BV19-Table2[[#This Row],[7F2 Flour Silo]]</f>
        <v>0</v>
      </c>
      <c r="FW18">
        <f>BY19-Table2[[#This Row],[8F2 ACPDB - 3 SILO Ventilation]]</f>
        <v>0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/>
      <c r="B19" s="2"/>
      <c r="C19" s="2"/>
      <c r="D19" s="1"/>
      <c r="E19" s="1"/>
      <c r="F19" s="1"/>
      <c r="G19" s="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4">
        <f>Table2[[#This Row],[Date]]</f>
        <v>0</v>
      </c>
      <c r="DI19">
        <f>(DD20-Table2[[#This Row],[MWH Total]])*4000</f>
        <v>0</v>
      </c>
      <c r="DJ19">
        <f>(DA20-Table2[[#This Row],[PNG Meter (Outside)]])*2.936</f>
        <v>0</v>
      </c>
      <c r="DK19">
        <f>(DB20-Table2[[#This Row],[PNG Meter (Inside)]])*2.936</f>
        <v>0</v>
      </c>
      <c r="DL19">
        <f>(BH20-Table2[[#This Row],[3F Dough cooler - 2 ]])*1000</f>
        <v>0</v>
      </c>
      <c r="DM19">
        <f>(BI20-Table2[[#This Row],[3F Dough Cooler- 1]])*1000</f>
        <v>0</v>
      </c>
      <c r="DN19">
        <f>(BJ20-Table2[[#This Row],[4F Dough Production cooling Unit]])*1000</f>
        <v>0</v>
      </c>
      <c r="DO19">
        <f>(BQ20-Table2[[#This Row],[3F2 - PDB 3 - Dough Production Area]])*1000</f>
        <v>0</v>
      </c>
      <c r="DP19">
        <f>(BR20-Table2[[#This Row],[3F3 - PDB 4 - Dough Area]])*1000</f>
        <v>0</v>
      </c>
      <c r="DQ19">
        <f>AC20-Table2[[#This Row],[16F1 Tray washer Panel for Light]]</f>
        <v>0</v>
      </c>
      <c r="DR19">
        <f>CQ20-Table2[[#This Row],[2F1 Tray Washer - 1]]</f>
        <v>0</v>
      </c>
      <c r="DS19">
        <f>CS20-Table2[[#This Row],[2F5 Destacker]]</f>
        <v>0</v>
      </c>
      <c r="DT19">
        <f>CU20-Table2[[#This Row],[5F1 Metering (TW-2)]]</f>
        <v>0</v>
      </c>
      <c r="DU19">
        <f>CV20-Table2[[#This Row],[6F1 Pre soaker Tray washer]]</f>
        <v>0</v>
      </c>
      <c r="DV19">
        <f>CZ20-Table2[[#This Row],[6F5 Vent tray Storage]]</f>
        <v>0</v>
      </c>
      <c r="DW19">
        <f>I20-Table2[[#This Row],[Popeyes Meter ]]</f>
        <v>0</v>
      </c>
      <c r="DX19">
        <f>AZ20-Table2[[#This Row],[2F WH Chiller, Segregation Area]]</f>
        <v>0</v>
      </c>
      <c r="DY19">
        <f>BA20-Table2[[#This Row],[3F1 AC Unit WH dock cooling - 2 Nos]]</f>
        <v>0</v>
      </c>
      <c r="DZ19">
        <f>BB20-Table2[[#This Row],[3F2 AC Unit WH dock cooling - 3 Nos]]</f>
        <v>0</v>
      </c>
      <c r="EA19">
        <f>(BK20-Table2[[#This Row],[5F WH Perishable]])*1000</f>
        <v>0</v>
      </c>
      <c r="EB19">
        <f>BN20-Table2[[#This Row],[2F3 - PDB 9 - WH Dock Leveler Door ]]</f>
        <v>0</v>
      </c>
      <c r="EC19">
        <f>BP20-Table2[[#This Row],[3F1 - PDB 5 - WH HSD]]</f>
        <v>0</v>
      </c>
      <c r="ED19">
        <f>BX20-Table2[[#This Row],[8F1 WH Dock AHU - Ventilation]]</f>
        <v>0</v>
      </c>
      <c r="EE19">
        <f>BZ20-Table2[[#This Row],[8F3 ACPDB - 4 WH Dock air curtain]]</f>
        <v>0</v>
      </c>
      <c r="EF19">
        <f>CA20-Table2[[#This Row],[8F4 WH Light]]</f>
        <v>0</v>
      </c>
      <c r="EG19">
        <f>CC20-Table2[[#This Row],[9F1 - PDB 10 - WH Dock door &amp; Office]]</f>
        <v>0</v>
      </c>
      <c r="EH19">
        <f>CD20-Table2[[#This Row],[9F2 - PDB 11 - WH flycatchers]]</f>
        <v>0</v>
      </c>
      <c r="EI19">
        <f>CE20-Table2[[#This Row],[9F3 - PDB 12 - Other items]]</f>
        <v>0</v>
      </c>
      <c r="EJ19">
        <f>CR20-Table2[[#This Row],[2F3 - PDB 1 - Dock 1 to 4 ]]</f>
        <v>0</v>
      </c>
      <c r="EK19">
        <f>BM20-Table2[[#This Row],[2F2 - PDB 3 - WH Truck &amp; Battery Charging]]</f>
        <v>0</v>
      </c>
      <c r="EL19">
        <f>(CK20-Table2[[#This Row],[PDB - 11 Truck Charging]])*1000</f>
        <v>0</v>
      </c>
      <c r="EM19">
        <f>P20-Table2[[#This Row],[5F3 Admin Area]]</f>
        <v>0</v>
      </c>
      <c r="EN19">
        <f>AH20-Table2[[#This Row],[2F5 Main Gate-1 Piller -1]]</f>
        <v>0</v>
      </c>
      <c r="EO19">
        <f>CW20-Table2[[#This Row],[6F2 Ground Floor AC]]</f>
        <v>0</v>
      </c>
      <c r="EP19">
        <f>CX20-Table2[[#This Row],[6F3 ACBD -1 (First floor AC)]]</f>
        <v>0</v>
      </c>
      <c r="EQ19">
        <f>CY20-Table2[[#This Row],[6F4 ACBD - 2 (Second &amp; Third floor AC)]]</f>
        <v>0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0</v>
      </c>
      <c r="EU19">
        <f>(CL20-Table2[[#This Row],[OLD Ck Panel-1]])*1000</f>
        <v>0</v>
      </c>
      <c r="EV19">
        <f>CM20-Table2[[#This Row],[2F4 Old CK Blast (Blue star)]]</f>
        <v>0</v>
      </c>
      <c r="EW19">
        <f>CN20-Table2[[#This Row],[3F6 Old CK Blast (Carrier)]]</f>
        <v>0</v>
      </c>
      <c r="EX19">
        <f>(CO20-Table2[[#This Row],[Old CK Panel -2]])*1000</f>
        <v>0</v>
      </c>
      <c r="EY19">
        <f>N20-Table2[[#This Row],[4F1 Main UPS 1/C -1]]</f>
        <v>0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0</v>
      </c>
      <c r="FC19">
        <f>BW20-Table2[[#This Row],[7F3 CLC Power Panel]]</f>
        <v>0</v>
      </c>
      <c r="FD19">
        <f>(CI20-Table2[[#This Row],[PDB - 17 CLC Section ]])*1000</f>
        <v>0</v>
      </c>
      <c r="FE19">
        <f>(W20-Table2[[#This Row],[13F3 Water &amp; Lift Old CK]])*1000</f>
        <v>0</v>
      </c>
      <c r="FF19">
        <f>AA20-Table2[[#This Row],[15F2 New ETP Panel]]</f>
        <v>0</v>
      </c>
      <c r="FG19">
        <f>AL20-Table2[[#This Row],[3F4 Old ETP Panel]]</f>
        <v>0</v>
      </c>
      <c r="FH19">
        <f>AF20-Table2[[#This Row],[2F1 RO Plant]]</f>
        <v>0</v>
      </c>
      <c r="FI19">
        <f>AK20-Table2[[#This Row],[3F3 Fire Hydrant Panel]]</f>
        <v>0</v>
      </c>
      <c r="FJ19">
        <f>R20-Table2[[#This Row],[7F1 Freon System Panel]]</f>
        <v>0</v>
      </c>
      <c r="FK19">
        <f>(AE20-Table2[[#This Row],[21F1 Refrigeration Ammonia]])*1000</f>
        <v>0</v>
      </c>
      <c r="FL19">
        <f>(AG20-Table2[[#This Row],[2F3 Air Compressor]])*1000</f>
        <v>0</v>
      </c>
      <c r="FM19">
        <f>(AX20-Table2[[#This Row],[Solar Reading Panel II]])*1000</f>
        <v>0</v>
      </c>
      <c r="FN19">
        <f>AI20-Table2[[#This Row],[3F1 Maintenance Workshop]]</f>
        <v>0</v>
      </c>
      <c r="FO19">
        <f>BD20-Table2[[#This Row],[4F B2B unit ]]</f>
        <v>0</v>
      </c>
      <c r="FP19">
        <f>BL20-Table2[[#This Row],[2F1 - PDB 6 - Bread, B2B section]]</f>
        <v>0</v>
      </c>
      <c r="FQ19">
        <f>(CG20-Table2[[#This Row],[9F5 - PDB 14 - Bread Lift]])</f>
        <v>0</v>
      </c>
      <c r="FR19">
        <f>CJ20-Table2[[#This Row],[PDB - 16 Bread Section]]</f>
        <v>0</v>
      </c>
      <c r="FS19">
        <f>BU20-Table2[[#This Row],[7F1 Donut Production area]]</f>
        <v>0</v>
      </c>
      <c r="FT19">
        <f>CB20-Table2[[#This Row],[8F5 Donut Ban Bary]]</f>
        <v>0</v>
      </c>
      <c r="FU19">
        <f>CF20-Table2[[#This Row],[9F4 - PDB 13 - Donut Sink Geyser area]]</f>
        <v>0</v>
      </c>
      <c r="FV19">
        <f>BV20-Table2[[#This Row],[7F2 Flour Silo]]</f>
        <v>0</v>
      </c>
      <c r="FW19">
        <f>BY20-Table2[[#This Row],[8F2 ACPDB - 3 SILO Ventilation]]</f>
        <v>0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/>
      <c r="B20" s="2"/>
      <c r="C20" s="2"/>
      <c r="D20" s="1"/>
      <c r="E20" s="1"/>
      <c r="F20" s="1"/>
      <c r="G20" s="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4">
        <f>Table2[[#This Row],[Date]]</f>
        <v>0</v>
      </c>
      <c r="DI20">
        <f>(DD21-Table2[[#This Row],[MWH Total]])*4000</f>
        <v>0</v>
      </c>
      <c r="DJ20">
        <f>(DA21-Table2[[#This Row],[PNG Meter (Outside)]])*2.936</f>
        <v>0</v>
      </c>
      <c r="DK20">
        <f>(DB21-Table2[[#This Row],[PNG Meter (Inside)]])*2.936</f>
        <v>0</v>
      </c>
      <c r="DL20">
        <f>(BH21-Table2[[#This Row],[3F Dough cooler - 2 ]])*1000</f>
        <v>0</v>
      </c>
      <c r="DM20">
        <f>(BI21-Table2[[#This Row],[3F Dough Cooler- 1]])*1000</f>
        <v>0</v>
      </c>
      <c r="DN20">
        <f>(BJ21-Table2[[#This Row],[4F Dough Production cooling Unit]])*1000</f>
        <v>0</v>
      </c>
      <c r="DO20">
        <f>(BQ21-Table2[[#This Row],[3F2 - PDB 3 - Dough Production Area]])*1000</f>
        <v>0</v>
      </c>
      <c r="DP20">
        <f>(BR21-Table2[[#This Row],[3F3 - PDB 4 - Dough Area]])*1000</f>
        <v>0</v>
      </c>
      <c r="DQ20">
        <f>AC21-Table2[[#This Row],[16F1 Tray washer Panel for Light]]</f>
        <v>0</v>
      </c>
      <c r="DR20">
        <f>CQ21-Table2[[#This Row],[2F1 Tray Washer - 1]]</f>
        <v>0</v>
      </c>
      <c r="DS20">
        <f>CS21-Table2[[#This Row],[2F5 Destacker]]</f>
        <v>0</v>
      </c>
      <c r="DT20">
        <f>CU21-Table2[[#This Row],[5F1 Metering (TW-2)]]</f>
        <v>0</v>
      </c>
      <c r="DU20">
        <f>CV21-Table2[[#This Row],[6F1 Pre soaker Tray washer]]</f>
        <v>0</v>
      </c>
      <c r="DV20">
        <f>CZ21-Table2[[#This Row],[6F5 Vent tray Storage]]</f>
        <v>0</v>
      </c>
      <c r="DW20">
        <f>I21-Table2[[#This Row],[Popeyes Meter ]]</f>
        <v>0</v>
      </c>
      <c r="DX20">
        <f>AZ21-Table2[[#This Row],[2F WH Chiller, Segregation Area]]</f>
        <v>0</v>
      </c>
      <c r="DY20">
        <f>BA21-Table2[[#This Row],[3F1 AC Unit WH dock cooling - 2 Nos]]</f>
        <v>0</v>
      </c>
      <c r="DZ20">
        <f>BB21-Table2[[#This Row],[3F2 AC Unit WH dock cooling - 3 Nos]]</f>
        <v>0</v>
      </c>
      <c r="EA20">
        <f>(BK21-Table2[[#This Row],[5F WH Perishable]])*1000</f>
        <v>0</v>
      </c>
      <c r="EB20">
        <f>BN21-Table2[[#This Row],[2F3 - PDB 9 - WH Dock Leveler Door ]]</f>
        <v>0</v>
      </c>
      <c r="EC20">
        <f>BP21-Table2[[#This Row],[3F1 - PDB 5 - WH HSD]]</f>
        <v>0</v>
      </c>
      <c r="ED20">
        <f>BX21-Table2[[#This Row],[8F1 WH Dock AHU - Ventilation]]</f>
        <v>0</v>
      </c>
      <c r="EE20">
        <f>BZ21-Table2[[#This Row],[8F3 ACPDB - 4 WH Dock air curtain]]</f>
        <v>0</v>
      </c>
      <c r="EF20">
        <f>CA21-Table2[[#This Row],[8F4 WH Light]]</f>
        <v>0</v>
      </c>
      <c r="EG20">
        <f>CC21-Table2[[#This Row],[9F1 - PDB 10 - WH Dock door &amp; Office]]</f>
        <v>0</v>
      </c>
      <c r="EH20">
        <f>CD21-Table2[[#This Row],[9F2 - PDB 11 - WH flycatchers]]</f>
        <v>0</v>
      </c>
      <c r="EI20">
        <f>CE21-Table2[[#This Row],[9F3 - PDB 12 - Other items]]</f>
        <v>0</v>
      </c>
      <c r="EJ20">
        <f>CR21-Table2[[#This Row],[2F3 - PDB 1 - Dock 1 to 4 ]]</f>
        <v>0</v>
      </c>
      <c r="EK20">
        <f>BM21-Table2[[#This Row],[2F2 - PDB 3 - WH Truck &amp; Battery Charging]]</f>
        <v>0</v>
      </c>
      <c r="EL20">
        <f>(CK21-Table2[[#This Row],[PDB - 11 Truck Charging]])*1000</f>
        <v>0</v>
      </c>
      <c r="EM20">
        <f>P21-Table2[[#This Row],[5F3 Admin Area]]</f>
        <v>0</v>
      </c>
      <c r="EN20">
        <f>AH21-Table2[[#This Row],[2F5 Main Gate-1 Piller -1]]</f>
        <v>0</v>
      </c>
      <c r="EO20">
        <f>CW21-Table2[[#This Row],[6F2 Ground Floor AC]]</f>
        <v>0</v>
      </c>
      <c r="EP20">
        <f>CX21-Table2[[#This Row],[6F3 ACBD -1 (First floor AC)]]</f>
        <v>0</v>
      </c>
      <c r="EQ20">
        <f>CY21-Table2[[#This Row],[6F4 ACBD - 2 (Second &amp; Third floor AC)]]</f>
        <v>0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0</v>
      </c>
      <c r="EU20">
        <f>(CL21-Table2[[#This Row],[OLD Ck Panel-1]])*1000</f>
        <v>0</v>
      </c>
      <c r="EV20">
        <f>CM21-Table2[[#This Row],[2F4 Old CK Blast (Blue star)]]</f>
        <v>0</v>
      </c>
      <c r="EW20">
        <f>CN21-Table2[[#This Row],[3F6 Old CK Blast (Carrier)]]</f>
        <v>0</v>
      </c>
      <c r="EX20">
        <f>(CO21-Table2[[#This Row],[Old CK Panel -2]])*1000</f>
        <v>0</v>
      </c>
      <c r="EY20">
        <f>N21-Table2[[#This Row],[4F1 Main UPS 1/C -1]]</f>
        <v>0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0</v>
      </c>
      <c r="FC20">
        <f>BW21-Table2[[#This Row],[7F3 CLC Power Panel]]</f>
        <v>0</v>
      </c>
      <c r="FD20">
        <f>(CI21-Table2[[#This Row],[PDB - 17 CLC Section ]])*1000</f>
        <v>0</v>
      </c>
      <c r="FE20">
        <f>(W21-Table2[[#This Row],[13F3 Water &amp; Lift Old CK]])*1000</f>
        <v>0</v>
      </c>
      <c r="FF20">
        <f>AA21-Table2[[#This Row],[15F2 New ETP Panel]]</f>
        <v>0</v>
      </c>
      <c r="FG20">
        <f>AL21-Table2[[#This Row],[3F4 Old ETP Panel]]</f>
        <v>0</v>
      </c>
      <c r="FH20">
        <f>AF21-Table2[[#This Row],[2F1 RO Plant]]</f>
        <v>0</v>
      </c>
      <c r="FI20">
        <f>AK21-Table2[[#This Row],[3F3 Fire Hydrant Panel]]</f>
        <v>0</v>
      </c>
      <c r="FJ20">
        <f>R21-Table2[[#This Row],[7F1 Freon System Panel]]</f>
        <v>0</v>
      </c>
      <c r="FK20">
        <f>(AE21-Table2[[#This Row],[21F1 Refrigeration Ammonia]])*1000</f>
        <v>0</v>
      </c>
      <c r="FL20">
        <f>(AG21-Table2[[#This Row],[2F3 Air Compressor]])*1000</f>
        <v>0</v>
      </c>
      <c r="FM20">
        <f>(AX21-Table2[[#This Row],[Solar Reading Panel II]])*1000</f>
        <v>0</v>
      </c>
      <c r="FN20">
        <f>AI21-Table2[[#This Row],[3F1 Maintenance Workshop]]</f>
        <v>0</v>
      </c>
      <c r="FO20">
        <f>BD21-Table2[[#This Row],[4F B2B unit ]]</f>
        <v>0</v>
      </c>
      <c r="FP20">
        <f>BL21-Table2[[#This Row],[2F1 - PDB 6 - Bread, B2B section]]</f>
        <v>0</v>
      </c>
      <c r="FQ20">
        <f>(CG21-Table2[[#This Row],[9F5 - PDB 14 - Bread Lift]])</f>
        <v>0</v>
      </c>
      <c r="FR20">
        <f>CJ21-Table2[[#This Row],[PDB - 16 Bread Section]]</f>
        <v>0</v>
      </c>
      <c r="FS20">
        <f>BU21-Table2[[#This Row],[7F1 Donut Production area]]</f>
        <v>0</v>
      </c>
      <c r="FT20">
        <f>CB21-Table2[[#This Row],[8F5 Donut Ban Bary]]</f>
        <v>0</v>
      </c>
      <c r="FU20">
        <f>CF21-Table2[[#This Row],[9F4 - PDB 13 - Donut Sink Geyser area]]</f>
        <v>0</v>
      </c>
      <c r="FV20">
        <f>BV21-Table2[[#This Row],[7F2 Flour Silo]]</f>
        <v>0</v>
      </c>
      <c r="FW20">
        <f>BY21-Table2[[#This Row],[8F2 ACPDB - 3 SILO Ventilation]]</f>
        <v>0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/>
      <c r="B21" s="2"/>
      <c r="C21" s="2"/>
      <c r="D21" s="1"/>
      <c r="E21" s="1"/>
      <c r="F21" s="1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AC22-Table2[[#This Row],[16F1 Tray washer Panel for Light]]</f>
        <v>0</v>
      </c>
      <c r="DR21">
        <f>CQ22-Table2[[#This Row],[2F1 Tray Washer - 1]]</f>
        <v>0</v>
      </c>
      <c r="DS21">
        <f>CS22-Table2[[#This Row],[2F5 Destacker]]</f>
        <v>0</v>
      </c>
      <c r="DT21">
        <f>CU22-Table2[[#This Row],[5F1 Metering (TW-2)]]</f>
        <v>0</v>
      </c>
      <c r="DU21">
        <f>CV22-Table2[[#This Row],[6F1 Pre soaker Tray washer]]</f>
        <v>0</v>
      </c>
      <c r="DV21">
        <f>CZ22-Table2[[#This Row],[6F5 Vent tray Storage]]</f>
        <v>0</v>
      </c>
      <c r="DW21">
        <f>I22-Table2[[#This Row],[Popeyes Meter ]]</f>
        <v>0</v>
      </c>
      <c r="DX21">
        <f>AZ22-Table2[[#This Row],[2F WH Chiller, Segregation Area]]</f>
        <v>0</v>
      </c>
      <c r="DY21">
        <f>BA22-Table2[[#This Row],[3F1 AC Unit WH dock cooling - 2 Nos]]</f>
        <v>0</v>
      </c>
      <c r="DZ21">
        <f>BB22-Table2[[#This Row],[3F2 AC Unit WH dock cooling - 3 Nos]]</f>
        <v>0</v>
      </c>
      <c r="EA21">
        <f>(BK22-Table2[[#This Row],[5F WH Perishable]])*1000</f>
        <v>0</v>
      </c>
      <c r="EB21">
        <f>BN22-Table2[[#This Row],[2F3 - PDB 9 - WH Dock Leveler Door ]]</f>
        <v>0</v>
      </c>
      <c r="EC21">
        <f>BP22-Table2[[#This Row],[3F1 - PDB 5 - WH HSD]]</f>
        <v>0</v>
      </c>
      <c r="ED21">
        <f>BX22-Table2[[#This Row],[8F1 WH Dock AHU - Ventilation]]</f>
        <v>0</v>
      </c>
      <c r="EE21">
        <f>BZ22-Table2[[#This Row],[8F3 ACPDB - 4 WH Dock air curtain]]</f>
        <v>0</v>
      </c>
      <c r="EF21">
        <f>CA22-Table2[[#This Row],[8F4 WH Light]]</f>
        <v>0</v>
      </c>
      <c r="EG21">
        <f>CC22-Table2[[#This Row],[9F1 - PDB 10 - WH Dock door &amp; Office]]</f>
        <v>0</v>
      </c>
      <c r="EH21">
        <f>CD22-Table2[[#This Row],[9F2 - PDB 11 - WH flycatchers]]</f>
        <v>0</v>
      </c>
      <c r="EI21">
        <f>CE22-Table2[[#This Row],[9F3 - PDB 12 - Other items]]</f>
        <v>0</v>
      </c>
      <c r="EJ21">
        <f>CR22-Table2[[#This Row],[2F3 - PDB 1 - Dock 1 to 4 ]]</f>
        <v>0</v>
      </c>
      <c r="EK21">
        <f>BM22-Table2[[#This Row],[2F2 - PDB 3 - WH Truck &amp; Battery Charging]]</f>
        <v>0</v>
      </c>
      <c r="EL21">
        <f>(CK22-Table2[[#This Row],[PDB - 11 Truck Charging]])*1000</f>
        <v>0</v>
      </c>
      <c r="EM21">
        <f>P22-Table2[[#This Row],[5F3 Admin Area]]</f>
        <v>0</v>
      </c>
      <c r="EN21">
        <f>AH22-Table2[[#This Row],[2F5 Main Gate-1 Piller -1]]</f>
        <v>0</v>
      </c>
      <c r="EO21">
        <f>CW22-Table2[[#This Row],[6F2 Ground Floor AC]]</f>
        <v>0</v>
      </c>
      <c r="EP21">
        <f>CX22-Table2[[#This Row],[6F3 ACBD -1 (First floor AC)]]</f>
        <v>0</v>
      </c>
      <c r="EQ21">
        <f>CY22-Table2[[#This Row],[6F4 ACBD - 2 (Second &amp; Third floor AC)]]</f>
        <v>0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0</v>
      </c>
      <c r="EU21">
        <f>(CL22-Table2[[#This Row],[OLD Ck Panel-1]])*1000</f>
        <v>0</v>
      </c>
      <c r="EV21">
        <f>CM22-Table2[[#This Row],[2F4 Old CK Blast (Blue star)]]</f>
        <v>0</v>
      </c>
      <c r="EW21">
        <f>CN22-Table2[[#This Row],[3F6 Old CK Blast (Carrier)]]</f>
        <v>0</v>
      </c>
      <c r="EX21">
        <f>(CO22-Table2[[#This Row],[Old CK Panel -2]])*1000</f>
        <v>0</v>
      </c>
      <c r="EY21">
        <f>N22-Table2[[#This Row],[4F1 Main UPS 1/C -1]]</f>
        <v>0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0</v>
      </c>
      <c r="FC21">
        <f>BW22-Table2[[#This Row],[7F3 CLC Power Panel]]</f>
        <v>0</v>
      </c>
      <c r="FD21">
        <f>(CI22-Table2[[#This Row],[PDB - 17 CLC Section ]])*1000</f>
        <v>0</v>
      </c>
      <c r="FE21">
        <f>(W22-Table2[[#This Row],[13F3 Water &amp; Lift Old CK]])*1000</f>
        <v>0</v>
      </c>
      <c r="FF21">
        <f>AA22-Table2[[#This Row],[15F2 New ETP Panel]]</f>
        <v>0</v>
      </c>
      <c r="FG21">
        <f>AL22-Table2[[#This Row],[3F4 Old ETP Panel]]</f>
        <v>0</v>
      </c>
      <c r="FH21">
        <f>AF22-Table2[[#This Row],[2F1 RO Plant]]</f>
        <v>0</v>
      </c>
      <c r="FI21">
        <f>AK22-Table2[[#This Row],[3F3 Fire Hydrant Panel]]</f>
        <v>0</v>
      </c>
      <c r="FJ21">
        <f>R22-Table2[[#This Row],[7F1 Freon System Panel]]</f>
        <v>0</v>
      </c>
      <c r="FK21">
        <f>(AE22-Table2[[#This Row],[21F1 Refrigeration Ammonia]])*1000</f>
        <v>0</v>
      </c>
      <c r="FL21">
        <f>(AG22-Table2[[#This Row],[2F3 Air Compressor]])*1000</f>
        <v>0</v>
      </c>
      <c r="FM21">
        <f>(AX22-Table2[[#This Row],[Solar Reading Panel II]])*1000</f>
        <v>0</v>
      </c>
      <c r="FN21">
        <f>AI22-Table2[[#This Row],[3F1 Maintenance Workshop]]</f>
        <v>0</v>
      </c>
      <c r="FO21">
        <f>BD22-Table2[[#This Row],[4F B2B unit ]]</f>
        <v>0</v>
      </c>
      <c r="FP21">
        <f>BL22-Table2[[#This Row],[2F1 - PDB 6 - Bread, B2B section]]</f>
        <v>0</v>
      </c>
      <c r="FQ21">
        <f>(CG22-Table2[[#This Row],[9F5 - PDB 14 - Bread Lift]])</f>
        <v>0</v>
      </c>
      <c r="FR21">
        <f>CJ22-Table2[[#This Row],[PDB - 16 Bread Section]]</f>
        <v>0</v>
      </c>
      <c r="FS21">
        <f>BU22-Table2[[#This Row],[7F1 Donut Production area]]</f>
        <v>0</v>
      </c>
      <c r="FT21">
        <f>CB22-Table2[[#This Row],[8F5 Donut Ban Bary]]</f>
        <v>0</v>
      </c>
      <c r="FU21">
        <f>CF22-Table2[[#This Row],[9F4 - PDB 13 - Donut Sink Geyser area]]</f>
        <v>0</v>
      </c>
      <c r="FV21">
        <f>BV22-Table2[[#This Row],[7F2 Flour Silo]]</f>
        <v>0</v>
      </c>
      <c r="FW21">
        <f>BY22-Table2[[#This Row],[8F2 ACPDB - 3 SILO Ventilation]]</f>
        <v>0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>
        <f>Table2[[#This Row],[Date]]</f>
        <v>0</v>
      </c>
      <c r="DI25">
        <f>(DD26-Table2[[#This Row],[MWH Total]])*4000</f>
        <v>0</v>
      </c>
      <c r="DJ25">
        <f>(DA26-Table2[[#This Row],[PNG Meter (Outside)]])*2.936</f>
        <v>0</v>
      </c>
      <c r="DK25">
        <f>(DB26-Table2[[#This Row],[PNG Meter (Inside)]])*2.936</f>
        <v>0</v>
      </c>
      <c r="DL25">
        <f>(BH26-Table2[[#This Row],[3F Dough cooler - 2 ]])*1000</f>
        <v>0</v>
      </c>
      <c r="DM25">
        <f>(BI26-Table2[[#This Row],[3F Dough Cooler- 1]])*1000</f>
        <v>0</v>
      </c>
      <c r="DN25">
        <f>(BJ26-Table2[[#This Row],[4F Dough Production cooling Unit]])*1000</f>
        <v>0</v>
      </c>
      <c r="DO25">
        <f>(BQ26-Table2[[#This Row],[3F2 - PDB 3 - Dough Production Area]])*1000</f>
        <v>0</v>
      </c>
      <c r="DP25">
        <f>(BR26-Table2[[#This Row],[3F3 - PDB 4 - Dough Area]])*1000</f>
        <v>0</v>
      </c>
      <c r="DQ25">
        <f>AC26-Table2[[#This Row],[16F1 Tray washer Panel for Light]]</f>
        <v>0</v>
      </c>
      <c r="DR25">
        <f>CQ26-Table2[[#This Row],[2F1 Tray Washer - 1]]</f>
        <v>0</v>
      </c>
      <c r="DS25">
        <f>CS26-Table2[[#This Row],[2F5 Destacker]]</f>
        <v>0</v>
      </c>
      <c r="DT25">
        <f>CU26-Table2[[#This Row],[5F1 Metering (TW-2)]]</f>
        <v>0</v>
      </c>
      <c r="DU25">
        <f>CV26-Table2[[#This Row],[6F1 Pre soaker Tray washer]]</f>
        <v>0</v>
      </c>
      <c r="DV25">
        <f>CZ26-Table2[[#This Row],[6F5 Vent tray Storage]]</f>
        <v>0</v>
      </c>
      <c r="DW25">
        <f>I26-Table2[[#This Row],[Popeyes Meter ]]</f>
        <v>0</v>
      </c>
      <c r="DX25">
        <f>AZ26-Table2[[#This Row],[2F WH Chiller, Segregation Area]]</f>
        <v>0</v>
      </c>
      <c r="DY25">
        <f>BA26-Table2[[#This Row],[3F1 AC Unit WH dock cooling - 2 Nos]]</f>
        <v>0</v>
      </c>
      <c r="DZ25">
        <f>BB26-Table2[[#This Row],[3F2 AC Unit WH dock cooling - 3 Nos]]</f>
        <v>0</v>
      </c>
      <c r="EA25">
        <f>(BK26-Table2[[#This Row],[5F WH Perishable]])*1000</f>
        <v>0</v>
      </c>
      <c r="EB25">
        <f>BN26-Table2[[#This Row],[2F3 - PDB 9 - WH Dock Leveler Door ]]</f>
        <v>0</v>
      </c>
      <c r="EC25">
        <f>BP26-Table2[[#This Row],[3F1 - PDB 5 - WH HSD]]</f>
        <v>0</v>
      </c>
      <c r="ED25">
        <f>BX26-Table2[[#This Row],[8F1 WH Dock AHU - Ventilation]]</f>
        <v>0</v>
      </c>
      <c r="EE25">
        <f>BZ26-Table2[[#This Row],[8F3 ACPDB - 4 WH Dock air curtain]]</f>
        <v>0</v>
      </c>
      <c r="EF25">
        <f>CA26-Table2[[#This Row],[8F4 WH Light]]</f>
        <v>0</v>
      </c>
      <c r="EG25">
        <f>CC26-Table2[[#This Row],[9F1 - PDB 10 - WH Dock door &amp; Office]]</f>
        <v>0</v>
      </c>
      <c r="EH25">
        <f>CD26-Table2[[#This Row],[9F2 - PDB 11 - WH flycatchers]]</f>
        <v>0</v>
      </c>
      <c r="EI25">
        <f>CE26-Table2[[#This Row],[9F3 - PDB 12 - Other items]]</f>
        <v>0</v>
      </c>
      <c r="EJ25">
        <f>CR26-Table2[[#This Row],[2F3 - PDB 1 - Dock 1 to 4 ]]</f>
        <v>0</v>
      </c>
      <c r="EK25">
        <f>BM26-Table2[[#This Row],[2F2 - PDB 3 - WH Truck &amp; Battery Charging]]</f>
        <v>0</v>
      </c>
      <c r="EL25">
        <f>(CK26-Table2[[#This Row],[PDB - 11 Truck Charging]])*1000</f>
        <v>0</v>
      </c>
      <c r="EM25">
        <f>P26-Table2[[#This Row],[5F3 Admin Area]]</f>
        <v>0</v>
      </c>
      <c r="EN25">
        <f>AH26-Table2[[#This Row],[2F5 Main Gate-1 Piller -1]]</f>
        <v>0</v>
      </c>
      <c r="EO25">
        <f>CW26-Table2[[#This Row],[6F2 Ground Floor AC]]</f>
        <v>0</v>
      </c>
      <c r="EP25">
        <f>CX26-Table2[[#This Row],[6F3 ACBD -1 (First floor AC)]]</f>
        <v>0</v>
      </c>
      <c r="EQ25">
        <f>CY26-Table2[[#This Row],[6F4 ACBD - 2 (Second &amp; Third floor AC)]]</f>
        <v>0</v>
      </c>
      <c r="ER25">
        <f>(BC26-Table2[[#This Row],[4F Old BMC cooling Unit]])</f>
        <v>0</v>
      </c>
      <c r="ES25">
        <f>BO26-Table2[[#This Row],[2F4 - Old BMC]]</f>
        <v>0</v>
      </c>
      <c r="ET25">
        <f>Y26-Table2[[#This Row],[14F2 New CK]]</f>
        <v>0</v>
      </c>
      <c r="EU25">
        <f>(CL26-Table2[[#This Row],[OLD Ck Panel-1]])*1000</f>
        <v>0</v>
      </c>
      <c r="EV25">
        <f>CM26-Table2[[#This Row],[2F4 Old CK Blast (Blue star)]]</f>
        <v>0</v>
      </c>
      <c r="EW25">
        <f>CN26-Table2[[#This Row],[3F6 Old CK Blast (Carrier)]]</f>
        <v>0</v>
      </c>
      <c r="EX25">
        <f>(CO26-Table2[[#This Row],[Old CK Panel -2]])*1000</f>
        <v>0</v>
      </c>
      <c r="EY25">
        <f>N26-Table2[[#This Row],[4F1 Main UPS 1/C -1]]</f>
        <v>0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0</v>
      </c>
      <c r="FC25">
        <f>BW26-Table2[[#This Row],[7F3 CLC Power Panel]]</f>
        <v>0</v>
      </c>
      <c r="FD25">
        <f>(CI26-Table2[[#This Row],[PDB - 17 CLC Section ]])*1000</f>
        <v>0</v>
      </c>
      <c r="FE25">
        <f>(W26-Table2[[#This Row],[13F3 Water &amp; Lift Old CK]])*1000</f>
        <v>0</v>
      </c>
      <c r="FF25">
        <f>AA26-Table2[[#This Row],[15F2 New ETP Panel]]</f>
        <v>0</v>
      </c>
      <c r="FG25">
        <f>AL26-Table2[[#This Row],[3F4 Old ETP Panel]]</f>
        <v>0</v>
      </c>
      <c r="FH25">
        <f>AF26-Table2[[#This Row],[2F1 RO Plant]]</f>
        <v>0</v>
      </c>
      <c r="FI25">
        <f>AK26-Table2[[#This Row],[3F3 Fire Hydrant Panel]]</f>
        <v>0</v>
      </c>
      <c r="FJ25">
        <f>R26-Table2[[#This Row],[7F1 Freon System Panel]]</f>
        <v>0</v>
      </c>
      <c r="FK25">
        <f>(AE26-Table2[[#This Row],[21F1 Refrigeration Ammonia]])*1000</f>
        <v>0</v>
      </c>
      <c r="FL25">
        <f>(AG26-Table2[[#This Row],[2F3 Air Compressor]])*1000</f>
        <v>0</v>
      </c>
      <c r="FM25">
        <f>(AX26-Table2[[#This Row],[Solar Reading Panel II]])*1000</f>
        <v>0</v>
      </c>
      <c r="FN25">
        <f>AI26-Table2[[#This Row],[3F1 Maintenance Workshop]]</f>
        <v>0</v>
      </c>
      <c r="FO25">
        <f>BD26-Table2[[#This Row],[4F B2B unit ]]</f>
        <v>0</v>
      </c>
      <c r="FP25">
        <f>BL26-Table2[[#This Row],[2F1 - PDB 6 - Bread, B2B section]]</f>
        <v>0</v>
      </c>
      <c r="FQ25">
        <f>(CG26-Table2[[#This Row],[9F5 - PDB 14 - Bread Lift]])</f>
        <v>0</v>
      </c>
      <c r="FR25">
        <f>CJ26-Table2[[#This Row],[PDB - 16 Bread Section]]</f>
        <v>0</v>
      </c>
      <c r="FS25">
        <f>BU26-Table2[[#This Row],[7F1 Donut Production area]]</f>
        <v>0</v>
      </c>
      <c r="FT25">
        <f>CB26-Table2[[#This Row],[8F5 Donut Ban Bary]]</f>
        <v>0</v>
      </c>
      <c r="FU25">
        <f>CF26-Table2[[#This Row],[9F4 - PDB 13 - Donut Sink Geyser area]]</f>
        <v>0</v>
      </c>
      <c r="FV25">
        <f>BV26-Table2[[#This Row],[7F2 Flour Silo]]</f>
        <v>0</v>
      </c>
      <c r="FW25">
        <f>BY26-Table2[[#This Row],[8F2 ACPDB - 3 SILO Ventilation]]</f>
        <v>0</v>
      </c>
      <c r="FX25">
        <f>J26-Table2[[#This Row],[DG 1010KVA Running Hours]]</f>
        <v>0</v>
      </c>
      <c r="FY25">
        <f>K26-Table2[[#This Row],[DG 1010 KVA Meter Reading]]</f>
        <v>0</v>
      </c>
      <c r="FZ25">
        <f>L26-Table2[[#This Row],[GG 1010 KVA Running Hours]]</f>
        <v>0</v>
      </c>
      <c r="GA25">
        <f>M26-Table2[[#This Row],[GG 1010 KVA Meter Reading]]</f>
        <v>0</v>
      </c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3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4"/>
    </row>
    <row r="52" spans="1:112" x14ac:dyDescent="0.35">
      <c r="A52" s="1"/>
      <c r="B52" s="2"/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opLeftCell="P8" workbookViewId="0">
      <selection activeCell="B10" sqref="B10:J21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147</v>
      </c>
      <c r="B1" s="19"/>
      <c r="C1" s="19"/>
      <c r="D1" s="20"/>
      <c r="E1" s="20"/>
      <c r="F1" s="20"/>
      <c r="G1" s="20"/>
      <c r="H1" s="20"/>
      <c r="I1" s="19" t="s">
        <v>148</v>
      </c>
      <c r="J1" s="19"/>
    </row>
    <row r="2" spans="1:24" ht="14.25" customHeight="1" x14ac:dyDescent="0.3">
      <c r="A2" s="19" t="s">
        <v>149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150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151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152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153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154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155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-218856.4</v>
      </c>
      <c r="N8" s="43">
        <f t="shared" si="0"/>
        <v>1962.6999999999971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-306478.19999999995</v>
      </c>
      <c r="S8" s="43">
        <f t="shared" si="0"/>
        <v>7860.9000000000233</v>
      </c>
      <c r="T8" s="43">
        <f t="shared" si="0"/>
        <v>-1418815</v>
      </c>
      <c r="U8" s="43">
        <f t="shared" si="0"/>
        <v>-923980.20000000007</v>
      </c>
      <c r="V8" s="43">
        <f t="shared" si="0"/>
        <v>-525334.59999999986</v>
      </c>
      <c r="W8" s="43">
        <f t="shared" si="0"/>
        <v>9823.6000000000204</v>
      </c>
      <c r="X8" s="43">
        <f t="shared" si="0"/>
        <v>-2027049.9</v>
      </c>
    </row>
    <row r="9" spans="1:24" ht="52" x14ac:dyDescent="0.35">
      <c r="A9" s="25" t="s">
        <v>156</v>
      </c>
      <c r="B9" s="26" t="s">
        <v>157</v>
      </c>
      <c r="C9" s="25" t="s">
        <v>158</v>
      </c>
      <c r="D9" s="25" t="s">
        <v>159</v>
      </c>
      <c r="E9" s="25" t="s">
        <v>160</v>
      </c>
      <c r="F9" s="25" t="s">
        <v>161</v>
      </c>
      <c r="G9" s="25" t="s">
        <v>162</v>
      </c>
      <c r="H9" s="27" t="s">
        <v>163</v>
      </c>
      <c r="I9" s="28" t="s">
        <v>164</v>
      </c>
      <c r="J9" s="25" t="s">
        <v>165</v>
      </c>
      <c r="L9" s="44" t="s">
        <v>168</v>
      </c>
      <c r="M9" s="44" t="s">
        <v>169</v>
      </c>
      <c r="N9" s="44" t="s">
        <v>170</v>
      </c>
      <c r="O9" s="44" t="s">
        <v>171</v>
      </c>
      <c r="P9" s="44" t="s">
        <v>172</v>
      </c>
      <c r="Q9" s="44" t="s">
        <v>173</v>
      </c>
      <c r="R9" s="44" t="s">
        <v>174</v>
      </c>
      <c r="S9" s="44" t="s">
        <v>175</v>
      </c>
      <c r="T9" s="44" t="s">
        <v>176</v>
      </c>
      <c r="U9" s="45" t="s">
        <v>166</v>
      </c>
      <c r="V9" s="45" t="s">
        <v>128</v>
      </c>
      <c r="W9" s="45" t="s">
        <v>130</v>
      </c>
      <c r="X9" s="45" t="s">
        <v>167</v>
      </c>
    </row>
    <row r="10" spans="1:24" ht="20" customHeight="1" x14ac:dyDescent="0.35">
      <c r="A10" s="29" t="s">
        <v>179</v>
      </c>
      <c r="B10" s="30">
        <v>404033.6</v>
      </c>
      <c r="C10" s="29" t="s">
        <v>180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180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181</v>
      </c>
      <c r="B11" s="30">
        <v>404327.7</v>
      </c>
      <c r="C11" s="29" t="s">
        <v>180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180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182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183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184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185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192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193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194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195</v>
      </c>
      <c r="B19" s="30" t="s">
        <v>180</v>
      </c>
      <c r="C19" s="29" t="s">
        <v>180</v>
      </c>
      <c r="D19" s="31" t="s">
        <v>180</v>
      </c>
      <c r="E19" s="31" t="s">
        <v>180</v>
      </c>
      <c r="F19" s="31" t="s">
        <v>180</v>
      </c>
      <c r="G19" s="31" t="s">
        <v>180</v>
      </c>
      <c r="H19" s="32" t="s">
        <v>180</v>
      </c>
      <c r="I19" s="34" t="s">
        <v>180</v>
      </c>
      <c r="J19" s="34" t="s">
        <v>180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196</v>
      </c>
      <c r="B20" s="30">
        <v>406241.5</v>
      </c>
      <c r="C20" s="29">
        <v>219230.4</v>
      </c>
      <c r="D20" s="31" t="s">
        <v>180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180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197</v>
      </c>
      <c r="B21" s="30">
        <v>406727.2</v>
      </c>
      <c r="C21" s="29">
        <v>219230.4</v>
      </c>
      <c r="D21" s="31" t="s">
        <v>180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180</v>
      </c>
      <c r="J21" s="34">
        <v>1431001</v>
      </c>
      <c r="L21" s="46">
        <f t="shared" si="3"/>
        <v>-406727.2</v>
      </c>
      <c r="M21" s="46">
        <f t="shared" si="1"/>
        <v>-219230.4</v>
      </c>
      <c r="N21" s="46">
        <f t="shared" si="1"/>
        <v>0</v>
      </c>
      <c r="O21" s="46">
        <f t="shared" si="1"/>
        <v>-366923.1</v>
      </c>
      <c r="P21" s="46">
        <f t="shared" si="1"/>
        <v>-246551.8</v>
      </c>
      <c r="Q21" s="46">
        <f t="shared" si="1"/>
        <v>-522482.6</v>
      </c>
      <c r="R21" s="46">
        <f t="shared" si="1"/>
        <v>-307202.2</v>
      </c>
      <c r="S21" s="46">
        <f t="shared" si="1"/>
        <v>0</v>
      </c>
      <c r="T21" s="46">
        <f t="shared" si="1"/>
        <v>-1431001</v>
      </c>
      <c r="U21" s="47">
        <f t="shared" si="4"/>
        <v>-929209.8</v>
      </c>
      <c r="V21" s="47">
        <f t="shared" si="4"/>
        <v>-526432.6</v>
      </c>
      <c r="W21" s="47">
        <f t="shared" si="4"/>
        <v>0</v>
      </c>
      <c r="X21" s="47">
        <f t="shared" si="2"/>
        <v>-2044475.9</v>
      </c>
    </row>
    <row r="22" spans="1:24" ht="20" customHeight="1" x14ac:dyDescent="0.35">
      <c r="A22" s="29"/>
      <c r="B22" s="30"/>
      <c r="C22" s="29"/>
      <c r="D22" s="31"/>
      <c r="E22" s="31"/>
      <c r="F22" s="31"/>
      <c r="G22" s="31"/>
      <c r="H22" s="32"/>
      <c r="I22" s="33"/>
      <c r="J22" s="34"/>
      <c r="L22" s="46">
        <f t="shared" si="3"/>
        <v>0</v>
      </c>
      <c r="M22" s="46">
        <f t="shared" si="1"/>
        <v>0</v>
      </c>
      <c r="N22" s="46">
        <f t="shared" si="1"/>
        <v>0</v>
      </c>
      <c r="O22" s="46">
        <f t="shared" si="1"/>
        <v>0</v>
      </c>
      <c r="P22" s="46">
        <f t="shared" si="1"/>
        <v>0</v>
      </c>
      <c r="Q22" s="46">
        <f t="shared" si="1"/>
        <v>0</v>
      </c>
      <c r="R22" s="46">
        <f t="shared" si="1"/>
        <v>0</v>
      </c>
      <c r="S22" s="46">
        <f t="shared" si="1"/>
        <v>0</v>
      </c>
      <c r="T22" s="46">
        <f t="shared" si="1"/>
        <v>0</v>
      </c>
      <c r="U22" s="47">
        <f t="shared" si="4"/>
        <v>0</v>
      </c>
      <c r="V22" s="47">
        <f t="shared" si="4"/>
        <v>0</v>
      </c>
      <c r="W22" s="47">
        <f t="shared" si="4"/>
        <v>0</v>
      </c>
      <c r="X22" s="47">
        <f t="shared" si="2"/>
        <v>0</v>
      </c>
    </row>
    <row r="23" spans="1:24" ht="20" customHeight="1" x14ac:dyDescent="0.35">
      <c r="A23" s="29"/>
      <c r="B23" s="30"/>
      <c r="C23" s="29"/>
      <c r="D23" s="31"/>
      <c r="E23" s="31"/>
      <c r="F23" s="31"/>
      <c r="G23" s="31"/>
      <c r="H23" s="32"/>
      <c r="I23" s="33"/>
      <c r="J23" s="34"/>
      <c r="L23" s="46">
        <f t="shared" si="3"/>
        <v>0</v>
      </c>
      <c r="M23" s="46">
        <f t="shared" si="1"/>
        <v>0</v>
      </c>
      <c r="N23" s="46">
        <f t="shared" si="1"/>
        <v>0</v>
      </c>
      <c r="O23" s="46">
        <f t="shared" si="1"/>
        <v>0</v>
      </c>
      <c r="P23" s="46">
        <f t="shared" si="1"/>
        <v>0</v>
      </c>
      <c r="Q23" s="46">
        <f t="shared" si="1"/>
        <v>0</v>
      </c>
      <c r="R23" s="46">
        <f t="shared" si="1"/>
        <v>0</v>
      </c>
      <c r="S23" s="46">
        <f t="shared" si="1"/>
        <v>0</v>
      </c>
      <c r="T23" s="46">
        <f t="shared" si="1"/>
        <v>0</v>
      </c>
      <c r="U23" s="47">
        <f t="shared" si="4"/>
        <v>0</v>
      </c>
      <c r="V23" s="47">
        <f t="shared" si="4"/>
        <v>0</v>
      </c>
      <c r="W23" s="47">
        <f t="shared" si="4"/>
        <v>0</v>
      </c>
      <c r="X23" s="47">
        <f t="shared" si="2"/>
        <v>0</v>
      </c>
    </row>
    <row r="24" spans="1:24" ht="20" customHeight="1" x14ac:dyDescent="0.35">
      <c r="A24" s="29"/>
      <c r="B24" s="30"/>
      <c r="C24" s="29"/>
      <c r="D24" s="31"/>
      <c r="E24" s="31"/>
      <c r="F24" s="31"/>
      <c r="G24" s="31"/>
      <c r="H24" s="32"/>
      <c r="I24" s="33"/>
      <c r="J24" s="34"/>
      <c r="L24" s="46">
        <f t="shared" si="3"/>
        <v>0</v>
      </c>
      <c r="M24" s="46">
        <f t="shared" si="1"/>
        <v>0</v>
      </c>
      <c r="N24" s="46">
        <f t="shared" si="1"/>
        <v>0</v>
      </c>
      <c r="O24" s="46">
        <f t="shared" si="1"/>
        <v>0</v>
      </c>
      <c r="P24" s="46">
        <f t="shared" si="1"/>
        <v>0</v>
      </c>
      <c r="Q24" s="46">
        <f t="shared" si="1"/>
        <v>0</v>
      </c>
      <c r="R24" s="46">
        <f t="shared" si="1"/>
        <v>0</v>
      </c>
      <c r="S24" s="46">
        <f t="shared" si="1"/>
        <v>0</v>
      </c>
      <c r="T24" s="46">
        <f t="shared" si="1"/>
        <v>0</v>
      </c>
      <c r="U24" s="47">
        <f t="shared" si="4"/>
        <v>0</v>
      </c>
      <c r="V24" s="47">
        <f t="shared" si="4"/>
        <v>0</v>
      </c>
      <c r="W24" s="47">
        <f t="shared" si="4"/>
        <v>0</v>
      </c>
      <c r="X24" s="47">
        <f t="shared" si="2"/>
        <v>0</v>
      </c>
    </row>
    <row r="25" spans="1:24" ht="20" customHeight="1" x14ac:dyDescent="0.35">
      <c r="A25" s="29"/>
      <c r="B25" s="30"/>
      <c r="C25" s="29"/>
      <c r="D25" s="31"/>
      <c r="E25" s="31"/>
      <c r="F25" s="31"/>
      <c r="G25" s="31"/>
      <c r="H25" s="32"/>
      <c r="I25" s="33"/>
      <c r="J25" s="34"/>
      <c r="L25" s="46">
        <f t="shared" si="3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6">
        <f t="shared" si="1"/>
        <v>0</v>
      </c>
      <c r="S25" s="46">
        <f t="shared" si="1"/>
        <v>0</v>
      </c>
      <c r="T25" s="46">
        <f t="shared" si="1"/>
        <v>0</v>
      </c>
      <c r="U25" s="47">
        <f t="shared" si="4"/>
        <v>0</v>
      </c>
      <c r="V25" s="47">
        <f t="shared" si="4"/>
        <v>0</v>
      </c>
      <c r="W25" s="47">
        <f t="shared" si="4"/>
        <v>0</v>
      </c>
      <c r="X25" s="47">
        <f t="shared" si="2"/>
        <v>0</v>
      </c>
    </row>
    <row r="26" spans="1:24" ht="20" customHeight="1" x14ac:dyDescent="0.35">
      <c r="A26" s="29"/>
      <c r="B26" s="30"/>
      <c r="C26" s="29"/>
      <c r="D26" s="31"/>
      <c r="E26" s="31"/>
      <c r="F26" s="31"/>
      <c r="G26" s="31"/>
      <c r="H26" s="32"/>
      <c r="I26" s="33"/>
      <c r="J26" s="34"/>
      <c r="L26" s="46">
        <f t="shared" si="3"/>
        <v>0</v>
      </c>
      <c r="M26" s="46">
        <f t="shared" si="3"/>
        <v>0</v>
      </c>
      <c r="N26" s="46">
        <f t="shared" si="3"/>
        <v>0</v>
      </c>
      <c r="O26" s="46">
        <f t="shared" si="3"/>
        <v>0</v>
      </c>
      <c r="P26" s="46">
        <f t="shared" si="3"/>
        <v>0</v>
      </c>
      <c r="Q26" s="46">
        <f t="shared" si="3"/>
        <v>0</v>
      </c>
      <c r="R26" s="46">
        <f t="shared" si="3"/>
        <v>0</v>
      </c>
      <c r="S26" s="46">
        <f t="shared" si="3"/>
        <v>0</v>
      </c>
      <c r="T26" s="46">
        <f t="shared" si="3"/>
        <v>0</v>
      </c>
      <c r="U26" s="47">
        <f t="shared" si="4"/>
        <v>0</v>
      </c>
      <c r="V26" s="47">
        <f t="shared" si="4"/>
        <v>0</v>
      </c>
      <c r="W26" s="47">
        <f t="shared" si="4"/>
        <v>0</v>
      </c>
      <c r="X26" s="47">
        <f t="shared" si="2"/>
        <v>0</v>
      </c>
    </row>
    <row r="27" spans="1:24" ht="42.75" customHeight="1" x14ac:dyDescent="0.35">
      <c r="A27" s="37"/>
      <c r="B27" s="38"/>
      <c r="C27" s="37"/>
      <c r="D27" s="39"/>
      <c r="E27" s="39"/>
      <c r="F27" s="39"/>
      <c r="G27" s="39"/>
      <c r="H27" s="40"/>
      <c r="I27" s="41"/>
      <c r="J27" s="42"/>
      <c r="L27" s="46">
        <f t="shared" si="3"/>
        <v>0</v>
      </c>
      <c r="M27" s="46">
        <f t="shared" si="3"/>
        <v>0</v>
      </c>
      <c r="N27" s="46">
        <f t="shared" si="3"/>
        <v>0</v>
      </c>
      <c r="O27" s="46">
        <f t="shared" si="3"/>
        <v>0</v>
      </c>
      <c r="P27" s="46">
        <f t="shared" si="3"/>
        <v>0</v>
      </c>
      <c r="Q27" s="46">
        <f t="shared" si="3"/>
        <v>0</v>
      </c>
      <c r="R27" s="46">
        <f t="shared" si="3"/>
        <v>0</v>
      </c>
      <c r="S27" s="46">
        <f t="shared" si="3"/>
        <v>0</v>
      </c>
      <c r="T27" s="46">
        <f t="shared" si="3"/>
        <v>0</v>
      </c>
      <c r="U27" s="47">
        <f t="shared" si="4"/>
        <v>0</v>
      </c>
      <c r="V27" s="47">
        <f t="shared" si="4"/>
        <v>0</v>
      </c>
      <c r="W27" s="47">
        <f t="shared" si="4"/>
        <v>0</v>
      </c>
      <c r="X27" s="47">
        <f t="shared" si="2"/>
        <v>0</v>
      </c>
    </row>
    <row r="28" spans="1:24" ht="20" customHeight="1" x14ac:dyDescent="0.35">
      <c r="A28" s="29"/>
      <c r="B28" s="30"/>
      <c r="C28" s="29"/>
      <c r="D28" s="31"/>
      <c r="E28" s="31"/>
      <c r="F28" s="31"/>
      <c r="G28" s="31"/>
      <c r="H28" s="32"/>
      <c r="I28" s="33"/>
      <c r="J28" s="34"/>
      <c r="L28" s="46">
        <f t="shared" si="3"/>
        <v>0</v>
      </c>
      <c r="M28" s="46">
        <f t="shared" si="3"/>
        <v>0</v>
      </c>
      <c r="N28" s="46">
        <f t="shared" si="3"/>
        <v>0</v>
      </c>
      <c r="O28" s="46">
        <f t="shared" si="3"/>
        <v>0</v>
      </c>
      <c r="P28" s="46">
        <f t="shared" si="3"/>
        <v>0</v>
      </c>
      <c r="Q28" s="46">
        <f t="shared" si="3"/>
        <v>0</v>
      </c>
      <c r="R28" s="46">
        <f t="shared" si="3"/>
        <v>0</v>
      </c>
      <c r="S28" s="46">
        <f t="shared" si="3"/>
        <v>0</v>
      </c>
      <c r="T28" s="46">
        <f t="shared" si="3"/>
        <v>0</v>
      </c>
      <c r="U28" s="47">
        <f t="shared" si="4"/>
        <v>0</v>
      </c>
      <c r="V28" s="47">
        <f t="shared" si="4"/>
        <v>0</v>
      </c>
      <c r="W28" s="47">
        <f t="shared" si="4"/>
        <v>0</v>
      </c>
      <c r="X28" s="47">
        <f t="shared" si="2"/>
        <v>0</v>
      </c>
    </row>
    <row r="29" spans="1:24" ht="20" customHeight="1" x14ac:dyDescent="0.35">
      <c r="A29" s="29"/>
      <c r="B29" s="30"/>
      <c r="C29" s="29"/>
      <c r="D29" s="31"/>
      <c r="E29" s="31"/>
      <c r="F29" s="31"/>
      <c r="G29" s="31"/>
      <c r="H29" s="32"/>
      <c r="I29" s="33"/>
      <c r="J29" s="34"/>
      <c r="L29" s="46">
        <f t="shared" si="3"/>
        <v>0</v>
      </c>
      <c r="M29" s="46">
        <f t="shared" si="3"/>
        <v>0</v>
      </c>
      <c r="N29" s="46">
        <f t="shared" si="3"/>
        <v>0</v>
      </c>
      <c r="O29" s="46">
        <f t="shared" si="3"/>
        <v>0</v>
      </c>
      <c r="P29" s="46">
        <f t="shared" si="3"/>
        <v>0</v>
      </c>
      <c r="Q29" s="46">
        <f t="shared" si="3"/>
        <v>0</v>
      </c>
      <c r="R29" s="46">
        <f t="shared" si="3"/>
        <v>0</v>
      </c>
      <c r="S29" s="46">
        <f t="shared" si="3"/>
        <v>0</v>
      </c>
      <c r="T29" s="46">
        <f t="shared" si="3"/>
        <v>0</v>
      </c>
      <c r="U29" s="47">
        <f t="shared" si="4"/>
        <v>0</v>
      </c>
      <c r="V29" s="47">
        <f t="shared" si="4"/>
        <v>0</v>
      </c>
      <c r="W29" s="47">
        <f t="shared" si="4"/>
        <v>0</v>
      </c>
      <c r="X29" s="47">
        <f t="shared" si="2"/>
        <v>0</v>
      </c>
    </row>
    <row r="30" spans="1:24" ht="20" customHeight="1" x14ac:dyDescent="0.35">
      <c r="A30" s="29"/>
      <c r="B30" s="30"/>
      <c r="C30" s="29"/>
      <c r="D30" s="31"/>
      <c r="E30" s="31"/>
      <c r="F30" s="31"/>
      <c r="G30" s="31"/>
      <c r="H30" s="32"/>
      <c r="I30" s="33"/>
      <c r="J30" s="34"/>
      <c r="L30" s="46">
        <f t="shared" si="3"/>
        <v>0</v>
      </c>
      <c r="M30" s="46">
        <f t="shared" si="3"/>
        <v>0</v>
      </c>
      <c r="N30" s="46">
        <f t="shared" si="3"/>
        <v>0</v>
      </c>
      <c r="O30" s="46">
        <f t="shared" si="3"/>
        <v>0</v>
      </c>
      <c r="P30" s="46">
        <f t="shared" si="3"/>
        <v>0</v>
      </c>
      <c r="Q30" s="46">
        <f t="shared" si="3"/>
        <v>0</v>
      </c>
      <c r="R30" s="46">
        <f t="shared" si="3"/>
        <v>0</v>
      </c>
      <c r="S30" s="46">
        <f t="shared" si="3"/>
        <v>0</v>
      </c>
      <c r="T30" s="46">
        <f t="shared" si="3"/>
        <v>0</v>
      </c>
      <c r="U30" s="47">
        <f t="shared" si="4"/>
        <v>0</v>
      </c>
      <c r="V30" s="47">
        <f t="shared" si="4"/>
        <v>0</v>
      </c>
      <c r="W30" s="47">
        <f t="shared" si="4"/>
        <v>0</v>
      </c>
      <c r="X30" s="47">
        <f t="shared" si="2"/>
        <v>0</v>
      </c>
    </row>
    <row r="31" spans="1:24" ht="20" customHeight="1" x14ac:dyDescent="0.35">
      <c r="A31" s="29"/>
      <c r="B31" s="30"/>
      <c r="C31" s="29"/>
      <c r="D31" s="31"/>
      <c r="E31" s="31"/>
      <c r="F31" s="31"/>
      <c r="G31" s="31"/>
      <c r="H31" s="32"/>
      <c r="I31" s="33"/>
      <c r="J31" s="34"/>
      <c r="L31" s="46">
        <f t="shared" si="3"/>
        <v>0</v>
      </c>
      <c r="M31" s="46">
        <f t="shared" si="3"/>
        <v>0</v>
      </c>
      <c r="N31" s="46">
        <f t="shared" si="3"/>
        <v>0</v>
      </c>
      <c r="O31" s="46">
        <f t="shared" si="3"/>
        <v>0</v>
      </c>
      <c r="P31" s="46">
        <f t="shared" si="3"/>
        <v>0</v>
      </c>
      <c r="Q31" s="46">
        <f t="shared" si="3"/>
        <v>0</v>
      </c>
      <c r="R31" s="46">
        <f t="shared" si="3"/>
        <v>0</v>
      </c>
      <c r="S31" s="46">
        <f t="shared" si="3"/>
        <v>0</v>
      </c>
      <c r="T31" s="46">
        <f t="shared" si="3"/>
        <v>0</v>
      </c>
      <c r="U31" s="47">
        <f t="shared" si="4"/>
        <v>0</v>
      </c>
      <c r="V31" s="47">
        <f t="shared" si="4"/>
        <v>0</v>
      </c>
      <c r="W31" s="47">
        <f t="shared" si="4"/>
        <v>0</v>
      </c>
      <c r="X31" s="47">
        <f t="shared" si="2"/>
        <v>0</v>
      </c>
    </row>
    <row r="32" spans="1:24" ht="20" customHeight="1" x14ac:dyDescent="0.35">
      <c r="A32" s="29"/>
      <c r="B32" s="30"/>
      <c r="C32" s="29"/>
      <c r="D32" s="31"/>
      <c r="E32" s="31"/>
      <c r="F32" s="31"/>
      <c r="G32" s="31"/>
      <c r="H32" s="32"/>
      <c r="I32" s="33"/>
      <c r="J32" s="34"/>
      <c r="L32" s="46">
        <f t="shared" si="3"/>
        <v>0</v>
      </c>
      <c r="M32" s="46">
        <f t="shared" si="3"/>
        <v>0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0</v>
      </c>
      <c r="R32" s="46">
        <f t="shared" si="3"/>
        <v>0</v>
      </c>
      <c r="S32" s="46">
        <f t="shared" si="3"/>
        <v>0</v>
      </c>
      <c r="T32" s="46">
        <f t="shared" si="3"/>
        <v>0</v>
      </c>
      <c r="U32" s="47">
        <f t="shared" si="4"/>
        <v>0</v>
      </c>
      <c r="V32" s="47">
        <f t="shared" si="4"/>
        <v>0</v>
      </c>
      <c r="W32" s="47">
        <f t="shared" si="4"/>
        <v>0</v>
      </c>
      <c r="X32" s="47">
        <f t="shared" si="2"/>
        <v>0</v>
      </c>
    </row>
    <row r="33" spans="1:24" ht="20" customHeight="1" x14ac:dyDescent="0.35">
      <c r="A33" s="29"/>
      <c r="B33" s="30"/>
      <c r="C33" s="29"/>
      <c r="D33" s="31"/>
      <c r="E33" s="31"/>
      <c r="F33" s="31"/>
      <c r="G33" s="31"/>
      <c r="H33" s="32"/>
      <c r="I33" s="33"/>
      <c r="J33" s="34"/>
      <c r="L33" s="46">
        <f t="shared" si="3"/>
        <v>0</v>
      </c>
      <c r="M33" s="46">
        <f t="shared" si="3"/>
        <v>0</v>
      </c>
      <c r="N33" s="46">
        <f t="shared" si="3"/>
        <v>0</v>
      </c>
      <c r="O33" s="46">
        <f t="shared" si="3"/>
        <v>0</v>
      </c>
      <c r="P33" s="46">
        <f t="shared" si="3"/>
        <v>0</v>
      </c>
      <c r="Q33" s="46">
        <f t="shared" si="3"/>
        <v>0</v>
      </c>
      <c r="R33" s="46">
        <f t="shared" si="3"/>
        <v>0</v>
      </c>
      <c r="S33" s="46">
        <f t="shared" si="3"/>
        <v>0</v>
      </c>
      <c r="T33" s="46">
        <f t="shared" si="3"/>
        <v>0</v>
      </c>
      <c r="U33" s="47">
        <f t="shared" si="4"/>
        <v>0</v>
      </c>
      <c r="V33" s="47">
        <f t="shared" si="4"/>
        <v>0</v>
      </c>
      <c r="W33" s="47">
        <f t="shared" si="4"/>
        <v>0</v>
      </c>
      <c r="X33" s="47">
        <f t="shared" si="2"/>
        <v>0</v>
      </c>
    </row>
    <row r="34" spans="1:24" ht="20" customHeight="1" x14ac:dyDescent="0.35">
      <c r="A34" s="29"/>
      <c r="B34" s="30"/>
      <c r="C34" s="29"/>
      <c r="D34" s="31"/>
      <c r="E34" s="31"/>
      <c r="F34" s="31"/>
      <c r="G34" s="31"/>
      <c r="H34" s="32"/>
      <c r="I34" s="33"/>
      <c r="J34" s="34"/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7">
        <f t="shared" si="4"/>
        <v>0</v>
      </c>
      <c r="V34" s="47">
        <f t="shared" si="4"/>
        <v>0</v>
      </c>
      <c r="W34" s="47">
        <f t="shared" si="4"/>
        <v>0</v>
      </c>
      <c r="X34" s="47">
        <f t="shared" si="2"/>
        <v>0</v>
      </c>
    </row>
    <row r="35" spans="1:24" ht="20" customHeight="1" x14ac:dyDescent="0.35">
      <c r="A35" s="29"/>
      <c r="B35" s="30"/>
      <c r="C35" s="29"/>
      <c r="D35" s="31"/>
      <c r="E35" s="31"/>
      <c r="F35" s="31"/>
      <c r="G35" s="31"/>
      <c r="H35" s="32"/>
      <c r="I35" s="33"/>
      <c r="J35" s="34"/>
      <c r="L35" s="46">
        <f t="shared" si="3"/>
        <v>0</v>
      </c>
      <c r="M35" s="46">
        <f t="shared" si="3"/>
        <v>0</v>
      </c>
      <c r="N35" s="46">
        <f t="shared" si="3"/>
        <v>0</v>
      </c>
      <c r="O35" s="46">
        <f t="shared" si="3"/>
        <v>0</v>
      </c>
      <c r="P35" s="46">
        <f t="shared" si="3"/>
        <v>0</v>
      </c>
      <c r="Q35" s="46">
        <f t="shared" si="3"/>
        <v>0</v>
      </c>
      <c r="R35" s="46">
        <f t="shared" si="3"/>
        <v>0</v>
      </c>
      <c r="S35" s="46">
        <f t="shared" si="3"/>
        <v>0</v>
      </c>
      <c r="T35" s="46">
        <f t="shared" si="3"/>
        <v>0</v>
      </c>
      <c r="U35" s="47">
        <f t="shared" si="4"/>
        <v>0</v>
      </c>
      <c r="V35" s="47">
        <f t="shared" si="4"/>
        <v>0</v>
      </c>
      <c r="W35" s="47">
        <f t="shared" si="4"/>
        <v>0</v>
      </c>
      <c r="X35" s="47">
        <f t="shared" si="2"/>
        <v>0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3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3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3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Freon Meter 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2026-07-07T08:15:11Z</dcterms:modified>
</cp:coreProperties>
</file>