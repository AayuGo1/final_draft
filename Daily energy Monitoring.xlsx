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ituraj Data\Desktop\Electricity bill\Energy Monitoring\Oct\"/>
    </mc:Choice>
  </mc:AlternateContent>
  <bookViews>
    <workbookView xWindow="0" yWindow="0" windowWidth="19200" windowHeight="8136"/>
  </bookViews>
  <sheets>
    <sheet name="Sheet2" sheetId="2" r:id="rId1"/>
    <sheet name="Freon Meter reading" sheetId="3" r:id="rId2"/>
    <sheet name="Freon Meter reading (2)" sheetId="4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I17" i="2" l="1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GA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GA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GA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GA26" i="2"/>
  <c r="FZ26" i="2"/>
  <c r="FY26" i="2"/>
  <c r="FX26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GA25" i="2"/>
  <c r="FZ25" i="2"/>
  <c r="FY25" i="2"/>
  <c r="FX25" i="2"/>
  <c r="FW25" i="2"/>
  <c r="FV25" i="2"/>
  <c r="FU25" i="2"/>
  <c r="FT25" i="2"/>
  <c r="FS25" i="2"/>
  <c r="FR25" i="2"/>
  <c r="FQ25" i="2"/>
  <c r="FP25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GA23" i="2"/>
  <c r="FZ23" i="2"/>
  <c r="FY23" i="2"/>
  <c r="FX23" i="2"/>
  <c r="FW23" i="2"/>
  <c r="FV23" i="2"/>
  <c r="FU23" i="2"/>
  <c r="FT23" i="2"/>
  <c r="FS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GA22" i="2"/>
  <c r="FZ22" i="2"/>
  <c r="FY22" i="2"/>
  <c r="FX22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GA18" i="2"/>
  <c r="FZ18" i="2"/>
  <c r="FY18" i="2"/>
  <c r="FX18" i="2"/>
  <c r="FW18" i="2"/>
  <c r="FV18" i="2"/>
  <c r="FU18" i="2"/>
  <c r="FT18" i="2"/>
  <c r="FS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GA17" i="2"/>
  <c r="FZ17" i="2"/>
  <c r="FY17" i="2"/>
  <c r="FX17" i="2"/>
  <c r="FW17" i="2"/>
  <c r="FV17" i="2"/>
  <c r="FU17" i="2"/>
  <c r="FT17" i="2"/>
  <c r="FS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H17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GA14" i="2"/>
  <c r="FZ14" i="2"/>
  <c r="FY14" i="2"/>
  <c r="FX14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I11" i="2"/>
  <c r="DI5" i="2"/>
  <c r="DI4" i="2"/>
  <c r="GA37" i="2"/>
  <c r="FZ37" i="2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GA36" i="2"/>
  <c r="FZ36" i="2"/>
  <c r="FY36" i="2"/>
  <c r="FX36" i="2"/>
  <c r="FW36" i="2"/>
  <c r="FV36" i="2"/>
  <c r="FU36" i="2"/>
  <c r="FT36" i="2"/>
  <c r="FS36" i="2"/>
  <c r="FR36" i="2"/>
  <c r="FQ36" i="2"/>
  <c r="FP36" i="2"/>
  <c r="FO36" i="2"/>
  <c r="FN36" i="2"/>
  <c r="FM36" i="2"/>
  <c r="FL36" i="2"/>
  <c r="FK36" i="2"/>
  <c r="FJ36" i="2"/>
  <c r="FI36" i="2"/>
  <c r="FH36" i="2"/>
  <c r="FG36" i="2"/>
  <c r="FF36" i="2"/>
  <c r="FE36" i="2"/>
  <c r="FD36" i="2"/>
  <c r="FC36" i="2"/>
  <c r="FB36" i="2"/>
  <c r="FA36" i="2"/>
  <c r="EZ36" i="2"/>
  <c r="EY36" i="2"/>
  <c r="EX36" i="2"/>
  <c r="EW36" i="2"/>
  <c r="EV36" i="2"/>
  <c r="EU36" i="2"/>
  <c r="ET36" i="2"/>
  <c r="ES36" i="2"/>
  <c r="ER36" i="2"/>
  <c r="EQ36" i="2"/>
  <c r="EP36" i="2"/>
  <c r="EO36" i="2"/>
  <c r="EN36" i="2"/>
  <c r="EM36" i="2"/>
  <c r="EL36" i="2"/>
  <c r="EK36" i="2"/>
  <c r="EJ36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GA35" i="2"/>
  <c r="FZ35" i="2"/>
  <c r="FY35" i="2"/>
  <c r="FX35" i="2"/>
  <c r="FW35" i="2"/>
  <c r="FV35" i="2"/>
  <c r="FU35" i="2"/>
  <c r="FT35" i="2"/>
  <c r="FS35" i="2"/>
  <c r="FR35" i="2"/>
  <c r="FQ35" i="2"/>
  <c r="FP35" i="2"/>
  <c r="FO35" i="2"/>
  <c r="FN35" i="2"/>
  <c r="FM35" i="2"/>
  <c r="FL35" i="2"/>
  <c r="FK35" i="2"/>
  <c r="FJ35" i="2"/>
  <c r="FI35" i="2"/>
  <c r="FH35" i="2"/>
  <c r="FG35" i="2"/>
  <c r="FF35" i="2"/>
  <c r="FE35" i="2"/>
  <c r="FD35" i="2"/>
  <c r="FC35" i="2"/>
  <c r="FB35" i="2"/>
  <c r="FA35" i="2"/>
  <c r="EZ35" i="2"/>
  <c r="EY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GA12" i="2"/>
  <c r="FZ12" i="2"/>
  <c r="FY12" i="2"/>
  <c r="FX12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H4" i="2" l="1"/>
  <c r="DH5" i="2"/>
  <c r="DH6" i="2"/>
  <c r="DH7" i="2"/>
  <c r="DH8" i="2"/>
  <c r="DH9" i="2"/>
  <c r="DH10" i="2"/>
  <c r="DH11" i="2"/>
  <c r="DH12" i="2"/>
  <c r="DH33" i="2"/>
  <c r="DH34" i="2"/>
  <c r="DH35" i="2"/>
  <c r="DI3" i="2" l="1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DH3" i="2" l="1"/>
  <c r="T39" i="4" l="1"/>
  <c r="S39" i="4"/>
  <c r="R39" i="4"/>
  <c r="Q39" i="4"/>
  <c r="P39" i="4"/>
  <c r="O39" i="4"/>
  <c r="X39" i="4" s="1"/>
  <c r="N39" i="4"/>
  <c r="W39" i="4" s="1"/>
  <c r="M39" i="4"/>
  <c r="V39" i="4" s="1"/>
  <c r="L39" i="4"/>
  <c r="U39" i="4" s="1"/>
  <c r="L40" i="4"/>
  <c r="M40" i="4"/>
  <c r="N40" i="4"/>
  <c r="O40" i="4"/>
  <c r="P40" i="4"/>
  <c r="Q40" i="4"/>
  <c r="R40" i="4"/>
  <c r="S40" i="4"/>
  <c r="T40" i="4"/>
  <c r="V40" i="4"/>
  <c r="W40" i="4"/>
  <c r="X40" i="4"/>
  <c r="U40" i="4" l="1"/>
  <c r="L34" i="4" l="1"/>
  <c r="M34" i="4"/>
  <c r="N34" i="4"/>
  <c r="O34" i="4"/>
  <c r="P34" i="4"/>
  <c r="Q34" i="4"/>
  <c r="R34" i="4"/>
  <c r="S34" i="4"/>
  <c r="T34" i="4"/>
  <c r="X152" i="4"/>
  <c r="W152" i="4"/>
  <c r="V152" i="4"/>
  <c r="U152" i="4"/>
  <c r="T151" i="4"/>
  <c r="S151" i="4"/>
  <c r="R151" i="4"/>
  <c r="Q151" i="4"/>
  <c r="P151" i="4"/>
  <c r="O151" i="4"/>
  <c r="N151" i="4"/>
  <c r="M151" i="4"/>
  <c r="L151" i="4"/>
  <c r="T150" i="4"/>
  <c r="S150" i="4"/>
  <c r="R150" i="4"/>
  <c r="Q150" i="4"/>
  <c r="P150" i="4"/>
  <c r="O150" i="4"/>
  <c r="N150" i="4"/>
  <c r="M150" i="4"/>
  <c r="L150" i="4"/>
  <c r="T149" i="4"/>
  <c r="S149" i="4"/>
  <c r="R149" i="4"/>
  <c r="Q149" i="4"/>
  <c r="P149" i="4"/>
  <c r="O149" i="4"/>
  <c r="N149" i="4"/>
  <c r="M149" i="4"/>
  <c r="L149" i="4"/>
  <c r="T148" i="4"/>
  <c r="S148" i="4"/>
  <c r="R148" i="4"/>
  <c r="Q148" i="4"/>
  <c r="P148" i="4"/>
  <c r="O148" i="4"/>
  <c r="N148" i="4"/>
  <c r="M148" i="4"/>
  <c r="L148" i="4"/>
  <c r="T147" i="4"/>
  <c r="S147" i="4"/>
  <c r="R147" i="4"/>
  <c r="Q147" i="4"/>
  <c r="P147" i="4"/>
  <c r="O147" i="4"/>
  <c r="N147" i="4"/>
  <c r="M147" i="4"/>
  <c r="L147" i="4"/>
  <c r="T146" i="4"/>
  <c r="S146" i="4"/>
  <c r="R146" i="4"/>
  <c r="Q146" i="4"/>
  <c r="P146" i="4"/>
  <c r="O146" i="4"/>
  <c r="N146" i="4"/>
  <c r="M146" i="4"/>
  <c r="L146" i="4"/>
  <c r="T145" i="4"/>
  <c r="S145" i="4"/>
  <c r="R145" i="4"/>
  <c r="Q145" i="4"/>
  <c r="P145" i="4"/>
  <c r="O145" i="4"/>
  <c r="N145" i="4"/>
  <c r="M145" i="4"/>
  <c r="L145" i="4"/>
  <c r="T144" i="4"/>
  <c r="S144" i="4"/>
  <c r="R144" i="4"/>
  <c r="Q144" i="4"/>
  <c r="P144" i="4"/>
  <c r="O144" i="4"/>
  <c r="N144" i="4"/>
  <c r="M144" i="4"/>
  <c r="L144" i="4"/>
  <c r="T143" i="4"/>
  <c r="S143" i="4"/>
  <c r="R143" i="4"/>
  <c r="Q143" i="4"/>
  <c r="P143" i="4"/>
  <c r="O143" i="4"/>
  <c r="N143" i="4"/>
  <c r="M143" i="4"/>
  <c r="L143" i="4"/>
  <c r="T142" i="4"/>
  <c r="S142" i="4"/>
  <c r="R142" i="4"/>
  <c r="Q142" i="4"/>
  <c r="P142" i="4"/>
  <c r="O142" i="4"/>
  <c r="N142" i="4"/>
  <c r="M142" i="4"/>
  <c r="L142" i="4"/>
  <c r="T141" i="4"/>
  <c r="S141" i="4"/>
  <c r="R141" i="4"/>
  <c r="Q141" i="4"/>
  <c r="P141" i="4"/>
  <c r="O141" i="4"/>
  <c r="N141" i="4"/>
  <c r="M141" i="4"/>
  <c r="L141" i="4"/>
  <c r="T140" i="4"/>
  <c r="S140" i="4"/>
  <c r="R140" i="4"/>
  <c r="Q140" i="4"/>
  <c r="P140" i="4"/>
  <c r="O140" i="4"/>
  <c r="N140" i="4"/>
  <c r="M140" i="4"/>
  <c r="L140" i="4"/>
  <c r="T139" i="4"/>
  <c r="S139" i="4"/>
  <c r="R139" i="4"/>
  <c r="Q139" i="4"/>
  <c r="P139" i="4"/>
  <c r="O139" i="4"/>
  <c r="N139" i="4"/>
  <c r="M139" i="4"/>
  <c r="L139" i="4"/>
  <c r="T138" i="4"/>
  <c r="S138" i="4"/>
  <c r="R138" i="4"/>
  <c r="Q138" i="4"/>
  <c r="P138" i="4"/>
  <c r="O138" i="4"/>
  <c r="N138" i="4"/>
  <c r="M138" i="4"/>
  <c r="L138" i="4"/>
  <c r="T137" i="4"/>
  <c r="S137" i="4"/>
  <c r="R137" i="4"/>
  <c r="Q137" i="4"/>
  <c r="P137" i="4"/>
  <c r="O137" i="4"/>
  <c r="N137" i="4"/>
  <c r="M137" i="4"/>
  <c r="L137" i="4"/>
  <c r="T136" i="4"/>
  <c r="S136" i="4"/>
  <c r="R136" i="4"/>
  <c r="Q136" i="4"/>
  <c r="P136" i="4"/>
  <c r="O136" i="4"/>
  <c r="N136" i="4"/>
  <c r="M136" i="4"/>
  <c r="L136" i="4"/>
  <c r="T135" i="4"/>
  <c r="S135" i="4"/>
  <c r="R135" i="4"/>
  <c r="Q135" i="4"/>
  <c r="P135" i="4"/>
  <c r="O135" i="4"/>
  <c r="N135" i="4"/>
  <c r="M135" i="4"/>
  <c r="L135" i="4"/>
  <c r="T134" i="4"/>
  <c r="S134" i="4"/>
  <c r="R134" i="4"/>
  <c r="Q134" i="4"/>
  <c r="P134" i="4"/>
  <c r="O134" i="4"/>
  <c r="N134" i="4"/>
  <c r="M134" i="4"/>
  <c r="L134" i="4"/>
  <c r="T133" i="4"/>
  <c r="S133" i="4"/>
  <c r="R133" i="4"/>
  <c r="Q133" i="4"/>
  <c r="P133" i="4"/>
  <c r="O133" i="4"/>
  <c r="N133" i="4"/>
  <c r="M133" i="4"/>
  <c r="L133" i="4"/>
  <c r="T132" i="4"/>
  <c r="S132" i="4"/>
  <c r="R132" i="4"/>
  <c r="Q132" i="4"/>
  <c r="P132" i="4"/>
  <c r="O132" i="4"/>
  <c r="N132" i="4"/>
  <c r="M132" i="4"/>
  <c r="L132" i="4"/>
  <c r="T131" i="4"/>
  <c r="S131" i="4"/>
  <c r="R131" i="4"/>
  <c r="Q131" i="4"/>
  <c r="P131" i="4"/>
  <c r="O131" i="4"/>
  <c r="N131" i="4"/>
  <c r="M131" i="4"/>
  <c r="L131" i="4"/>
  <c r="T130" i="4"/>
  <c r="S130" i="4"/>
  <c r="R130" i="4"/>
  <c r="Q130" i="4"/>
  <c r="P130" i="4"/>
  <c r="O130" i="4"/>
  <c r="N130" i="4"/>
  <c r="M130" i="4"/>
  <c r="L130" i="4"/>
  <c r="T129" i="4"/>
  <c r="S129" i="4"/>
  <c r="R129" i="4"/>
  <c r="Q129" i="4"/>
  <c r="P129" i="4"/>
  <c r="O129" i="4"/>
  <c r="N129" i="4"/>
  <c r="M129" i="4"/>
  <c r="L129" i="4"/>
  <c r="T128" i="4"/>
  <c r="S128" i="4"/>
  <c r="R128" i="4"/>
  <c r="Q128" i="4"/>
  <c r="P128" i="4"/>
  <c r="O128" i="4"/>
  <c r="N128" i="4"/>
  <c r="M128" i="4"/>
  <c r="L128" i="4"/>
  <c r="T127" i="4"/>
  <c r="S127" i="4"/>
  <c r="R127" i="4"/>
  <c r="Q127" i="4"/>
  <c r="P127" i="4"/>
  <c r="O127" i="4"/>
  <c r="N127" i="4"/>
  <c r="M127" i="4"/>
  <c r="L127" i="4"/>
  <c r="T126" i="4"/>
  <c r="S126" i="4"/>
  <c r="R126" i="4"/>
  <c r="Q126" i="4"/>
  <c r="P126" i="4"/>
  <c r="O126" i="4"/>
  <c r="N126" i="4"/>
  <c r="M126" i="4"/>
  <c r="L126" i="4"/>
  <c r="T125" i="4"/>
  <c r="S125" i="4"/>
  <c r="R125" i="4"/>
  <c r="Q125" i="4"/>
  <c r="P125" i="4"/>
  <c r="O125" i="4"/>
  <c r="N125" i="4"/>
  <c r="M125" i="4"/>
  <c r="L125" i="4"/>
  <c r="T124" i="4"/>
  <c r="S124" i="4"/>
  <c r="R124" i="4"/>
  <c r="Q124" i="4"/>
  <c r="P124" i="4"/>
  <c r="O124" i="4"/>
  <c r="N124" i="4"/>
  <c r="M124" i="4"/>
  <c r="L124" i="4"/>
  <c r="T123" i="4"/>
  <c r="S123" i="4"/>
  <c r="R123" i="4"/>
  <c r="Q123" i="4"/>
  <c r="P123" i="4"/>
  <c r="O123" i="4"/>
  <c r="N123" i="4"/>
  <c r="M123" i="4"/>
  <c r="L123" i="4"/>
  <c r="T122" i="4"/>
  <c r="S122" i="4"/>
  <c r="R122" i="4"/>
  <c r="Q122" i="4"/>
  <c r="P122" i="4"/>
  <c r="O122" i="4"/>
  <c r="N122" i="4"/>
  <c r="M122" i="4"/>
  <c r="L122" i="4"/>
  <c r="T121" i="4"/>
  <c r="S121" i="4"/>
  <c r="R121" i="4"/>
  <c r="Q121" i="4"/>
  <c r="P121" i="4"/>
  <c r="O121" i="4"/>
  <c r="N121" i="4"/>
  <c r="M121" i="4"/>
  <c r="L121" i="4"/>
  <c r="T120" i="4"/>
  <c r="S120" i="4"/>
  <c r="R120" i="4"/>
  <c r="Q120" i="4"/>
  <c r="P120" i="4"/>
  <c r="O120" i="4"/>
  <c r="N120" i="4"/>
  <c r="M120" i="4"/>
  <c r="L120" i="4"/>
  <c r="T119" i="4"/>
  <c r="S119" i="4"/>
  <c r="R119" i="4"/>
  <c r="Q119" i="4"/>
  <c r="P119" i="4"/>
  <c r="O119" i="4"/>
  <c r="N119" i="4"/>
  <c r="M119" i="4"/>
  <c r="L119" i="4"/>
  <c r="T118" i="4"/>
  <c r="S118" i="4"/>
  <c r="R118" i="4"/>
  <c r="Q118" i="4"/>
  <c r="P118" i="4"/>
  <c r="O118" i="4"/>
  <c r="N118" i="4"/>
  <c r="M118" i="4"/>
  <c r="L118" i="4"/>
  <c r="T117" i="4"/>
  <c r="S117" i="4"/>
  <c r="R117" i="4"/>
  <c r="Q117" i="4"/>
  <c r="P117" i="4"/>
  <c r="O117" i="4"/>
  <c r="N117" i="4"/>
  <c r="M117" i="4"/>
  <c r="L117" i="4"/>
  <c r="T116" i="4"/>
  <c r="S116" i="4"/>
  <c r="R116" i="4"/>
  <c r="Q116" i="4"/>
  <c r="P116" i="4"/>
  <c r="O116" i="4"/>
  <c r="N116" i="4"/>
  <c r="M116" i="4"/>
  <c r="L116" i="4"/>
  <c r="T115" i="4"/>
  <c r="S115" i="4"/>
  <c r="R115" i="4"/>
  <c r="Q115" i="4"/>
  <c r="P115" i="4"/>
  <c r="O115" i="4"/>
  <c r="N115" i="4"/>
  <c r="M115" i="4"/>
  <c r="L115" i="4"/>
  <c r="T114" i="4"/>
  <c r="S114" i="4"/>
  <c r="R114" i="4"/>
  <c r="Q114" i="4"/>
  <c r="P114" i="4"/>
  <c r="O114" i="4"/>
  <c r="N114" i="4"/>
  <c r="M114" i="4"/>
  <c r="L114" i="4"/>
  <c r="T113" i="4"/>
  <c r="S113" i="4"/>
  <c r="R113" i="4"/>
  <c r="Q113" i="4"/>
  <c r="P113" i="4"/>
  <c r="O113" i="4"/>
  <c r="N113" i="4"/>
  <c r="M113" i="4"/>
  <c r="L113" i="4"/>
  <c r="T112" i="4"/>
  <c r="S112" i="4"/>
  <c r="R112" i="4"/>
  <c r="Q112" i="4"/>
  <c r="P112" i="4"/>
  <c r="O112" i="4"/>
  <c r="N112" i="4"/>
  <c r="M112" i="4"/>
  <c r="L112" i="4"/>
  <c r="T111" i="4"/>
  <c r="S111" i="4"/>
  <c r="R111" i="4"/>
  <c r="Q111" i="4"/>
  <c r="P111" i="4"/>
  <c r="O111" i="4"/>
  <c r="N111" i="4"/>
  <c r="M111" i="4"/>
  <c r="L111" i="4"/>
  <c r="T110" i="4"/>
  <c r="S110" i="4"/>
  <c r="R110" i="4"/>
  <c r="Q110" i="4"/>
  <c r="P110" i="4"/>
  <c r="O110" i="4"/>
  <c r="N110" i="4"/>
  <c r="M110" i="4"/>
  <c r="L110" i="4"/>
  <c r="T109" i="4"/>
  <c r="S109" i="4"/>
  <c r="R109" i="4"/>
  <c r="Q109" i="4"/>
  <c r="P109" i="4"/>
  <c r="O109" i="4"/>
  <c r="N109" i="4"/>
  <c r="M109" i="4"/>
  <c r="L109" i="4"/>
  <c r="T108" i="4"/>
  <c r="S108" i="4"/>
  <c r="R108" i="4"/>
  <c r="Q108" i="4"/>
  <c r="P108" i="4"/>
  <c r="O108" i="4"/>
  <c r="N108" i="4"/>
  <c r="M108" i="4"/>
  <c r="L108" i="4"/>
  <c r="T107" i="4"/>
  <c r="S107" i="4"/>
  <c r="R107" i="4"/>
  <c r="Q107" i="4"/>
  <c r="P107" i="4"/>
  <c r="O107" i="4"/>
  <c r="N107" i="4"/>
  <c r="M107" i="4"/>
  <c r="L107" i="4"/>
  <c r="T106" i="4"/>
  <c r="S106" i="4"/>
  <c r="R106" i="4"/>
  <c r="Q106" i="4"/>
  <c r="P106" i="4"/>
  <c r="O106" i="4"/>
  <c r="N106" i="4"/>
  <c r="M106" i="4"/>
  <c r="L106" i="4"/>
  <c r="T105" i="4"/>
  <c r="S105" i="4"/>
  <c r="R105" i="4"/>
  <c r="Q105" i="4"/>
  <c r="P105" i="4"/>
  <c r="O105" i="4"/>
  <c r="N105" i="4"/>
  <c r="W105" i="4" s="1"/>
  <c r="M105" i="4"/>
  <c r="L105" i="4"/>
  <c r="T104" i="4"/>
  <c r="S104" i="4"/>
  <c r="R104" i="4"/>
  <c r="Q104" i="4"/>
  <c r="P104" i="4"/>
  <c r="O104" i="4"/>
  <c r="N104" i="4"/>
  <c r="M104" i="4"/>
  <c r="L104" i="4"/>
  <c r="T103" i="4"/>
  <c r="S103" i="4"/>
  <c r="R103" i="4"/>
  <c r="Q103" i="4"/>
  <c r="P103" i="4"/>
  <c r="O103" i="4"/>
  <c r="N103" i="4"/>
  <c r="M103" i="4"/>
  <c r="L103" i="4"/>
  <c r="T102" i="4"/>
  <c r="S102" i="4"/>
  <c r="R102" i="4"/>
  <c r="Q102" i="4"/>
  <c r="P102" i="4"/>
  <c r="O102" i="4"/>
  <c r="N102" i="4"/>
  <c r="M102" i="4"/>
  <c r="L102" i="4"/>
  <c r="T101" i="4"/>
  <c r="S101" i="4"/>
  <c r="R101" i="4"/>
  <c r="Q101" i="4"/>
  <c r="P101" i="4"/>
  <c r="O101" i="4"/>
  <c r="N101" i="4"/>
  <c r="M101" i="4"/>
  <c r="L101" i="4"/>
  <c r="T100" i="4"/>
  <c r="S100" i="4"/>
  <c r="R100" i="4"/>
  <c r="Q100" i="4"/>
  <c r="P100" i="4"/>
  <c r="O100" i="4"/>
  <c r="N100" i="4"/>
  <c r="M100" i="4"/>
  <c r="L100" i="4"/>
  <c r="T99" i="4"/>
  <c r="S99" i="4"/>
  <c r="R99" i="4"/>
  <c r="Q99" i="4"/>
  <c r="P99" i="4"/>
  <c r="O99" i="4"/>
  <c r="N99" i="4"/>
  <c r="M99" i="4"/>
  <c r="L99" i="4"/>
  <c r="T98" i="4"/>
  <c r="S98" i="4"/>
  <c r="R98" i="4"/>
  <c r="Q98" i="4"/>
  <c r="P98" i="4"/>
  <c r="O98" i="4"/>
  <c r="N98" i="4"/>
  <c r="M98" i="4"/>
  <c r="L98" i="4"/>
  <c r="T97" i="4"/>
  <c r="S97" i="4"/>
  <c r="R97" i="4"/>
  <c r="Q97" i="4"/>
  <c r="P97" i="4"/>
  <c r="O97" i="4"/>
  <c r="N97" i="4"/>
  <c r="M97" i="4"/>
  <c r="L97" i="4"/>
  <c r="T96" i="4"/>
  <c r="S96" i="4"/>
  <c r="R96" i="4"/>
  <c r="Q96" i="4"/>
  <c r="P96" i="4"/>
  <c r="O96" i="4"/>
  <c r="N96" i="4"/>
  <c r="M96" i="4"/>
  <c r="L96" i="4"/>
  <c r="T95" i="4"/>
  <c r="S95" i="4"/>
  <c r="R95" i="4"/>
  <c r="Q95" i="4"/>
  <c r="P95" i="4"/>
  <c r="O95" i="4"/>
  <c r="N95" i="4"/>
  <c r="M95" i="4"/>
  <c r="L95" i="4"/>
  <c r="T94" i="4"/>
  <c r="S94" i="4"/>
  <c r="R94" i="4"/>
  <c r="Q94" i="4"/>
  <c r="P94" i="4"/>
  <c r="O94" i="4"/>
  <c r="N94" i="4"/>
  <c r="M94" i="4"/>
  <c r="L94" i="4"/>
  <c r="T93" i="4"/>
  <c r="S93" i="4"/>
  <c r="R93" i="4"/>
  <c r="Q93" i="4"/>
  <c r="P93" i="4"/>
  <c r="O93" i="4"/>
  <c r="N93" i="4"/>
  <c r="M93" i="4"/>
  <c r="L93" i="4"/>
  <c r="T92" i="4"/>
  <c r="S92" i="4"/>
  <c r="R92" i="4"/>
  <c r="Q92" i="4"/>
  <c r="P92" i="4"/>
  <c r="O92" i="4"/>
  <c r="N92" i="4"/>
  <c r="M92" i="4"/>
  <c r="L92" i="4"/>
  <c r="T91" i="4"/>
  <c r="S91" i="4"/>
  <c r="R91" i="4"/>
  <c r="Q91" i="4"/>
  <c r="P91" i="4"/>
  <c r="O91" i="4"/>
  <c r="N91" i="4"/>
  <c r="M91" i="4"/>
  <c r="L91" i="4"/>
  <c r="T90" i="4"/>
  <c r="S90" i="4"/>
  <c r="R90" i="4"/>
  <c r="Q90" i="4"/>
  <c r="P90" i="4"/>
  <c r="O90" i="4"/>
  <c r="N90" i="4"/>
  <c r="M90" i="4"/>
  <c r="L90" i="4"/>
  <c r="T89" i="4"/>
  <c r="S89" i="4"/>
  <c r="R89" i="4"/>
  <c r="Q89" i="4"/>
  <c r="P89" i="4"/>
  <c r="O89" i="4"/>
  <c r="N89" i="4"/>
  <c r="M89" i="4"/>
  <c r="L89" i="4"/>
  <c r="T88" i="4"/>
  <c r="S88" i="4"/>
  <c r="R88" i="4"/>
  <c r="Q88" i="4"/>
  <c r="P88" i="4"/>
  <c r="O88" i="4"/>
  <c r="N88" i="4"/>
  <c r="W88" i="4" s="1"/>
  <c r="M88" i="4"/>
  <c r="L88" i="4"/>
  <c r="T87" i="4"/>
  <c r="S87" i="4"/>
  <c r="R87" i="4"/>
  <c r="Q87" i="4"/>
  <c r="P87" i="4"/>
  <c r="O87" i="4"/>
  <c r="N87" i="4"/>
  <c r="M87" i="4"/>
  <c r="L87" i="4"/>
  <c r="T86" i="4"/>
  <c r="S86" i="4"/>
  <c r="R86" i="4"/>
  <c r="Q86" i="4"/>
  <c r="P86" i="4"/>
  <c r="O86" i="4"/>
  <c r="N86" i="4"/>
  <c r="M86" i="4"/>
  <c r="L86" i="4"/>
  <c r="T85" i="4"/>
  <c r="S85" i="4"/>
  <c r="R85" i="4"/>
  <c r="Q85" i="4"/>
  <c r="P85" i="4"/>
  <c r="O85" i="4"/>
  <c r="N85" i="4"/>
  <c r="M85" i="4"/>
  <c r="V85" i="4" s="1"/>
  <c r="L85" i="4"/>
  <c r="T84" i="4"/>
  <c r="S84" i="4"/>
  <c r="R84" i="4"/>
  <c r="Q84" i="4"/>
  <c r="P84" i="4"/>
  <c r="O84" i="4"/>
  <c r="N84" i="4"/>
  <c r="M84" i="4"/>
  <c r="L84" i="4"/>
  <c r="T83" i="4"/>
  <c r="S83" i="4"/>
  <c r="R83" i="4"/>
  <c r="Q83" i="4"/>
  <c r="P83" i="4"/>
  <c r="O83" i="4"/>
  <c r="N83" i="4"/>
  <c r="M83" i="4"/>
  <c r="L83" i="4"/>
  <c r="T82" i="4"/>
  <c r="S82" i="4"/>
  <c r="R82" i="4"/>
  <c r="Q82" i="4"/>
  <c r="P82" i="4"/>
  <c r="O82" i="4"/>
  <c r="N82" i="4"/>
  <c r="M82" i="4"/>
  <c r="L82" i="4"/>
  <c r="T81" i="4"/>
  <c r="S81" i="4"/>
  <c r="R81" i="4"/>
  <c r="Q81" i="4"/>
  <c r="P81" i="4"/>
  <c r="O81" i="4"/>
  <c r="N81" i="4"/>
  <c r="M81" i="4"/>
  <c r="L81" i="4"/>
  <c r="T80" i="4"/>
  <c r="S80" i="4"/>
  <c r="R80" i="4"/>
  <c r="Q80" i="4"/>
  <c r="P80" i="4"/>
  <c r="O80" i="4"/>
  <c r="N80" i="4"/>
  <c r="M80" i="4"/>
  <c r="L80" i="4"/>
  <c r="T79" i="4"/>
  <c r="S79" i="4"/>
  <c r="R79" i="4"/>
  <c r="Q79" i="4"/>
  <c r="P79" i="4"/>
  <c r="O79" i="4"/>
  <c r="N79" i="4"/>
  <c r="M79" i="4"/>
  <c r="L79" i="4"/>
  <c r="T78" i="4"/>
  <c r="S78" i="4"/>
  <c r="R78" i="4"/>
  <c r="Q78" i="4"/>
  <c r="P78" i="4"/>
  <c r="O78" i="4"/>
  <c r="N78" i="4"/>
  <c r="M78" i="4"/>
  <c r="L78" i="4"/>
  <c r="T77" i="4"/>
  <c r="S77" i="4"/>
  <c r="R77" i="4"/>
  <c r="Q77" i="4"/>
  <c r="P77" i="4"/>
  <c r="O77" i="4"/>
  <c r="N77" i="4"/>
  <c r="M77" i="4"/>
  <c r="L77" i="4"/>
  <c r="T76" i="4"/>
  <c r="S76" i="4"/>
  <c r="R76" i="4"/>
  <c r="Q76" i="4"/>
  <c r="P76" i="4"/>
  <c r="O76" i="4"/>
  <c r="N76" i="4"/>
  <c r="M76" i="4"/>
  <c r="L76" i="4"/>
  <c r="T75" i="4"/>
  <c r="S75" i="4"/>
  <c r="R75" i="4"/>
  <c r="Q75" i="4"/>
  <c r="P75" i="4"/>
  <c r="O75" i="4"/>
  <c r="N75" i="4"/>
  <c r="M75" i="4"/>
  <c r="L75" i="4"/>
  <c r="T74" i="4"/>
  <c r="S74" i="4"/>
  <c r="R74" i="4"/>
  <c r="Q74" i="4"/>
  <c r="P74" i="4"/>
  <c r="O74" i="4"/>
  <c r="N74" i="4"/>
  <c r="M74" i="4"/>
  <c r="L74" i="4"/>
  <c r="T73" i="4"/>
  <c r="S73" i="4"/>
  <c r="R73" i="4"/>
  <c r="Q73" i="4"/>
  <c r="P73" i="4"/>
  <c r="O73" i="4"/>
  <c r="N73" i="4"/>
  <c r="M73" i="4"/>
  <c r="L73" i="4"/>
  <c r="T72" i="4"/>
  <c r="S72" i="4"/>
  <c r="R72" i="4"/>
  <c r="Q72" i="4"/>
  <c r="P72" i="4"/>
  <c r="O72" i="4"/>
  <c r="N72" i="4"/>
  <c r="M72" i="4"/>
  <c r="L72" i="4"/>
  <c r="T71" i="4"/>
  <c r="S71" i="4"/>
  <c r="R71" i="4"/>
  <c r="Q71" i="4"/>
  <c r="P71" i="4"/>
  <c r="O71" i="4"/>
  <c r="N71" i="4"/>
  <c r="M71" i="4"/>
  <c r="V71" i="4" s="1"/>
  <c r="L71" i="4"/>
  <c r="T70" i="4"/>
  <c r="S70" i="4"/>
  <c r="R70" i="4"/>
  <c r="Q70" i="4"/>
  <c r="P70" i="4"/>
  <c r="O70" i="4"/>
  <c r="N70" i="4"/>
  <c r="M70" i="4"/>
  <c r="L70" i="4"/>
  <c r="T69" i="4"/>
  <c r="S69" i="4"/>
  <c r="R69" i="4"/>
  <c r="Q69" i="4"/>
  <c r="P69" i="4"/>
  <c r="O69" i="4"/>
  <c r="N69" i="4"/>
  <c r="M69" i="4"/>
  <c r="L69" i="4"/>
  <c r="T68" i="4"/>
  <c r="S68" i="4"/>
  <c r="R68" i="4"/>
  <c r="Q68" i="4"/>
  <c r="P68" i="4"/>
  <c r="O68" i="4"/>
  <c r="N68" i="4"/>
  <c r="M68" i="4"/>
  <c r="L68" i="4"/>
  <c r="T67" i="4"/>
  <c r="S67" i="4"/>
  <c r="R67" i="4"/>
  <c r="Q67" i="4"/>
  <c r="P67" i="4"/>
  <c r="O67" i="4"/>
  <c r="N67" i="4"/>
  <c r="M67" i="4"/>
  <c r="L67" i="4"/>
  <c r="T66" i="4"/>
  <c r="S66" i="4"/>
  <c r="R66" i="4"/>
  <c r="Q66" i="4"/>
  <c r="P66" i="4"/>
  <c r="O66" i="4"/>
  <c r="N66" i="4"/>
  <c r="M66" i="4"/>
  <c r="L66" i="4"/>
  <c r="T65" i="4"/>
  <c r="S65" i="4"/>
  <c r="R65" i="4"/>
  <c r="Q65" i="4"/>
  <c r="P65" i="4"/>
  <c r="O65" i="4"/>
  <c r="N65" i="4"/>
  <c r="M65" i="4"/>
  <c r="L65" i="4"/>
  <c r="T64" i="4"/>
  <c r="S64" i="4"/>
  <c r="R64" i="4"/>
  <c r="Q64" i="4"/>
  <c r="P64" i="4"/>
  <c r="O64" i="4"/>
  <c r="N64" i="4"/>
  <c r="M64" i="4"/>
  <c r="L64" i="4"/>
  <c r="T63" i="4"/>
  <c r="S63" i="4"/>
  <c r="R63" i="4"/>
  <c r="Q63" i="4"/>
  <c r="P63" i="4"/>
  <c r="O63" i="4"/>
  <c r="N63" i="4"/>
  <c r="M63" i="4"/>
  <c r="L63" i="4"/>
  <c r="T62" i="4"/>
  <c r="S62" i="4"/>
  <c r="R62" i="4"/>
  <c r="Q62" i="4"/>
  <c r="P62" i="4"/>
  <c r="O62" i="4"/>
  <c r="N62" i="4"/>
  <c r="M62" i="4"/>
  <c r="L62" i="4"/>
  <c r="T61" i="4"/>
  <c r="S61" i="4"/>
  <c r="R61" i="4"/>
  <c r="Q61" i="4"/>
  <c r="P61" i="4"/>
  <c r="O61" i="4"/>
  <c r="N61" i="4"/>
  <c r="M61" i="4"/>
  <c r="L61" i="4"/>
  <c r="T60" i="4"/>
  <c r="S60" i="4"/>
  <c r="R60" i="4"/>
  <c r="Q60" i="4"/>
  <c r="P60" i="4"/>
  <c r="O60" i="4"/>
  <c r="N60" i="4"/>
  <c r="M60" i="4"/>
  <c r="L60" i="4"/>
  <c r="T59" i="4"/>
  <c r="S59" i="4"/>
  <c r="R59" i="4"/>
  <c r="Q59" i="4"/>
  <c r="P59" i="4"/>
  <c r="O59" i="4"/>
  <c r="N59" i="4"/>
  <c r="M59" i="4"/>
  <c r="L59" i="4"/>
  <c r="T58" i="4"/>
  <c r="S58" i="4"/>
  <c r="R58" i="4"/>
  <c r="Q58" i="4"/>
  <c r="P58" i="4"/>
  <c r="O58" i="4"/>
  <c r="N58" i="4"/>
  <c r="M58" i="4"/>
  <c r="L58" i="4"/>
  <c r="T57" i="4"/>
  <c r="S57" i="4"/>
  <c r="R57" i="4"/>
  <c r="Q57" i="4"/>
  <c r="P57" i="4"/>
  <c r="O57" i="4"/>
  <c r="N57" i="4"/>
  <c r="M57" i="4"/>
  <c r="V57" i="4" s="1"/>
  <c r="L57" i="4"/>
  <c r="T56" i="4"/>
  <c r="S56" i="4"/>
  <c r="R56" i="4"/>
  <c r="Q56" i="4"/>
  <c r="P56" i="4"/>
  <c r="O56" i="4"/>
  <c r="N56" i="4"/>
  <c r="M56" i="4"/>
  <c r="L56" i="4"/>
  <c r="T55" i="4"/>
  <c r="S55" i="4"/>
  <c r="R55" i="4"/>
  <c r="Q55" i="4"/>
  <c r="P55" i="4"/>
  <c r="O55" i="4"/>
  <c r="N55" i="4"/>
  <c r="M55" i="4"/>
  <c r="L55" i="4"/>
  <c r="T54" i="4"/>
  <c r="S54" i="4"/>
  <c r="R54" i="4"/>
  <c r="Q54" i="4"/>
  <c r="P54" i="4"/>
  <c r="O54" i="4"/>
  <c r="N54" i="4"/>
  <c r="M54" i="4"/>
  <c r="L54" i="4"/>
  <c r="T53" i="4"/>
  <c r="S53" i="4"/>
  <c r="R53" i="4"/>
  <c r="Q53" i="4"/>
  <c r="P53" i="4"/>
  <c r="O53" i="4"/>
  <c r="N53" i="4"/>
  <c r="M53" i="4"/>
  <c r="L53" i="4"/>
  <c r="T52" i="4"/>
  <c r="S52" i="4"/>
  <c r="R52" i="4"/>
  <c r="Q52" i="4"/>
  <c r="P52" i="4"/>
  <c r="O52" i="4"/>
  <c r="N52" i="4"/>
  <c r="M52" i="4"/>
  <c r="L52" i="4"/>
  <c r="T51" i="4"/>
  <c r="S51" i="4"/>
  <c r="R51" i="4"/>
  <c r="Q51" i="4"/>
  <c r="P51" i="4"/>
  <c r="O51" i="4"/>
  <c r="N51" i="4"/>
  <c r="M51" i="4"/>
  <c r="L51" i="4"/>
  <c r="T50" i="4"/>
  <c r="S50" i="4"/>
  <c r="R50" i="4"/>
  <c r="Q50" i="4"/>
  <c r="P50" i="4"/>
  <c r="O50" i="4"/>
  <c r="N50" i="4"/>
  <c r="M50" i="4"/>
  <c r="L50" i="4"/>
  <c r="T49" i="4"/>
  <c r="S49" i="4"/>
  <c r="R49" i="4"/>
  <c r="Q49" i="4"/>
  <c r="P49" i="4"/>
  <c r="O49" i="4"/>
  <c r="X49" i="4" s="1"/>
  <c r="N49" i="4"/>
  <c r="M49" i="4"/>
  <c r="L49" i="4"/>
  <c r="T48" i="4"/>
  <c r="S48" i="4"/>
  <c r="R48" i="4"/>
  <c r="Q48" i="4"/>
  <c r="P48" i="4"/>
  <c r="O48" i="4"/>
  <c r="N48" i="4"/>
  <c r="M48" i="4"/>
  <c r="L48" i="4"/>
  <c r="T47" i="4"/>
  <c r="S47" i="4"/>
  <c r="R47" i="4"/>
  <c r="Q47" i="4"/>
  <c r="P47" i="4"/>
  <c r="O47" i="4"/>
  <c r="N47" i="4"/>
  <c r="M47" i="4"/>
  <c r="L47" i="4"/>
  <c r="T46" i="4"/>
  <c r="S46" i="4"/>
  <c r="R46" i="4"/>
  <c r="Q46" i="4"/>
  <c r="P46" i="4"/>
  <c r="O46" i="4"/>
  <c r="N46" i="4"/>
  <c r="W46" i="4" s="1"/>
  <c r="M46" i="4"/>
  <c r="L46" i="4"/>
  <c r="T45" i="4"/>
  <c r="S45" i="4"/>
  <c r="R45" i="4"/>
  <c r="Q45" i="4"/>
  <c r="P45" i="4"/>
  <c r="O45" i="4"/>
  <c r="N45" i="4"/>
  <c r="M45" i="4"/>
  <c r="L45" i="4"/>
  <c r="T44" i="4"/>
  <c r="S44" i="4"/>
  <c r="R44" i="4"/>
  <c r="V44" i="4" s="1"/>
  <c r="Q44" i="4"/>
  <c r="U44" i="4" s="1"/>
  <c r="P44" i="4"/>
  <c r="O44" i="4"/>
  <c r="N44" i="4"/>
  <c r="M44" i="4"/>
  <c r="L44" i="4"/>
  <c r="T43" i="4"/>
  <c r="S43" i="4"/>
  <c r="R43" i="4"/>
  <c r="Q43" i="4"/>
  <c r="P43" i="4"/>
  <c r="O43" i="4"/>
  <c r="N43" i="4"/>
  <c r="M43" i="4"/>
  <c r="L43" i="4"/>
  <c r="T42" i="4"/>
  <c r="S42" i="4"/>
  <c r="R42" i="4"/>
  <c r="Q42" i="4"/>
  <c r="P42" i="4"/>
  <c r="O42" i="4"/>
  <c r="N42" i="4"/>
  <c r="M42" i="4"/>
  <c r="L42" i="4"/>
  <c r="T41" i="4"/>
  <c r="S41" i="4"/>
  <c r="R41" i="4"/>
  <c r="Q41" i="4"/>
  <c r="P41" i="4"/>
  <c r="O41" i="4"/>
  <c r="N41" i="4"/>
  <c r="M41" i="4"/>
  <c r="L41" i="4"/>
  <c r="T38" i="4"/>
  <c r="S38" i="4"/>
  <c r="R38" i="4"/>
  <c r="Q38" i="4"/>
  <c r="P38" i="4"/>
  <c r="O38" i="4"/>
  <c r="N38" i="4"/>
  <c r="M38" i="4"/>
  <c r="L38" i="4"/>
  <c r="T37" i="4"/>
  <c r="S37" i="4"/>
  <c r="R37" i="4"/>
  <c r="Q37" i="4"/>
  <c r="P37" i="4"/>
  <c r="O37" i="4"/>
  <c r="N37" i="4"/>
  <c r="M37" i="4"/>
  <c r="L37" i="4"/>
  <c r="T36" i="4"/>
  <c r="S36" i="4"/>
  <c r="R36" i="4"/>
  <c r="Q36" i="4"/>
  <c r="P36" i="4"/>
  <c r="O36" i="4"/>
  <c r="N36" i="4"/>
  <c r="M36" i="4"/>
  <c r="L36" i="4"/>
  <c r="T35" i="4"/>
  <c r="S35" i="4"/>
  <c r="R35" i="4"/>
  <c r="Q35" i="4"/>
  <c r="P35" i="4"/>
  <c r="O35" i="4"/>
  <c r="N35" i="4"/>
  <c r="M35" i="4"/>
  <c r="L35" i="4"/>
  <c r="T33" i="4"/>
  <c r="S33" i="4"/>
  <c r="R33" i="4"/>
  <c r="Q33" i="4"/>
  <c r="P33" i="4"/>
  <c r="O33" i="4"/>
  <c r="N33" i="4"/>
  <c r="M33" i="4"/>
  <c r="L33" i="4"/>
  <c r="T32" i="4"/>
  <c r="S32" i="4"/>
  <c r="R32" i="4"/>
  <c r="Q32" i="4"/>
  <c r="P32" i="4"/>
  <c r="O32" i="4"/>
  <c r="N32" i="4"/>
  <c r="M32" i="4"/>
  <c r="L32" i="4"/>
  <c r="T31" i="4"/>
  <c r="S31" i="4"/>
  <c r="R31" i="4"/>
  <c r="Q31" i="4"/>
  <c r="P31" i="4"/>
  <c r="O31" i="4"/>
  <c r="N31" i="4"/>
  <c r="M31" i="4"/>
  <c r="L31" i="4"/>
  <c r="T30" i="4"/>
  <c r="S30" i="4"/>
  <c r="R30" i="4"/>
  <c r="Q30" i="4"/>
  <c r="P30" i="4"/>
  <c r="O30" i="4"/>
  <c r="N30" i="4"/>
  <c r="W30" i="4" s="1"/>
  <c r="M30" i="4"/>
  <c r="L30" i="4"/>
  <c r="T29" i="4"/>
  <c r="S29" i="4"/>
  <c r="R29" i="4"/>
  <c r="Q29" i="4"/>
  <c r="P29" i="4"/>
  <c r="O29" i="4"/>
  <c r="N29" i="4"/>
  <c r="M29" i="4"/>
  <c r="L29" i="4"/>
  <c r="T28" i="4"/>
  <c r="S28" i="4"/>
  <c r="R28" i="4"/>
  <c r="Q28" i="4"/>
  <c r="P28" i="4"/>
  <c r="O28" i="4"/>
  <c r="N28" i="4"/>
  <c r="M28" i="4"/>
  <c r="L28" i="4"/>
  <c r="T27" i="4"/>
  <c r="S27" i="4"/>
  <c r="R27" i="4"/>
  <c r="Q27" i="4"/>
  <c r="P27" i="4"/>
  <c r="O27" i="4"/>
  <c r="N27" i="4"/>
  <c r="M27" i="4"/>
  <c r="L27" i="4"/>
  <c r="T26" i="4"/>
  <c r="S26" i="4"/>
  <c r="R26" i="4"/>
  <c r="Q26" i="4"/>
  <c r="P26" i="4"/>
  <c r="O26" i="4"/>
  <c r="N26" i="4"/>
  <c r="M26" i="4"/>
  <c r="L26" i="4"/>
  <c r="T25" i="4"/>
  <c r="S25" i="4"/>
  <c r="R25" i="4"/>
  <c r="Q25" i="4"/>
  <c r="P25" i="4"/>
  <c r="O25" i="4"/>
  <c r="N25" i="4"/>
  <c r="M25" i="4"/>
  <c r="L25" i="4"/>
  <c r="T24" i="4"/>
  <c r="S24" i="4"/>
  <c r="R24" i="4"/>
  <c r="Q24" i="4"/>
  <c r="P24" i="4"/>
  <c r="O24" i="4"/>
  <c r="N24" i="4"/>
  <c r="M24" i="4"/>
  <c r="L24" i="4"/>
  <c r="T23" i="4"/>
  <c r="S23" i="4"/>
  <c r="R23" i="4"/>
  <c r="Q23" i="4"/>
  <c r="P23" i="4"/>
  <c r="O23" i="4"/>
  <c r="N23" i="4"/>
  <c r="M23" i="4"/>
  <c r="L23" i="4"/>
  <c r="T22" i="4"/>
  <c r="S22" i="4"/>
  <c r="R22" i="4"/>
  <c r="Q22" i="4"/>
  <c r="P22" i="4"/>
  <c r="O22" i="4"/>
  <c r="N22" i="4"/>
  <c r="M22" i="4"/>
  <c r="L22" i="4"/>
  <c r="T21" i="4"/>
  <c r="S21" i="4"/>
  <c r="R21" i="4"/>
  <c r="Q21" i="4"/>
  <c r="P21" i="4"/>
  <c r="O21" i="4"/>
  <c r="N21" i="4"/>
  <c r="M21" i="4"/>
  <c r="L21" i="4"/>
  <c r="T20" i="4"/>
  <c r="S20" i="4"/>
  <c r="R20" i="4"/>
  <c r="Q20" i="4"/>
  <c r="P20" i="4"/>
  <c r="O20" i="4"/>
  <c r="N20" i="4"/>
  <c r="M20" i="4"/>
  <c r="L20" i="4"/>
  <c r="T19" i="4"/>
  <c r="S19" i="4"/>
  <c r="R19" i="4"/>
  <c r="Q19" i="4"/>
  <c r="P19" i="4"/>
  <c r="O19" i="4"/>
  <c r="N19" i="4"/>
  <c r="M19" i="4"/>
  <c r="L19" i="4"/>
  <c r="T18" i="4"/>
  <c r="S18" i="4"/>
  <c r="R18" i="4"/>
  <c r="Q18" i="4"/>
  <c r="P18" i="4"/>
  <c r="O18" i="4"/>
  <c r="N18" i="4"/>
  <c r="M18" i="4"/>
  <c r="L18" i="4"/>
  <c r="T17" i="4"/>
  <c r="S17" i="4"/>
  <c r="R17" i="4"/>
  <c r="Q17" i="4"/>
  <c r="P17" i="4"/>
  <c r="O17" i="4"/>
  <c r="N17" i="4"/>
  <c r="M17" i="4"/>
  <c r="L17" i="4"/>
  <c r="T16" i="4"/>
  <c r="S16" i="4"/>
  <c r="R16" i="4"/>
  <c r="Q16" i="4"/>
  <c r="P16" i="4"/>
  <c r="O16" i="4"/>
  <c r="N16" i="4"/>
  <c r="W16" i="4" s="1"/>
  <c r="M16" i="4"/>
  <c r="L16" i="4"/>
  <c r="T15" i="4"/>
  <c r="S15" i="4"/>
  <c r="R15" i="4"/>
  <c r="Q15" i="4"/>
  <c r="P15" i="4"/>
  <c r="O15" i="4"/>
  <c r="N15" i="4"/>
  <c r="M15" i="4"/>
  <c r="L15" i="4"/>
  <c r="T14" i="4"/>
  <c r="S14" i="4"/>
  <c r="R14" i="4"/>
  <c r="Q14" i="4"/>
  <c r="P14" i="4"/>
  <c r="O14" i="4"/>
  <c r="N14" i="4"/>
  <c r="M14" i="4"/>
  <c r="L14" i="4"/>
  <c r="T13" i="4"/>
  <c r="S13" i="4"/>
  <c r="R13" i="4"/>
  <c r="Q13" i="4"/>
  <c r="P13" i="4"/>
  <c r="O13" i="4"/>
  <c r="N13" i="4"/>
  <c r="M13" i="4"/>
  <c r="L13" i="4"/>
  <c r="T12" i="4"/>
  <c r="S12" i="4"/>
  <c r="R12" i="4"/>
  <c r="Q12" i="4"/>
  <c r="P12" i="4"/>
  <c r="O12" i="4"/>
  <c r="N12" i="4"/>
  <c r="M12" i="4"/>
  <c r="L12" i="4"/>
  <c r="T11" i="4"/>
  <c r="S11" i="4"/>
  <c r="R11" i="4"/>
  <c r="Q11" i="4"/>
  <c r="P11" i="4"/>
  <c r="O11" i="4"/>
  <c r="N11" i="4"/>
  <c r="M11" i="4"/>
  <c r="L11" i="4"/>
  <c r="T10" i="4"/>
  <c r="S10" i="4"/>
  <c r="R10" i="4"/>
  <c r="Q10" i="4"/>
  <c r="P10" i="4"/>
  <c r="O10" i="4"/>
  <c r="N10" i="4"/>
  <c r="M10" i="4"/>
  <c r="L10" i="4"/>
  <c r="W42" i="4" l="1"/>
  <c r="W71" i="4"/>
  <c r="U79" i="4"/>
  <c r="W85" i="4"/>
  <c r="V36" i="4"/>
  <c r="X71" i="4"/>
  <c r="U76" i="4"/>
  <c r="V79" i="4"/>
  <c r="X85" i="4"/>
  <c r="W51" i="4"/>
  <c r="X68" i="4"/>
  <c r="U42" i="4"/>
  <c r="V45" i="4"/>
  <c r="V54" i="4"/>
  <c r="V42" i="4"/>
  <c r="W45" i="4"/>
  <c r="U100" i="4"/>
  <c r="U115" i="4"/>
  <c r="V117" i="4"/>
  <c r="W120" i="4"/>
  <c r="U142" i="4"/>
  <c r="W148" i="4"/>
  <c r="X151" i="4"/>
  <c r="V87" i="4"/>
  <c r="U97" i="4"/>
  <c r="V100" i="4"/>
  <c r="V114" i="4"/>
  <c r="X148" i="4"/>
  <c r="X34" i="4"/>
  <c r="W58" i="4"/>
  <c r="X61" i="4"/>
  <c r="V83" i="4"/>
  <c r="V97" i="4"/>
  <c r="W100" i="4"/>
  <c r="W114" i="4"/>
  <c r="X117" i="4"/>
  <c r="W142" i="4"/>
  <c r="X145" i="4"/>
  <c r="W34" i="4"/>
  <c r="W11" i="4"/>
  <c r="X45" i="4"/>
  <c r="U49" i="4"/>
  <c r="V52" i="4"/>
  <c r="V53" i="4"/>
  <c r="W55" i="4"/>
  <c r="X58" i="4"/>
  <c r="U78" i="4"/>
  <c r="W37" i="4"/>
  <c r="W38" i="4"/>
  <c r="V49" i="4"/>
  <c r="W52" i="4"/>
  <c r="U74" i="4"/>
  <c r="V77" i="4"/>
  <c r="V91" i="4"/>
  <c r="V105" i="4"/>
  <c r="W108" i="4"/>
  <c r="U130" i="4"/>
  <c r="U34" i="4"/>
  <c r="X42" i="4"/>
  <c r="X107" i="4"/>
  <c r="V116" i="4"/>
  <c r="U126" i="4"/>
  <c r="U127" i="4"/>
  <c r="V129" i="4"/>
  <c r="W132" i="4"/>
  <c r="X135" i="4"/>
  <c r="U140" i="4"/>
  <c r="W101" i="4"/>
  <c r="W116" i="4"/>
  <c r="U123" i="4"/>
  <c r="V126" i="4"/>
  <c r="V127" i="4"/>
  <c r="W129" i="4"/>
  <c r="U151" i="4"/>
  <c r="V11" i="4"/>
  <c r="V12" i="4"/>
  <c r="X17" i="4"/>
  <c r="V26" i="4"/>
  <c r="W98" i="4"/>
  <c r="X101" i="4"/>
  <c r="U106" i="4"/>
  <c r="X115" i="4"/>
  <c r="X116" i="4"/>
  <c r="U120" i="4"/>
  <c r="W141" i="4"/>
  <c r="U148" i="4"/>
  <c r="V151" i="4"/>
  <c r="W25" i="4"/>
  <c r="V58" i="4"/>
  <c r="X64" i="4"/>
  <c r="U69" i="4"/>
  <c r="V93" i="4"/>
  <c r="W95" i="4"/>
  <c r="V120" i="4"/>
  <c r="V148" i="4"/>
  <c r="W151" i="4"/>
  <c r="U36" i="4"/>
  <c r="W43" i="4"/>
  <c r="W49" i="4"/>
  <c r="U57" i="4"/>
  <c r="X80" i="4"/>
  <c r="U91" i="4"/>
  <c r="V94" i="4"/>
  <c r="W97" i="4"/>
  <c r="V108" i="4"/>
  <c r="W111" i="4"/>
  <c r="X114" i="4"/>
  <c r="X74" i="4"/>
  <c r="V34" i="4"/>
  <c r="X75" i="4"/>
  <c r="X149" i="4"/>
  <c r="X72" i="4"/>
  <c r="V72" i="4"/>
  <c r="W115" i="4"/>
  <c r="V140" i="4"/>
  <c r="U143" i="4"/>
  <c r="W72" i="4"/>
  <c r="V109" i="4"/>
  <c r="W146" i="4"/>
  <c r="W66" i="4"/>
  <c r="X128" i="4"/>
  <c r="W102" i="4"/>
  <c r="W103" i="4"/>
  <c r="X105" i="4"/>
  <c r="X108" i="4"/>
  <c r="U113" i="4"/>
  <c r="U114" i="4"/>
  <c r="V150" i="4"/>
  <c r="V41" i="4"/>
  <c r="X56" i="4"/>
  <c r="W59" i="4"/>
  <c r="U67" i="4"/>
  <c r="U70" i="4"/>
  <c r="U71" i="4"/>
  <c r="X102" i="4"/>
  <c r="V113" i="4"/>
  <c r="W130" i="4"/>
  <c r="W131" i="4"/>
  <c r="U138" i="4"/>
  <c r="U141" i="4"/>
  <c r="V147" i="4"/>
  <c r="W150" i="4"/>
  <c r="X59" i="4"/>
  <c r="U64" i="4"/>
  <c r="V70" i="4"/>
  <c r="W113" i="4"/>
  <c r="W127" i="4"/>
  <c r="W128" i="4"/>
  <c r="X130" i="4"/>
  <c r="U135" i="4"/>
  <c r="V138" i="4"/>
  <c r="V141" i="4"/>
  <c r="U17" i="4"/>
  <c r="U18" i="4"/>
  <c r="W23" i="4"/>
  <c r="U55" i="4"/>
  <c r="U61" i="4"/>
  <c r="V64" i="4"/>
  <c r="W67" i="4"/>
  <c r="W70" i="4"/>
  <c r="W90" i="4"/>
  <c r="U99" i="4"/>
  <c r="X113" i="4"/>
  <c r="U132" i="4"/>
  <c r="V135" i="4"/>
  <c r="V17" i="4"/>
  <c r="V55" i="4"/>
  <c r="V56" i="4"/>
  <c r="V61" i="4"/>
  <c r="W64" i="4"/>
  <c r="X88" i="4"/>
  <c r="V101" i="4"/>
  <c r="X110" i="4"/>
  <c r="V132" i="4"/>
  <c r="W135" i="4"/>
  <c r="X83" i="4"/>
  <c r="X146" i="4"/>
  <c r="U59" i="4"/>
  <c r="U136" i="4"/>
  <c r="X46" i="4"/>
  <c r="V74" i="4"/>
  <c r="U98" i="4"/>
  <c r="U28" i="4"/>
  <c r="V31" i="4"/>
  <c r="W74" i="4"/>
  <c r="X89" i="4"/>
  <c r="V98" i="4"/>
  <c r="U101" i="4"/>
  <c r="X118" i="4"/>
  <c r="V142" i="4"/>
  <c r="W31" i="4"/>
  <c r="V46" i="4"/>
  <c r="W80" i="4"/>
  <c r="V95" i="4"/>
  <c r="U26" i="4"/>
  <c r="V29" i="4"/>
  <c r="V30" i="4"/>
  <c r="U47" i="4"/>
  <c r="V50" i="4"/>
  <c r="V51" i="4"/>
  <c r="W78" i="4"/>
  <c r="W81" i="4"/>
  <c r="W82" i="4"/>
  <c r="X84" i="4"/>
  <c r="W87" i="4"/>
  <c r="V96" i="4"/>
  <c r="X103" i="4"/>
  <c r="X109" i="4"/>
  <c r="U111" i="4"/>
  <c r="V115" i="4"/>
  <c r="U124" i="4"/>
  <c r="U125" i="4"/>
  <c r="V143" i="4"/>
  <c r="V47" i="4"/>
  <c r="W50" i="4"/>
  <c r="U66" i="4"/>
  <c r="X73" i="4"/>
  <c r="X78" i="4"/>
  <c r="X87" i="4"/>
  <c r="V90" i="4"/>
  <c r="W93" i="4"/>
  <c r="V111" i="4"/>
  <c r="U118" i="4"/>
  <c r="U121" i="4"/>
  <c r="U122" i="4"/>
  <c r="X131" i="4"/>
  <c r="X132" i="4"/>
  <c r="W143" i="4"/>
  <c r="X139" i="4"/>
  <c r="W124" i="4"/>
  <c r="X47" i="4"/>
  <c r="V59" i="4"/>
  <c r="W68" i="4"/>
  <c r="X90" i="4"/>
  <c r="V102" i="4"/>
  <c r="W144" i="4"/>
  <c r="W48" i="4"/>
  <c r="X54" i="4"/>
  <c r="W57" i="4"/>
  <c r="U58" i="4"/>
  <c r="V66" i="4"/>
  <c r="V69" i="4"/>
  <c r="X79" i="4"/>
  <c r="U84" i="4"/>
  <c r="X86" i="4"/>
  <c r="W91" i="4"/>
  <c r="W94" i="4"/>
  <c r="U103" i="4"/>
  <c r="V123" i="4"/>
  <c r="W125" i="4"/>
  <c r="X129" i="4"/>
  <c r="X57" i="4"/>
  <c r="W69" i="4"/>
  <c r="U81" i="4"/>
  <c r="V84" i="4"/>
  <c r="W89" i="4"/>
  <c r="W122" i="4"/>
  <c r="U128" i="4"/>
  <c r="W140" i="4"/>
  <c r="X144" i="4"/>
  <c r="U146" i="4"/>
  <c r="U29" i="4"/>
  <c r="U50" i="4"/>
  <c r="U53" i="4"/>
  <c r="U56" i="4"/>
  <c r="W60" i="4"/>
  <c r="W63" i="4"/>
  <c r="W84" i="4"/>
  <c r="U96" i="4"/>
  <c r="V99" i="4"/>
  <c r="X119" i="4"/>
  <c r="X122" i="4"/>
  <c r="W137" i="4"/>
  <c r="X140" i="4"/>
  <c r="U144" i="4"/>
  <c r="X95" i="4"/>
  <c r="X125" i="4"/>
  <c r="U16" i="4"/>
  <c r="U31" i="4"/>
  <c r="W36" i="4"/>
  <c r="X62" i="4"/>
  <c r="X76" i="4"/>
  <c r="X91" i="4"/>
  <c r="V118" i="4"/>
  <c r="V121" i="4"/>
  <c r="V124" i="4"/>
  <c r="V128" i="4"/>
  <c r="V16" i="4"/>
  <c r="W19" i="4"/>
  <c r="X36" i="4"/>
  <c r="U41" i="4"/>
  <c r="X53" i="4"/>
  <c r="U60" i="4"/>
  <c r="U77" i="4"/>
  <c r="U83" i="4"/>
  <c r="X100" i="4"/>
  <c r="V107" i="4"/>
  <c r="W118" i="4"/>
  <c r="W121" i="4"/>
  <c r="U129" i="4"/>
  <c r="U134" i="4"/>
  <c r="U147" i="4"/>
  <c r="W47" i="4"/>
  <c r="U94" i="4"/>
  <c r="W61" i="4"/>
  <c r="V67" i="4"/>
  <c r="W138" i="4"/>
  <c r="X52" i="4"/>
  <c r="X60" i="4"/>
  <c r="X63" i="4"/>
  <c r="X66" i="4"/>
  <c r="V73" i="4"/>
  <c r="U86" i="4"/>
  <c r="X93" i="4"/>
  <c r="X96" i="4"/>
  <c r="W99" i="4"/>
  <c r="X127" i="4"/>
  <c r="X134" i="4"/>
  <c r="X150" i="4"/>
  <c r="U15" i="4"/>
  <c r="X41" i="4"/>
  <c r="W44" i="4"/>
  <c r="X69" i="4"/>
  <c r="U72" i="4"/>
  <c r="W73" i="4"/>
  <c r="V86" i="4"/>
  <c r="V103" i="4"/>
  <c r="V106" i="4"/>
  <c r="U109" i="4"/>
  <c r="U112" i="4"/>
  <c r="X137" i="4"/>
  <c r="U139" i="4"/>
  <c r="X44" i="4"/>
  <c r="U62" i="4"/>
  <c r="U65" i="4"/>
  <c r="U68" i="4"/>
  <c r="U82" i="4"/>
  <c r="W86" i="4"/>
  <c r="U92" i="4"/>
  <c r="W106" i="4"/>
  <c r="V112" i="4"/>
  <c r="X120" i="4"/>
  <c r="W123" i="4"/>
  <c r="W126" i="4"/>
  <c r="U133" i="4"/>
  <c r="V139" i="4"/>
  <c r="V146" i="4"/>
  <c r="U149" i="4"/>
  <c r="X19" i="4"/>
  <c r="U23" i="4"/>
  <c r="U37" i="4"/>
  <c r="U38" i="4"/>
  <c r="U43" i="4"/>
  <c r="V60" i="4"/>
  <c r="V62" i="4"/>
  <c r="V65" i="4"/>
  <c r="V76" i="4"/>
  <c r="U80" i="4"/>
  <c r="V82" i="4"/>
  <c r="U85" i="4"/>
  <c r="U89" i="4"/>
  <c r="X106" i="4"/>
  <c r="U116" i="4"/>
  <c r="V133" i="4"/>
  <c r="V136" i="4"/>
  <c r="X143" i="4"/>
  <c r="V144" i="4"/>
  <c r="V23" i="4"/>
  <c r="V37" i="4"/>
  <c r="V43" i="4"/>
  <c r="X51" i="4"/>
  <c r="U73" i="4"/>
  <c r="W76" i="4"/>
  <c r="W79" i="4"/>
  <c r="W96" i="4"/>
  <c r="X98" i="4"/>
  <c r="U102" i="4"/>
  <c r="W133" i="4"/>
  <c r="W136" i="4"/>
  <c r="V32" i="4"/>
  <c r="X37" i="4"/>
  <c r="U45" i="4"/>
  <c r="U48" i="4"/>
  <c r="U51" i="4"/>
  <c r="X55" i="4"/>
  <c r="U63" i="4"/>
  <c r="X70" i="4"/>
  <c r="U75" i="4"/>
  <c r="X82" i="4"/>
  <c r="V88" i="4"/>
  <c r="X94" i="4"/>
  <c r="X104" i="4"/>
  <c r="W109" i="4"/>
  <c r="W110" i="4"/>
  <c r="W112" i="4"/>
  <c r="X121" i="4"/>
  <c r="X133" i="4"/>
  <c r="V137" i="4"/>
  <c r="W139" i="4"/>
  <c r="V145" i="4"/>
  <c r="V14" i="4"/>
  <c r="W18" i="4"/>
  <c r="X20" i="4"/>
  <c r="V28" i="4"/>
  <c r="X43" i="4"/>
  <c r="V48" i="4"/>
  <c r="U52" i="4"/>
  <c r="U54" i="4"/>
  <c r="V63" i="4"/>
  <c r="X67" i="4"/>
  <c r="V75" i="4"/>
  <c r="V78" i="4"/>
  <c r="U87" i="4"/>
  <c r="U90" i="4"/>
  <c r="U93" i="4"/>
  <c r="X97" i="4"/>
  <c r="U105" i="4"/>
  <c r="X112" i="4"/>
  <c r="U117" i="4"/>
  <c r="X124" i="4"/>
  <c r="V130" i="4"/>
  <c r="X136" i="4"/>
  <c r="W145" i="4"/>
  <c r="W147" i="4"/>
  <c r="U150" i="4"/>
  <c r="X123" i="4"/>
  <c r="X81" i="4"/>
  <c r="V89" i="4"/>
  <c r="V92" i="4"/>
  <c r="U104" i="4"/>
  <c r="U107" i="4"/>
  <c r="X111" i="4"/>
  <c r="U119" i="4"/>
  <c r="X126" i="4"/>
  <c r="U131" i="4"/>
  <c r="X138" i="4"/>
  <c r="X142" i="4"/>
  <c r="V149" i="4"/>
  <c r="V24" i="4"/>
  <c r="W41" i="4"/>
  <c r="U46" i="4"/>
  <c r="X50" i="4"/>
  <c r="W62" i="4"/>
  <c r="W65" i="4"/>
  <c r="V68" i="4"/>
  <c r="W75" i="4"/>
  <c r="W77" i="4"/>
  <c r="V80" i="4"/>
  <c r="W92" i="4"/>
  <c r="U95" i="4"/>
  <c r="X99" i="4"/>
  <c r="V104" i="4"/>
  <c r="U108" i="4"/>
  <c r="U110" i="4"/>
  <c r="V119" i="4"/>
  <c r="V131" i="4"/>
  <c r="V134" i="4"/>
  <c r="X147" i="4"/>
  <c r="W149" i="4"/>
  <c r="W10" i="4"/>
  <c r="X13" i="4"/>
  <c r="X48" i="4"/>
  <c r="W53" i="4"/>
  <c r="W54" i="4"/>
  <c r="W56" i="4"/>
  <c r="X65" i="4"/>
  <c r="X77" i="4"/>
  <c r="V81" i="4"/>
  <c r="W83" i="4"/>
  <c r="U88" i="4"/>
  <c r="X92" i="4"/>
  <c r="W104" i="4"/>
  <c r="W107" i="4"/>
  <c r="V110" i="4"/>
  <c r="W117" i="4"/>
  <c r="W119" i="4"/>
  <c r="V122" i="4"/>
  <c r="V125" i="4"/>
  <c r="W134" i="4"/>
  <c r="U137" i="4"/>
  <c r="X141" i="4"/>
  <c r="U145" i="4"/>
  <c r="U33" i="4"/>
  <c r="X33" i="4"/>
  <c r="W33" i="4"/>
  <c r="X32" i="4"/>
  <c r="W32" i="4"/>
  <c r="U32" i="4"/>
  <c r="X31" i="4"/>
  <c r="X29" i="4"/>
  <c r="X30" i="4"/>
  <c r="U30" i="4"/>
  <c r="W29" i="4"/>
  <c r="W28" i="4"/>
  <c r="W27" i="4"/>
  <c r="U35" i="4"/>
  <c r="V35" i="4"/>
  <c r="W35" i="4"/>
  <c r="V38" i="4"/>
  <c r="X35" i="4"/>
  <c r="X38" i="4"/>
  <c r="X28" i="4"/>
  <c r="V33" i="4"/>
  <c r="X25" i="4"/>
  <c r="U25" i="4"/>
  <c r="X22" i="4"/>
  <c r="X21" i="4"/>
  <c r="V20" i="4"/>
  <c r="X18" i="4"/>
  <c r="V19" i="4"/>
  <c r="V18" i="4"/>
  <c r="W17" i="4"/>
  <c r="V15" i="4"/>
  <c r="U14" i="4"/>
  <c r="X14" i="4"/>
  <c r="T8" i="4"/>
  <c r="S8" i="4"/>
  <c r="X12" i="4"/>
  <c r="X10" i="4"/>
  <c r="W14" i="4"/>
  <c r="X23" i="4"/>
  <c r="X11" i="4"/>
  <c r="U22" i="4"/>
  <c r="U10" i="4"/>
  <c r="U11" i="4"/>
  <c r="U13" i="4"/>
  <c r="V22" i="4"/>
  <c r="X26" i="4"/>
  <c r="N8" i="4"/>
  <c r="U19" i="4"/>
  <c r="W26" i="4"/>
  <c r="V10" i="4"/>
  <c r="R8" i="4"/>
  <c r="V13" i="4"/>
  <c r="W20" i="4"/>
  <c r="W22" i="4"/>
  <c r="V25" i="4"/>
  <c r="P8" i="4"/>
  <c r="U21" i="4"/>
  <c r="U24" i="4"/>
  <c r="Q8" i="4"/>
  <c r="U12" i="4"/>
  <c r="X16" i="4"/>
  <c r="V21" i="4"/>
  <c r="U27" i="4"/>
  <c r="W21" i="4"/>
  <c r="W24" i="4"/>
  <c r="V27" i="4"/>
  <c r="W13" i="4"/>
  <c r="X24" i="4"/>
  <c r="M8" i="4"/>
  <c r="W12" i="4"/>
  <c r="W15" i="4"/>
  <c r="X15" i="4"/>
  <c r="U20" i="4"/>
  <c r="X27" i="4"/>
  <c r="L8" i="4"/>
  <c r="O8" i="4"/>
  <c r="X8" i="4" l="1"/>
  <c r="W8" i="4"/>
  <c r="V8" i="4"/>
  <c r="U8" i="4"/>
  <c r="X117" i="3" l="1"/>
  <c r="W117" i="3"/>
  <c r="V117" i="3"/>
  <c r="U117" i="3"/>
  <c r="T116" i="3"/>
  <c r="S116" i="3"/>
  <c r="R116" i="3"/>
  <c r="Q116" i="3"/>
  <c r="P116" i="3"/>
  <c r="O116" i="3"/>
  <c r="N116" i="3"/>
  <c r="M116" i="3"/>
  <c r="L116" i="3"/>
  <c r="T115" i="3"/>
  <c r="S115" i="3"/>
  <c r="R115" i="3"/>
  <c r="Q115" i="3"/>
  <c r="P115" i="3"/>
  <c r="O115" i="3"/>
  <c r="N115" i="3"/>
  <c r="M115" i="3"/>
  <c r="L115" i="3"/>
  <c r="T114" i="3"/>
  <c r="S114" i="3"/>
  <c r="R114" i="3"/>
  <c r="Q114" i="3"/>
  <c r="U114" i="3" s="1"/>
  <c r="P114" i="3"/>
  <c r="O114" i="3"/>
  <c r="N114" i="3"/>
  <c r="M114" i="3"/>
  <c r="L114" i="3"/>
  <c r="T113" i="3"/>
  <c r="S113" i="3"/>
  <c r="R113" i="3"/>
  <c r="Q113" i="3"/>
  <c r="P113" i="3"/>
  <c r="O113" i="3"/>
  <c r="N113" i="3"/>
  <c r="M113" i="3"/>
  <c r="L113" i="3"/>
  <c r="T112" i="3"/>
  <c r="S112" i="3"/>
  <c r="R112" i="3"/>
  <c r="Q112" i="3"/>
  <c r="P112" i="3"/>
  <c r="O112" i="3"/>
  <c r="N112" i="3"/>
  <c r="M112" i="3"/>
  <c r="L112" i="3"/>
  <c r="U112" i="3" s="1"/>
  <c r="T111" i="3"/>
  <c r="S111" i="3"/>
  <c r="R111" i="3"/>
  <c r="Q111" i="3"/>
  <c r="P111" i="3"/>
  <c r="O111" i="3"/>
  <c r="N111" i="3"/>
  <c r="M111" i="3"/>
  <c r="L111" i="3"/>
  <c r="T110" i="3"/>
  <c r="S110" i="3"/>
  <c r="R110" i="3"/>
  <c r="Q110" i="3"/>
  <c r="P110" i="3"/>
  <c r="O110" i="3"/>
  <c r="N110" i="3"/>
  <c r="M110" i="3"/>
  <c r="L110" i="3"/>
  <c r="T109" i="3"/>
  <c r="S109" i="3"/>
  <c r="R109" i="3"/>
  <c r="Q109" i="3"/>
  <c r="P109" i="3"/>
  <c r="O109" i="3"/>
  <c r="N109" i="3"/>
  <c r="M109" i="3"/>
  <c r="L109" i="3"/>
  <c r="T108" i="3"/>
  <c r="S108" i="3"/>
  <c r="R108" i="3"/>
  <c r="V108" i="3" s="1"/>
  <c r="Q108" i="3"/>
  <c r="P108" i="3"/>
  <c r="O108" i="3"/>
  <c r="X108" i="3" s="1"/>
  <c r="N108" i="3"/>
  <c r="W108" i="3" s="1"/>
  <c r="M108" i="3"/>
  <c r="L108" i="3"/>
  <c r="T107" i="3"/>
  <c r="X107" i="3" s="1"/>
  <c r="S107" i="3"/>
  <c r="R107" i="3"/>
  <c r="Q107" i="3"/>
  <c r="P107" i="3"/>
  <c r="O107" i="3"/>
  <c r="N107" i="3"/>
  <c r="M107" i="3"/>
  <c r="L107" i="3"/>
  <c r="U107" i="3" s="1"/>
  <c r="T106" i="3"/>
  <c r="S106" i="3"/>
  <c r="W106" i="3" s="1"/>
  <c r="R106" i="3"/>
  <c r="Q106" i="3"/>
  <c r="P106" i="3"/>
  <c r="O106" i="3"/>
  <c r="N106" i="3"/>
  <c r="M106" i="3"/>
  <c r="L106" i="3"/>
  <c r="T105" i="3"/>
  <c r="S105" i="3"/>
  <c r="R105" i="3"/>
  <c r="Q105" i="3"/>
  <c r="P105" i="3"/>
  <c r="O105" i="3"/>
  <c r="N105" i="3"/>
  <c r="M105" i="3"/>
  <c r="L105" i="3"/>
  <c r="T104" i="3"/>
  <c r="S104" i="3"/>
  <c r="R104" i="3"/>
  <c r="Q104" i="3"/>
  <c r="P104" i="3"/>
  <c r="O104" i="3"/>
  <c r="X104" i="3" s="1"/>
  <c r="N104" i="3"/>
  <c r="M104" i="3"/>
  <c r="L104" i="3"/>
  <c r="T103" i="3"/>
  <c r="S103" i="3"/>
  <c r="W103" i="3" s="1"/>
  <c r="R103" i="3"/>
  <c r="Q103" i="3"/>
  <c r="P103" i="3"/>
  <c r="O103" i="3"/>
  <c r="N103" i="3"/>
  <c r="M103" i="3"/>
  <c r="L103" i="3"/>
  <c r="T102" i="3"/>
  <c r="S102" i="3"/>
  <c r="R102" i="3"/>
  <c r="V102" i="3" s="1"/>
  <c r="Q102" i="3"/>
  <c r="U102" i="3" s="1"/>
  <c r="P102" i="3"/>
  <c r="O102" i="3"/>
  <c r="N102" i="3"/>
  <c r="M102" i="3"/>
  <c r="L102" i="3"/>
  <c r="T101" i="3"/>
  <c r="S101" i="3"/>
  <c r="R101" i="3"/>
  <c r="Q101" i="3"/>
  <c r="P101" i="3"/>
  <c r="O101" i="3"/>
  <c r="N101" i="3"/>
  <c r="M101" i="3"/>
  <c r="L101" i="3"/>
  <c r="T100" i="3"/>
  <c r="S100" i="3"/>
  <c r="R100" i="3"/>
  <c r="Q100" i="3"/>
  <c r="P100" i="3"/>
  <c r="O100" i="3"/>
  <c r="N100" i="3"/>
  <c r="M100" i="3"/>
  <c r="L100" i="3"/>
  <c r="T99" i="3"/>
  <c r="S99" i="3"/>
  <c r="R99" i="3"/>
  <c r="Q99" i="3"/>
  <c r="P99" i="3"/>
  <c r="O99" i="3"/>
  <c r="X99" i="3" s="1"/>
  <c r="N99" i="3"/>
  <c r="M99" i="3"/>
  <c r="L99" i="3"/>
  <c r="T98" i="3"/>
  <c r="S98" i="3"/>
  <c r="R98" i="3"/>
  <c r="Q98" i="3"/>
  <c r="P98" i="3"/>
  <c r="O98" i="3"/>
  <c r="N98" i="3"/>
  <c r="M98" i="3"/>
  <c r="L98" i="3"/>
  <c r="T97" i="3"/>
  <c r="S97" i="3"/>
  <c r="R97" i="3"/>
  <c r="Q97" i="3"/>
  <c r="P97" i="3"/>
  <c r="O97" i="3"/>
  <c r="N97" i="3"/>
  <c r="M97" i="3"/>
  <c r="L97" i="3"/>
  <c r="T96" i="3"/>
  <c r="S96" i="3"/>
  <c r="R96" i="3"/>
  <c r="Q96" i="3"/>
  <c r="P96" i="3"/>
  <c r="O96" i="3"/>
  <c r="N96" i="3"/>
  <c r="M96" i="3"/>
  <c r="L96" i="3"/>
  <c r="T95" i="3"/>
  <c r="S95" i="3"/>
  <c r="R95" i="3"/>
  <c r="Q95" i="3"/>
  <c r="P95" i="3"/>
  <c r="O95" i="3"/>
  <c r="X95" i="3" s="1"/>
  <c r="N95" i="3"/>
  <c r="W95" i="3" s="1"/>
  <c r="M95" i="3"/>
  <c r="L95" i="3"/>
  <c r="T94" i="3"/>
  <c r="S94" i="3"/>
  <c r="R94" i="3"/>
  <c r="Q94" i="3"/>
  <c r="P94" i="3"/>
  <c r="O94" i="3"/>
  <c r="N94" i="3"/>
  <c r="M94" i="3"/>
  <c r="L94" i="3"/>
  <c r="T93" i="3"/>
  <c r="S93" i="3"/>
  <c r="R93" i="3"/>
  <c r="Q93" i="3"/>
  <c r="P93" i="3"/>
  <c r="O93" i="3"/>
  <c r="N93" i="3"/>
  <c r="M93" i="3"/>
  <c r="L93" i="3"/>
  <c r="T92" i="3"/>
  <c r="S92" i="3"/>
  <c r="R92" i="3"/>
  <c r="Q92" i="3"/>
  <c r="U92" i="3" s="1"/>
  <c r="P92" i="3"/>
  <c r="O92" i="3"/>
  <c r="N92" i="3"/>
  <c r="M92" i="3"/>
  <c r="L92" i="3"/>
  <c r="T91" i="3"/>
  <c r="S91" i="3"/>
  <c r="R91" i="3"/>
  <c r="Q91" i="3"/>
  <c r="P91" i="3"/>
  <c r="O91" i="3"/>
  <c r="N91" i="3"/>
  <c r="M91" i="3"/>
  <c r="L91" i="3"/>
  <c r="T90" i="3"/>
  <c r="S90" i="3"/>
  <c r="R90" i="3"/>
  <c r="V90" i="3" s="1"/>
  <c r="Q90" i="3"/>
  <c r="P90" i="3"/>
  <c r="O90" i="3"/>
  <c r="N90" i="3"/>
  <c r="M90" i="3"/>
  <c r="L90" i="3"/>
  <c r="T89" i="3"/>
  <c r="S89" i="3"/>
  <c r="R89" i="3"/>
  <c r="Q89" i="3"/>
  <c r="P89" i="3"/>
  <c r="O89" i="3"/>
  <c r="N89" i="3"/>
  <c r="M89" i="3"/>
  <c r="L89" i="3"/>
  <c r="T88" i="3"/>
  <c r="S88" i="3"/>
  <c r="R88" i="3"/>
  <c r="Q88" i="3"/>
  <c r="P88" i="3"/>
  <c r="O88" i="3"/>
  <c r="N88" i="3"/>
  <c r="M88" i="3"/>
  <c r="L88" i="3"/>
  <c r="T87" i="3"/>
  <c r="S87" i="3"/>
  <c r="R87" i="3"/>
  <c r="V87" i="3" s="1"/>
  <c r="Q87" i="3"/>
  <c r="P87" i="3"/>
  <c r="O87" i="3"/>
  <c r="N87" i="3"/>
  <c r="M87" i="3"/>
  <c r="L87" i="3"/>
  <c r="U87" i="3" s="1"/>
  <c r="T86" i="3"/>
  <c r="S86" i="3"/>
  <c r="R86" i="3"/>
  <c r="Q86" i="3"/>
  <c r="P86" i="3"/>
  <c r="O86" i="3"/>
  <c r="N86" i="3"/>
  <c r="M86" i="3"/>
  <c r="L86" i="3"/>
  <c r="T85" i="3"/>
  <c r="S85" i="3"/>
  <c r="R85" i="3"/>
  <c r="Q85" i="3"/>
  <c r="P85" i="3"/>
  <c r="O85" i="3"/>
  <c r="N85" i="3"/>
  <c r="M85" i="3"/>
  <c r="L85" i="3"/>
  <c r="T84" i="3"/>
  <c r="S84" i="3"/>
  <c r="R84" i="3"/>
  <c r="Q84" i="3"/>
  <c r="P84" i="3"/>
  <c r="O84" i="3"/>
  <c r="N84" i="3"/>
  <c r="M84" i="3"/>
  <c r="L84" i="3"/>
  <c r="T83" i="3"/>
  <c r="S83" i="3"/>
  <c r="R83" i="3"/>
  <c r="Q83" i="3"/>
  <c r="P83" i="3"/>
  <c r="O83" i="3"/>
  <c r="N83" i="3"/>
  <c r="M83" i="3"/>
  <c r="L83" i="3"/>
  <c r="T82" i="3"/>
  <c r="S82" i="3"/>
  <c r="R82" i="3"/>
  <c r="Q82" i="3"/>
  <c r="P82" i="3"/>
  <c r="O82" i="3"/>
  <c r="X82" i="3" s="1"/>
  <c r="N82" i="3"/>
  <c r="M82" i="3"/>
  <c r="L82" i="3"/>
  <c r="T81" i="3"/>
  <c r="S81" i="3"/>
  <c r="R81" i="3"/>
  <c r="Q81" i="3"/>
  <c r="P81" i="3"/>
  <c r="O81" i="3"/>
  <c r="N81" i="3"/>
  <c r="M81" i="3"/>
  <c r="L81" i="3"/>
  <c r="T80" i="3"/>
  <c r="S80" i="3"/>
  <c r="R80" i="3"/>
  <c r="Q80" i="3"/>
  <c r="P80" i="3"/>
  <c r="O80" i="3"/>
  <c r="N80" i="3"/>
  <c r="M80" i="3"/>
  <c r="L80" i="3"/>
  <c r="T79" i="3"/>
  <c r="S79" i="3"/>
  <c r="R79" i="3"/>
  <c r="Q79" i="3"/>
  <c r="P79" i="3"/>
  <c r="O79" i="3"/>
  <c r="N79" i="3"/>
  <c r="W79" i="3" s="1"/>
  <c r="M79" i="3"/>
  <c r="V79" i="3" s="1"/>
  <c r="L79" i="3"/>
  <c r="U79" i="3" s="1"/>
  <c r="T78" i="3"/>
  <c r="S78" i="3"/>
  <c r="R78" i="3"/>
  <c r="Q78" i="3"/>
  <c r="P78" i="3"/>
  <c r="O78" i="3"/>
  <c r="N78" i="3"/>
  <c r="W78" i="3" s="1"/>
  <c r="M78" i="3"/>
  <c r="V78" i="3" s="1"/>
  <c r="L78" i="3"/>
  <c r="U78" i="3" s="1"/>
  <c r="U77" i="3"/>
  <c r="T77" i="3"/>
  <c r="X77" i="3" s="1"/>
  <c r="S77" i="3"/>
  <c r="R77" i="3"/>
  <c r="Q77" i="3"/>
  <c r="P77" i="3"/>
  <c r="O77" i="3"/>
  <c r="N77" i="3"/>
  <c r="M77" i="3"/>
  <c r="V77" i="3" s="1"/>
  <c r="L77" i="3"/>
  <c r="T76" i="3"/>
  <c r="S76" i="3"/>
  <c r="R76" i="3"/>
  <c r="V76" i="3" s="1"/>
  <c r="Q76" i="3"/>
  <c r="U76" i="3" s="1"/>
  <c r="P76" i="3"/>
  <c r="O76" i="3"/>
  <c r="N76" i="3"/>
  <c r="M76" i="3"/>
  <c r="L76" i="3"/>
  <c r="T75" i="3"/>
  <c r="S75" i="3"/>
  <c r="R75" i="3"/>
  <c r="Q75" i="3"/>
  <c r="P75" i="3"/>
  <c r="O75" i="3"/>
  <c r="N75" i="3"/>
  <c r="M75" i="3"/>
  <c r="L75" i="3"/>
  <c r="T74" i="3"/>
  <c r="S74" i="3"/>
  <c r="R74" i="3"/>
  <c r="Q74" i="3"/>
  <c r="P74" i="3"/>
  <c r="O74" i="3"/>
  <c r="N74" i="3"/>
  <c r="M74" i="3"/>
  <c r="L74" i="3"/>
  <c r="T73" i="3"/>
  <c r="S73" i="3"/>
  <c r="R73" i="3"/>
  <c r="Q73" i="3"/>
  <c r="U73" i="3" s="1"/>
  <c r="P73" i="3"/>
  <c r="O73" i="3"/>
  <c r="X73" i="3" s="1"/>
  <c r="N73" i="3"/>
  <c r="M73" i="3"/>
  <c r="L73" i="3"/>
  <c r="T72" i="3"/>
  <c r="S72" i="3"/>
  <c r="R72" i="3"/>
  <c r="Q72" i="3"/>
  <c r="P72" i="3"/>
  <c r="O72" i="3"/>
  <c r="N72" i="3"/>
  <c r="M72" i="3"/>
  <c r="V72" i="3" s="1"/>
  <c r="L72" i="3"/>
  <c r="U72" i="3" s="1"/>
  <c r="T71" i="3"/>
  <c r="S71" i="3"/>
  <c r="R71" i="3"/>
  <c r="Q71" i="3"/>
  <c r="P71" i="3"/>
  <c r="O71" i="3"/>
  <c r="N71" i="3"/>
  <c r="M71" i="3"/>
  <c r="L71" i="3"/>
  <c r="T70" i="3"/>
  <c r="S70" i="3"/>
  <c r="R70" i="3"/>
  <c r="Q70" i="3"/>
  <c r="P70" i="3"/>
  <c r="O70" i="3"/>
  <c r="N70" i="3"/>
  <c r="W70" i="3" s="1"/>
  <c r="M70" i="3"/>
  <c r="L70" i="3"/>
  <c r="T69" i="3"/>
  <c r="S69" i="3"/>
  <c r="R69" i="3"/>
  <c r="Q69" i="3"/>
  <c r="P69" i="3"/>
  <c r="O69" i="3"/>
  <c r="X69" i="3" s="1"/>
  <c r="N69" i="3"/>
  <c r="W69" i="3" s="1"/>
  <c r="M69" i="3"/>
  <c r="L69" i="3"/>
  <c r="U69" i="3" s="1"/>
  <c r="T68" i="3"/>
  <c r="X68" i="3" s="1"/>
  <c r="S68" i="3"/>
  <c r="W68" i="3" s="1"/>
  <c r="R68" i="3"/>
  <c r="Q68" i="3"/>
  <c r="P68" i="3"/>
  <c r="O68" i="3"/>
  <c r="N68" i="3"/>
  <c r="M68" i="3"/>
  <c r="L68" i="3"/>
  <c r="T67" i="3"/>
  <c r="S67" i="3"/>
  <c r="R67" i="3"/>
  <c r="Q67" i="3"/>
  <c r="P67" i="3"/>
  <c r="O67" i="3"/>
  <c r="N67" i="3"/>
  <c r="M67" i="3"/>
  <c r="L67" i="3"/>
  <c r="T66" i="3"/>
  <c r="S66" i="3"/>
  <c r="R66" i="3"/>
  <c r="V66" i="3" s="1"/>
  <c r="Q66" i="3"/>
  <c r="P66" i="3"/>
  <c r="O66" i="3"/>
  <c r="X66" i="3" s="1"/>
  <c r="N66" i="3"/>
  <c r="W66" i="3" s="1"/>
  <c r="M66" i="3"/>
  <c r="L66" i="3"/>
  <c r="T65" i="3"/>
  <c r="S65" i="3"/>
  <c r="R65" i="3"/>
  <c r="Q65" i="3"/>
  <c r="P65" i="3"/>
  <c r="O65" i="3"/>
  <c r="N65" i="3"/>
  <c r="M65" i="3"/>
  <c r="L65" i="3"/>
  <c r="T64" i="3"/>
  <c r="S64" i="3"/>
  <c r="R64" i="3"/>
  <c r="Q64" i="3"/>
  <c r="P64" i="3"/>
  <c r="O64" i="3"/>
  <c r="N64" i="3"/>
  <c r="M64" i="3"/>
  <c r="L64" i="3"/>
  <c r="T63" i="3"/>
  <c r="S63" i="3"/>
  <c r="R63" i="3"/>
  <c r="Q63" i="3"/>
  <c r="P63" i="3"/>
  <c r="O63" i="3"/>
  <c r="N63" i="3"/>
  <c r="M63" i="3"/>
  <c r="L63" i="3"/>
  <c r="T62" i="3"/>
  <c r="S62" i="3"/>
  <c r="R62" i="3"/>
  <c r="Q62" i="3"/>
  <c r="P62" i="3"/>
  <c r="O62" i="3"/>
  <c r="X62" i="3" s="1"/>
  <c r="N62" i="3"/>
  <c r="M62" i="3"/>
  <c r="L62" i="3"/>
  <c r="T61" i="3"/>
  <c r="S61" i="3"/>
  <c r="R61" i="3"/>
  <c r="Q61" i="3"/>
  <c r="P61" i="3"/>
  <c r="O61" i="3"/>
  <c r="N61" i="3"/>
  <c r="M61" i="3"/>
  <c r="L61" i="3"/>
  <c r="T60" i="3"/>
  <c r="S60" i="3"/>
  <c r="R60" i="3"/>
  <c r="V60" i="3" s="1"/>
  <c r="Q60" i="3"/>
  <c r="P60" i="3"/>
  <c r="O60" i="3"/>
  <c r="N60" i="3"/>
  <c r="M60" i="3"/>
  <c r="L60" i="3"/>
  <c r="U60" i="3" s="1"/>
  <c r="T59" i="3"/>
  <c r="S59" i="3"/>
  <c r="R59" i="3"/>
  <c r="Q59" i="3"/>
  <c r="P59" i="3"/>
  <c r="O59" i="3"/>
  <c r="N59" i="3"/>
  <c r="M59" i="3"/>
  <c r="L59" i="3"/>
  <c r="T58" i="3"/>
  <c r="S58" i="3"/>
  <c r="R58" i="3"/>
  <c r="Q58" i="3"/>
  <c r="P58" i="3"/>
  <c r="O58" i="3"/>
  <c r="N58" i="3"/>
  <c r="M58" i="3"/>
  <c r="L58" i="3"/>
  <c r="T57" i="3"/>
  <c r="S57" i="3"/>
  <c r="R57" i="3"/>
  <c r="Q57" i="3"/>
  <c r="P57" i="3"/>
  <c r="O57" i="3"/>
  <c r="N57" i="3"/>
  <c r="M57" i="3"/>
  <c r="L57" i="3"/>
  <c r="T56" i="3"/>
  <c r="S56" i="3"/>
  <c r="R56" i="3"/>
  <c r="Q56" i="3"/>
  <c r="P56" i="3"/>
  <c r="O56" i="3"/>
  <c r="N56" i="3"/>
  <c r="M56" i="3"/>
  <c r="L56" i="3"/>
  <c r="T55" i="3"/>
  <c r="S55" i="3"/>
  <c r="R55" i="3"/>
  <c r="Q55" i="3"/>
  <c r="P55" i="3"/>
  <c r="O55" i="3"/>
  <c r="N55" i="3"/>
  <c r="M55" i="3"/>
  <c r="L55" i="3"/>
  <c r="T54" i="3"/>
  <c r="S54" i="3"/>
  <c r="R54" i="3"/>
  <c r="Q54" i="3"/>
  <c r="P54" i="3"/>
  <c r="O54" i="3"/>
  <c r="N54" i="3"/>
  <c r="M54" i="3"/>
  <c r="L54" i="3"/>
  <c r="T53" i="3"/>
  <c r="S53" i="3"/>
  <c r="R53" i="3"/>
  <c r="Q53" i="3"/>
  <c r="P53" i="3"/>
  <c r="O53" i="3"/>
  <c r="X53" i="3" s="1"/>
  <c r="N53" i="3"/>
  <c r="M53" i="3"/>
  <c r="L53" i="3"/>
  <c r="T52" i="3"/>
  <c r="S52" i="3"/>
  <c r="R52" i="3"/>
  <c r="Q52" i="3"/>
  <c r="P52" i="3"/>
  <c r="O52" i="3"/>
  <c r="N52" i="3"/>
  <c r="M52" i="3"/>
  <c r="L52" i="3"/>
  <c r="T51" i="3"/>
  <c r="S51" i="3"/>
  <c r="R51" i="3"/>
  <c r="Q51" i="3"/>
  <c r="U51" i="3" s="1"/>
  <c r="P51" i="3"/>
  <c r="O51" i="3"/>
  <c r="N51" i="3"/>
  <c r="M51" i="3"/>
  <c r="V51" i="3" s="1"/>
  <c r="L51" i="3"/>
  <c r="T50" i="3"/>
  <c r="S50" i="3"/>
  <c r="R50" i="3"/>
  <c r="Q50" i="3"/>
  <c r="P50" i="3"/>
  <c r="O50" i="3"/>
  <c r="N50" i="3"/>
  <c r="M50" i="3"/>
  <c r="L50" i="3"/>
  <c r="T49" i="3"/>
  <c r="S49" i="3"/>
  <c r="R49" i="3"/>
  <c r="Q49" i="3"/>
  <c r="P49" i="3"/>
  <c r="O49" i="3"/>
  <c r="N49" i="3"/>
  <c r="M49" i="3"/>
  <c r="L49" i="3"/>
  <c r="T48" i="3"/>
  <c r="S48" i="3"/>
  <c r="R48" i="3"/>
  <c r="Q48" i="3"/>
  <c r="P48" i="3"/>
  <c r="O48" i="3"/>
  <c r="N48" i="3"/>
  <c r="M48" i="3"/>
  <c r="L48" i="3"/>
  <c r="T47" i="3"/>
  <c r="S47" i="3"/>
  <c r="R47" i="3"/>
  <c r="Q47" i="3"/>
  <c r="P47" i="3"/>
  <c r="O47" i="3"/>
  <c r="N47" i="3"/>
  <c r="M47" i="3"/>
  <c r="L47" i="3"/>
  <c r="T46" i="3"/>
  <c r="S46" i="3"/>
  <c r="R46" i="3"/>
  <c r="Q46" i="3"/>
  <c r="P46" i="3"/>
  <c r="O46" i="3"/>
  <c r="N46" i="3"/>
  <c r="M46" i="3"/>
  <c r="L46" i="3"/>
  <c r="T45" i="3"/>
  <c r="S45" i="3"/>
  <c r="R45" i="3"/>
  <c r="Q45" i="3"/>
  <c r="P45" i="3"/>
  <c r="O45" i="3"/>
  <c r="N45" i="3"/>
  <c r="M45" i="3"/>
  <c r="L45" i="3"/>
  <c r="T44" i="3"/>
  <c r="S44" i="3"/>
  <c r="R44" i="3"/>
  <c r="Q44" i="3"/>
  <c r="P44" i="3"/>
  <c r="O44" i="3"/>
  <c r="N44" i="3"/>
  <c r="M44" i="3"/>
  <c r="L44" i="3"/>
  <c r="T43" i="3"/>
  <c r="S43" i="3"/>
  <c r="R43" i="3"/>
  <c r="Q43" i="3"/>
  <c r="P43" i="3"/>
  <c r="O43" i="3"/>
  <c r="N43" i="3"/>
  <c r="M43" i="3"/>
  <c r="L43" i="3"/>
  <c r="T42" i="3"/>
  <c r="S42" i="3"/>
  <c r="R42" i="3"/>
  <c r="Q42" i="3"/>
  <c r="P42" i="3"/>
  <c r="O42" i="3"/>
  <c r="N42" i="3"/>
  <c r="M42" i="3"/>
  <c r="L42" i="3"/>
  <c r="T41" i="3"/>
  <c r="S41" i="3"/>
  <c r="R41" i="3"/>
  <c r="Q41" i="3"/>
  <c r="P41" i="3"/>
  <c r="O41" i="3"/>
  <c r="X41" i="3" s="1"/>
  <c r="N41" i="3"/>
  <c r="M41" i="3"/>
  <c r="L41" i="3"/>
  <c r="T40" i="3"/>
  <c r="S40" i="3"/>
  <c r="R40" i="3"/>
  <c r="Q40" i="3"/>
  <c r="P40" i="3"/>
  <c r="O40" i="3"/>
  <c r="X40" i="3" s="1"/>
  <c r="N40" i="3"/>
  <c r="W40" i="3" s="1"/>
  <c r="M40" i="3"/>
  <c r="L40" i="3"/>
  <c r="U40" i="3" s="1"/>
  <c r="T39" i="3"/>
  <c r="X39" i="3" s="1"/>
  <c r="S39" i="3"/>
  <c r="R39" i="3"/>
  <c r="Q39" i="3"/>
  <c r="P39" i="3"/>
  <c r="O39" i="3"/>
  <c r="N39" i="3"/>
  <c r="M39" i="3"/>
  <c r="L39" i="3"/>
  <c r="T38" i="3"/>
  <c r="S38" i="3"/>
  <c r="R38" i="3"/>
  <c r="Q38" i="3"/>
  <c r="P38" i="3"/>
  <c r="O38" i="3"/>
  <c r="N38" i="3"/>
  <c r="M38" i="3"/>
  <c r="L38" i="3"/>
  <c r="T37" i="3"/>
  <c r="S37" i="3"/>
  <c r="R37" i="3"/>
  <c r="Q37" i="3"/>
  <c r="P37" i="3"/>
  <c r="O37" i="3"/>
  <c r="N37" i="3"/>
  <c r="M37" i="3"/>
  <c r="L37" i="3"/>
  <c r="T36" i="3"/>
  <c r="S36" i="3"/>
  <c r="R36" i="3"/>
  <c r="Q36" i="3"/>
  <c r="P36" i="3"/>
  <c r="O36" i="3"/>
  <c r="N36" i="3"/>
  <c r="M36" i="3"/>
  <c r="L36" i="3"/>
  <c r="T35" i="3"/>
  <c r="S35" i="3"/>
  <c r="R35" i="3"/>
  <c r="Q35" i="3"/>
  <c r="P35" i="3"/>
  <c r="O35" i="3"/>
  <c r="N35" i="3"/>
  <c r="M35" i="3"/>
  <c r="L35" i="3"/>
  <c r="T34" i="3"/>
  <c r="S34" i="3"/>
  <c r="R34" i="3"/>
  <c r="Q34" i="3"/>
  <c r="P34" i="3"/>
  <c r="O34" i="3"/>
  <c r="N34" i="3"/>
  <c r="M34" i="3"/>
  <c r="L34" i="3"/>
  <c r="T33" i="3"/>
  <c r="S33" i="3"/>
  <c r="R33" i="3"/>
  <c r="Q33" i="3"/>
  <c r="P33" i="3"/>
  <c r="O33" i="3"/>
  <c r="N33" i="3"/>
  <c r="M33" i="3"/>
  <c r="L33" i="3"/>
  <c r="T32" i="3"/>
  <c r="S32" i="3"/>
  <c r="R32" i="3"/>
  <c r="Q32" i="3"/>
  <c r="P32" i="3"/>
  <c r="O32" i="3"/>
  <c r="N32" i="3"/>
  <c r="M32" i="3"/>
  <c r="L32" i="3"/>
  <c r="T31" i="3"/>
  <c r="S31" i="3"/>
  <c r="R31" i="3"/>
  <c r="Q31" i="3"/>
  <c r="P31" i="3"/>
  <c r="O31" i="3"/>
  <c r="N31" i="3"/>
  <c r="M31" i="3"/>
  <c r="L31" i="3"/>
  <c r="U31" i="3" s="1"/>
  <c r="T30" i="3"/>
  <c r="S30" i="3"/>
  <c r="R30" i="3"/>
  <c r="Q30" i="3"/>
  <c r="P30" i="3"/>
  <c r="O30" i="3"/>
  <c r="N30" i="3"/>
  <c r="M30" i="3"/>
  <c r="L30" i="3"/>
  <c r="T29" i="3"/>
  <c r="S29" i="3"/>
  <c r="R29" i="3"/>
  <c r="Q29" i="3"/>
  <c r="P29" i="3"/>
  <c r="O29" i="3"/>
  <c r="N29" i="3"/>
  <c r="M29" i="3"/>
  <c r="L29" i="3"/>
  <c r="T28" i="3"/>
  <c r="S28" i="3"/>
  <c r="R28" i="3"/>
  <c r="Q28" i="3"/>
  <c r="P28" i="3"/>
  <c r="O28" i="3"/>
  <c r="N28" i="3"/>
  <c r="M28" i="3"/>
  <c r="L28" i="3"/>
  <c r="T27" i="3"/>
  <c r="S27" i="3"/>
  <c r="R27" i="3"/>
  <c r="Q27" i="3"/>
  <c r="P27" i="3"/>
  <c r="O27" i="3"/>
  <c r="N27" i="3"/>
  <c r="M27" i="3"/>
  <c r="L27" i="3"/>
  <c r="T26" i="3"/>
  <c r="S26" i="3"/>
  <c r="R26" i="3"/>
  <c r="Q26" i="3"/>
  <c r="P26" i="3"/>
  <c r="O26" i="3"/>
  <c r="N26" i="3"/>
  <c r="M26" i="3"/>
  <c r="L26" i="3"/>
  <c r="T25" i="3"/>
  <c r="S25" i="3"/>
  <c r="R25" i="3"/>
  <c r="Q25" i="3"/>
  <c r="P25" i="3"/>
  <c r="O25" i="3"/>
  <c r="N25" i="3"/>
  <c r="M25" i="3"/>
  <c r="L25" i="3"/>
  <c r="T24" i="3"/>
  <c r="S24" i="3"/>
  <c r="R24" i="3"/>
  <c r="Q24" i="3"/>
  <c r="P24" i="3"/>
  <c r="O24" i="3"/>
  <c r="N24" i="3"/>
  <c r="M24" i="3"/>
  <c r="L24" i="3"/>
  <c r="T23" i="3"/>
  <c r="S23" i="3"/>
  <c r="R23" i="3"/>
  <c r="Q23" i="3"/>
  <c r="P23" i="3"/>
  <c r="O23" i="3"/>
  <c r="N23" i="3"/>
  <c r="M23" i="3"/>
  <c r="L23" i="3"/>
  <c r="T22" i="3"/>
  <c r="S22" i="3"/>
  <c r="R22" i="3"/>
  <c r="Q22" i="3"/>
  <c r="P22" i="3"/>
  <c r="O22" i="3"/>
  <c r="N22" i="3"/>
  <c r="M22" i="3"/>
  <c r="L22" i="3"/>
  <c r="T21" i="3"/>
  <c r="S21" i="3"/>
  <c r="R21" i="3"/>
  <c r="Q21" i="3"/>
  <c r="P21" i="3"/>
  <c r="O21" i="3"/>
  <c r="N21" i="3"/>
  <c r="M21" i="3"/>
  <c r="L21" i="3"/>
  <c r="T20" i="3"/>
  <c r="S20" i="3"/>
  <c r="R20" i="3"/>
  <c r="Q20" i="3"/>
  <c r="P20" i="3"/>
  <c r="O20" i="3"/>
  <c r="N20" i="3"/>
  <c r="M20" i="3"/>
  <c r="L20" i="3"/>
  <c r="T19" i="3"/>
  <c r="S19" i="3"/>
  <c r="R19" i="3"/>
  <c r="Q19" i="3"/>
  <c r="P19" i="3"/>
  <c r="O19" i="3"/>
  <c r="N19" i="3"/>
  <c r="M19" i="3"/>
  <c r="L19" i="3"/>
  <c r="T18" i="3"/>
  <c r="S18" i="3"/>
  <c r="R18" i="3"/>
  <c r="Q18" i="3"/>
  <c r="P18" i="3"/>
  <c r="O18" i="3"/>
  <c r="N18" i="3"/>
  <c r="M18" i="3"/>
  <c r="L18" i="3"/>
  <c r="T17" i="3"/>
  <c r="S17" i="3"/>
  <c r="R17" i="3"/>
  <c r="Q17" i="3"/>
  <c r="P17" i="3"/>
  <c r="O17" i="3"/>
  <c r="N17" i="3"/>
  <c r="M17" i="3"/>
  <c r="L17" i="3"/>
  <c r="T16" i="3"/>
  <c r="S16" i="3"/>
  <c r="R16" i="3"/>
  <c r="Q16" i="3"/>
  <c r="P16" i="3"/>
  <c r="O16" i="3"/>
  <c r="N16" i="3"/>
  <c r="M16" i="3"/>
  <c r="L16" i="3"/>
  <c r="T15" i="3"/>
  <c r="S15" i="3"/>
  <c r="R15" i="3"/>
  <c r="Q15" i="3"/>
  <c r="P15" i="3"/>
  <c r="O15" i="3"/>
  <c r="N15" i="3"/>
  <c r="M15" i="3"/>
  <c r="L15" i="3"/>
  <c r="T14" i="3"/>
  <c r="S14" i="3"/>
  <c r="R14" i="3"/>
  <c r="Q14" i="3"/>
  <c r="P14" i="3"/>
  <c r="O14" i="3"/>
  <c r="N14" i="3"/>
  <c r="M14" i="3"/>
  <c r="L14" i="3"/>
  <c r="T13" i="3"/>
  <c r="S13" i="3"/>
  <c r="R13" i="3"/>
  <c r="Q13" i="3"/>
  <c r="P13" i="3"/>
  <c r="O13" i="3"/>
  <c r="N13" i="3"/>
  <c r="M13" i="3"/>
  <c r="L13" i="3"/>
  <c r="T12" i="3"/>
  <c r="S12" i="3"/>
  <c r="R12" i="3"/>
  <c r="Q12" i="3"/>
  <c r="P12" i="3"/>
  <c r="O12" i="3"/>
  <c r="N12" i="3"/>
  <c r="M12" i="3"/>
  <c r="L12" i="3"/>
  <c r="T11" i="3"/>
  <c r="S11" i="3"/>
  <c r="R11" i="3"/>
  <c r="Q11" i="3"/>
  <c r="P11" i="3"/>
  <c r="O11" i="3"/>
  <c r="N11" i="3"/>
  <c r="M11" i="3"/>
  <c r="L11" i="3"/>
  <c r="T10" i="3"/>
  <c r="S10" i="3"/>
  <c r="R10" i="3"/>
  <c r="Q10" i="3"/>
  <c r="P10" i="3"/>
  <c r="O10" i="3"/>
  <c r="N10" i="3"/>
  <c r="M10" i="3"/>
  <c r="L10" i="3"/>
  <c r="V28" i="3" l="1"/>
  <c r="U35" i="3"/>
  <c r="U25" i="3"/>
  <c r="W31" i="3"/>
  <c r="V19" i="3"/>
  <c r="V25" i="3"/>
  <c r="U19" i="3"/>
  <c r="X51" i="3"/>
  <c r="U59" i="3"/>
  <c r="V59" i="3"/>
  <c r="U49" i="3"/>
  <c r="W61" i="3"/>
  <c r="V52" i="3"/>
  <c r="W55" i="3"/>
  <c r="X58" i="3"/>
  <c r="W52" i="3"/>
  <c r="X55" i="3"/>
  <c r="W64" i="3"/>
  <c r="W53" i="3"/>
  <c r="X56" i="3"/>
  <c r="U64" i="3"/>
  <c r="W47" i="3"/>
  <c r="U36" i="3"/>
  <c r="X46" i="3"/>
  <c r="V49" i="3"/>
  <c r="V50" i="3"/>
  <c r="U21" i="3"/>
  <c r="X24" i="3"/>
  <c r="W37" i="3"/>
  <c r="V40" i="3"/>
  <c r="W58" i="3"/>
  <c r="X79" i="3"/>
  <c r="V107" i="3"/>
  <c r="X47" i="3"/>
  <c r="U28" i="3"/>
  <c r="V31" i="3"/>
  <c r="V32" i="3"/>
  <c r="X52" i="3"/>
  <c r="U57" i="3"/>
  <c r="V67" i="3"/>
  <c r="V69" i="3"/>
  <c r="W72" i="3"/>
  <c r="W98" i="3"/>
  <c r="X101" i="3"/>
  <c r="W110" i="3"/>
  <c r="X113" i="3"/>
  <c r="X70" i="3"/>
  <c r="X111" i="3"/>
  <c r="U32" i="3"/>
  <c r="V35" i="3"/>
  <c r="W38" i="3"/>
  <c r="W50" i="3"/>
  <c r="V73" i="3"/>
  <c r="W76" i="3"/>
  <c r="W88" i="3"/>
  <c r="X91" i="3"/>
  <c r="W102" i="3"/>
  <c r="V110" i="3"/>
  <c r="X116" i="3"/>
  <c r="W12" i="3"/>
  <c r="W32" i="3"/>
  <c r="W67" i="3"/>
  <c r="W96" i="3"/>
  <c r="X98" i="3"/>
  <c r="X110" i="3"/>
  <c r="W22" i="3"/>
  <c r="V36" i="3"/>
  <c r="V42" i="3"/>
  <c r="W45" i="3"/>
  <c r="W51" i="3"/>
  <c r="X61" i="3"/>
  <c r="X64" i="3"/>
  <c r="V83" i="3"/>
  <c r="W86" i="3"/>
  <c r="W90" i="3"/>
  <c r="X93" i="3"/>
  <c r="U97" i="3"/>
  <c r="V100" i="3"/>
  <c r="W107" i="3"/>
  <c r="W115" i="3"/>
  <c r="V13" i="3"/>
  <c r="W83" i="3"/>
  <c r="U94" i="3"/>
  <c r="U38" i="3"/>
  <c r="U45" i="3"/>
  <c r="V48" i="3"/>
  <c r="W60" i="3"/>
  <c r="W65" i="3"/>
  <c r="X80" i="3"/>
  <c r="X81" i="3"/>
  <c r="U85" i="3"/>
  <c r="U86" i="3"/>
  <c r="U89" i="3"/>
  <c r="W94" i="3"/>
  <c r="U105" i="3"/>
  <c r="U108" i="3"/>
  <c r="X109" i="3"/>
  <c r="X38" i="3"/>
  <c r="U109" i="3"/>
  <c r="V112" i="3"/>
  <c r="U10" i="3"/>
  <c r="W16" i="3"/>
  <c r="W42" i="3"/>
  <c r="U65" i="3"/>
  <c r="U66" i="3"/>
  <c r="V68" i="3"/>
  <c r="X86" i="3"/>
  <c r="X90" i="3"/>
  <c r="V109" i="3"/>
  <c r="W112" i="3"/>
  <c r="V10" i="3"/>
  <c r="W13" i="3"/>
  <c r="X16" i="3"/>
  <c r="X42" i="3"/>
  <c r="V65" i="3"/>
  <c r="X83" i="3"/>
  <c r="U91" i="3"/>
  <c r="V94" i="3"/>
  <c r="W109" i="3"/>
  <c r="W21" i="3"/>
  <c r="W27" i="3"/>
  <c r="V38" i="3"/>
  <c r="V45" i="3"/>
  <c r="W48" i="3"/>
  <c r="V53" i="3"/>
  <c r="U82" i="3"/>
  <c r="V85" i="3"/>
  <c r="V89" i="3"/>
  <c r="X94" i="3"/>
  <c r="V103" i="3"/>
  <c r="V106" i="3"/>
  <c r="U37" i="3"/>
  <c r="V37" i="3"/>
  <c r="X36" i="3"/>
  <c r="W34" i="3"/>
  <c r="U30" i="3"/>
  <c r="W28" i="3"/>
  <c r="W26" i="3"/>
  <c r="X29" i="3"/>
  <c r="W24" i="3"/>
  <c r="V24" i="3"/>
  <c r="U24" i="3"/>
  <c r="X22" i="3"/>
  <c r="V22" i="3"/>
  <c r="V21" i="3"/>
  <c r="U20" i="3"/>
  <c r="W19" i="3"/>
  <c r="W18" i="3"/>
  <c r="V18" i="3"/>
  <c r="U18" i="3"/>
  <c r="X17" i="3"/>
  <c r="U16" i="3"/>
  <c r="X14" i="3"/>
  <c r="W14" i="3"/>
  <c r="W10" i="3"/>
  <c r="X11" i="3"/>
  <c r="W11" i="3"/>
  <c r="X10" i="3"/>
  <c r="T8" i="3"/>
  <c r="P8" i="3"/>
  <c r="X89" i="3"/>
  <c r="O8" i="3"/>
  <c r="U116" i="3"/>
  <c r="X76" i="3"/>
  <c r="V116" i="3"/>
  <c r="U34" i="3"/>
  <c r="V63" i="3"/>
  <c r="X75" i="3"/>
  <c r="W116" i="3"/>
  <c r="X21" i="3"/>
  <c r="V34" i="3"/>
  <c r="U48" i="3"/>
  <c r="U52" i="3"/>
  <c r="W63" i="3"/>
  <c r="U75" i="3"/>
  <c r="U39" i="3"/>
  <c r="X63" i="3"/>
  <c r="V75" i="3"/>
  <c r="X96" i="3"/>
  <c r="X106" i="3"/>
  <c r="V39" i="3"/>
  <c r="W49" i="3"/>
  <c r="W75" i="3"/>
  <c r="V92" i="3"/>
  <c r="V11" i="3"/>
  <c r="V20" i="3"/>
  <c r="W39" i="3"/>
  <c r="W46" i="3"/>
  <c r="X49" i="3"/>
  <c r="V80" i="3"/>
  <c r="W17" i="3"/>
  <c r="W20" i="3"/>
  <c r="X45" i="3"/>
  <c r="W80" i="3"/>
  <c r="V95" i="3"/>
  <c r="X13" i="3"/>
  <c r="X20" i="3"/>
  <c r="X27" i="3"/>
  <c r="U29" i="3"/>
  <c r="X34" i="3"/>
  <c r="U41" i="3"/>
  <c r="V44" i="3"/>
  <c r="U50" i="3"/>
  <c r="U58" i="3"/>
  <c r="U62" i="3"/>
  <c r="V64" i="3"/>
  <c r="U67" i="3"/>
  <c r="U81" i="3"/>
  <c r="U84" i="3"/>
  <c r="U88" i="3"/>
  <c r="V91" i="3"/>
  <c r="X112" i="3"/>
  <c r="X115" i="3"/>
  <c r="U12" i="3"/>
  <c r="U15" i="3"/>
  <c r="U23" i="3"/>
  <c r="V29" i="3"/>
  <c r="X33" i="3"/>
  <c r="V41" i="3"/>
  <c r="W44" i="3"/>
  <c r="X48" i="3"/>
  <c r="U54" i="3"/>
  <c r="V57" i="3"/>
  <c r="V62" i="3"/>
  <c r="V81" i="3"/>
  <c r="V88" i="3"/>
  <c r="W91" i="3"/>
  <c r="U93" i="3"/>
  <c r="U101" i="3"/>
  <c r="V105" i="3"/>
  <c r="U111" i="3"/>
  <c r="V12" i="3"/>
  <c r="V15" i="3"/>
  <c r="V23" i="3"/>
  <c r="V26" i="3"/>
  <c r="W29" i="3"/>
  <c r="U33" i="3"/>
  <c r="X37" i="3"/>
  <c r="W41" i="3"/>
  <c r="X44" i="3"/>
  <c r="V54" i="3"/>
  <c r="W57" i="3"/>
  <c r="W62" i="3"/>
  <c r="X65" i="3"/>
  <c r="U74" i="3"/>
  <c r="X78" i="3"/>
  <c r="W81" i="3"/>
  <c r="W84" i="3"/>
  <c r="V93" i="3"/>
  <c r="V101" i="3"/>
  <c r="W105" i="3"/>
  <c r="X19" i="3"/>
  <c r="U22" i="3"/>
  <c r="W23" i="3"/>
  <c r="V33" i="3"/>
  <c r="U47" i="3"/>
  <c r="W54" i="3"/>
  <c r="X57" i="3"/>
  <c r="X60" i="3"/>
  <c r="U61" i="3"/>
  <c r="U70" i="3"/>
  <c r="V74" i="3"/>
  <c r="X84" i="3"/>
  <c r="W93" i="3"/>
  <c r="V97" i="3"/>
  <c r="W100" i="3"/>
  <c r="X105" i="3"/>
  <c r="U11" i="3"/>
  <c r="X12" i="3"/>
  <c r="X23" i="3"/>
  <c r="X26" i="3"/>
  <c r="X32" i="3"/>
  <c r="W33" i="3"/>
  <c r="W36" i="3"/>
  <c r="U44" i="3"/>
  <c r="V47" i="3"/>
  <c r="V70" i="3"/>
  <c r="W73" i="3"/>
  <c r="W74" i="3"/>
  <c r="W77" i="3"/>
  <c r="U80" i="3"/>
  <c r="U90" i="3"/>
  <c r="W97" i="3"/>
  <c r="X100" i="3"/>
  <c r="U104" i="3"/>
  <c r="U96" i="3"/>
  <c r="X97" i="3"/>
  <c r="V104" i="3"/>
  <c r="U106" i="3"/>
  <c r="V111" i="3"/>
  <c r="V114" i="3"/>
  <c r="U115" i="3"/>
  <c r="U17" i="3"/>
  <c r="W25" i="3"/>
  <c r="X28" i="3"/>
  <c r="W35" i="3"/>
  <c r="U46" i="3"/>
  <c r="X50" i="3"/>
  <c r="X54" i="3"/>
  <c r="V61" i="3"/>
  <c r="X71" i="3"/>
  <c r="X74" i="3"/>
  <c r="V82" i="3"/>
  <c r="W85" i="3"/>
  <c r="W89" i="3"/>
  <c r="W92" i="3"/>
  <c r="V96" i="3"/>
  <c r="U99" i="3"/>
  <c r="U100" i="3"/>
  <c r="X103" i="3"/>
  <c r="W104" i="3"/>
  <c r="W111" i="3"/>
  <c r="W114" i="3"/>
  <c r="V115" i="3"/>
  <c r="L8" i="3"/>
  <c r="U13" i="3"/>
  <c r="V16" i="3"/>
  <c r="V17" i="3"/>
  <c r="X25" i="3"/>
  <c r="X35" i="3"/>
  <c r="U42" i="3"/>
  <c r="V46" i="3"/>
  <c r="U53" i="3"/>
  <c r="U56" i="3"/>
  <c r="U63" i="3"/>
  <c r="X67" i="3"/>
  <c r="W82" i="3"/>
  <c r="X85" i="3"/>
  <c r="X88" i="3"/>
  <c r="X92" i="3"/>
  <c r="U95" i="3"/>
  <c r="V99" i="3"/>
  <c r="U103" i="3"/>
  <c r="U110" i="3"/>
  <c r="S8" i="3"/>
  <c r="Q8" i="3"/>
  <c r="R8" i="3"/>
  <c r="W15" i="3"/>
  <c r="X31" i="3"/>
  <c r="U43" i="3"/>
  <c r="V56" i="3"/>
  <c r="U68" i="3"/>
  <c r="X72" i="3"/>
  <c r="V84" i="3"/>
  <c r="W87" i="3"/>
  <c r="W99" i="3"/>
  <c r="X15" i="3"/>
  <c r="U27" i="3"/>
  <c r="V43" i="3"/>
  <c r="W56" i="3"/>
  <c r="W59" i="3"/>
  <c r="X87" i="3"/>
  <c r="X102" i="3"/>
  <c r="V27" i="3"/>
  <c r="V30" i="3"/>
  <c r="W43" i="3"/>
  <c r="X59" i="3"/>
  <c r="U71" i="3"/>
  <c r="U113" i="3"/>
  <c r="M8" i="3"/>
  <c r="U14" i="3"/>
  <c r="X18" i="3"/>
  <c r="W30" i="3"/>
  <c r="X43" i="3"/>
  <c r="U55" i="3"/>
  <c r="V71" i="3"/>
  <c r="U83" i="3"/>
  <c r="U98" i="3"/>
  <c r="V113" i="3"/>
  <c r="X114" i="3"/>
  <c r="N8" i="3"/>
  <c r="V14" i="3"/>
  <c r="U26" i="3"/>
  <c r="X30" i="3"/>
  <c r="V55" i="3"/>
  <c r="V58" i="3"/>
  <c r="W71" i="3"/>
  <c r="V86" i="3"/>
  <c r="V98" i="3"/>
  <c r="W101" i="3"/>
  <c r="W113" i="3"/>
  <c r="W8" i="3" l="1"/>
  <c r="V8" i="3"/>
  <c r="U8" i="3"/>
  <c r="X8" i="3"/>
</calcChain>
</file>

<file path=xl/sharedStrings.xml><?xml version="1.0" encoding="utf-8"?>
<sst xmlns="http://schemas.openxmlformats.org/spreadsheetml/2006/main" count="505" uniqueCount="229">
  <si>
    <t>ID</t>
  </si>
  <si>
    <t>Start time</t>
  </si>
  <si>
    <t>Completion time</t>
  </si>
  <si>
    <t>Email</t>
  </si>
  <si>
    <t>Name</t>
  </si>
  <si>
    <t>Last modified time</t>
  </si>
  <si>
    <t>Date</t>
  </si>
  <si>
    <t>Name2</t>
  </si>
  <si>
    <t>Popeyes Meter </t>
  </si>
  <si>
    <t>DG 1010KVA Running Hours</t>
  </si>
  <si>
    <t>DG 1010 KVA Meter Reading</t>
  </si>
  <si>
    <t>GG 1010 KVA Running Hours</t>
  </si>
  <si>
    <t>GG 1010 KVA Meter Reading</t>
  </si>
  <si>
    <t>4F1 Main UPS 1/C -1</t>
  </si>
  <si>
    <t>5F1 Utility</t>
  </si>
  <si>
    <t>5F3 Admin Area</t>
  </si>
  <si>
    <t>6F1 Power Panel - 2 (I/C-2 Production Area)</t>
  </si>
  <si>
    <t>7F1 Freon System Panel</t>
  </si>
  <si>
    <t>7F2 Traywasher Panel - 1A ( + Old Ck)</t>
  </si>
  <si>
    <t>8F1 1600KVA Transformer</t>
  </si>
  <si>
    <t>13F1 Power Panel - 2  I/C -1 </t>
  </si>
  <si>
    <t>13F2 AC Panel I/C -2</t>
  </si>
  <si>
    <t>13F3 Water &amp; Lift Old CK</t>
  </si>
  <si>
    <t>14F1 Traywasher Panel -1B</t>
  </si>
  <si>
    <t>14F2 New CK</t>
  </si>
  <si>
    <t>15F1 Main UPS Panel - I/C - 2</t>
  </si>
  <si>
    <t>15F2 New ETP Panel</t>
  </si>
  <si>
    <t>15F4 Indoor Panel -1</t>
  </si>
  <si>
    <t>16F1 Tray washer Panel for Light</t>
  </si>
  <si>
    <t>19F1 2500KVA Transformer</t>
  </si>
  <si>
    <t>21F1 Refrigeration Ammonia</t>
  </si>
  <si>
    <t>2F1 RO Plant</t>
  </si>
  <si>
    <t>2F3 Air Compressor</t>
  </si>
  <si>
    <t>2F5 Main Gate-1 Piller -1</t>
  </si>
  <si>
    <t>3F1 Maintenance Workshop</t>
  </si>
  <si>
    <t>3F2 Truck Washing Panel</t>
  </si>
  <si>
    <t>3F3 Fire Hydrant Panel</t>
  </si>
  <si>
    <t>3F4 Old ETP Panel</t>
  </si>
  <si>
    <t>4F1 Incomer -2</t>
  </si>
  <si>
    <t>Air Flow</t>
  </si>
  <si>
    <t>Pressure</t>
  </si>
  <si>
    <t>Air Consumption</t>
  </si>
  <si>
    <t>Comp 1 Running Hours</t>
  </si>
  <si>
    <t>Comp 1 Running load</t>
  </si>
  <si>
    <t>Comp 2 Running Hours</t>
  </si>
  <si>
    <t>Comp 2 Running Load</t>
  </si>
  <si>
    <t>Comp 3 Running Hours</t>
  </si>
  <si>
    <t>Comp 3 Running Load</t>
  </si>
  <si>
    <t>1F1 Ammonia Refrigeration Room Panel</t>
  </si>
  <si>
    <t>Solar Reading Panel II</t>
  </si>
  <si>
    <t>1F1 MCC Indoor-1</t>
  </si>
  <si>
    <t>2F WH Chiller, Segregation Area</t>
  </si>
  <si>
    <t>3F1 AC Unit WH dock cooling - 2 Nos</t>
  </si>
  <si>
    <t>3F2 AC Unit WH dock cooling - 3 Nos</t>
  </si>
  <si>
    <t>4F Old BMC cooling Unit</t>
  </si>
  <si>
    <t>4F B2B unit </t>
  </si>
  <si>
    <t>1F1 MCC Indoor Panel -2 </t>
  </si>
  <si>
    <t>2F CLC -1 AC unit - 2</t>
  </si>
  <si>
    <t>2F CLC Anti room</t>
  </si>
  <si>
    <t>3F Dough cooler - 2 </t>
  </si>
  <si>
    <t>3F Dough Cooler- 1</t>
  </si>
  <si>
    <t>4F Dough Production cooling Unit</t>
  </si>
  <si>
    <t>5F WH Perishable</t>
  </si>
  <si>
    <t>2F1 - PDB 6 - Bread, B2B section</t>
  </si>
  <si>
    <t>2F2 - PDB 3 - WH Truck &amp; Battery Charging</t>
  </si>
  <si>
    <t>2F3 - PDB 9 - WH Dock Leveler Door </t>
  </si>
  <si>
    <t>2F4 - Old BMC</t>
  </si>
  <si>
    <t>3F1 - PDB 5 - WH HSD</t>
  </si>
  <si>
    <t>3F2 - PDB 3 - Dough Production Area</t>
  </si>
  <si>
    <t>3F3 - PDB 4 - Dough Area</t>
  </si>
  <si>
    <t>4F1 Metering PP2 </t>
  </si>
  <si>
    <t>6F1 Metering PP2 </t>
  </si>
  <si>
    <t>7F1 Donut Production area</t>
  </si>
  <si>
    <t>7F2 Flour Silo</t>
  </si>
  <si>
    <t>7F3 CLC Power Panel</t>
  </si>
  <si>
    <t>8F1 WH Dock AHU - Ventilation</t>
  </si>
  <si>
    <t>8F2 ACPDB - 3 SILO Ventilation</t>
  </si>
  <si>
    <t>8F3 ACPDB - 4 WH Dock air curtain</t>
  </si>
  <si>
    <t>8F4 WH Light</t>
  </si>
  <si>
    <t>8F5 Donut Ban Bary</t>
  </si>
  <si>
    <t>9F1 - PDB 10 - WH Dock door &amp; Office</t>
  </si>
  <si>
    <t>9F2 - PDB 11 - WH flycatchers</t>
  </si>
  <si>
    <t>9F3 - PDB 12 - Other items</t>
  </si>
  <si>
    <t>9F4 - PDB 13 - Donut Sink Geyser area</t>
  </si>
  <si>
    <t>9F5 - PDB 14 - Bread Lift</t>
  </si>
  <si>
    <t>9F6 - PDB 7 - Stagging Area</t>
  </si>
  <si>
    <t>PDB - 17 CLC Section </t>
  </si>
  <si>
    <t>PDB - 16 Bread Section</t>
  </si>
  <si>
    <t>PDB - 11 Truck Charging</t>
  </si>
  <si>
    <t>OLD Ck Panel-1</t>
  </si>
  <si>
    <t>2F4 Old CK Blast (Blue star)</t>
  </si>
  <si>
    <t>3F6 Old CK Blast (Carrier)</t>
  </si>
  <si>
    <t>Old CK Panel -2</t>
  </si>
  <si>
    <t>Tray Washer light Panel</t>
  </si>
  <si>
    <t>2F1 Tray Washer - 1</t>
  </si>
  <si>
    <t>2F3 - PDB 1 - Dock 1 to 4 </t>
  </si>
  <si>
    <t>2F5 Destacker</t>
  </si>
  <si>
    <t>3F1 Metering (TW-1)</t>
  </si>
  <si>
    <t>5F1 Metering (TW-2)</t>
  </si>
  <si>
    <t>6F1 Pre soaker Tray washer</t>
  </si>
  <si>
    <t>6F2 Ground Floor AC</t>
  </si>
  <si>
    <t>6F3 ACBD -1 (First floor AC)</t>
  </si>
  <si>
    <t>6F4 ACBD - 2 (Second &amp; Third floor AC)</t>
  </si>
  <si>
    <t>6F5 Vent tray Storage</t>
  </si>
  <si>
    <t>PNG Meter (Outside)</t>
  </si>
  <si>
    <t>PNG Meter (Inside)</t>
  </si>
  <si>
    <t>MWH Imp</t>
  </si>
  <si>
    <t>MWH Total</t>
  </si>
  <si>
    <t>MVAH Imp</t>
  </si>
  <si>
    <t>Power Factor (PF)</t>
  </si>
  <si>
    <t>Timing of Meter reading</t>
  </si>
  <si>
    <t>anonymous</t>
  </si>
  <si>
    <t>Popeyes</t>
  </si>
  <si>
    <t>Freon Refrigeration</t>
  </si>
  <si>
    <t>Traywasher</t>
  </si>
  <si>
    <t>New CK</t>
  </si>
  <si>
    <t>ETP</t>
  </si>
  <si>
    <t>Ammonia Refrigeration</t>
  </si>
  <si>
    <t>Air compressor</t>
  </si>
  <si>
    <t>RO Plant</t>
  </si>
  <si>
    <t>Admin</t>
  </si>
  <si>
    <t>Engineering</t>
  </si>
  <si>
    <t>Transport</t>
  </si>
  <si>
    <t>EHS</t>
  </si>
  <si>
    <t>Rooftop Solar</t>
  </si>
  <si>
    <t>Warehouse</t>
  </si>
  <si>
    <t>BMC</t>
  </si>
  <si>
    <t>B2B</t>
  </si>
  <si>
    <t>CLC</t>
  </si>
  <si>
    <t>Dough</t>
  </si>
  <si>
    <t>Bread</t>
  </si>
  <si>
    <t>Donut</t>
  </si>
  <si>
    <t>Silo</t>
  </si>
  <si>
    <t>OLD Ck</t>
  </si>
  <si>
    <t>OLD CK</t>
  </si>
  <si>
    <t>NPCL</t>
  </si>
  <si>
    <t>UPS</t>
  </si>
  <si>
    <t>Utility</t>
  </si>
  <si>
    <t>WTP</t>
  </si>
  <si>
    <t>Overall PNG</t>
  </si>
  <si>
    <t>Old CK</t>
  </si>
  <si>
    <t>DG</t>
  </si>
  <si>
    <t>GG</t>
  </si>
  <si>
    <t>NPCL Injection + Open source</t>
  </si>
  <si>
    <r>
      <rPr>
        <sz val="10"/>
        <rFont val="Arial"/>
        <family val="2"/>
      </rPr>
      <t>v1: DUNKIN IDU+CT - Active energy</t>
    </r>
  </si>
  <si>
    <r>
      <rPr>
        <sz val="10"/>
        <rFont val="Arial"/>
        <family val="2"/>
      </rPr>
      <t>v9: DEEP RACK - Active energy</t>
    </r>
  </si>
  <si>
    <r>
      <rPr>
        <sz val="10"/>
        <rFont val="Arial"/>
        <family val="2"/>
      </rPr>
      <t>v2: BMC IDU+CT - Active energy</t>
    </r>
  </si>
  <si>
    <r>
      <rPr>
        <sz val="10"/>
        <rFont val="Arial"/>
        <family val="2"/>
      </rPr>
      <t>v3: CLC IDU+CT - Active energy</t>
    </r>
  </si>
  <si>
    <r>
      <rPr>
        <sz val="10"/>
        <rFont val="Arial"/>
        <family val="2"/>
      </rPr>
      <t>v4: DEEP 1 IDU+CT - Active energy</t>
    </r>
  </si>
  <si>
    <r>
      <rPr>
        <sz val="10"/>
        <rFont val="Arial"/>
        <family val="2"/>
      </rPr>
      <t>v5: DEEP 2 IDU - Active energy</t>
    </r>
  </si>
  <si>
    <r>
      <rPr>
        <sz val="10"/>
        <rFont val="Arial"/>
        <family val="2"/>
      </rPr>
      <t>v6: DUNKIN RACK - Active energy</t>
    </r>
  </si>
  <si>
    <r>
      <rPr>
        <sz val="10"/>
        <rFont val="Arial"/>
        <family val="2"/>
      </rPr>
      <t>v7: BMC RACK - Active energy</t>
    </r>
  </si>
  <si>
    <r>
      <rPr>
        <sz val="10"/>
        <rFont val="Arial"/>
        <family val="2"/>
      </rPr>
      <t>v8: CLC RACK - Active energy</t>
    </r>
  </si>
  <si>
    <r>
      <rPr>
        <sz val="10"/>
        <rFont val="Arial"/>
        <family val="2"/>
      </rPr>
      <t>Timestamp</t>
    </r>
  </si>
  <si>
    <r>
      <rPr>
        <sz val="10"/>
        <rFont val="Arial"/>
        <family val="2"/>
      </rPr>
      <t>v1</t>
    </r>
  </si>
  <si>
    <r>
      <rPr>
        <sz val="10"/>
        <rFont val="Arial"/>
        <family val="2"/>
      </rPr>
      <t>v2</t>
    </r>
  </si>
  <si>
    <r>
      <rPr>
        <sz val="10"/>
        <rFont val="Arial"/>
        <family val="2"/>
      </rPr>
      <t>v3</t>
    </r>
  </si>
  <si>
    <r>
      <rPr>
        <sz val="10"/>
        <rFont val="Arial"/>
        <family val="2"/>
      </rPr>
      <t>v4</t>
    </r>
  </si>
  <si>
    <r>
      <rPr>
        <sz val="10"/>
        <rFont val="Arial"/>
        <family val="2"/>
      </rPr>
      <t>v5</t>
    </r>
  </si>
  <si>
    <r>
      <rPr>
        <sz val="10"/>
        <rFont val="Arial"/>
        <family val="2"/>
      </rPr>
      <t>v6</t>
    </r>
  </si>
  <si>
    <r>
      <rPr>
        <sz val="10"/>
        <rFont val="Arial"/>
        <family val="2"/>
      </rPr>
      <t>v7</t>
    </r>
  </si>
  <si>
    <r>
      <rPr>
        <sz val="10"/>
        <rFont val="Arial"/>
        <family val="2"/>
      </rPr>
      <t>v8</t>
    </r>
  </si>
  <si>
    <r>
      <rPr>
        <sz val="10"/>
        <rFont val="Arial"/>
        <family val="2"/>
      </rPr>
      <t>v9</t>
    </r>
  </si>
  <si>
    <t>Dunkin</t>
  </si>
  <si>
    <t>Deep</t>
  </si>
  <si>
    <t>v1: DUNKIN IDU+CT - Active energy</t>
  </si>
  <si>
    <t>v2: BMC IDU+CT - Active energy</t>
  </si>
  <si>
    <t>v3: CLC IDU+CT - Active energy</t>
  </si>
  <si>
    <t>v4: DEEP 1 IDU+CT - Active energy</t>
  </si>
  <si>
    <t>v5: DEEP 2 IDU - Active energy</t>
  </si>
  <si>
    <t>v6: DUNKIN RACK - Active energy</t>
  </si>
  <si>
    <t>v7: BMC RACK - Active energy</t>
  </si>
  <si>
    <t>v8: CLC RACK - Active energy</t>
  </si>
  <si>
    <t>v9: DEEP RACK - Active energy</t>
  </si>
  <si>
    <t>Plant Lights</t>
  </si>
  <si>
    <t>2026/06/25 00.00</t>
  </si>
  <si>
    <t>---</t>
  </si>
  <si>
    <t>2026/06/26 00.00</t>
  </si>
  <si>
    <t>2026/06/27 00.00</t>
  </si>
  <si>
    <t>2026/06/28 00.00</t>
  </si>
  <si>
    <t>2026/06/29 00.00</t>
  </si>
  <si>
    <t>2026/06/30 00.00</t>
  </si>
  <si>
    <t xml:space="preserve">Prateek Chamoli </t>
  </si>
  <si>
    <t>2026/07/01 00.00</t>
  </si>
  <si>
    <t>2026/06/01 00.00</t>
  </si>
  <si>
    <t>2026/06/02 00.00</t>
  </si>
  <si>
    <t>2026/06/03 00.00</t>
  </si>
  <si>
    <t>2026/06/04 00.00</t>
  </si>
  <si>
    <t>2026/06/05 00.00</t>
  </si>
  <si>
    <t>2026/06/06 00.00</t>
  </si>
  <si>
    <t>2026/06/07 00.00</t>
  </si>
  <si>
    <t>2026/06/08 00.00</t>
  </si>
  <si>
    <t>2026/06/09 00.00</t>
  </si>
  <si>
    <t>2026/06/10 00.00</t>
  </si>
  <si>
    <t>2026/06/11 00.00</t>
  </si>
  <si>
    <t>2026/06/12 00.00</t>
  </si>
  <si>
    <t>2026/06/13 00.00</t>
  </si>
  <si>
    <t>2026/06/14 00.00</t>
  </si>
  <si>
    <t>2026/06/15 00.00</t>
  </si>
  <si>
    <t>2026/06/16 00.00</t>
  </si>
  <si>
    <t>2026/06/17 00.00</t>
  </si>
  <si>
    <t>2026/06/18 00.00</t>
  </si>
  <si>
    <t>2026/06/19 00.00</t>
  </si>
  <si>
    <t>2026/06/20 00.00</t>
  </si>
  <si>
    <t>2026/06/21 00.00</t>
  </si>
  <si>
    <t>2026/06/22 00.00</t>
  </si>
  <si>
    <t>2026/06/23 00.00</t>
  </si>
  <si>
    <t>2026/06/24 00.00</t>
  </si>
  <si>
    <t>PNG-4159</t>
  </si>
  <si>
    <t>PNG-3605</t>
  </si>
  <si>
    <t>10:41</t>
  </si>
  <si>
    <t>Prateek Chamoli</t>
  </si>
  <si>
    <t>10:21</t>
  </si>
  <si>
    <t>10:08</t>
  </si>
  <si>
    <t>10:16</t>
  </si>
  <si>
    <t>10:14</t>
  </si>
  <si>
    <t>10:05</t>
  </si>
  <si>
    <t>10:18</t>
  </si>
  <si>
    <t>4:00</t>
  </si>
  <si>
    <t>4:25</t>
  </si>
  <si>
    <t>10:27</t>
  </si>
  <si>
    <t>10:09</t>
  </si>
  <si>
    <t>10:13</t>
  </si>
  <si>
    <t>9:55</t>
  </si>
  <si>
    <t>10:10</t>
  </si>
  <si>
    <t>10:44</t>
  </si>
  <si>
    <t>10:04</t>
  </si>
  <si>
    <t>34087..7984</t>
  </si>
  <si>
    <t>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</si>
</sst>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\ h:mm:ss"/>
    <numFmt numFmtId="165" formatCode="0.0"/>
    <numFmt numFmtId="166" formatCode="0."/>
    <numFmt numFmtId="167" formatCode="yyyy/mm/dd\ hh:mm"/>
    <numFmt numFmtId="172" formatCode="#,##0.0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theme="0"/>
      <name val="Times New Roman"/>
      <family val="1"/>
    </font>
    <font>
      <b/>
      <sz val="11"/>
      <color rgb="FFFFFF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D9E2F3"/>
      </left>
      <right/>
      <top style="thin">
        <color theme="4" tint="0.39997558519241921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0" fillId="0" borderId="0" xfId="0" applyFill="1"/>
    <xf numFmtId="1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top" wrapText="1"/>
    </xf>
    <xf numFmtId="0" fontId="3" fillId="0" borderId="0" xfId="1" applyFill="1" applyBorder="1" applyAlignment="1">
      <alignment horizontal="left" wrapText="1"/>
    </xf>
    <xf numFmtId="0" fontId="3" fillId="0" borderId="0" xfId="1" applyFill="1" applyBorder="1" applyAlignment="1">
      <alignment horizontal="left" vertical="top"/>
    </xf>
    <xf numFmtId="0" fontId="3" fillId="0" borderId="0" xfId="1" applyFill="1" applyBorder="1" applyAlignment="1">
      <alignment horizontal="left" vertical="top" wrapText="1"/>
    </xf>
    <xf numFmtId="0" fontId="4" fillId="0" borderId="9" xfId="1" applyFont="1" applyFill="1" applyBorder="1" applyAlignment="1">
      <alignment vertical="top" wrapText="1"/>
    </xf>
    <xf numFmtId="0" fontId="3" fillId="0" borderId="9" xfId="1" applyFill="1" applyBorder="1" applyAlignment="1">
      <alignment horizontal="left" wrapText="1"/>
    </xf>
    <xf numFmtId="0" fontId="4" fillId="0" borderId="10" xfId="1" applyFont="1" applyFill="1" applyBorder="1" applyAlignment="1">
      <alignment horizontal="left" vertical="top" wrapText="1"/>
    </xf>
    <xf numFmtId="0" fontId="4" fillId="0" borderId="10" xfId="1" applyFont="1" applyFill="1" applyBorder="1" applyAlignment="1">
      <alignment horizontal="left" vertical="top" wrapText="1" indent="1"/>
    </xf>
    <xf numFmtId="0" fontId="4" fillId="0" borderId="10" xfId="1" applyFont="1" applyFill="1" applyBorder="1" applyAlignment="1">
      <alignment horizontal="center" vertical="top" wrapText="1"/>
    </xf>
    <xf numFmtId="0" fontId="4" fillId="0" borderId="10" xfId="1" applyFont="1" applyFill="1" applyBorder="1" applyAlignment="1">
      <alignment horizontal="left" vertical="top" wrapText="1" indent="4"/>
    </xf>
    <xf numFmtId="0" fontId="4" fillId="0" borderId="0" xfId="1" applyFont="1" applyFill="1" applyBorder="1" applyAlignment="1">
      <alignment horizontal="left" vertical="top" wrapText="1"/>
    </xf>
    <xf numFmtId="165" fontId="5" fillId="0" borderId="0" xfId="1" applyNumberFormat="1" applyFont="1" applyFill="1" applyBorder="1" applyAlignment="1">
      <alignment horizontal="left" vertical="top" indent="1" shrinkToFit="1"/>
    </xf>
    <xf numFmtId="165" fontId="5" fillId="0" borderId="0" xfId="1" applyNumberFormat="1" applyFont="1" applyFill="1" applyBorder="1" applyAlignment="1">
      <alignment horizontal="left" vertical="top" shrinkToFit="1"/>
    </xf>
    <xf numFmtId="0" fontId="4" fillId="0" borderId="0" xfId="1" applyFont="1" applyFill="1" applyBorder="1" applyAlignment="1">
      <alignment horizontal="center" vertical="top" wrapText="1"/>
    </xf>
    <xf numFmtId="165" fontId="5" fillId="0" borderId="0" xfId="1" applyNumberFormat="1" applyFont="1" applyFill="1" applyBorder="1" applyAlignment="1">
      <alignment horizontal="left" vertical="top" indent="4" shrinkToFit="1"/>
    </xf>
    <xf numFmtId="166" fontId="5" fillId="0" borderId="0" xfId="1" applyNumberFormat="1" applyFont="1" applyFill="1" applyBorder="1" applyAlignment="1">
      <alignment horizontal="left" vertical="top" shrinkToFit="1"/>
    </xf>
    <xf numFmtId="165" fontId="3" fillId="0" borderId="0" xfId="1" applyNumberFormat="1" applyFill="1" applyBorder="1" applyAlignment="1">
      <alignment horizontal="left" vertical="top" wrapText="1"/>
    </xf>
    <xf numFmtId="165" fontId="3" fillId="0" borderId="0" xfId="1" applyNumberFormat="1" applyFill="1" applyBorder="1" applyAlignment="1">
      <alignment horizontal="left" vertical="top"/>
    </xf>
    <xf numFmtId="0" fontId="4" fillId="0" borderId="9" xfId="1" applyFont="1" applyFill="1" applyBorder="1" applyAlignment="1">
      <alignment horizontal="left" vertical="top" wrapText="1"/>
    </xf>
    <xf numFmtId="165" fontId="5" fillId="0" borderId="9" xfId="1" applyNumberFormat="1" applyFont="1" applyFill="1" applyBorder="1" applyAlignment="1">
      <alignment horizontal="left" vertical="top" indent="1" shrinkToFit="1"/>
    </xf>
    <xf numFmtId="165" fontId="5" fillId="0" borderId="9" xfId="1" applyNumberFormat="1" applyFont="1" applyFill="1" applyBorder="1" applyAlignment="1">
      <alignment horizontal="left" vertical="top" shrinkToFit="1"/>
    </xf>
    <xf numFmtId="0" fontId="4" fillId="0" borderId="9" xfId="1" applyFont="1" applyFill="1" applyBorder="1" applyAlignment="1">
      <alignment horizontal="center" vertical="top" wrapText="1"/>
    </xf>
    <xf numFmtId="165" fontId="5" fillId="0" borderId="9" xfId="1" applyNumberFormat="1" applyFont="1" applyFill="1" applyBorder="1" applyAlignment="1">
      <alignment horizontal="left" vertical="top" indent="4" shrinkToFit="1"/>
    </xf>
    <xf numFmtId="166" fontId="5" fillId="0" borderId="9" xfId="1" applyNumberFormat="1" applyFont="1" applyFill="1" applyBorder="1" applyAlignment="1">
      <alignment horizontal="left" vertical="top" shrinkToFit="1"/>
    </xf>
    <xf numFmtId="0" fontId="7" fillId="7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8" fillId="8" borderId="1" xfId="1" applyFont="1" applyFill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left" vertical="top" wrapText="1"/>
    </xf>
    <xf numFmtId="165" fontId="9" fillId="0" borderId="1" xfId="1" applyNumberFormat="1" applyFont="1" applyFill="1" applyBorder="1" applyAlignment="1">
      <alignment horizontal="left" vertical="top"/>
    </xf>
    <xf numFmtId="0" fontId="5" fillId="0" borderId="0" xfId="1" applyNumberFormat="1" applyFont="1" applyFill="1" applyBorder="1" applyAlignment="1">
      <alignment horizontal="left" vertical="top" indent="1" shrinkToFit="1"/>
    </xf>
    <xf numFmtId="0" fontId="5" fillId="0" borderId="0" xfId="1" applyNumberFormat="1" applyFont="1" applyFill="1" applyBorder="1" applyAlignment="1">
      <alignment horizontal="left" vertical="top" shrinkToFit="1"/>
    </xf>
    <xf numFmtId="0" fontId="4" fillId="0" borderId="0" xfId="1" applyNumberFormat="1" applyFont="1" applyFill="1" applyBorder="1" applyAlignment="1">
      <alignment horizontal="left" vertical="top" wrapText="1"/>
    </xf>
    <xf numFmtId="0" fontId="4" fillId="0" borderId="0" xfId="1" applyNumberFormat="1" applyFont="1" applyFill="1" applyBorder="1" applyAlignment="1">
      <alignment horizontal="center" vertical="top" wrapText="1"/>
    </xf>
    <xf numFmtId="0" fontId="5" fillId="0" borderId="0" xfId="1" applyNumberFormat="1" applyFont="1" applyFill="1" applyBorder="1" applyAlignment="1">
      <alignment horizontal="left" vertical="top" indent="4" shrinkToFit="1"/>
    </xf>
    <xf numFmtId="0" fontId="5" fillId="0" borderId="9" xfId="1" applyNumberFormat="1" applyFont="1" applyFill="1" applyBorder="1" applyAlignment="1">
      <alignment horizontal="left" vertical="top" indent="1" shrinkToFit="1"/>
    </xf>
    <xf numFmtId="0" fontId="5" fillId="0" borderId="9" xfId="1" applyNumberFormat="1" applyFont="1" applyFill="1" applyBorder="1" applyAlignment="1">
      <alignment horizontal="left" vertical="top" shrinkToFit="1"/>
    </xf>
    <xf numFmtId="0" fontId="5" fillId="0" borderId="9" xfId="1" applyNumberFormat="1" applyFont="1" applyFill="1" applyBorder="1" applyAlignment="1">
      <alignment horizontal="left" vertical="top" indent="4" shrinkToFit="1"/>
    </xf>
    <xf numFmtId="14" fontId="4" fillId="0" borderId="0" xfId="1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" xfId="0" applyFill="1" applyBorder="1"/>
    <xf numFmtId="164" fontId="0" fillId="0" borderId="1" xfId="0" applyNumberFormat="1" applyFont="1" applyFill="1" applyBorder="1"/>
    <xf numFmtId="0" fontId="0" fillId="0" borderId="1" xfId="0" applyNumberFormat="1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167" fontId="10" fillId="0" borderId="13" xfId="0" applyNumberFormat="1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NumberFormat="1" applyFont="1" applyBorder="1" applyAlignment="1">
      <alignment horizontal="right"/>
    </xf>
    <xf numFmtId="0" fontId="0" fillId="9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 vertical="center" wrapText="1"/>
    </xf>
    <xf numFmtId="15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67" fontId="0" fillId="0" borderId="0" xfId="0" applyNumberFormat="1"/>
    <xf numFmtId="172" fontId="0" fillId="0" borderId="0" xfId="0" applyNumberFormat="1"/>
  </cellXfs>
  <cellStyles count="2">
    <cellStyle name="Normal" xfId="0" builtinId="0"/>
    <cellStyle name="Normal 2" xfId="1"/>
  </cellStyles>
  <dxfs count="11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textRotation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textRotation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2:DG30" totalsRowShown="0" headerRowDxfId="113" dataDxfId="111" headerRowBorderDxfId="112">
  <autoFilter ref="A2:DG30"/>
  <tableColumns count="111">
    <tableColumn id="1" name="ID" dataDxfId="110"/>
    <tableColumn id="2" name="Start time" dataDxfId="109"/>
    <tableColumn id="3" name="Completion time" dataDxfId="108"/>
    <tableColumn id="4" name="Email" dataDxfId="107"/>
    <tableColumn id="5" name="Name" dataDxfId="106"/>
    <tableColumn id="6" name="Last modified time" dataDxfId="105"/>
    <tableColumn id="7" name="Date" dataDxfId="104"/>
    <tableColumn id="8" name="Name2" dataDxfId="103"/>
    <tableColumn id="9" name="Popeyes Meter " dataDxfId="102"/>
    <tableColumn id="10" name="DG 1010KVA Running Hours" dataDxfId="101"/>
    <tableColumn id="11" name="DG 1010 KVA Meter Reading" dataDxfId="100"/>
    <tableColumn id="12" name="GG 1010 KVA Running Hours" dataDxfId="99"/>
    <tableColumn id="13" name="GG 1010 KVA Meter Reading" dataDxfId="98"/>
    <tableColumn id="14" name="4F1 Main UPS 1/C -1" dataDxfId="97"/>
    <tableColumn id="15" name="5F1 Utility" dataDxfId="96"/>
    <tableColumn id="16" name="5F3 Admin Area" dataDxfId="95"/>
    <tableColumn id="17" name="6F1 Power Panel - 2 (I/C-2 Production Area)" dataDxfId="94"/>
    <tableColumn id="18" name="7F1 Freon System Panel" dataDxfId="93"/>
    <tableColumn id="19" name="7F2 Traywasher Panel - 1A ( + Old Ck)" dataDxfId="92"/>
    <tableColumn id="20" name="8F1 1600KVA Transformer" dataDxfId="91"/>
    <tableColumn id="21" name="13F1 Power Panel - 2  I/C -1 " dataDxfId="90"/>
    <tableColumn id="22" name="13F2 AC Panel I/C -2" dataDxfId="89"/>
    <tableColumn id="23" name="13F3 Water &amp; Lift Old CK" dataDxfId="88"/>
    <tableColumn id="24" name="14F1 Traywasher Panel -1B" dataDxfId="87"/>
    <tableColumn id="25" name="14F2 New CK" dataDxfId="86"/>
    <tableColumn id="26" name="15F1 Main UPS Panel - I/C - 2" dataDxfId="85"/>
    <tableColumn id="27" name="15F2 New ETP Panel" dataDxfId="84"/>
    <tableColumn id="28" name="15F4 Indoor Panel -1" dataDxfId="83"/>
    <tableColumn id="29" name="16F1 Tray washer Panel for Light" dataDxfId="82"/>
    <tableColumn id="30" name="19F1 2500KVA Transformer" dataDxfId="81"/>
    <tableColumn id="31" name="21F1 Refrigeration Ammonia" dataDxfId="80"/>
    <tableColumn id="32" name="2F1 RO Plant" dataDxfId="79"/>
    <tableColumn id="33" name="2F3 Air Compressor" dataDxfId="78"/>
    <tableColumn id="34" name="2F5 Main Gate-1 Piller -1" dataDxfId="77"/>
    <tableColumn id="35" name="3F1 Maintenance Workshop" dataDxfId="76"/>
    <tableColumn id="36" name="3F2 Truck Washing Panel" dataDxfId="75"/>
    <tableColumn id="37" name="3F3 Fire Hydrant Panel" dataDxfId="74"/>
    <tableColumn id="38" name="3F4 Old ETP Panel" dataDxfId="73"/>
    <tableColumn id="39" name="4F1 Incomer -2" dataDxfId="72"/>
    <tableColumn id="40" name="Air Flow" dataDxfId="71"/>
    <tableColumn id="41" name="Pressure" dataDxfId="70"/>
    <tableColumn id="42" name="Air Consumption" dataDxfId="69"/>
    <tableColumn id="43" name="Comp 1 Running Hours" dataDxfId="68"/>
    <tableColumn id="44" name="Comp 1 Running load" dataDxfId="67"/>
    <tableColumn id="45" name="Comp 2 Running Hours" dataDxfId="66"/>
    <tableColumn id="46" name="Comp 2 Running Load" dataDxfId="65"/>
    <tableColumn id="47" name="Comp 3 Running Hours" dataDxfId="64"/>
    <tableColumn id="48" name="Comp 3 Running Load" dataDxfId="63"/>
    <tableColumn id="49" name="1F1 Ammonia Refrigeration Room Panel" dataDxfId="62"/>
    <tableColumn id="50" name="Solar Reading Panel II" dataDxfId="61"/>
    <tableColumn id="51" name="1F1 MCC Indoor-1" dataDxfId="60"/>
    <tableColumn id="52" name="2F WH Chiller, Segregation Area" dataDxfId="59"/>
    <tableColumn id="53" name="3F1 AC Unit WH dock cooling - 2 Nos" dataDxfId="58"/>
    <tableColumn id="54" name="3F2 AC Unit WH dock cooling - 3 Nos" dataDxfId="57"/>
    <tableColumn id="55" name="4F Old BMC cooling Unit" dataDxfId="56"/>
    <tableColumn id="56" name="4F B2B unit " dataDxfId="55"/>
    <tableColumn id="57" name="1F1 MCC Indoor Panel -2 " dataDxfId="54"/>
    <tableColumn id="58" name="2F CLC -1 AC unit - 2" dataDxfId="53"/>
    <tableColumn id="59" name="2F CLC Anti room" dataDxfId="52"/>
    <tableColumn id="60" name="3F Dough cooler - 2 " dataDxfId="51"/>
    <tableColumn id="61" name="3F Dough Cooler- 1" dataDxfId="50"/>
    <tableColumn id="62" name="4F Dough Production cooling Unit" dataDxfId="49"/>
    <tableColumn id="63" name="5F WH Perishable" dataDxfId="48"/>
    <tableColumn id="64" name="2F1 - PDB 6 - Bread, B2B section" dataDxfId="47"/>
    <tableColumn id="65" name="2F2 - PDB 3 - WH Truck &amp; Battery Charging" dataDxfId="46"/>
    <tableColumn id="66" name="2F3 - PDB 9 - WH Dock Leveler Door " dataDxfId="45"/>
    <tableColumn id="67" name="2F4 - Old BMC" dataDxfId="44"/>
    <tableColumn id="68" name="3F1 - PDB 5 - WH HSD" dataDxfId="43"/>
    <tableColumn id="69" name="3F2 - PDB 3 - Dough Production Area" dataDxfId="42"/>
    <tableColumn id="70" name="3F3 - PDB 4 - Dough Area" dataDxfId="41"/>
    <tableColumn id="71" name="4F1 Metering PP2 " dataDxfId="40"/>
    <tableColumn id="72" name="6F1 Metering PP2 " dataDxfId="39"/>
    <tableColumn id="73" name="7F1 Donut Production area" dataDxfId="38"/>
    <tableColumn id="74" name="7F2 Flour Silo" dataDxfId="37"/>
    <tableColumn id="75" name="7F3 CLC Power Panel" dataDxfId="36"/>
    <tableColumn id="76" name="8F1 WH Dock AHU - Ventilation" dataDxfId="35"/>
    <tableColumn id="77" name="8F2 ACPDB - 3 SILO Ventilation" dataDxfId="34"/>
    <tableColumn id="78" name="8F3 ACPDB - 4 WH Dock air curtain" dataDxfId="33"/>
    <tableColumn id="79" name="8F4 WH Light" dataDxfId="32"/>
    <tableColumn id="80" name="8F5 Donut Ban Bary" dataDxfId="31"/>
    <tableColumn id="81" name="9F1 - PDB 10 - WH Dock door &amp; Office" dataDxfId="30"/>
    <tableColumn id="82" name="9F2 - PDB 11 - WH flycatchers" dataDxfId="29"/>
    <tableColumn id="83" name="9F3 - PDB 12 - Other items" dataDxfId="28"/>
    <tableColumn id="84" name="9F4 - PDB 13 - Donut Sink Geyser area" dataDxfId="27"/>
    <tableColumn id="85" name="9F5 - PDB 14 - Bread Lift" dataDxfId="26"/>
    <tableColumn id="86" name="9F6 - PDB 7 - Stagging Area" dataDxfId="25"/>
    <tableColumn id="87" name="PDB - 17 CLC Section " dataDxfId="24"/>
    <tableColumn id="88" name="PDB - 16 Bread Section" dataDxfId="23"/>
    <tableColumn id="89" name="PDB - 11 Truck Charging" dataDxfId="22"/>
    <tableColumn id="90" name="OLD Ck Panel-1" dataDxfId="21"/>
    <tableColumn id="91" name="2F4 Old CK Blast (Blue star)" dataDxfId="20"/>
    <tableColumn id="92" name="3F6 Old CK Blast (Carrier)" dataDxfId="19"/>
    <tableColumn id="93" name="Old CK Panel -2" dataDxfId="18"/>
    <tableColumn id="94" name="Tray Washer light Panel" dataDxfId="17"/>
    <tableColumn id="95" name="2F1 Tray Washer - 1" dataDxfId="16"/>
    <tableColumn id="96" name="2F3 - PDB 1 - Dock 1 to 4 " dataDxfId="15"/>
    <tableColumn id="97" name="2F5 Destacker" dataDxfId="14"/>
    <tableColumn id="98" name="3F1 Metering (TW-1)" dataDxfId="13"/>
    <tableColumn id="99" name="5F1 Metering (TW-2)" dataDxfId="12"/>
    <tableColumn id="100" name="6F1 Pre soaker Tray washer" dataDxfId="11"/>
    <tableColumn id="101" name="6F2 Ground Floor AC" dataDxfId="10"/>
    <tableColumn id="102" name="6F3 ACBD -1 (First floor AC)" dataDxfId="9"/>
    <tableColumn id="103" name="6F4 ACBD - 2 (Second &amp; Third floor AC)" dataDxfId="8"/>
    <tableColumn id="104" name="6F5 Vent tray Storage" dataDxfId="7"/>
    <tableColumn id="105" name="PNG Meter (Outside)" dataDxfId="6"/>
    <tableColumn id="106" name="PNG Meter (Inside)" dataDxfId="5"/>
    <tableColumn id="107" name="MWH Imp" dataDxfId="4"/>
    <tableColumn id="108" name="MWH Total" dataDxfId="3"/>
    <tableColumn id="109" name="MVAH Imp" dataDxfId="2"/>
    <tableColumn id="110" name="Power Factor (PF)" dataDxfId="1"/>
    <tableColumn id="111" name="Timing of Meter read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4"/>
  <sheetViews>
    <sheetView tabSelected="1" workbookViewId="0">
      <pane xSplit="1" ySplit="2" topLeftCell="DE3" activePane="bottomRight" state="frozen"/>
      <selection pane="topRight" activeCell="B1" sqref="B1"/>
      <selection pane="bottomLeft" activeCell="A3" sqref="A3"/>
      <selection pane="bottomRight" activeCell="DN11" sqref="DN11"/>
    </sheetView>
  </sheetViews>
  <sheetFormatPr defaultRowHeight="14.4"/>
  <cols>
    <col min="1" max="1" width="5.33203125" customWidth="1"/>
    <col min="2" max="2" width="16" customWidth="1"/>
    <col min="3" max="3" width="16.6640625" customWidth="1"/>
    <col min="4" max="4" width="12.21875" style="56" customWidth="1"/>
    <col min="5" max="5" width="7.21875" customWidth="1"/>
    <col min="6" max="6" width="9.88671875" customWidth="1"/>
    <col min="7" max="7" width="12.21875" style="56" customWidth="1"/>
    <col min="8" max="8" width="14.88671875" bestFit="1" customWidth="1"/>
    <col min="9" max="111" width="12.21875" customWidth="1"/>
    <col min="112" max="112" width="10.109375" bestFit="1" customWidth="1"/>
    <col min="114" max="140" width="9.77734375" customWidth="1"/>
    <col min="147" max="147" width="10.21875" customWidth="1"/>
    <col min="155" max="155" width="9.44140625" customWidth="1"/>
    <col min="166" max="166" width="11.77734375" customWidth="1"/>
    <col min="167" max="167" width="12" customWidth="1"/>
    <col min="168" max="168" width="11" customWidth="1"/>
    <col min="169" max="169" width="11.6640625" customWidth="1"/>
    <col min="170" max="170" width="14.109375" customWidth="1"/>
  </cols>
  <sheetData>
    <row r="1" spans="1:183" s="51" customFormat="1" ht="58.05" customHeight="1">
      <c r="I1" s="43" t="s">
        <v>112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136</v>
      </c>
      <c r="O1" s="43" t="s">
        <v>137</v>
      </c>
      <c r="P1" s="43" t="s">
        <v>120</v>
      </c>
      <c r="Q1" s="52"/>
      <c r="R1" s="43" t="s">
        <v>113</v>
      </c>
      <c r="S1" s="43" t="s">
        <v>114</v>
      </c>
      <c r="T1" s="52"/>
      <c r="U1" s="52"/>
      <c r="V1" s="52"/>
      <c r="W1" s="43" t="s">
        <v>138</v>
      </c>
      <c r="X1" s="43" t="s">
        <v>114</v>
      </c>
      <c r="Y1" s="43" t="s">
        <v>115</v>
      </c>
      <c r="Z1" s="43" t="s">
        <v>136</v>
      </c>
      <c r="AA1" s="43" t="s">
        <v>116</v>
      </c>
      <c r="AB1" s="52"/>
      <c r="AC1" s="43" t="s">
        <v>114</v>
      </c>
      <c r="AD1" s="52"/>
      <c r="AE1" s="43" t="s">
        <v>117</v>
      </c>
      <c r="AF1" s="43" t="s">
        <v>119</v>
      </c>
      <c r="AG1" s="43" t="s">
        <v>118</v>
      </c>
      <c r="AH1" s="43" t="s">
        <v>120</v>
      </c>
      <c r="AI1" s="43" t="s">
        <v>121</v>
      </c>
      <c r="AJ1" s="43" t="s">
        <v>122</v>
      </c>
      <c r="AK1" s="43" t="s">
        <v>123</v>
      </c>
      <c r="AL1" s="43" t="s">
        <v>116</v>
      </c>
      <c r="AM1" s="52"/>
      <c r="AN1" s="53" t="s">
        <v>39</v>
      </c>
      <c r="AO1" s="53" t="s">
        <v>40</v>
      </c>
      <c r="AP1" s="53" t="s">
        <v>41</v>
      </c>
      <c r="AQ1" s="53" t="s">
        <v>42</v>
      </c>
      <c r="AR1" s="53" t="s">
        <v>43</v>
      </c>
      <c r="AS1" s="53" t="s">
        <v>44</v>
      </c>
      <c r="AT1" s="53" t="s">
        <v>45</v>
      </c>
      <c r="AU1" s="53" t="s">
        <v>46</v>
      </c>
      <c r="AV1" s="53" t="s">
        <v>47</v>
      </c>
      <c r="AW1" s="43" t="s">
        <v>117</v>
      </c>
      <c r="AX1" s="43" t="s">
        <v>124</v>
      </c>
      <c r="AY1" s="52"/>
      <c r="AZ1" s="43" t="s">
        <v>125</v>
      </c>
      <c r="BA1" s="43" t="s">
        <v>125</v>
      </c>
      <c r="BB1" s="43" t="s">
        <v>125</v>
      </c>
      <c r="BC1" s="43" t="s">
        <v>126</v>
      </c>
      <c r="BD1" s="43" t="s">
        <v>127</v>
      </c>
      <c r="BE1" s="52"/>
      <c r="BF1" s="43" t="s">
        <v>128</v>
      </c>
      <c r="BG1" s="43" t="s">
        <v>128</v>
      </c>
      <c r="BH1" s="43" t="s">
        <v>129</v>
      </c>
      <c r="BI1" s="43" t="s">
        <v>129</v>
      </c>
      <c r="BJ1" s="43" t="s">
        <v>129</v>
      </c>
      <c r="BK1" s="43" t="s">
        <v>125</v>
      </c>
      <c r="BL1" s="43" t="s">
        <v>130</v>
      </c>
      <c r="BM1" s="43" t="s">
        <v>122</v>
      </c>
      <c r="BN1" s="43" t="s">
        <v>125</v>
      </c>
      <c r="BO1" s="43" t="s">
        <v>126</v>
      </c>
      <c r="BP1" s="43" t="s">
        <v>125</v>
      </c>
      <c r="BQ1" s="43" t="s">
        <v>129</v>
      </c>
      <c r="BR1" s="43" t="s">
        <v>129</v>
      </c>
      <c r="BS1" s="52"/>
      <c r="BT1" s="52"/>
      <c r="BU1" s="43" t="s">
        <v>131</v>
      </c>
      <c r="BV1" s="43" t="s">
        <v>132</v>
      </c>
      <c r="BW1" s="43" t="s">
        <v>128</v>
      </c>
      <c r="BX1" s="43" t="s">
        <v>125</v>
      </c>
      <c r="BY1" s="43" t="s">
        <v>132</v>
      </c>
      <c r="BZ1" s="43" t="s">
        <v>125</v>
      </c>
      <c r="CA1" s="43" t="s">
        <v>125</v>
      </c>
      <c r="CB1" s="43" t="s">
        <v>131</v>
      </c>
      <c r="CC1" s="43" t="s">
        <v>125</v>
      </c>
      <c r="CD1" s="43" t="s">
        <v>125</v>
      </c>
      <c r="CE1" s="43" t="s">
        <v>125</v>
      </c>
      <c r="CF1" s="43" t="s">
        <v>131</v>
      </c>
      <c r="CG1" s="43" t="s">
        <v>130</v>
      </c>
      <c r="CH1" s="43" t="s">
        <v>125</v>
      </c>
      <c r="CI1" s="43" t="s">
        <v>128</v>
      </c>
      <c r="CJ1" s="43" t="s">
        <v>130</v>
      </c>
      <c r="CK1" s="43" t="s">
        <v>122</v>
      </c>
      <c r="CL1" s="43" t="s">
        <v>133</v>
      </c>
      <c r="CM1" s="43" t="s">
        <v>134</v>
      </c>
      <c r="CN1" s="43" t="s">
        <v>134</v>
      </c>
      <c r="CO1" s="43" t="s">
        <v>134</v>
      </c>
      <c r="CP1" s="43" t="s">
        <v>114</v>
      </c>
      <c r="CQ1" s="43" t="s">
        <v>114</v>
      </c>
      <c r="CR1" s="43" t="s">
        <v>125</v>
      </c>
      <c r="CS1" s="43" t="s">
        <v>114</v>
      </c>
      <c r="CT1" s="43" t="s">
        <v>114</v>
      </c>
      <c r="CU1" s="43" t="s">
        <v>114</v>
      </c>
      <c r="CV1" s="43" t="s">
        <v>114</v>
      </c>
      <c r="CW1" s="43" t="s">
        <v>120</v>
      </c>
      <c r="CX1" s="43" t="s">
        <v>120</v>
      </c>
      <c r="CY1" s="43" t="s">
        <v>120</v>
      </c>
      <c r="CZ1" s="43" t="s">
        <v>114</v>
      </c>
      <c r="DA1" s="43" t="s">
        <v>208</v>
      </c>
      <c r="DB1" s="43" t="s">
        <v>209</v>
      </c>
      <c r="DC1" s="52"/>
      <c r="DD1" s="43" t="s">
        <v>135</v>
      </c>
      <c r="DE1" s="52"/>
      <c r="DF1" s="54" t="s">
        <v>109</v>
      </c>
      <c r="DG1" s="52"/>
      <c r="DI1" s="42" t="s">
        <v>135</v>
      </c>
      <c r="DJ1" s="68" t="s">
        <v>139</v>
      </c>
      <c r="DK1" s="69"/>
      <c r="DL1" s="67" t="s">
        <v>129</v>
      </c>
      <c r="DM1" s="67"/>
      <c r="DN1" s="67"/>
      <c r="DO1" s="67"/>
      <c r="DP1" s="67"/>
      <c r="DQ1" s="42" t="s">
        <v>174</v>
      </c>
      <c r="DR1" s="70" t="s">
        <v>114</v>
      </c>
      <c r="DS1" s="70"/>
      <c r="DT1" s="70"/>
      <c r="DU1" s="70"/>
      <c r="DV1" s="71"/>
      <c r="DW1" s="42" t="s">
        <v>112</v>
      </c>
      <c r="DX1" s="67" t="s">
        <v>125</v>
      </c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 t="s">
        <v>122</v>
      </c>
      <c r="EL1" s="67"/>
      <c r="EM1" s="68" t="s">
        <v>120</v>
      </c>
      <c r="EN1" s="69"/>
      <c r="EO1" s="69"/>
      <c r="EP1" s="69"/>
      <c r="EQ1" s="69"/>
      <c r="ER1" s="67" t="s">
        <v>126</v>
      </c>
      <c r="ES1" s="67"/>
      <c r="ET1" s="42" t="s">
        <v>115</v>
      </c>
      <c r="EU1" s="67" t="s">
        <v>140</v>
      </c>
      <c r="EV1" s="67"/>
      <c r="EW1" s="67"/>
      <c r="EX1" s="67"/>
      <c r="EY1" s="72" t="s">
        <v>136</v>
      </c>
      <c r="EZ1" s="73"/>
      <c r="FA1" s="67" t="s">
        <v>128</v>
      </c>
      <c r="FB1" s="67"/>
      <c r="FC1" s="67"/>
      <c r="FD1" s="67"/>
      <c r="FE1" s="42" t="s">
        <v>138</v>
      </c>
      <c r="FF1" s="67" t="s">
        <v>116</v>
      </c>
      <c r="FG1" s="67"/>
      <c r="FH1" s="42" t="s">
        <v>119</v>
      </c>
      <c r="FI1" s="42" t="s">
        <v>123</v>
      </c>
      <c r="FJ1" s="42" t="s">
        <v>113</v>
      </c>
      <c r="FK1" s="42" t="s">
        <v>117</v>
      </c>
      <c r="FL1" s="42" t="s">
        <v>118</v>
      </c>
      <c r="FM1" s="42" t="s">
        <v>124</v>
      </c>
      <c r="FN1" s="42" t="s">
        <v>121</v>
      </c>
      <c r="FO1" s="42" t="s">
        <v>127</v>
      </c>
      <c r="FP1" s="68" t="s">
        <v>130</v>
      </c>
      <c r="FQ1" s="69"/>
      <c r="FR1" s="74"/>
      <c r="FS1" s="68" t="s">
        <v>131</v>
      </c>
      <c r="FT1" s="69"/>
      <c r="FU1" s="74"/>
      <c r="FV1" s="72" t="s">
        <v>132</v>
      </c>
      <c r="FW1" s="73"/>
      <c r="FX1" s="72" t="s">
        <v>141</v>
      </c>
      <c r="FY1" s="73"/>
      <c r="FZ1" s="67" t="s">
        <v>142</v>
      </c>
      <c r="GA1" s="67"/>
    </row>
    <row r="2" spans="1:183" s="48" customFormat="1" ht="86.4">
      <c r="A2" s="47" t="s">
        <v>0</v>
      </c>
      <c r="B2" s="47" t="s">
        <v>1</v>
      </c>
      <c r="C2" s="47" t="s">
        <v>2</v>
      </c>
      <c r="D2" s="47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7" t="s">
        <v>11</v>
      </c>
      <c r="M2" s="47" t="s">
        <v>12</v>
      </c>
      <c r="N2" s="47" t="s">
        <v>13</v>
      </c>
      <c r="O2" s="47" t="s">
        <v>14</v>
      </c>
      <c r="P2" s="47" t="s">
        <v>15</v>
      </c>
      <c r="Q2" s="47" t="s">
        <v>16</v>
      </c>
      <c r="R2" s="47" t="s">
        <v>17</v>
      </c>
      <c r="S2" s="47" t="s">
        <v>18</v>
      </c>
      <c r="T2" s="47" t="s">
        <v>19</v>
      </c>
      <c r="U2" s="47" t="s">
        <v>20</v>
      </c>
      <c r="V2" s="47" t="s">
        <v>21</v>
      </c>
      <c r="W2" s="47" t="s">
        <v>22</v>
      </c>
      <c r="X2" s="47" t="s">
        <v>23</v>
      </c>
      <c r="Y2" s="47" t="s">
        <v>24</v>
      </c>
      <c r="Z2" s="47" t="s">
        <v>25</v>
      </c>
      <c r="AA2" s="47" t="s">
        <v>26</v>
      </c>
      <c r="AB2" s="47" t="s">
        <v>27</v>
      </c>
      <c r="AC2" s="47" t="s">
        <v>28</v>
      </c>
      <c r="AD2" s="47" t="s">
        <v>29</v>
      </c>
      <c r="AE2" s="47" t="s">
        <v>30</v>
      </c>
      <c r="AF2" s="47" t="s">
        <v>31</v>
      </c>
      <c r="AG2" s="47" t="s">
        <v>32</v>
      </c>
      <c r="AH2" s="47" t="s">
        <v>33</v>
      </c>
      <c r="AI2" s="47" t="s">
        <v>34</v>
      </c>
      <c r="AJ2" s="47" t="s">
        <v>35</v>
      </c>
      <c r="AK2" s="47" t="s">
        <v>36</v>
      </c>
      <c r="AL2" s="47" t="s">
        <v>37</v>
      </c>
      <c r="AM2" s="47" t="s">
        <v>38</v>
      </c>
      <c r="AN2" s="47" t="s">
        <v>39</v>
      </c>
      <c r="AO2" s="47" t="s">
        <v>40</v>
      </c>
      <c r="AP2" s="47" t="s">
        <v>41</v>
      </c>
      <c r="AQ2" s="47" t="s">
        <v>42</v>
      </c>
      <c r="AR2" s="47" t="s">
        <v>43</v>
      </c>
      <c r="AS2" s="47" t="s">
        <v>44</v>
      </c>
      <c r="AT2" s="47" t="s">
        <v>45</v>
      </c>
      <c r="AU2" s="47" t="s">
        <v>46</v>
      </c>
      <c r="AV2" s="47" t="s">
        <v>47</v>
      </c>
      <c r="AW2" s="47" t="s">
        <v>48</v>
      </c>
      <c r="AX2" s="47" t="s">
        <v>49</v>
      </c>
      <c r="AY2" s="47" t="s">
        <v>50</v>
      </c>
      <c r="AZ2" s="47" t="s">
        <v>51</v>
      </c>
      <c r="BA2" s="47" t="s">
        <v>52</v>
      </c>
      <c r="BB2" s="47" t="s">
        <v>53</v>
      </c>
      <c r="BC2" s="47" t="s">
        <v>54</v>
      </c>
      <c r="BD2" s="47" t="s">
        <v>55</v>
      </c>
      <c r="BE2" s="47" t="s">
        <v>56</v>
      </c>
      <c r="BF2" s="47" t="s">
        <v>57</v>
      </c>
      <c r="BG2" s="47" t="s">
        <v>58</v>
      </c>
      <c r="BH2" s="47" t="s">
        <v>59</v>
      </c>
      <c r="BI2" s="47" t="s">
        <v>60</v>
      </c>
      <c r="BJ2" s="47" t="s">
        <v>61</v>
      </c>
      <c r="BK2" s="47" t="s">
        <v>62</v>
      </c>
      <c r="BL2" s="47" t="s">
        <v>63</v>
      </c>
      <c r="BM2" s="47" t="s">
        <v>64</v>
      </c>
      <c r="BN2" s="47" t="s">
        <v>65</v>
      </c>
      <c r="BO2" s="47" t="s">
        <v>66</v>
      </c>
      <c r="BP2" s="47" t="s">
        <v>67</v>
      </c>
      <c r="BQ2" s="47" t="s">
        <v>68</v>
      </c>
      <c r="BR2" s="47" t="s">
        <v>69</v>
      </c>
      <c r="BS2" s="47" t="s">
        <v>70</v>
      </c>
      <c r="BT2" s="47" t="s">
        <v>71</v>
      </c>
      <c r="BU2" s="47" t="s">
        <v>72</v>
      </c>
      <c r="BV2" s="47" t="s">
        <v>73</v>
      </c>
      <c r="BW2" s="47" t="s">
        <v>74</v>
      </c>
      <c r="BX2" s="47" t="s">
        <v>75</v>
      </c>
      <c r="BY2" s="47" t="s">
        <v>76</v>
      </c>
      <c r="BZ2" s="47" t="s">
        <v>77</v>
      </c>
      <c r="CA2" s="47" t="s">
        <v>78</v>
      </c>
      <c r="CB2" s="47" t="s">
        <v>79</v>
      </c>
      <c r="CC2" s="47" t="s">
        <v>80</v>
      </c>
      <c r="CD2" s="47" t="s">
        <v>81</v>
      </c>
      <c r="CE2" s="47" t="s">
        <v>82</v>
      </c>
      <c r="CF2" s="47" t="s">
        <v>83</v>
      </c>
      <c r="CG2" s="47" t="s">
        <v>84</v>
      </c>
      <c r="CH2" s="47" t="s">
        <v>85</v>
      </c>
      <c r="CI2" s="47" t="s">
        <v>86</v>
      </c>
      <c r="CJ2" s="47" t="s">
        <v>87</v>
      </c>
      <c r="CK2" s="47" t="s">
        <v>88</v>
      </c>
      <c r="CL2" s="47" t="s">
        <v>89</v>
      </c>
      <c r="CM2" s="47" t="s">
        <v>90</v>
      </c>
      <c r="CN2" s="47" t="s">
        <v>91</v>
      </c>
      <c r="CO2" s="47" t="s">
        <v>92</v>
      </c>
      <c r="CP2" s="47" t="s">
        <v>93</v>
      </c>
      <c r="CQ2" s="47" t="s">
        <v>94</v>
      </c>
      <c r="CR2" s="47" t="s">
        <v>95</v>
      </c>
      <c r="CS2" s="47" t="s">
        <v>96</v>
      </c>
      <c r="CT2" s="47" t="s">
        <v>97</v>
      </c>
      <c r="CU2" s="47" t="s">
        <v>98</v>
      </c>
      <c r="CV2" s="47" t="s">
        <v>99</v>
      </c>
      <c r="CW2" s="47" t="s">
        <v>100</v>
      </c>
      <c r="CX2" s="47" t="s">
        <v>101</v>
      </c>
      <c r="CY2" s="47" t="s">
        <v>102</v>
      </c>
      <c r="CZ2" s="47" t="s">
        <v>103</v>
      </c>
      <c r="DA2" s="47" t="s">
        <v>104</v>
      </c>
      <c r="DB2" s="47" t="s">
        <v>105</v>
      </c>
      <c r="DC2" s="47" t="s">
        <v>106</v>
      </c>
      <c r="DD2" s="47" t="s">
        <v>107</v>
      </c>
      <c r="DE2" s="47" t="s">
        <v>108</v>
      </c>
      <c r="DF2" s="47" t="s">
        <v>109</v>
      </c>
      <c r="DG2" s="47" t="s">
        <v>110</v>
      </c>
      <c r="DH2" s="48" t="s">
        <v>6</v>
      </c>
      <c r="DI2" s="3" t="s">
        <v>143</v>
      </c>
      <c r="DJ2" s="3" t="s">
        <v>208</v>
      </c>
      <c r="DK2" s="3" t="s">
        <v>209</v>
      </c>
      <c r="DL2" s="3" t="s">
        <v>59</v>
      </c>
      <c r="DM2" s="3" t="s">
        <v>60</v>
      </c>
      <c r="DN2" s="3" t="s">
        <v>61</v>
      </c>
      <c r="DO2" s="3" t="s">
        <v>68</v>
      </c>
      <c r="DP2" s="3" t="s">
        <v>69</v>
      </c>
      <c r="DQ2" s="3" t="s">
        <v>28</v>
      </c>
      <c r="DR2" s="3" t="s">
        <v>94</v>
      </c>
      <c r="DS2" s="3" t="s">
        <v>96</v>
      </c>
      <c r="DT2" s="3" t="s">
        <v>98</v>
      </c>
      <c r="DU2" s="3" t="s">
        <v>99</v>
      </c>
      <c r="DV2" s="3" t="s">
        <v>103</v>
      </c>
      <c r="DW2" s="3" t="s">
        <v>8</v>
      </c>
      <c r="DX2" s="3" t="s">
        <v>51</v>
      </c>
      <c r="DY2" s="3" t="s">
        <v>52</v>
      </c>
      <c r="DZ2" s="3" t="s">
        <v>53</v>
      </c>
      <c r="EA2" s="3" t="s">
        <v>62</v>
      </c>
      <c r="EB2" s="3" t="s">
        <v>65</v>
      </c>
      <c r="EC2" s="3" t="s">
        <v>67</v>
      </c>
      <c r="ED2" s="3" t="s">
        <v>75</v>
      </c>
      <c r="EE2" s="3" t="s">
        <v>77</v>
      </c>
      <c r="EF2" s="3" t="s">
        <v>78</v>
      </c>
      <c r="EG2" s="3" t="s">
        <v>80</v>
      </c>
      <c r="EH2" s="3" t="s">
        <v>81</v>
      </c>
      <c r="EI2" s="3" t="s">
        <v>82</v>
      </c>
      <c r="EJ2" s="3" t="s">
        <v>85</v>
      </c>
      <c r="EK2" s="3" t="s">
        <v>64</v>
      </c>
      <c r="EL2" s="3" t="s">
        <v>88</v>
      </c>
      <c r="EM2" s="3" t="s">
        <v>15</v>
      </c>
      <c r="EN2" s="3" t="s">
        <v>33</v>
      </c>
      <c r="EO2" s="3" t="s">
        <v>100</v>
      </c>
      <c r="EP2" s="3" t="s">
        <v>101</v>
      </c>
      <c r="EQ2" s="3" t="s">
        <v>102</v>
      </c>
      <c r="ER2" s="49" t="s">
        <v>54</v>
      </c>
      <c r="ES2" s="49" t="s">
        <v>66</v>
      </c>
      <c r="ET2" s="49" t="s">
        <v>24</v>
      </c>
      <c r="EU2" s="3" t="s">
        <v>89</v>
      </c>
      <c r="EV2" s="3" t="s">
        <v>90</v>
      </c>
      <c r="EW2" s="3" t="s">
        <v>91</v>
      </c>
      <c r="EX2" s="3" t="s">
        <v>92</v>
      </c>
      <c r="EY2" s="3" t="s">
        <v>13</v>
      </c>
      <c r="EZ2" s="3" t="s">
        <v>25</v>
      </c>
      <c r="FA2" s="3" t="s">
        <v>57</v>
      </c>
      <c r="FB2" s="3" t="s">
        <v>58</v>
      </c>
      <c r="FC2" s="3" t="s">
        <v>74</v>
      </c>
      <c r="FD2" s="3" t="s">
        <v>86</v>
      </c>
      <c r="FE2" s="3" t="s">
        <v>22</v>
      </c>
      <c r="FF2" s="3" t="s">
        <v>26</v>
      </c>
      <c r="FG2" s="3" t="s">
        <v>37</v>
      </c>
      <c r="FH2" s="3" t="s">
        <v>31</v>
      </c>
      <c r="FI2" s="3" t="s">
        <v>36</v>
      </c>
      <c r="FJ2" s="3" t="s">
        <v>17</v>
      </c>
      <c r="FK2" s="3" t="s">
        <v>30</v>
      </c>
      <c r="FL2" s="3" t="s">
        <v>32</v>
      </c>
      <c r="FM2" s="3" t="s">
        <v>49</v>
      </c>
      <c r="FN2" s="3" t="s">
        <v>34</v>
      </c>
      <c r="FO2" s="3" t="s">
        <v>55</v>
      </c>
      <c r="FP2" s="3" t="s">
        <v>63</v>
      </c>
      <c r="FQ2" s="3" t="s">
        <v>84</v>
      </c>
      <c r="FR2" s="3" t="s">
        <v>87</v>
      </c>
      <c r="FS2" s="3" t="s">
        <v>72</v>
      </c>
      <c r="FT2" s="3" t="s">
        <v>79</v>
      </c>
      <c r="FU2" s="3" t="s">
        <v>83</v>
      </c>
      <c r="FV2" s="3" t="s">
        <v>73</v>
      </c>
      <c r="FW2" s="3" t="s">
        <v>76</v>
      </c>
      <c r="FX2" s="50" t="s">
        <v>9</v>
      </c>
      <c r="FY2" s="3" t="s">
        <v>10</v>
      </c>
      <c r="FZ2" s="50" t="s">
        <v>11</v>
      </c>
      <c r="GA2" s="3" t="s">
        <v>12</v>
      </c>
    </row>
    <row r="3" spans="1:183">
      <c r="A3" s="55">
        <v>103</v>
      </c>
      <c r="B3" s="45">
        <v>46295.387858796297</v>
      </c>
      <c r="C3" s="45">
        <v>46295.408460648148</v>
      </c>
      <c r="D3" s="55" t="s">
        <v>111</v>
      </c>
      <c r="E3" s="44"/>
      <c r="F3" s="44"/>
      <c r="G3" s="57">
        <v>46295</v>
      </c>
      <c r="H3" s="44" t="s">
        <v>182</v>
      </c>
      <c r="I3" s="46">
        <v>9377.982</v>
      </c>
      <c r="J3" s="46">
        <v>4288</v>
      </c>
      <c r="K3" s="46">
        <v>1782861</v>
      </c>
      <c r="L3" s="46">
        <v>467</v>
      </c>
      <c r="M3" s="46">
        <v>197.12</v>
      </c>
      <c r="N3" s="46">
        <v>1922621.6</v>
      </c>
      <c r="O3" s="46">
        <v>4706905.92</v>
      </c>
      <c r="P3" s="46">
        <v>666796.99199999997</v>
      </c>
      <c r="Q3" s="46">
        <v>8250667.5700000003</v>
      </c>
      <c r="R3" s="46">
        <v>5850997.7599999998</v>
      </c>
      <c r="S3" s="46">
        <v>7562803.2000000002</v>
      </c>
      <c r="T3" s="46">
        <v>43445349.171999998</v>
      </c>
      <c r="U3" s="46">
        <v>2180564.7999999998</v>
      </c>
      <c r="V3" s="46">
        <v>5212327.04</v>
      </c>
      <c r="W3" s="46">
        <v>1641.1976</v>
      </c>
      <c r="X3" s="46">
        <v>790661.65599999996</v>
      </c>
      <c r="Y3" s="46">
        <v>1177983.76</v>
      </c>
      <c r="Z3" s="46">
        <v>2777.8894</v>
      </c>
      <c r="AA3" s="46">
        <v>685043.19999999995</v>
      </c>
      <c r="AB3" s="46">
        <v>423129.63199999998</v>
      </c>
      <c r="AC3" s="46">
        <v>2178886.2400000002</v>
      </c>
      <c r="AD3" s="46">
        <v>3240762.267</v>
      </c>
      <c r="AE3" s="46">
        <v>13216.669599999999</v>
      </c>
      <c r="AF3" s="46">
        <v>908448.38399999996</v>
      </c>
      <c r="AG3" s="46">
        <v>1469.079</v>
      </c>
      <c r="AH3" s="46">
        <v>140016.95999999999</v>
      </c>
      <c r="AI3" s="46">
        <v>14917.2</v>
      </c>
      <c r="AJ3" s="46">
        <v>145448.144</v>
      </c>
      <c r="AK3" s="46">
        <v>105824.284</v>
      </c>
      <c r="AL3" s="46">
        <v>335067.90399999998</v>
      </c>
      <c r="AM3" s="46">
        <v>1026.241</v>
      </c>
      <c r="AN3" s="46">
        <v>302.8</v>
      </c>
      <c r="AO3" s="46">
        <v>7.1</v>
      </c>
      <c r="AP3" s="46">
        <v>28485</v>
      </c>
      <c r="AQ3" s="46">
        <v>43277</v>
      </c>
      <c r="AR3" s="46">
        <v>42725</v>
      </c>
      <c r="AS3" s="46">
        <v>32461</v>
      </c>
      <c r="AT3" s="46">
        <v>22162</v>
      </c>
      <c r="AU3" s="46">
        <v>16959</v>
      </c>
      <c r="AV3" s="46">
        <v>7191</v>
      </c>
      <c r="AW3" s="46">
        <v>21.323186</v>
      </c>
      <c r="AX3" s="46">
        <v>7379.1880000000001</v>
      </c>
      <c r="AY3" s="46">
        <v>686.94464000000005</v>
      </c>
      <c r="AZ3" s="46">
        <v>20.92</v>
      </c>
      <c r="BA3" s="46">
        <v>11.420999999999999</v>
      </c>
      <c r="BB3" s="46">
        <v>46.959000000000003</v>
      </c>
      <c r="BC3" s="46">
        <v>114029.064</v>
      </c>
      <c r="BD3" s="46">
        <v>278786.20799999998</v>
      </c>
      <c r="BE3" s="46">
        <v>3797.7959999999998</v>
      </c>
      <c r="BF3" s="46">
        <v>1794.182</v>
      </c>
      <c r="BG3" s="46">
        <v>76.588999999999999</v>
      </c>
      <c r="BH3" s="46">
        <v>386.11</v>
      </c>
      <c r="BI3" s="46">
        <v>942.98900000000003</v>
      </c>
      <c r="BJ3" s="46">
        <v>17.175000000000001</v>
      </c>
      <c r="BK3" s="46">
        <v>579.92600000000004</v>
      </c>
      <c r="BL3" s="46">
        <v>85039.872000000003</v>
      </c>
      <c r="BM3" s="46">
        <v>338554.20799999998</v>
      </c>
      <c r="BN3" s="46">
        <v>7421.9928</v>
      </c>
      <c r="BO3" s="46">
        <v>53589.132799999999</v>
      </c>
      <c r="BP3" s="46">
        <v>320430.40000000002</v>
      </c>
      <c r="BQ3" s="46">
        <v>338.65800000000002</v>
      </c>
      <c r="BR3" s="46">
        <v>188.923</v>
      </c>
      <c r="BS3" s="46">
        <v>1088452.041</v>
      </c>
      <c r="BT3" s="46">
        <v>1400648.6310000001</v>
      </c>
      <c r="BU3" s="46">
        <v>640382.97600000002</v>
      </c>
      <c r="BV3" s="46">
        <v>1053210.48</v>
      </c>
      <c r="BW3" s="46">
        <v>581049.92000000004</v>
      </c>
      <c r="BX3" s="46">
        <v>1084887.6000000001</v>
      </c>
      <c r="BY3" s="46">
        <v>160294.49600000001</v>
      </c>
      <c r="BZ3" s="46">
        <v>115893.52800000001</v>
      </c>
      <c r="CA3" s="46">
        <v>1244.5895</v>
      </c>
      <c r="CB3" s="46">
        <v>110602.88</v>
      </c>
      <c r="CC3" s="46">
        <v>157604.22399999999</v>
      </c>
      <c r="CD3" s="46">
        <v>457467.2</v>
      </c>
      <c r="CE3" s="46">
        <v>50489.510399999999</v>
      </c>
      <c r="CF3" s="46">
        <v>158011.35999999999</v>
      </c>
      <c r="CG3" s="46">
        <v>36113.968000000001</v>
      </c>
      <c r="CH3" s="46">
        <v>2385.8710000000001</v>
      </c>
      <c r="CI3" s="46">
        <v>222.369</v>
      </c>
      <c r="CJ3" s="46">
        <v>1191.5999999999999</v>
      </c>
      <c r="CK3" s="46">
        <v>80.608000000000004</v>
      </c>
      <c r="CL3" s="46">
        <v>763.58299999999997</v>
      </c>
      <c r="CM3" s="46">
        <v>551.4</v>
      </c>
      <c r="CN3" s="46">
        <v>67952.600000000006</v>
      </c>
      <c r="CO3" s="46">
        <v>1719.308</v>
      </c>
      <c r="CP3" s="46">
        <v>307792.15000000002</v>
      </c>
      <c r="CQ3" s="46">
        <v>3759394.56</v>
      </c>
      <c r="CR3" s="46">
        <v>134581.80799999999</v>
      </c>
      <c r="CS3" s="46">
        <v>533314.94400000002</v>
      </c>
      <c r="CT3" s="46">
        <v>3138851.6359999999</v>
      </c>
      <c r="CU3" s="46">
        <v>315863.95400000003</v>
      </c>
      <c r="CV3" s="46">
        <v>30625.6672</v>
      </c>
      <c r="CW3" s="46">
        <v>64031.646399999998</v>
      </c>
      <c r="CX3" s="46">
        <v>33935.347199999997</v>
      </c>
      <c r="CY3" s="46">
        <v>175034.19200000001</v>
      </c>
      <c r="CZ3" s="46">
        <v>222823.47200000001</v>
      </c>
      <c r="DA3" s="46">
        <v>19955.46</v>
      </c>
      <c r="DB3" s="46">
        <v>155851.856</v>
      </c>
      <c r="DC3" s="46">
        <v>3410.28</v>
      </c>
      <c r="DD3" s="46">
        <v>3410.15</v>
      </c>
      <c r="DE3" s="46">
        <v>3441.45</v>
      </c>
      <c r="DF3" s="46">
        <v>0.998</v>
      </c>
      <c r="DG3" s="44" t="s">
        <v>218</v>
      </c>
      <c r="DH3" s="2">
        <f>Table2[[#This Row],[Date]]</f>
        <v>46295</v>
      </c>
      <c r="DI3">
        <f>(DD4-Table2[[#This Row],[MWH Total]])*4000</f>
        <v>27680.000000000291</v>
      </c>
      <c r="DJ3">
        <f>(DA4-Table2[[#This Row],[PNG Meter (Outside)]])*2.936</f>
        <v>4.3452799999987182</v>
      </c>
      <c r="DK3">
        <f>(DB4-Table2[[#This Row],[PNG Meter (Inside)]])*2.936</f>
        <v>230.75198400003487</v>
      </c>
      <c r="DL3">
        <f>(BH4-Table2[[#This Row],[3F Dough cooler - 2 ]])*1000</f>
        <v>396.99999999999136</v>
      </c>
      <c r="DM3">
        <f>(BI4-Table2[[#This Row],[3F Dough Cooler- 1]])*1000</f>
        <v>480.99999999999454</v>
      </c>
      <c r="DN3">
        <f>(BJ4-Table2[[#This Row],[4F Dough Production cooling Unit]])*1000</f>
        <v>51.999999999999602</v>
      </c>
      <c r="DO3">
        <f>(BQ4-Table2[[#This Row],[3F2 - PDB 3 - Dough Production Area]])*1000</f>
        <v>332.99999999996999</v>
      </c>
      <c r="DP3">
        <f>(BR4-Table2[[#This Row],[3F3 - PDB 4 - Dough Area]])*1000</f>
        <v>221.00000000000364</v>
      </c>
      <c r="DQ3">
        <f>AC4-Table2[[#This Row],[16F1 Tray washer Panel for Light]]</f>
        <v>750.71999999973923</v>
      </c>
      <c r="DR3">
        <f>CQ4-Table2[[#This Row],[2F1 Tray Washer - 1]]</f>
        <v>1827.1999999997206</v>
      </c>
      <c r="DS3">
        <f>CS4-Table2[[#This Row],[2F5 Destacker]]</f>
        <v>373.71999999997206</v>
      </c>
      <c r="DT3">
        <f>CU4-Table2[[#This Row],[5F1 Metering (TW-2)]]</f>
        <v>1396.6029999999446</v>
      </c>
      <c r="DU3">
        <f>CV4-Table2[[#This Row],[6F1 Pre soaker Tray washer]]</f>
        <v>283.10080000000016</v>
      </c>
      <c r="DV3">
        <f>CZ4-Table2[[#This Row],[6F5 Vent tray Storage]]</f>
        <v>98.01600000000326</v>
      </c>
      <c r="DW3">
        <f>I4-Table2[[#This Row],[Popeyes Meter ]]</f>
        <v>65.3700000000008</v>
      </c>
      <c r="DX3">
        <f>AZ4-Table2[[#This Row],[2F WH Chiller, Segregation Area]]</f>
        <v>2.4999999999998579E-2</v>
      </c>
      <c r="DY3">
        <f>BA4-Table2[[#This Row],[3F1 AC Unit WH dock cooling - 2 Nos]]</f>
        <v>1.5000000000000568E-2</v>
      </c>
      <c r="DZ3">
        <f>BB4-Table2[[#This Row],[3F2 AC Unit WH dock cooling - 3 Nos]]</f>
        <v>3.9999999999999147E-2</v>
      </c>
      <c r="EA3">
        <f>(BK4-Table2[[#This Row],[5F WH Perishable]])*1000</f>
        <v>278.99999999999636</v>
      </c>
      <c r="EB3">
        <f>BN4-Table2[[#This Row],[2F3 - PDB 9 - WH Dock Leveler Door ]]</f>
        <v>4.1616000000003623</v>
      </c>
      <c r="EC3">
        <f>BP4-Table2[[#This Row],[3F1 - PDB 5 - WH HSD]]</f>
        <v>119.23199999995995</v>
      </c>
      <c r="ED3">
        <f>BX4-Table2[[#This Row],[8F1 WH Dock AHU - Ventilation]]</f>
        <v>150.39999999990687</v>
      </c>
      <c r="EE3">
        <f>BZ4-Table2[[#This Row],[8F3 ACPDB - 4 WH Dock air curtain]]</f>
        <v>117.15199999998731</v>
      </c>
      <c r="EF3">
        <f>CA4-Table2[[#This Row],[8F4 WH Light]]</f>
        <v>0</v>
      </c>
      <c r="EG3">
        <f>CC4-Table2[[#This Row],[9F1 - PDB 10 - WH Dock door &amp; Office]]</f>
        <v>73.6480000000156</v>
      </c>
      <c r="EH3">
        <f>CD4-Table2[[#This Row],[9F2 - PDB 11 - WH flycatchers]]</f>
        <v>297.0559999999823</v>
      </c>
      <c r="EI3">
        <f>CE4-Table2[[#This Row],[9F3 - PDB 12 - Other items]]</f>
        <v>101.20320000000356</v>
      </c>
      <c r="EJ3">
        <f>CR4-Table2[[#This Row],[2F3 - PDB 1 - Dock 1 to 4 ]]</f>
        <v>49.952000000019325</v>
      </c>
      <c r="EK3">
        <f>BM4-Table2[[#This Row],[2F2 - PDB 3 - WH Truck &amp; Battery Charging]]</f>
        <v>470.52799999999115</v>
      </c>
      <c r="EL3">
        <f>(CK4-Table2[[#This Row],[PDB - 11 Truck Charging]])*1000</f>
        <v>63.999999999992951</v>
      </c>
      <c r="EM3" s="1">
        <f>P4-Table2[[#This Row],[5F3 Admin Area]]</f>
        <v>321.15200000000186</v>
      </c>
      <c r="EN3">
        <f>AH4-Table2[[#This Row],[2F5 Main Gate-1 Piller -1]]</f>
        <v>108.46400000000722</v>
      </c>
      <c r="EO3">
        <f>CW4-Table2[[#This Row],[6F2 Ground Floor AC]]</f>
        <v>9.7232000000003609</v>
      </c>
      <c r="EP3">
        <f>CX4-Table2[[#This Row],[6F3 ACBD -1 (First floor AC)]]</f>
        <v>9.2832000000053085</v>
      </c>
      <c r="EQ3">
        <f>CY4-Table2[[#This Row],[6F4 ACBD - 2 (Second &amp; Third floor AC)]]</f>
        <v>105.82399999999325</v>
      </c>
      <c r="ER3">
        <f>(BC4-Table2[[#This Row],[4F Old BMC cooling Unit]])</f>
        <v>0</v>
      </c>
      <c r="ES3">
        <f>BO4-Table2[[#This Row],[2F4 - Old BMC]]</f>
        <v>0</v>
      </c>
      <c r="ET3">
        <f>Y4-Table2[[#This Row],[14F2 New CK]]</f>
        <v>1440.2399999999907</v>
      </c>
      <c r="EU3">
        <f>(CL4-Table2[[#This Row],[OLD Ck Panel-1]])*1000</f>
        <v>605.00000000001819</v>
      </c>
      <c r="EV3">
        <f>CM4-Table2[[#This Row],[2F4 Old CK Blast (Blue star)]]</f>
        <v>0</v>
      </c>
      <c r="EW3">
        <f>CN4-Table2[[#This Row],[3F6 Old CK Blast (Carrier)]]</f>
        <v>0</v>
      </c>
      <c r="EX3">
        <f>(CO4-Table2[[#This Row],[Old CK Panel -2]])*1000</f>
        <v>1166.9999999999163</v>
      </c>
      <c r="EY3">
        <f>N4-Table2[[#This Row],[4F1 Main UPS 1/C -1]]</f>
        <v>888.63999999989755</v>
      </c>
      <c r="EZ3">
        <f>Z4-Table2[[#This Row],[15F1 Main UPS Panel - I/C - 2]]</f>
        <v>0</v>
      </c>
      <c r="FA3">
        <f>BF4-Table2[[#This Row],[2F CLC -1 AC unit - 2]]</f>
        <v>-80</v>
      </c>
      <c r="FB3">
        <f>(BG4-Table2[[#This Row],[2F CLC Anti room]])*1000</f>
        <v>-79.999999999998295</v>
      </c>
      <c r="FC3">
        <f>BW4-Table2[[#This Row],[7F3 CLC Power Panel]]</f>
        <v>89.343999999924563</v>
      </c>
      <c r="FD3">
        <f>(CI4-Table2[[#This Row],[PDB - 17 CLC Section ]])*1000</f>
        <v>58.999999999997499</v>
      </c>
      <c r="FE3">
        <f>(W4-Table2[[#This Row],[13F3 Water &amp; Lift Old CK]])*1000</f>
        <v>2542.5000000000182</v>
      </c>
      <c r="FF3">
        <f>AA4-Table2[[#This Row],[15F2 New ETP Panel]]</f>
        <v>331.96799999999348</v>
      </c>
      <c r="FG3">
        <f>AL4-Table2[[#This Row],[3F4 Old ETP Panel]]</f>
        <v>75.648000000044703</v>
      </c>
      <c r="FH3">
        <f>AF4-Table2[[#This Row],[2F1 RO Plant]]</f>
        <v>630.40000000002328</v>
      </c>
      <c r="FI3">
        <f>AK4-Table2[[#This Row],[3F3 Fire Hydrant Panel]]</f>
        <v>1.180000000007567</v>
      </c>
      <c r="FJ3">
        <f>R4-Table2[[#This Row],[7F1 Freon System Panel]]</f>
        <v>3529</v>
      </c>
      <c r="FK3">
        <f>(AE4-Table2[[#This Row],[21F1 Refrigeration Ammonia]])*1000</f>
        <v>7210.399999999936</v>
      </c>
      <c r="FL3">
        <f>(AG4-Table2[[#This Row],[2F3 Air Compressor]])*1000</f>
        <v>1336.0000000000127</v>
      </c>
      <c r="FM3">
        <f>(AX4-Table2[[#This Row],[Solar Reading Panel II]])*1000</f>
        <v>3018.0000000000291</v>
      </c>
      <c r="FN3">
        <f>AI4-Table2[[#This Row],[3F1 Maintenance Workshop]]</f>
        <v>4.5615999999990891</v>
      </c>
      <c r="FO3">
        <f>BD4-Table2[[#This Row],[4F B2B unit ]]</f>
        <v>48.608000000007451</v>
      </c>
      <c r="FP3">
        <f>BL4-Table2[[#This Row],[2F1 - PDB 6 - Bread, B2B section]]</f>
        <v>193.42719999999099</v>
      </c>
      <c r="FQ3">
        <f>(CG4-Table2[[#This Row],[9F5 - PDB 14 - Bread Lift]])</f>
        <v>0.34879999999975553</v>
      </c>
      <c r="FR3">
        <f>CJ4-Table2[[#This Row],[PDB - 16 Bread Section]]</f>
        <v>0</v>
      </c>
      <c r="FS3">
        <f>BU4-Table2[[#This Row],[7F1 Donut Production area]]</f>
        <v>180.1600000000326</v>
      </c>
      <c r="FT3">
        <f>CB4-Table2[[#This Row],[8F5 Donut Ban Bary]]</f>
        <v>30.576000000000931</v>
      </c>
      <c r="FU3">
        <f>CF4-Table2[[#This Row],[9F4 - PDB 13 - Donut Sink Geyser area]]</f>
        <v>18.128000000026077</v>
      </c>
      <c r="FV3">
        <f>BV4-Table2[[#This Row],[7F2 Flour Silo]]</f>
        <v>865.36000000010245</v>
      </c>
      <c r="FW3">
        <f>BY4-Table2[[#This Row],[8F2 ACPDB - 3 SILO Ventilation]]</f>
        <v>38.815999999991618</v>
      </c>
      <c r="FX3">
        <f>J4-Table2[[#This Row],[DG 1010KVA Running Hours]]</f>
        <v>0</v>
      </c>
      <c r="FY3">
        <f>K4-Table2[[#This Row],[DG 1010 KVA Meter Reading]]</f>
        <v>-19</v>
      </c>
      <c r="FZ3">
        <f>L4-Table2[[#This Row],[GG 1010 KVA Running Hours]]</f>
        <v>0</v>
      </c>
      <c r="GA3">
        <f>M4-Table2[[#This Row],[GG 1010 KVA Meter Reading]]</f>
        <v>100</v>
      </c>
    </row>
    <row r="4" spans="1:183">
      <c r="A4" s="55">
        <v>104</v>
      </c>
      <c r="B4" s="45">
        <v>46296.388703703706</v>
      </c>
      <c r="C4" s="45">
        <v>46296.428842592592</v>
      </c>
      <c r="D4" s="55" t="s">
        <v>111</v>
      </c>
      <c r="E4" s="44"/>
      <c r="F4" s="44"/>
      <c r="G4" s="57">
        <v>46296</v>
      </c>
      <c r="H4" s="44" t="s">
        <v>182</v>
      </c>
      <c r="I4" s="46">
        <v>9443.3520000000008</v>
      </c>
      <c r="J4" s="46">
        <v>4288</v>
      </c>
      <c r="K4" s="46">
        <v>1782842</v>
      </c>
      <c r="L4" s="46">
        <v>467</v>
      </c>
      <c r="M4" s="46">
        <v>297.12</v>
      </c>
      <c r="N4" s="46">
        <v>1923510.24</v>
      </c>
      <c r="O4" s="46">
        <v>4708925.4400000004</v>
      </c>
      <c r="P4" s="46">
        <v>667118.14399999997</v>
      </c>
      <c r="Q4" s="46">
        <v>8253863.6799999997</v>
      </c>
      <c r="R4" s="46">
        <v>5854526.7599999998</v>
      </c>
      <c r="S4" s="46">
        <v>7567235.2000000002</v>
      </c>
      <c r="T4" s="46">
        <v>43456481.384999998</v>
      </c>
      <c r="U4" s="46">
        <v>2182089.7599999998</v>
      </c>
      <c r="V4" s="46">
        <v>5214052.4800000004</v>
      </c>
      <c r="W4" s="46">
        <v>1643.7401</v>
      </c>
      <c r="X4" s="46">
        <v>792068.22400000005</v>
      </c>
      <c r="Y4" s="46">
        <v>1179424</v>
      </c>
      <c r="Z4" s="46">
        <v>2777.8894</v>
      </c>
      <c r="AA4" s="46">
        <v>685375.16799999995</v>
      </c>
      <c r="AB4" s="46">
        <v>423168.8</v>
      </c>
      <c r="AC4" s="46">
        <v>2179636.96</v>
      </c>
      <c r="AD4" s="46">
        <v>3251713.085</v>
      </c>
      <c r="AE4" s="46">
        <v>13223.88</v>
      </c>
      <c r="AF4" s="46">
        <v>909078.78399999999</v>
      </c>
      <c r="AG4" s="46">
        <v>1470.415</v>
      </c>
      <c r="AH4" s="46">
        <v>140125.424</v>
      </c>
      <c r="AI4" s="46">
        <v>14921.7616</v>
      </c>
      <c r="AJ4" s="46">
        <v>145449.34400000001</v>
      </c>
      <c r="AK4" s="46">
        <v>105825.46400000001</v>
      </c>
      <c r="AL4" s="46">
        <v>335143.55200000003</v>
      </c>
      <c r="AM4" s="46">
        <v>1027.1669999999999</v>
      </c>
      <c r="AN4" s="46">
        <v>308.89999999999998</v>
      </c>
      <c r="AO4" s="46">
        <v>7.6</v>
      </c>
      <c r="AP4" s="46">
        <v>39369</v>
      </c>
      <c r="AQ4" s="46">
        <v>43301</v>
      </c>
      <c r="AR4" s="46">
        <v>42749</v>
      </c>
      <c r="AS4" s="46">
        <v>32461</v>
      </c>
      <c r="AT4" s="46">
        <v>22162</v>
      </c>
      <c r="AU4" s="46">
        <v>16983</v>
      </c>
      <c r="AV4" s="46">
        <v>7205</v>
      </c>
      <c r="AW4" s="46">
        <v>21.330206</v>
      </c>
      <c r="AX4" s="46">
        <v>7382.2060000000001</v>
      </c>
      <c r="AY4" s="46">
        <v>687.10424</v>
      </c>
      <c r="AZ4" s="46">
        <v>20.945</v>
      </c>
      <c r="BA4" s="46">
        <v>11.436</v>
      </c>
      <c r="BB4" s="46">
        <v>46.999000000000002</v>
      </c>
      <c r="BC4" s="46">
        <v>114029.064</v>
      </c>
      <c r="BD4" s="46">
        <v>278834.81599999999</v>
      </c>
      <c r="BE4" s="46">
        <v>3799.0628000000002</v>
      </c>
      <c r="BF4" s="46">
        <v>1714.182</v>
      </c>
      <c r="BG4" s="46">
        <v>76.509</v>
      </c>
      <c r="BH4" s="46">
        <v>386.50700000000001</v>
      </c>
      <c r="BI4" s="46">
        <v>943.47</v>
      </c>
      <c r="BJ4" s="46">
        <v>17.227</v>
      </c>
      <c r="BK4" s="46">
        <v>580.20500000000004</v>
      </c>
      <c r="BL4" s="46">
        <v>85233.299199999994</v>
      </c>
      <c r="BM4" s="46">
        <v>339024.73599999998</v>
      </c>
      <c r="BN4" s="46">
        <v>7426.1544000000004</v>
      </c>
      <c r="BO4" s="46">
        <v>53589.132799999999</v>
      </c>
      <c r="BP4" s="46">
        <v>320549.63199999998</v>
      </c>
      <c r="BQ4" s="46">
        <v>338.99099999999999</v>
      </c>
      <c r="BR4" s="46">
        <v>189.14400000000001</v>
      </c>
      <c r="BS4" s="46">
        <v>1089932.23</v>
      </c>
      <c r="BT4" s="46">
        <v>1400648.7690000001</v>
      </c>
      <c r="BU4" s="46">
        <v>640563.13600000006</v>
      </c>
      <c r="BV4" s="46">
        <v>1054075.8400000001</v>
      </c>
      <c r="BW4" s="46">
        <v>581139.26399999997</v>
      </c>
      <c r="BX4" s="46">
        <v>1085038</v>
      </c>
      <c r="BY4" s="46">
        <v>160333.31200000001</v>
      </c>
      <c r="BZ4" s="46">
        <v>116010.68</v>
      </c>
      <c r="CA4" s="46">
        <v>1244.5895</v>
      </c>
      <c r="CB4" s="46">
        <v>110633.45600000001</v>
      </c>
      <c r="CC4" s="46">
        <v>157677.872</v>
      </c>
      <c r="CD4" s="46">
        <v>457764.25599999999</v>
      </c>
      <c r="CE4" s="46">
        <v>50590.713600000003</v>
      </c>
      <c r="CF4" s="46">
        <v>158029.48800000001</v>
      </c>
      <c r="CG4" s="46">
        <v>36114.316800000001</v>
      </c>
      <c r="CH4" s="46">
        <v>2385.8710000000001</v>
      </c>
      <c r="CI4" s="46">
        <v>222.428</v>
      </c>
      <c r="CJ4" s="46">
        <v>1191.5999999999999</v>
      </c>
      <c r="CK4" s="46">
        <v>80.671999999999997</v>
      </c>
      <c r="CL4" s="46">
        <v>764.18799999999999</v>
      </c>
      <c r="CM4" s="46">
        <v>551.4</v>
      </c>
      <c r="CN4" s="46">
        <v>67952.600000000006</v>
      </c>
      <c r="CO4" s="46">
        <v>1720.4749999999999</v>
      </c>
      <c r="CP4" s="46">
        <v>308089.65600000002</v>
      </c>
      <c r="CQ4" s="46">
        <v>3761221.76</v>
      </c>
      <c r="CR4" s="46">
        <v>134631.76</v>
      </c>
      <c r="CS4" s="46">
        <v>533688.66399999999</v>
      </c>
      <c r="CT4" s="46">
        <v>3143288.889</v>
      </c>
      <c r="CU4" s="46">
        <v>317260.55699999997</v>
      </c>
      <c r="CV4" s="46">
        <v>30908.768</v>
      </c>
      <c r="CW4" s="46">
        <v>64041.369599999998</v>
      </c>
      <c r="CX4" s="46">
        <v>33944.630400000002</v>
      </c>
      <c r="CY4" s="46">
        <v>175140.016</v>
      </c>
      <c r="CZ4" s="46">
        <v>222921.48800000001</v>
      </c>
      <c r="DA4" s="46">
        <v>19956.939999999999</v>
      </c>
      <c r="DB4" s="46">
        <v>155930.45000000001</v>
      </c>
      <c r="DC4" s="46">
        <v>3417.1</v>
      </c>
      <c r="DD4" s="46">
        <v>3417.07</v>
      </c>
      <c r="DE4" s="46">
        <v>3448.27</v>
      </c>
      <c r="DF4" s="46">
        <v>0.998</v>
      </c>
      <c r="DG4" s="44" t="s">
        <v>219</v>
      </c>
      <c r="DH4" s="2">
        <f>Table2[[#This Row],[Date]]</f>
        <v>46296</v>
      </c>
      <c r="DI4">
        <f>(DD5-Table2[[#This Row],[MWH Total]])*4000/2</f>
        <v>24939.9999999996</v>
      </c>
      <c r="DJ4">
        <f>(DA5-Table2[[#This Row],[PNG Meter (Outside)]])*2.936</f>
        <v>17.322400000004272</v>
      </c>
      <c r="DK4">
        <f>(DB5-Table2[[#This Row],[PNG Meter (Inside)]])*2.936</f>
        <v>376.57723199996445</v>
      </c>
      <c r="DL4">
        <f>(BH5-Table2[[#This Row],[3F Dough cooler - 2 ]])*1000</f>
        <v>875</v>
      </c>
      <c r="DM4">
        <f>(BI5-Table2[[#This Row],[3F Dough Cooler- 1]])*1000</f>
        <v>1119.0000000000282</v>
      </c>
      <c r="DN4">
        <f>(BJ5-Table2[[#This Row],[4F Dough Production cooling Unit]])*1000</f>
        <v>108.99999999999821</v>
      </c>
      <c r="DO4">
        <f>(BQ5-Table2[[#This Row],[3F2 - PDB 3 - Dough Production Area]])*1000</f>
        <v>662.00000000003456</v>
      </c>
      <c r="DP4">
        <f>(BR5-Table2[[#This Row],[3F3 - PDB 4 - Dough Area]])*1000</f>
        <v>353.00000000000864</v>
      </c>
      <c r="DQ4">
        <f>AC5-Table2[[#This Row],[16F1 Tray washer Panel for Light]]</f>
        <v>1664.7999999998137</v>
      </c>
      <c r="DR4">
        <f>CQ5-Table2[[#This Row],[2F1 Tray Washer - 1]]</f>
        <v>3976.320000000298</v>
      </c>
      <c r="DS4">
        <f>CS5-Table2[[#This Row],[2F5 Destacker]]</f>
        <v>753.09600000001956</v>
      </c>
      <c r="DT4">
        <f>CU5-Table2[[#This Row],[5F1 Metering (TW-2)]]</f>
        <v>1110.6610000000219</v>
      </c>
      <c r="DU4">
        <f>CV5-Table2[[#This Row],[6F1 Pre soaker Tray washer]]</f>
        <v>146.98879999999917</v>
      </c>
      <c r="DV4">
        <f>CZ5-Table2[[#This Row],[6F5 Vent tray Storage]]</f>
        <v>175.67999999999302</v>
      </c>
      <c r="DW4">
        <f>I5-Table2[[#This Row],[Popeyes Meter ]]</f>
        <v>117.83999999999833</v>
      </c>
      <c r="DX4">
        <f>AZ5-Table2[[#This Row],[2F WH Chiller, Segregation Area]]</f>
        <v>5.9999999999998721E-2</v>
      </c>
      <c r="DY4">
        <f>BA5-Table2[[#This Row],[3F1 AC Unit WH dock cooling - 2 Nos]]</f>
        <v>3.700000000000081E-2</v>
      </c>
      <c r="DZ4">
        <f>BB5-Table2[[#This Row],[3F2 AC Unit WH dock cooling - 3 Nos]]</f>
        <v>6.2999999999995282E-2</v>
      </c>
      <c r="EA4">
        <f>(BK5-Table2[[#This Row],[5F WH Perishable]])*1000</f>
        <v>649.99999999997726</v>
      </c>
      <c r="EB4">
        <f>BN5-Table2[[#This Row],[2F3 - PDB 9 - WH Dock Leveler Door ]]</f>
        <v>9.6471999999994296</v>
      </c>
      <c r="EC4">
        <f>BP5-Table2[[#This Row],[3F1 - PDB 5 - WH HSD]]</f>
        <v>254.17600000003586</v>
      </c>
      <c r="ED4">
        <f>BX5-Table2[[#This Row],[8F1 WH Dock AHU - Ventilation]]</f>
        <v>371.28000000002794</v>
      </c>
      <c r="EE4">
        <f>BZ5-Table2[[#This Row],[8F3 ACPDB - 4 WH Dock air curtain]]</f>
        <v>179.92000000001281</v>
      </c>
      <c r="EF4">
        <f>CA5-Table2[[#This Row],[8F4 WH Light]]</f>
        <v>0</v>
      </c>
      <c r="EG4">
        <f>CC5-Table2[[#This Row],[9F1 - PDB 10 - WH Dock door &amp; Office]]</f>
        <v>215.05600000001141</v>
      </c>
      <c r="EH4">
        <f>CD5-Table2[[#This Row],[9F2 - PDB 11 - WH flycatchers]]</f>
        <v>495.74400000000605</v>
      </c>
      <c r="EI4">
        <f>CE5-Table2[[#This Row],[9F3 - PDB 12 - Other items]]</f>
        <v>135.01440000000002</v>
      </c>
      <c r="EJ4">
        <f>CR5-Table2[[#This Row],[2F3 - PDB 1 - Dock 1 to 4 ]]</f>
        <v>108.39999999999418</v>
      </c>
      <c r="EK4">
        <f>BM5-Table2[[#This Row],[2F2 - PDB 3 - WH Truck &amp; Battery Charging]]</f>
        <v>1162.3040000000037</v>
      </c>
      <c r="EL4">
        <f>(CK5-Table2[[#This Row],[PDB - 11 Truck Charging]])*1000</f>
        <v>117.00000000000443</v>
      </c>
      <c r="EM4" s="1">
        <f>P5-Table2[[#This Row],[5F3 Admin Area]]</f>
        <v>675.96799999999348</v>
      </c>
      <c r="EN4">
        <f>AH5-Table2[[#This Row],[2F5 Main Gate-1 Piller -1]]</f>
        <v>234.83199999999488</v>
      </c>
      <c r="EO4">
        <f>CW5-Table2[[#This Row],[6F2 Ground Floor AC]]</f>
        <v>24.97280000000319</v>
      </c>
      <c r="EP4">
        <f>CX5-Table2[[#This Row],[6F3 ACBD -1 (First floor AC)]]</f>
        <v>21.487999999997555</v>
      </c>
      <c r="EQ4">
        <f>CY5-Table2[[#This Row],[6F4 ACBD - 2 (Second &amp; Third floor AC)]]</f>
        <v>244.60800000000745</v>
      </c>
      <c r="ER4">
        <f>(BC5-Table2[[#This Row],[4F Old BMC cooling Unit]])</f>
        <v>0</v>
      </c>
      <c r="ES4">
        <f>BO5-Table2[[#This Row],[2F4 - Old BMC]]</f>
        <v>0</v>
      </c>
      <c r="ET4">
        <f>Y5-Table2[[#This Row],[14F2 New CK]]</f>
        <v>2856.9599999999627</v>
      </c>
      <c r="EU4">
        <f>(CL5-Table2[[#This Row],[OLD Ck Panel-1]])*1000</f>
        <v>860.00000000001364</v>
      </c>
      <c r="EV4">
        <f>CM5-Table2[[#This Row],[2F4 Old CK Blast (Blue star)]]</f>
        <v>0</v>
      </c>
      <c r="EW4">
        <f>CN5-Table2[[#This Row],[3F6 Old CK Blast (Carrier)]]</f>
        <v>1342.8999999999942</v>
      </c>
      <c r="EX4">
        <f>(CO5-Table2[[#This Row],[Old CK Panel -2]])*1000</f>
        <v>2501.0000000002037</v>
      </c>
      <c r="EY4">
        <f>N5-Table2[[#This Row],[4F1 Main UPS 1/C -1]]</f>
        <v>1855.8400000000838</v>
      </c>
      <c r="EZ4">
        <f>Z5-Table2[[#This Row],[15F1 Main UPS Panel - I/C - 2]]</f>
        <v>0</v>
      </c>
      <c r="FA4">
        <f>BF5-Table2[[#This Row],[2F CLC -1 AC unit - 2]]</f>
        <v>0</v>
      </c>
      <c r="FB4">
        <f>(BG5-Table2[[#This Row],[2F CLC Anti room]])*1000</f>
        <v>79.999999999998295</v>
      </c>
      <c r="FC4">
        <f>BW5-Table2[[#This Row],[7F3 CLC Power Panel]]</f>
        <v>136.96000000007916</v>
      </c>
      <c r="FD4">
        <f>(CI5-Table2[[#This Row],[PDB - 17 CLC Section ]])*1000</f>
        <v>75.999999999993406</v>
      </c>
      <c r="FE4">
        <f>(W5-Table2[[#This Row],[13F3 Water &amp; Lift Old CK]])*1000</f>
        <v>4529.1999999999462</v>
      </c>
      <c r="FF4">
        <f>AA5-Table2[[#This Row],[15F2 New ETP Panel]]</f>
        <v>711.55200000002515</v>
      </c>
      <c r="FG4">
        <f>AL5-Table2[[#This Row],[3F4 Old ETP Panel]]</f>
        <v>170.94399999995949</v>
      </c>
      <c r="FH4">
        <f>AF5-Table2[[#This Row],[2F1 RO Plant]]</f>
        <v>1246.7199999999721</v>
      </c>
      <c r="FI4">
        <f>AK5-Table2[[#This Row],[3F3 Fire Hydrant Panel]]</f>
        <v>17.303999999989173</v>
      </c>
      <c r="FJ4">
        <f>R5-Table2[[#This Row],[7F1 Freon System Panel]]</f>
        <v>8098.5200000004843</v>
      </c>
      <c r="FK4">
        <f>(AE5-Table2[[#This Row],[21F1 Refrigeration Ammonia]])*1000</f>
        <v>15640.800000001036</v>
      </c>
      <c r="FL4">
        <f>(AG5-Table2[[#This Row],[2F3 Air Compressor]])*1000</f>
        <v>2850.0000000001364</v>
      </c>
      <c r="FM4">
        <f>(AX5-Table2[[#This Row],[Solar Reading Panel II]])*1000</f>
        <v>6184.9999999994907</v>
      </c>
      <c r="FN4">
        <f>AI5-Table2[[#This Row],[3F1 Maintenance Workshop]]</f>
        <v>11.467200000000958</v>
      </c>
      <c r="FO4">
        <f>BD5-Table2[[#This Row],[4F B2B unit ]]</f>
        <v>86.752000000036787</v>
      </c>
      <c r="FP4">
        <f>BL5-Table2[[#This Row],[2F1 - PDB 6 - Bread, B2B section]]</f>
        <v>720.01280000001134</v>
      </c>
      <c r="FQ4">
        <f>(CG5-Table2[[#This Row],[9F5 - PDB 14 - Bread Lift]])</f>
        <v>1.8623999999981606</v>
      </c>
      <c r="FR4">
        <f>CJ5-Table2[[#This Row],[PDB - 16 Bread Section]]</f>
        <v>1.7000000000000455</v>
      </c>
      <c r="FS4">
        <f>BU5-Table2[[#This Row],[7F1 Donut Production area]]</f>
        <v>411.07199999992736</v>
      </c>
      <c r="FT4">
        <f>CB5-Table2[[#This Row],[8F5 Donut Ban Bary]]</f>
        <v>87.216000000000349</v>
      </c>
      <c r="FU4">
        <f>CF5-Table2[[#This Row],[9F4 - PDB 13 - Donut Sink Geyser area]]</f>
        <v>50.479999999981374</v>
      </c>
      <c r="FV4">
        <f>BV5-Table2[[#This Row],[7F2 Flour Silo]]</f>
        <v>1532.3199999998324</v>
      </c>
      <c r="FW4">
        <f>BY5-Table2[[#This Row],[8F2 ACPDB - 3 SILO Ventilation]]</f>
        <v>93.024000000004889</v>
      </c>
      <c r="FX4">
        <f>J5-Table2[[#This Row],[DG 1010KVA Running Hours]]</f>
        <v>0</v>
      </c>
      <c r="FY4">
        <f>K5-Table2[[#This Row],[DG 1010 KVA Meter Reading]]</f>
        <v>19</v>
      </c>
      <c r="FZ4">
        <f>L5-Table2[[#This Row],[GG 1010 KVA Running Hours]]</f>
        <v>0</v>
      </c>
      <c r="GA4">
        <f>M5-Table2[[#This Row],[GG 1010 KVA Meter Reading]]</f>
        <v>-100</v>
      </c>
    </row>
    <row r="5" spans="1:183">
      <c r="A5" s="55">
        <v>105</v>
      </c>
      <c r="B5" s="45">
        <v>46298.390914351854</v>
      </c>
      <c r="C5" s="45">
        <v>46298.430486111109</v>
      </c>
      <c r="D5" s="55" t="s">
        <v>111</v>
      </c>
      <c r="E5" s="44"/>
      <c r="F5" s="44"/>
      <c r="G5" s="57">
        <v>46298</v>
      </c>
      <c r="H5" s="44" t="s">
        <v>182</v>
      </c>
      <c r="I5" s="46">
        <v>9561.1919999999991</v>
      </c>
      <c r="J5" s="46">
        <v>4288</v>
      </c>
      <c r="K5" s="46">
        <v>1782861</v>
      </c>
      <c r="L5" s="46">
        <v>467</v>
      </c>
      <c r="M5" s="46">
        <v>197.12</v>
      </c>
      <c r="N5" s="46">
        <v>1925366.08</v>
      </c>
      <c r="O5" s="46">
        <v>4713158.4000000004</v>
      </c>
      <c r="P5" s="46">
        <v>667794.11199999996</v>
      </c>
      <c r="Q5" s="46">
        <v>8260307.8399999999</v>
      </c>
      <c r="R5" s="46">
        <v>5862625.2800000003</v>
      </c>
      <c r="S5" s="46">
        <v>7576509.4400000004</v>
      </c>
      <c r="T5" s="46">
        <v>43935497.667999998</v>
      </c>
      <c r="U5" s="46">
        <v>2185804.96</v>
      </c>
      <c r="V5" s="46">
        <v>5217790.4000000004</v>
      </c>
      <c r="W5" s="46">
        <v>1648.2692999999999</v>
      </c>
      <c r="X5" s="46">
        <v>793164.48</v>
      </c>
      <c r="Y5" s="46">
        <v>1182280.96</v>
      </c>
      <c r="Z5" s="46">
        <v>2777.8894</v>
      </c>
      <c r="AA5" s="46">
        <v>686086.72</v>
      </c>
      <c r="AB5" s="46">
        <v>423248.76799999998</v>
      </c>
      <c r="AC5" s="46">
        <v>2181301.7599999998</v>
      </c>
      <c r="AD5" s="46">
        <v>4911222.2759999996</v>
      </c>
      <c r="AE5" s="46">
        <v>13239.5208</v>
      </c>
      <c r="AF5" s="46">
        <v>910325.50399999996</v>
      </c>
      <c r="AG5" s="46">
        <v>1473.2650000000001</v>
      </c>
      <c r="AH5" s="46">
        <v>140360.25599999999</v>
      </c>
      <c r="AI5" s="46">
        <v>14933.228800000001</v>
      </c>
      <c r="AJ5" s="46">
        <v>145452.576</v>
      </c>
      <c r="AK5" s="46">
        <v>105842.768</v>
      </c>
      <c r="AL5" s="46">
        <v>335314.49599999998</v>
      </c>
      <c r="AM5" s="46">
        <v>1028.472</v>
      </c>
      <c r="AN5" s="46">
        <v>288.60000000000002</v>
      </c>
      <c r="AO5" s="46">
        <v>7.7</v>
      </c>
      <c r="AP5" s="46">
        <v>61849</v>
      </c>
      <c r="AQ5" s="46">
        <v>43354</v>
      </c>
      <c r="AR5" s="46">
        <v>42801</v>
      </c>
      <c r="AS5" s="46">
        <v>32461</v>
      </c>
      <c r="AT5" s="46">
        <v>22162</v>
      </c>
      <c r="AU5" s="46">
        <v>17036</v>
      </c>
      <c r="AV5" s="46">
        <v>7231</v>
      </c>
      <c r="AW5" s="46">
        <v>21.345516</v>
      </c>
      <c r="AX5" s="46">
        <v>7388.3909999999996</v>
      </c>
      <c r="AY5" s="46">
        <v>687.43600000000004</v>
      </c>
      <c r="AZ5" s="46">
        <v>21.004999999999999</v>
      </c>
      <c r="BA5" s="46">
        <v>11.473000000000001</v>
      </c>
      <c r="BB5" s="46">
        <v>47.061999999999998</v>
      </c>
      <c r="BC5" s="46">
        <v>114029.064</v>
      </c>
      <c r="BD5" s="46">
        <v>278921.56800000003</v>
      </c>
      <c r="BE5" s="46">
        <v>3801.9960000000001</v>
      </c>
      <c r="BF5" s="46">
        <v>1714.182</v>
      </c>
      <c r="BG5" s="46">
        <v>76.588999999999999</v>
      </c>
      <c r="BH5" s="46">
        <v>387.38200000000001</v>
      </c>
      <c r="BI5" s="46">
        <v>944.58900000000006</v>
      </c>
      <c r="BJ5" s="46">
        <v>17.335999999999999</v>
      </c>
      <c r="BK5" s="46">
        <v>580.85500000000002</v>
      </c>
      <c r="BL5" s="46">
        <v>85953.312000000005</v>
      </c>
      <c r="BM5" s="46">
        <v>340187.04</v>
      </c>
      <c r="BN5" s="46">
        <v>7435.8015999999998</v>
      </c>
      <c r="BO5" s="46">
        <v>53589.132799999999</v>
      </c>
      <c r="BP5" s="46">
        <v>320803.80800000002</v>
      </c>
      <c r="BQ5" s="46">
        <v>339.65300000000002</v>
      </c>
      <c r="BR5" s="46">
        <v>189.49700000000001</v>
      </c>
      <c r="BS5" s="46">
        <v>1093695.611</v>
      </c>
      <c r="BT5" s="46">
        <v>1400663.1810000001</v>
      </c>
      <c r="BU5" s="46">
        <v>640974.20799999998</v>
      </c>
      <c r="BV5" s="46">
        <v>1055608.1599999999</v>
      </c>
      <c r="BW5" s="46">
        <v>581276.22400000005</v>
      </c>
      <c r="BX5" s="46">
        <v>1085409.28</v>
      </c>
      <c r="BY5" s="46">
        <v>160426.33600000001</v>
      </c>
      <c r="BZ5" s="46">
        <v>116190.6</v>
      </c>
      <c r="CA5" s="46">
        <v>1244.5895</v>
      </c>
      <c r="CB5" s="46">
        <v>110720.67200000001</v>
      </c>
      <c r="CC5" s="46">
        <v>157892.92800000001</v>
      </c>
      <c r="CD5" s="46">
        <v>458260</v>
      </c>
      <c r="CE5" s="46">
        <v>50725.728000000003</v>
      </c>
      <c r="CF5" s="46">
        <v>158079.96799999999</v>
      </c>
      <c r="CG5" s="46">
        <v>36116.179199999999</v>
      </c>
      <c r="CH5" s="46">
        <v>2385.8710000000001</v>
      </c>
      <c r="CI5" s="46">
        <v>222.50399999999999</v>
      </c>
      <c r="CJ5" s="46">
        <v>1193.3</v>
      </c>
      <c r="CK5" s="46">
        <v>80.789000000000001</v>
      </c>
      <c r="CL5" s="46">
        <v>765.048</v>
      </c>
      <c r="CM5" s="46">
        <v>551.4</v>
      </c>
      <c r="CN5" s="46">
        <v>69295.5</v>
      </c>
      <c r="CO5" s="46">
        <v>1722.9760000000001</v>
      </c>
      <c r="CP5" s="46">
        <v>308747.01199999999</v>
      </c>
      <c r="CQ5" s="46">
        <v>3765198.08</v>
      </c>
      <c r="CR5" s="46">
        <v>134740.16</v>
      </c>
      <c r="CS5" s="46">
        <v>534441.76</v>
      </c>
      <c r="CT5" s="46">
        <v>3152931.8840000001</v>
      </c>
      <c r="CU5" s="46">
        <v>318371.21799999999</v>
      </c>
      <c r="CV5" s="46">
        <v>31055.756799999999</v>
      </c>
      <c r="CW5" s="46">
        <v>64066.342400000001</v>
      </c>
      <c r="CX5" s="46">
        <v>33966.118399999999</v>
      </c>
      <c r="CY5" s="46">
        <v>175384.62400000001</v>
      </c>
      <c r="CZ5" s="46">
        <v>223097.16800000001</v>
      </c>
      <c r="DA5" s="46">
        <v>19962.84</v>
      </c>
      <c r="DB5" s="46">
        <v>156058.712</v>
      </c>
      <c r="DC5" s="46">
        <v>3429.67</v>
      </c>
      <c r="DD5" s="46">
        <v>3429.54</v>
      </c>
      <c r="DE5" s="46">
        <v>3460.93</v>
      </c>
      <c r="DF5" s="46">
        <v>0.998</v>
      </c>
      <c r="DG5" s="44" t="s">
        <v>217</v>
      </c>
      <c r="DH5" s="2">
        <f>Table2[[#This Row],[Date]]</f>
        <v>46298</v>
      </c>
      <c r="DI5">
        <f>(DD6-Table2[[#This Row],[MWH Total]])*4000/2</f>
        <v>21600.000000000364</v>
      </c>
      <c r="DJ5">
        <f>(DA6-Table2[[#This Row],[PNG Meter (Outside)]])*2.936</f>
        <v>78.126960000001702</v>
      </c>
      <c r="DK5">
        <f>(DB6-Table2[[#This Row],[PNG Meter (Inside)]])*2.936</f>
        <v>409.71292800002868</v>
      </c>
      <c r="DL5">
        <f>(BH6-Table2[[#This Row],[3F Dough cooler - 2 ]])*1000</f>
        <v>341.99999999998454</v>
      </c>
      <c r="DM5">
        <f>(BI6-Table2[[#This Row],[3F Dough Cooler- 1]])*1000</f>
        <v>960.99999999989905</v>
      </c>
      <c r="DN5">
        <f>(BJ6-Table2[[#This Row],[4F Dough Production cooling Unit]])*1000</f>
        <v>74.00000000000162</v>
      </c>
      <c r="DO5">
        <f>(BQ6-Table2[[#This Row],[3F2 - PDB 3 - Dough Production Area]])*1000</f>
        <v>354.99999999996135</v>
      </c>
      <c r="DP5">
        <f>(BR6-Table2[[#This Row],[3F3 - PDB 4 - Dough Area]])*1000</f>
        <v>229.99999999998977</v>
      </c>
      <c r="DQ5">
        <f>AC6-Table2[[#This Row],[16F1 Tray washer Panel for Light]]</f>
        <v>1560</v>
      </c>
      <c r="DR5">
        <f>CQ6-Table2[[#This Row],[2F1 Tray Washer - 1]]</f>
        <v>2519.3599999998696</v>
      </c>
      <c r="DS5">
        <f>CS6-Table2[[#This Row],[2F5 Destacker]]</f>
        <v>434.30400000000373</v>
      </c>
      <c r="DT5">
        <f>CU6-Table2[[#This Row],[5F1 Metering (TW-2)]]</f>
        <v>570.88400000002002</v>
      </c>
      <c r="DU5">
        <f>CV6-Table2[[#This Row],[6F1 Pre soaker Tray washer]]</f>
        <v>47.001599999999598</v>
      </c>
      <c r="DV5">
        <f>CZ6-Table2[[#This Row],[6F5 Vent tray Storage]]</f>
        <v>103.39199999999255</v>
      </c>
      <c r="DW5">
        <f>I6-Table2[[#This Row],[Popeyes Meter ]]</f>
        <v>38.260000000000218</v>
      </c>
      <c r="DX5">
        <f>AZ6-Table2[[#This Row],[2F WH Chiller, Segregation Area]]</f>
        <v>5.0000000000000711E-2</v>
      </c>
      <c r="DY5">
        <f>BA6-Table2[[#This Row],[3F1 AC Unit WH dock cooling - 2 Nos]]</f>
        <v>3.0999999999998806E-2</v>
      </c>
      <c r="DZ5">
        <f>BB6-Table2[[#This Row],[3F2 AC Unit WH dock cooling - 3 Nos]]</f>
        <v>6.7000000000000171E-2</v>
      </c>
      <c r="EA5">
        <f>(BK6-Table2[[#This Row],[5F WH Perishable]])*1000</f>
        <v>552.99999999999727</v>
      </c>
      <c r="EB5">
        <f>BN6-Table2[[#This Row],[2F3 - PDB 9 - WH Dock Leveler Door ]]</f>
        <v>13.967200000000048</v>
      </c>
      <c r="EC5">
        <f>BP6-Table2[[#This Row],[3F1 - PDB 5 - WH HSD]]</f>
        <v>186.55999999999767</v>
      </c>
      <c r="ED5">
        <f>BX6-Table2[[#This Row],[8F1 WH Dock AHU - Ventilation]]</f>
        <v>322.56000000005588</v>
      </c>
      <c r="EE5">
        <f>BZ6-Table2[[#This Row],[8F3 ACPDB - 4 WH Dock air curtain]]</f>
        <v>173.42399999999907</v>
      </c>
      <c r="EF5">
        <f>CA6-Table2[[#This Row],[8F4 WH Light]]</f>
        <v>2.2799999999961074E-2</v>
      </c>
      <c r="EG5">
        <f>CC6-Table2[[#This Row],[9F1 - PDB 10 - WH Dock door &amp; Office]]</f>
        <v>217.45599999997648</v>
      </c>
      <c r="EH5">
        <f>CD6-Table2[[#This Row],[9F2 - PDB 11 - WH flycatchers]]</f>
        <v>479.67999999999302</v>
      </c>
      <c r="EI5">
        <f>CE6-Table2[[#This Row],[9F3 - PDB 12 - Other items]]</f>
        <v>83.577599999996892</v>
      </c>
      <c r="EJ5">
        <f>CR6-Table2[[#This Row],[2F3 - PDB 1 - Dock 1 to 4 ]]</f>
        <v>101.1359999999986</v>
      </c>
      <c r="EK5">
        <f>BM6-Table2[[#This Row],[2F2 - PDB 3 - WH Truck &amp; Battery Charging]]</f>
        <v>702.24000000004889</v>
      </c>
      <c r="EL5">
        <f>(CK6-Table2[[#This Row],[PDB - 11 Truck Charging]])*1000</f>
        <v>140.00000000000057</v>
      </c>
      <c r="EM5" s="1">
        <f>P6-Table2[[#This Row],[5F3 Admin Area]]</f>
        <v>692.73600000003353</v>
      </c>
      <c r="EN5">
        <f>AH6-Table2[[#This Row],[2F5 Main Gate-1 Piller -1]]</f>
        <v>235.95200000001932</v>
      </c>
      <c r="EO5">
        <f>CW6-Table2[[#This Row],[6F2 Ground Floor AC]]</f>
        <v>18.310400000002119</v>
      </c>
      <c r="EP5">
        <f>CX6-Table2[[#This Row],[6F3 ACBD -1 (First floor AC)]]</f>
        <v>18.582399999999325</v>
      </c>
      <c r="EQ5">
        <f>CY6-Table2[[#This Row],[6F4 ACBD - 2 (Second &amp; Third floor AC)]]</f>
        <v>204.57600000000093</v>
      </c>
      <c r="ER5">
        <f>(BC6-Table2[[#This Row],[4F Old BMC cooling Unit]])</f>
        <v>0.67200000000593718</v>
      </c>
      <c r="ES5">
        <f>BO6-Table2[[#This Row],[2F4 - Old BMC]]</f>
        <v>0</v>
      </c>
      <c r="ET5">
        <f>Y6-Table2[[#This Row],[14F2 New CK]]</f>
        <v>1747.2800000000279</v>
      </c>
      <c r="EU5">
        <f>(CL6-Table2[[#This Row],[OLD Ck Panel-1]])*1000</f>
        <v>556.00000000004002</v>
      </c>
      <c r="EV5">
        <f>CM6-Table2[[#This Row],[2F4 Old CK Blast (Blue star)]]</f>
        <v>0</v>
      </c>
      <c r="EW5">
        <f>CN6-Table2[[#This Row],[3F6 Old CK Blast (Carrier)]]</f>
        <v>329.10000000000582</v>
      </c>
      <c r="EX5">
        <f>(CO6-Table2[[#This Row],[Old CK Panel -2]])*1000</f>
        <v>1769.9999999999818</v>
      </c>
      <c r="EY5">
        <f>N6-Table2[[#This Row],[4F1 Main UPS 1/C -1]]</f>
        <v>1679.6799999999348</v>
      </c>
      <c r="EZ5">
        <f>Z6-Table2[[#This Row],[15F1 Main UPS Panel - I/C - 2]]</f>
        <v>0</v>
      </c>
      <c r="FA5">
        <f>BF6-Table2[[#This Row],[2F CLC -1 AC unit - 2]]</f>
        <v>0</v>
      </c>
      <c r="FB5">
        <f>(BG6-Table2[[#This Row],[2F CLC Anti room]])*1000</f>
        <v>67.99999999999784</v>
      </c>
      <c r="FC5">
        <f>BW6-Table2[[#This Row],[7F3 CLC Power Panel]]</f>
        <v>475.77599999995437</v>
      </c>
      <c r="FD5">
        <f>(CI6-Table2[[#This Row],[PDB - 17 CLC Section ]])*1000</f>
        <v>302.99999999999727</v>
      </c>
      <c r="FE5">
        <f>(W6-Table2[[#This Row],[13F3 Water &amp; Lift Old CK]])*1000</f>
        <v>4182.0000000000164</v>
      </c>
      <c r="FF5">
        <f>AA6-Table2[[#This Row],[15F2 New ETP Panel]]</f>
        <v>569.59999999997672</v>
      </c>
      <c r="FG5">
        <f>AL6-Table2[[#This Row],[3F4 Old ETP Panel]]</f>
        <v>157.24800000002142</v>
      </c>
      <c r="FH5">
        <f>AF6-Table2[[#This Row],[2F1 RO Plant]]</f>
        <v>1138.8800000000047</v>
      </c>
      <c r="FI5">
        <f>AK6-Table2[[#This Row],[3F3 Fire Hydrant Panel]]</f>
        <v>15.312000000005355</v>
      </c>
      <c r="FJ5">
        <f>R6-Table2[[#This Row],[7F1 Freon System Panel]]</f>
        <v>7912.9599999999627</v>
      </c>
      <c r="FK5">
        <f>(AE6-Table2[[#This Row],[21F1 Refrigeration Ammonia]])*1000</f>
        <v>12174.399999999878</v>
      </c>
      <c r="FL5">
        <f>(AG6-Table2[[#This Row],[2F3 Air Compressor]])*1000</f>
        <v>2295.9999999998217</v>
      </c>
      <c r="FM5">
        <f>(AX6-Table2[[#This Row],[Solar Reading Panel II]])*1000</f>
        <v>5426.0000000003856</v>
      </c>
      <c r="FN5">
        <f>AI6-Table2[[#This Row],[3F1 Maintenance Workshop]]</f>
        <v>12.183999999999287</v>
      </c>
      <c r="FO5">
        <f>BD6-Table2[[#This Row],[4F B2B unit ]]</f>
        <v>60.383999999961816</v>
      </c>
      <c r="FP5">
        <f>BL6-Table2[[#This Row],[2F1 - PDB 6 - Bread, B2B section]]</f>
        <v>208.95999999999185</v>
      </c>
      <c r="FQ5">
        <f>(CG6-Table2[[#This Row],[9F5 - PDB 14 - Bread Lift]])</f>
        <v>0.42240000000310829</v>
      </c>
      <c r="FR5">
        <f>CJ6-Table2[[#This Row],[PDB - 16 Bread Section]]</f>
        <v>0.29999999999995453</v>
      </c>
      <c r="FS5">
        <f>BU6-Table2[[#This Row],[7F1 Donut Production area]]</f>
        <v>307.13600000005681</v>
      </c>
      <c r="FT5">
        <f>CB6-Table2[[#This Row],[8F5 Donut Ban Bary]]</f>
        <v>54.919999999998254</v>
      </c>
      <c r="FU5">
        <f>CF6-Table2[[#This Row],[9F4 - PDB 13 - Donut Sink Geyser area]]</f>
        <v>39.839999999996508</v>
      </c>
      <c r="FV5">
        <f>BV6-Table2[[#This Row],[7F2 Flour Silo]]</f>
        <v>946.56000000005588</v>
      </c>
      <c r="FW5">
        <f>BY6-Table2[[#This Row],[8F2 ACPDB - 3 SILO Ventilation]]</f>
        <v>94.144000000000233</v>
      </c>
      <c r="FX5">
        <f>J6-Table2[[#This Row],[DG 1010KVA Running Hours]]</f>
        <v>0.8000000000001819</v>
      </c>
      <c r="FY5">
        <f>K6-Table2[[#This Row],[DG 1010 KVA Meter Reading]]</f>
        <v>231</v>
      </c>
      <c r="FZ5">
        <f>L6-Table2[[#This Row],[GG 1010 KVA Running Hours]]</f>
        <v>-269.64999999999998</v>
      </c>
      <c r="GA5">
        <f>M6-Table2[[#This Row],[GG 1010 KVA Meter Reading]]</f>
        <v>270.88</v>
      </c>
    </row>
    <row r="6" spans="1:183">
      <c r="A6" s="55">
        <v>106</v>
      </c>
      <c r="B6" s="45">
        <v>46300.394965277781</v>
      </c>
      <c r="C6" s="45">
        <v>46300.435659722221</v>
      </c>
      <c r="D6" s="55" t="s">
        <v>111</v>
      </c>
      <c r="E6" s="44"/>
      <c r="F6" s="44"/>
      <c r="G6" s="57">
        <v>46300</v>
      </c>
      <c r="H6" s="44" t="s">
        <v>182</v>
      </c>
      <c r="I6" s="46">
        <v>9599.4519999999993</v>
      </c>
      <c r="J6" s="46">
        <v>4288.8</v>
      </c>
      <c r="K6" s="46">
        <v>1783092</v>
      </c>
      <c r="L6" s="46">
        <v>197.35</v>
      </c>
      <c r="M6" s="46">
        <v>468</v>
      </c>
      <c r="N6" s="46">
        <v>1927045.76</v>
      </c>
      <c r="O6" s="46">
        <v>4716735.04</v>
      </c>
      <c r="P6" s="46">
        <v>668486.848</v>
      </c>
      <c r="Q6" s="46">
        <v>8266112</v>
      </c>
      <c r="R6" s="46">
        <v>5870538.2400000002</v>
      </c>
      <c r="S6" s="46">
        <v>7582714.2400000002</v>
      </c>
      <c r="T6" s="46">
        <v>43954584.299000002</v>
      </c>
      <c r="U6" s="46">
        <v>2187697.44</v>
      </c>
      <c r="V6" s="46">
        <v>5220732.4800000004</v>
      </c>
      <c r="W6" s="46">
        <v>1652.4512999999999</v>
      </c>
      <c r="X6" s="46">
        <v>793743.23199999996</v>
      </c>
      <c r="Y6" s="46">
        <v>1184028.24</v>
      </c>
      <c r="Z6" s="46">
        <v>2777.8894</v>
      </c>
      <c r="AA6" s="46">
        <v>686656.32</v>
      </c>
      <c r="AB6" s="46">
        <v>423344.89600000001</v>
      </c>
      <c r="AC6" s="46">
        <v>2182861.7599999998</v>
      </c>
      <c r="AD6" s="46">
        <v>4935136.4110000003</v>
      </c>
      <c r="AE6" s="46">
        <v>13251.6952</v>
      </c>
      <c r="AF6" s="46">
        <v>911464.38399999996</v>
      </c>
      <c r="AG6" s="46">
        <v>1475.5609999999999</v>
      </c>
      <c r="AH6" s="46">
        <v>140596.20800000001</v>
      </c>
      <c r="AI6" s="46">
        <v>14945.4128</v>
      </c>
      <c r="AJ6" s="46">
        <v>145455.424</v>
      </c>
      <c r="AK6" s="46">
        <v>105858.08</v>
      </c>
      <c r="AL6" s="46">
        <v>335471.74400000001</v>
      </c>
      <c r="AM6" s="46">
        <v>1029.6130000000001</v>
      </c>
      <c r="AN6" s="46">
        <v>217.4</v>
      </c>
      <c r="AO6" s="46">
        <v>7.1</v>
      </c>
      <c r="AP6" s="46">
        <v>80688</v>
      </c>
      <c r="AQ6" s="46">
        <v>43382</v>
      </c>
      <c r="AR6" s="46">
        <v>42829</v>
      </c>
      <c r="AS6" s="46">
        <v>32464</v>
      </c>
      <c r="AT6" s="46">
        <v>22166</v>
      </c>
      <c r="AU6" s="46">
        <v>17081</v>
      </c>
      <c r="AV6" s="46">
        <v>7257</v>
      </c>
      <c r="AW6" s="46">
        <v>21.357368000000001</v>
      </c>
      <c r="AX6" s="46">
        <v>7393.817</v>
      </c>
      <c r="AY6" s="46">
        <v>687.71824000000004</v>
      </c>
      <c r="AZ6" s="46">
        <v>21.055</v>
      </c>
      <c r="BA6" s="46">
        <v>11.504</v>
      </c>
      <c r="BB6" s="46">
        <v>47.128999999999998</v>
      </c>
      <c r="BC6" s="46">
        <v>114029.736</v>
      </c>
      <c r="BD6" s="46">
        <v>278981.95199999999</v>
      </c>
      <c r="BE6" s="46">
        <v>3804.1676000000002</v>
      </c>
      <c r="BF6" s="46">
        <v>1714.182</v>
      </c>
      <c r="BG6" s="46">
        <v>76.656999999999996</v>
      </c>
      <c r="BH6" s="46">
        <v>387.72399999999999</v>
      </c>
      <c r="BI6" s="46">
        <v>945.55</v>
      </c>
      <c r="BJ6" s="46">
        <v>17.41</v>
      </c>
      <c r="BK6" s="46">
        <v>581.40800000000002</v>
      </c>
      <c r="BL6" s="46">
        <v>86162.271999999997</v>
      </c>
      <c r="BM6" s="46">
        <v>340889.28</v>
      </c>
      <c r="BN6" s="46">
        <v>7449.7687999999998</v>
      </c>
      <c r="BO6" s="46">
        <v>53589.132799999999</v>
      </c>
      <c r="BP6" s="46">
        <v>320990.36800000002</v>
      </c>
      <c r="BQ6" s="46">
        <v>340.00799999999998</v>
      </c>
      <c r="BR6" s="46">
        <v>189.727</v>
      </c>
      <c r="BS6" s="46">
        <v>1095524.6089999999</v>
      </c>
      <c r="BT6" s="46">
        <v>1400687.612</v>
      </c>
      <c r="BU6" s="46">
        <v>641281.34400000004</v>
      </c>
      <c r="BV6" s="46">
        <v>1056554.72</v>
      </c>
      <c r="BW6" s="46">
        <v>581752</v>
      </c>
      <c r="BX6" s="46">
        <v>1085731.8400000001</v>
      </c>
      <c r="BY6" s="46">
        <v>160520.48000000001</v>
      </c>
      <c r="BZ6" s="46">
        <v>116364.024</v>
      </c>
      <c r="CA6" s="46">
        <v>1244.6123</v>
      </c>
      <c r="CB6" s="46">
        <v>110775.592</v>
      </c>
      <c r="CC6" s="46">
        <v>158110.38399999999</v>
      </c>
      <c r="CD6" s="46">
        <v>458739.68</v>
      </c>
      <c r="CE6" s="46">
        <v>50809.3056</v>
      </c>
      <c r="CF6" s="46">
        <v>158119.80799999999</v>
      </c>
      <c r="CG6" s="46">
        <v>36116.601600000002</v>
      </c>
      <c r="CH6" s="46">
        <v>2385.8710000000001</v>
      </c>
      <c r="CI6" s="46">
        <v>222.80699999999999</v>
      </c>
      <c r="CJ6" s="46">
        <v>1193.5999999999999</v>
      </c>
      <c r="CK6" s="46">
        <v>80.929000000000002</v>
      </c>
      <c r="CL6" s="46">
        <v>765.60400000000004</v>
      </c>
      <c r="CM6" s="46">
        <v>551.4</v>
      </c>
      <c r="CN6" s="46">
        <v>69624.600000000006</v>
      </c>
      <c r="CO6" s="46">
        <v>1724.7460000000001</v>
      </c>
      <c r="CP6" s="46">
        <v>309318.364</v>
      </c>
      <c r="CQ6" s="46">
        <v>3767717.44</v>
      </c>
      <c r="CR6" s="46">
        <v>134841.296</v>
      </c>
      <c r="CS6" s="46">
        <v>534876.06400000001</v>
      </c>
      <c r="CT6" s="46">
        <v>3159235.5580000002</v>
      </c>
      <c r="CU6" s="46">
        <v>318942.10200000001</v>
      </c>
      <c r="CV6" s="46">
        <v>31102.758399999999</v>
      </c>
      <c r="CW6" s="46">
        <v>64084.652800000003</v>
      </c>
      <c r="CX6" s="46">
        <v>33984.700799999999</v>
      </c>
      <c r="CY6" s="46">
        <v>175589.2</v>
      </c>
      <c r="CZ6" s="46">
        <v>223200.56</v>
      </c>
      <c r="DA6" s="46">
        <v>19989.45</v>
      </c>
      <c r="DB6" s="46">
        <v>156198.26</v>
      </c>
      <c r="DC6" s="46">
        <v>3440.47</v>
      </c>
      <c r="DD6" s="46">
        <v>3440.34</v>
      </c>
      <c r="DE6" s="46">
        <v>3471.78</v>
      </c>
      <c r="DF6" s="46">
        <v>0.997</v>
      </c>
      <c r="DG6" s="44" t="s">
        <v>220</v>
      </c>
      <c r="DH6" s="2">
        <f>Table2[[#This Row],[Date]]</f>
        <v>46300</v>
      </c>
      <c r="DI6">
        <f>(DD7-Table2[[#This Row],[MWH Total]])*4000</f>
        <v>25680.000000000291</v>
      </c>
      <c r="DJ6">
        <f>(DA7-Table2[[#This Row],[PNG Meter (Outside)]])*2.936</f>
        <v>24.867919999992736</v>
      </c>
      <c r="DK6">
        <f>(DB7-Table2[[#This Row],[PNG Meter (Inside)]])*2.936</f>
        <v>372.38755999997608</v>
      </c>
      <c r="DL6">
        <f>(BH7-Table2[[#This Row],[3F Dough cooler - 2 ]])*1000</f>
        <v>403.00000000002001</v>
      </c>
      <c r="DM6">
        <f>(BI7-Table2[[#This Row],[3F Dough Cooler- 1]])*1000</f>
        <v>487.00000000008004</v>
      </c>
      <c r="DN6">
        <f>(BJ7-Table2[[#This Row],[4F Dough Production cooling Unit]])*1000</f>
        <v>57.999999999999829</v>
      </c>
      <c r="DO6">
        <f>(BQ7-Table2[[#This Row],[3F2 - PDB 3 - Dough Production Area]])*1000</f>
        <v>218.99999999999409</v>
      </c>
      <c r="DP6">
        <f>(BR7-Table2[[#This Row],[3F3 - PDB 4 - Dough Area]])*1000</f>
        <v>129.99999999999545</v>
      </c>
      <c r="DQ6">
        <f>AC7-Table2[[#This Row],[16F1 Tray washer Panel for Light]]</f>
        <v>751.68000000016764</v>
      </c>
      <c r="DR6">
        <f>CQ7-Table2[[#This Row],[2F1 Tray Washer - 1]]</f>
        <v>1129.9199999999255</v>
      </c>
      <c r="DS6">
        <f>CS7-Table2[[#This Row],[2F5 Destacker]]</f>
        <v>261.24800000002142</v>
      </c>
      <c r="DT6">
        <f>CU7-Table2[[#This Row],[5F1 Metering (TW-2)]]</f>
        <v>283.17399999999907</v>
      </c>
      <c r="DU6">
        <f>CV7-Table2[[#This Row],[6F1 Pre soaker Tray washer]]</f>
        <v>0.55680000000211294</v>
      </c>
      <c r="DV6">
        <f>CZ7-Table2[[#This Row],[6F5 Vent tray Storage]]</f>
        <v>115.87200000000303</v>
      </c>
      <c r="DW6">
        <f>I7-Table2[[#This Row],[Popeyes Meter ]]</f>
        <v>70.800000000001091</v>
      </c>
      <c r="DX6">
        <f>AZ7-Table2[[#This Row],[2F WH Chiller, Segregation Area]]</f>
        <v>2.4999999999998579E-2</v>
      </c>
      <c r="DY6">
        <f>BA7-Table2[[#This Row],[3F1 AC Unit WH dock cooling - 2 Nos]]</f>
        <v>1.9000000000000128E-2</v>
      </c>
      <c r="DZ6">
        <f>BB7-Table2[[#This Row],[3F2 AC Unit WH dock cooling - 3 Nos]]</f>
        <v>3.0999999999998806E-2</v>
      </c>
      <c r="EA6">
        <f>(BK7-Table2[[#This Row],[5F WH Perishable]])*1000</f>
        <v>280.99999999994907</v>
      </c>
      <c r="EB6">
        <f>BN7-Table2[[#This Row],[2F3 - PDB 9 - WH Dock Leveler Door ]]</f>
        <v>4.0792000000001281</v>
      </c>
      <c r="EC6">
        <f>BP7-Table2[[#This Row],[3F1 - PDB 5 - WH HSD]]</f>
        <v>85.440000000002328</v>
      </c>
      <c r="ED6">
        <f>BX7-Table2[[#This Row],[8F1 WH Dock AHU - Ventilation]]</f>
        <v>172.39999999990687</v>
      </c>
      <c r="EE6">
        <f>BZ7-Table2[[#This Row],[8F3 ACPDB - 4 WH Dock air curtain]]</f>
        <v>69.815999999991618</v>
      </c>
      <c r="EF6">
        <f>CA7-Table2[[#This Row],[8F4 WH Light]]</f>
        <v>0</v>
      </c>
      <c r="EG6">
        <f>CC7-Table2[[#This Row],[9F1 - PDB 10 - WH Dock door &amp; Office]]</f>
        <v>99.200000000011642</v>
      </c>
      <c r="EH6">
        <f>CD7-Table2[[#This Row],[9F2 - PDB 11 - WH flycatchers]]</f>
        <v>228.44800000003306</v>
      </c>
      <c r="EI6">
        <f>CE7-Table2[[#This Row],[9F3 - PDB 12 - Other items]]</f>
        <v>23.567999999999302</v>
      </c>
      <c r="EJ6">
        <f>CR7-Table2[[#This Row],[2F3 - PDB 1 - Dock 1 to 4 ]]</f>
        <v>55.119999999995343</v>
      </c>
      <c r="EK6">
        <f>BM7-Table2[[#This Row],[2F2 - PDB 3 - WH Truck &amp; Battery Charging]]</f>
        <v>394.97599999996601</v>
      </c>
      <c r="EL6">
        <f>(CK7-Table2[[#This Row],[PDB - 11 Truck Charging]])*1000</f>
        <v>63.000000000002387</v>
      </c>
      <c r="EM6" s="1">
        <f>P7-Table2[[#This Row],[5F3 Admin Area]]</f>
        <v>374.97600000002421</v>
      </c>
      <c r="EN6">
        <f>AH7-Table2[[#This Row],[2F5 Main Gate-1 Piller -1]]</f>
        <v>124.36799999998766</v>
      </c>
      <c r="EO6">
        <f>CW7-Table2[[#This Row],[6F2 Ground Floor AC]]</f>
        <v>11.782399999996414</v>
      </c>
      <c r="EP6">
        <f>CX7-Table2[[#This Row],[6F3 ACBD -1 (First floor AC)]]</f>
        <v>9.2448000000003958</v>
      </c>
      <c r="EQ6">
        <f>CY7-Table2[[#This Row],[6F4 ACBD - 2 (Second &amp; Third floor AC)]]</f>
        <v>119.55199999999604</v>
      </c>
      <c r="ER6">
        <f>(BC7-Table2[[#This Row],[4F Old BMC cooling Unit]])</f>
        <v>0</v>
      </c>
      <c r="ES6">
        <f>BO7-Table2[[#This Row],[2F4 - Old BMC]]</f>
        <v>0</v>
      </c>
      <c r="ET6">
        <f>Y7-Table2[[#This Row],[14F2 New CK]]</f>
        <v>1926.1599999999162</v>
      </c>
      <c r="EU6">
        <f>(CL7-Table2[[#This Row],[OLD Ck Panel-1]])*1000</f>
        <v>670.99999999993543</v>
      </c>
      <c r="EV6">
        <f>CM7-Table2[[#This Row],[2F4 Old CK Blast (Blue star)]]</f>
        <v>0</v>
      </c>
      <c r="EW6">
        <f>CN7-Table2[[#This Row],[3F6 Old CK Blast (Carrier)]]</f>
        <v>521</v>
      </c>
      <c r="EX6">
        <f>(CO7-Table2[[#This Row],[Old CK Panel -2]])*1000</f>
        <v>1232.9999999999472</v>
      </c>
      <c r="EY6">
        <f>N7-Table2[[#This Row],[4F1 Main UPS 1/C -1]]</f>
        <v>908.47999999998137</v>
      </c>
      <c r="EZ6">
        <f>Z7-Table2[[#This Row],[15F1 Main UPS Panel - I/C - 2]]</f>
        <v>0</v>
      </c>
      <c r="FA6">
        <f>BF7-Table2[[#This Row],[2F CLC -1 AC unit - 2]]</f>
        <v>0</v>
      </c>
      <c r="FB6">
        <f>(BG7-Table2[[#This Row],[2F CLC Anti room]])*1000</f>
        <v>39.000000000001478</v>
      </c>
      <c r="FC6">
        <f>BW7-Table2[[#This Row],[7F3 CLC Power Panel]]</f>
        <v>312.83200000005309</v>
      </c>
      <c r="FD6">
        <f>(CI7-Table2[[#This Row],[PDB - 17 CLC Section ]])*1000</f>
        <v>198.0000000000075</v>
      </c>
      <c r="FE6">
        <f>(W7-Table2[[#This Row],[13F3 Water &amp; Lift Old CK]])*1000</f>
        <v>2185.3000000000975</v>
      </c>
      <c r="FF6">
        <f>AA7-Table2[[#This Row],[15F2 New ETP Panel]]</f>
        <v>279.42399999999907</v>
      </c>
      <c r="FG6">
        <f>AL7-Table2[[#This Row],[3F4 Old ETP Panel]]</f>
        <v>86.01600000000326</v>
      </c>
      <c r="FH6">
        <f>AF7-Table2[[#This Row],[2F1 RO Plant]]</f>
        <v>519.74400000006426</v>
      </c>
      <c r="FI6">
        <f>AK7-Table2[[#This Row],[3F3 Fire Hydrant Panel]]</f>
        <v>8.0080000000016298</v>
      </c>
      <c r="FJ6">
        <f>R7-Table2[[#This Row],[7F1 Freon System Panel]]</f>
        <v>5108.4799999995157</v>
      </c>
      <c r="FK6">
        <f>(AE7-Table2[[#This Row],[21F1 Refrigeration Ammonia]])*1000</f>
        <v>7197.5999999995111</v>
      </c>
      <c r="FL6">
        <f>(AG7-Table2[[#This Row],[2F3 Air Compressor]])*1000</f>
        <v>1143.0000000000291</v>
      </c>
      <c r="FM6">
        <f>(AX7-Table2[[#This Row],[Solar Reading Panel II]])*1000</f>
        <v>2658.9999999996508</v>
      </c>
      <c r="FN6">
        <f>AI7-Table2[[#This Row],[3F1 Maintenance Workshop]]</f>
        <v>5.9616000000005442</v>
      </c>
      <c r="FO6">
        <f>BD7-Table2[[#This Row],[4F B2B unit ]]</f>
        <v>37.312000000034459</v>
      </c>
      <c r="FP6">
        <f>BL7-Table2[[#This Row],[2F1 - PDB 6 - Bread, B2B section]]</f>
        <v>364.67200000000594</v>
      </c>
      <c r="FQ6">
        <f>(CG7-Table2[[#This Row],[9F5 - PDB 14 - Bread Lift]])</f>
        <v>-5.1200000000026193</v>
      </c>
      <c r="FR6">
        <f>CJ7-Table2[[#This Row],[PDB - 16 Bread Section]]</f>
        <v>0.3000000000001819</v>
      </c>
      <c r="FS6">
        <f>BU7-Table2[[#This Row],[7F1 Donut Production area]]</f>
        <v>173.43999999994412</v>
      </c>
      <c r="FT6">
        <f>CB7-Table2[[#This Row],[8F5 Donut Ban Bary]]</f>
        <v>24.447999999989406</v>
      </c>
      <c r="FU6">
        <f>CF7-Table2[[#This Row],[9F4 - PDB 13 - Donut Sink Geyser area]]</f>
        <v>18.576000000000931</v>
      </c>
      <c r="FV6">
        <f>BV7-Table2[[#This Row],[7F2 Flour Silo]]</f>
        <v>599.67999999993481</v>
      </c>
      <c r="FW6">
        <f>BY7-Table2[[#This Row],[8F2 ACPDB - 3 SILO Ventilation]]</f>
        <v>41.695999999996275</v>
      </c>
      <c r="FX6">
        <f>J7-Table2[[#This Row],[DG 1010KVA Running Hours]]</f>
        <v>0</v>
      </c>
      <c r="FY6">
        <f>K7-Table2[[#This Row],[DG 1010 KVA Meter Reading]]</f>
        <v>0</v>
      </c>
      <c r="FZ6">
        <f>L7-Table2[[#This Row],[GG 1010 KVA Running Hours]]</f>
        <v>270.64999999999998</v>
      </c>
      <c r="GA6">
        <f>M7-Table2[[#This Row],[GG 1010 KVA Meter Reading]]</f>
        <v>-270.64999999999998</v>
      </c>
    </row>
    <row r="7" spans="1:183">
      <c r="A7" s="55">
        <v>107</v>
      </c>
      <c r="B7" s="45">
        <v>46301.37976851852</v>
      </c>
      <c r="C7" s="45">
        <v>46301.423472222225</v>
      </c>
      <c r="D7" s="55" t="s">
        <v>111</v>
      </c>
      <c r="E7" s="44"/>
      <c r="F7" s="44"/>
      <c r="G7" s="57">
        <v>46301</v>
      </c>
      <c r="H7" s="44" t="s">
        <v>182</v>
      </c>
      <c r="I7" s="46">
        <v>9670.2520000000004</v>
      </c>
      <c r="J7" s="46">
        <v>4288.8</v>
      </c>
      <c r="K7" s="46">
        <v>1783092</v>
      </c>
      <c r="L7" s="46">
        <v>468</v>
      </c>
      <c r="M7" s="46">
        <v>197.35</v>
      </c>
      <c r="N7" s="46">
        <v>1927954.24</v>
      </c>
      <c r="O7" s="46">
        <v>4718508.16</v>
      </c>
      <c r="P7" s="46">
        <v>668861.82400000002</v>
      </c>
      <c r="Q7" s="46">
        <v>8269176.3200000003</v>
      </c>
      <c r="R7" s="46">
        <v>5875646.7199999997</v>
      </c>
      <c r="S7" s="46">
        <v>7586028.1600000001</v>
      </c>
      <c r="T7" s="46">
        <v>43510008.490999997</v>
      </c>
      <c r="U7" s="46">
        <v>2189185.44</v>
      </c>
      <c r="V7" s="46">
        <v>5222445.4400000004</v>
      </c>
      <c r="W7" s="46">
        <v>1654.6366</v>
      </c>
      <c r="X7" s="46">
        <v>794027.00800000003</v>
      </c>
      <c r="Y7" s="46">
        <v>1185954.3999999999</v>
      </c>
      <c r="Z7" s="46">
        <v>2777.8894</v>
      </c>
      <c r="AA7" s="46">
        <v>686935.74399999995</v>
      </c>
      <c r="AB7" s="46">
        <v>423395.00799999997</v>
      </c>
      <c r="AC7" s="46">
        <v>2183613.4399999999</v>
      </c>
      <c r="AD7" s="46">
        <v>3300250.9440000001</v>
      </c>
      <c r="AE7" s="46">
        <v>13258.8928</v>
      </c>
      <c r="AF7" s="46">
        <v>911984.12800000003</v>
      </c>
      <c r="AG7" s="46">
        <v>1476.704</v>
      </c>
      <c r="AH7" s="46">
        <v>140720.576</v>
      </c>
      <c r="AI7" s="46">
        <v>14951.374400000001</v>
      </c>
      <c r="AJ7" s="46">
        <v>145457.568</v>
      </c>
      <c r="AK7" s="46">
        <v>105866.088</v>
      </c>
      <c r="AL7" s="46">
        <v>335557.76</v>
      </c>
      <c r="AM7" s="46">
        <v>1030.337</v>
      </c>
      <c r="AN7" s="46">
        <v>303</v>
      </c>
      <c r="AO7" s="46">
        <v>7.5</v>
      </c>
      <c r="AP7" s="46">
        <v>91856</v>
      </c>
      <c r="AQ7" s="46">
        <v>43382</v>
      </c>
      <c r="AR7" s="46">
        <v>42829</v>
      </c>
      <c r="AS7" s="46">
        <v>32464</v>
      </c>
      <c r="AT7" s="46">
        <v>22166</v>
      </c>
      <c r="AU7" s="46">
        <v>17104</v>
      </c>
      <c r="AV7" s="46">
        <v>7276</v>
      </c>
      <c r="AW7" s="46">
        <v>21.364360000000001</v>
      </c>
      <c r="AX7" s="46">
        <v>7396.4759999999997</v>
      </c>
      <c r="AY7" s="46">
        <v>687.88008000000002</v>
      </c>
      <c r="AZ7" s="46">
        <v>21.08</v>
      </c>
      <c r="BA7" s="46">
        <v>11.523</v>
      </c>
      <c r="BB7" s="46">
        <v>47.16</v>
      </c>
      <c r="BC7" s="46">
        <v>114029.736</v>
      </c>
      <c r="BD7" s="46">
        <v>279019.26400000002</v>
      </c>
      <c r="BE7" s="46">
        <v>3805.4920000000002</v>
      </c>
      <c r="BF7" s="46">
        <v>1714.182</v>
      </c>
      <c r="BG7" s="46">
        <v>76.695999999999998</v>
      </c>
      <c r="BH7" s="46">
        <v>388.12700000000001</v>
      </c>
      <c r="BI7" s="46">
        <v>946.03700000000003</v>
      </c>
      <c r="BJ7" s="46">
        <v>17.468</v>
      </c>
      <c r="BK7" s="46">
        <v>581.68899999999996</v>
      </c>
      <c r="BL7" s="46">
        <v>86526.944000000003</v>
      </c>
      <c r="BM7" s="46">
        <v>341284.25599999999</v>
      </c>
      <c r="BN7" s="46">
        <v>7453.848</v>
      </c>
      <c r="BO7" s="46">
        <v>53589.132799999999</v>
      </c>
      <c r="BP7" s="46">
        <v>321075.80800000002</v>
      </c>
      <c r="BQ7" s="46">
        <v>340.22699999999998</v>
      </c>
      <c r="BR7" s="46">
        <v>189.857</v>
      </c>
      <c r="BS7" s="46">
        <v>1096963.676</v>
      </c>
      <c r="BT7" s="46">
        <v>1400687.6129999999</v>
      </c>
      <c r="BU7" s="46">
        <v>641454.78399999999</v>
      </c>
      <c r="BV7" s="46">
        <v>1057154.3999999999</v>
      </c>
      <c r="BW7" s="46">
        <v>582064.83200000005</v>
      </c>
      <c r="BX7" s="46">
        <v>1085904.24</v>
      </c>
      <c r="BY7" s="46">
        <v>160562.17600000001</v>
      </c>
      <c r="BZ7" s="46">
        <v>116433.84</v>
      </c>
      <c r="CA7" s="46">
        <v>1244.6123</v>
      </c>
      <c r="CB7" s="46">
        <v>110800.04</v>
      </c>
      <c r="CC7" s="46">
        <v>158209.584</v>
      </c>
      <c r="CD7" s="46">
        <v>458968.12800000003</v>
      </c>
      <c r="CE7" s="46">
        <v>50832.873599999999</v>
      </c>
      <c r="CF7" s="46">
        <v>158138.38399999999</v>
      </c>
      <c r="CG7" s="46">
        <v>36111.481599999999</v>
      </c>
      <c r="CH7" s="46">
        <v>2385.8710000000001</v>
      </c>
      <c r="CI7" s="46">
        <v>223.005</v>
      </c>
      <c r="CJ7" s="46">
        <v>1193.9000000000001</v>
      </c>
      <c r="CK7" s="46">
        <v>80.992000000000004</v>
      </c>
      <c r="CL7" s="46">
        <v>766.27499999999998</v>
      </c>
      <c r="CM7" s="46">
        <v>551.4</v>
      </c>
      <c r="CN7" s="46">
        <v>70145.600000000006</v>
      </c>
      <c r="CO7" s="46">
        <v>1725.979</v>
      </c>
      <c r="CP7" s="46">
        <v>309588.14500000002</v>
      </c>
      <c r="CQ7" s="46">
        <v>3768847.36</v>
      </c>
      <c r="CR7" s="46">
        <v>134896.416</v>
      </c>
      <c r="CS7" s="46">
        <v>535137.31200000003</v>
      </c>
      <c r="CT7" s="46">
        <v>3162611.1349999998</v>
      </c>
      <c r="CU7" s="46">
        <v>319225.27600000001</v>
      </c>
      <c r="CV7" s="46">
        <v>31103.315200000001</v>
      </c>
      <c r="CW7" s="46">
        <v>64096.4352</v>
      </c>
      <c r="CX7" s="46">
        <v>33993.945599999999</v>
      </c>
      <c r="CY7" s="46">
        <v>175708.75200000001</v>
      </c>
      <c r="CZ7" s="46">
        <v>223316.432</v>
      </c>
      <c r="DA7" s="46">
        <v>19997.919999999998</v>
      </c>
      <c r="DB7" s="46">
        <v>156325.095</v>
      </c>
      <c r="DC7" s="46">
        <v>3446.89</v>
      </c>
      <c r="DD7" s="46">
        <v>3446.76</v>
      </c>
      <c r="DE7" s="46">
        <v>3478.26</v>
      </c>
      <c r="DF7" s="46">
        <v>0.98899999999999999</v>
      </c>
      <c r="DG7" s="44" t="s">
        <v>221</v>
      </c>
      <c r="DH7" s="2">
        <f>Table2[[#This Row],[Date]]</f>
        <v>46301</v>
      </c>
      <c r="DI7">
        <f>(DD8-Table2[[#This Row],[MWH Total]])*4000</f>
        <v>26399.999999999636</v>
      </c>
      <c r="DJ7">
        <f>(DA8-Table2[[#This Row],[PNG Meter (Outside)]])*2.936</f>
        <v>24.515600000006408</v>
      </c>
      <c r="DK7">
        <f>(DB8-Table2[[#This Row],[PNG Meter (Inside)]])*2.936</f>
        <v>374.96536799996716</v>
      </c>
      <c r="DL7">
        <f>(BH8-Table2[[#This Row],[3F Dough cooler - 2 ]])*1000</f>
        <v>310.99999999997863</v>
      </c>
      <c r="DM7">
        <f>(BI8-Table2[[#This Row],[3F Dough Cooler- 1]])*1000</f>
        <v>468.99999999993724</v>
      </c>
      <c r="DN7">
        <f>(BJ8-Table2[[#This Row],[4F Dough Production cooling Unit]])*1000</f>
        <v>13.000000000001677</v>
      </c>
      <c r="DO7">
        <f>(BQ8-Table2[[#This Row],[3F2 - PDB 3 - Dough Production Area]])*1000</f>
        <v>206.00000000001728</v>
      </c>
      <c r="DP7">
        <f>(BR8-Table2[[#This Row],[3F3 - PDB 4 - Dough Area]])*1000</f>
        <v>128.99999999999068</v>
      </c>
      <c r="DQ7">
        <f>AC8-Table2[[#This Row],[16F1 Tray washer Panel for Light]]</f>
        <v>709.60000000009313</v>
      </c>
      <c r="DR7">
        <f>CQ8-Table2[[#This Row],[2F1 Tray Washer - 1]]</f>
        <v>1565.1200000001118</v>
      </c>
      <c r="DS7">
        <f>CS8-Table2[[#This Row],[2F5 Destacker]]</f>
        <v>255.55199999990873</v>
      </c>
      <c r="DT7">
        <f>CU8-Table2[[#This Row],[5F1 Metering (TW-2)]]</f>
        <v>255.66700000001583</v>
      </c>
      <c r="DU7">
        <f>CV8-Table2[[#This Row],[6F1 Pre soaker Tray washer]]</f>
        <v>3.1999999991967343E-3</v>
      </c>
      <c r="DV7">
        <f>CZ8-Table2[[#This Row],[6F5 Vent tray Storage]]</f>
        <v>83.37599999998929</v>
      </c>
      <c r="DW7">
        <f>I8-Table2[[#This Row],[Popeyes Meter ]]</f>
        <v>44.18999999999869</v>
      </c>
      <c r="DX7">
        <f>AZ8-Table2[[#This Row],[2F WH Chiller, Segregation Area]]</f>
        <v>2.5000000000002132E-2</v>
      </c>
      <c r="DY7">
        <f>BA8-Table2[[#This Row],[3F1 AC Unit WH dock cooling - 2 Nos]]</f>
        <v>2.1000000000000796E-2</v>
      </c>
      <c r="DZ7">
        <f>BB8-Table2[[#This Row],[3F2 AC Unit WH dock cooling - 3 Nos]]</f>
        <v>4.700000000000415E-2</v>
      </c>
      <c r="EA7">
        <f>(BK8-Table2[[#This Row],[5F WH Perishable]])*1000</f>
        <v>283.00000000001546</v>
      </c>
      <c r="EB7">
        <f>BN8-Table2[[#This Row],[2F3 - PDB 9 - WH Dock Leveler Door ]]</f>
        <v>4.0392000000001644</v>
      </c>
      <c r="EC7">
        <f>BP8-Table2[[#This Row],[3F1 - PDB 5 - WH HSD]]</f>
        <v>109.50399999995716</v>
      </c>
      <c r="ED7">
        <f>BX8-Table2[[#This Row],[8F1 WH Dock AHU - Ventilation]]</f>
        <v>173.04000000003725</v>
      </c>
      <c r="EE7">
        <f>BZ8-Table2[[#This Row],[8F3 ACPDB - 4 WH Dock air curtain]]</f>
        <v>64.135999999998603</v>
      </c>
      <c r="EF7">
        <f>CA8-Table2[[#This Row],[8F4 WH Light]]</f>
        <v>0</v>
      </c>
      <c r="EG7">
        <f>CC8-Table2[[#This Row],[9F1 - PDB 10 - WH Dock door &amp; Office]]</f>
        <v>138.03200000000652</v>
      </c>
      <c r="EH7">
        <f>CD8-Table2[[#This Row],[9F2 - PDB 11 - WH flycatchers]]</f>
        <v>185.9199999999837</v>
      </c>
      <c r="EI7">
        <f>CE8-Table2[[#This Row],[9F3 - PDB 12 - Other items]]</f>
        <v>16.505600000004051</v>
      </c>
      <c r="EJ7">
        <f>CR8-Table2[[#This Row],[2F3 - PDB 1 - Dock 1 to 4 ]]</f>
        <v>55.728000000002794</v>
      </c>
      <c r="EK7">
        <f>BM8-Table2[[#This Row],[2F2 - PDB 3 - WH Truck &amp; Battery Charging]]</f>
        <v>408.06400000001304</v>
      </c>
      <c r="EL7">
        <f>(CK8-Table2[[#This Row],[PDB - 11 Truck Charging]])*1000</f>
        <v>39.999999999992042</v>
      </c>
      <c r="EM7" s="1">
        <f>P8-Table2[[#This Row],[5F3 Admin Area]]</f>
        <v>357.76000000000931</v>
      </c>
      <c r="EN7">
        <f>AH8-Table2[[#This Row],[2F5 Main Gate-1 Piller -1]]</f>
        <v>128.32000000000698</v>
      </c>
      <c r="EO7">
        <f>CW8-Table2[[#This Row],[6F2 Ground Floor AC]]</f>
        <v>12.351999999998952</v>
      </c>
      <c r="EP7">
        <f>CX8-Table2[[#This Row],[6F3 ACBD -1 (First floor AC)]]</f>
        <v>9.2960000000020955</v>
      </c>
      <c r="EQ7">
        <f>CY8-Table2[[#This Row],[6F4 ACBD - 2 (Second &amp; Third floor AC)]]</f>
        <v>127.16800000000512</v>
      </c>
      <c r="ER7">
        <f>(BC8-Table2[[#This Row],[4F Old BMC cooling Unit]])</f>
        <v>0</v>
      </c>
      <c r="ES7">
        <f>BO8-Table2[[#This Row],[2F4 - Old BMC]]</f>
        <v>0</v>
      </c>
      <c r="ET7">
        <f>Y8-Table2[[#This Row],[14F2 New CK]]</f>
        <v>1710.7200000002049</v>
      </c>
      <c r="EU7">
        <f>(CL8-Table2[[#This Row],[OLD Ck Panel-1]])*1000</f>
        <v>728.00000000006548</v>
      </c>
      <c r="EV7">
        <f>CM8-Table2[[#This Row],[2F4 Old CK Blast (Blue star)]]</f>
        <v>0</v>
      </c>
      <c r="EW7">
        <f>CN8-Table2[[#This Row],[3F6 Old CK Blast (Carrier)]]</f>
        <v>578.19999999999709</v>
      </c>
      <c r="EX7">
        <f>(CO8-Table2[[#This Row],[Old CK Panel -2]])*1000</f>
        <v>1126.9999999999527</v>
      </c>
      <c r="EY7">
        <f>N8-Table2[[#This Row],[4F1 Main UPS 1/C -1]]</f>
        <v>925.76000000000931</v>
      </c>
      <c r="EZ7">
        <f>Z8-Table2[[#This Row],[15F1 Main UPS Panel - I/C - 2]]</f>
        <v>0</v>
      </c>
      <c r="FA7">
        <f>BF8-Table2[[#This Row],[2F CLC -1 AC unit - 2]]</f>
        <v>0</v>
      </c>
      <c r="FB7">
        <f>(BG8-Table2[[#This Row],[2F CLC Anti room]])*1000</f>
        <v>43.000000000006366</v>
      </c>
      <c r="FC7">
        <f>BW8-Table2[[#This Row],[7F3 CLC Power Panel]]</f>
        <v>313.72800000000279</v>
      </c>
      <c r="FD7">
        <f>(CI8-Table2[[#This Row],[PDB - 17 CLC Section ]])*1000</f>
        <v>200.00000000001705</v>
      </c>
      <c r="FE7">
        <f>(W8-Table2[[#This Row],[13F3 Water &amp; Lift Old CK]])*1000</f>
        <v>2209.7999999998592</v>
      </c>
      <c r="FF7">
        <f>AA8-Table2[[#This Row],[15F2 New ETP Panel]]</f>
        <v>288.96000000007916</v>
      </c>
      <c r="FG7">
        <f>AL8-Table2[[#This Row],[3F4 Old ETP Panel]]</f>
        <v>80.608000000007451</v>
      </c>
      <c r="FH7">
        <f>AF8-Table2[[#This Row],[2F1 RO Plant]]</f>
        <v>556.86399999994319</v>
      </c>
      <c r="FI7">
        <f>AK8-Table2[[#This Row],[3F3 Fire Hydrant Panel]]</f>
        <v>8.0399999999935972</v>
      </c>
      <c r="FJ7">
        <f>R8-Table2[[#This Row],[7F1 Freon System Panel]]</f>
        <v>5051.5200000004843</v>
      </c>
      <c r="FK7">
        <f>(AE8-Table2[[#This Row],[21F1 Refrigeration Ammonia]])*1000</f>
        <v>6987.1999999995751</v>
      </c>
      <c r="FL7">
        <f>(AG8-Table2[[#This Row],[2F3 Air Compressor]])*1000</f>
        <v>1088.9999999999418</v>
      </c>
      <c r="FM7">
        <f>(AX8-Table2[[#This Row],[Solar Reading Panel II]])*1000</f>
        <v>2439.0000000003056</v>
      </c>
      <c r="FN7">
        <f>AI8-Table2[[#This Row],[3F1 Maintenance Workshop]]</f>
        <v>5.7680000000000291</v>
      </c>
      <c r="FO7">
        <f>BD8-Table2[[#This Row],[4F B2B unit ]]</f>
        <v>60.927999999956228</v>
      </c>
      <c r="FP7">
        <f>BL8-Table2[[#This Row],[2F1 - PDB 6 - Bread, B2B section]]</f>
        <v>252.35839999999735</v>
      </c>
      <c r="FQ7">
        <f>(CG8-Table2[[#This Row],[9F5 - PDB 14 - Bread Lift]])</f>
        <v>6.9311999999990803</v>
      </c>
      <c r="FR7">
        <f>CJ8-Table2[[#This Row],[PDB - 16 Bread Section]]</f>
        <v>0.1999999999998181</v>
      </c>
      <c r="FS7">
        <f>BU8-Table2[[#This Row],[7F1 Donut Production area]]</f>
        <v>193.53599999996368</v>
      </c>
      <c r="FT7">
        <f>CB8-Table2[[#This Row],[8F5 Donut Ban Bary]]</f>
        <v>53.855999999999767</v>
      </c>
      <c r="FU7">
        <f>CF8-Table2[[#This Row],[9F4 - PDB 13 - Donut Sink Geyser area]]</f>
        <v>27.520000000018626</v>
      </c>
      <c r="FV7">
        <f>BV8-Table2[[#This Row],[7F2 Flour Silo]]</f>
        <v>790.96000000019558</v>
      </c>
      <c r="FW7">
        <f>BY8-Table2[[#This Row],[8F2 ACPDB - 3 SILO Ventilation]]</f>
        <v>40.911999999982072</v>
      </c>
      <c r="FX7">
        <f>J8-Table2[[#This Row],[DG 1010KVA Running Hours]]</f>
        <v>0</v>
      </c>
      <c r="FY7">
        <f>K8-Table2[[#This Row],[DG 1010 KVA Meter Reading]]</f>
        <v>0</v>
      </c>
      <c r="FZ7">
        <f>L8-Table2[[#This Row],[GG 1010 KVA Running Hours]]</f>
        <v>0</v>
      </c>
      <c r="GA7">
        <f>M8-Table2[[#This Row],[GG 1010 KVA Meter Reading]]</f>
        <v>0</v>
      </c>
    </row>
    <row r="8" spans="1:183">
      <c r="A8" s="55">
        <v>108</v>
      </c>
      <c r="B8" s="45">
        <v>46302.385451388887</v>
      </c>
      <c r="C8" s="45">
        <v>46302.426087962966</v>
      </c>
      <c r="D8" s="55" t="s">
        <v>111</v>
      </c>
      <c r="E8" s="44"/>
      <c r="F8" s="44"/>
      <c r="G8" s="57">
        <v>46302</v>
      </c>
      <c r="H8" s="44" t="s">
        <v>182</v>
      </c>
      <c r="I8" s="46">
        <v>9714.4419999999991</v>
      </c>
      <c r="J8" s="46">
        <v>4288.8</v>
      </c>
      <c r="K8" s="46">
        <v>1783092</v>
      </c>
      <c r="L8" s="46">
        <v>468</v>
      </c>
      <c r="M8" s="46">
        <v>197.35</v>
      </c>
      <c r="N8" s="46">
        <v>1928880</v>
      </c>
      <c r="O8" s="46">
        <v>4720241.92</v>
      </c>
      <c r="P8" s="46">
        <v>669219.58400000003</v>
      </c>
      <c r="Q8" s="46">
        <v>8272060.1600000001</v>
      </c>
      <c r="R8" s="46">
        <v>5880698.2400000002</v>
      </c>
      <c r="S8" s="46">
        <v>7589905.2800000003</v>
      </c>
      <c r="T8" s="46">
        <v>43978563.167000003</v>
      </c>
      <c r="U8" s="46">
        <v>2190488.48</v>
      </c>
      <c r="V8" s="46">
        <v>5224025.92</v>
      </c>
      <c r="W8" s="46">
        <v>1656.8463999999999</v>
      </c>
      <c r="X8" s="46">
        <v>794281.28</v>
      </c>
      <c r="Y8" s="46">
        <v>1187665.1200000001</v>
      </c>
      <c r="Z8" s="46">
        <v>2777.8894</v>
      </c>
      <c r="AA8" s="46">
        <v>687224.70400000003</v>
      </c>
      <c r="AB8" s="46">
        <v>423444.89600000001</v>
      </c>
      <c r="AC8" s="46">
        <v>2184323.04</v>
      </c>
      <c r="AD8" s="46">
        <v>4964393.6189999999</v>
      </c>
      <c r="AE8" s="46">
        <v>13265.88</v>
      </c>
      <c r="AF8" s="46">
        <v>912540.99199999997</v>
      </c>
      <c r="AG8" s="46">
        <v>1477.7929999999999</v>
      </c>
      <c r="AH8" s="46">
        <v>140848.89600000001</v>
      </c>
      <c r="AI8" s="46">
        <v>14957.142400000001</v>
      </c>
      <c r="AJ8" s="46">
        <v>145458.79999999999</v>
      </c>
      <c r="AK8" s="46">
        <v>105874.128</v>
      </c>
      <c r="AL8" s="46">
        <v>335638.36800000002</v>
      </c>
      <c r="AM8" s="46">
        <v>1030.922</v>
      </c>
      <c r="AN8" s="46">
        <v>239</v>
      </c>
      <c r="AO8" s="46">
        <v>7.2</v>
      </c>
      <c r="AP8" s="46">
        <v>102007</v>
      </c>
      <c r="AQ8" s="46">
        <v>43382</v>
      </c>
      <c r="AR8" s="46">
        <v>42829</v>
      </c>
      <c r="AS8" s="46">
        <v>32464</v>
      </c>
      <c r="AT8" s="46">
        <v>22166</v>
      </c>
      <c r="AU8" s="46">
        <v>17128</v>
      </c>
      <c r="AV8" s="46">
        <v>7293</v>
      </c>
      <c r="AW8" s="46">
        <v>21.371169999999999</v>
      </c>
      <c r="AX8" s="46">
        <v>7398.915</v>
      </c>
      <c r="AY8" s="46">
        <v>688.05831999999998</v>
      </c>
      <c r="AZ8" s="46">
        <v>21.105</v>
      </c>
      <c r="BA8" s="46">
        <v>11.544</v>
      </c>
      <c r="BB8" s="46">
        <v>47.207000000000001</v>
      </c>
      <c r="BC8" s="46">
        <v>114029.736</v>
      </c>
      <c r="BD8" s="46">
        <v>279080.19199999998</v>
      </c>
      <c r="BE8" s="46">
        <v>3806.6543999999999</v>
      </c>
      <c r="BF8" s="46">
        <v>1714.182</v>
      </c>
      <c r="BG8" s="46">
        <v>76.739000000000004</v>
      </c>
      <c r="BH8" s="46">
        <v>388.43799999999999</v>
      </c>
      <c r="BI8" s="46">
        <v>946.50599999999997</v>
      </c>
      <c r="BJ8" s="46">
        <v>17.481000000000002</v>
      </c>
      <c r="BK8" s="46">
        <v>581.97199999999998</v>
      </c>
      <c r="BL8" s="46">
        <v>86779.3024</v>
      </c>
      <c r="BM8" s="46">
        <v>341692.32</v>
      </c>
      <c r="BN8" s="46">
        <v>7457.8872000000001</v>
      </c>
      <c r="BO8" s="46">
        <v>53589.132799999999</v>
      </c>
      <c r="BP8" s="46">
        <v>321185.31199999998</v>
      </c>
      <c r="BQ8" s="46">
        <v>340.43299999999999</v>
      </c>
      <c r="BR8" s="46">
        <v>189.98599999999999</v>
      </c>
      <c r="BS8" s="46">
        <v>1098225.594</v>
      </c>
      <c r="BT8" s="46">
        <v>1400687.629</v>
      </c>
      <c r="BU8" s="46">
        <v>641648.31999999995</v>
      </c>
      <c r="BV8" s="46">
        <v>1057945.3600000001</v>
      </c>
      <c r="BW8" s="46">
        <v>582378.56000000006</v>
      </c>
      <c r="BX8" s="46">
        <v>1086077.28</v>
      </c>
      <c r="BY8" s="46">
        <v>160603.08799999999</v>
      </c>
      <c r="BZ8" s="46">
        <v>116497.976</v>
      </c>
      <c r="CA8" s="46">
        <v>1244.6123</v>
      </c>
      <c r="CB8" s="46">
        <v>110853.89599999999</v>
      </c>
      <c r="CC8" s="46">
        <v>158347.61600000001</v>
      </c>
      <c r="CD8" s="46">
        <v>459154.04800000001</v>
      </c>
      <c r="CE8" s="46">
        <v>50849.379200000003</v>
      </c>
      <c r="CF8" s="46">
        <v>158165.90400000001</v>
      </c>
      <c r="CG8" s="46">
        <v>36118.412799999998</v>
      </c>
      <c r="CH8" s="46">
        <v>2385.8710000000001</v>
      </c>
      <c r="CI8" s="46">
        <v>223.20500000000001</v>
      </c>
      <c r="CJ8" s="46">
        <v>1194.0999999999999</v>
      </c>
      <c r="CK8" s="46">
        <v>81.031999999999996</v>
      </c>
      <c r="CL8" s="46">
        <v>767.00300000000004</v>
      </c>
      <c r="CM8" s="46">
        <v>551.4</v>
      </c>
      <c r="CN8" s="46">
        <v>70723.8</v>
      </c>
      <c r="CO8" s="46">
        <v>1727.106</v>
      </c>
      <c r="CP8" s="46">
        <v>309873.51</v>
      </c>
      <c r="CQ8" s="46">
        <v>3770412.48</v>
      </c>
      <c r="CR8" s="46">
        <v>134952.144</v>
      </c>
      <c r="CS8" s="46">
        <v>535392.86399999994</v>
      </c>
      <c r="CT8" s="46">
        <v>3166555.2930000001</v>
      </c>
      <c r="CU8" s="46">
        <v>319480.94300000003</v>
      </c>
      <c r="CV8" s="46">
        <v>31103.3184</v>
      </c>
      <c r="CW8" s="46">
        <v>64108.787199999999</v>
      </c>
      <c r="CX8" s="46">
        <v>34003.241600000001</v>
      </c>
      <c r="CY8" s="46">
        <v>175835.92</v>
      </c>
      <c r="CZ8" s="46">
        <v>223399.80799999999</v>
      </c>
      <c r="DA8" s="46">
        <v>20006.27</v>
      </c>
      <c r="DB8" s="46">
        <v>156452.80799999999</v>
      </c>
      <c r="DC8" s="46">
        <v>3453.49</v>
      </c>
      <c r="DD8" s="46">
        <v>3453.36</v>
      </c>
      <c r="DE8" s="46">
        <v>3484.91</v>
      </c>
      <c r="DF8" s="46">
        <v>0.98899999999999999</v>
      </c>
      <c r="DG8" s="44" t="s">
        <v>222</v>
      </c>
      <c r="DH8" s="2">
        <f>Table2[[#This Row],[Date]]</f>
        <v>46302</v>
      </c>
      <c r="DI8">
        <f>(DD9-Table2[[#This Row],[MWH Total]])*4000</f>
        <v>27079.999999999927</v>
      </c>
      <c r="DJ8">
        <f>(DA9-Table2[[#This Row],[PNG Meter (Outside)]])*2.936</f>
        <v>29.624240000000427</v>
      </c>
      <c r="DK8">
        <f>(DB9-Table2[[#This Row],[PNG Meter (Inside)]])*2.936</f>
        <v>357.22018400006903</v>
      </c>
      <c r="DL8">
        <f>(BH9-Table2[[#This Row],[3F Dough cooler - 2 ]])*1000</f>
        <v>335.00000000003638</v>
      </c>
      <c r="DM8">
        <f>(BI9-Table2[[#This Row],[3F Dough Cooler- 1]])*1000</f>
        <v>493.00000000005184</v>
      </c>
      <c r="DN8">
        <f>(BJ9-Table2[[#This Row],[4F Dough Production cooling Unit]])*1000</f>
        <v>29.999999999997584</v>
      </c>
      <c r="DO8">
        <f>(BQ9-Table2[[#This Row],[3F2 - PDB 3 - Dough Production Area]])*1000</f>
        <v>204.99999999998408</v>
      </c>
      <c r="DP8">
        <f>(BR9-Table2[[#This Row],[3F3 - PDB 4 - Dough Area]])*1000</f>
        <v>117.00000000001864</v>
      </c>
      <c r="DQ8">
        <f>AC9-Table2[[#This Row],[16F1 Tray washer Panel for Light]]</f>
        <v>701.43999999994412</v>
      </c>
      <c r="DR8">
        <f>CQ9-Table2[[#This Row],[2F1 Tray Washer - 1]]</f>
        <v>1532.7999999998137</v>
      </c>
      <c r="DS8">
        <f>CS9-Table2[[#This Row],[2F5 Destacker]]</f>
        <v>224.57600000000093</v>
      </c>
      <c r="DT8">
        <f>CU9-Table2[[#This Row],[5F1 Metering (TW-2)]]</f>
        <v>252.10099999996601</v>
      </c>
      <c r="DU8">
        <f>CV9-Table2[[#This Row],[6F1 Pre soaker Tray washer]]</f>
        <v>5.1200000001699664E-2</v>
      </c>
      <c r="DV8">
        <f>CZ9-Table2[[#This Row],[6F5 Vent tray Storage]]</f>
        <v>69.551999999996042</v>
      </c>
      <c r="DW8">
        <f>I9-Table2[[#This Row],[Popeyes Meter ]]</f>
        <v>68.210000000000946</v>
      </c>
      <c r="DX8">
        <f>AZ9-Table2[[#This Row],[2F WH Chiller, Segregation Area]]</f>
        <v>2.5999999999999801E-2</v>
      </c>
      <c r="DY8">
        <f>BA9-Table2[[#This Row],[3F1 AC Unit WH dock cooling - 2 Nos]]</f>
        <v>2.3999999999999133E-2</v>
      </c>
      <c r="DZ8">
        <f>BB9-Table2[[#This Row],[3F2 AC Unit WH dock cooling - 3 Nos]]</f>
        <v>4.5000000000001705E-2</v>
      </c>
      <c r="EA8">
        <f>(BK9-Table2[[#This Row],[5F WH Perishable]])*1000</f>
        <v>286.00000000005821</v>
      </c>
      <c r="EB8">
        <f>BN9-Table2[[#This Row],[2F3 - PDB 9 - WH Dock Leveler Door ]]</f>
        <v>4.1023999999997613</v>
      </c>
      <c r="EC8">
        <f>BP9-Table2[[#This Row],[3F1 - PDB 5 - WH HSD]]</f>
        <v>108.76800000004005</v>
      </c>
      <c r="ED8">
        <f>BX9-Table2[[#This Row],[8F1 WH Dock AHU - Ventilation]]</f>
        <v>174.71999999997206</v>
      </c>
      <c r="EE8">
        <f>BZ9-Table2[[#This Row],[8F3 ACPDB - 4 WH Dock air curtain]]</f>
        <v>79.584000000002561</v>
      </c>
      <c r="EF8">
        <f>CA9-Table2[[#This Row],[8F4 WH Light]]</f>
        <v>0</v>
      </c>
      <c r="EG8">
        <f>CC9-Table2[[#This Row],[9F1 - PDB 10 - WH Dock door &amp; Office]]</f>
        <v>135.79199999998673</v>
      </c>
      <c r="EH8">
        <f>CD9-Table2[[#This Row],[9F2 - PDB 11 - WH flycatchers]]</f>
        <v>236.19199999998091</v>
      </c>
      <c r="EI8">
        <f>CE9-Table2[[#This Row],[9F3 - PDB 12 - Other items]]</f>
        <v>4.1407999999937601</v>
      </c>
      <c r="EJ8">
        <f>CR9-Table2[[#This Row],[2F3 - PDB 1 - Dock 1 to 4 ]]</f>
        <v>43.935999999986961</v>
      </c>
      <c r="EK8">
        <f>BM9-Table2[[#This Row],[2F2 - PDB 3 - WH Truck &amp; Battery Charging]]</f>
        <v>474.71999999997206</v>
      </c>
      <c r="EL8">
        <f>(CK9-Table2[[#This Row],[PDB - 11 Truck Charging]])*1000</f>
        <v>70.999999999997954</v>
      </c>
      <c r="EM8" s="1">
        <f>P9-Table2[[#This Row],[5F3 Admin Area]]</f>
        <v>366.59199999994598</v>
      </c>
      <c r="EN8">
        <f>AH9-Table2[[#This Row],[2F5 Main Gate-1 Piller -1]]</f>
        <v>125.487999999983</v>
      </c>
      <c r="EO8">
        <f>CW9-Table2[[#This Row],[6F2 Ground Floor AC]]</f>
        <v>11.9487999999983</v>
      </c>
      <c r="EP8">
        <f>CX9-Table2[[#This Row],[6F3 ACBD -1 (First floor AC)]]</f>
        <v>9.3919999999998254</v>
      </c>
      <c r="EQ8">
        <f>CY9-Table2[[#This Row],[6F4 ACBD - 2 (Second &amp; Third floor AC)]]</f>
        <v>137.27999999999884</v>
      </c>
      <c r="ER8">
        <f>(BC9-Table2[[#This Row],[4F Old BMC cooling Unit]])</f>
        <v>0</v>
      </c>
      <c r="ES8">
        <f>BO9-Table2[[#This Row],[2F4 - Old BMC]]</f>
        <v>0</v>
      </c>
      <c r="ET8">
        <f>Y9-Table2[[#This Row],[14F2 New CK]]</f>
        <v>1742.1599999999162</v>
      </c>
      <c r="EU8">
        <f>(CL9-Table2[[#This Row],[OLD Ck Panel-1]])*1000</f>
        <v>708.99999999994634</v>
      </c>
      <c r="EV8">
        <f>CM9-Table2[[#This Row],[2F4 Old CK Blast (Blue star)]]</f>
        <v>0</v>
      </c>
      <c r="EW8">
        <f>CN9-Table2[[#This Row],[3F6 Old CK Blast (Carrier)]]</f>
        <v>566.89999999999418</v>
      </c>
      <c r="EX8">
        <f>(CO9-Table2[[#This Row],[Old CK Panel -2]])*1000</f>
        <v>1195.9999999999127</v>
      </c>
      <c r="EY8">
        <f>N9-Table2[[#This Row],[4F1 Main UPS 1/C -1]]</f>
        <v>933.91999999992549</v>
      </c>
      <c r="EZ8">
        <f>Z9-Table2[[#This Row],[15F1 Main UPS Panel - I/C - 2]]</f>
        <v>0</v>
      </c>
      <c r="FA8">
        <f>BF9-Table2[[#This Row],[2F CLC -1 AC unit - 2]]</f>
        <v>0</v>
      </c>
      <c r="FB8">
        <f>(BG9-Table2[[#This Row],[2F CLC Anti room]])*1000</f>
        <v>34.999999999996589</v>
      </c>
      <c r="FC8">
        <f>BW9-Table2[[#This Row],[7F3 CLC Power Panel]]</f>
        <v>318.84799999999814</v>
      </c>
      <c r="FD8">
        <f>(CI9-Table2[[#This Row],[PDB - 17 CLC Section ]])*1000</f>
        <v>201.99999999999818</v>
      </c>
      <c r="FE8">
        <f>(W9-Table2[[#This Row],[13F3 Water &amp; Lift Old CK]])*1000</f>
        <v>2061.200000000099</v>
      </c>
      <c r="FF8">
        <f>AA9-Table2[[#This Row],[15F2 New ETP Panel]]</f>
        <v>289.79200000001583</v>
      </c>
      <c r="FG8">
        <f>AL9-Table2[[#This Row],[3F4 Old ETP Panel]]</f>
        <v>84.639999999955762</v>
      </c>
      <c r="FH8">
        <f>AF9-Table2[[#This Row],[2F1 RO Plant]]</f>
        <v>561.15200000000186</v>
      </c>
      <c r="FI8">
        <f>AK9-Table2[[#This Row],[3F3 Fire Hydrant Panel]]</f>
        <v>7.0720000000001164</v>
      </c>
      <c r="FJ8">
        <f>R9-Table2[[#This Row],[7F1 Freon System Panel]]</f>
        <v>5229.4399999994785</v>
      </c>
      <c r="FK8">
        <f>(AE9-Table2[[#This Row],[21F1 Refrigeration Ammonia]])*1000</f>
        <v>6936.8000000013126</v>
      </c>
      <c r="FL8">
        <f>(AG9-Table2[[#This Row],[2F3 Air Compressor]])*1000</f>
        <v>1185.0000000001728</v>
      </c>
      <c r="FM8">
        <f>(AX9-Table2[[#This Row],[Solar Reading Panel II]])*1000</f>
        <v>2136.9999999997162</v>
      </c>
      <c r="FN8">
        <f>AI9-Table2[[#This Row],[3F1 Maintenance Workshop]]</f>
        <v>5.679999999998472</v>
      </c>
      <c r="FO8">
        <f>BD9-Table2[[#This Row],[4F B2B unit ]]</f>
        <v>62.944000000017695</v>
      </c>
      <c r="FP8">
        <f>BL9-Table2[[#This Row],[2F1 - PDB 6 - Bread, B2B section]]</f>
        <v>178.44479999999749</v>
      </c>
      <c r="FQ8">
        <f>(CG9-Table2[[#This Row],[9F5 - PDB 14 - Bread Lift]])</f>
        <v>0.86400000000139698</v>
      </c>
      <c r="FR8">
        <f>CJ9-Table2[[#This Row],[PDB - 16 Bread Section]]</f>
        <v>0.40000000000009095</v>
      </c>
      <c r="FS8">
        <f>BU9-Table2[[#This Row],[7F1 Donut Production area]]</f>
        <v>218.04800000006799</v>
      </c>
      <c r="FT8">
        <f>CB9-Table2[[#This Row],[8F5 Donut Ban Bary]]</f>
        <v>35.328000000008615</v>
      </c>
      <c r="FU8">
        <f>CF9-Table2[[#This Row],[9F4 - PDB 13 - Donut Sink Geyser area]]</f>
        <v>34.783999999985099</v>
      </c>
      <c r="FV8">
        <f>BV9-Table2[[#This Row],[7F2 Flour Silo]]</f>
        <v>578.79999999981374</v>
      </c>
      <c r="FW8">
        <f>BY9-Table2[[#This Row],[8F2 ACPDB - 3 SILO Ventilation]]</f>
        <v>42.304000000003725</v>
      </c>
      <c r="FX8">
        <f>J9-Table2[[#This Row],[DG 1010KVA Running Hours]]</f>
        <v>0</v>
      </c>
      <c r="FY8">
        <f>K9-Table2[[#This Row],[DG 1010 KVA Meter Reading]]</f>
        <v>0</v>
      </c>
      <c r="FZ8">
        <f>L9-Table2[[#This Row],[GG 1010 KVA Running Hours]]</f>
        <v>0</v>
      </c>
      <c r="GA8">
        <f>M9-Table2[[#This Row],[GG 1010 KVA Meter Reading]]</f>
        <v>0</v>
      </c>
    </row>
    <row r="9" spans="1:183">
      <c r="A9" s="55">
        <v>109</v>
      </c>
      <c r="B9" s="45">
        <v>46303.391956018517</v>
      </c>
      <c r="C9" s="45">
        <v>46303.428414351853</v>
      </c>
      <c r="D9" s="55" t="s">
        <v>111</v>
      </c>
      <c r="E9" s="44"/>
      <c r="F9" s="44"/>
      <c r="G9" s="57">
        <v>46303</v>
      </c>
      <c r="H9" s="44" t="s">
        <v>182</v>
      </c>
      <c r="I9" s="46">
        <v>9782.652</v>
      </c>
      <c r="J9" s="46">
        <v>4288.8</v>
      </c>
      <c r="K9" s="46">
        <v>1783092</v>
      </c>
      <c r="L9" s="46">
        <v>468</v>
      </c>
      <c r="M9" s="46">
        <v>197.35</v>
      </c>
      <c r="N9" s="46">
        <v>1929813.92</v>
      </c>
      <c r="O9" s="46">
        <v>4722079.04</v>
      </c>
      <c r="P9" s="46">
        <v>669586.17599999998</v>
      </c>
      <c r="Q9" s="46">
        <v>8274734.0800000001</v>
      </c>
      <c r="R9" s="46">
        <v>5885927.6799999997</v>
      </c>
      <c r="S9" s="46">
        <v>7593799.6799999997</v>
      </c>
      <c r="T9" s="46">
        <v>43991580.777000003</v>
      </c>
      <c r="U9" s="46">
        <v>2191766.2400000002</v>
      </c>
      <c r="V9" s="46">
        <v>5225683.84</v>
      </c>
      <c r="W9" s="46">
        <v>1658.9076</v>
      </c>
      <c r="X9" s="46">
        <v>794533.24800000002</v>
      </c>
      <c r="Y9" s="46">
        <v>1189407.28</v>
      </c>
      <c r="Z9" s="46">
        <v>2777.8894</v>
      </c>
      <c r="AA9" s="46">
        <v>687514.49600000004</v>
      </c>
      <c r="AB9" s="46">
        <v>423509.12</v>
      </c>
      <c r="AC9" s="46">
        <v>2185024.48</v>
      </c>
      <c r="AD9" s="46">
        <v>4978536.932</v>
      </c>
      <c r="AE9" s="46">
        <v>13272.816800000001</v>
      </c>
      <c r="AF9" s="46">
        <v>913102.14399999997</v>
      </c>
      <c r="AG9" s="46">
        <v>1478.9780000000001</v>
      </c>
      <c r="AH9" s="46">
        <v>140974.38399999999</v>
      </c>
      <c r="AI9" s="46">
        <v>14962.822399999999</v>
      </c>
      <c r="AJ9" s="46">
        <v>145460.992</v>
      </c>
      <c r="AK9" s="46">
        <v>105881.2</v>
      </c>
      <c r="AL9" s="46">
        <v>335723.00799999997</v>
      </c>
      <c r="AM9" s="46">
        <v>1031.5070000000001</v>
      </c>
      <c r="AN9" s="46">
        <v>251.5</v>
      </c>
      <c r="AO9" s="46">
        <v>6.8</v>
      </c>
      <c r="AP9" s="46">
        <v>113777</v>
      </c>
      <c r="AQ9" s="46">
        <v>43382</v>
      </c>
      <c r="AR9" s="46">
        <v>42829</v>
      </c>
      <c r="AS9" s="46">
        <v>32464</v>
      </c>
      <c r="AT9" s="46">
        <v>22166</v>
      </c>
      <c r="AU9" s="46">
        <v>17153</v>
      </c>
      <c r="AV9" s="46">
        <v>7314</v>
      </c>
      <c r="AW9" s="46">
        <v>21.377922000000002</v>
      </c>
      <c r="AX9" s="46">
        <v>7401.0519999999997</v>
      </c>
      <c r="AY9" s="46">
        <v>688.24264000000005</v>
      </c>
      <c r="AZ9" s="46">
        <v>21.131</v>
      </c>
      <c r="BA9" s="46">
        <v>11.568</v>
      </c>
      <c r="BB9" s="46">
        <v>47.252000000000002</v>
      </c>
      <c r="BC9" s="46">
        <v>114029.736</v>
      </c>
      <c r="BD9" s="46">
        <v>279143.136</v>
      </c>
      <c r="BE9" s="46">
        <v>3807.8751999999999</v>
      </c>
      <c r="BF9" s="46">
        <v>1714.182</v>
      </c>
      <c r="BG9" s="46">
        <v>76.774000000000001</v>
      </c>
      <c r="BH9" s="46">
        <v>388.77300000000002</v>
      </c>
      <c r="BI9" s="46">
        <v>946.99900000000002</v>
      </c>
      <c r="BJ9" s="46">
        <v>17.510999999999999</v>
      </c>
      <c r="BK9" s="46">
        <v>582.25800000000004</v>
      </c>
      <c r="BL9" s="46">
        <v>86957.747199999998</v>
      </c>
      <c r="BM9" s="46">
        <v>342167.03999999998</v>
      </c>
      <c r="BN9" s="46">
        <v>7461.9895999999999</v>
      </c>
      <c r="BO9" s="46">
        <v>53589.132799999999</v>
      </c>
      <c r="BP9" s="46">
        <v>321294.08000000002</v>
      </c>
      <c r="BQ9" s="46">
        <v>340.63799999999998</v>
      </c>
      <c r="BR9" s="46">
        <v>190.10300000000001</v>
      </c>
      <c r="BS9" s="46">
        <v>1099451.365</v>
      </c>
      <c r="BT9" s="46">
        <v>1400687.798</v>
      </c>
      <c r="BU9" s="46">
        <v>641866.36800000002</v>
      </c>
      <c r="BV9" s="46">
        <v>1058524.1599999999</v>
      </c>
      <c r="BW9" s="46">
        <v>582697.40800000005</v>
      </c>
      <c r="BX9" s="46">
        <v>1086252</v>
      </c>
      <c r="BY9" s="46">
        <v>160645.39199999999</v>
      </c>
      <c r="BZ9" s="46">
        <v>116577.56</v>
      </c>
      <c r="CA9" s="46">
        <v>1244.6123</v>
      </c>
      <c r="CB9" s="46">
        <v>110889.224</v>
      </c>
      <c r="CC9" s="46">
        <v>158483.408</v>
      </c>
      <c r="CD9" s="46">
        <v>459390.24</v>
      </c>
      <c r="CE9" s="46">
        <v>50853.52</v>
      </c>
      <c r="CF9" s="46">
        <v>158200.68799999999</v>
      </c>
      <c r="CG9" s="46">
        <v>36119.2768</v>
      </c>
      <c r="CH9" s="46">
        <v>2385.8710000000001</v>
      </c>
      <c r="CI9" s="46">
        <v>223.40700000000001</v>
      </c>
      <c r="CJ9" s="46">
        <v>1194.5</v>
      </c>
      <c r="CK9" s="46">
        <v>81.102999999999994</v>
      </c>
      <c r="CL9" s="46">
        <v>767.71199999999999</v>
      </c>
      <c r="CM9" s="46">
        <v>551.4</v>
      </c>
      <c r="CN9" s="46">
        <v>71290.7</v>
      </c>
      <c r="CO9" s="46">
        <v>1728.3019999999999</v>
      </c>
      <c r="CP9" s="46">
        <v>310159.98300000001</v>
      </c>
      <c r="CQ9" s="46">
        <v>3771945.28</v>
      </c>
      <c r="CR9" s="46">
        <v>134996.07999999999</v>
      </c>
      <c r="CS9" s="46">
        <v>535617.43999999994</v>
      </c>
      <c r="CT9" s="46">
        <v>3170507.7089999998</v>
      </c>
      <c r="CU9" s="46">
        <v>319733.04399999999</v>
      </c>
      <c r="CV9" s="46">
        <v>31103.369600000002</v>
      </c>
      <c r="CW9" s="46">
        <v>64120.735999999997</v>
      </c>
      <c r="CX9" s="46">
        <v>34012.633600000001</v>
      </c>
      <c r="CY9" s="46">
        <v>175973.2</v>
      </c>
      <c r="CZ9" s="46">
        <v>223469.36</v>
      </c>
      <c r="DA9" s="46">
        <v>20016.36</v>
      </c>
      <c r="DB9" s="46">
        <v>156574.47700000001</v>
      </c>
      <c r="DC9" s="46">
        <v>3460.26</v>
      </c>
      <c r="DD9" s="46">
        <v>3460.13</v>
      </c>
      <c r="DE9" s="46">
        <v>3491.77</v>
      </c>
      <c r="DF9" s="46">
        <v>0.97899999999999998</v>
      </c>
      <c r="DG9" s="44" t="s">
        <v>214</v>
      </c>
      <c r="DH9" s="2">
        <f>Table2[[#This Row],[Date]]</f>
        <v>46303</v>
      </c>
      <c r="DI9">
        <f>(DD10-Table2[[#This Row],[MWH Total]])*4000</f>
        <v>24840.000000000146</v>
      </c>
      <c r="DJ9">
        <f>(DA10-Table2[[#This Row],[PNG Meter (Outside)]])*2.936</f>
        <v>124.86807999999658</v>
      </c>
      <c r="DK9">
        <f>(DB10-Table2[[#This Row],[PNG Meter (Inside)]])*2.936</f>
        <v>349.60126399998018</v>
      </c>
      <c r="DL9">
        <f>(BH10-Table2[[#This Row],[3F Dough cooler - 2 ]])*1000</f>
        <v>271.99999999999136</v>
      </c>
      <c r="DM9">
        <f>(BI10-Table2[[#This Row],[3F Dough Cooler- 1]])*1000</f>
        <v>471.00000000000364</v>
      </c>
      <c r="DN9">
        <f>(BJ10-Table2[[#This Row],[4F Dough Production cooling Unit]])*1000</f>
        <v>36.999999999999034</v>
      </c>
      <c r="DO9">
        <f>(BQ10-Table2[[#This Row],[3F2 - PDB 3 - Dough Production Area]])*1000</f>
        <v>220.00000000002728</v>
      </c>
      <c r="DP9">
        <f>(BR10-Table2[[#This Row],[3F3 - PDB 4 - Dough Area]])*1000</f>
        <v>122.99999999999045</v>
      </c>
      <c r="DQ9">
        <f>AC10-Table2[[#This Row],[16F1 Tray washer Panel for Light]]</f>
        <v>701.76000000024214</v>
      </c>
      <c r="DR9">
        <f>CQ10-Table2[[#This Row],[2F1 Tray Washer - 1]]</f>
        <v>1288.320000000298</v>
      </c>
      <c r="DS9">
        <f>CS10-Table2[[#This Row],[2F5 Destacker]]</f>
        <v>204</v>
      </c>
      <c r="DT9">
        <f>CU10-Table2[[#This Row],[5F1 Metering (TW-2)]]</f>
        <v>216.2850000000326</v>
      </c>
      <c r="DU9">
        <f>CV10-Table2[[#This Row],[6F1 Pre soaker Tray washer]]</f>
        <v>1.6063999999969383</v>
      </c>
      <c r="DV9">
        <f>CZ10-Table2[[#This Row],[6F5 Vent tray Storage]]</f>
        <v>68.960000000020955</v>
      </c>
      <c r="DW9">
        <f>I10-Table2[[#This Row],[Popeyes Meter ]]</f>
        <v>46.200000000000728</v>
      </c>
      <c r="DX9">
        <f>AZ10-Table2[[#This Row],[2F WH Chiller, Segregation Area]]</f>
        <v>2.4000000000000909E-2</v>
      </c>
      <c r="DY9">
        <f>BA10-Table2[[#This Row],[3F1 AC Unit WH dock cooling - 2 Nos]]</f>
        <v>1.7000000000001236E-2</v>
      </c>
      <c r="DZ9">
        <f>BB10-Table2[[#This Row],[3F2 AC Unit WH dock cooling - 3 Nos]]</f>
        <v>3.1999999999996476E-2</v>
      </c>
      <c r="EA9">
        <f>(BK10-Table2[[#This Row],[5F WH Perishable]])*1000</f>
        <v>271.99999999993452</v>
      </c>
      <c r="EB9">
        <f>BN10-Table2[[#This Row],[2F3 - PDB 9 - WH Dock Leveler Door ]]</f>
        <v>10.426400000000285</v>
      </c>
      <c r="EC9">
        <f>BP10-Table2[[#This Row],[3F1 - PDB 5 - WH HSD]]</f>
        <v>186.88000000000466</v>
      </c>
      <c r="ED9">
        <f>BX10-Table2[[#This Row],[8F1 WH Dock AHU - Ventilation]]</f>
        <v>170</v>
      </c>
      <c r="EE9">
        <f>BZ10-Table2[[#This Row],[8F3 ACPDB - 4 WH Dock air curtain]]</f>
        <v>91.695999999996275</v>
      </c>
      <c r="EF9">
        <f>CA10-Table2[[#This Row],[8F4 WH Light]]</f>
        <v>0</v>
      </c>
      <c r="EG9">
        <f>CC10-Table2[[#This Row],[9F1 - PDB 10 - WH Dock door &amp; Office]]</f>
        <v>116.11199999999371</v>
      </c>
      <c r="EH9">
        <f>CD10-Table2[[#This Row],[9F2 - PDB 11 - WH flycatchers]]</f>
        <v>348.22399999998743</v>
      </c>
      <c r="EI9">
        <f>CE10-Table2[[#This Row],[9F3 - PDB 12 - Other items]]</f>
        <v>27.004800000002433</v>
      </c>
      <c r="EJ9">
        <f>CR10-Table2[[#This Row],[2F3 - PDB 1 - Dock 1 to 4 ]]</f>
        <v>38.064000000013039</v>
      </c>
      <c r="EK9">
        <f>BM10-Table2[[#This Row],[2F2 - PDB 3 - WH Truck &amp; Battery Charging]]</f>
        <v>584.5120000000461</v>
      </c>
      <c r="EL9">
        <f>(CK10-Table2[[#This Row],[PDB - 11 Truck Charging]])*1000</f>
        <v>96.000000000003638</v>
      </c>
      <c r="EM9" s="1">
        <f>P10-Table2[[#This Row],[5F3 Admin Area]]</f>
        <v>330.17599999997765</v>
      </c>
      <c r="EN9">
        <f>AH10-Table2[[#This Row],[2F5 Main Gate-1 Piller -1]]</f>
        <v>117.74400000000605</v>
      </c>
      <c r="EO9">
        <f>CW10-Table2[[#This Row],[6F2 Ground Floor AC]]</f>
        <v>11.257600000004459</v>
      </c>
      <c r="EP9">
        <f>CX10-Table2[[#This Row],[6F3 ACBD -1 (First floor AC)]]</f>
        <v>9.1327999999994063</v>
      </c>
      <c r="EQ9">
        <f>CY10-Table2[[#This Row],[6F4 ACBD - 2 (Second &amp; Third floor AC)]]</f>
        <v>100.11199999999371</v>
      </c>
      <c r="ER9">
        <f>(BC10-Table2[[#This Row],[4F Old BMC cooling Unit]])</f>
        <v>0</v>
      </c>
      <c r="ES9">
        <f>BO10-Table2[[#This Row],[2F4 - Old BMC]]</f>
        <v>0</v>
      </c>
      <c r="ET9">
        <f>Y10-Table2[[#This Row],[14F2 New CK]]</f>
        <v>1652.0800000000745</v>
      </c>
      <c r="EU9">
        <f>(CL10-Table2[[#This Row],[OLD Ck Panel-1]])*1000</f>
        <v>648.00000000002456</v>
      </c>
      <c r="EV9">
        <f>CM10-Table2[[#This Row],[2F4 Old CK Blast (Blue star)]]</f>
        <v>0</v>
      </c>
      <c r="EW9">
        <f>CN10-Table2[[#This Row],[3F6 Old CK Blast (Carrier)]]</f>
        <v>519.60000000000582</v>
      </c>
      <c r="EX9">
        <f>(CO10-Table2[[#This Row],[Old CK Panel -2]])*1000</f>
        <v>881.00000000008549</v>
      </c>
      <c r="EY9">
        <f>N10-Table2[[#This Row],[4F1 Main UPS 1/C -1]]</f>
        <v>932</v>
      </c>
      <c r="EZ9">
        <f>Z10-Table2[[#This Row],[15F1 Main UPS Panel - I/C - 2]]</f>
        <v>0</v>
      </c>
      <c r="FA9">
        <f>BF10-Table2[[#This Row],[2F CLC -1 AC unit - 2]]</f>
        <v>0</v>
      </c>
      <c r="FB9">
        <f>(BG10-Table2[[#This Row],[2F CLC Anti room]])*1000</f>
        <v>33.000000000001251</v>
      </c>
      <c r="FC9">
        <f>BW10-Table2[[#This Row],[7F3 CLC Power Panel]]</f>
        <v>247.87199999997392</v>
      </c>
      <c r="FD9">
        <f>(CI10-Table2[[#This Row],[PDB - 17 CLC Section ]])*1000</f>
        <v>168.99999999998272</v>
      </c>
      <c r="FE9">
        <f>(W10-Table2[[#This Row],[13F3 Water &amp; Lift Old CK]])*1000</f>
        <v>1419.9000000000979</v>
      </c>
      <c r="FF9">
        <f>AA10-Table2[[#This Row],[15F2 New ETP Panel]]</f>
        <v>300.86399999994319</v>
      </c>
      <c r="FG9">
        <f>AL10-Table2[[#This Row],[3F4 Old ETP Panel]]</f>
        <v>81.152000000001863</v>
      </c>
      <c r="FH9">
        <f>AF10-Table2[[#This Row],[2F1 RO Plant]]</f>
        <v>551.42399999999907</v>
      </c>
      <c r="FI9">
        <f>AK10-Table2[[#This Row],[3F3 Fire Hydrant Panel]]</f>
        <v>6.0320000000065193</v>
      </c>
      <c r="FJ9">
        <f>R10-Table2[[#This Row],[7F1 Freon System Panel]]</f>
        <v>5283.839999999851</v>
      </c>
      <c r="FK9">
        <f>(AE10-Table2[[#This Row],[21F1 Refrigeration Ammonia]])*1000</f>
        <v>6724.0000000001601</v>
      </c>
      <c r="FL9">
        <f>(AG10-Table2[[#This Row],[2F3 Air Compressor]])*1000</f>
        <v>1129.9999999998818</v>
      </c>
      <c r="FM9">
        <f>(AX10-Table2[[#This Row],[Solar Reading Panel II]])*1000</f>
        <v>2206.000000000131</v>
      </c>
      <c r="FN9">
        <f>AI10-Table2[[#This Row],[3F1 Maintenance Workshop]]</f>
        <v>6.6208000000005995</v>
      </c>
      <c r="FO9">
        <f>BD10-Table2[[#This Row],[4F B2B unit ]]</f>
        <v>54.62400000001071</v>
      </c>
      <c r="FP9">
        <f>BL10-Table2[[#This Row],[2F1 - PDB 6 - Bread, B2B section]]</f>
        <v>146.67519999999786</v>
      </c>
      <c r="FQ9">
        <f>(CG10-Table2[[#This Row],[9F5 - PDB 14 - Bread Lift]])</f>
        <v>0.44479999999748543</v>
      </c>
      <c r="FR9">
        <f>CJ10-Table2[[#This Row],[PDB - 16 Bread Section]]</f>
        <v>0.29999999999995453</v>
      </c>
      <c r="FS9">
        <f>BU10-Table2[[#This Row],[7F1 Donut Production area]]</f>
        <v>196.09600000001956</v>
      </c>
      <c r="FT9">
        <f>CB10-Table2[[#This Row],[8F5 Donut Ban Bary]]</f>
        <v>31.639999999999418</v>
      </c>
      <c r="FU9">
        <f>CF10-Table2[[#This Row],[9F4 - PDB 13 - Donut Sink Geyser area]]</f>
        <v>27.00800000000163</v>
      </c>
      <c r="FV9">
        <f>BV10-Table2[[#This Row],[7F2 Flour Silo]]</f>
        <v>692.96000000019558</v>
      </c>
      <c r="FW9">
        <f>BY10-Table2[[#This Row],[8F2 ACPDB - 3 SILO Ventilation]]</f>
        <v>40.912000000011176</v>
      </c>
      <c r="FX9">
        <f>J10-Table2[[#This Row],[DG 1010KVA Running Hours]]</f>
        <v>0.6999999999998181</v>
      </c>
      <c r="FY9">
        <f>K10-Table2[[#This Row],[DG 1010 KVA Meter Reading]]</f>
        <v>315</v>
      </c>
      <c r="FZ9">
        <f>L10-Table2[[#This Row],[GG 1010 KVA Running Hours]]</f>
        <v>1</v>
      </c>
      <c r="GA9">
        <f>M10-Table2[[#This Row],[GG 1010 KVA Meter Reading]]</f>
        <v>0.31000000000000227</v>
      </c>
    </row>
    <row r="10" spans="1:183">
      <c r="A10" s="55">
        <v>110</v>
      </c>
      <c r="B10" s="45">
        <v>46304.377858796295</v>
      </c>
      <c r="C10" s="45">
        <v>46304.413668981484</v>
      </c>
      <c r="D10" s="55" t="s">
        <v>111</v>
      </c>
      <c r="E10" s="44"/>
      <c r="F10" s="44"/>
      <c r="G10" s="57">
        <v>46304</v>
      </c>
      <c r="H10" s="44" t="s">
        <v>182</v>
      </c>
      <c r="I10" s="46">
        <v>9828.8520000000008</v>
      </c>
      <c r="J10" s="46">
        <v>4289.5</v>
      </c>
      <c r="K10" s="46">
        <v>1783407</v>
      </c>
      <c r="L10" s="46">
        <v>469</v>
      </c>
      <c r="M10" s="46">
        <v>197.66</v>
      </c>
      <c r="N10" s="46">
        <v>1930745.92</v>
      </c>
      <c r="O10" s="46">
        <v>4723850.88</v>
      </c>
      <c r="P10" s="46">
        <v>669916.35199999996</v>
      </c>
      <c r="Q10" s="46">
        <v>8277581.4400000004</v>
      </c>
      <c r="R10" s="46">
        <v>5891211.5199999996</v>
      </c>
      <c r="S10" s="46">
        <v>7596948.4800000004</v>
      </c>
      <c r="T10" s="46">
        <v>44003526.410999998</v>
      </c>
      <c r="U10" s="46">
        <v>2193194.2400000002</v>
      </c>
      <c r="V10" s="46">
        <v>5227229.4400000004</v>
      </c>
      <c r="W10" s="46">
        <v>1660.3275000000001</v>
      </c>
      <c r="X10" s="46">
        <v>794749.56799999997</v>
      </c>
      <c r="Y10" s="46">
        <v>1191059.3600000001</v>
      </c>
      <c r="Z10" s="46">
        <v>2777.8894</v>
      </c>
      <c r="AA10" s="46">
        <v>687815.36</v>
      </c>
      <c r="AB10" s="46">
        <v>423603.84</v>
      </c>
      <c r="AC10" s="46">
        <v>2185726.2400000002</v>
      </c>
      <c r="AD10" s="46">
        <v>4992352.8049999997</v>
      </c>
      <c r="AE10" s="46">
        <v>13279.540800000001</v>
      </c>
      <c r="AF10" s="46">
        <v>913653.56799999997</v>
      </c>
      <c r="AG10" s="46">
        <v>1480.1079999999999</v>
      </c>
      <c r="AH10" s="46">
        <v>141092.128</v>
      </c>
      <c r="AI10" s="46">
        <v>14969.4432</v>
      </c>
      <c r="AJ10" s="46">
        <v>145463.28</v>
      </c>
      <c r="AK10" s="46">
        <v>105887.232</v>
      </c>
      <c r="AL10" s="46">
        <v>335804.15999999997</v>
      </c>
      <c r="AM10" s="46">
        <v>1032.0709999999999</v>
      </c>
      <c r="AN10" s="46">
        <v>206.6</v>
      </c>
      <c r="AO10" s="46">
        <v>6.8</v>
      </c>
      <c r="AP10" s="46">
        <v>124779</v>
      </c>
      <c r="AQ10" s="46">
        <v>43382</v>
      </c>
      <c r="AR10" s="46">
        <v>42829</v>
      </c>
      <c r="AS10" s="46">
        <v>32464</v>
      </c>
      <c r="AT10" s="46">
        <v>22166</v>
      </c>
      <c r="AU10" s="46">
        <v>17176</v>
      </c>
      <c r="AV10" s="46">
        <v>7333</v>
      </c>
      <c r="AW10" s="46">
        <v>21.384467999999998</v>
      </c>
      <c r="AX10" s="46">
        <v>7403.2579999999998</v>
      </c>
      <c r="AY10" s="46">
        <v>688.39056000000005</v>
      </c>
      <c r="AZ10" s="46">
        <v>21.155000000000001</v>
      </c>
      <c r="BA10" s="46">
        <v>11.585000000000001</v>
      </c>
      <c r="BB10" s="46">
        <v>47.283999999999999</v>
      </c>
      <c r="BC10" s="46">
        <v>114029.736</v>
      </c>
      <c r="BD10" s="46">
        <v>279197.76</v>
      </c>
      <c r="BE10" s="46">
        <v>3809.0216</v>
      </c>
      <c r="BF10" s="46">
        <v>1714.182</v>
      </c>
      <c r="BG10" s="46">
        <v>76.807000000000002</v>
      </c>
      <c r="BH10" s="46">
        <v>389.04500000000002</v>
      </c>
      <c r="BI10" s="46">
        <v>947.47</v>
      </c>
      <c r="BJ10" s="46">
        <v>17.547999999999998</v>
      </c>
      <c r="BK10" s="46">
        <v>582.53</v>
      </c>
      <c r="BL10" s="46">
        <v>87104.422399999996</v>
      </c>
      <c r="BM10" s="46">
        <v>342751.55200000003</v>
      </c>
      <c r="BN10" s="46">
        <v>7472.4160000000002</v>
      </c>
      <c r="BO10" s="46">
        <v>53589.132799999999</v>
      </c>
      <c r="BP10" s="46">
        <v>321480.96000000002</v>
      </c>
      <c r="BQ10" s="46">
        <v>340.858</v>
      </c>
      <c r="BR10" s="46">
        <v>190.226</v>
      </c>
      <c r="BS10" s="46">
        <v>1100842.101</v>
      </c>
      <c r="BT10" s="46">
        <v>1400687.92</v>
      </c>
      <c r="BU10" s="46">
        <v>642062.46400000004</v>
      </c>
      <c r="BV10" s="46">
        <v>1059217.1200000001</v>
      </c>
      <c r="BW10" s="46">
        <v>582945.28000000003</v>
      </c>
      <c r="BX10" s="46">
        <v>1086422</v>
      </c>
      <c r="BY10" s="46">
        <v>160686.304</v>
      </c>
      <c r="BZ10" s="46">
        <v>116669.25599999999</v>
      </c>
      <c r="CA10" s="46">
        <v>1244.6123</v>
      </c>
      <c r="CB10" s="46">
        <v>110920.864</v>
      </c>
      <c r="CC10" s="46">
        <v>158599.51999999999</v>
      </c>
      <c r="CD10" s="46">
        <v>459738.46399999998</v>
      </c>
      <c r="CE10" s="46">
        <v>50880.524799999999</v>
      </c>
      <c r="CF10" s="46">
        <v>158227.696</v>
      </c>
      <c r="CG10" s="46">
        <v>36119.721599999997</v>
      </c>
      <c r="CH10" s="46">
        <v>2385.8710000000001</v>
      </c>
      <c r="CI10" s="46">
        <v>223.57599999999999</v>
      </c>
      <c r="CJ10" s="46">
        <v>1194.8</v>
      </c>
      <c r="CK10" s="46">
        <v>81.198999999999998</v>
      </c>
      <c r="CL10" s="46">
        <v>768.36</v>
      </c>
      <c r="CM10" s="46">
        <v>551.4</v>
      </c>
      <c r="CN10" s="46">
        <v>71810.3</v>
      </c>
      <c r="CO10" s="46">
        <v>1729.183</v>
      </c>
      <c r="CP10" s="46">
        <v>310445.47899999999</v>
      </c>
      <c r="CQ10" s="46">
        <v>3773233.6</v>
      </c>
      <c r="CR10" s="46">
        <v>135034.144</v>
      </c>
      <c r="CS10" s="46">
        <v>535821.43999999994</v>
      </c>
      <c r="CT10" s="46">
        <v>3173706.946</v>
      </c>
      <c r="CU10" s="46">
        <v>319949.32900000003</v>
      </c>
      <c r="CV10" s="46">
        <v>31104.975999999999</v>
      </c>
      <c r="CW10" s="46">
        <v>64131.993600000002</v>
      </c>
      <c r="CX10" s="46">
        <v>34021.7664</v>
      </c>
      <c r="CY10" s="46">
        <v>176073.31200000001</v>
      </c>
      <c r="CZ10" s="46">
        <v>223538.32</v>
      </c>
      <c r="DA10" s="46">
        <v>20058.89</v>
      </c>
      <c r="DB10" s="46">
        <v>156693.55100000001</v>
      </c>
      <c r="DC10" s="46">
        <v>3466.51</v>
      </c>
      <c r="DD10" s="46">
        <v>3466.34</v>
      </c>
      <c r="DE10" s="46">
        <v>3498.07</v>
      </c>
      <c r="DF10" s="46">
        <v>0.998</v>
      </c>
      <c r="DG10" s="44" t="s">
        <v>223</v>
      </c>
      <c r="DH10" s="2">
        <f>Table2[[#This Row],[Date]]</f>
        <v>46304</v>
      </c>
      <c r="DI10">
        <f>(DD11-Table2[[#This Row],[MWH Total]])*4000</f>
        <v>26399.999999999636</v>
      </c>
      <c r="DJ10">
        <f>(DA11-Table2[[#This Row],[PNG Meter (Outside)]])*2.936</f>
        <v>31.708799999997865</v>
      </c>
      <c r="DK10">
        <f>(DB11-Table2[[#This Row],[PNG Meter (Inside)]])*2.936</f>
        <v>291.92354400001091</v>
      </c>
      <c r="DL10">
        <f>(BH11-Table2[[#This Row],[3F Dough cooler - 2 ]])*1000</f>
        <v>408.99999999999181</v>
      </c>
      <c r="DM10">
        <f>(BI11-Table2[[#This Row],[3F Dough Cooler- 1]])*1000</f>
        <v>468.99999999993724</v>
      </c>
      <c r="DN10">
        <f>(BJ11-Table2[[#This Row],[4F Dough Production cooling Unit]])*1000</f>
        <v>37.000000000002586</v>
      </c>
      <c r="DO10">
        <f>(BQ11-Table2[[#This Row],[3F2 - PDB 3 - Dough Production Area]])*1000</f>
        <v>245.00000000000455</v>
      </c>
      <c r="DP10">
        <f>(BR11-Table2[[#This Row],[3F3 - PDB 4 - Dough Area]])*1000</f>
        <v>140.99999999999113</v>
      </c>
      <c r="DQ10">
        <f>AC11-Table2[[#This Row],[16F1 Tray washer Panel for Light]]</f>
        <v>779.51999999955297</v>
      </c>
      <c r="DR10">
        <f>CQ11-Table2[[#This Row],[2F1 Tray Washer - 1]]</f>
        <v>1648</v>
      </c>
      <c r="DS10">
        <f>CS11-Table2[[#This Row],[2F5 Destacker]]</f>
        <v>236.25600000005215</v>
      </c>
      <c r="DT10">
        <f>CU11-Table2[[#This Row],[5F1 Metering (TW-2)]]</f>
        <v>214.75999999995111</v>
      </c>
      <c r="DU10">
        <f>CV11-Table2[[#This Row],[6F1 Pre soaker Tray washer]]</f>
        <v>6.4000000020314474E-3</v>
      </c>
      <c r="DV10">
        <f>CZ11-Table2[[#This Row],[6F5 Vent tray Storage]]</f>
        <v>81.839999999996508</v>
      </c>
      <c r="DW10">
        <f>I11-Table2[[#This Row],[Popeyes Meter ]]</f>
        <v>59.319999999999709</v>
      </c>
      <c r="DX10">
        <f>AZ11-Table2[[#This Row],[2F WH Chiller, Segregation Area]]</f>
        <v>2.5999999999999801E-2</v>
      </c>
      <c r="DY10">
        <f>BA11-Table2[[#This Row],[3F1 AC Unit WH dock cooling - 2 Nos]]</f>
        <v>1.9999999999999574E-2</v>
      </c>
      <c r="DZ10">
        <f>BB11-Table2[[#This Row],[3F2 AC Unit WH dock cooling - 3 Nos]]</f>
        <v>-4.8999999999999488E-2</v>
      </c>
      <c r="EA10">
        <f>(BK11-Table2[[#This Row],[5F WH Perishable]])*1000</f>
        <v>288.00000000001091</v>
      </c>
      <c r="EB10">
        <f>BN11-Table2[[#This Row],[2F3 - PDB 9 - WH Dock Leveler Door ]]</f>
        <v>6.5032000000001062</v>
      </c>
      <c r="EC10">
        <f>BP11-Table2[[#This Row],[3F1 - PDB 5 - WH HSD]]</f>
        <v>100.8640000000014</v>
      </c>
      <c r="ED10">
        <f>BX11-Table2[[#This Row],[8F1 WH Dock AHU - Ventilation]]</f>
        <v>174.39999999990687</v>
      </c>
      <c r="EE10">
        <f>BZ11-Table2[[#This Row],[8F3 ACPDB - 4 WH Dock air curtain]]</f>
        <v>111.57600000000093</v>
      </c>
      <c r="EF10">
        <f>CA11-Table2[[#This Row],[8F4 WH Light]]</f>
        <v>0</v>
      </c>
      <c r="EG10">
        <f>CC11-Table2[[#This Row],[9F1 - PDB 10 - WH Dock door &amp; Office]]</f>
        <v>115.39200000002165</v>
      </c>
      <c r="EH10">
        <f>CD11-Table2[[#This Row],[9F2 - PDB 11 - WH flycatchers]]</f>
        <v>245.34400000004098</v>
      </c>
      <c r="EI10">
        <f>CE11-Table2[[#This Row],[9F3 - PDB 12 - Other items]]</f>
        <v>39.376000000003842</v>
      </c>
      <c r="EJ10">
        <f>CR11-Table2[[#This Row],[2F3 - PDB 1 - Dock 1 to 4 ]]</f>
        <v>40.671999999991385</v>
      </c>
      <c r="EK10">
        <f>BM11-Table2[[#This Row],[2F2 - PDB 3 - WH Truck &amp; Battery Charging]]</f>
        <v>521.95199999999022</v>
      </c>
      <c r="EL10">
        <f>(CK11-Table2[[#This Row],[PDB - 11 Truck Charging]])*1000</f>
        <v>61.000000000007049</v>
      </c>
      <c r="EM10" s="1">
        <f>P11-Table2[[#This Row],[5F3 Admin Area]]</f>
        <v>313.60000000009313</v>
      </c>
      <c r="EN10">
        <f>AH11-Table2[[#This Row],[2F5 Main Gate-1 Piller -1]]</f>
        <v>111.5679999999993</v>
      </c>
      <c r="EO10">
        <f>CW11-Table2[[#This Row],[6F2 Ground Floor AC]]</f>
        <v>10.950400000001537</v>
      </c>
      <c r="EP10">
        <f>CX11-Table2[[#This Row],[6F3 ACBD -1 (First floor AC)]]</f>
        <v>9.100800000000163</v>
      </c>
      <c r="EQ10">
        <f>CY11-Table2[[#This Row],[6F4 ACBD - 2 (Second &amp; Third floor AC)]]</f>
        <v>91.312000000005355</v>
      </c>
      <c r="ER10">
        <f>(BC11-Table2[[#This Row],[4F Old BMC cooling Unit]])</f>
        <v>0</v>
      </c>
      <c r="ES10">
        <f>BO11-Table2[[#This Row],[2F4 - Old BMC]]</f>
        <v>0</v>
      </c>
      <c r="ET10">
        <f>Y11-Table2[[#This Row],[14F2 New CK]]</f>
        <v>1727.7600000000093</v>
      </c>
      <c r="EU10">
        <f>(CL11-Table2[[#This Row],[OLD Ck Panel-1]])*1000</f>
        <v>698.99999999995543</v>
      </c>
      <c r="EV10">
        <f>CM11-Table2[[#This Row],[2F4 Old CK Blast (Blue star)]]</f>
        <v>0</v>
      </c>
      <c r="EW10">
        <f>CN11-Table2[[#This Row],[3F6 Old CK Blast (Carrier)]]</f>
        <v>556</v>
      </c>
      <c r="EX10">
        <f>(CO11-Table2[[#This Row],[Old CK Panel -2]])*1000</f>
        <v>1063.0000000001019</v>
      </c>
      <c r="EY10">
        <f>N11-Table2[[#This Row],[4F1 Main UPS 1/C -1]]</f>
        <v>921.76000000000931</v>
      </c>
      <c r="EZ10">
        <f>Z11-Table2[[#This Row],[15F1 Main UPS Panel - I/C - 2]]</f>
        <v>0</v>
      </c>
      <c r="FA10">
        <f>BF11-Table2[[#This Row],[2F CLC -1 AC unit - 2]]</f>
        <v>0</v>
      </c>
      <c r="FB10">
        <f>(BG11-Table2[[#This Row],[2F CLC Anti room]])*1000</f>
        <v>36.000000000001364</v>
      </c>
      <c r="FC10">
        <f>BW11-Table2[[#This Row],[7F3 CLC Power Panel]]</f>
        <v>280.70400000002701</v>
      </c>
      <c r="FD10">
        <f>(CI11-Table2[[#This Row],[PDB - 17 CLC Section ]])*1000</f>
        <v>155.00000000000114</v>
      </c>
      <c r="FE10">
        <f>(W11-Table2[[#This Row],[13F3 Water &amp; Lift Old CK]])*1000</f>
        <v>1113.2000000000062</v>
      </c>
      <c r="FF10">
        <f>AA11-Table2[[#This Row],[15F2 New ETP Panel]]</f>
        <v>312.76800000004005</v>
      </c>
      <c r="FG10">
        <f>AL11-Table2[[#This Row],[3F4 Old ETP Panel]]</f>
        <v>83.456000000005588</v>
      </c>
      <c r="FH10">
        <f>AF11-Table2[[#This Row],[2F1 RO Plant]]</f>
        <v>559.55200000002515</v>
      </c>
      <c r="FI10">
        <f>AK11-Table2[[#This Row],[3F3 Fire Hydrant Panel]]</f>
        <v>6.7039999999979045</v>
      </c>
      <c r="FJ10">
        <f>R11-Table2[[#This Row],[7F1 Freon System Panel]]</f>
        <v>5927.0400000000373</v>
      </c>
      <c r="FK10">
        <f>(AE11-Table2[[#This Row],[21F1 Refrigeration Ammonia]])*1000</f>
        <v>6986.3999999997759</v>
      </c>
      <c r="FL10">
        <f>(AG11-Table2[[#This Row],[2F3 Air Compressor]])*1000</f>
        <v>1111.0000000001037</v>
      </c>
      <c r="FM10">
        <f>(AX11-Table2[[#This Row],[Solar Reading Panel II]])*1000</f>
        <v>1969.0000000000509</v>
      </c>
      <c r="FN10">
        <f>AI11-Table2[[#This Row],[3F1 Maintenance Workshop]]</f>
        <v>6.1552000000010594</v>
      </c>
      <c r="FO10">
        <f>BD11-Table2[[#This Row],[4F B2B unit ]]</f>
        <v>56.671999999962281</v>
      </c>
      <c r="FP10">
        <f>BL11-Table2[[#This Row],[2F1 - PDB 6 - Bread, B2B section]]</f>
        <v>170.70080000000598</v>
      </c>
      <c r="FQ10">
        <f>(CG11-Table2[[#This Row],[9F5 - PDB 14 - Bread Lift]])</f>
        <v>0.38400000000547152</v>
      </c>
      <c r="FR10">
        <f>CJ11-Table2[[#This Row],[PDB - 16 Bread Section]]</f>
        <v>0.40000000000009095</v>
      </c>
      <c r="FS10">
        <f>BU11-Table2[[#This Row],[7F1 Donut Production area]]</f>
        <v>218.49599999992643</v>
      </c>
      <c r="FT10">
        <f>CB11-Table2[[#This Row],[8F5 Donut Ban Bary]]</f>
        <v>37.224000000001979</v>
      </c>
      <c r="FU10">
        <f>CF11-Table2[[#This Row],[9F4 - PDB 13 - Donut Sink Geyser area]]</f>
        <v>31.232000000018161</v>
      </c>
      <c r="FV10">
        <f>BV11-Table2[[#This Row],[7F2 Flour Silo]]</f>
        <v>875.03999999980442</v>
      </c>
      <c r="FW10">
        <f>BY11-Table2[[#This Row],[8F2 ACPDB - 3 SILO Ventilation]]</f>
        <v>42.271999999997206</v>
      </c>
      <c r="FX10">
        <f>J11-Table2[[#This Row],[DG 1010KVA Running Hours]]</f>
        <v>0</v>
      </c>
      <c r="FY10">
        <f>K11-Table2[[#This Row],[DG 1010 KVA Meter Reading]]</f>
        <v>0</v>
      </c>
      <c r="FZ10">
        <f>L11-Table2[[#This Row],[GG 1010 KVA Running Hours]]</f>
        <v>0</v>
      </c>
      <c r="GA10">
        <f>M11-Table2[[#This Row],[GG 1010 KVA Meter Reading]]</f>
        <v>0</v>
      </c>
    </row>
    <row r="11" spans="1:183">
      <c r="A11" s="55">
        <v>111</v>
      </c>
      <c r="B11" s="45">
        <v>46305.383587962962</v>
      </c>
      <c r="C11" s="45">
        <v>46305.424467592595</v>
      </c>
      <c r="D11" s="55" t="s">
        <v>111</v>
      </c>
      <c r="E11" s="44"/>
      <c r="F11" s="44"/>
      <c r="G11" s="57">
        <v>46305</v>
      </c>
      <c r="H11" s="44" t="s">
        <v>182</v>
      </c>
      <c r="I11" s="46">
        <v>9888.1720000000005</v>
      </c>
      <c r="J11" s="46">
        <v>4289.5</v>
      </c>
      <c r="K11" s="46">
        <v>1783407</v>
      </c>
      <c r="L11" s="46">
        <v>469</v>
      </c>
      <c r="M11" s="46">
        <v>197.66</v>
      </c>
      <c r="N11" s="46">
        <v>1931667.68</v>
      </c>
      <c r="O11" s="46">
        <v>4725600.6399999997</v>
      </c>
      <c r="P11" s="46">
        <v>670229.95200000005</v>
      </c>
      <c r="Q11" s="46">
        <v>8280131.2000000002</v>
      </c>
      <c r="R11" s="46">
        <v>5897138.5599999996</v>
      </c>
      <c r="S11" s="46">
        <v>7600883.2000000002</v>
      </c>
      <c r="T11" s="46">
        <v>44017589.943999998</v>
      </c>
      <c r="U11" s="46">
        <v>2194574.2400000002</v>
      </c>
      <c r="V11" s="46">
        <v>5228943.04</v>
      </c>
      <c r="W11" s="46">
        <v>1661.4407000000001</v>
      </c>
      <c r="X11" s="46">
        <v>794963.90399999998</v>
      </c>
      <c r="Y11" s="46">
        <v>1192787.1200000001</v>
      </c>
      <c r="Z11" s="46">
        <v>2777.8894</v>
      </c>
      <c r="AA11" s="46">
        <v>688128.12800000003</v>
      </c>
      <c r="AB11" s="46">
        <v>423648.54399999999</v>
      </c>
      <c r="AC11" s="46">
        <v>2186505.7599999998</v>
      </c>
      <c r="AD11" s="46">
        <v>5007775.63</v>
      </c>
      <c r="AE11" s="46">
        <v>13286.5272</v>
      </c>
      <c r="AF11" s="46">
        <v>914213.12</v>
      </c>
      <c r="AG11" s="46">
        <v>1481.2190000000001</v>
      </c>
      <c r="AH11" s="46">
        <v>141203.696</v>
      </c>
      <c r="AI11" s="46">
        <v>14975.598400000001</v>
      </c>
      <c r="AJ11" s="46">
        <v>145466.03200000001</v>
      </c>
      <c r="AK11" s="46">
        <v>105893.936</v>
      </c>
      <c r="AL11" s="46">
        <v>335887.61599999998</v>
      </c>
      <c r="AM11" s="46">
        <v>1032.6130000000001</v>
      </c>
      <c r="AN11" s="46">
        <v>230</v>
      </c>
      <c r="AO11" s="46">
        <v>7</v>
      </c>
      <c r="AP11" s="46">
        <v>135216</v>
      </c>
      <c r="AQ11" s="46">
        <v>43382</v>
      </c>
      <c r="AR11" s="46">
        <v>42829</v>
      </c>
      <c r="AS11" s="46">
        <v>32464</v>
      </c>
      <c r="AT11" s="46">
        <v>22166</v>
      </c>
      <c r="AU11" s="46">
        <v>17200</v>
      </c>
      <c r="AV11" s="46">
        <v>7351</v>
      </c>
      <c r="AW11" s="46">
        <v>21.391282</v>
      </c>
      <c r="AX11" s="46">
        <v>7405.2269999999999</v>
      </c>
      <c r="AY11" s="46">
        <v>688.56471999999997</v>
      </c>
      <c r="AZ11" s="46">
        <v>21.181000000000001</v>
      </c>
      <c r="BA11" s="46">
        <v>11.605</v>
      </c>
      <c r="BB11" s="46">
        <v>47.234999999999999</v>
      </c>
      <c r="BC11" s="46">
        <v>114029.736</v>
      </c>
      <c r="BD11" s="46">
        <v>279254.43199999997</v>
      </c>
      <c r="BE11" s="46">
        <v>3810.2820000000002</v>
      </c>
      <c r="BF11" s="46">
        <v>1714.182</v>
      </c>
      <c r="BG11" s="46">
        <v>76.843000000000004</v>
      </c>
      <c r="BH11" s="46">
        <v>389.45400000000001</v>
      </c>
      <c r="BI11" s="46">
        <v>947.93899999999996</v>
      </c>
      <c r="BJ11" s="46">
        <v>17.585000000000001</v>
      </c>
      <c r="BK11" s="46">
        <v>582.81799999999998</v>
      </c>
      <c r="BL11" s="46">
        <v>87275.123200000002</v>
      </c>
      <c r="BM11" s="46">
        <v>343273.50400000002</v>
      </c>
      <c r="BN11" s="46">
        <v>7478.9192000000003</v>
      </c>
      <c r="BO11" s="46">
        <v>53589.132799999999</v>
      </c>
      <c r="BP11" s="46">
        <v>321581.82400000002</v>
      </c>
      <c r="BQ11" s="46">
        <v>341.10300000000001</v>
      </c>
      <c r="BR11" s="46">
        <v>190.36699999999999</v>
      </c>
      <c r="BS11" s="46">
        <v>1102180.784</v>
      </c>
      <c r="BT11" s="46">
        <v>1400687.963</v>
      </c>
      <c r="BU11" s="46">
        <v>642280.95999999996</v>
      </c>
      <c r="BV11" s="46">
        <v>1060092.1599999999</v>
      </c>
      <c r="BW11" s="46">
        <v>583225.98400000005</v>
      </c>
      <c r="BX11" s="46">
        <v>1086596.3999999999</v>
      </c>
      <c r="BY11" s="46">
        <v>160728.576</v>
      </c>
      <c r="BZ11" s="46">
        <v>116780.83199999999</v>
      </c>
      <c r="CA11" s="46">
        <v>1244.6123</v>
      </c>
      <c r="CB11" s="46">
        <v>110958.088</v>
      </c>
      <c r="CC11" s="46">
        <v>158714.91200000001</v>
      </c>
      <c r="CD11" s="46">
        <v>459983.80800000002</v>
      </c>
      <c r="CE11" s="46">
        <v>50919.900800000003</v>
      </c>
      <c r="CF11" s="46">
        <v>158258.92800000001</v>
      </c>
      <c r="CG11" s="46">
        <v>36120.105600000003</v>
      </c>
      <c r="CH11" s="46">
        <v>2385.8710000000001</v>
      </c>
      <c r="CI11" s="46">
        <v>223.73099999999999</v>
      </c>
      <c r="CJ11" s="46">
        <v>1195.2</v>
      </c>
      <c r="CK11" s="46">
        <v>81.260000000000005</v>
      </c>
      <c r="CL11" s="46">
        <v>769.05899999999997</v>
      </c>
      <c r="CM11" s="46">
        <v>551.4</v>
      </c>
      <c r="CN11" s="46">
        <v>72366.3</v>
      </c>
      <c r="CO11" s="46">
        <v>1730.2460000000001</v>
      </c>
      <c r="CP11" s="46">
        <v>310701.96100000001</v>
      </c>
      <c r="CQ11" s="46">
        <v>3774881.6</v>
      </c>
      <c r="CR11" s="46">
        <v>135074.81599999999</v>
      </c>
      <c r="CS11" s="46">
        <v>536057.696</v>
      </c>
      <c r="CT11" s="46">
        <v>3177712.9640000002</v>
      </c>
      <c r="CU11" s="46">
        <v>320164.08899999998</v>
      </c>
      <c r="CV11" s="46">
        <v>31104.982400000001</v>
      </c>
      <c r="CW11" s="46">
        <v>64142.944000000003</v>
      </c>
      <c r="CX11" s="46">
        <v>34030.867200000001</v>
      </c>
      <c r="CY11" s="46">
        <v>176164.62400000001</v>
      </c>
      <c r="CZ11" s="46">
        <v>223620.16</v>
      </c>
      <c r="DA11" s="46">
        <v>20069.689999999999</v>
      </c>
      <c r="DB11" s="46">
        <v>156792.98000000001</v>
      </c>
      <c r="DC11" s="46">
        <v>3473.08</v>
      </c>
      <c r="DD11" s="46">
        <v>3472.94</v>
      </c>
      <c r="DE11" s="46">
        <v>3504.8</v>
      </c>
      <c r="DF11" s="46">
        <v>0.997</v>
      </c>
      <c r="DG11" s="44" t="s">
        <v>224</v>
      </c>
      <c r="DH11" s="2">
        <f>Table2[[#This Row],[Date]]</f>
        <v>46305</v>
      </c>
      <c r="DI11">
        <f>(DD12-Table2[[#This Row],[MWH Total]])*4000/2</f>
        <v>24819.999999999709</v>
      </c>
      <c r="DJ11">
        <f>(DA12-Table2[[#This Row],[PNG Meter (Outside)]])*2.936</f>
        <v>272.95992000000342</v>
      </c>
      <c r="DK11">
        <f>(DB12-Table2[[#This Row],[PNG Meter (Inside)]])*2.936</f>
        <v>365.47915199996788</v>
      </c>
      <c r="DL11">
        <f>(BH12-Table2[[#This Row],[3F Dough cooler - 2 ]])*1000</f>
        <v>711.99999999998909</v>
      </c>
      <c r="DM11">
        <f>(BI12-Table2[[#This Row],[3F Dough Cooler- 1]])*1000</f>
        <v>956.00000000001728</v>
      </c>
      <c r="DN11">
        <f>(BJ12-Table2[[#This Row],[4F Dough Production cooling Unit]])*1000</f>
        <v>32.000000000000028</v>
      </c>
      <c r="DO11">
        <f>(BQ12-Table2[[#This Row],[3F2 - PDB 3 - Dough Production Area]])*1000</f>
        <v>402.99999999996317</v>
      </c>
      <c r="DP11">
        <f>(BR12-Table2[[#This Row],[3F3 - PDB 4 - Dough Area]])*1000</f>
        <v>237.99999999999955</v>
      </c>
      <c r="DQ11">
        <f>AC12-Table2[[#This Row],[16F1 Tray washer Panel for Light]]</f>
        <v>1565.9200000003912</v>
      </c>
      <c r="DR11">
        <f>CQ12-Table2[[#This Row],[2F1 Tray Washer - 1]]</f>
        <v>2609.2799999997951</v>
      </c>
      <c r="DS11">
        <f>CS12-Table2[[#This Row],[2F5 Destacker]]</f>
        <v>392.47999999998137</v>
      </c>
      <c r="DT11">
        <f>CU12-Table2[[#This Row],[5F1 Metering (TW-2)]]</f>
        <v>318.71500000002561</v>
      </c>
      <c r="DU11">
        <f>CV12-Table2[[#This Row],[6F1 Pre soaker Tray washer]]</f>
        <v>0.43200000000069849</v>
      </c>
      <c r="DV11">
        <f>CZ12-Table2[[#This Row],[6F5 Vent tray Storage]]</f>
        <v>101.18400000000838</v>
      </c>
      <c r="DW11">
        <f>I12-Table2[[#This Row],[Popeyes Meter ]]</f>
        <v>31.579999999999927</v>
      </c>
      <c r="DX11">
        <f>AZ12-Table2[[#This Row],[2F WH Chiller, Segregation Area]]</f>
        <v>5.1999999999999602E-2</v>
      </c>
      <c r="DY11">
        <f>BA12-Table2[[#This Row],[3F1 AC Unit WH dock cooling - 2 Nos]]</f>
        <v>3.6999999999999034E-2</v>
      </c>
      <c r="DZ11">
        <f>BB12-Table2[[#This Row],[3F2 AC Unit WH dock cooling - 3 Nos]]</f>
        <v>0.16900000000000404</v>
      </c>
      <c r="EA11">
        <f>(BK12-Table2[[#This Row],[5F WH Perishable]])*1000</f>
        <v>551.00000000004457</v>
      </c>
      <c r="EB11">
        <f>BN12-Table2[[#This Row],[2F3 - PDB 9 - WH Dock Leveler Door ]]</f>
        <v>8.4783999999999651</v>
      </c>
      <c r="EC11">
        <f>BP12-Table2[[#This Row],[3F1 - PDB 5 - WH HSD]]</f>
        <v>211.03999999997905</v>
      </c>
      <c r="ED11">
        <f>BX12-Table2[[#This Row],[8F1 WH Dock AHU - Ventilation]]</f>
        <v>347.76000000000931</v>
      </c>
      <c r="EE11">
        <f>BZ12-Table2[[#This Row],[8F3 ACPDB - 4 WH Dock air curtain]]</f>
        <v>196.12800000001153</v>
      </c>
      <c r="EF11">
        <f>CA12-Table2[[#This Row],[8F4 WH Light]]</f>
        <v>0</v>
      </c>
      <c r="EG11">
        <f>CC12-Table2[[#This Row],[9F1 - PDB 10 - WH Dock door &amp; Office]]</f>
        <v>203.75999999998021</v>
      </c>
      <c r="EH11">
        <f>CD12-Table2[[#This Row],[9F2 - PDB 11 - WH flycatchers]]</f>
        <v>287.03999999997905</v>
      </c>
      <c r="EI11">
        <f>CE12-Table2[[#This Row],[9F3 - PDB 12 - Other items]]</f>
        <v>9.030399999996007</v>
      </c>
      <c r="EJ11">
        <f>CR12-Table2[[#This Row],[2F3 - PDB 1 - Dock 1 to 4 ]]</f>
        <v>82.352000000013504</v>
      </c>
      <c r="EK11">
        <f>BM12-Table2[[#This Row],[2F2 - PDB 3 - WH Truck &amp; Battery Charging]]</f>
        <v>973.24799999996321</v>
      </c>
      <c r="EL11">
        <f>(CK12-Table2[[#This Row],[PDB - 11 Truck Charging]])*1000</f>
        <v>70.999999999997954</v>
      </c>
      <c r="EM11" s="1">
        <f>P12-Table2[[#This Row],[5F3 Admin Area]]</f>
        <v>522.68799999996554</v>
      </c>
      <c r="EN11">
        <f>AH12-Table2[[#This Row],[2F5 Main Gate-1 Piller -1]]</f>
        <v>210.01600000000326</v>
      </c>
      <c r="EO11">
        <f>CW12-Table2[[#This Row],[6F2 Ground Floor AC]]</f>
        <v>17.33119999999326</v>
      </c>
      <c r="EP11">
        <f>CX12-Table2[[#This Row],[6F3 ACBD -1 (First floor AC)]]</f>
        <v>19.84320000000298</v>
      </c>
      <c r="EQ11">
        <f>CY12-Table2[[#This Row],[6F4 ACBD - 2 (Second &amp; Third floor AC)]]</f>
        <v>140.06399999998393</v>
      </c>
      <c r="ER11">
        <f>(BC12-Table2[[#This Row],[4F Old BMC cooling Unit]])</f>
        <v>0</v>
      </c>
      <c r="ES11">
        <f>BO12-Table2[[#This Row],[2F4 - Old BMC]]</f>
        <v>0</v>
      </c>
      <c r="ET11">
        <f>Y12-Table2[[#This Row],[14F2 New CK]]</f>
        <v>2054.2399999999907</v>
      </c>
      <c r="EU11">
        <f>(CL12-Table2[[#This Row],[OLD Ck Panel-1]])*1000</f>
        <v>1033.0000000000155</v>
      </c>
      <c r="EV11">
        <f>CM12-Table2[[#This Row],[2F4 Old CK Blast (Blue star)]]</f>
        <v>0</v>
      </c>
      <c r="EW11">
        <f>CN12-Table2[[#This Row],[3F6 Old CK Blast (Carrier)]]</f>
        <v>845.5</v>
      </c>
      <c r="EX11">
        <f>(CO12-Table2[[#This Row],[Old CK Panel -2]])*1000</f>
        <v>1736.9999999998527</v>
      </c>
      <c r="EY11">
        <f>N12-Table2[[#This Row],[4F1 Main UPS 1/C -1]]</f>
        <v>1704.4799999999814</v>
      </c>
      <c r="EZ11">
        <f>Z12-Table2[[#This Row],[15F1 Main UPS Panel - I/C - 2]]</f>
        <v>0</v>
      </c>
      <c r="FA11">
        <f>BF12-Table2[[#This Row],[2F CLC -1 AC unit - 2]]</f>
        <v>0</v>
      </c>
      <c r="FB11">
        <f>(BG12-Table2[[#This Row],[2F CLC Anti room]])*1000</f>
        <v>45.999999999992269</v>
      </c>
      <c r="FC11">
        <f>BW12-Table2[[#This Row],[7F3 CLC Power Panel]]</f>
        <v>439.35999999998603</v>
      </c>
      <c r="FD11">
        <f>(CI12-Table2[[#This Row],[PDB - 17 CLC Section ]])*1000</f>
        <v>260.99999999999568</v>
      </c>
      <c r="FE11">
        <f>(W12-Table2[[#This Row],[13F3 Water &amp; Lift Old CK]])*1000</f>
        <v>2979.5999999998912</v>
      </c>
      <c r="FF11">
        <f>AA12-Table2[[#This Row],[15F2 New ETP Panel]]</f>
        <v>600.51199999998789</v>
      </c>
      <c r="FG11">
        <f>AL12-Table2[[#This Row],[3F4 Old ETP Panel]]</f>
        <v>168.48000000003958</v>
      </c>
      <c r="FH11">
        <f>AF12-Table2[[#This Row],[2F1 RO Plant]]</f>
        <v>1176.2560000000522</v>
      </c>
      <c r="FI11">
        <f>AK12-Table2[[#This Row],[3F3 Fire Hydrant Panel]]</f>
        <v>12.576000000000931</v>
      </c>
      <c r="FJ11">
        <f>R12-Table2[[#This Row],[7F1 Freon System Panel]]</f>
        <v>10758.400000000373</v>
      </c>
      <c r="FK11">
        <f>(AE12-Table2[[#This Row],[21F1 Refrigeration Ammonia]])*1000</f>
        <v>12619.999999998981</v>
      </c>
      <c r="FL11">
        <f>(AG12-Table2[[#This Row],[2F3 Air Compressor]])*1000</f>
        <v>1995.9999999998672</v>
      </c>
      <c r="FM11">
        <f>(AX12-Table2[[#This Row],[Solar Reading Panel II]])*1000</f>
        <v>3954.9999999999272</v>
      </c>
      <c r="FN11">
        <f>AI12-Table2[[#This Row],[3F1 Maintenance Workshop]]</f>
        <v>14.91359999999986</v>
      </c>
      <c r="FO11">
        <f>BD12-Table2[[#This Row],[4F B2B unit ]]</f>
        <v>25.760000000009313</v>
      </c>
      <c r="FP11">
        <f>BL12-Table2[[#This Row],[2F1 - PDB 6 - Bread, B2B section]]</f>
        <v>187.61599999999453</v>
      </c>
      <c r="FQ11">
        <f>(CG12-Table2[[#This Row],[9F5 - PDB 14 - Bread Lift]])</f>
        <v>0.51199999999516876</v>
      </c>
      <c r="FR11">
        <f>CJ12-Table2[[#This Row],[PDB - 16 Bread Section]]</f>
        <v>0.5</v>
      </c>
      <c r="FS11">
        <f>BU12-Table2[[#This Row],[7F1 Donut Production area]]</f>
        <v>329.28000000002794</v>
      </c>
      <c r="FT11">
        <f>CB12-Table2[[#This Row],[8F5 Donut Ban Bary]]</f>
        <v>72.144000000000233</v>
      </c>
      <c r="FU11">
        <f>CF12-Table2[[#This Row],[9F4 - PDB 13 - Donut Sink Geyser area]]</f>
        <v>96.687999999994645</v>
      </c>
      <c r="FV11">
        <f>BV12-Table2[[#This Row],[7F2 Flour Silo]]</f>
        <v>934.32000000006519</v>
      </c>
      <c r="FW11">
        <f>BY12-Table2[[#This Row],[8F2 ACPDB - 3 SILO Ventilation]]</f>
        <v>111.16800000000512</v>
      </c>
      <c r="FX11">
        <f>J12-Table2[[#This Row],[DG 1010KVA Running Hours]]</f>
        <v>2.1999999999998181</v>
      </c>
      <c r="FY11">
        <f>K12-Table2[[#This Row],[DG 1010 KVA Meter Reading]]</f>
        <v>878</v>
      </c>
      <c r="FZ11">
        <f>L12-Table2[[#This Row],[GG 1010 KVA Running Hours]]</f>
        <v>2</v>
      </c>
      <c r="GA11">
        <f>M12-Table2[[#This Row],[GG 1010 KVA Meter Reading]]</f>
        <v>0.84999999999999432</v>
      </c>
    </row>
    <row r="12" spans="1:183">
      <c r="A12" s="55">
        <v>112</v>
      </c>
      <c r="B12" s="45">
        <v>46307.400995370372</v>
      </c>
      <c r="C12" s="45">
        <v>46307.447557870371</v>
      </c>
      <c r="D12" s="55" t="s">
        <v>111</v>
      </c>
      <c r="E12" s="44"/>
      <c r="F12" s="44"/>
      <c r="G12" s="57">
        <v>46307</v>
      </c>
      <c r="H12" s="44" t="s">
        <v>182</v>
      </c>
      <c r="I12" s="46">
        <v>9919.7520000000004</v>
      </c>
      <c r="J12" s="46">
        <v>4291.7</v>
      </c>
      <c r="K12" s="46">
        <v>1784285</v>
      </c>
      <c r="L12" s="46">
        <v>471</v>
      </c>
      <c r="M12" s="46">
        <v>198.51</v>
      </c>
      <c r="N12" s="46">
        <v>1933372.16</v>
      </c>
      <c r="O12" s="46">
        <v>4728893.4400000004</v>
      </c>
      <c r="P12" s="46">
        <v>670752.64</v>
      </c>
      <c r="Q12" s="46">
        <v>8284650.2400000002</v>
      </c>
      <c r="R12" s="46">
        <v>5907896.96</v>
      </c>
      <c r="S12" s="46">
        <v>7607198.0800000001</v>
      </c>
      <c r="T12" s="46">
        <v>44039991.159000002</v>
      </c>
      <c r="U12" s="46">
        <v>2196807.6800000002</v>
      </c>
      <c r="V12" s="46">
        <v>5232197.4400000004</v>
      </c>
      <c r="W12" s="46">
        <v>1664.4203</v>
      </c>
      <c r="X12" s="46">
        <v>795277.31200000003</v>
      </c>
      <c r="Y12" s="46">
        <v>1194841.3600000001</v>
      </c>
      <c r="Z12" s="46">
        <v>2777.8894</v>
      </c>
      <c r="AA12" s="46">
        <v>688728.64</v>
      </c>
      <c r="AB12" s="46">
        <v>423756.864</v>
      </c>
      <c r="AC12" s="46">
        <v>2188071.6800000002</v>
      </c>
      <c r="AD12" s="46">
        <v>5033513.932</v>
      </c>
      <c r="AE12" s="46">
        <v>13299.147199999999</v>
      </c>
      <c r="AF12" s="46">
        <v>915389.37600000005</v>
      </c>
      <c r="AG12" s="46">
        <v>1483.2149999999999</v>
      </c>
      <c r="AH12" s="46">
        <v>141413.712</v>
      </c>
      <c r="AI12" s="46">
        <v>14990.512000000001</v>
      </c>
      <c r="AJ12" s="46">
        <v>145466.75200000001</v>
      </c>
      <c r="AK12" s="46">
        <v>105906.512</v>
      </c>
      <c r="AL12" s="46">
        <v>336056.09600000002</v>
      </c>
      <c r="AM12" s="46">
        <v>1033.662</v>
      </c>
      <c r="AN12" s="46">
        <v>201.3</v>
      </c>
      <c r="AO12" s="46">
        <v>6.6</v>
      </c>
      <c r="AP12" s="46">
        <v>153678</v>
      </c>
      <c r="AQ12" s="46">
        <v>43403</v>
      </c>
      <c r="AR12" s="46">
        <v>42850</v>
      </c>
      <c r="AS12" s="46">
        <v>32485</v>
      </c>
      <c r="AT12" s="46">
        <v>22187</v>
      </c>
      <c r="AU12" s="46">
        <v>17227</v>
      </c>
      <c r="AV12" s="46">
        <v>7370</v>
      </c>
      <c r="AW12" s="46">
        <v>21.403569999999998</v>
      </c>
      <c r="AX12" s="46">
        <v>7409.1819999999998</v>
      </c>
      <c r="AY12" s="46">
        <v>688.84968000000003</v>
      </c>
      <c r="AZ12" s="46">
        <v>21.233000000000001</v>
      </c>
      <c r="BA12" s="46">
        <v>11.641999999999999</v>
      </c>
      <c r="BB12" s="46">
        <v>47.404000000000003</v>
      </c>
      <c r="BC12" s="46">
        <v>114029.736</v>
      </c>
      <c r="BD12" s="46">
        <v>279280.19199999998</v>
      </c>
      <c r="BE12" s="46">
        <v>3812.752</v>
      </c>
      <c r="BF12" s="46">
        <v>1714.182</v>
      </c>
      <c r="BG12" s="46">
        <v>76.888999999999996</v>
      </c>
      <c r="BH12" s="46">
        <v>390.166</v>
      </c>
      <c r="BI12" s="46">
        <v>948.89499999999998</v>
      </c>
      <c r="BJ12" s="46">
        <v>17.617000000000001</v>
      </c>
      <c r="BK12" s="46">
        <v>583.36900000000003</v>
      </c>
      <c r="BL12" s="46">
        <v>87462.739199999996</v>
      </c>
      <c r="BM12" s="46">
        <v>344246.75199999998</v>
      </c>
      <c r="BN12" s="46">
        <v>7487.3976000000002</v>
      </c>
      <c r="BO12" s="46">
        <v>53589.132799999999</v>
      </c>
      <c r="BP12" s="46">
        <v>321792.864</v>
      </c>
      <c r="BQ12" s="46">
        <v>341.50599999999997</v>
      </c>
      <c r="BR12" s="46">
        <v>190.60499999999999</v>
      </c>
      <c r="BS12" s="46">
        <v>1104369.71</v>
      </c>
      <c r="BT12" s="46">
        <v>1400689.1259999999</v>
      </c>
      <c r="BU12" s="46">
        <v>642610.24</v>
      </c>
      <c r="BV12" s="46">
        <v>1061026.48</v>
      </c>
      <c r="BW12" s="46">
        <v>583665.34400000004</v>
      </c>
      <c r="BX12" s="46">
        <v>1086944.1599999999</v>
      </c>
      <c r="BY12" s="46">
        <v>160839.74400000001</v>
      </c>
      <c r="BZ12" s="46">
        <v>116976.96000000001</v>
      </c>
      <c r="CA12" s="46">
        <v>1244.6123</v>
      </c>
      <c r="CB12" s="46">
        <v>111030.232</v>
      </c>
      <c r="CC12" s="46">
        <v>158918.67199999999</v>
      </c>
      <c r="CD12" s="46">
        <v>460270.848</v>
      </c>
      <c r="CE12" s="46">
        <v>50928.931199999999</v>
      </c>
      <c r="CF12" s="46">
        <v>158355.61600000001</v>
      </c>
      <c r="CG12" s="46">
        <v>36120.617599999998</v>
      </c>
      <c r="CH12" s="46">
        <v>2385.8710000000001</v>
      </c>
      <c r="CI12" s="46">
        <v>223.99199999999999</v>
      </c>
      <c r="CJ12" s="46">
        <v>1195.7</v>
      </c>
      <c r="CK12" s="46">
        <v>81.331000000000003</v>
      </c>
      <c r="CL12" s="46">
        <v>770.09199999999998</v>
      </c>
      <c r="CM12" s="46">
        <v>551.4</v>
      </c>
      <c r="CN12" s="46">
        <v>73211.8</v>
      </c>
      <c r="CO12" s="46">
        <v>1731.9829999999999</v>
      </c>
      <c r="CP12" s="46">
        <v>311262.84399999998</v>
      </c>
      <c r="CQ12" s="46">
        <v>3777490.88</v>
      </c>
      <c r="CR12" s="46">
        <v>135157.16800000001</v>
      </c>
      <c r="CS12" s="46">
        <v>536450.17599999998</v>
      </c>
      <c r="CT12" s="46">
        <v>3184141.9</v>
      </c>
      <c r="CU12" s="46">
        <v>320482.804</v>
      </c>
      <c r="CV12" s="46">
        <v>31105.414400000001</v>
      </c>
      <c r="CW12" s="46">
        <v>64160.275199999996</v>
      </c>
      <c r="CX12" s="46">
        <v>34050.710400000004</v>
      </c>
      <c r="CY12" s="46">
        <v>176304.68799999999</v>
      </c>
      <c r="CZ12" s="46">
        <v>223721.34400000001</v>
      </c>
      <c r="DA12" s="46">
        <v>20162.66</v>
      </c>
      <c r="DB12" s="46">
        <v>156917.462</v>
      </c>
      <c r="DC12" s="46">
        <v>3485.45</v>
      </c>
      <c r="DD12" s="46">
        <v>3485.35</v>
      </c>
      <c r="DE12" s="46">
        <v>3517.33</v>
      </c>
      <c r="DF12" s="46">
        <v>0.98699999999999999</v>
      </c>
      <c r="DG12" s="44" t="s">
        <v>225</v>
      </c>
      <c r="DH12" s="2">
        <f>Table2[[#This Row],[Date]]</f>
        <v>46307</v>
      </c>
      <c r="DI12">
        <f>(DD13-Table2[[#This Row],[MWH Total]])*4000</f>
        <v>24920.000000000073</v>
      </c>
      <c r="DJ12">
        <f>(DA13-Table2[[#This Row],[PNG Meter (Outside)]])*2.936</f>
        <v>3.7287200000012817</v>
      </c>
      <c r="DK12">
        <f>(DB13-Table2[[#This Row],[PNG Meter (Inside)]])*2.936</f>
        <v>439.46928799997062</v>
      </c>
      <c r="DL12">
        <f>(BH13-Table2[[#This Row],[3F Dough cooler - 2 ]])*1000</f>
        <v>396.00000000001501</v>
      </c>
      <c r="DM12">
        <f>(BI13-Table2[[#This Row],[3F Dough Cooler- 1]])*1000</f>
        <v>475.00000000002274</v>
      </c>
      <c r="DN12">
        <f>(BJ13-Table2[[#This Row],[4F Dough Production cooling Unit]])*1000</f>
        <v>6.9999999999978968</v>
      </c>
      <c r="DO12">
        <f>(BQ13-Table2[[#This Row],[3F2 - PDB 3 - Dough Production Area]])*1000</f>
        <v>211.00000000001273</v>
      </c>
      <c r="DP12">
        <f>(BR13-Table2[[#This Row],[3F3 - PDB 4 - Dough Area]])*1000</f>
        <v>121.00000000000932</v>
      </c>
      <c r="DQ12">
        <f>AC13-Table2[[#This Row],[16F1 Tray washer Panel for Light]]</f>
        <v>751.04000000003725</v>
      </c>
      <c r="DR12">
        <f>CQ13-Table2[[#This Row],[2F1 Tray Washer - 1]]</f>
        <v>1237.1200000001118</v>
      </c>
      <c r="DS12">
        <f>CS13-Table2[[#This Row],[2F5 Destacker]]</f>
        <v>216</v>
      </c>
      <c r="DT12">
        <f>CU13-Table2[[#This Row],[5F1 Metering (TW-2)]]</f>
        <v>183.69500000000698</v>
      </c>
      <c r="DU12">
        <f>CV13-Table2[[#This Row],[6F1 Pre soaker Tray washer]]</f>
        <v>0.58559999999852153</v>
      </c>
      <c r="DV12">
        <f>CZ13-Table2[[#This Row],[6F5 Vent tray Storage]]</f>
        <v>75.919999999983702</v>
      </c>
      <c r="DW12">
        <f>I13-Table2[[#This Row],[Popeyes Meter ]]</f>
        <v>61.619999999998981</v>
      </c>
      <c r="DX12">
        <f>AZ13-Table2[[#This Row],[2F WH Chiller, Segregation Area]]</f>
        <v>2.4999999999998579E-2</v>
      </c>
      <c r="DY12">
        <f>BA13-Table2[[#This Row],[3F1 AC Unit WH dock cooling - 2 Nos]]</f>
        <v>1.4000000000001123E-2</v>
      </c>
      <c r="DZ12">
        <f>BB13-Table2[[#This Row],[3F2 AC Unit WH dock cooling - 3 Nos]]</f>
        <v>2.5999999999996248E-2</v>
      </c>
      <c r="EA12">
        <f>(BK13-Table2[[#This Row],[5F WH Perishable]])*1000</f>
        <v>278.99999999999636</v>
      </c>
      <c r="EB12">
        <f>BN13-Table2[[#This Row],[2F3 - PDB 9 - WH Dock Leveler Door ]]</f>
        <v>4.0375999999996566</v>
      </c>
      <c r="EC12">
        <f>BP13-Table2[[#This Row],[3F1 - PDB 5 - WH HSD]]</f>
        <v>108.54399999999441</v>
      </c>
      <c r="ED12">
        <f>BX13-Table2[[#This Row],[8F1 WH Dock AHU - Ventilation]]</f>
        <v>150.23999999999069</v>
      </c>
      <c r="EE12">
        <f>BZ13-Table2[[#This Row],[8F3 ACPDB - 4 WH Dock air curtain]]</f>
        <v>76.863999999986845</v>
      </c>
      <c r="EF12">
        <f>CA13-Table2[[#This Row],[8F4 WH Light]]</f>
        <v>0</v>
      </c>
      <c r="EG12">
        <f>CC13-Table2[[#This Row],[9F1 - PDB 10 - WH Dock door &amp; Office]]</f>
        <v>116.0800000000163</v>
      </c>
      <c r="EH12">
        <f>CD13-Table2[[#This Row],[9F2 - PDB 11 - WH flycatchers]]</f>
        <v>165.24800000002142</v>
      </c>
      <c r="EI12">
        <f>CE13-Table2[[#This Row],[9F3 - PDB 12 - Other items]]</f>
        <v>52.201600000000326</v>
      </c>
      <c r="EJ12">
        <f>CR13-Table2[[#This Row],[2F3 - PDB 1 - Dock 1 to 4 ]]</f>
        <v>34.432000000000698</v>
      </c>
      <c r="EK12">
        <f>BM13-Table2[[#This Row],[2F2 - PDB 3 - WH Truck &amp; Battery Charging]]</f>
        <v>563.80800000001909</v>
      </c>
      <c r="EL12">
        <f>(CK13-Table2[[#This Row],[PDB - 11 Truck Charging]])*1000</f>
        <v>27.999999999991587</v>
      </c>
      <c r="EM12" s="1">
        <f>P13-Table2[[#This Row],[5F3 Admin Area]]</f>
        <v>278.97600000002421</v>
      </c>
      <c r="EN12">
        <f>AH13-Table2[[#This Row],[2F5 Main Gate-1 Piller -1]]</f>
        <v>93.247999999992317</v>
      </c>
      <c r="EO12">
        <f>CW13-Table2[[#This Row],[6F2 Ground Floor AC]]</f>
        <v>8.8832000000038533</v>
      </c>
      <c r="EP12">
        <f>CX13-Table2[[#This Row],[6F3 ACBD -1 (First floor AC)]]</f>
        <v>9.2255999999979394</v>
      </c>
      <c r="EQ12">
        <f>CY13-Table2[[#This Row],[6F4 ACBD - 2 (Second &amp; Third floor AC)]]</f>
        <v>68.687999999994645</v>
      </c>
      <c r="ER12">
        <f>(BC13-Table2[[#This Row],[4F Old BMC cooling Unit]])</f>
        <v>0</v>
      </c>
      <c r="ES12">
        <f>BO13-Table2[[#This Row],[2F4 - Old BMC]]</f>
        <v>0</v>
      </c>
      <c r="ET12">
        <f>Y13-Table2[[#This Row],[14F2 New CK]]</f>
        <v>1267.0399999998044</v>
      </c>
      <c r="EU12">
        <f>(CL13-Table2[[#This Row],[OLD Ck Panel-1]])*1000</f>
        <v>600.99999999999909</v>
      </c>
      <c r="EV12">
        <f>CM13-Table2[[#This Row],[2F4 Old CK Blast (Blue star)]]</f>
        <v>0</v>
      </c>
      <c r="EW12">
        <f>CN13-Table2[[#This Row],[3F6 Old CK Blast (Carrier)]]</f>
        <v>472.39999999999418</v>
      </c>
      <c r="EX12">
        <f>(CO13-Table2[[#This Row],[Old CK Panel -2]])*1000</f>
        <v>1044.0000000000964</v>
      </c>
      <c r="EY12">
        <f>N13-Table2[[#This Row],[4F1 Main UPS 1/C -1]]</f>
        <v>889.92000000015832</v>
      </c>
      <c r="EZ12">
        <f>Z13-Table2[[#This Row],[15F1 Main UPS Panel - I/C - 2]]</f>
        <v>0</v>
      </c>
      <c r="FA12">
        <f>BF13-Table2[[#This Row],[2F CLC -1 AC unit - 2]]</f>
        <v>0</v>
      </c>
      <c r="FB12">
        <f>(BG13-Table2[[#This Row],[2F CLC Anti room]])*1000</f>
        <v>34.000000000006025</v>
      </c>
      <c r="FC12">
        <f>BW13-Table2[[#This Row],[7F3 CLC Power Panel]]</f>
        <v>317.76000000000931</v>
      </c>
      <c r="FD12">
        <f>(CI13-Table2[[#This Row],[PDB - 17 CLC Section ]])*1000</f>
        <v>195.99999999999795</v>
      </c>
      <c r="FE12">
        <f>(W13-Table2[[#This Row],[13F3 Water &amp; Lift Old CK]])*1000</f>
        <v>1203.1999999999243</v>
      </c>
      <c r="FF12">
        <f>AA13-Table2[[#This Row],[15F2 New ETP Panel]]</f>
        <v>295.10399999993388</v>
      </c>
      <c r="FG12">
        <f>AL13-Table2[[#This Row],[3F4 Old ETP Panel]]</f>
        <v>86.880000000004657</v>
      </c>
      <c r="FH12">
        <f>AF13-Table2[[#This Row],[2F1 RO Plant]]</f>
        <v>580.15999999991618</v>
      </c>
      <c r="FI12">
        <f>AK13-Table2[[#This Row],[3F3 Fire Hydrant Panel]]</f>
        <v>5.8239999999932479</v>
      </c>
      <c r="FJ12">
        <f>R13-Table2[[#This Row],[7F1 Freon System Panel]]</f>
        <v>5736.9599999999627</v>
      </c>
      <c r="FK12">
        <f>(AE13-Table2[[#This Row],[21F1 Refrigeration Ammonia]])*1000</f>
        <v>6422.4000000012893</v>
      </c>
      <c r="FL12">
        <f>(AG13-Table2[[#This Row],[2F3 Air Compressor]])*1000</f>
        <v>840.00000000014552</v>
      </c>
      <c r="FM12">
        <f>(AX13-Table2[[#This Row],[Solar Reading Panel II]])*1000</f>
        <v>2204.9999999999272</v>
      </c>
      <c r="FN12">
        <f>AI13-Table2[[#This Row],[3F1 Maintenance Workshop]]</f>
        <v>4.6304000000000087</v>
      </c>
      <c r="FO12">
        <f>BD13-Table2[[#This Row],[4F B2B unit ]]</f>
        <v>52.064000000013039</v>
      </c>
      <c r="FP12">
        <f>BL13-Table2[[#This Row],[2F1 - PDB 6 - Bread, B2B section]]</f>
        <v>224.90240000000631</v>
      </c>
      <c r="FQ12">
        <f>(CG13-Table2[[#This Row],[9F5 - PDB 14 - Bread Lift]])</f>
        <v>0.45120000000315486</v>
      </c>
      <c r="FR12">
        <f>CJ13-Table2[[#This Row],[PDB - 16 Bread Section]]</f>
        <v>1.2000000000000455</v>
      </c>
      <c r="FS12">
        <f>BU13-Table2[[#This Row],[7F1 Donut Production area]]</f>
        <v>162.11199999996461</v>
      </c>
      <c r="FT12">
        <f>CB13-Table2[[#This Row],[8F5 Donut Ban Bary]]</f>
        <v>32.16799999999057</v>
      </c>
      <c r="FU12">
        <f>CF13-Table2[[#This Row],[9F4 - PDB 13 - Donut Sink Geyser area]]</f>
        <v>13.823999999993248</v>
      </c>
      <c r="FV12">
        <f>BV13-Table2[[#This Row],[7F2 Flour Silo]]</f>
        <v>487.36000000010245</v>
      </c>
      <c r="FW12">
        <f>BY13-Table2[[#This Row],[8F2 ACPDB - 3 SILO Ventilation]]</f>
        <v>41.103999999992084</v>
      </c>
      <c r="FX12">
        <f>J13-Table2[[#This Row],[DG 1010KVA Running Hours]]</f>
        <v>0</v>
      </c>
      <c r="FY12">
        <f>K13-Table2[[#This Row],[DG 1010 KVA Meter Reading]]</f>
        <v>0</v>
      </c>
      <c r="FZ12">
        <f>L13-Table2[[#This Row],[GG 1010 KVA Running Hours]]</f>
        <v>0</v>
      </c>
      <c r="GA12">
        <f>M13-Table2[[#This Row],[GG 1010 KVA Meter Reading]]</f>
        <v>0</v>
      </c>
    </row>
    <row r="13" spans="1:183">
      <c r="A13" s="55">
        <v>113</v>
      </c>
      <c r="B13" s="45">
        <v>46308.372650462959</v>
      </c>
      <c r="C13" s="45">
        <v>46308.42015046296</v>
      </c>
      <c r="D13" s="55" t="s">
        <v>111</v>
      </c>
      <c r="E13" s="44"/>
      <c r="F13" s="44"/>
      <c r="G13" s="57">
        <v>46308</v>
      </c>
      <c r="H13" s="44" t="s">
        <v>182</v>
      </c>
      <c r="I13" s="46">
        <v>9981.3719999999994</v>
      </c>
      <c r="J13" s="46">
        <v>4291.7</v>
      </c>
      <c r="K13" s="46">
        <v>1784285</v>
      </c>
      <c r="L13" s="46">
        <v>471</v>
      </c>
      <c r="M13" s="46">
        <v>198.51</v>
      </c>
      <c r="N13" s="46">
        <v>1934262.08</v>
      </c>
      <c r="O13" s="46">
        <v>4730352.96</v>
      </c>
      <c r="P13" s="46">
        <v>671031.61600000004</v>
      </c>
      <c r="Q13" s="46">
        <v>8287003.5199999996</v>
      </c>
      <c r="R13" s="46">
        <v>5913633.9199999999</v>
      </c>
      <c r="S13" s="46">
        <v>7610435.2000000002</v>
      </c>
      <c r="T13" s="46">
        <v>43594852.379000001</v>
      </c>
      <c r="U13" s="46">
        <v>2198257.2799999998</v>
      </c>
      <c r="V13" s="46">
        <v>5233870.08</v>
      </c>
      <c r="W13" s="46">
        <v>1665.6234999999999</v>
      </c>
      <c r="X13" s="46">
        <v>795460.60800000001</v>
      </c>
      <c r="Y13" s="46">
        <v>1196108.3999999999</v>
      </c>
      <c r="Z13" s="46">
        <v>2777.8894</v>
      </c>
      <c r="AA13" s="46">
        <v>689023.74399999995</v>
      </c>
      <c r="AB13" s="46">
        <v>423786.46399999998</v>
      </c>
      <c r="AC13" s="46">
        <v>2188822.7200000002</v>
      </c>
      <c r="AD13" s="46">
        <v>3365594.7579999999</v>
      </c>
      <c r="AE13" s="46">
        <v>13305.569600000001</v>
      </c>
      <c r="AF13" s="46">
        <v>915969.53599999996</v>
      </c>
      <c r="AG13" s="46">
        <v>1484.0550000000001</v>
      </c>
      <c r="AH13" s="46">
        <v>141506.96</v>
      </c>
      <c r="AI13" s="46">
        <v>14995.142400000001</v>
      </c>
      <c r="AJ13" s="46">
        <v>145468.272</v>
      </c>
      <c r="AK13" s="46">
        <v>105912.336</v>
      </c>
      <c r="AL13" s="46">
        <v>336142.97600000002</v>
      </c>
      <c r="AM13" s="46">
        <v>1034.2260000000001</v>
      </c>
      <c r="AN13" s="46">
        <v>204.2</v>
      </c>
      <c r="AO13" s="46">
        <v>5.4</v>
      </c>
      <c r="AP13" s="46">
        <v>161830</v>
      </c>
      <c r="AQ13" s="46">
        <v>43427</v>
      </c>
      <c r="AR13" s="46">
        <v>42873</v>
      </c>
      <c r="AS13" s="46">
        <v>32509</v>
      </c>
      <c r="AT13" s="46">
        <v>22210</v>
      </c>
      <c r="AU13" s="46">
        <v>17227</v>
      </c>
      <c r="AV13" s="46">
        <v>7370</v>
      </c>
      <c r="AW13" s="46">
        <v>21.409835999999999</v>
      </c>
      <c r="AX13" s="46">
        <v>7411.3869999999997</v>
      </c>
      <c r="AY13" s="46">
        <v>688.9932</v>
      </c>
      <c r="AZ13" s="46">
        <v>21.257999999999999</v>
      </c>
      <c r="BA13" s="46">
        <v>11.656000000000001</v>
      </c>
      <c r="BB13" s="46">
        <v>47.43</v>
      </c>
      <c r="BC13" s="46">
        <v>114029.736</v>
      </c>
      <c r="BD13" s="46">
        <v>279332.25599999999</v>
      </c>
      <c r="BE13" s="46">
        <v>3813.9884000000002</v>
      </c>
      <c r="BF13" s="46">
        <v>1714.182</v>
      </c>
      <c r="BG13" s="46">
        <v>76.923000000000002</v>
      </c>
      <c r="BH13" s="46">
        <v>390.56200000000001</v>
      </c>
      <c r="BI13" s="46">
        <v>949.37</v>
      </c>
      <c r="BJ13" s="46">
        <v>17.623999999999999</v>
      </c>
      <c r="BK13" s="46">
        <v>583.64800000000002</v>
      </c>
      <c r="BL13" s="46">
        <v>87687.641600000003</v>
      </c>
      <c r="BM13" s="46">
        <v>344810.56</v>
      </c>
      <c r="BN13" s="46">
        <v>7491.4351999999999</v>
      </c>
      <c r="BO13" s="46">
        <v>53589.132799999999</v>
      </c>
      <c r="BP13" s="46">
        <v>321901.408</v>
      </c>
      <c r="BQ13" s="46">
        <v>341.71699999999998</v>
      </c>
      <c r="BR13" s="46">
        <v>190.726</v>
      </c>
      <c r="BS13" s="46">
        <v>1105792.821</v>
      </c>
      <c r="BT13" s="46">
        <v>1400689.1610000001</v>
      </c>
      <c r="BU13" s="46">
        <v>642772.35199999996</v>
      </c>
      <c r="BV13" s="46">
        <v>1061513.8400000001</v>
      </c>
      <c r="BW13" s="46">
        <v>583983.10400000005</v>
      </c>
      <c r="BX13" s="46">
        <v>1087094.3999999999</v>
      </c>
      <c r="BY13" s="46">
        <v>160880.848</v>
      </c>
      <c r="BZ13" s="46">
        <v>117053.82399999999</v>
      </c>
      <c r="CA13" s="46">
        <v>1244.6123</v>
      </c>
      <c r="CB13" s="46">
        <v>111062.39999999999</v>
      </c>
      <c r="CC13" s="46">
        <v>159034.75200000001</v>
      </c>
      <c r="CD13" s="46">
        <v>460436.09600000002</v>
      </c>
      <c r="CE13" s="46">
        <v>50981.132799999999</v>
      </c>
      <c r="CF13" s="46">
        <v>158369.44</v>
      </c>
      <c r="CG13" s="46">
        <v>36121.068800000001</v>
      </c>
      <c r="CH13" s="46">
        <v>2385.8710000000001</v>
      </c>
      <c r="CI13" s="46">
        <v>224.18799999999999</v>
      </c>
      <c r="CJ13" s="46">
        <v>1196.9000000000001</v>
      </c>
      <c r="CK13" s="46">
        <v>81.358999999999995</v>
      </c>
      <c r="CL13" s="46">
        <v>770.69299999999998</v>
      </c>
      <c r="CM13" s="46">
        <v>551.4</v>
      </c>
      <c r="CN13" s="46">
        <v>73684.2</v>
      </c>
      <c r="CO13" s="46">
        <v>1733.027</v>
      </c>
      <c r="CP13" s="46">
        <v>311540.75</v>
      </c>
      <c r="CQ13" s="46">
        <v>3778728</v>
      </c>
      <c r="CR13" s="46">
        <v>135191.6</v>
      </c>
      <c r="CS13" s="46">
        <v>536666.17599999998</v>
      </c>
      <c r="CT13" s="46">
        <v>3187449.59</v>
      </c>
      <c r="CU13" s="46">
        <v>320666.49900000001</v>
      </c>
      <c r="CV13" s="46">
        <v>31106</v>
      </c>
      <c r="CW13" s="46">
        <v>64169.1584</v>
      </c>
      <c r="CX13" s="46">
        <v>34059.936000000002</v>
      </c>
      <c r="CY13" s="46">
        <v>176373.37599999999</v>
      </c>
      <c r="CZ13" s="46">
        <v>223797.264</v>
      </c>
      <c r="DA13" s="46">
        <v>20163.93</v>
      </c>
      <c r="DB13" s="46">
        <v>157067.14499999999</v>
      </c>
      <c r="DC13" s="46">
        <v>3491.69</v>
      </c>
      <c r="DD13" s="46">
        <v>3491.58</v>
      </c>
      <c r="DE13" s="46">
        <v>3523.57</v>
      </c>
      <c r="DF13" s="46">
        <v>0.99099999999999999</v>
      </c>
      <c r="DG13" s="44" t="s">
        <v>226</v>
      </c>
      <c r="DH13" s="2">
        <f>Table2[[#This Row],[Date]]</f>
        <v>46308</v>
      </c>
      <c r="DI13">
        <f>(DD14-Table2[[#This Row],[MWH Total]])*4000</f>
        <v>25360.000000000582</v>
      </c>
      <c r="DJ13">
        <f>(DA14-Table2[[#This Row],[PNG Meter (Outside)]])*2.936</f>
        <v>48.209119999994876</v>
      </c>
      <c r="DK13">
        <f>(DB14-Table2[[#This Row],[PNG Meter (Inside)]])*2.936</f>
        <v>411.18680000005128</v>
      </c>
      <c r="DL13">
        <f>(BH14-Table2[[#This Row],[3F Dough cooler - 2 ]])*1000</f>
        <v>308.99999999996908</v>
      </c>
      <c r="DM13">
        <f>(BI14-Table2[[#This Row],[3F Dough Cooler- 1]])*1000</f>
        <v>476.99999999997544</v>
      </c>
      <c r="DN13">
        <f>(BJ14-Table2[[#This Row],[4F Dough Production cooling Unit]])*1000</f>
        <v>0</v>
      </c>
      <c r="DO13">
        <f>(BQ14-Table2[[#This Row],[3F2 - PDB 3 - Dough Production Area]])*1000</f>
        <v>191.00000000003092</v>
      </c>
      <c r="DP13">
        <f>(BR14-Table2[[#This Row],[3F3 - PDB 4 - Dough Area]])*1000</f>
        <v>104.99999999998977</v>
      </c>
      <c r="DQ13">
        <f>AC14-Table2[[#This Row],[16F1 Tray washer Panel for Light]]</f>
        <v>764.47999999998137</v>
      </c>
      <c r="DR13">
        <f>CQ14-Table2[[#This Row],[2F1 Tray Washer - 1]]</f>
        <v>956.16000000014901</v>
      </c>
      <c r="DS13">
        <f>CS14-Table2[[#This Row],[2F5 Destacker]]</f>
        <v>184.38400000007823</v>
      </c>
      <c r="DT13">
        <f>CU14-Table2[[#This Row],[5F1 Metering (TW-2)]]</f>
        <v>176.71100000001024</v>
      </c>
      <c r="DU13">
        <f>CV14-Table2[[#This Row],[6F1 Pre soaker Tray washer]]</f>
        <v>3.1999999991967343E-3</v>
      </c>
      <c r="DV13">
        <f>CZ14-Table2[[#This Row],[6F5 Vent tray Storage]]</f>
        <v>69.904000000009546</v>
      </c>
      <c r="DW13">
        <f>I14-Table2[[#This Row],[Popeyes Meter ]]</f>
        <v>-9971.3599999999988</v>
      </c>
      <c r="DX13">
        <f>AZ14-Table2[[#This Row],[2F WH Chiller, Segregation Area]]</f>
        <v>2.5999999999999801E-2</v>
      </c>
      <c r="DY13">
        <f>BA14-Table2[[#This Row],[3F1 AC Unit WH dock cooling - 2 Nos]]</f>
        <v>1.7999999999998906E-2</v>
      </c>
      <c r="DZ13">
        <f>BB14-Table2[[#This Row],[3F2 AC Unit WH dock cooling - 3 Nos]]</f>
        <v>2.4000000000000909E-2</v>
      </c>
      <c r="EA13">
        <f>(BK14-Table2[[#This Row],[5F WH Perishable]])*1000</f>
        <v>279.99999999997272</v>
      </c>
      <c r="EB13">
        <f>BN14-Table2[[#This Row],[2F3 - PDB 9 - WH Dock Leveler Door ]]</f>
        <v>4.109599999999773</v>
      </c>
      <c r="EC13">
        <f>BP14-Table2[[#This Row],[3F1 - PDB 5 - WH HSD]]</f>
        <v>98.144000000029337</v>
      </c>
      <c r="ED13">
        <f>BX14-Table2[[#This Row],[8F1 WH Dock AHU - Ventilation]]</f>
        <v>155.36000000010245</v>
      </c>
      <c r="EE13">
        <f>BZ14-Table2[[#This Row],[8F3 ACPDB - 4 WH Dock air curtain]]</f>
        <v>53.424000000013621</v>
      </c>
      <c r="EF13">
        <f>CA14-Table2[[#This Row],[8F4 WH Light]]</f>
        <v>0</v>
      </c>
      <c r="EG13">
        <f>CC14-Table2[[#This Row],[9F1 - PDB 10 - WH Dock door &amp; Office]]</f>
        <v>133.61599999997998</v>
      </c>
      <c r="EH13">
        <f>CD14-Table2[[#This Row],[9F2 - PDB 11 - WH flycatchers]]</f>
        <v>222.20799999998417</v>
      </c>
      <c r="EI13">
        <f>CE14-Table2[[#This Row],[9F3 - PDB 12 - Other items]]</f>
        <v>17.715199999998731</v>
      </c>
      <c r="EJ13">
        <f>CR14-Table2[[#This Row],[2F3 - PDB 1 - Dock 1 to 4 ]]</f>
        <v>37.040000000008149</v>
      </c>
      <c r="EK13">
        <f>BM14-Table2[[#This Row],[2F2 - PDB 3 - WH Truck &amp; Battery Charging]]</f>
        <v>491.32799999997951</v>
      </c>
      <c r="EL13">
        <f>(CK14-Table2[[#This Row],[PDB - 11 Truck Charging]])*1000</f>
        <v>35.0000000000108</v>
      </c>
      <c r="EM13" s="1">
        <f>P14-Table2[[#This Row],[5F3 Admin Area]]</f>
        <v>299.26399999996647</v>
      </c>
      <c r="EN13">
        <f>AH14-Table2[[#This Row],[2F5 Main Gate-1 Piller -1]]</f>
        <v>105.08800000001793</v>
      </c>
      <c r="EO13">
        <f>CW14-Table2[[#This Row],[6F2 Ground Floor AC]]</f>
        <v>9.9519999999974971</v>
      </c>
      <c r="EP13">
        <f>CX14-Table2[[#This Row],[6F3 ACBD -1 (First floor AC)]]</f>
        <v>9.2511999999987893</v>
      </c>
      <c r="EQ13">
        <f>CY14-Table2[[#This Row],[6F4 ACBD - 2 (Second &amp; Third floor AC)]]</f>
        <v>69.040000000008149</v>
      </c>
      <c r="ER13">
        <f>(BC14-Table2[[#This Row],[4F Old BMC cooling Unit]])</f>
        <v>0</v>
      </c>
      <c r="ES13">
        <f>BO14-Table2[[#This Row],[2F4 - Old BMC]]</f>
        <v>0</v>
      </c>
      <c r="ET13">
        <f>Y14-Table2[[#This Row],[14F2 New CK]]</f>
        <v>1370.2399999999907</v>
      </c>
      <c r="EU13">
        <f>(CL14-Table2[[#This Row],[OLD Ck Panel-1]])*1000</f>
        <v>592.99999999996089</v>
      </c>
      <c r="EV13">
        <f>CM14-Table2[[#This Row],[2F4 Old CK Blast (Blue star)]]</f>
        <v>0</v>
      </c>
      <c r="EW13">
        <f>CN14-Table2[[#This Row],[3F6 Old CK Blast (Carrier)]]</f>
        <v>476.30000000000291</v>
      </c>
      <c r="EX13">
        <f>(CO14-Table2[[#This Row],[Old CK Panel -2]])*1000</f>
        <v>1039.9999999999636</v>
      </c>
      <c r="EY13">
        <f>N14-Table2[[#This Row],[4F1 Main UPS 1/C -1]]</f>
        <v>915.04000000003725</v>
      </c>
      <c r="EZ13">
        <f>Z14-Table2[[#This Row],[15F1 Main UPS Panel - I/C - 2]]</f>
        <v>0</v>
      </c>
      <c r="FA13">
        <f>BF14-Table2[[#This Row],[2F CLC -1 AC unit - 2]]</f>
        <v>0</v>
      </c>
      <c r="FB13">
        <f>(BG14-Table2[[#This Row],[2F CLC Anti room]])*1000</f>
        <v>36.000000000001364</v>
      </c>
      <c r="FC13">
        <f>BW14-Table2[[#This Row],[7F3 CLC Power Panel]]</f>
        <v>323.19999999995343</v>
      </c>
      <c r="FD13">
        <f>(CI14-Table2[[#This Row],[PDB - 17 CLC Section ]])*1000</f>
        <v>195.99999999999795</v>
      </c>
      <c r="FE13">
        <f>(W14-Table2[[#This Row],[13F3 Water &amp; Lift Old CK]])*1000</f>
        <v>503.80000000018299</v>
      </c>
      <c r="FF13">
        <f>AA14-Table2[[#This Row],[15F2 New ETP Panel]]</f>
        <v>277.69599999999627</v>
      </c>
      <c r="FG13">
        <f>AL14-Table2[[#This Row],[3F4 Old ETP Panel]]</f>
        <v>75.295999999972992</v>
      </c>
      <c r="FH13">
        <f>AF14-Table2[[#This Row],[2F1 RO Plant]]</f>
        <v>563.39199999999255</v>
      </c>
      <c r="FI13">
        <f>AK14-Table2[[#This Row],[3F3 Fire Hydrant Panel]]</f>
        <v>5.4959999999991851</v>
      </c>
      <c r="FJ13">
        <f>R14-Table2[[#This Row],[7F1 Freon System Panel]]</f>
        <v>6082.5600000005215</v>
      </c>
      <c r="FK13">
        <f>(AE14-Table2[[#This Row],[21F1 Refrigeration Ammonia]])*1000</f>
        <v>6535.19999999844</v>
      </c>
      <c r="FL13">
        <f>(AG14-Table2[[#This Row],[2F3 Air Compressor]])*1000</f>
        <v>855.00000000001819</v>
      </c>
      <c r="FM13">
        <f>(AX14-Table2[[#This Row],[Solar Reading Panel II]])*1000</f>
        <v>2711.0000000002401</v>
      </c>
      <c r="FN13">
        <f>AI14-Table2[[#This Row],[3F1 Maintenance Workshop]]</f>
        <v>5.2975999999998749</v>
      </c>
      <c r="FO13">
        <f>BD14-Table2[[#This Row],[4F B2B unit ]]</f>
        <v>42.463999999978114</v>
      </c>
      <c r="FP13">
        <f>BL14-Table2[[#This Row],[2F1 - PDB 6 - Bread, B2B section]]</f>
        <v>351.16799999999057</v>
      </c>
      <c r="FQ13">
        <f>(CG14-Table2[[#This Row],[9F5 - PDB 14 - Bread Lift]])</f>
        <v>0.52799999999842839</v>
      </c>
      <c r="FR13">
        <f>CJ14-Table2[[#This Row],[PDB - 16 Bread Section]]</f>
        <v>2.0999999999999091</v>
      </c>
      <c r="FS13">
        <f>BU14-Table2[[#This Row],[7F1 Donut Production area]]</f>
        <v>177.79200000001583</v>
      </c>
      <c r="FT13">
        <f>CB14-Table2[[#This Row],[8F5 Donut Ban Bary]]</f>
        <v>40.688000000009197</v>
      </c>
      <c r="FU13">
        <f>CF14-Table2[[#This Row],[9F4 - PDB 13 - Donut Sink Geyser area]]</f>
        <v>21.056000000011409</v>
      </c>
      <c r="FV13">
        <f>BV14-Table2[[#This Row],[7F2 Flour Silo]]</f>
        <v>919.11999999987893</v>
      </c>
      <c r="FW13">
        <f>BY14-Table2[[#This Row],[8F2 ACPDB - 3 SILO Ventilation]]</f>
        <v>41.6480000000156</v>
      </c>
      <c r="FX13">
        <f>J14-Table2[[#This Row],[DG 1010KVA Running Hours]]</f>
        <v>0.3000000000001819</v>
      </c>
      <c r="FY13">
        <f>K14-Table2[[#This Row],[DG 1010 KVA Meter Reading]]</f>
        <v>134</v>
      </c>
      <c r="FZ13">
        <f>L14-Table2[[#This Row],[GG 1010 KVA Running Hours]]</f>
        <v>0</v>
      </c>
      <c r="GA13">
        <f>M14-Table2[[#This Row],[GG 1010 KVA Meter Reading]]</f>
        <v>0.12999999999999545</v>
      </c>
    </row>
    <row r="14" spans="1:183">
      <c r="A14" s="55">
        <v>114</v>
      </c>
      <c r="B14" s="45">
        <v>46309.384722222225</v>
      </c>
      <c r="C14" s="45">
        <v>46309.422754629632</v>
      </c>
      <c r="D14" s="55" t="s">
        <v>111</v>
      </c>
      <c r="E14" s="44"/>
      <c r="F14" s="44"/>
      <c r="G14" s="57">
        <v>46309</v>
      </c>
      <c r="H14" s="44" t="s">
        <v>182</v>
      </c>
      <c r="I14" s="46">
        <v>10.012</v>
      </c>
      <c r="J14" s="46">
        <v>4292</v>
      </c>
      <c r="K14" s="46">
        <v>1784419</v>
      </c>
      <c r="L14" s="46">
        <v>471</v>
      </c>
      <c r="M14" s="46">
        <v>198.64</v>
      </c>
      <c r="N14" s="46">
        <v>1935177.12</v>
      </c>
      <c r="O14" s="46">
        <v>4731825.5999999996</v>
      </c>
      <c r="P14" s="46">
        <v>671330.88</v>
      </c>
      <c r="Q14" s="46">
        <v>8290237.4400000004</v>
      </c>
      <c r="R14" s="46">
        <v>5919716.4800000004</v>
      </c>
      <c r="S14" s="46">
        <v>7613221.7599999998</v>
      </c>
      <c r="T14" s="46">
        <v>44063468.299000002</v>
      </c>
      <c r="U14" s="46">
        <v>2199829.44</v>
      </c>
      <c r="V14" s="46">
        <v>5235452.16</v>
      </c>
      <c r="W14" s="46">
        <v>1666.1273000000001</v>
      </c>
      <c r="X14" s="46">
        <v>795636.03200000001</v>
      </c>
      <c r="Y14" s="46">
        <v>1197478.6399999999</v>
      </c>
      <c r="Z14" s="46">
        <v>2777.8894</v>
      </c>
      <c r="AA14" s="46">
        <v>689301.44</v>
      </c>
      <c r="AB14" s="46">
        <v>423847.67999999999</v>
      </c>
      <c r="AC14" s="46">
        <v>2189587.2000000002</v>
      </c>
      <c r="AD14" s="46">
        <v>5061406.693</v>
      </c>
      <c r="AE14" s="46">
        <v>13312.104799999999</v>
      </c>
      <c r="AF14" s="46">
        <v>916532.92799999996</v>
      </c>
      <c r="AG14" s="46">
        <v>1484.91</v>
      </c>
      <c r="AH14" s="46">
        <v>141612.04800000001</v>
      </c>
      <c r="AI14" s="46">
        <v>15000.44</v>
      </c>
      <c r="AJ14" s="46">
        <v>145469.872</v>
      </c>
      <c r="AK14" s="46">
        <v>105917.83199999999</v>
      </c>
      <c r="AL14" s="46">
        <v>336218.272</v>
      </c>
      <c r="AM14" s="46">
        <v>1035.0419999999999</v>
      </c>
      <c r="AN14" s="46">
        <v>213.3</v>
      </c>
      <c r="AO14" s="46">
        <v>5.6</v>
      </c>
      <c r="AP14" s="46">
        <v>170144</v>
      </c>
      <c r="AQ14" s="46">
        <v>43451</v>
      </c>
      <c r="AR14" s="46">
        <v>42897</v>
      </c>
      <c r="AS14" s="46">
        <v>32533</v>
      </c>
      <c r="AT14" s="46">
        <v>22234</v>
      </c>
      <c r="AU14" s="46">
        <v>17227</v>
      </c>
      <c r="AV14" s="46">
        <v>7370</v>
      </c>
      <c r="AW14" s="46">
        <v>21.416215999999999</v>
      </c>
      <c r="AX14" s="46">
        <v>7414.098</v>
      </c>
      <c r="AY14" s="46">
        <v>689.14152000000001</v>
      </c>
      <c r="AZ14" s="46">
        <v>21.283999999999999</v>
      </c>
      <c r="BA14" s="46">
        <v>11.673999999999999</v>
      </c>
      <c r="BB14" s="46">
        <v>47.454000000000001</v>
      </c>
      <c r="BC14" s="46">
        <v>114029.736</v>
      </c>
      <c r="BD14" s="46">
        <v>279374.71999999997</v>
      </c>
      <c r="BE14" s="46">
        <v>3815.1468</v>
      </c>
      <c r="BF14" s="46">
        <v>1714.182</v>
      </c>
      <c r="BG14" s="46">
        <v>76.959000000000003</v>
      </c>
      <c r="BH14" s="46">
        <v>390.87099999999998</v>
      </c>
      <c r="BI14" s="46">
        <v>949.84699999999998</v>
      </c>
      <c r="BJ14" s="46">
        <v>17.623999999999999</v>
      </c>
      <c r="BK14" s="46">
        <v>583.928</v>
      </c>
      <c r="BL14" s="46">
        <v>88038.809599999993</v>
      </c>
      <c r="BM14" s="46">
        <v>345301.88799999998</v>
      </c>
      <c r="BN14" s="46">
        <v>7495.5447999999997</v>
      </c>
      <c r="BO14" s="46">
        <v>53589.132799999999</v>
      </c>
      <c r="BP14" s="46">
        <v>321999.55200000003</v>
      </c>
      <c r="BQ14" s="46">
        <v>341.90800000000002</v>
      </c>
      <c r="BR14" s="46">
        <v>190.83099999999999</v>
      </c>
      <c r="BS14" s="46">
        <v>1107311.9310000001</v>
      </c>
      <c r="BT14" s="46">
        <v>1400689.18</v>
      </c>
      <c r="BU14" s="46">
        <v>642950.14399999997</v>
      </c>
      <c r="BV14" s="46">
        <v>1062432.96</v>
      </c>
      <c r="BW14" s="46">
        <v>584306.304</v>
      </c>
      <c r="BX14" s="46">
        <v>1087249.76</v>
      </c>
      <c r="BY14" s="46">
        <v>160922.49600000001</v>
      </c>
      <c r="BZ14" s="46">
        <v>117107.24800000001</v>
      </c>
      <c r="CA14" s="46">
        <v>1244.6123</v>
      </c>
      <c r="CB14" s="46">
        <v>111103.088</v>
      </c>
      <c r="CC14" s="46">
        <v>159168.36799999999</v>
      </c>
      <c r="CD14" s="46">
        <v>460658.304</v>
      </c>
      <c r="CE14" s="46">
        <v>50998.847999999998</v>
      </c>
      <c r="CF14" s="46">
        <v>158390.49600000001</v>
      </c>
      <c r="CG14" s="46">
        <v>36121.596799999999</v>
      </c>
      <c r="CH14" s="46">
        <v>2385.8710000000001</v>
      </c>
      <c r="CI14" s="46">
        <v>224.38399999999999</v>
      </c>
      <c r="CJ14" s="46">
        <v>1199</v>
      </c>
      <c r="CK14" s="46">
        <v>81.394000000000005</v>
      </c>
      <c r="CL14" s="46">
        <v>771.28599999999994</v>
      </c>
      <c r="CM14" s="46">
        <v>551.4</v>
      </c>
      <c r="CN14" s="46">
        <v>74160.5</v>
      </c>
      <c r="CO14" s="46">
        <v>1734.067</v>
      </c>
      <c r="CP14" s="46">
        <v>311810.86599999998</v>
      </c>
      <c r="CQ14" s="46">
        <v>3779684.16</v>
      </c>
      <c r="CR14" s="46">
        <v>135228.64000000001</v>
      </c>
      <c r="CS14" s="46">
        <v>536850.56000000006</v>
      </c>
      <c r="CT14" s="46">
        <v>3190293.8820000002</v>
      </c>
      <c r="CU14" s="46">
        <v>320843.21000000002</v>
      </c>
      <c r="CV14" s="46">
        <v>31106.003199999999</v>
      </c>
      <c r="CW14" s="46">
        <v>64179.110399999998</v>
      </c>
      <c r="CX14" s="46">
        <v>34069.1872</v>
      </c>
      <c r="CY14" s="46">
        <v>176442.416</v>
      </c>
      <c r="CZ14" s="46">
        <v>223867.16800000001</v>
      </c>
      <c r="DA14" s="46">
        <v>20180.349999999999</v>
      </c>
      <c r="DB14" s="46">
        <v>157207.19500000001</v>
      </c>
      <c r="DC14" s="46">
        <v>3498.03</v>
      </c>
      <c r="DD14" s="46">
        <v>3497.92</v>
      </c>
      <c r="DE14" s="46">
        <v>3529.97</v>
      </c>
      <c r="DF14" s="46">
        <v>0.98899999999999999</v>
      </c>
      <c r="DG14" s="44" t="s">
        <v>213</v>
      </c>
      <c r="DH14" s="2">
        <f>Table2[[#This Row],[Date]]</f>
        <v>46309</v>
      </c>
      <c r="DI14">
        <f>(DD15-Table2[[#This Row],[MWH Total]])*4000</f>
        <v>24079.999999999927</v>
      </c>
      <c r="DJ14">
        <f>(DA15-Table2[[#This Row],[PNG Meter (Outside)]])*2.936</f>
        <v>133.64672000000127</v>
      </c>
      <c r="DK14">
        <f>(DB15-Table2[[#This Row],[PNG Meter (Inside)]])*2.936</f>
        <v>364.57192799994323</v>
      </c>
      <c r="DL14">
        <f>(BH15-Table2[[#This Row],[3F Dough cooler - 2 ]])*1000</f>
        <v>334.00000000000318</v>
      </c>
      <c r="DM14">
        <f>(BI15-Table2[[#This Row],[3F Dough Cooler- 1]])*1000</f>
        <v>475.00000000002274</v>
      </c>
      <c r="DN14">
        <f>(BJ15-Table2[[#This Row],[4F Dough Production cooling Unit]])*1000</f>
        <v>0</v>
      </c>
      <c r="DO14">
        <f>(BQ15-Table2[[#This Row],[3F2 - PDB 3 - Dough Production Area]])*1000</f>
        <v>209.00000000000318</v>
      </c>
      <c r="DP14">
        <f>(BR15-Table2[[#This Row],[3F3 - PDB 4 - Dough Area]])*1000</f>
        <v>118.99999999999977</v>
      </c>
      <c r="DQ14">
        <f>AC15-Table2[[#This Row],[16F1 Tray washer Panel for Light]]</f>
        <v>760.47999999998137</v>
      </c>
      <c r="DR14">
        <f>CQ15-Table2[[#This Row],[2F1 Tray Washer - 1]]</f>
        <v>1262.7199999997392</v>
      </c>
      <c r="DS14">
        <f>CS15-Table2[[#This Row],[2F5 Destacker]]</f>
        <v>194.6239999999525</v>
      </c>
      <c r="DT14">
        <f>CU15-Table2[[#This Row],[5F1 Metering (TW-2)]]</f>
        <v>220.75399999995716</v>
      </c>
      <c r="DU14">
        <f>CV15-Table2[[#This Row],[6F1 Pre soaker Tray washer]]</f>
        <v>0</v>
      </c>
      <c r="DV14">
        <f>CZ15-Table2[[#This Row],[6F5 Vent tray Storage]]</f>
        <v>70.831999999994878</v>
      </c>
      <c r="DW14">
        <f>I15-Table2[[#This Row],[Popeyes Meter ]]</f>
        <v>5.400000000000027E-2</v>
      </c>
      <c r="DX14">
        <f>AZ15-Table2[[#This Row],[2F WH Chiller, Segregation Area]]</f>
        <v>2.5000000000002132E-2</v>
      </c>
      <c r="DY14">
        <f>BA15-Table2[[#This Row],[3F1 AC Unit WH dock cooling - 2 Nos]]</f>
        <v>1.8000000000000682E-2</v>
      </c>
      <c r="DZ14">
        <f>BB15-Table2[[#This Row],[3F2 AC Unit WH dock cooling - 3 Nos]]</f>
        <v>2.8999999999996362E-2</v>
      </c>
      <c r="EA14">
        <f>(BK15-Table2[[#This Row],[5F WH Perishable]])*1000</f>
        <v>277.00000000004366</v>
      </c>
      <c r="EB14">
        <f>BN15-Table2[[#This Row],[2F3 - PDB 9 - WH Dock Leveler Door ]]</f>
        <v>4.1240000000007058</v>
      </c>
      <c r="EC14">
        <f>BP15-Table2[[#This Row],[3F1 - PDB 5 - WH HSD]]</f>
        <v>126.17599999997765</v>
      </c>
      <c r="ED14">
        <f>BX15-Table2[[#This Row],[8F1 WH Dock AHU - Ventilation]]</f>
        <v>172.87999999988824</v>
      </c>
      <c r="EE14">
        <f>BZ15-Table2[[#This Row],[8F3 ACPDB - 4 WH Dock air curtain]]</f>
        <v>78.35999999998603</v>
      </c>
      <c r="EF14">
        <f>CA15-Table2[[#This Row],[8F4 WH Light]]</f>
        <v>0</v>
      </c>
      <c r="EG14">
        <f>CC15-Table2[[#This Row],[9F1 - PDB 10 - WH Dock door &amp; Office]]</f>
        <v>143.76000000000931</v>
      </c>
      <c r="EH14">
        <f>CD15-Table2[[#This Row],[9F2 - PDB 11 - WH flycatchers]]</f>
        <v>197.27999999996973</v>
      </c>
      <c r="EI14">
        <f>CE15-Table2[[#This Row],[9F3 - PDB 12 - Other items]]</f>
        <v>4.0768000000025495</v>
      </c>
      <c r="EJ14">
        <f>CR15-Table2[[#This Row],[2F3 - PDB 1 - Dock 1 to 4 ]]</f>
        <v>35.535999999992782</v>
      </c>
      <c r="EK14">
        <f>BM15-Table2[[#This Row],[2F2 - PDB 3 - WH Truck &amp; Battery Charging]]</f>
        <v>529.82400000002235</v>
      </c>
      <c r="EL14">
        <f>(CK15-Table2[[#This Row],[PDB - 11 Truck Charging]])*1000</f>
        <v>51.999999999992497</v>
      </c>
      <c r="EM14" s="1">
        <f>P15-Table2[[#This Row],[5F3 Admin Area]]</f>
        <v>301.3760000000475</v>
      </c>
      <c r="EN14">
        <f>AH15-Table2[[#This Row],[2F5 Main Gate-1 Piller -1]]</f>
        <v>115.24799999999232</v>
      </c>
      <c r="EO14">
        <f>CW15-Table2[[#This Row],[6F2 Ground Floor AC]]</f>
        <v>11.174400000003516</v>
      </c>
      <c r="EP14">
        <f>CX15-Table2[[#This Row],[6F3 ACBD -1 (First floor AC)]]</f>
        <v>9.3856000000014319</v>
      </c>
      <c r="EQ14">
        <f>CY15-Table2[[#This Row],[6F4 ACBD - 2 (Second &amp; Third floor AC)]]</f>
        <v>108.49600000001374</v>
      </c>
      <c r="ER14">
        <f>(BC15-Table2[[#This Row],[4F Old BMC cooling Unit]])</f>
        <v>0</v>
      </c>
      <c r="ES14">
        <f>BO15-Table2[[#This Row],[2F4 - Old BMC]]</f>
        <v>0</v>
      </c>
      <c r="ET14">
        <f>Y15-Table2[[#This Row],[14F2 New CK]]</f>
        <v>1697.8400000000838</v>
      </c>
      <c r="EU14">
        <f>(CL15-Table2[[#This Row],[OLD Ck Panel-1]])*1000</f>
        <v>694.00000000007367</v>
      </c>
      <c r="EV14">
        <f>CM15-Table2[[#This Row],[2F4 Old CK Blast (Blue star)]]</f>
        <v>0</v>
      </c>
      <c r="EW14">
        <f>CN15-Table2[[#This Row],[3F6 Old CK Blast (Carrier)]]</f>
        <v>569.89999999999418</v>
      </c>
      <c r="EX14">
        <f>(CO15-Table2[[#This Row],[Old CK Panel -2]])*1000</f>
        <v>962.99999999996544</v>
      </c>
      <c r="EY14">
        <f>N15-Table2[[#This Row],[4F1 Main UPS 1/C -1]]</f>
        <v>920.79999999981374</v>
      </c>
      <c r="EZ14">
        <f>Z15-Table2[[#This Row],[15F1 Main UPS Panel - I/C - 2]]</f>
        <v>0</v>
      </c>
      <c r="FA14">
        <f>BF15-Table2[[#This Row],[2F CLC -1 AC unit - 2]]</f>
        <v>0</v>
      </c>
      <c r="FB14">
        <f>(BG15-Table2[[#This Row],[2F CLC Anti room]])*1000</f>
        <v>33.000000000001251</v>
      </c>
      <c r="FC14">
        <f>BW15-Table2[[#This Row],[7F3 CLC Power Panel]]</f>
        <v>295.87199999997392</v>
      </c>
      <c r="FD14">
        <f>(CI15-Table2[[#This Row],[PDB - 17 CLC Section ]])*1000</f>
        <v>191.0000000000025</v>
      </c>
      <c r="FE14">
        <f>(W15-Table2[[#This Row],[13F3 Water &amp; Lift Old CK]])*1000</f>
        <v>1651.4999999999418</v>
      </c>
      <c r="FF14">
        <f>AA15-Table2[[#This Row],[15F2 New ETP Panel]]</f>
        <v>300.1600000000326</v>
      </c>
      <c r="FG14">
        <f>AL15-Table2[[#This Row],[3F4 Old ETP Panel]]</f>
        <v>81.792000000015832</v>
      </c>
      <c r="FH14">
        <f>AF15-Table2[[#This Row],[2F1 RO Plant]]</f>
        <v>535.42399999999907</v>
      </c>
      <c r="FI14">
        <f>AK15-Table2[[#This Row],[3F3 Fire Hydrant Panel]]</f>
        <v>6.9760000000096625</v>
      </c>
      <c r="FJ14">
        <f>R15-Table2[[#This Row],[7F1 Freon System Panel]]</f>
        <v>6296.3199999993667</v>
      </c>
      <c r="FK14">
        <f>(AE15-Table2[[#This Row],[21F1 Refrigeration Ammonia]])*1000</f>
        <v>6528.8000000000466</v>
      </c>
      <c r="FL14">
        <f>(AG15-Table2[[#This Row],[2F3 Air Compressor]])*1000</f>
        <v>1163.9999999999873</v>
      </c>
      <c r="FM14">
        <f>(AX15-Table2[[#This Row],[Solar Reading Panel II]])*1000</f>
        <v>2668.999999999869</v>
      </c>
      <c r="FN14">
        <f>AI15-Table2[[#This Row],[3F1 Maintenance Workshop]]</f>
        <v>5.2511999999987893</v>
      </c>
      <c r="FO14">
        <f>BD15-Table2[[#This Row],[4F B2B unit ]]</f>
        <v>36.54400000005262</v>
      </c>
      <c r="FP14">
        <f>BL15-Table2[[#This Row],[2F1 - PDB 6 - Bread, B2B section]]</f>
        <v>162.98240000000806</v>
      </c>
      <c r="FQ14">
        <f>(CG15-Table2[[#This Row],[9F5 - PDB 14 - Bread Lift]])</f>
        <v>0.44479999999748543</v>
      </c>
      <c r="FR14">
        <f>CJ15-Table2[[#This Row],[PDB - 16 Bread Section]]</f>
        <v>1.4000000000000909</v>
      </c>
      <c r="FS14">
        <f>BU15-Table2[[#This Row],[7F1 Donut Production area]]</f>
        <v>199.93599999998696</v>
      </c>
      <c r="FT14">
        <f>CB15-Table2[[#This Row],[8F5 Donut Ban Bary]]</f>
        <v>42.351999999998952</v>
      </c>
      <c r="FU14">
        <f>CF15-Table2[[#This Row],[9F4 - PDB 13 - Donut Sink Geyser area]]</f>
        <v>21.071999999985565</v>
      </c>
      <c r="FV14">
        <f>BV15-Table2[[#This Row],[7F2 Flour Silo]]</f>
        <v>924.64000000013039</v>
      </c>
      <c r="FW14">
        <f>BY15-Table2[[#This Row],[8F2 ACPDB - 3 SILO Ventilation]]</f>
        <v>42.655999999988126</v>
      </c>
      <c r="FX14">
        <f>J15-Table2[[#This Row],[DG 1010KVA Running Hours]]</f>
        <v>1</v>
      </c>
      <c r="FY14">
        <f>K15-Table2[[#This Row],[DG 1010 KVA Meter Reading]]</f>
        <v>389</v>
      </c>
      <c r="FZ14">
        <f>L15-Table2[[#This Row],[GG 1010 KVA Running Hours]]</f>
        <v>1</v>
      </c>
      <c r="GA14">
        <f>M15-Table2[[#This Row],[GG 1010 KVA Meter Reading]]</f>
        <v>0.40000000000000568</v>
      </c>
    </row>
    <row r="15" spans="1:183">
      <c r="A15" s="55">
        <v>115</v>
      </c>
      <c r="B15" s="45">
        <v>46310.378703703704</v>
      </c>
      <c r="C15" s="45">
        <v>46310.422418981485</v>
      </c>
      <c r="D15" s="55" t="s">
        <v>111</v>
      </c>
      <c r="E15" s="44"/>
      <c r="F15" s="44"/>
      <c r="G15" s="57">
        <v>46310</v>
      </c>
      <c r="H15" s="44" t="s">
        <v>182</v>
      </c>
      <c r="I15" s="46">
        <v>10.066000000000001</v>
      </c>
      <c r="J15" s="46">
        <v>4293</v>
      </c>
      <c r="K15" s="46">
        <v>1784808</v>
      </c>
      <c r="L15" s="46">
        <v>472</v>
      </c>
      <c r="M15" s="46">
        <v>199.04</v>
      </c>
      <c r="N15" s="46">
        <v>1936097.92</v>
      </c>
      <c r="O15" s="46">
        <v>4733624.6399999997</v>
      </c>
      <c r="P15" s="46">
        <v>671632.25600000005</v>
      </c>
      <c r="Q15" s="46">
        <v>8293417.5999999996</v>
      </c>
      <c r="R15" s="46">
        <v>5926012.7999999998</v>
      </c>
      <c r="S15" s="46">
        <v>7616375.04</v>
      </c>
      <c r="T15" s="46">
        <v>43618931.57</v>
      </c>
      <c r="U15" s="46">
        <v>2201127.6800000002</v>
      </c>
      <c r="V15" s="46">
        <v>5237046.08</v>
      </c>
      <c r="W15" s="46">
        <v>1667.7788</v>
      </c>
      <c r="X15" s="46">
        <v>795852.86399999994</v>
      </c>
      <c r="Y15" s="46">
        <v>1199176.48</v>
      </c>
      <c r="Z15" s="46">
        <v>2777.8894</v>
      </c>
      <c r="AA15" s="46">
        <v>689601.6</v>
      </c>
      <c r="AB15" s="46">
        <v>423890.72</v>
      </c>
      <c r="AC15" s="46">
        <v>2190347.6800000002</v>
      </c>
      <c r="AD15" s="46">
        <v>3383223.24</v>
      </c>
      <c r="AE15" s="46">
        <v>13318.633599999999</v>
      </c>
      <c r="AF15" s="46">
        <v>917068.35199999996</v>
      </c>
      <c r="AG15" s="46">
        <v>1486.0740000000001</v>
      </c>
      <c r="AH15" s="46">
        <v>141727.296</v>
      </c>
      <c r="AI15" s="46">
        <v>15005.691199999999</v>
      </c>
      <c r="AJ15" s="46">
        <v>145471.66399999999</v>
      </c>
      <c r="AK15" s="46">
        <v>105924.808</v>
      </c>
      <c r="AL15" s="46">
        <v>336300.06400000001</v>
      </c>
      <c r="AM15" s="46">
        <v>1035.671</v>
      </c>
      <c r="AN15" s="46">
        <v>310.39999999999998</v>
      </c>
      <c r="AO15" s="46">
        <v>7.6</v>
      </c>
      <c r="AP15" s="46">
        <v>179082</v>
      </c>
      <c r="AQ15" s="46">
        <v>43474</v>
      </c>
      <c r="AR15" s="46">
        <v>42921</v>
      </c>
      <c r="AS15" s="46">
        <v>32537</v>
      </c>
      <c r="AT15" s="46">
        <v>22238</v>
      </c>
      <c r="AU15" s="46">
        <v>17246</v>
      </c>
      <c r="AV15" s="46">
        <v>7379</v>
      </c>
      <c r="AW15" s="46">
        <v>21.42259</v>
      </c>
      <c r="AX15" s="46">
        <v>7416.7669999999998</v>
      </c>
      <c r="AY15" s="46">
        <v>689.29287999999997</v>
      </c>
      <c r="AZ15" s="46">
        <v>21.309000000000001</v>
      </c>
      <c r="BA15" s="46">
        <v>11.692</v>
      </c>
      <c r="BB15" s="46">
        <v>47.482999999999997</v>
      </c>
      <c r="BC15" s="46">
        <v>114029.736</v>
      </c>
      <c r="BD15" s="46">
        <v>279411.26400000002</v>
      </c>
      <c r="BE15" s="46">
        <v>3816.3168000000001</v>
      </c>
      <c r="BF15" s="46">
        <v>1714.182</v>
      </c>
      <c r="BG15" s="46">
        <v>76.992000000000004</v>
      </c>
      <c r="BH15" s="46">
        <v>391.20499999999998</v>
      </c>
      <c r="BI15" s="46">
        <v>950.322</v>
      </c>
      <c r="BJ15" s="46">
        <v>17.623999999999999</v>
      </c>
      <c r="BK15" s="46">
        <v>584.20500000000004</v>
      </c>
      <c r="BL15" s="46">
        <v>88201.792000000001</v>
      </c>
      <c r="BM15" s="46">
        <v>345831.712</v>
      </c>
      <c r="BN15" s="46">
        <v>7499.6688000000004</v>
      </c>
      <c r="BO15" s="46">
        <v>53589.132799999999</v>
      </c>
      <c r="BP15" s="46">
        <v>322125.728</v>
      </c>
      <c r="BQ15" s="46">
        <v>342.11700000000002</v>
      </c>
      <c r="BR15" s="46">
        <v>190.95</v>
      </c>
      <c r="BS15" s="46">
        <v>1108582.571</v>
      </c>
      <c r="BT15" s="46">
        <v>1400689.2609999999</v>
      </c>
      <c r="BU15" s="46">
        <v>643150.07999999996</v>
      </c>
      <c r="BV15" s="46">
        <v>1063357.6000000001</v>
      </c>
      <c r="BW15" s="46">
        <v>584602.17599999998</v>
      </c>
      <c r="BX15" s="46">
        <v>1087422.6399999999</v>
      </c>
      <c r="BY15" s="46">
        <v>160965.152</v>
      </c>
      <c r="BZ15" s="46">
        <v>117185.60799999999</v>
      </c>
      <c r="CA15" s="46">
        <v>1244.6123</v>
      </c>
      <c r="CB15" s="46">
        <v>111145.44</v>
      </c>
      <c r="CC15" s="46">
        <v>159312.128</v>
      </c>
      <c r="CD15" s="46">
        <v>460855.58399999997</v>
      </c>
      <c r="CE15" s="46">
        <v>51002.924800000001</v>
      </c>
      <c r="CF15" s="46">
        <v>158411.568</v>
      </c>
      <c r="CG15" s="46">
        <v>36122.041599999997</v>
      </c>
      <c r="CH15" s="46">
        <v>2385.8710000000001</v>
      </c>
      <c r="CI15" s="46">
        <v>224.57499999999999</v>
      </c>
      <c r="CJ15" s="46">
        <v>1200.4000000000001</v>
      </c>
      <c r="CK15" s="46">
        <v>81.445999999999998</v>
      </c>
      <c r="CL15" s="46">
        <v>771.98</v>
      </c>
      <c r="CM15" s="46">
        <v>551.4</v>
      </c>
      <c r="CN15" s="46">
        <v>74730.399999999994</v>
      </c>
      <c r="CO15" s="46">
        <v>1735.03</v>
      </c>
      <c r="CP15" s="46">
        <v>312102.18599999999</v>
      </c>
      <c r="CQ15" s="46">
        <v>3780946.88</v>
      </c>
      <c r="CR15" s="46">
        <v>135264.17600000001</v>
      </c>
      <c r="CS15" s="46">
        <v>537045.18400000001</v>
      </c>
      <c r="CT15" s="46">
        <v>3193536.84</v>
      </c>
      <c r="CU15" s="46">
        <v>321063.96399999998</v>
      </c>
      <c r="CV15" s="46">
        <v>31106.003199999999</v>
      </c>
      <c r="CW15" s="46">
        <v>64190.284800000001</v>
      </c>
      <c r="CX15" s="46">
        <v>34078.572800000002</v>
      </c>
      <c r="CY15" s="46">
        <v>176550.91200000001</v>
      </c>
      <c r="CZ15" s="46">
        <v>223938</v>
      </c>
      <c r="DA15" s="46">
        <v>20225.87</v>
      </c>
      <c r="DB15" s="46">
        <v>157331.36799999999</v>
      </c>
      <c r="DC15" s="46">
        <v>3504.14</v>
      </c>
      <c r="DD15" s="46">
        <v>3503.94</v>
      </c>
      <c r="DE15" s="46">
        <v>3536.14</v>
      </c>
      <c r="DF15" s="46">
        <v>0.99099999999999999</v>
      </c>
      <c r="DG15" s="44" t="s">
        <v>213</v>
      </c>
      <c r="DH15" s="2">
        <f>Table2[[#This Row],[Date]]</f>
        <v>46310</v>
      </c>
      <c r="DI15">
        <f>(DD16-Table2[[#This Row],[MWH Total]])*4000</f>
        <v>28600.000000000364</v>
      </c>
      <c r="DJ15">
        <f>(DA16-Table2[[#This Row],[PNG Meter (Outside)]])*2.936</f>
        <v>12.977120000005554</v>
      </c>
      <c r="DK15">
        <f>(DB16-Table2[[#This Row],[PNG Meter (Inside)]])*2.936</f>
        <v>341.63002400007588</v>
      </c>
      <c r="DL15">
        <f>(BH16-Table2[[#This Row],[3F Dough cooler - 2 ]])*1000</f>
        <v>415.99999999999682</v>
      </c>
      <c r="DM15">
        <f>(BI16-Table2[[#This Row],[3F Dough Cooler- 1]])*1000</f>
        <v>496.99999999995725</v>
      </c>
      <c r="DN15">
        <f>(BJ16-Table2[[#This Row],[4F Dough Production cooling Unit]])*1000</f>
        <v>0</v>
      </c>
      <c r="DO15">
        <f>(BQ16-Table2[[#This Row],[3F2 - PDB 3 - Dough Production Area]])*1000</f>
        <v>242.999999999995</v>
      </c>
      <c r="DP15">
        <f>(BR16-Table2[[#This Row],[3F3 - PDB 4 - Dough Area]])*1000</f>
        <v>149.00000000000091</v>
      </c>
      <c r="DQ15">
        <f>AC16-Table2[[#This Row],[16F1 Tray washer Panel for Light]]</f>
        <v>758.87999999988824</v>
      </c>
      <c r="DR15">
        <f>CQ16-Table2[[#This Row],[2F1 Tray Washer - 1]]</f>
        <v>1592.6400000001304</v>
      </c>
      <c r="DS15">
        <f>CS16-Table2[[#This Row],[2F5 Destacker]]</f>
        <v>244.54399999999441</v>
      </c>
      <c r="DT15">
        <f>CU16-Table2[[#This Row],[5F1 Metering (TW-2)]]</f>
        <v>215.41200000001118</v>
      </c>
      <c r="DU15">
        <f>CV16-Table2[[#This Row],[6F1 Pre soaker Tray washer]]</f>
        <v>0.19840000000112923</v>
      </c>
      <c r="DV15">
        <f>CZ16-Table2[[#This Row],[6F5 Vent tray Storage]]</f>
        <v>-223938</v>
      </c>
      <c r="DW15">
        <f>I16-Table2[[#This Row],[Popeyes Meter ]]</f>
        <v>2.3999999999999133E-2</v>
      </c>
      <c r="DX15">
        <f>AZ16-Table2[[#This Row],[2F WH Chiller, Segregation Area]]</f>
        <v>2.699999999999747E-2</v>
      </c>
      <c r="DY15">
        <f>BA16-Table2[[#This Row],[3F1 AC Unit WH dock cooling - 2 Nos]]</f>
        <v>2.5999999999999801E-2</v>
      </c>
      <c r="DZ15">
        <f>BB16-Table2[[#This Row],[3F2 AC Unit WH dock cooling - 3 Nos]]</f>
        <v>4.0000000000006253E-2</v>
      </c>
      <c r="EA15">
        <f>(BK16-Table2[[#This Row],[5F WH Perishable]])*1000</f>
        <v>293.00000000000637</v>
      </c>
      <c r="EB15">
        <f>BN16-Table2[[#This Row],[2F3 - PDB 9 - WH Dock Leveler Door ]]</f>
        <v>10.37039999999979</v>
      </c>
      <c r="EC15">
        <f>BP16-Table2[[#This Row],[3F1 - PDB 5 - WH HSD]]</f>
        <v>125.9199999999837</v>
      </c>
      <c r="ED15">
        <f>BX16-Table2[[#This Row],[8F1 WH Dock AHU - Ventilation]]</f>
        <v>173.52000000001863</v>
      </c>
      <c r="EE15">
        <f>BZ16-Table2[[#This Row],[8F3 ACPDB - 4 WH Dock air curtain]]</f>
        <v>67.856000000014319</v>
      </c>
      <c r="EF15">
        <f>CA16-Table2[[#This Row],[8F4 WH Light]]</f>
        <v>0</v>
      </c>
      <c r="EG15">
        <f>CC16-Table2[[#This Row],[9F1 - PDB 10 - WH Dock door &amp; Office]]</f>
        <v>122.30400000000373</v>
      </c>
      <c r="EH15">
        <f>CD16-Table2[[#This Row],[9F2 - PDB 11 - WH flycatchers]]</f>
        <v>222.72000000003027</v>
      </c>
      <c r="EI15">
        <f>CE16-Table2[[#This Row],[9F3 - PDB 12 - Other items]]</f>
        <v>4.2848000000012689</v>
      </c>
      <c r="EJ15">
        <f>CR16-Table2[[#This Row],[2F3 - PDB 1 - Dock 1 to 4 ]]</f>
        <v>23.647999999986496</v>
      </c>
      <c r="EK15">
        <f>BM16-Table2[[#This Row],[2F2 - PDB 3 - WH Truck &amp; Battery Charging]]</f>
        <v>332.25599999999395</v>
      </c>
      <c r="EL15">
        <f>(CK16-Table2[[#This Row],[PDB - 11 Truck Charging]])*1000</f>
        <v>63.000000000002387</v>
      </c>
      <c r="EM15" s="1">
        <f>P16-Table2[[#This Row],[5F3 Admin Area]]</f>
        <v>331.45600000000559</v>
      </c>
      <c r="EN15">
        <f>AH16-Table2[[#This Row],[2F5 Main Gate-1 Piller -1]]</f>
        <v>79.535999999992782</v>
      </c>
      <c r="EO15">
        <f>CW16-Table2[[#This Row],[6F2 Ground Floor AC]]</f>
        <v>11.737600000000384</v>
      </c>
      <c r="EP15" t="e">
        <f>CX16-Table2[[#This Row],[6F3 ACBD -1 (First floor AC)]]</f>
        <v>#VALUE!</v>
      </c>
      <c r="EQ15">
        <f>CY16-Table2[[#This Row],[6F4 ACBD - 2 (Second &amp; Third floor AC)]]</f>
        <v>-176550.91200000001</v>
      </c>
      <c r="ER15">
        <f>(BC16-Table2[[#This Row],[4F Old BMC cooling Unit]])</f>
        <v>0</v>
      </c>
      <c r="ES15">
        <f>BO16-Table2[[#This Row],[2F4 - Old BMC]]</f>
        <v>0</v>
      </c>
      <c r="ET15">
        <f>Y16-Table2[[#This Row],[14F2 New CK]]</f>
        <v>1663.2800000000279</v>
      </c>
      <c r="EU15">
        <f>(CL16-Table2[[#This Row],[OLD Ck Panel-1]])*1000</f>
        <v>634.00000000001455</v>
      </c>
      <c r="EV15">
        <f>CM16-Table2[[#This Row],[2F4 Old CK Blast (Blue star)]]</f>
        <v>0</v>
      </c>
      <c r="EW15">
        <f>CN16-Table2[[#This Row],[3F6 Old CK Blast (Carrier)]]</f>
        <v>511.90000000000873</v>
      </c>
      <c r="EX15">
        <f>(CO16-Table2[[#This Row],[Old CK Panel -2]])*1000</f>
        <v>874.00000000002365</v>
      </c>
      <c r="EY15">
        <f>N16-Table2[[#This Row],[4F1 Main UPS 1/C -1]]</f>
        <v>944.95999999996275</v>
      </c>
      <c r="EZ15">
        <f>Z16-Table2[[#This Row],[15F1 Main UPS Panel - I/C - 2]]</f>
        <v>0</v>
      </c>
      <c r="FA15">
        <f>BF16-Table2[[#This Row],[2F CLC -1 AC unit - 2]]</f>
        <v>0</v>
      </c>
      <c r="FB15">
        <f>(BG16-Table2[[#This Row],[2F CLC Anti room]])*1000</f>
        <v>39.999999999992042</v>
      </c>
      <c r="FC15">
        <f>BW16-Table2[[#This Row],[7F3 CLC Power Panel]]</f>
        <v>295.61600000003818</v>
      </c>
      <c r="FD15">
        <f>(CI16-Table2[[#This Row],[PDB - 17 CLC Section ]])*1000</f>
        <v>175.00000000001137</v>
      </c>
      <c r="FE15">
        <f>(W16-Table2[[#This Row],[13F3 Water &amp; Lift Old CK]])*1000</f>
        <v>1778.0999999999949</v>
      </c>
      <c r="FF15">
        <f>AA16-Table2[[#This Row],[15F2 New ETP Panel]]</f>
        <v>291.58400000003166</v>
      </c>
      <c r="FG15">
        <f>AL16-Table2[[#This Row],[3F4 Old ETP Panel]]</f>
        <v>86.399999999965075</v>
      </c>
      <c r="FH15">
        <f>AF16-Table2[[#This Row],[2F1 RO Plant]]</f>
        <v>582.84799999999814</v>
      </c>
      <c r="FI15">
        <f>AK16-Table2[[#This Row],[3F3 Fire Hydrant Panel]]</f>
        <v>1.9039999999949941</v>
      </c>
      <c r="FJ15">
        <f>R16-Table2[[#This Row],[7F1 Freon System Panel]]</f>
        <v>6337.2800000002608</v>
      </c>
      <c r="FK15">
        <f>(AE16-Table2[[#This Row],[21F1 Refrigeration Ammonia]])*1000</f>
        <v>6394.4000000010419</v>
      </c>
      <c r="FL15">
        <f>(AG16-Table2[[#This Row],[2F3 Air Compressor]])*1000</f>
        <v>1354.0000000000418</v>
      </c>
      <c r="FM15">
        <f>(AX16-Table2[[#This Row],[Solar Reading Panel II]])*1000</f>
        <v>944.00000000041473</v>
      </c>
      <c r="FN15">
        <f>AI16-Table2[[#This Row],[3F1 Maintenance Workshop]]</f>
        <v>3.8736000000008062</v>
      </c>
      <c r="FO15">
        <f>BD16-Table2[[#This Row],[4F B2B unit ]]</f>
        <v>46.304000000003725</v>
      </c>
      <c r="FP15">
        <f>BL16-Table2[[#This Row],[2F1 - PDB 6 - Bread, B2B section]]</f>
        <v>208.7551999999996</v>
      </c>
      <c r="FQ15">
        <f>(CG16-Table2[[#This Row],[9F5 - PDB 14 - Bread Lift]])</f>
        <v>0.41920000000391155</v>
      </c>
      <c r="FR15">
        <f>CJ16-Table2[[#This Row],[PDB - 16 Bread Section]]</f>
        <v>1.5</v>
      </c>
      <c r="FS15">
        <f>BU16-Table2[[#This Row],[7F1 Donut Production area]]</f>
        <v>184.19200000003912</v>
      </c>
      <c r="FT15">
        <f>CB16-Table2[[#This Row],[8F5 Donut Ban Bary]]</f>
        <v>41.351999999998952</v>
      </c>
      <c r="FU15">
        <f>CF16-Table2[[#This Row],[9F4 - PDB 13 - Donut Sink Geyser area]]</f>
        <v>24.703999999997905</v>
      </c>
      <c r="FV15">
        <f>BV16-Table2[[#This Row],[7F2 Flour Silo]]</f>
        <v>584</v>
      </c>
      <c r="FW15">
        <f>BY16-Table2[[#This Row],[8F2 ACPDB - 3 SILO Ventilation]]</f>
        <v>44.655999999988126</v>
      </c>
      <c r="FX15">
        <f>J16-Table2[[#This Row],[DG 1010KVA Running Hours]]</f>
        <v>0.1000000000003638</v>
      </c>
      <c r="FY15">
        <f>K16-Table2[[#This Row],[DG 1010 KVA Meter Reading]]</f>
        <v>19</v>
      </c>
      <c r="FZ15">
        <f>L16-Table2[[#This Row],[GG 1010 KVA Running Hours]]</f>
        <v>0</v>
      </c>
      <c r="GA15">
        <f>M16-Table2[[#This Row],[GG 1010 KVA Meter Reading]]</f>
        <v>1.0000000000019327E-2</v>
      </c>
    </row>
    <row r="16" spans="1:183">
      <c r="A16" s="55">
        <v>116</v>
      </c>
      <c r="B16" s="45">
        <v>46311.404398148145</v>
      </c>
      <c r="C16" s="45">
        <v>46311.446111111109</v>
      </c>
      <c r="D16" s="55" t="s">
        <v>111</v>
      </c>
      <c r="E16" s="44"/>
      <c r="F16" s="44"/>
      <c r="G16" s="57">
        <v>46311</v>
      </c>
      <c r="H16" s="44" t="s">
        <v>182</v>
      </c>
      <c r="I16" s="46">
        <v>10.09</v>
      </c>
      <c r="J16" s="46">
        <v>4293.1000000000004</v>
      </c>
      <c r="K16" s="46">
        <v>1784827</v>
      </c>
      <c r="L16" s="46">
        <v>472</v>
      </c>
      <c r="M16" s="46">
        <v>199.05</v>
      </c>
      <c r="N16" s="46">
        <v>1937042.88</v>
      </c>
      <c r="O16" s="46">
        <v>4735613.12</v>
      </c>
      <c r="P16" s="46">
        <v>671963.71200000006</v>
      </c>
      <c r="Q16" s="46">
        <v>8295490.5599999996</v>
      </c>
      <c r="R16" s="46">
        <v>5932350.0800000001</v>
      </c>
      <c r="S16" s="46">
        <v>7620069.7599999998</v>
      </c>
      <c r="T16" s="46">
        <v>44091344.733999997</v>
      </c>
      <c r="U16" s="46">
        <v>2202423.52</v>
      </c>
      <c r="V16" s="46">
        <v>5238805.4400000004</v>
      </c>
      <c r="W16" s="46">
        <v>1669.5569</v>
      </c>
      <c r="X16" s="46">
        <v>796066.75199999998</v>
      </c>
      <c r="Y16" s="46">
        <v>1200839.76</v>
      </c>
      <c r="Z16" s="46">
        <v>2777.8894</v>
      </c>
      <c r="AA16" s="46">
        <v>689893.18400000001</v>
      </c>
      <c r="AB16" s="46">
        <v>123928.8</v>
      </c>
      <c r="AC16" s="46">
        <v>2191106.56</v>
      </c>
      <c r="AD16" s="46">
        <v>5088009.4129999997</v>
      </c>
      <c r="AE16" s="46">
        <v>13325.028</v>
      </c>
      <c r="AF16" s="46">
        <v>917651.2</v>
      </c>
      <c r="AG16" s="46">
        <v>1487.4280000000001</v>
      </c>
      <c r="AH16" s="46">
        <v>141806.83199999999</v>
      </c>
      <c r="AI16" s="46">
        <v>15009.5648</v>
      </c>
      <c r="AJ16" s="46">
        <v>145471.88800000001</v>
      </c>
      <c r="AK16" s="46">
        <v>105926.712</v>
      </c>
      <c r="AL16" s="46">
        <v>336386.46399999998</v>
      </c>
      <c r="AM16" s="46">
        <v>1036.2809999999999</v>
      </c>
      <c r="AN16" s="46">
        <v>279.60000000000002</v>
      </c>
      <c r="AO16" s="46">
        <v>7</v>
      </c>
      <c r="AP16" s="46">
        <v>189703</v>
      </c>
      <c r="AQ16" s="46">
        <v>43499</v>
      </c>
      <c r="AR16" s="46">
        <v>42945</v>
      </c>
      <c r="AS16" s="46">
        <v>32537</v>
      </c>
      <c r="AT16" s="46">
        <v>22238</v>
      </c>
      <c r="AU16" s="46">
        <v>17271</v>
      </c>
      <c r="AV16" s="46">
        <v>7391</v>
      </c>
      <c r="AW16" s="46">
        <v>21.42876</v>
      </c>
      <c r="AX16" s="46">
        <v>7417.7110000000002</v>
      </c>
      <c r="AY16" s="46">
        <v>689.46896000000004</v>
      </c>
      <c r="AZ16" s="46">
        <v>21.335999999999999</v>
      </c>
      <c r="BA16" s="46">
        <v>11.718</v>
      </c>
      <c r="BB16" s="46">
        <v>47.523000000000003</v>
      </c>
      <c r="BC16" s="46">
        <v>114029.736</v>
      </c>
      <c r="BD16" s="46">
        <v>279457.56800000003</v>
      </c>
      <c r="BE16" s="46">
        <v>3817.6176</v>
      </c>
      <c r="BF16" s="46">
        <v>1714.182</v>
      </c>
      <c r="BG16" s="46">
        <v>77.031999999999996</v>
      </c>
      <c r="BH16" s="46">
        <v>391.62099999999998</v>
      </c>
      <c r="BI16" s="46">
        <v>950.81899999999996</v>
      </c>
      <c r="BJ16" s="46">
        <v>17.623999999999999</v>
      </c>
      <c r="BK16" s="46">
        <v>584.49800000000005</v>
      </c>
      <c r="BL16" s="46">
        <v>88410.547200000001</v>
      </c>
      <c r="BM16" s="46">
        <v>346163.96799999999</v>
      </c>
      <c r="BN16" s="46">
        <v>7510.0392000000002</v>
      </c>
      <c r="BO16" s="46">
        <v>53589.132799999999</v>
      </c>
      <c r="BP16" s="46">
        <v>322251.64799999999</v>
      </c>
      <c r="BQ16" s="46">
        <v>342.36</v>
      </c>
      <c r="BR16" s="46">
        <v>191.09899999999999</v>
      </c>
      <c r="BS16" s="46">
        <v>1109835.1429999999</v>
      </c>
      <c r="BT16" s="46">
        <v>1400689.362</v>
      </c>
      <c r="BU16" s="46">
        <v>643334.272</v>
      </c>
      <c r="BV16" s="46">
        <v>1063941.6000000001</v>
      </c>
      <c r="BW16" s="46">
        <v>584897.79200000002</v>
      </c>
      <c r="BX16" s="46">
        <v>1087596.1599999999</v>
      </c>
      <c r="BY16" s="46">
        <v>161009.80799999999</v>
      </c>
      <c r="BZ16" s="46">
        <v>117253.46400000001</v>
      </c>
      <c r="CA16" s="46">
        <v>1244.6123</v>
      </c>
      <c r="CB16" s="46">
        <v>111186.792</v>
      </c>
      <c r="CC16" s="46">
        <v>159434.432</v>
      </c>
      <c r="CD16" s="46">
        <v>461078.304</v>
      </c>
      <c r="CE16" s="46">
        <v>51007.209600000002</v>
      </c>
      <c r="CF16" s="46">
        <v>158436.272</v>
      </c>
      <c r="CG16" s="46">
        <v>36122.460800000001</v>
      </c>
      <c r="CH16" s="46">
        <v>2385.8710000000001</v>
      </c>
      <c r="CI16" s="46">
        <v>224.75</v>
      </c>
      <c r="CJ16" s="46">
        <v>1201.9000000000001</v>
      </c>
      <c r="CK16" s="46">
        <v>81.509</v>
      </c>
      <c r="CL16" s="46">
        <v>772.61400000000003</v>
      </c>
      <c r="CM16" s="46">
        <v>551.4</v>
      </c>
      <c r="CN16" s="46">
        <v>75242.3</v>
      </c>
      <c r="CO16" s="46">
        <v>1735.904</v>
      </c>
      <c r="CP16" s="46">
        <v>312399.50799999997</v>
      </c>
      <c r="CQ16" s="46">
        <v>3782539.52</v>
      </c>
      <c r="CR16" s="46">
        <v>135287.82399999999</v>
      </c>
      <c r="CS16" s="46">
        <v>537289.728</v>
      </c>
      <c r="CT16" s="46">
        <v>3197265.1189999999</v>
      </c>
      <c r="CU16" s="46">
        <v>321279.37599999999</v>
      </c>
      <c r="CV16" s="46">
        <v>31106.2016</v>
      </c>
      <c r="CW16" s="46">
        <v>64202.022400000002</v>
      </c>
      <c r="CX16" s="46" t="s">
        <v>227</v>
      </c>
      <c r="CY16" s="46">
        <v>0</v>
      </c>
      <c r="CZ16" s="46">
        <v>0</v>
      </c>
      <c r="DA16" s="46">
        <v>20230.29</v>
      </c>
      <c r="DB16" s="46">
        <v>157447.72700000001</v>
      </c>
      <c r="DC16" s="46">
        <v>3511.22</v>
      </c>
      <c r="DD16" s="46">
        <v>3511.09</v>
      </c>
      <c r="DE16" s="46">
        <v>3543.4</v>
      </c>
      <c r="DF16" s="46">
        <v>0.98899999999999999</v>
      </c>
      <c r="DG16" s="44" t="s">
        <v>210</v>
      </c>
      <c r="DH16" s="2">
        <f>Table2[[#This Row],[Date]]</f>
        <v>46311</v>
      </c>
      <c r="DI16">
        <f>(DD17-Table2[[#This Row],[MWH Total]])*4000</f>
        <v>24639.999999999418</v>
      </c>
      <c r="DJ16">
        <f>(DA17-Table2[[#This Row],[PNG Meter (Outside)]])*2.936</f>
        <v>261.48015999999313</v>
      </c>
      <c r="DK16">
        <f>(DB17-Table2[[#This Row],[PNG Meter (Inside)]])*2.936</f>
        <v>327.35519199992342</v>
      </c>
      <c r="DL16">
        <f>(BH17-Table2[[#This Row],[3F Dough cooler - 2 ]])*1000</f>
        <v>395.00000000003865</v>
      </c>
      <c r="DM16">
        <f>(BI17-Table2[[#This Row],[3F Dough Cooler- 1]])*1000</f>
        <v>472.00000000009368</v>
      </c>
      <c r="DN16">
        <f>(BJ17-Table2[[#This Row],[4F Dough Production cooling Unit]])*1000</f>
        <v>30.000000000001137</v>
      </c>
      <c r="DO16">
        <f>(BQ17-Table2[[#This Row],[3F2 - PDB 3 - Dough Production Area]])*1000</f>
        <v>290.99999999999682</v>
      </c>
      <c r="DP16">
        <f>(BR17-Table2[[#This Row],[3F3 - PDB 4 - Dough Area]])*1000</f>
        <v>165.00000000002046</v>
      </c>
      <c r="DQ16">
        <f>AC17-Table2[[#This Row],[16F1 Tray washer Panel for Light]]</f>
        <v>717.12000000011176</v>
      </c>
      <c r="DR16">
        <f>CQ17-Table2[[#This Row],[2F1 Tray Washer - 1]]</f>
        <v>1455.3599999998696</v>
      </c>
      <c r="DS16">
        <f>CS17-Table2[[#This Row],[2F5 Destacker]]</f>
        <v>219.26399999996647</v>
      </c>
      <c r="DT16">
        <f>CU17-Table2[[#This Row],[5F1 Metering (TW-2)]]</f>
        <v>224.96899999998277</v>
      </c>
      <c r="DU16">
        <f>CV17-Table2[[#This Row],[6F1 Pre soaker Tray washer]]</f>
        <v>3.3919999999998254</v>
      </c>
      <c r="DV16">
        <f>CZ17-Table2[[#This Row],[6F5 Vent tray Storage]]</f>
        <v>224104.65599999999</v>
      </c>
      <c r="DW16">
        <f>I17-Table2[[#This Row],[Popeyes Meter ]]</f>
        <v>3.2999999999999474E-2</v>
      </c>
      <c r="DX16">
        <f>AZ17-Table2[[#This Row],[2F WH Chiller, Segregation Area]]</f>
        <v>2.5000000000002132E-2</v>
      </c>
      <c r="DY16">
        <f>BA17-Table2[[#This Row],[3F1 AC Unit WH dock cooling - 2 Nos]]</f>
        <v>1.699999999999946E-2</v>
      </c>
      <c r="DZ16">
        <f>BB17-Table2[[#This Row],[3F2 AC Unit WH dock cooling - 3 Nos]]</f>
        <v>2.7999999999998693E-2</v>
      </c>
      <c r="EA16">
        <f>(BK17-Table2[[#This Row],[5F WH Perishable]])*1000</f>
        <v>276.99999999992997</v>
      </c>
      <c r="EB16">
        <f>BN17-Table2[[#This Row],[2F3 - PDB 9 - WH Dock Leveler Door ]]</f>
        <v>-7510.0392000000002</v>
      </c>
      <c r="EC16">
        <f>BP17-Table2[[#This Row],[3F1 - PDB 5 - WH HSD]]</f>
        <v>109.88800000003539</v>
      </c>
      <c r="ED16">
        <f>BX17-Table2[[#This Row],[8F1 WH Dock AHU - Ventilation]]</f>
        <v>149.20000000018626</v>
      </c>
      <c r="EE16">
        <f>BZ17-Table2[[#This Row],[8F3 ACPDB - 4 WH Dock air curtain]]</f>
        <v>53.743999999991502</v>
      </c>
      <c r="EF16">
        <f>CA17-Table2[[#This Row],[8F4 WH Light]]</f>
        <v>2.6268000000000029</v>
      </c>
      <c r="EG16">
        <f>CC17-Table2[[#This Row],[9F1 - PDB 10 - WH Dock door &amp; Office]]</f>
        <v>97.35999999998603</v>
      </c>
      <c r="EH16">
        <f>CD17-Table2[[#This Row],[9F2 - PDB 11 - WH flycatchers]]</f>
        <v>308.06400000001304</v>
      </c>
      <c r="EI16">
        <f>CE17-Table2[[#This Row],[9F3 - PDB 12 - Other items]]</f>
        <v>34.102999999995518</v>
      </c>
      <c r="EJ16">
        <f>CR17-Table2[[#This Row],[2F3 - PDB 1 - Dock 1 to 4 ]]</f>
        <v>34</v>
      </c>
      <c r="EK16">
        <f>BM17-Table2[[#This Row],[2F2 - PDB 3 - WH Truck &amp; Battery Charging]]</f>
        <v>527.35999999998603</v>
      </c>
      <c r="EL16">
        <f>(CK17-Table2[[#This Row],[PDB - 11 Truck Charging]])*1000</f>
        <v>52.000000000006708</v>
      </c>
      <c r="EM16" s="1">
        <f>P17-Table2[[#This Row],[5F3 Admin Area]]</f>
        <v>263.74399999994785</v>
      </c>
      <c r="EN16">
        <f>AH17-Table2[[#This Row],[2F5 Main Gate-1 Piller -1]]</f>
        <v>92.080000000016298</v>
      </c>
      <c r="EO16">
        <f>CW17-Table2[[#This Row],[6F2 Ground Floor AC]]</f>
        <v>11.084799999996903</v>
      </c>
      <c r="EP16" t="e">
        <f>CX17-Table2[[#This Row],[6F3 ACBD -1 (First floor AC)]]</f>
        <v>#VALUE!</v>
      </c>
      <c r="EQ16">
        <f>CY17-Table2[[#This Row],[6F4 ACBD - 2 (Second &amp; Third floor AC)]]</f>
        <v>176726.24</v>
      </c>
      <c r="ER16">
        <f>(BC17-Table2[[#This Row],[4F Old BMC cooling Unit]])</f>
        <v>-114029.736</v>
      </c>
      <c r="ES16">
        <f>BO17-Table2[[#This Row],[2F4 - Old BMC]]</f>
        <v>0</v>
      </c>
      <c r="ET16">
        <f>Y17-Table2[[#This Row],[14F2 New CK]]</f>
        <v>1042.4799999999814</v>
      </c>
      <c r="EU16">
        <f>(CL17-Table2[[#This Row],[OLD Ck Panel-1]])*1000</f>
        <v>608.9999999999236</v>
      </c>
      <c r="EV16">
        <f>CM17-Table2[[#This Row],[2F4 Old CK Blast (Blue star)]]</f>
        <v>0</v>
      </c>
      <c r="EW16">
        <f>CN17-Table2[[#This Row],[3F6 Old CK Blast (Carrier)]]</f>
        <v>487</v>
      </c>
      <c r="EX16">
        <f>(CO17-Table2[[#This Row],[Old CK Panel -2]])*1000</f>
        <v>787.00000000003456</v>
      </c>
      <c r="EY16">
        <f>N17-Table2[[#This Row],[4F1 Main UPS 1/C -1]]</f>
        <v>876.32000000006519</v>
      </c>
      <c r="EZ16">
        <f>Z17-Table2[[#This Row],[15F1 Main UPS Panel - I/C - 2]]</f>
        <v>0</v>
      </c>
      <c r="FA16">
        <f>BF17-Table2[[#This Row],[2F CLC -1 AC unit - 2]]</f>
        <v>0</v>
      </c>
      <c r="FB16">
        <f>(BG17-Table2[[#This Row],[2F CLC Anti room]])*1000</f>
        <v>34.000000000006025</v>
      </c>
      <c r="FC16">
        <f>BW17-Table2[[#This Row],[7F3 CLC Power Panel]]</f>
        <v>303.16799999994691</v>
      </c>
      <c r="FD16">
        <f>(CI17-Table2[[#This Row],[PDB - 17 CLC Section ]])*1000</f>
        <v>191.0000000000025</v>
      </c>
      <c r="FE16">
        <f>(W17-Table2[[#This Row],[13F3 Water &amp; Lift Old CK]])*1000</f>
        <v>1410.4999999999563</v>
      </c>
      <c r="FF16">
        <f>AA17-Table2[[#This Row],[15F2 New ETP Panel]]</f>
        <v>278.84799999999814</v>
      </c>
      <c r="FG16">
        <f>AL17-Table2[[#This Row],[3F4 Old ETP Panel]]</f>
        <v>70.400000000023283</v>
      </c>
      <c r="FH16">
        <f>AF17-Table2[[#This Row],[2F1 RO Plant]]</f>
        <v>541.95200000004843</v>
      </c>
      <c r="FI16">
        <f>AK17-Table2[[#This Row],[3F3 Fire Hydrant Panel]]</f>
        <v>1.6959999999962747</v>
      </c>
      <c r="FJ16">
        <f>R17-Table2[[#This Row],[7F1 Freon System Panel]]</f>
        <v>6471.679999999702</v>
      </c>
      <c r="FK16">
        <f>(AE17-Table2[[#This Row],[21F1 Refrigeration Ammonia]])*1000</f>
        <v>5979.1999999997643</v>
      </c>
      <c r="FL16">
        <f>(AG17-Table2[[#This Row],[2F3 Air Compressor]])*1000</f>
        <v>1283.9999999998781</v>
      </c>
      <c r="FM16">
        <f>(AX17-Table2[[#This Row],[Solar Reading Panel II]])*1000</f>
        <v>2542.9999999996653</v>
      </c>
      <c r="FN16">
        <f>AI17-Table2[[#This Row],[3F1 Maintenance Workshop]]</f>
        <v>3.9151999999994587</v>
      </c>
      <c r="FO16">
        <f>BD17-Table2[[#This Row],[4F B2B unit ]]</f>
        <v>40.575999999942724</v>
      </c>
      <c r="FP16">
        <f>BL17-Table2[[#This Row],[2F1 - PDB 6 - Bread, B2B section]]</f>
        <v>6315.8656000000046</v>
      </c>
      <c r="FQ16">
        <f>(CG17-Table2[[#This Row],[9F5 - PDB 14 - Bread Lift]])</f>
        <v>0.31999999999970896</v>
      </c>
      <c r="FR16">
        <f>CJ17-Table2[[#This Row],[PDB - 16 Bread Section]]</f>
        <v>0.6999999999998181</v>
      </c>
      <c r="FS16">
        <f>BU17-Table2[[#This Row],[7F1 Donut Production area]]</f>
        <v>172.99199999996927</v>
      </c>
      <c r="FT16">
        <f>CB17-Table2[[#This Row],[8F5 Donut Ban Bary]]</f>
        <v>38.288000000000466</v>
      </c>
      <c r="FU16">
        <f>CF17-Table2[[#This Row],[9F4 - PDB 13 - Donut Sink Geyser area]]</f>
        <v>23.823999999993248</v>
      </c>
      <c r="FV16">
        <f>BV17-Table2[[#This Row],[7F2 Flour Silo]]</f>
        <v>986.23999999999069</v>
      </c>
      <c r="FW16">
        <f>BY17-Table2[[#This Row],[8F2 ACPDB - 3 SILO Ventilation]]</f>
        <v>41.6480000000156</v>
      </c>
      <c r="FX16">
        <f>J17-Table2[[#This Row],[DG 1010KVA Running Hours]]</f>
        <v>1.5999999999994543</v>
      </c>
      <c r="FY16">
        <f>K17-Table2[[#This Row],[DG 1010 KVA Meter Reading]]</f>
        <v>878</v>
      </c>
      <c r="FZ16">
        <f>L17-Table2[[#This Row],[GG 1010 KVA Running Hours]]</f>
        <v>2</v>
      </c>
      <c r="GA16">
        <f>M17-Table2[[#This Row],[GG 1010 KVA Meter Reading]]</f>
        <v>0.90999999999999659</v>
      </c>
    </row>
    <row r="17" spans="1:183">
      <c r="A17" s="55">
        <v>117</v>
      </c>
      <c r="B17" s="45">
        <v>46312.377453703702</v>
      </c>
      <c r="C17" s="45">
        <v>46312.423807870371</v>
      </c>
      <c r="D17" s="55" t="s">
        <v>111</v>
      </c>
      <c r="E17" s="44"/>
      <c r="F17" s="44"/>
      <c r="G17" s="57">
        <v>46312</v>
      </c>
      <c r="H17" s="44" t="s">
        <v>182</v>
      </c>
      <c r="I17" s="46">
        <v>10.122999999999999</v>
      </c>
      <c r="J17" s="46">
        <v>4294.7</v>
      </c>
      <c r="K17" s="46">
        <v>1785705</v>
      </c>
      <c r="L17" s="46">
        <v>474</v>
      </c>
      <c r="M17" s="46">
        <v>199.96</v>
      </c>
      <c r="N17" s="46">
        <v>1937919.2</v>
      </c>
      <c r="O17" s="46">
        <v>4737495.3600000003</v>
      </c>
      <c r="P17" s="46">
        <v>672227.45600000001</v>
      </c>
      <c r="Q17" s="46">
        <v>8298584.96</v>
      </c>
      <c r="R17" s="46">
        <v>5938821.7599999998</v>
      </c>
      <c r="S17" s="46">
        <v>7623398.4000000004</v>
      </c>
      <c r="T17" s="46">
        <v>43646176.075999998</v>
      </c>
      <c r="U17" s="46">
        <v>2203860.96</v>
      </c>
      <c r="V17" s="46">
        <v>5240471.3600000003</v>
      </c>
      <c r="W17" s="46">
        <v>1670.9674</v>
      </c>
      <c r="X17" s="46">
        <v>796291.26399999997</v>
      </c>
      <c r="Y17" s="46">
        <v>1201882.24</v>
      </c>
      <c r="Z17" s="46">
        <v>2777.8894</v>
      </c>
      <c r="AA17" s="46">
        <v>690172.03200000001</v>
      </c>
      <c r="AB17" s="46">
        <v>423961.66399999999</v>
      </c>
      <c r="AC17" s="46">
        <v>2191823.6800000002</v>
      </c>
      <c r="AD17" s="46">
        <v>3400088.1740000001</v>
      </c>
      <c r="AE17" s="46">
        <v>13331.0072</v>
      </c>
      <c r="AF17" s="46">
        <v>918193.152</v>
      </c>
      <c r="AG17" s="46">
        <v>1488.712</v>
      </c>
      <c r="AH17" s="46">
        <v>141898.91200000001</v>
      </c>
      <c r="AI17" s="46">
        <v>15013.48</v>
      </c>
      <c r="AJ17" s="46">
        <v>145473.21599999999</v>
      </c>
      <c r="AK17" s="46">
        <v>105928.408</v>
      </c>
      <c r="AL17" s="46">
        <v>336456.864</v>
      </c>
      <c r="AM17" s="46">
        <v>1036.8230000000001</v>
      </c>
      <c r="AN17" s="46">
        <v>311.3</v>
      </c>
      <c r="AO17" s="46">
        <v>7.4</v>
      </c>
      <c r="AP17" s="46">
        <v>199739</v>
      </c>
      <c r="AQ17" s="46">
        <v>43522</v>
      </c>
      <c r="AR17" s="46">
        <v>42968</v>
      </c>
      <c r="AS17" s="46">
        <v>32537</v>
      </c>
      <c r="AT17" s="46">
        <v>22238</v>
      </c>
      <c r="AU17" s="46">
        <v>17294</v>
      </c>
      <c r="AV17" s="46">
        <v>7403</v>
      </c>
      <c r="AW17" s="46">
        <v>21.434614</v>
      </c>
      <c r="AX17" s="46">
        <v>7420.2539999999999</v>
      </c>
      <c r="AY17" s="46">
        <v>689.60936000000004</v>
      </c>
      <c r="AZ17" s="46">
        <v>21.361000000000001</v>
      </c>
      <c r="BA17" s="46">
        <v>11.734999999999999</v>
      </c>
      <c r="BB17" s="46">
        <v>47.551000000000002</v>
      </c>
      <c r="BC17" s="46">
        <v>0</v>
      </c>
      <c r="BD17" s="46">
        <v>279498.14399999997</v>
      </c>
      <c r="BE17" s="46">
        <v>3818.8856000000001</v>
      </c>
      <c r="BF17" s="46">
        <v>1714.182</v>
      </c>
      <c r="BG17" s="46">
        <v>77.066000000000003</v>
      </c>
      <c r="BH17" s="46">
        <v>392.01600000000002</v>
      </c>
      <c r="BI17" s="46">
        <v>951.29100000000005</v>
      </c>
      <c r="BJ17" s="46">
        <v>17.654</v>
      </c>
      <c r="BK17" s="46">
        <v>584.77499999999998</v>
      </c>
      <c r="BL17" s="46">
        <v>94726.412800000006</v>
      </c>
      <c r="BM17" s="46">
        <v>346691.32799999998</v>
      </c>
      <c r="BN17" s="46">
        <v>0</v>
      </c>
      <c r="BO17" s="46">
        <v>53589.132799999999</v>
      </c>
      <c r="BP17" s="46">
        <v>322361.53600000002</v>
      </c>
      <c r="BQ17" s="46">
        <v>342.65100000000001</v>
      </c>
      <c r="BR17" s="46">
        <v>191.26400000000001</v>
      </c>
      <c r="BS17" s="46">
        <v>1111257.507</v>
      </c>
      <c r="BT17" s="46">
        <v>1400689.4210000001</v>
      </c>
      <c r="BU17" s="46">
        <v>643507.26399999997</v>
      </c>
      <c r="BV17" s="46">
        <v>1064927.8400000001</v>
      </c>
      <c r="BW17" s="46">
        <v>585200.96</v>
      </c>
      <c r="BX17" s="46">
        <v>1087745.3600000001</v>
      </c>
      <c r="BY17" s="46">
        <v>161051.45600000001</v>
      </c>
      <c r="BZ17" s="46">
        <v>117307.208</v>
      </c>
      <c r="CA17" s="46">
        <v>1247.2391</v>
      </c>
      <c r="CB17" s="46">
        <v>111225.08</v>
      </c>
      <c r="CC17" s="46">
        <v>159531.79199999999</v>
      </c>
      <c r="CD17" s="46">
        <v>461386.36800000002</v>
      </c>
      <c r="CE17" s="46">
        <v>51041.312599999997</v>
      </c>
      <c r="CF17" s="46">
        <v>158460.09599999999</v>
      </c>
      <c r="CG17" s="46">
        <v>36122.7808</v>
      </c>
      <c r="CH17" s="46">
        <v>2385.8710000000001</v>
      </c>
      <c r="CI17" s="46">
        <v>224.941</v>
      </c>
      <c r="CJ17" s="46">
        <v>1202.5999999999999</v>
      </c>
      <c r="CK17" s="46">
        <v>81.561000000000007</v>
      </c>
      <c r="CL17" s="46">
        <v>773.22299999999996</v>
      </c>
      <c r="CM17" s="46">
        <v>551.4</v>
      </c>
      <c r="CN17" s="46">
        <v>75729.3</v>
      </c>
      <c r="CO17" s="46">
        <v>1736.691</v>
      </c>
      <c r="CP17" s="46">
        <v>312691.196</v>
      </c>
      <c r="CQ17" s="46">
        <v>3783994.88</v>
      </c>
      <c r="CR17" s="46">
        <v>135321.82399999999</v>
      </c>
      <c r="CS17" s="46">
        <v>537508.99199999997</v>
      </c>
      <c r="CT17" s="46">
        <v>3200663.946</v>
      </c>
      <c r="CU17" s="46">
        <v>321504.34499999997</v>
      </c>
      <c r="CV17" s="46">
        <v>31109.5936</v>
      </c>
      <c r="CW17" s="46">
        <v>64213.107199999999</v>
      </c>
      <c r="CX17" s="46">
        <v>34096.979200000002</v>
      </c>
      <c r="CY17" s="46">
        <v>176726.24</v>
      </c>
      <c r="CZ17" s="46">
        <v>224104.65599999999</v>
      </c>
      <c r="DA17" s="46">
        <v>20319.349999999999</v>
      </c>
      <c r="DB17" s="46">
        <v>157559.22399999999</v>
      </c>
      <c r="DC17" s="46">
        <v>3517.88</v>
      </c>
      <c r="DD17" s="46">
        <v>3517.25</v>
      </c>
      <c r="DE17" s="46">
        <v>3549.58</v>
      </c>
      <c r="DF17" s="46">
        <v>0.997</v>
      </c>
      <c r="DG17" s="44" t="s">
        <v>221</v>
      </c>
      <c r="DH17" s="2">
        <f>Table2[[#This Row],[Date]]</f>
        <v>46312</v>
      </c>
      <c r="DI17">
        <f>(DD18-Table2[[#This Row],[MWH Total]])*4000/2</f>
        <v>23079.999999999927</v>
      </c>
      <c r="DJ17">
        <f>(DA18-Table2[[#This Row],[PNG Meter (Outside)]])*2.936</f>
        <v>49.383519999999145</v>
      </c>
      <c r="DK17">
        <f>(DB18-Table2[[#This Row],[PNG Meter (Inside)]])*2.936</f>
        <v>358.72048000006492</v>
      </c>
      <c r="DL17">
        <f>(BH18-Table2[[#This Row],[3F Dough cooler - 2 ]])*1000</f>
        <v>822.00000000000273</v>
      </c>
      <c r="DM17">
        <f>(BI18-Table2[[#This Row],[3F Dough Cooler- 1]])*1000</f>
        <v>980.99999999999454</v>
      </c>
      <c r="DN17">
        <f>(BJ18-Table2[[#This Row],[4F Dough Production cooling Unit]])*1000</f>
        <v>118.99999999999977</v>
      </c>
      <c r="DO17">
        <f>(BQ18-Table2[[#This Row],[3F2 - PDB 3 - Dough Production Area]])*1000</f>
        <v>540.99999999999682</v>
      </c>
      <c r="DP17">
        <f>(BR18-Table2[[#This Row],[3F3 - PDB 4 - Dough Area]])*1000</f>
        <v>340.00000000000341</v>
      </c>
      <c r="DQ17">
        <f>AC18-Table2[[#This Row],[16F1 Tray washer Panel for Light]]</f>
        <v>1410.2399999997579</v>
      </c>
      <c r="DR17">
        <f>CQ18-Table2[[#This Row],[2F1 Tray Washer - 1]]</f>
        <v>3185.2800000002608</v>
      </c>
      <c r="DS17">
        <f>CS18-Table2[[#This Row],[2F5 Destacker]]</f>
        <v>308.03200000000652</v>
      </c>
      <c r="DT17">
        <f>CU18-Table2[[#This Row],[5F1 Metering (TW-2)]]</f>
        <v>551.05500000005122</v>
      </c>
      <c r="DU17">
        <f>CV18-Table2[[#This Row],[6F1 Pre soaker Tray washer]]</f>
        <v>58.236799999998766</v>
      </c>
      <c r="DV17">
        <f>CZ18-Table2[[#This Row],[6F5 Vent tray Storage]]</f>
        <v>113.87200000000303</v>
      </c>
      <c r="DW17">
        <f>I18-Table2[[#This Row],[Popeyes Meter ]]</f>
        <v>1.9000000000000128E-2</v>
      </c>
      <c r="DX17">
        <f>AZ18-Table2[[#This Row],[2F WH Chiller, Segregation Area]]</f>
        <v>5.1999999999999602E-2</v>
      </c>
      <c r="DY17">
        <f>BA18-Table2[[#This Row],[3F1 AC Unit WH dock cooling - 2 Nos]]</f>
        <v>3.3000000000001251E-2</v>
      </c>
      <c r="DZ17">
        <f>BB18-Table2[[#This Row],[3F2 AC Unit WH dock cooling - 3 Nos]]</f>
        <v>5.1999999999999602E-2</v>
      </c>
      <c r="EA17">
        <f>(BK18-Table2[[#This Row],[5F WH Perishable]])*1000</f>
        <v>577.99999999997453</v>
      </c>
      <c r="EB17">
        <f>BN18-Table2[[#This Row],[2F3 - PDB 9 - WH Dock Leveler Door ]]</f>
        <v>7522.9488000000001</v>
      </c>
      <c r="EC17">
        <f>BP18-Table2[[#This Row],[3F1 - PDB 5 - WH HSD]]</f>
        <v>258.01600000000326</v>
      </c>
      <c r="ED17">
        <f>BX18-Table2[[#This Row],[8F1 WH Dock AHU - Ventilation]]</f>
        <v>327.5199999997858</v>
      </c>
      <c r="EE17">
        <f>BZ18-Table2[[#This Row],[8F3 ACPDB - 4 WH Dock air curtain]]</f>
        <v>129.4320000000007</v>
      </c>
      <c r="EF17">
        <f>CA18-Table2[[#This Row],[8F4 WH Light]]</f>
        <v>6.9041999999999462</v>
      </c>
      <c r="EG17">
        <f>CC18-Table2[[#This Row],[9F1 - PDB 10 - WH Dock door &amp; Office]]</f>
        <v>270.66400000001886</v>
      </c>
      <c r="EH17">
        <f>CD18-Table2[[#This Row],[9F2 - PDB 11 - WH flycatchers]]</f>
        <v>322.17599999997765</v>
      </c>
      <c r="EI17">
        <f>CE18-Table2[[#This Row],[9F3 - PDB 12 - Other items]]</f>
        <v>156.45380000000296</v>
      </c>
      <c r="EJ17">
        <f>CR18-Table2[[#This Row],[2F3 - PDB 1 - Dock 1 to 4 ]]</f>
        <v>65.119999999995343</v>
      </c>
      <c r="EK17">
        <f>BM18-Table2[[#This Row],[2F2 - PDB 3 - WH Truck &amp; Battery Charging]]</f>
        <v>716.54399999999441</v>
      </c>
      <c r="EL17">
        <f>(CK18-Table2[[#This Row],[PDB - 11 Truck Charging]])*1000</f>
        <v>84.999999999993747</v>
      </c>
      <c r="EM17" s="1">
        <f>P18-Table2[[#This Row],[5F3 Admin Area]]</f>
        <v>487.10400000005029</v>
      </c>
      <c r="EN17">
        <f>AH18-Table2[[#This Row],[2F5 Main Gate-1 Piller -1]]</f>
        <v>184.7039999999979</v>
      </c>
      <c r="EO17">
        <f>CW18-Table2[[#This Row],[6F2 Ground Floor AC]]</f>
        <v>21.196799999997893</v>
      </c>
      <c r="EP17">
        <f>CX18-Table2[[#This Row],[6F3 ACBD -1 (First floor AC)]]</f>
        <v>19.609599999996135</v>
      </c>
      <c r="EQ17">
        <f>CY18-Table2[[#This Row],[6F4 ACBD - 2 (Second &amp; Third floor AC)]]</f>
        <v>127.2960000000021</v>
      </c>
      <c r="ER17">
        <f>(BC18-Table2[[#This Row],[4F Old BMC cooling Unit]])</f>
        <v>0</v>
      </c>
      <c r="ES17">
        <f>BO18-Table2[[#This Row],[2F4 - Old BMC]]</f>
        <v>0</v>
      </c>
      <c r="ET17">
        <f>Y18-Table2[[#This Row],[14F2 New CK]]</f>
        <v>2053.9199999999255</v>
      </c>
      <c r="EU17">
        <f>(CL18-Table2[[#This Row],[OLD Ck Panel-1]])*1000</f>
        <v>884.00000000001455</v>
      </c>
      <c r="EV17">
        <f>CM18-Table2[[#This Row],[2F4 Old CK Blast (Blue star)]]</f>
        <v>0</v>
      </c>
      <c r="EW17">
        <f>CN18-Table2[[#This Row],[3F6 Old CK Blast (Carrier)]]</f>
        <v>757.19999999999709</v>
      </c>
      <c r="EX17">
        <f>(CO18-Table2[[#This Row],[Old CK Panel -2]])*1000</f>
        <v>943.99999999995998</v>
      </c>
      <c r="EY17">
        <f>N18-Table2[[#This Row],[4F1 Main UPS 1/C -1]]</f>
        <v>1676.9599999999627</v>
      </c>
      <c r="EZ17">
        <f>Z18-Table2[[#This Row],[15F1 Main UPS Panel - I/C - 2]]</f>
        <v>0</v>
      </c>
      <c r="FA17">
        <f>BF18-Table2[[#This Row],[2F CLC -1 AC unit - 2]]</f>
        <v>0</v>
      </c>
      <c r="FB17">
        <f>(BG18-Table2[[#This Row],[2F CLC Anti room]])*1000</f>
        <v>57.999999999992724</v>
      </c>
      <c r="FC17">
        <f>BW18-Table2[[#This Row],[7F3 CLC Power Panel]]</f>
        <v>350.40000000002328</v>
      </c>
      <c r="FD17">
        <f>(CI18-Table2[[#This Row],[PDB - 17 CLC Section ]])*1000</f>
        <v>209.00000000000318</v>
      </c>
      <c r="FE17">
        <f>(W18-Table2[[#This Row],[13F3 Water &amp; Lift Old CK]])*1000</f>
        <v>2704.1999999999007</v>
      </c>
      <c r="FF17">
        <f>AA18-Table2[[#This Row],[15F2 New ETP Panel]]</f>
        <v>598.07999999995809</v>
      </c>
      <c r="FG17">
        <f>AL18-Table2[[#This Row],[3F4 Old ETP Panel]]</f>
        <v>171.45600000000559</v>
      </c>
      <c r="FH17">
        <f>AF18-Table2[[#This Row],[2F1 RO Plant]]</f>
        <v>945.59999999997672</v>
      </c>
      <c r="FI17">
        <f>AK18-Table2[[#This Row],[3F3 Fire Hydrant Panel]]</f>
        <v>4.9440000000031432</v>
      </c>
      <c r="FJ17">
        <f>R18-Table2[[#This Row],[7F1 Freon System Panel]]</f>
        <v>11243.520000000484</v>
      </c>
      <c r="FK17">
        <f>(AE18-Table2[[#This Row],[21F1 Refrigeration Ammonia]])*1000</f>
        <v>12060.79999999929</v>
      </c>
      <c r="FL17">
        <f>(AG18-Table2[[#This Row],[2F3 Air Compressor]])*1000</f>
        <v>2601.0000000001128</v>
      </c>
      <c r="FM17">
        <f>(AX18-Table2[[#This Row],[Solar Reading Panel II]])*1000</f>
        <v>5078.0000000004293</v>
      </c>
      <c r="FN17">
        <f>AI18-Table2[[#This Row],[3F1 Maintenance Workshop]]</f>
        <v>7.1584000000002561</v>
      </c>
      <c r="FO17">
        <f>BD18-Table2[[#This Row],[4F B2B unit ]]</f>
        <v>43.776000000012573</v>
      </c>
      <c r="FP17">
        <f>BL18-Table2[[#This Row],[2F1 - PDB 6 - Bread, B2B section]]</f>
        <v>19617.7552</v>
      </c>
      <c r="FQ17">
        <f>(CG18-Table2[[#This Row],[9F5 - PDB 14 - Bread Lift]])</f>
        <v>0.70079999999870779</v>
      </c>
      <c r="FR17">
        <f>CJ18-Table2[[#This Row],[PDB - 16 Bread Section]]</f>
        <v>1.1000000000001364</v>
      </c>
      <c r="FS17">
        <f>BU18-Table2[[#This Row],[7F1 Donut Production area]]</f>
        <v>307.71200000005774</v>
      </c>
      <c r="FT17">
        <f>CB18-Table2[[#This Row],[8F5 Donut Ban Bary]]</f>
        <v>80.423999999999069</v>
      </c>
      <c r="FU17">
        <f>CF18-Table2[[#This Row],[9F4 - PDB 13 - Donut Sink Geyser area]]</f>
        <v>56.160000000003492</v>
      </c>
      <c r="FV17">
        <f>BV18-Table2[[#This Row],[7F2 Flour Silo]]</f>
        <v>1355.2800000000279</v>
      </c>
      <c r="FW17">
        <f>BY18-Table2[[#This Row],[8F2 ACPDB - 3 SILO Ventilation]]</f>
        <v>85.119999999995343</v>
      </c>
      <c r="FX17">
        <f>J18-Table2[[#This Row],[DG 1010KVA Running Hours]]</f>
        <v>0.6000000000003638</v>
      </c>
      <c r="FY17">
        <f>K18-Table2[[#This Row],[DG 1010 KVA Meter Reading]]</f>
        <v>144</v>
      </c>
      <c r="FZ17">
        <f>L18-Table2[[#This Row],[GG 1010 KVA Running Hours]]</f>
        <v>0</v>
      </c>
      <c r="GA17">
        <f>M18-Table2[[#This Row],[GG 1010 KVA Meter Reading]]</f>
        <v>0.12999999999999545</v>
      </c>
    </row>
    <row r="18" spans="1:183">
      <c r="A18" s="55">
        <v>118</v>
      </c>
      <c r="B18" s="45">
        <v>46314.394375000003</v>
      </c>
      <c r="C18" s="45">
        <v>46314.433865740742</v>
      </c>
      <c r="D18" s="55" t="s">
        <v>111</v>
      </c>
      <c r="E18" s="44"/>
      <c r="F18" s="44"/>
      <c r="G18" s="57">
        <v>46314</v>
      </c>
      <c r="H18" s="44" t="s">
        <v>182</v>
      </c>
      <c r="I18" s="46">
        <v>10.141999999999999</v>
      </c>
      <c r="J18" s="46">
        <v>4295.3</v>
      </c>
      <c r="K18" s="46">
        <v>1785849</v>
      </c>
      <c r="L18" s="46">
        <v>474</v>
      </c>
      <c r="M18" s="46">
        <v>200.09</v>
      </c>
      <c r="N18" s="46">
        <v>1939596.16</v>
      </c>
      <c r="O18" s="46">
        <v>4741216.6399999997</v>
      </c>
      <c r="P18" s="46">
        <v>672714.56</v>
      </c>
      <c r="Q18" s="46">
        <v>8304075.5199999996</v>
      </c>
      <c r="R18" s="46">
        <v>5950065.2800000003</v>
      </c>
      <c r="S18" s="46">
        <v>7629758.7199999997</v>
      </c>
      <c r="T18" s="46">
        <v>44127415.027000003</v>
      </c>
      <c r="U18" s="46">
        <v>2206157.2799999998</v>
      </c>
      <c r="V18" s="46">
        <v>5243927.04</v>
      </c>
      <c r="W18" s="46">
        <v>1673.6715999999999</v>
      </c>
      <c r="X18" s="46">
        <v>796842.43200000003</v>
      </c>
      <c r="Y18" s="46">
        <v>1203936.1599999999</v>
      </c>
      <c r="Z18" s="46">
        <v>2777.8894</v>
      </c>
      <c r="AA18" s="46">
        <v>690770.11199999996</v>
      </c>
      <c r="AB18" s="46">
        <v>424008.70400000003</v>
      </c>
      <c r="AC18" s="46">
        <v>2193233.9199999999</v>
      </c>
      <c r="AD18" s="46">
        <v>5123534.8039999995</v>
      </c>
      <c r="AE18" s="46">
        <v>13343.067999999999</v>
      </c>
      <c r="AF18" s="46">
        <v>919138.75199999998</v>
      </c>
      <c r="AG18" s="46">
        <v>1491.3130000000001</v>
      </c>
      <c r="AH18" s="46">
        <v>142083.61600000001</v>
      </c>
      <c r="AI18" s="46">
        <v>15020.6384</v>
      </c>
      <c r="AJ18" s="46">
        <v>145475.44</v>
      </c>
      <c r="AK18" s="46">
        <v>105933.352</v>
      </c>
      <c r="AL18" s="46">
        <v>336628.32</v>
      </c>
      <c r="AM18" s="46">
        <v>1037.9349999999999</v>
      </c>
      <c r="AN18" s="46">
        <v>196</v>
      </c>
      <c r="AO18" s="46">
        <v>6.7</v>
      </c>
      <c r="AP18" s="46">
        <v>219655</v>
      </c>
      <c r="AQ18" s="46">
        <v>43570</v>
      </c>
      <c r="AR18" s="46">
        <v>43015</v>
      </c>
      <c r="AS18" s="46">
        <v>32537</v>
      </c>
      <c r="AT18" s="46">
        <v>22238</v>
      </c>
      <c r="AU18" s="46">
        <v>17342</v>
      </c>
      <c r="AV18" s="46">
        <v>7426</v>
      </c>
      <c r="AW18" s="46">
        <v>21.446349999999999</v>
      </c>
      <c r="AX18" s="46">
        <v>7425.3320000000003</v>
      </c>
      <c r="AY18" s="46">
        <v>689.82615999999996</v>
      </c>
      <c r="AZ18" s="46">
        <v>21.413</v>
      </c>
      <c r="BA18" s="46">
        <v>11.768000000000001</v>
      </c>
      <c r="BB18" s="46">
        <v>47.603000000000002</v>
      </c>
      <c r="BC18" s="46">
        <v>0</v>
      </c>
      <c r="BD18" s="46">
        <v>279541.92</v>
      </c>
      <c r="BE18" s="46">
        <v>3821.6107999999999</v>
      </c>
      <c r="BF18" s="46">
        <v>1714.182</v>
      </c>
      <c r="BG18" s="46">
        <v>77.123999999999995</v>
      </c>
      <c r="BH18" s="46">
        <v>392.83800000000002</v>
      </c>
      <c r="BI18" s="46">
        <v>952.27200000000005</v>
      </c>
      <c r="BJ18" s="46">
        <v>17.773</v>
      </c>
      <c r="BK18" s="46">
        <v>585.35299999999995</v>
      </c>
      <c r="BL18" s="46">
        <v>114344.16800000001</v>
      </c>
      <c r="BM18" s="46">
        <v>347407.87199999997</v>
      </c>
      <c r="BN18" s="46">
        <v>7522.9488000000001</v>
      </c>
      <c r="BO18" s="46">
        <v>53589.132799999999</v>
      </c>
      <c r="BP18" s="46">
        <v>322619.55200000003</v>
      </c>
      <c r="BQ18" s="46">
        <v>343.19200000000001</v>
      </c>
      <c r="BR18" s="46">
        <v>191.60400000000001</v>
      </c>
      <c r="BS18" s="46">
        <v>1113510.3759999999</v>
      </c>
      <c r="BT18" s="46">
        <v>1400691.013</v>
      </c>
      <c r="BU18" s="46">
        <v>643814.97600000002</v>
      </c>
      <c r="BV18" s="46">
        <v>1066283.1200000001</v>
      </c>
      <c r="BW18" s="46">
        <v>585551.35999999999</v>
      </c>
      <c r="BX18" s="46">
        <v>1088072.8799999999</v>
      </c>
      <c r="BY18" s="46">
        <v>161136.576</v>
      </c>
      <c r="BZ18" s="46">
        <v>117436.64</v>
      </c>
      <c r="CA18" s="46">
        <v>1254.1433</v>
      </c>
      <c r="CB18" s="46">
        <v>111305.504</v>
      </c>
      <c r="CC18" s="46">
        <v>159802.45600000001</v>
      </c>
      <c r="CD18" s="46">
        <v>461708.54399999999</v>
      </c>
      <c r="CE18" s="46">
        <v>51197.7664</v>
      </c>
      <c r="CF18" s="46">
        <v>158516.25599999999</v>
      </c>
      <c r="CG18" s="46">
        <v>36123.481599999999</v>
      </c>
      <c r="CH18" s="46">
        <v>2385.8710000000001</v>
      </c>
      <c r="CI18" s="46">
        <v>225.15</v>
      </c>
      <c r="CJ18" s="46">
        <v>1203.7</v>
      </c>
      <c r="CK18" s="46">
        <v>81.646000000000001</v>
      </c>
      <c r="CL18" s="46">
        <v>774.10699999999997</v>
      </c>
      <c r="CM18" s="46">
        <v>551.4</v>
      </c>
      <c r="CN18" s="46">
        <v>76486.5</v>
      </c>
      <c r="CO18" s="46">
        <v>1737.635</v>
      </c>
      <c r="CP18" s="46">
        <v>313284.58799999999</v>
      </c>
      <c r="CQ18" s="46">
        <v>3787180.16</v>
      </c>
      <c r="CR18" s="46">
        <v>135386.94399999999</v>
      </c>
      <c r="CS18" s="46">
        <v>537817.02399999998</v>
      </c>
      <c r="CT18" s="46">
        <v>3207078.1630000002</v>
      </c>
      <c r="CU18" s="46">
        <v>322055.40000000002</v>
      </c>
      <c r="CV18" s="46">
        <v>31167.830399999999</v>
      </c>
      <c r="CW18" s="46">
        <v>64234.303999999996</v>
      </c>
      <c r="CX18" s="46">
        <v>34116.588799999998</v>
      </c>
      <c r="CY18" s="46">
        <v>176853.53599999999</v>
      </c>
      <c r="CZ18" s="46">
        <v>224218.52799999999</v>
      </c>
      <c r="DA18" s="46">
        <v>20336.169999999998</v>
      </c>
      <c r="DB18" s="46">
        <v>157681.40400000001</v>
      </c>
      <c r="DC18" s="46">
        <v>3528.9</v>
      </c>
      <c r="DD18" s="46">
        <v>3528.79</v>
      </c>
      <c r="DE18" s="46">
        <v>3561.25</v>
      </c>
      <c r="DF18" s="46">
        <v>0.998</v>
      </c>
      <c r="DG18" s="44" t="s">
        <v>215</v>
      </c>
      <c r="DH18" s="2">
        <f>Table2[[#This Row],[Date]]</f>
        <v>46314</v>
      </c>
      <c r="DI18">
        <f>(DD19-Table2[[#This Row],[MWH Total]])*4000</f>
        <v>26319.999999999709</v>
      </c>
      <c r="DJ18">
        <f>(DA19-Table2[[#This Row],[PNG Meter (Outside)]])*2.936</f>
        <v>6.5472800000093994</v>
      </c>
      <c r="DK18">
        <f>(DB19-Table2[[#This Row],[PNG Meter (Inside)]])*2.936</f>
        <v>351.2043199999863</v>
      </c>
      <c r="DL18">
        <f>(BH19-Table2[[#This Row],[3F Dough cooler - 2 ]])*1000</f>
        <v>406.00000000000591</v>
      </c>
      <c r="DM18">
        <f>(BI19-Table2[[#This Row],[3F Dough Cooler- 1]])*1000</f>
        <v>489.99999999989541</v>
      </c>
      <c r="DN18">
        <f>(BJ19-Table2[[#This Row],[4F Dough Production cooling Unit]])*1000</f>
        <v>59.000000000001052</v>
      </c>
      <c r="DO18">
        <f>(BQ19-Table2[[#This Row],[3F2 - PDB 3 - Dough Production Area]])*1000</f>
        <v>262.00000000000045</v>
      </c>
      <c r="DP18">
        <f>(BR19-Table2[[#This Row],[3F3 - PDB 4 - Dough Area]])*1000</f>
        <v>152.99999999999159</v>
      </c>
      <c r="DQ18">
        <f>AC19-Table2[[#This Row],[16F1 Tray washer Panel for Light]]</f>
        <v>764.64000000013039</v>
      </c>
      <c r="DR18">
        <f>CQ19-Table2[[#This Row],[2F1 Tray Washer - 1]]</f>
        <v>1519.3599999998696</v>
      </c>
      <c r="DS18">
        <f>CS19-Table2[[#This Row],[2F5 Destacker]]</f>
        <v>147.6480000000447</v>
      </c>
      <c r="DT18">
        <f>CU19-Table2[[#This Row],[5F1 Metering (TW-2)]]</f>
        <v>218.19099999999162</v>
      </c>
      <c r="DU18">
        <f>CV19-Table2[[#This Row],[6F1 Pre soaker Tray washer]]</f>
        <v>2.0640000000021246</v>
      </c>
      <c r="DV18">
        <f>CZ19-Table2[[#This Row],[6F5 Vent tray Storage]]</f>
        <v>70.62400000001071</v>
      </c>
      <c r="DW18">
        <f>I19-Table2[[#This Row],[Popeyes Meter ]]</f>
        <v>3.3000000000001251E-2</v>
      </c>
      <c r="DX18">
        <f>AZ19-Table2[[#This Row],[2F WH Chiller, Segregation Area]]</f>
        <v>2.5999999999999801E-2</v>
      </c>
      <c r="DY18">
        <f>BA19-Table2[[#This Row],[3F1 AC Unit WH dock cooling - 2 Nos]]</f>
        <v>1.3999999999999346E-2</v>
      </c>
      <c r="DZ18">
        <f>BB19-Table2[[#This Row],[3F2 AC Unit WH dock cooling - 3 Nos]]</f>
        <v>1.5000000000000568E-2</v>
      </c>
      <c r="EA18">
        <f>(BK19-Table2[[#This Row],[5F WH Perishable]])*1000</f>
        <v>286.00000000005821</v>
      </c>
      <c r="EB18">
        <f>BN19-Table2[[#This Row],[2F3 - PDB 9 - WH Dock Leveler Door ]]</f>
        <v>4.1895999999997002</v>
      </c>
      <c r="EC18">
        <f>BP19-Table2[[#This Row],[3F1 - PDB 5 - WH HSD]]</f>
        <v>137.50399999995716</v>
      </c>
      <c r="ED18">
        <f>BX19-Table2[[#This Row],[8F1 WH Dock AHU - Ventilation]]</f>
        <v>155.28000000002794</v>
      </c>
      <c r="EE18">
        <f>BZ19-Table2[[#This Row],[8F3 ACPDB - 4 WH Dock air curtain]]</f>
        <v>65.111999999993714</v>
      </c>
      <c r="EF18">
        <f>CA19-Table2[[#This Row],[8F4 WH Light]]</f>
        <v>3.3927000000001044</v>
      </c>
      <c r="EG18">
        <f>CC19-Table2[[#This Row],[9F1 - PDB 10 - WH Dock door &amp; Office]]</f>
        <v>64.152000000001863</v>
      </c>
      <c r="EH18">
        <f>CD19-Table2[[#This Row],[9F2 - PDB 11 - WH flycatchers]]</f>
        <v>215.84000000002561</v>
      </c>
      <c r="EI18">
        <f>CE19-Table2[[#This Row],[9F3 - PDB 12 - Other items]]</f>
        <v>94.031999999999243</v>
      </c>
      <c r="EJ18">
        <f>CR19-Table2[[#This Row],[2F3 - PDB 1 - Dock 1 to 4 ]]</f>
        <v>32.847999999998137</v>
      </c>
      <c r="EK18">
        <f>BM19-Table2[[#This Row],[2F2 - PDB 3 - WH Truck &amp; Battery Charging]]</f>
        <v>567.77600000001257</v>
      </c>
      <c r="EL18">
        <f>(CK19-Table2[[#This Row],[PDB - 11 Truck Charging]])*1000</f>
        <v>66.999999999993065</v>
      </c>
      <c r="EM18" s="1">
        <f>P19-Table2[[#This Row],[5F3 Admin Area]]</f>
        <v>308.22399999992922</v>
      </c>
      <c r="EN18">
        <f>AH19-Table2[[#This Row],[2F5 Main Gate-1 Piller -1]]</f>
        <v>94.639999999984866</v>
      </c>
      <c r="EO18">
        <f>CW19-Table2[[#This Row],[6F2 Ground Floor AC]]</f>
        <v>11.724800000003597</v>
      </c>
      <c r="EP18">
        <f>CX19-Table2[[#This Row],[6F3 ACBD -1 (First floor AC)]]</f>
        <v>9.2704000000012456</v>
      </c>
      <c r="EQ18">
        <f>CY19-Table2[[#This Row],[6F4 ACBD - 2 (Second &amp; Third floor AC)]]</f>
        <v>95.952000000019325</v>
      </c>
      <c r="ER18">
        <f>(BC19-Table2[[#This Row],[4F Old BMC cooling Unit]])</f>
        <v>0</v>
      </c>
      <c r="ES18">
        <f>BO19-Table2[[#This Row],[2F4 - Old BMC]]</f>
        <v>0</v>
      </c>
      <c r="ET18">
        <f>Y19-Table2[[#This Row],[14F2 New CK]]</f>
        <v>1714.9600000001956</v>
      </c>
      <c r="EU18">
        <f>(CL19-Table2[[#This Row],[OLD Ck Panel-1]])*1000</f>
        <v>498.00000000004729</v>
      </c>
      <c r="EV18">
        <f>CM19-Table2[[#This Row],[2F4 Old CK Blast (Blue star)]]</f>
        <v>0</v>
      </c>
      <c r="EW18">
        <f>CN19-Table2[[#This Row],[3F6 Old CK Blast (Carrier)]]</f>
        <v>426.19999999999709</v>
      </c>
      <c r="EX18">
        <f>(CO19-Table2[[#This Row],[Old CK Panel -2]])*1000</f>
        <v>838.99999999994179</v>
      </c>
      <c r="EY18">
        <f>N19-Table2[[#This Row],[4F1 Main UPS 1/C -1]]</f>
        <v>870.88000000012107</v>
      </c>
      <c r="EZ18">
        <f>Z19-Table2[[#This Row],[15F1 Main UPS Panel - I/C - 2]]</f>
        <v>0</v>
      </c>
      <c r="FA18">
        <f>BF19-Table2[[#This Row],[2F CLC -1 AC unit - 2]]</f>
        <v>0</v>
      </c>
      <c r="FB18">
        <f>(BG19-Table2[[#This Row],[2F CLC Anti room]])*1000</f>
        <v>33.000000000001251</v>
      </c>
      <c r="FC18">
        <f>BW19-Table2[[#This Row],[7F3 CLC Power Panel]]</f>
        <v>278.14399999997113</v>
      </c>
      <c r="FD18">
        <f>(CI19-Table2[[#This Row],[PDB - 17 CLC Section ]])*1000</f>
        <v>177.99999999999727</v>
      </c>
      <c r="FE18">
        <f>(W19-Table2[[#This Row],[13F3 Water &amp; Lift Old CK]])*1000</f>
        <v>2113.3000000002085</v>
      </c>
      <c r="FF18">
        <f>AA19-Table2[[#This Row],[15F2 New ETP Panel]]</f>
        <v>293.69599999999627</v>
      </c>
      <c r="FG18">
        <f>AL19-Table2[[#This Row],[3F4 Old ETP Panel]]</f>
        <v>75.35999999998603</v>
      </c>
      <c r="FH18">
        <f>AF19-Table2[[#This Row],[2F1 RO Plant]]</f>
        <v>492.99199999996927</v>
      </c>
      <c r="FI18">
        <f>AK19-Table2[[#This Row],[3F3 Fire Hydrant Panel]]</f>
        <v>0.36000000000058208</v>
      </c>
      <c r="FJ18">
        <f>R19-Table2[[#This Row],[7F1 Freon System Panel]]</f>
        <v>5635.839999999851</v>
      </c>
      <c r="FK18">
        <f>(AE19-Table2[[#This Row],[21F1 Refrigeration Ammonia]])*1000</f>
        <v>6082.4000000011438</v>
      </c>
      <c r="FL18">
        <f>(AG19-Table2[[#This Row],[2F3 Air Compressor]])*1000</f>
        <v>1284.9999999998545</v>
      </c>
      <c r="FM18">
        <f>(AX19-Table2[[#This Row],[Solar Reading Panel II]])*1000</f>
        <v>2634.9999999993088</v>
      </c>
      <c r="FN18">
        <f>AI19-Table2[[#This Row],[3F1 Maintenance Workshop]]</f>
        <v>2.1568000000006577</v>
      </c>
      <c r="FO18">
        <f>BD19-Table2[[#This Row],[4F B2B unit ]]</f>
        <v>50.271999999997206</v>
      </c>
      <c r="FP18">
        <f>BL19-Table2[[#This Row],[2F1 - PDB 6 - Bread, B2B section]]</f>
        <v>19871.72</v>
      </c>
      <c r="FQ18">
        <f>(CG19-Table2[[#This Row],[9F5 - PDB 14 - Bread Lift]])</f>
        <v>0.56960000000253785</v>
      </c>
      <c r="FR18">
        <f>CJ19-Table2[[#This Row],[PDB - 16 Bread Section]]</f>
        <v>1.2999999999999545</v>
      </c>
      <c r="FS18">
        <f>BU19-Table2[[#This Row],[7F1 Donut Production area]]</f>
        <v>184.57600000000093</v>
      </c>
      <c r="FT18">
        <f>CB19-Table2[[#This Row],[8F5 Donut Ban Bary]]</f>
        <v>38.319999999992433</v>
      </c>
      <c r="FU18">
        <f>CF19-Table2[[#This Row],[9F4 - PDB 13 - Donut Sink Geyser area]]</f>
        <v>29.808000000019092</v>
      </c>
      <c r="FV18">
        <f>BV19-Table2[[#This Row],[7F2 Flour Silo]]</f>
        <v>483.27999999979511</v>
      </c>
      <c r="FW18">
        <f>BY19-Table2[[#This Row],[8F2 ACPDB - 3 SILO Ventilation]]</f>
        <v>42.208000000013271</v>
      </c>
      <c r="FX18">
        <f>J19-Table2[[#This Row],[DG 1010KVA Running Hours]]</f>
        <v>0</v>
      </c>
      <c r="FY18">
        <f>K19-Table2[[#This Row],[DG 1010 KVA Meter Reading]]</f>
        <v>0</v>
      </c>
      <c r="FZ18">
        <f>L19-Table2[[#This Row],[GG 1010 KVA Running Hours]]</f>
        <v>0</v>
      </c>
      <c r="GA18">
        <f>M19-Table2[[#This Row],[GG 1010 KVA Meter Reading]]</f>
        <v>0</v>
      </c>
    </row>
    <row r="19" spans="1:183">
      <c r="A19" s="55">
        <v>119</v>
      </c>
      <c r="B19" s="45">
        <v>46315.381157407406</v>
      </c>
      <c r="C19" s="45">
        <v>46315.423668981479</v>
      </c>
      <c r="D19" s="55" t="s">
        <v>111</v>
      </c>
      <c r="E19" s="44"/>
      <c r="F19" s="44"/>
      <c r="G19" s="57">
        <v>46315</v>
      </c>
      <c r="H19" s="44" t="s">
        <v>182</v>
      </c>
      <c r="I19" s="46">
        <v>10.175000000000001</v>
      </c>
      <c r="J19" s="46">
        <v>4295.3</v>
      </c>
      <c r="K19" s="46">
        <v>1785849</v>
      </c>
      <c r="L19" s="46">
        <v>474</v>
      </c>
      <c r="M19" s="46">
        <v>200.09</v>
      </c>
      <c r="N19" s="46">
        <v>1940467.04</v>
      </c>
      <c r="O19" s="46">
        <v>4743057.92</v>
      </c>
      <c r="P19" s="46">
        <v>673022.78399999999</v>
      </c>
      <c r="Q19" s="46">
        <v>8307068.1600000001</v>
      </c>
      <c r="R19" s="46">
        <v>5955701.1200000001</v>
      </c>
      <c r="S19" s="46">
        <v>7633194.2400000002</v>
      </c>
      <c r="T19" s="46">
        <v>44139396.167999998</v>
      </c>
      <c r="U19" s="46">
        <v>2207694.08</v>
      </c>
      <c r="V19" s="46">
        <v>5245635.5199999996</v>
      </c>
      <c r="W19" s="46">
        <v>1675.7849000000001</v>
      </c>
      <c r="X19" s="46">
        <v>797057.98400000005</v>
      </c>
      <c r="Y19" s="46">
        <v>1205651.1200000001</v>
      </c>
      <c r="Z19" s="46">
        <v>2777.8894</v>
      </c>
      <c r="AA19" s="46">
        <v>691063.80799999996</v>
      </c>
      <c r="AB19" s="46">
        <v>424030.36800000002</v>
      </c>
      <c r="AC19" s="46">
        <v>2193998.56</v>
      </c>
      <c r="AD19" s="46">
        <v>5137158.1619999995</v>
      </c>
      <c r="AE19" s="46">
        <v>13349.1504</v>
      </c>
      <c r="AF19" s="46">
        <v>919631.74399999995</v>
      </c>
      <c r="AG19" s="46">
        <v>1492.598</v>
      </c>
      <c r="AH19" s="46">
        <v>142178.25599999999</v>
      </c>
      <c r="AI19" s="46">
        <v>15022.7952</v>
      </c>
      <c r="AJ19" s="46">
        <v>145476.07999999999</v>
      </c>
      <c r="AK19" s="46">
        <v>105933.712</v>
      </c>
      <c r="AL19" s="46">
        <v>336703.68</v>
      </c>
      <c r="AM19" s="46">
        <v>1038.4829999999999</v>
      </c>
      <c r="AN19" s="46">
        <v>319.7</v>
      </c>
      <c r="AO19" s="46">
        <v>7.6</v>
      </c>
      <c r="AP19" s="46">
        <v>229629</v>
      </c>
      <c r="AQ19" s="46">
        <v>43594</v>
      </c>
      <c r="AR19" s="46">
        <v>43038</v>
      </c>
      <c r="AS19" s="46">
        <v>32537</v>
      </c>
      <c r="AT19" s="46">
        <v>22238</v>
      </c>
      <c r="AU19" s="46">
        <v>17366</v>
      </c>
      <c r="AV19" s="46">
        <v>7438</v>
      </c>
      <c r="AW19" s="46">
        <v>21.452235999999999</v>
      </c>
      <c r="AX19" s="46">
        <v>7427.9669999999996</v>
      </c>
      <c r="AY19" s="46">
        <v>689.93384000000003</v>
      </c>
      <c r="AZ19" s="46">
        <v>21.439</v>
      </c>
      <c r="BA19" s="46">
        <v>11.782</v>
      </c>
      <c r="BB19" s="46">
        <v>47.618000000000002</v>
      </c>
      <c r="BC19" s="46">
        <v>0</v>
      </c>
      <c r="BD19" s="46">
        <v>279592.19199999998</v>
      </c>
      <c r="BE19" s="46">
        <v>3822.96</v>
      </c>
      <c r="BF19" s="46">
        <v>1714.182</v>
      </c>
      <c r="BG19" s="46">
        <v>77.156999999999996</v>
      </c>
      <c r="BH19" s="46">
        <v>393.24400000000003</v>
      </c>
      <c r="BI19" s="46">
        <v>952.76199999999994</v>
      </c>
      <c r="BJ19" s="46">
        <v>17.832000000000001</v>
      </c>
      <c r="BK19" s="46">
        <v>585.63900000000001</v>
      </c>
      <c r="BL19" s="46">
        <v>134215.88800000001</v>
      </c>
      <c r="BM19" s="46">
        <v>347975.64799999999</v>
      </c>
      <c r="BN19" s="46">
        <v>7527.1383999999998</v>
      </c>
      <c r="BO19" s="46">
        <v>53589.132799999999</v>
      </c>
      <c r="BP19" s="46">
        <v>322757.05599999998</v>
      </c>
      <c r="BQ19" s="46">
        <v>343.45400000000001</v>
      </c>
      <c r="BR19" s="46">
        <v>191.75700000000001</v>
      </c>
      <c r="BS19" s="46">
        <v>1115033.5209999999</v>
      </c>
      <c r="BT19" s="46">
        <v>1400691.081</v>
      </c>
      <c r="BU19" s="46">
        <v>643999.55200000003</v>
      </c>
      <c r="BV19" s="46">
        <v>1066766.3999999999</v>
      </c>
      <c r="BW19" s="46">
        <v>585829.50399999996</v>
      </c>
      <c r="BX19" s="46">
        <v>1088228.1599999999</v>
      </c>
      <c r="BY19" s="46">
        <v>161178.78400000001</v>
      </c>
      <c r="BZ19" s="46">
        <v>117501.75199999999</v>
      </c>
      <c r="CA19" s="46">
        <v>1257.5360000000001</v>
      </c>
      <c r="CB19" s="46">
        <v>111343.82399999999</v>
      </c>
      <c r="CC19" s="46">
        <v>159866.60800000001</v>
      </c>
      <c r="CD19" s="46">
        <v>461924.38400000002</v>
      </c>
      <c r="CE19" s="46">
        <v>51291.7984</v>
      </c>
      <c r="CF19" s="46">
        <v>158546.06400000001</v>
      </c>
      <c r="CG19" s="46">
        <v>36124.051200000002</v>
      </c>
      <c r="CH19" s="46">
        <v>2385.8710000000001</v>
      </c>
      <c r="CI19" s="46">
        <v>225.328</v>
      </c>
      <c r="CJ19" s="46">
        <v>1205</v>
      </c>
      <c r="CK19" s="46">
        <v>81.712999999999994</v>
      </c>
      <c r="CL19" s="46">
        <v>774.60500000000002</v>
      </c>
      <c r="CM19" s="46">
        <v>551.4</v>
      </c>
      <c r="CN19" s="46">
        <v>76912.7</v>
      </c>
      <c r="CO19" s="46">
        <v>1738.4739999999999</v>
      </c>
      <c r="CP19" s="46">
        <v>313583.47700000001</v>
      </c>
      <c r="CQ19" s="46">
        <v>3788699.52</v>
      </c>
      <c r="CR19" s="46">
        <v>135419.79199999999</v>
      </c>
      <c r="CS19" s="46">
        <v>537964.67200000002</v>
      </c>
      <c r="CT19" s="46">
        <v>3210554.2250000001</v>
      </c>
      <c r="CU19" s="46">
        <v>322273.59100000001</v>
      </c>
      <c r="CV19" s="46">
        <v>31169.894400000001</v>
      </c>
      <c r="CW19" s="46">
        <v>64246.0288</v>
      </c>
      <c r="CX19" s="46">
        <v>34125.859199999999</v>
      </c>
      <c r="CY19" s="46">
        <v>176949.48800000001</v>
      </c>
      <c r="CZ19" s="46">
        <v>224289.152</v>
      </c>
      <c r="DA19" s="46">
        <v>20338.400000000001</v>
      </c>
      <c r="DB19" s="46">
        <v>157801.024</v>
      </c>
      <c r="DC19" s="46">
        <v>3535.5</v>
      </c>
      <c r="DD19" s="46">
        <v>3535.37</v>
      </c>
      <c r="DE19" s="46">
        <v>3567.89</v>
      </c>
      <c r="DF19" s="46">
        <v>0.996</v>
      </c>
      <c r="DG19" s="44" t="s">
        <v>221</v>
      </c>
      <c r="DH19" s="2">
        <f>Table2[[#This Row],[Date]]</f>
        <v>46315</v>
      </c>
      <c r="DI19">
        <f>(DD20-Table2[[#This Row],[MWH Total]])*4000</f>
        <v>26239.999999999782</v>
      </c>
      <c r="DJ19">
        <f>(DA20-Table2[[#This Row],[PNG Meter (Outside)]])*2.936</f>
        <v>8.2795199999991453</v>
      </c>
      <c r="DK19">
        <f>(DB20-Table2[[#This Row],[PNG Meter (Inside)]])*2.936</f>
        <v>320.84020799997404</v>
      </c>
      <c r="DL19">
        <f>(BH20-Table2[[#This Row],[3F Dough cooler - 2 ]])*1000</f>
        <v>405.99999999994907</v>
      </c>
      <c r="DM19">
        <f>(BI20-Table2[[#This Row],[3F Dough Cooler- 1]])*1000</f>
        <v>490.00000000000909</v>
      </c>
      <c r="DN19">
        <f>(BJ20-Table2[[#This Row],[4F Dough Production cooling Unit]])*1000</f>
        <v>50.000000000000711</v>
      </c>
      <c r="DO19">
        <f>(BQ20-Table2[[#This Row],[3F2 - PDB 3 - Dough Production Area]])*1000</f>
        <v>247.99999999999045</v>
      </c>
      <c r="DP19">
        <f>(BR20-Table2[[#This Row],[3F3 - PDB 4 - Dough Area]])*1000</f>
        <v>158.99999999999181</v>
      </c>
      <c r="DQ19">
        <f>AC20-Table2[[#This Row],[16F1 Tray washer Panel for Light]]</f>
        <v>776.47999999998137</v>
      </c>
      <c r="DR19">
        <f>CQ20-Table2[[#This Row],[2F1 Tray Washer - 1]]</f>
        <v>1340.160000000149</v>
      </c>
      <c r="DS19">
        <f>CS20-Table2[[#This Row],[2F5 Destacker]]</f>
        <v>140.73600000003353</v>
      </c>
      <c r="DT19">
        <f>CU20-Table2[[#This Row],[5F1 Metering (TW-2)]]</f>
        <v>200.09099999995669</v>
      </c>
      <c r="DU19">
        <f>CV20-Table2[[#This Row],[6F1 Pre soaker Tray washer]]</f>
        <v>3.9423999999999069</v>
      </c>
      <c r="DV19">
        <f>CZ20-Table2[[#This Row],[6F5 Vent tray Storage]]</f>
        <v>59.935999999986961</v>
      </c>
      <c r="DW19">
        <f>I20-Table2[[#This Row],[Popeyes Meter ]]</f>
        <v>1.9000000000000128E-2</v>
      </c>
      <c r="DX19">
        <f>AZ20-Table2[[#This Row],[2F WH Chiller, Segregation Area]]</f>
        <v>2.5999999999999801E-2</v>
      </c>
      <c r="DY19">
        <f>BA20-Table2[[#This Row],[3F1 AC Unit WH dock cooling - 2 Nos]]</f>
        <v>1.2999999999999901E-2</v>
      </c>
      <c r="DZ19">
        <f>BB20-Table2[[#This Row],[3F2 AC Unit WH dock cooling - 3 Nos]]</f>
        <v>1.8000000000000682E-2</v>
      </c>
      <c r="EA19">
        <f>(BK20-Table2[[#This Row],[5F WH Perishable]])*1000</f>
        <v>287.00000000003456</v>
      </c>
      <c r="EB19">
        <f>BN20-Table2[[#This Row],[2F3 - PDB 9 - WH Dock Leveler Door ]]</f>
        <v>4.1616000000003623</v>
      </c>
      <c r="EC19">
        <f>BP20-Table2[[#This Row],[3F1 - PDB 5 - WH HSD]]</f>
        <v>112.99200000002747</v>
      </c>
      <c r="ED19">
        <f>BX20-Table2[[#This Row],[8F1 WH Dock AHU - Ventilation]]</f>
        <v>146.47999999998137</v>
      </c>
      <c r="EE19">
        <f>BZ20-Table2[[#This Row],[8F3 ACPDB - 4 WH Dock air curtain]]</f>
        <v>63.584000000002561</v>
      </c>
      <c r="EF19">
        <f>CA20-Table2[[#This Row],[8F4 WH Light]]</f>
        <v>3.419399999999996</v>
      </c>
      <c r="EG19">
        <f>CC20-Table2[[#This Row],[9F1 - PDB 10 - WH Dock door &amp; Office]]</f>
        <v>83.98399999999674</v>
      </c>
      <c r="EH19">
        <f>CD20-Table2[[#This Row],[9F2 - PDB 11 - WH flycatchers]]</f>
        <v>301.40799999999581</v>
      </c>
      <c r="EI19">
        <f>CE20-Table2[[#This Row],[9F3 - PDB 12 - Other items]]</f>
        <v>40.822399999997288</v>
      </c>
      <c r="EJ19">
        <f>CR20-Table2[[#This Row],[2F3 - PDB 1 - Dock 1 to 4 ]]</f>
        <v>36.25600000002305</v>
      </c>
      <c r="EK19">
        <f>BM20-Table2[[#This Row],[2F2 - PDB 3 - WH Truck &amp; Battery Charging]]</f>
        <v>444.70400000002701</v>
      </c>
      <c r="EL19">
        <f>(CK20-Table2[[#This Row],[PDB - 11 Truck Charging]])*1000</f>
        <v>89.000000000012847</v>
      </c>
      <c r="EM19" s="1">
        <f>P20-Table2[[#This Row],[5F3 Admin Area]]</f>
        <v>283.96799999999348</v>
      </c>
      <c r="EN19">
        <f>AH20-Table2[[#This Row],[2F5 Main Gate-1 Piller -1]]</f>
        <v>85.247999999992317</v>
      </c>
      <c r="EO19">
        <f>CW20-Table2[[#This Row],[6F2 Ground Floor AC]]</f>
        <v>9.8367999999973108</v>
      </c>
      <c r="EP19">
        <f>CX20-Table2[[#This Row],[6F3 ACBD -1 (First floor AC)]]</f>
        <v>8.8127999999996973</v>
      </c>
      <c r="EQ19">
        <f>CY20-Table2[[#This Row],[6F4 ACBD - 2 (Second &amp; Third floor AC)]]</f>
        <v>86.591999999975087</v>
      </c>
      <c r="ER19">
        <f>(BC20-Table2[[#This Row],[4F Old BMC cooling Unit]])</f>
        <v>0</v>
      </c>
      <c r="ES19">
        <f>BO20-Table2[[#This Row],[2F4 - Old BMC]]</f>
        <v>0</v>
      </c>
      <c r="ET19">
        <f>Y20-Table2[[#This Row],[14F2 New CK]]</f>
        <v>1424</v>
      </c>
      <c r="EU19">
        <f>(CL20-Table2[[#This Row],[OLD Ck Panel-1]])*1000</f>
        <v>432.99999999999272</v>
      </c>
      <c r="EV19">
        <f>CM20-Table2[[#This Row],[2F4 Old CK Blast (Blue star)]]</f>
        <v>0</v>
      </c>
      <c r="EW19">
        <f>CN20-Table2[[#This Row],[3F6 Old CK Blast (Carrier)]]</f>
        <v>355.69999999999709</v>
      </c>
      <c r="EX19">
        <f>(CO20-Table2[[#This Row],[Old CK Panel -2]])*1000</f>
        <v>774.0000000001146</v>
      </c>
      <c r="EY19">
        <f>N20-Table2[[#This Row],[4F1 Main UPS 1/C -1]]</f>
        <v>889.28000000002794</v>
      </c>
      <c r="EZ19">
        <f>Z20-Table2[[#This Row],[15F1 Main UPS Panel - I/C - 2]]</f>
        <v>0</v>
      </c>
      <c r="FA19">
        <f>BF20-Table2[[#This Row],[2F CLC -1 AC unit - 2]]</f>
        <v>0</v>
      </c>
      <c r="FB19">
        <f>(BG20-Table2[[#This Row],[2F CLC Anti room]])*1000</f>
        <v>34.000000000006025</v>
      </c>
      <c r="FC19">
        <f>BW20-Table2[[#This Row],[7F3 CLC Power Panel]]</f>
        <v>269.31200000003446</v>
      </c>
      <c r="FD19">
        <f>(CI20-Table2[[#This Row],[PDB - 17 CLC Section ]])*1000</f>
        <v>169.99999999998749</v>
      </c>
      <c r="FE19">
        <f>(W20-Table2[[#This Row],[13F3 Water &amp; Lift Old CK]])*1000</f>
        <v>1061.4999999997963</v>
      </c>
      <c r="FF19">
        <f>AA20-Table2[[#This Row],[15F2 New ETP Panel]]</f>
        <v>287.61600000003818</v>
      </c>
      <c r="FG19">
        <f>AL20-Table2[[#This Row],[3F4 Old ETP Panel]]</f>
        <v>86.368000000016764</v>
      </c>
      <c r="FH19">
        <f>AF20-Table2[[#This Row],[2F1 RO Plant]]</f>
        <v>425.92000000004191</v>
      </c>
      <c r="FI19">
        <f>AK20-Table2[[#This Row],[3F3 Fire Hydrant Panel]]</f>
        <v>2.3200000000069849</v>
      </c>
      <c r="FJ19">
        <f>R20-Table2[[#This Row],[7F1 Freon System Panel]]</f>
        <v>5189.1200000001118</v>
      </c>
      <c r="FK19">
        <f>(AE20-Table2[[#This Row],[21F1 Refrigeration Ammonia]])*1000</f>
        <v>6408.7999999992462</v>
      </c>
      <c r="FL19">
        <f>(AG20-Table2[[#This Row],[2F3 Air Compressor]])*1000</f>
        <v>1307.9999999999927</v>
      </c>
      <c r="FM19">
        <f>(AX20-Table2[[#This Row],[Solar Reading Panel II]])*1000</f>
        <v>2396.9999999999345</v>
      </c>
      <c r="FN19">
        <f>AI20-Table2[[#This Row],[3F1 Maintenance Workshop]]</f>
        <v>1.3472000000001572</v>
      </c>
      <c r="FO19">
        <f>BD20-Table2[[#This Row],[4F B2B unit ]]</f>
        <v>47.872000000032131</v>
      </c>
      <c r="FP19">
        <f>BL20-Table2[[#This Row],[2F1 - PDB 6 - Bread, B2B section]]</f>
        <v>18863.087999999989</v>
      </c>
      <c r="FQ19">
        <f>(CG20-Table2[[#This Row],[9F5 - PDB 14 - Bread Lift]])</f>
        <v>0.28800000000046566</v>
      </c>
      <c r="FR19">
        <f>CJ20-Table2[[#This Row],[PDB - 16 Bread Section]]</f>
        <v>1</v>
      </c>
      <c r="FS19">
        <f>BU20-Table2[[#This Row],[7F1 Donut Production area]]</f>
        <v>172.99199999996927</v>
      </c>
      <c r="FT19">
        <f>CB20-Table2[[#This Row],[8F5 Donut Ban Bary]]</f>
        <v>33.864000000001397</v>
      </c>
      <c r="FU19">
        <f>CF20-Table2[[#This Row],[9F4 - PDB 13 - Donut Sink Geyser area]]</f>
        <v>23.103999999992084</v>
      </c>
      <c r="FV19">
        <f>BV20-Table2[[#This Row],[7F2 Flour Silo]]</f>
        <v>652.88000000012107</v>
      </c>
      <c r="FW19">
        <f>BY20-Table2[[#This Row],[8F2 ACPDB - 3 SILO Ventilation]]</f>
        <v>43.071999999985565</v>
      </c>
      <c r="FX19">
        <f>J20-Table2[[#This Row],[DG 1010KVA Running Hours]]</f>
        <v>0</v>
      </c>
      <c r="FY19">
        <f>K20-Table2[[#This Row],[DG 1010 KVA Meter Reading]]</f>
        <v>0</v>
      </c>
      <c r="FZ19">
        <f>L20-Table2[[#This Row],[GG 1010 KVA Running Hours]]</f>
        <v>0</v>
      </c>
      <c r="GA19">
        <f>M20-Table2[[#This Row],[GG 1010 KVA Meter Reading]]</f>
        <v>0</v>
      </c>
    </row>
    <row r="20" spans="1:183">
      <c r="A20" s="55">
        <v>120</v>
      </c>
      <c r="B20" s="45">
        <v>46316.382835648146</v>
      </c>
      <c r="C20" s="45">
        <v>46316.420486111114</v>
      </c>
      <c r="D20" s="55" t="s">
        <v>111</v>
      </c>
      <c r="E20" s="44"/>
      <c r="F20" s="44"/>
      <c r="G20" s="57">
        <v>46316</v>
      </c>
      <c r="H20" s="44" t="s">
        <v>182</v>
      </c>
      <c r="I20" s="46">
        <v>10.194000000000001</v>
      </c>
      <c r="J20" s="46">
        <v>4295.3</v>
      </c>
      <c r="K20" s="46">
        <v>1785849</v>
      </c>
      <c r="L20" s="46">
        <v>474</v>
      </c>
      <c r="M20" s="46">
        <v>200.09</v>
      </c>
      <c r="N20" s="46">
        <v>1941356.32</v>
      </c>
      <c r="O20" s="46">
        <v>4744869.12</v>
      </c>
      <c r="P20" s="46">
        <v>673306.75199999998</v>
      </c>
      <c r="Q20" s="46">
        <v>8309685.7599999998</v>
      </c>
      <c r="R20" s="46">
        <v>5960890.2400000002</v>
      </c>
      <c r="S20" s="46">
        <v>7636282.8799999999</v>
      </c>
      <c r="T20" s="46">
        <v>43692514.913999997</v>
      </c>
      <c r="U20" s="46">
        <v>2209083.52</v>
      </c>
      <c r="V20" s="46">
        <v>5247359.04</v>
      </c>
      <c r="W20" s="46">
        <v>1676.8463999999999</v>
      </c>
      <c r="X20" s="46">
        <v>797255.424</v>
      </c>
      <c r="Y20" s="46">
        <v>1207075.1200000001</v>
      </c>
      <c r="Z20" s="46">
        <v>2777.8894</v>
      </c>
      <c r="AA20" s="46">
        <v>691351.424</v>
      </c>
      <c r="AB20" s="46">
        <v>424051.32799999998</v>
      </c>
      <c r="AC20" s="46">
        <v>2194775.04</v>
      </c>
      <c r="AD20" s="46">
        <v>5150721.3849999998</v>
      </c>
      <c r="AE20" s="46">
        <v>13355.5592</v>
      </c>
      <c r="AF20" s="46">
        <v>920057.66399999999</v>
      </c>
      <c r="AG20" s="46">
        <v>1493.9059999999999</v>
      </c>
      <c r="AH20" s="46">
        <v>142263.50399999999</v>
      </c>
      <c r="AI20" s="46">
        <v>15024.142400000001</v>
      </c>
      <c r="AJ20" s="46">
        <v>145476.72</v>
      </c>
      <c r="AK20" s="46">
        <v>105936.03200000001</v>
      </c>
      <c r="AL20" s="46">
        <v>336790.04800000001</v>
      </c>
      <c r="AM20" s="46">
        <v>1039.0440000000001</v>
      </c>
      <c r="AN20" s="46">
        <v>227.7</v>
      </c>
      <c r="AO20" s="46">
        <v>7</v>
      </c>
      <c r="AP20" s="46">
        <v>239758</v>
      </c>
      <c r="AQ20" s="46">
        <v>43618</v>
      </c>
      <c r="AR20" s="46">
        <v>43062</v>
      </c>
      <c r="AS20" s="46">
        <v>32537</v>
      </c>
      <c r="AT20" s="46">
        <v>22238</v>
      </c>
      <c r="AU20" s="46">
        <v>17390</v>
      </c>
      <c r="AV20" s="46">
        <v>7449</v>
      </c>
      <c r="AW20" s="46">
        <v>21.458462000000001</v>
      </c>
      <c r="AX20" s="46">
        <v>7430.3639999999996</v>
      </c>
      <c r="AY20" s="46">
        <v>690.03959999999995</v>
      </c>
      <c r="AZ20" s="46">
        <v>21.465</v>
      </c>
      <c r="BA20" s="46">
        <v>11.795</v>
      </c>
      <c r="BB20" s="46">
        <v>47.636000000000003</v>
      </c>
      <c r="BC20" s="46">
        <v>0</v>
      </c>
      <c r="BD20" s="46">
        <v>279640.06400000001</v>
      </c>
      <c r="BE20" s="46">
        <v>3824.2948000000001</v>
      </c>
      <c r="BF20" s="46">
        <v>1714.182</v>
      </c>
      <c r="BG20" s="46">
        <v>77.191000000000003</v>
      </c>
      <c r="BH20" s="46">
        <v>393.65</v>
      </c>
      <c r="BI20" s="46">
        <v>953.25199999999995</v>
      </c>
      <c r="BJ20" s="46">
        <v>17.882000000000001</v>
      </c>
      <c r="BK20" s="46">
        <v>585.92600000000004</v>
      </c>
      <c r="BL20" s="46">
        <v>153078.976</v>
      </c>
      <c r="BM20" s="46">
        <v>348420.35200000001</v>
      </c>
      <c r="BN20" s="46">
        <v>7531.3</v>
      </c>
      <c r="BO20" s="46">
        <v>53589.132799999999</v>
      </c>
      <c r="BP20" s="46">
        <v>322870.04800000001</v>
      </c>
      <c r="BQ20" s="46">
        <v>343.702</v>
      </c>
      <c r="BR20" s="46">
        <v>191.916</v>
      </c>
      <c r="BS20" s="46">
        <v>1116402.429</v>
      </c>
      <c r="BT20" s="46">
        <v>1400691.1089999999</v>
      </c>
      <c r="BU20" s="46">
        <v>644172.54399999999</v>
      </c>
      <c r="BV20" s="46">
        <v>1067419.28</v>
      </c>
      <c r="BW20" s="46">
        <v>586098.81599999999</v>
      </c>
      <c r="BX20" s="46">
        <v>1088374.6399999999</v>
      </c>
      <c r="BY20" s="46">
        <v>161221.856</v>
      </c>
      <c r="BZ20" s="46">
        <v>117565.336</v>
      </c>
      <c r="CA20" s="46">
        <v>1260.9554000000001</v>
      </c>
      <c r="CB20" s="46">
        <v>111377.68799999999</v>
      </c>
      <c r="CC20" s="46">
        <v>159950.592</v>
      </c>
      <c r="CD20" s="46">
        <v>462225.79200000002</v>
      </c>
      <c r="CE20" s="46">
        <v>51332.620799999997</v>
      </c>
      <c r="CF20" s="46">
        <v>158569.16800000001</v>
      </c>
      <c r="CG20" s="46">
        <v>36124.339200000002</v>
      </c>
      <c r="CH20" s="46">
        <v>2385.8710000000001</v>
      </c>
      <c r="CI20" s="46">
        <v>225.49799999999999</v>
      </c>
      <c r="CJ20" s="46">
        <v>1206</v>
      </c>
      <c r="CK20" s="46">
        <v>81.802000000000007</v>
      </c>
      <c r="CL20" s="46">
        <v>775.03800000000001</v>
      </c>
      <c r="CM20" s="46">
        <v>551.4</v>
      </c>
      <c r="CN20" s="46">
        <v>77268.399999999994</v>
      </c>
      <c r="CO20" s="46">
        <v>1739.248</v>
      </c>
      <c r="CP20" s="46">
        <v>313882.75799999997</v>
      </c>
      <c r="CQ20" s="46">
        <v>3790039.68</v>
      </c>
      <c r="CR20" s="46">
        <v>135456.04800000001</v>
      </c>
      <c r="CS20" s="46">
        <v>538105.40800000005</v>
      </c>
      <c r="CT20" s="46">
        <v>3213670.2119999998</v>
      </c>
      <c r="CU20" s="46">
        <v>322473.68199999997</v>
      </c>
      <c r="CV20" s="46">
        <v>31173.836800000001</v>
      </c>
      <c r="CW20" s="46">
        <v>64255.865599999997</v>
      </c>
      <c r="CX20" s="46">
        <v>34134.671999999999</v>
      </c>
      <c r="CY20" s="46">
        <v>177036.08</v>
      </c>
      <c r="CZ20" s="46">
        <v>224349.08799999999</v>
      </c>
      <c r="DA20" s="46">
        <v>20341.22</v>
      </c>
      <c r="DB20" s="46">
        <v>157910.302</v>
      </c>
      <c r="DC20" s="46">
        <v>3542.06</v>
      </c>
      <c r="DD20" s="46">
        <v>3541.93</v>
      </c>
      <c r="DE20" s="46">
        <v>3574.52</v>
      </c>
      <c r="DF20" s="46">
        <v>0.996</v>
      </c>
      <c r="DG20" s="44" t="s">
        <v>216</v>
      </c>
      <c r="DH20" s="2">
        <f>Table2[[#This Row],[Date]]</f>
        <v>46316</v>
      </c>
      <c r="DI20">
        <f>(DD21-Table2[[#This Row],[MWH Total]])*4000</f>
        <v>24960.000000000946</v>
      </c>
      <c r="DJ20">
        <f>(DA21-Table2[[#This Row],[PNG Meter (Outside)]])*2.936</f>
        <v>8.2207999999978636</v>
      </c>
      <c r="DK20">
        <f>(DB21-Table2[[#This Row],[PNG Meter (Inside)]])*2.936</f>
        <v>355.63180799999111</v>
      </c>
      <c r="DL20">
        <f>(BH21-Table2[[#This Row],[3F Dough cooler - 2 ]])*1000</f>
        <v>407.00000000003911</v>
      </c>
      <c r="DM20">
        <f>(BI21-Table2[[#This Row],[3F Dough Cooler- 1]])*1000</f>
        <v>493.00000000005184</v>
      </c>
      <c r="DN20">
        <f>(BJ21-Table2[[#This Row],[4F Dough Production cooling Unit]])*1000</f>
        <v>44.999999999998153</v>
      </c>
      <c r="DO20">
        <f>(BQ21-Table2[[#This Row],[3F2 - PDB 3 - Dough Production Area]])*1000</f>
        <v>208.00000000002683</v>
      </c>
      <c r="DP20">
        <f>(BR21-Table2[[#This Row],[3F3 - PDB 4 - Dough Area]])*1000</f>
        <v>134.99999999999091</v>
      </c>
      <c r="DQ20">
        <f>AC21-Table2[[#This Row],[16F1 Tray washer Panel for Light]]</f>
        <v>756.95999999996275</v>
      </c>
      <c r="DR20">
        <f>CQ21-Table2[[#This Row],[2F1 Tray Washer - 1]]</f>
        <v>1247.0400000000373</v>
      </c>
      <c r="DS20">
        <f>CS21-Table2[[#This Row],[2F5 Destacker]]</f>
        <v>121.72800000000279</v>
      </c>
      <c r="DT20">
        <f>CU21-Table2[[#This Row],[5F1 Metering (TW-2)]]</f>
        <v>455.9660000000149</v>
      </c>
      <c r="DU20">
        <f>CV21-Table2[[#This Row],[6F1 Pre soaker Tray washer]]</f>
        <v>57.9487999999983</v>
      </c>
      <c r="DV20">
        <f>CZ21-Table2[[#This Row],[6F5 Vent tray Storage]]</f>
        <v>78.64000000001397</v>
      </c>
      <c r="DW20">
        <f>I21-Table2[[#This Row],[Popeyes Meter ]]</f>
        <v>3.2000000000000028E-2</v>
      </c>
      <c r="DX20">
        <f>AZ21-Table2[[#This Row],[2F WH Chiller, Segregation Area]]</f>
        <v>2.4999999999998579E-2</v>
      </c>
      <c r="DY20">
        <f>BA21-Table2[[#This Row],[3F1 AC Unit WH dock cooling - 2 Nos]]</f>
        <v>1.699999999999946E-2</v>
      </c>
      <c r="DZ20">
        <f>BB21-Table2[[#This Row],[3F2 AC Unit WH dock cooling - 3 Nos]]</f>
        <v>3.9999999999999147E-2</v>
      </c>
      <c r="EA20">
        <f>(BK21-Table2[[#This Row],[5F WH Perishable]])*1000</f>
        <v>286.99999999992087</v>
      </c>
      <c r="EB20">
        <f>BN21-Table2[[#This Row],[2F3 - PDB 9 - WH Dock Leveler Door ]]</f>
        <v>4.0879999999997381</v>
      </c>
      <c r="EC20">
        <f>BP21-Table2[[#This Row],[3F1 - PDB 5 - WH HSD]]</f>
        <v>74.320000000006985</v>
      </c>
      <c r="ED20">
        <f>BX21-Table2[[#This Row],[8F1 WH Dock AHU - Ventilation]]</f>
        <v>173.36000000010245</v>
      </c>
      <c r="EE20">
        <f>BZ21-Table2[[#This Row],[8F3 ACPDB - 4 WH Dock air curtain]]</f>
        <v>63.944000000003143</v>
      </c>
      <c r="EF20">
        <f>CA21-Table2[[#This Row],[8F4 WH Light]]</f>
        <v>3.4324999999998909</v>
      </c>
      <c r="EG20">
        <f>CC21-Table2[[#This Row],[9F1 - PDB 10 - WH Dock door &amp; Office]]</f>
        <v>74.079999999987194</v>
      </c>
      <c r="EH20">
        <f>CD21-Table2[[#This Row],[9F2 - PDB 11 - WH flycatchers]]</f>
        <v>224.22399999998743</v>
      </c>
      <c r="EI20">
        <f>CE21-Table2[[#This Row],[9F3 - PDB 12 - Other items]]</f>
        <v>30.88640000000305</v>
      </c>
      <c r="EJ20">
        <f>CR21-Table2[[#This Row],[2F3 - PDB 1 - Dock 1 to 4 ]]</f>
        <v>34.511999999987893</v>
      </c>
      <c r="EK20">
        <f>BM21-Table2[[#This Row],[2F2 - PDB 3 - WH Truck &amp; Battery Charging]]</f>
        <v>415.67999999999302</v>
      </c>
      <c r="EL20">
        <f>(CK21-Table2[[#This Row],[PDB - 11 Truck Charging]])*1000</f>
        <v>68.999999999988404</v>
      </c>
      <c r="EM20" s="1">
        <f>P21-Table2[[#This Row],[5F3 Admin Area]]</f>
        <v>294.33600000001024</v>
      </c>
      <c r="EN20">
        <f>AH21-Table2[[#This Row],[2F5 Main Gate-1 Piller -1]]</f>
        <v>96.464000000007218</v>
      </c>
      <c r="EO20">
        <f>CW21-Table2[[#This Row],[6F2 Ground Floor AC]]</f>
        <v>11.488000000004831</v>
      </c>
      <c r="EP20">
        <f>CX21-Table2[[#This Row],[6F3 ACBD -1 (First floor AC)]]</f>
        <v>8.8608000000022002</v>
      </c>
      <c r="EQ20">
        <f>CY21-Table2[[#This Row],[6F4 ACBD - 2 (Second &amp; Third floor AC)]]</f>
        <v>99.26400000002468</v>
      </c>
      <c r="ER20">
        <f>(BC21-Table2[[#This Row],[4F Old BMC cooling Unit]])</f>
        <v>0</v>
      </c>
      <c r="ES20">
        <f>BO21-Table2[[#This Row],[2F4 - Old BMC]]</f>
        <v>0</v>
      </c>
      <c r="ET20">
        <f>Y21-Table2[[#This Row],[14F2 New CK]]</f>
        <v>1598.7199999999721</v>
      </c>
      <c r="EU20">
        <f>(CL21-Table2[[#This Row],[OLD Ck Panel-1]])*1000</f>
        <v>515.99999999996271</v>
      </c>
      <c r="EV20">
        <f>CM21-Table2[[#This Row],[2F4 Old CK Blast (Blue star)]]</f>
        <v>0</v>
      </c>
      <c r="EW20">
        <f>CN21-Table2[[#This Row],[3F6 Old CK Blast (Carrier)]]</f>
        <v>442.80000000000291</v>
      </c>
      <c r="EX20">
        <f>(CO21-Table2[[#This Row],[Old CK Panel -2]])*1000</f>
        <v>1175.9999999999309</v>
      </c>
      <c r="EY20">
        <f>N21-Table2[[#This Row],[4F1 Main UPS 1/C -1]]</f>
        <v>899.35999999986961</v>
      </c>
      <c r="EZ20">
        <f>Z21-Table2[[#This Row],[15F1 Main UPS Panel - I/C - 2]]</f>
        <v>0</v>
      </c>
      <c r="FA20">
        <f>BF21-Table2[[#This Row],[2F CLC -1 AC unit - 2]]</f>
        <v>0</v>
      </c>
      <c r="FB20">
        <f>(BG21-Table2[[#This Row],[2F CLC Anti room]])*1000</f>
        <v>33.999999999991815</v>
      </c>
      <c r="FC20">
        <f>BW21-Table2[[#This Row],[7F3 CLC Power Panel]]</f>
        <v>321.72800000000279</v>
      </c>
      <c r="FD20">
        <f>(CI21-Table2[[#This Row],[PDB - 17 CLC Section ]])*1000</f>
        <v>201.99999999999818</v>
      </c>
      <c r="FE20">
        <f>(W21-Table2[[#This Row],[13F3 Water &amp; Lift Old CK]])*1000</f>
        <v>2060.0000000001728</v>
      </c>
      <c r="FF20">
        <f>AA21-Table2[[#This Row],[15F2 New ETP Panel]]</f>
        <v>299.58400000003166</v>
      </c>
      <c r="FG20">
        <f>AL21-Table2[[#This Row],[3F4 Old ETP Panel]]</f>
        <v>87.295999999972992</v>
      </c>
      <c r="FH20">
        <f>AF21-Table2[[#This Row],[2F1 RO Plant]]</f>
        <v>450.88000000000466</v>
      </c>
      <c r="FI20">
        <f>AK21-Table2[[#This Row],[3F3 Fire Hydrant Panel]]</f>
        <v>1.9919999999983702</v>
      </c>
      <c r="FJ20">
        <f>R21-Table2[[#This Row],[7F1 Freon System Panel]]</f>
        <v>5384.9599999999627</v>
      </c>
      <c r="FK20">
        <f>(AE21-Table2[[#This Row],[21F1 Refrigeration Ammonia]])*1000</f>
        <v>6541.6000000004715</v>
      </c>
      <c r="FL20">
        <f>(AG21-Table2[[#This Row],[2F3 Air Compressor]])*1000</f>
        <v>1315.0000000000546</v>
      </c>
      <c r="FM20">
        <f>(AX21-Table2[[#This Row],[Solar Reading Panel II]])*1000</f>
        <v>2262.0000000006257</v>
      </c>
      <c r="FN20">
        <f>AI21-Table2[[#This Row],[3F1 Maintenance Workshop]]</f>
        <v>3.6559999999990396</v>
      </c>
      <c r="FO20">
        <f>BD21-Table2[[#This Row],[4F B2B unit ]]</f>
        <v>47.913999999989755</v>
      </c>
      <c r="FP20">
        <f>BL21-Table2[[#This Row],[2F1 - PDB 6 - Bread, B2B section]]</f>
        <v>18800.752000000008</v>
      </c>
      <c r="FQ20">
        <f>(CG21-Table2[[#This Row],[9F5 - PDB 14 - Bread Lift]])</f>
        <v>0.39039999999658903</v>
      </c>
      <c r="FR20">
        <f>CJ21-Table2[[#This Row],[PDB - 16 Bread Section]]</f>
        <v>1.2999999999999545</v>
      </c>
      <c r="FS20">
        <f>BU21-Table2[[#This Row],[7F1 Donut Production area]]</f>
        <v>178.81599999999162</v>
      </c>
      <c r="FT20">
        <f>CB21-Table2[[#This Row],[8F5 Donut Ban Bary]]</f>
        <v>46.135999999998603</v>
      </c>
      <c r="FU20">
        <f>CF21-Table2[[#This Row],[9F4 - PDB 13 - Donut Sink Geyser area]]</f>
        <v>28.799999999988358</v>
      </c>
      <c r="FV20">
        <f>BV21-Table2[[#This Row],[7F2 Flour Silo]]</f>
        <v>316.23999999999069</v>
      </c>
      <c r="FW20">
        <f>BY21-Table2[[#This Row],[8F2 ACPDB - 3 SILO Ventilation]]</f>
        <v>44.160000000003492</v>
      </c>
      <c r="FX20">
        <f>J21-Table2[[#This Row],[DG 1010KVA Running Hours]]</f>
        <v>0</v>
      </c>
      <c r="FY20">
        <f>K21-Table2[[#This Row],[DG 1010 KVA Meter Reading]]</f>
        <v>0</v>
      </c>
      <c r="FZ20">
        <f>L21-Table2[[#This Row],[GG 1010 KVA Running Hours]]</f>
        <v>0</v>
      </c>
      <c r="GA20">
        <f>M21-Table2[[#This Row],[GG 1010 KVA Meter Reading]]</f>
        <v>0</v>
      </c>
    </row>
    <row r="21" spans="1:183">
      <c r="A21" s="55">
        <v>121</v>
      </c>
      <c r="B21" s="45">
        <v>46317.382847222223</v>
      </c>
      <c r="C21" s="45">
        <v>46317.426261574074</v>
      </c>
      <c r="D21" s="55" t="s">
        <v>111</v>
      </c>
      <c r="E21" s="44"/>
      <c r="F21" s="44"/>
      <c r="G21" s="57">
        <v>46317</v>
      </c>
      <c r="H21" s="44" t="s">
        <v>182</v>
      </c>
      <c r="I21" s="46">
        <v>10.226000000000001</v>
      </c>
      <c r="J21" s="46">
        <v>4295.3</v>
      </c>
      <c r="K21" s="46">
        <v>1785849</v>
      </c>
      <c r="L21" s="46">
        <v>474</v>
      </c>
      <c r="M21" s="46">
        <v>200.09</v>
      </c>
      <c r="N21" s="46">
        <v>1942255.68</v>
      </c>
      <c r="O21" s="46">
        <v>4746730.88</v>
      </c>
      <c r="P21" s="46">
        <v>673601.08799999999</v>
      </c>
      <c r="Q21" s="46">
        <v>8312177.2800000003</v>
      </c>
      <c r="R21" s="46">
        <v>5966275.2000000002</v>
      </c>
      <c r="S21" s="46">
        <v>7639589.7599999998</v>
      </c>
      <c r="T21" s="46">
        <v>44162806.545000002</v>
      </c>
      <c r="U21" s="46">
        <v>2210368.48</v>
      </c>
      <c r="V21" s="46">
        <v>5249088</v>
      </c>
      <c r="W21" s="46">
        <v>1678.9064000000001</v>
      </c>
      <c r="X21" s="46">
        <v>797675.84</v>
      </c>
      <c r="Y21" s="46">
        <v>1208673.8400000001</v>
      </c>
      <c r="Z21" s="46">
        <v>2777.8894</v>
      </c>
      <c r="AA21" s="46">
        <v>691651.00800000003</v>
      </c>
      <c r="AB21" s="46">
        <v>424098.52799999999</v>
      </c>
      <c r="AC21" s="46">
        <v>2195532</v>
      </c>
      <c r="AD21" s="46">
        <v>5164647.7259999998</v>
      </c>
      <c r="AE21" s="46">
        <v>13362.1008</v>
      </c>
      <c r="AF21" s="46">
        <v>920508.54399999999</v>
      </c>
      <c r="AG21" s="46">
        <v>1495.221</v>
      </c>
      <c r="AH21" s="46">
        <v>142359.96799999999</v>
      </c>
      <c r="AI21" s="46">
        <v>15027.7984</v>
      </c>
      <c r="AJ21" s="46">
        <v>145477.47200000001</v>
      </c>
      <c r="AK21" s="46">
        <v>105938.024</v>
      </c>
      <c r="AL21" s="46">
        <v>336877.34399999998</v>
      </c>
      <c r="AM21" s="46">
        <v>1039.771</v>
      </c>
      <c r="AN21" s="46">
        <v>194.9</v>
      </c>
      <c r="AO21" s="46">
        <v>7.1</v>
      </c>
      <c r="AP21" s="46">
        <v>249917</v>
      </c>
      <c r="AQ21" s="46">
        <v>43642</v>
      </c>
      <c r="AR21" s="46">
        <v>43086</v>
      </c>
      <c r="AS21" s="46">
        <v>32537</v>
      </c>
      <c r="AT21" s="46">
        <v>22238</v>
      </c>
      <c r="AU21" s="46">
        <v>17414</v>
      </c>
      <c r="AV21" s="46">
        <v>7461</v>
      </c>
      <c r="AW21" s="46">
        <v>21.464835999999998</v>
      </c>
      <c r="AX21" s="46">
        <v>7432.6260000000002</v>
      </c>
      <c r="AY21" s="46">
        <v>690.17895999999996</v>
      </c>
      <c r="AZ21" s="46">
        <v>21.49</v>
      </c>
      <c r="BA21" s="46">
        <v>11.811999999999999</v>
      </c>
      <c r="BB21" s="46">
        <v>47.676000000000002</v>
      </c>
      <c r="BC21" s="46">
        <v>0</v>
      </c>
      <c r="BD21" s="46">
        <v>279687.978</v>
      </c>
      <c r="BE21" s="46">
        <v>3825.6024000000002</v>
      </c>
      <c r="BF21" s="46">
        <v>1714.182</v>
      </c>
      <c r="BG21" s="46">
        <v>77.224999999999994</v>
      </c>
      <c r="BH21" s="46">
        <v>394.05700000000002</v>
      </c>
      <c r="BI21" s="46">
        <v>953.745</v>
      </c>
      <c r="BJ21" s="46">
        <v>17.927</v>
      </c>
      <c r="BK21" s="46">
        <v>586.21299999999997</v>
      </c>
      <c r="BL21" s="46">
        <v>171879.728</v>
      </c>
      <c r="BM21" s="46">
        <v>348836.03200000001</v>
      </c>
      <c r="BN21" s="46">
        <v>7535.3879999999999</v>
      </c>
      <c r="BO21" s="46">
        <v>53589.132799999999</v>
      </c>
      <c r="BP21" s="46">
        <v>322944.36800000002</v>
      </c>
      <c r="BQ21" s="46">
        <v>343.91</v>
      </c>
      <c r="BR21" s="46">
        <v>192.05099999999999</v>
      </c>
      <c r="BS21" s="46">
        <v>1117669.1459999999</v>
      </c>
      <c r="BT21" s="46">
        <v>1400691.1089999999</v>
      </c>
      <c r="BU21" s="46">
        <v>644351.36</v>
      </c>
      <c r="BV21" s="46">
        <v>1067735.52</v>
      </c>
      <c r="BW21" s="46">
        <v>586420.54399999999</v>
      </c>
      <c r="BX21" s="46">
        <v>1088548</v>
      </c>
      <c r="BY21" s="46">
        <v>161266.016</v>
      </c>
      <c r="BZ21" s="46">
        <v>117629.28</v>
      </c>
      <c r="CA21" s="46">
        <v>1264.3878999999999</v>
      </c>
      <c r="CB21" s="46">
        <v>111423.82399999999</v>
      </c>
      <c r="CC21" s="46">
        <v>160024.67199999999</v>
      </c>
      <c r="CD21" s="46">
        <v>462450.016</v>
      </c>
      <c r="CE21" s="46">
        <v>51363.5072</v>
      </c>
      <c r="CF21" s="46">
        <v>158597.96799999999</v>
      </c>
      <c r="CG21" s="46">
        <v>36124.729599999999</v>
      </c>
      <c r="CH21" s="46">
        <v>2385.8710000000001</v>
      </c>
      <c r="CI21" s="46">
        <v>225.7</v>
      </c>
      <c r="CJ21" s="46">
        <v>1207.3</v>
      </c>
      <c r="CK21" s="46">
        <v>81.870999999999995</v>
      </c>
      <c r="CL21" s="46">
        <v>775.55399999999997</v>
      </c>
      <c r="CM21" s="46">
        <v>551.4</v>
      </c>
      <c r="CN21" s="46">
        <v>77711.199999999997</v>
      </c>
      <c r="CO21" s="46">
        <v>1740.424</v>
      </c>
      <c r="CP21" s="46">
        <v>314174.02899999998</v>
      </c>
      <c r="CQ21" s="46">
        <v>3791286.72</v>
      </c>
      <c r="CR21" s="46">
        <v>135490.56</v>
      </c>
      <c r="CS21" s="46">
        <v>538227.13600000006</v>
      </c>
      <c r="CT21" s="46">
        <v>3217073.4380000001</v>
      </c>
      <c r="CU21" s="46">
        <v>322929.64799999999</v>
      </c>
      <c r="CV21" s="46">
        <v>31231.785599999999</v>
      </c>
      <c r="CW21" s="46">
        <v>64267.353600000002</v>
      </c>
      <c r="CX21" s="46">
        <v>34143.532800000001</v>
      </c>
      <c r="CY21" s="46">
        <v>177135.34400000001</v>
      </c>
      <c r="CZ21" s="46">
        <v>224427.728</v>
      </c>
      <c r="DA21" s="46">
        <v>20344.02</v>
      </c>
      <c r="DB21" s="46">
        <v>158031.43</v>
      </c>
      <c r="DC21" s="46">
        <v>3548.3</v>
      </c>
      <c r="DD21" s="46">
        <v>3548.17</v>
      </c>
      <c r="DE21" s="46">
        <v>3580.81</v>
      </c>
      <c r="DF21" s="46">
        <v>0.99</v>
      </c>
      <c r="DG21" s="44" t="s">
        <v>222</v>
      </c>
      <c r="DH21" s="2">
        <f>Table2[[#This Row],[Date]]</f>
        <v>46317</v>
      </c>
      <c r="DI21">
        <f>(DD22-Table2[[#This Row],[MWH Total]])*4000</f>
        <v>23959.999999999127</v>
      </c>
      <c r="DJ21">
        <f>(DA22-Table2[[#This Row],[PNG Meter (Outside)]])*2.936</f>
        <v>5.1086399999940184</v>
      </c>
      <c r="DK21">
        <f>(DB22-Table2[[#This Row],[PNG Meter (Inside)]])*2.936</f>
        <v>355.68759199999181</v>
      </c>
      <c r="DL21">
        <f>(BH22-Table2[[#This Row],[3F Dough cooler - 2 ]])*1000</f>
        <v>404.99999999997272</v>
      </c>
      <c r="DM21">
        <f>(BI22-Table2[[#This Row],[3F Dough Cooler- 1]])*1000</f>
        <v>476.99999999997544</v>
      </c>
      <c r="DN21">
        <f>(BJ22-Table2[[#This Row],[4F Dough Production cooling Unit]])*1000</f>
        <v>22.999999999999687</v>
      </c>
      <c r="DO21">
        <f>(BQ22-Table2[[#This Row],[3F2 - PDB 3 - Dough Production Area]])*1000</f>
        <v>222.99999999995634</v>
      </c>
      <c r="DP21">
        <f>(BR22-Table2[[#This Row],[3F3 - PDB 4 - Dough Area]])*1000</f>
        <v>131.00000000000023</v>
      </c>
      <c r="DQ21">
        <f>AC22-Table2[[#This Row],[16F1 Tray washer Panel for Light]]</f>
        <v>773.43999999994412</v>
      </c>
      <c r="DR21">
        <f>CQ22-Table2[[#This Row],[2F1 Tray Washer - 1]]</f>
        <v>1265.2799999997951</v>
      </c>
      <c r="DS21">
        <f>CS22-Table2[[#This Row],[2F5 Destacker]]</f>
        <v>136.83199999993667</v>
      </c>
      <c r="DT21">
        <f>CU22-Table2[[#This Row],[5F1 Metering (TW-2)]]</f>
        <v>390.67399999999907</v>
      </c>
      <c r="DU21">
        <f>CV22-Table2[[#This Row],[6F1 Pre soaker Tray washer]]</f>
        <v>38.332800000000134</v>
      </c>
      <c r="DV21">
        <f>CZ22-Table2[[#This Row],[6F5 Vent tray Storage]]</f>
        <v>109.32800000000861</v>
      </c>
      <c r="DW21">
        <f>I22-Table2[[#This Row],[Popeyes Meter ]]</f>
        <v>2.5999999999999801E-2</v>
      </c>
      <c r="DX21">
        <f>AZ22-Table2[[#This Row],[2F WH Chiller, Segregation Area]]</f>
        <v>2.5999999999999801E-2</v>
      </c>
      <c r="DY21">
        <f>BA22-Table2[[#This Row],[3F1 AC Unit WH dock cooling - 2 Nos]]</f>
        <v>9.0000000000003411E-3</v>
      </c>
      <c r="DZ21">
        <f>BB22-Table2[[#This Row],[3F2 AC Unit WH dock cooling - 3 Nos]]</f>
        <v>3.399999999999892E-2</v>
      </c>
      <c r="EA21">
        <f>(BK22-Table2[[#This Row],[5F WH Perishable]])*1000</f>
        <v>285.00000000008185</v>
      </c>
      <c r="EB21">
        <f>BN22-Table2[[#This Row],[2F3 - PDB 9 - WH Dock Leveler Door ]]</f>
        <v>4.0776000000005297</v>
      </c>
      <c r="EC21">
        <f>BP22-Table2[[#This Row],[3F1 - PDB 5 - WH HSD]]</f>
        <v>178.89600000000792</v>
      </c>
      <c r="ED21">
        <f>BX22-Table2[[#This Row],[8F1 WH Dock AHU - Ventilation]]</f>
        <v>172.23999999999069</v>
      </c>
      <c r="EE21">
        <f>BZ22-Table2[[#This Row],[8F3 ACPDB - 4 WH Dock air curtain]]</f>
        <v>57.504000000000815</v>
      </c>
      <c r="EF21">
        <f>CA22-Table2[[#This Row],[8F4 WH Light]]</f>
        <v>3.4076000000000022</v>
      </c>
      <c r="EG21">
        <f>CC22-Table2[[#This Row],[9F1 - PDB 10 - WH Dock door &amp; Office]]</f>
        <v>65.504000000015367</v>
      </c>
      <c r="EH21">
        <f>CD22-Table2[[#This Row],[9F2 - PDB 11 - WH flycatchers]]</f>
        <v>242.23999999999069</v>
      </c>
      <c r="EI21">
        <f>CE22-Table2[[#This Row],[9F3 - PDB 12 - Other items]]</f>
        <v>33.88799999999901</v>
      </c>
      <c r="EJ21">
        <f>CR22-Table2[[#This Row],[2F3 - PDB 1 - Dock 1 to 4 ]]</f>
        <v>33.360000000015134</v>
      </c>
      <c r="EK21">
        <f>BM22-Table2[[#This Row],[2F2 - PDB 3 - WH Truck &amp; Battery Charging]]</f>
        <v>492.73599999997532</v>
      </c>
      <c r="EL21">
        <f>(CK22-Table2[[#This Row],[PDB - 11 Truck Charging]])*1000</f>
        <v>84.000000000003183</v>
      </c>
      <c r="EM21" s="1">
        <f>P22-Table2[[#This Row],[5F3 Admin Area]]</f>
        <v>338.81599999999162</v>
      </c>
      <c r="EN21">
        <f>AH22-Table2[[#This Row],[2F5 Main Gate-1 Piller -1]]</f>
        <v>99.103999999992084</v>
      </c>
      <c r="EO21">
        <f>CW22-Table2[[#This Row],[6F2 Ground Floor AC]]</f>
        <v>11.219199999999546</v>
      </c>
      <c r="EP21">
        <f>CX22-Table2[[#This Row],[6F3 ACBD -1 (First floor AC)]]</f>
        <v>8.438399999999092</v>
      </c>
      <c r="EQ21">
        <f>CY22-Table2[[#This Row],[6F4 ACBD - 2 (Second &amp; Third floor AC)]]</f>
        <v>83.855999999999767</v>
      </c>
      <c r="ER21">
        <f>(BC22-Table2[[#This Row],[4F Old BMC cooling Unit]])</f>
        <v>0</v>
      </c>
      <c r="ES21">
        <f>BO22-Table2[[#This Row],[2F4 - Old BMC]]</f>
        <v>0</v>
      </c>
      <c r="ET21">
        <f>Y22-Table2[[#This Row],[14F2 New CK]]</f>
        <v>1401.1999999999534</v>
      </c>
      <c r="EU21">
        <f>(CL22-Table2[[#This Row],[OLD Ck Panel-1]])*1000</f>
        <v>192.00000000000728</v>
      </c>
      <c r="EV21">
        <f>CM22-Table2[[#This Row],[2F4 Old CK Blast (Blue star)]]</f>
        <v>0</v>
      </c>
      <c r="EW21">
        <f>CN22-Table2[[#This Row],[3F6 Old CK Blast (Carrier)]]</f>
        <v>37.69999999999709</v>
      </c>
      <c r="EX21">
        <f>(CO22-Table2[[#This Row],[Old CK Panel -2]])*1000</f>
        <v>1127.9999999999291</v>
      </c>
      <c r="EY21">
        <f>N22-Table2[[#This Row],[4F1 Main UPS 1/C -1]]</f>
        <v>901.92000000015832</v>
      </c>
      <c r="EZ21">
        <f>Z22-Table2[[#This Row],[15F1 Main UPS Panel - I/C - 2]]</f>
        <v>0</v>
      </c>
      <c r="FA21">
        <f>BF22-Table2[[#This Row],[2F CLC -1 AC unit - 2]]</f>
        <v>0</v>
      </c>
      <c r="FB21">
        <f>(BG22-Table2[[#This Row],[2F CLC Anti room]])*1000</f>
        <v>34.000000000006025</v>
      </c>
      <c r="FC21">
        <f>BW22-Table2[[#This Row],[7F3 CLC Power Panel]]</f>
        <v>281.08799999998882</v>
      </c>
      <c r="FD21">
        <f>(CI22-Table2[[#This Row],[PDB - 17 CLC Section ]])*1000</f>
        <v>177.99999999999727</v>
      </c>
      <c r="FE21">
        <f>(W22-Table2[[#This Row],[13F3 Water &amp; Lift Old CK]])*1000</f>
        <v>2210.0000000000364</v>
      </c>
      <c r="FF21">
        <f>AA22-Table2[[#This Row],[15F2 New ETP Panel]]</f>
        <v>276.47999999998137</v>
      </c>
      <c r="FG21">
        <f>AL22-Table2[[#This Row],[3F4 Old ETP Panel]]</f>
        <v>85.24800000002142</v>
      </c>
      <c r="FH21">
        <f>AF22-Table2[[#This Row],[2F1 RO Plant]]</f>
        <v>486.91200000001118</v>
      </c>
      <c r="FI21">
        <f>AK22-Table2[[#This Row],[3F3 Fire Hydrant Panel]]</f>
        <v>2.5519999999960419</v>
      </c>
      <c r="FJ21">
        <f>R22-Table2[[#This Row],[7F1 Freon System Panel]]</f>
        <v>5353.5999999996275</v>
      </c>
      <c r="FK21">
        <f>(AE22-Table2[[#This Row],[21F1 Refrigeration Ammonia]])*1000</f>
        <v>6284.7999999994499</v>
      </c>
      <c r="FL21">
        <f>(AG22-Table2[[#This Row],[2F3 Air Compressor]])*1000</f>
        <v>1291.9999999999163</v>
      </c>
      <c r="FM21">
        <f>(AX22-Table2[[#This Row],[Solar Reading Panel II]])*1000</f>
        <v>2009.0000000000146</v>
      </c>
      <c r="FN21">
        <f>AI22-Table2[[#This Row],[3F1 Maintenance Workshop]]</f>
        <v>2.9040000000004511</v>
      </c>
      <c r="FO21">
        <f>BD22-Table2[[#This Row],[4F B2B unit ]]</f>
        <v>42.102000000013504</v>
      </c>
      <c r="FP21">
        <f>BL22-Table2[[#This Row],[2F1 - PDB 6 - Bread, B2B section]]</f>
        <v>22317.823999999993</v>
      </c>
      <c r="FQ21">
        <f>(CG22-Table2[[#This Row],[9F5 - PDB 14 - Bread Lift]])</f>
        <v>0.51520000000164146</v>
      </c>
      <c r="FR21">
        <f>CJ22-Table2[[#This Row],[PDB - 16 Bread Section]]</f>
        <v>1.2999999999999545</v>
      </c>
      <c r="FS21">
        <f>BU22-Table2[[#This Row],[7F1 Donut Production area]]</f>
        <v>206.7839999999851</v>
      </c>
      <c r="FT21">
        <f>CB22-Table2[[#This Row],[8F5 Donut Ban Bary]]</f>
        <v>36.048000000009779</v>
      </c>
      <c r="FU21">
        <f>CF22-Table2[[#This Row],[9F4 - PDB 13 - Donut Sink Geyser area]]</f>
        <v>29.440000000002328</v>
      </c>
      <c r="FV21">
        <f>BV22-Table2[[#This Row],[7F2 Flour Silo]]</f>
        <v>714.32000000006519</v>
      </c>
      <c r="FW21">
        <f>BY22-Table2[[#This Row],[8F2 ACPDB - 3 SILO Ventilation]]</f>
        <v>43.503999999986263</v>
      </c>
      <c r="FX21">
        <f>J22-Table2[[#This Row],[DG 1010KVA Running Hours]]</f>
        <v>0</v>
      </c>
      <c r="FY21">
        <f>K22-Table2[[#This Row],[DG 1010 KVA Meter Reading]]</f>
        <v>0</v>
      </c>
      <c r="FZ21">
        <f>L22-Table2[[#This Row],[GG 1010 KVA Running Hours]]</f>
        <v>0</v>
      </c>
      <c r="GA21">
        <f>M22-Table2[[#This Row],[GG 1010 KVA Meter Reading]]</f>
        <v>0</v>
      </c>
    </row>
    <row r="22" spans="1:183">
      <c r="A22" s="55">
        <v>122</v>
      </c>
      <c r="B22" s="45">
        <v>46318.384988425925</v>
      </c>
      <c r="C22" s="45">
        <v>46318.422835648147</v>
      </c>
      <c r="D22" s="55" t="s">
        <v>111</v>
      </c>
      <c r="E22" s="44"/>
      <c r="F22" s="44"/>
      <c r="G22" s="57">
        <v>46318</v>
      </c>
      <c r="H22" s="44" t="s">
        <v>211</v>
      </c>
      <c r="I22" s="46">
        <v>10.252000000000001</v>
      </c>
      <c r="J22" s="46">
        <v>4295.3</v>
      </c>
      <c r="K22" s="46">
        <v>1785849</v>
      </c>
      <c r="L22" s="46">
        <v>474</v>
      </c>
      <c r="M22" s="46">
        <v>200.09</v>
      </c>
      <c r="N22" s="46">
        <v>1943157.6</v>
      </c>
      <c r="O22" s="46">
        <v>4748600.96</v>
      </c>
      <c r="P22" s="46">
        <v>673939.90399999998</v>
      </c>
      <c r="Q22" s="46">
        <v>8314668.7999999998</v>
      </c>
      <c r="R22" s="46">
        <v>5971628.7999999998</v>
      </c>
      <c r="S22" s="46">
        <v>7642923.5199999996</v>
      </c>
      <c r="T22" s="46">
        <v>44175014.204999998</v>
      </c>
      <c r="U22" s="46">
        <v>2211805.44</v>
      </c>
      <c r="V22" s="46">
        <v>5250795.5199999996</v>
      </c>
      <c r="W22" s="46">
        <v>1681.1164000000001</v>
      </c>
      <c r="X22" s="46">
        <v>798080.44799999997</v>
      </c>
      <c r="Y22" s="46">
        <v>1210075.04</v>
      </c>
      <c r="Z22" s="46">
        <v>2777.8894</v>
      </c>
      <c r="AA22" s="46">
        <v>691927.48800000001</v>
      </c>
      <c r="AB22" s="46">
        <v>424122.4</v>
      </c>
      <c r="AC22" s="46">
        <v>2196305.44</v>
      </c>
      <c r="AD22" s="46">
        <v>5178173.5029999996</v>
      </c>
      <c r="AE22" s="46">
        <v>13368.3856</v>
      </c>
      <c r="AF22" s="46">
        <v>920995.45600000001</v>
      </c>
      <c r="AG22" s="46">
        <v>1496.5129999999999</v>
      </c>
      <c r="AH22" s="46">
        <v>142459.07199999999</v>
      </c>
      <c r="AI22" s="46">
        <v>15030.7024</v>
      </c>
      <c r="AJ22" s="46">
        <v>145478.39999999999</v>
      </c>
      <c r="AK22" s="46">
        <v>105940.576</v>
      </c>
      <c r="AL22" s="46">
        <v>336962.592</v>
      </c>
      <c r="AM22" s="46">
        <v>1040.3309999999999</v>
      </c>
      <c r="AN22" s="46">
        <v>187.9</v>
      </c>
      <c r="AO22" s="46">
        <v>6.9</v>
      </c>
      <c r="AP22" s="46">
        <v>259825</v>
      </c>
      <c r="AQ22" s="46">
        <v>43665</v>
      </c>
      <c r="AR22" s="46">
        <v>43109</v>
      </c>
      <c r="AS22" s="46">
        <v>32537</v>
      </c>
      <c r="AT22" s="46">
        <v>22238</v>
      </c>
      <c r="AU22" s="46">
        <v>17438</v>
      </c>
      <c r="AV22" s="46">
        <v>7473</v>
      </c>
      <c r="AW22" s="46">
        <v>21.470942000000001</v>
      </c>
      <c r="AX22" s="46">
        <v>7434.6350000000002</v>
      </c>
      <c r="AY22" s="46">
        <v>690.28768000000002</v>
      </c>
      <c r="AZ22" s="46">
        <v>21.515999999999998</v>
      </c>
      <c r="BA22" s="46">
        <v>11.821</v>
      </c>
      <c r="BB22" s="46">
        <v>47.71</v>
      </c>
      <c r="BC22" s="46">
        <v>0</v>
      </c>
      <c r="BD22" s="46">
        <v>279730.08</v>
      </c>
      <c r="BE22" s="46">
        <v>3826.8611999999998</v>
      </c>
      <c r="BF22" s="46">
        <v>1714.182</v>
      </c>
      <c r="BG22" s="46">
        <v>77.259</v>
      </c>
      <c r="BH22" s="46">
        <v>394.46199999999999</v>
      </c>
      <c r="BI22" s="46">
        <v>954.22199999999998</v>
      </c>
      <c r="BJ22" s="46">
        <v>17.95</v>
      </c>
      <c r="BK22" s="46">
        <v>586.49800000000005</v>
      </c>
      <c r="BL22" s="46">
        <v>194197.552</v>
      </c>
      <c r="BM22" s="46">
        <v>349328.76799999998</v>
      </c>
      <c r="BN22" s="46">
        <v>7539.4656000000004</v>
      </c>
      <c r="BO22" s="46">
        <v>53589.132799999999</v>
      </c>
      <c r="BP22" s="46">
        <v>323123.26400000002</v>
      </c>
      <c r="BQ22" s="46">
        <v>344.13299999999998</v>
      </c>
      <c r="BR22" s="46">
        <v>192.18199999999999</v>
      </c>
      <c r="BS22" s="46">
        <v>1119066.7350000001</v>
      </c>
      <c r="BT22" s="46">
        <v>1400691.1540000001</v>
      </c>
      <c r="BU22" s="46">
        <v>644558.14399999997</v>
      </c>
      <c r="BV22" s="46">
        <v>1068449.8400000001</v>
      </c>
      <c r="BW22" s="46">
        <v>586701.63199999998</v>
      </c>
      <c r="BX22" s="46">
        <v>1088720.24</v>
      </c>
      <c r="BY22" s="46">
        <v>161309.51999999999</v>
      </c>
      <c r="BZ22" s="46">
        <v>117686.784</v>
      </c>
      <c r="CA22" s="46">
        <v>1267.7954999999999</v>
      </c>
      <c r="CB22" s="46">
        <v>111459.872</v>
      </c>
      <c r="CC22" s="46">
        <v>160090.17600000001</v>
      </c>
      <c r="CD22" s="46">
        <v>462692.25599999999</v>
      </c>
      <c r="CE22" s="46">
        <v>51397.395199999999</v>
      </c>
      <c r="CF22" s="46">
        <v>158627.408</v>
      </c>
      <c r="CG22" s="46">
        <v>36125.2448</v>
      </c>
      <c r="CH22" s="46">
        <v>2385.8710000000001</v>
      </c>
      <c r="CI22" s="46">
        <v>225.87799999999999</v>
      </c>
      <c r="CJ22" s="46">
        <v>1208.5999999999999</v>
      </c>
      <c r="CK22" s="46">
        <v>81.954999999999998</v>
      </c>
      <c r="CL22" s="46">
        <v>775.74599999999998</v>
      </c>
      <c r="CM22" s="46">
        <v>551.4</v>
      </c>
      <c r="CN22" s="46">
        <v>77748.899999999994</v>
      </c>
      <c r="CO22" s="46">
        <v>1741.5519999999999</v>
      </c>
      <c r="CP22" s="46">
        <v>314461.15299999999</v>
      </c>
      <c r="CQ22" s="46">
        <v>3792552</v>
      </c>
      <c r="CR22" s="46">
        <v>135523.92000000001</v>
      </c>
      <c r="CS22" s="46">
        <v>538363.96799999999</v>
      </c>
      <c r="CT22" s="46">
        <v>3220459.6320000002</v>
      </c>
      <c r="CU22" s="46">
        <v>323320.32199999999</v>
      </c>
      <c r="CV22" s="46">
        <v>31270.118399999999</v>
      </c>
      <c r="CW22" s="46">
        <v>64278.572800000002</v>
      </c>
      <c r="CX22" s="46">
        <v>34151.9712</v>
      </c>
      <c r="CY22" s="46">
        <v>177219.20000000001</v>
      </c>
      <c r="CZ22" s="46">
        <v>224537.05600000001</v>
      </c>
      <c r="DA22" s="46">
        <v>20345.759999999998</v>
      </c>
      <c r="DB22" s="46">
        <v>158152.57699999999</v>
      </c>
      <c r="DC22" s="46">
        <v>3554.29</v>
      </c>
      <c r="DD22" s="46">
        <v>3554.16</v>
      </c>
      <c r="DE22" s="46">
        <v>3586.87</v>
      </c>
      <c r="DF22" s="46">
        <v>0.995</v>
      </c>
      <c r="DG22" s="44" t="s">
        <v>213</v>
      </c>
      <c r="DH22" s="2">
        <f>Table2[[#This Row],[Date]]</f>
        <v>46318</v>
      </c>
      <c r="DI22">
        <f>(DD23-Table2[[#This Row],[MWH Total]])*4000</f>
        <v>27960.000000000946</v>
      </c>
      <c r="DJ22">
        <f>(DA23-Table2[[#This Row],[PNG Meter (Outside)]])*2.936</f>
        <v>8.2795200000098266</v>
      </c>
      <c r="DK22">
        <f>(DB23-Table2[[#This Row],[PNG Meter (Inside)]])*2.936</f>
        <v>347.16731999998632</v>
      </c>
      <c r="DL22">
        <f>(BH23-Table2[[#This Row],[3F Dough cooler - 2 ]])*1000</f>
        <v>408.00000000001546</v>
      </c>
      <c r="DM22">
        <f>(BI23-Table2[[#This Row],[3F Dough Cooler- 1]])*1000</f>
        <v>490.99999999998545</v>
      </c>
      <c r="DN22">
        <f>(BJ23-Table2[[#This Row],[4F Dough Production cooling Unit]])*1000</f>
        <v>59.000000000001052</v>
      </c>
      <c r="DO22">
        <f>(BQ23-Table2[[#This Row],[3F2 - PDB 3 - Dough Production Area]])*1000</f>
        <v>234.00000000003729</v>
      </c>
      <c r="DP22">
        <f>(BR23-Table2[[#This Row],[3F3 - PDB 4 - Dough Area]])*1000</f>
        <v>150.00000000000568</v>
      </c>
      <c r="DQ22">
        <f>AC23-Table2[[#This Row],[16F1 Tray washer Panel for Light]]</f>
        <v>751.04000000003725</v>
      </c>
      <c r="DR22">
        <f>CQ23-Table2[[#This Row],[2F1 Tray Washer - 1]]</f>
        <v>1392</v>
      </c>
      <c r="DS22">
        <f>CS23-Table2[[#This Row],[2F5 Destacker]]</f>
        <v>147.71200000005774</v>
      </c>
      <c r="DT22">
        <f>CU23-Table2[[#This Row],[5F1 Metering (TW-2)]]</f>
        <v>394.66800000000512</v>
      </c>
      <c r="DU22">
        <f>CV23-Table2[[#This Row],[6F1 Pre soaker Tray washer]]</f>
        <v>45.065600000001723</v>
      </c>
      <c r="DV22">
        <f>CZ23-Table2[[#This Row],[6F5 Vent tray Storage]]</f>
        <v>79.231999999989057</v>
      </c>
      <c r="DW22">
        <f>I23-Table2[[#This Row],[Popeyes Meter ]]</f>
        <v>3.0999999999998806E-2</v>
      </c>
      <c r="DX22">
        <f>AZ23-Table2[[#This Row],[2F WH Chiller, Segregation Area]]</f>
        <v>2.5000000000002132E-2</v>
      </c>
      <c r="DY22">
        <f>BA23-Table2[[#This Row],[3F1 AC Unit WH dock cooling - 2 Nos]]</f>
        <v>1.699999999999946E-2</v>
      </c>
      <c r="DZ22">
        <f>BB23-Table2[[#This Row],[3F2 AC Unit WH dock cooling - 3 Nos]]</f>
        <v>3.4999999999996589E-2</v>
      </c>
      <c r="EA22">
        <f>(BK23-Table2[[#This Row],[5F WH Perishable]])*1000</f>
        <v>282.99999999990177</v>
      </c>
      <c r="EB22">
        <f>BN23-Table2[[#This Row],[2F3 - PDB 9 - WH Dock Leveler Door ]]</f>
        <v>4.1503999999995358</v>
      </c>
      <c r="EC22">
        <f>BP23-Table2[[#This Row],[3F1 - PDB 5 - WH HSD]]</f>
        <v>158.55999999999767</v>
      </c>
      <c r="ED22">
        <f>BX23-Table2[[#This Row],[8F1 WH Dock AHU - Ventilation]]</f>
        <v>174.39999999990687</v>
      </c>
      <c r="EE22">
        <f>BZ23-Table2[[#This Row],[8F3 ACPDB - 4 WH Dock air curtain]]</f>
        <v>68.160000000003492</v>
      </c>
      <c r="EF22">
        <f>CA23-Table2[[#This Row],[8F4 WH Light]]</f>
        <v>3.4480000000000928</v>
      </c>
      <c r="EG22">
        <f>CC23-Table2[[#This Row],[9F1 - PDB 10 - WH Dock door &amp; Office]]</f>
        <v>97.967999999993481</v>
      </c>
      <c r="EH22">
        <f>CD23-Table2[[#This Row],[9F2 - PDB 11 - WH flycatchers]]</f>
        <v>220.44800000003306</v>
      </c>
      <c r="EI22">
        <f>CE23-Table2[[#This Row],[9F3 - PDB 12 - Other items]]</f>
        <v>28.707200000004377</v>
      </c>
      <c r="EJ22">
        <f>CR23-Table2[[#This Row],[2F3 - PDB 1 - Dock 1 to 4 ]]</f>
        <v>37.215999999985797</v>
      </c>
      <c r="EK22">
        <f>BM23-Table2[[#This Row],[2F2 - PDB 3 - WH Truck &amp; Battery Charging]]</f>
        <v>504.5120000000461</v>
      </c>
      <c r="EL22">
        <f>(CK23-Table2[[#This Row],[PDB - 11 Truck Charging]])*1000</f>
        <v>70.999999999997954</v>
      </c>
      <c r="EM22" s="1">
        <f>P23-Table2[[#This Row],[5F3 Admin Area]]</f>
        <v>313.98400000005495</v>
      </c>
      <c r="EN22">
        <f>AH23-Table2[[#This Row],[2F5 Main Gate-1 Piller -1]]</f>
        <v>102.52800000002026</v>
      </c>
      <c r="EO22">
        <f>CW23-Table2[[#This Row],[6F2 Ground Floor AC]]</f>
        <v>12.089599999999336</v>
      </c>
      <c r="EP22">
        <f>CX23-Table2[[#This Row],[6F3 ACBD -1 (First floor AC)]]</f>
        <v>9.1488000000026659</v>
      </c>
      <c r="EQ22">
        <f>CY23-Table2[[#This Row],[6F4 ACBD - 2 (Second &amp; Third floor AC)]]</f>
        <v>89.37599999998929</v>
      </c>
      <c r="ER22">
        <f>(BC23-Table2[[#This Row],[4F Old BMC cooling Unit]])</f>
        <v>0</v>
      </c>
      <c r="ES22">
        <f>BO23-Table2[[#This Row],[2F4 - Old BMC]]</f>
        <v>0</v>
      </c>
      <c r="ET22">
        <f>Y23-Table2[[#This Row],[14F2 New CK]]</f>
        <v>1473.1999999999534</v>
      </c>
      <c r="EU22">
        <f>(CL23-Table2[[#This Row],[OLD Ck Panel-1]])*1000</f>
        <v>505.99999999997181</v>
      </c>
      <c r="EV22">
        <f>CM23-Table2[[#This Row],[2F4 Old CK Blast (Blue star)]]</f>
        <v>0</v>
      </c>
      <c r="EW22">
        <f>CN23-Table2[[#This Row],[3F6 Old CK Blast (Carrier)]]</f>
        <v>381.10000000000582</v>
      </c>
      <c r="EX22">
        <f>(CO23-Table2[[#This Row],[Old CK Panel -2]])*1000</f>
        <v>1179.0000000000873</v>
      </c>
      <c r="EY22">
        <f>N23-Table2[[#This Row],[4F1 Main UPS 1/C -1]]</f>
        <v>904.95999999996275</v>
      </c>
      <c r="EZ22">
        <f>Z23-Table2[[#This Row],[15F1 Main UPS Panel - I/C - 2]]</f>
        <v>0</v>
      </c>
      <c r="FA22">
        <f>BF23-Table2[[#This Row],[2F CLC -1 AC unit - 2]]</f>
        <v>0</v>
      </c>
      <c r="FB22">
        <f>(BG23-Table2[[#This Row],[2F CLC Anti room]])*1000</f>
        <v>33.000000000001251</v>
      </c>
      <c r="FC22">
        <f>BW23-Table2[[#This Row],[7F3 CLC Power Panel]]</f>
        <v>341.3760000000475</v>
      </c>
      <c r="FD22">
        <f>(CI23-Table2[[#This Row],[PDB - 17 CLC Section ]])*1000</f>
        <v>213.00000000002228</v>
      </c>
      <c r="FE22">
        <f>(W23-Table2[[#This Row],[13F3 Water &amp; Lift Old CK]])*1000</f>
        <v>2364.1999999999825</v>
      </c>
      <c r="FF22">
        <f>AA23-Table2[[#This Row],[15F2 New ETP Panel]]</f>
        <v>295.80799999996088</v>
      </c>
      <c r="FG22">
        <f>AL23-Table2[[#This Row],[3F4 Old ETP Panel]]</f>
        <v>92.191999999980908</v>
      </c>
      <c r="FH22">
        <f>AF23-Table2[[#This Row],[2F1 RO Plant]]</f>
        <v>487.42399999999907</v>
      </c>
      <c r="FI22">
        <f>AK23-Table2[[#This Row],[3F3 Fire Hydrant Panel]]</f>
        <v>1.5599999999976717</v>
      </c>
      <c r="FJ22">
        <f>R23-Table2[[#This Row],[7F1 Freon System Panel]]</f>
        <v>6853.7599999997765</v>
      </c>
      <c r="FK22">
        <f>(AE23-Table2[[#This Row],[21F1 Refrigeration Ammonia]])*1000</f>
        <v>6277.6000000012573</v>
      </c>
      <c r="FL22">
        <f>(AG23-Table2[[#This Row],[2F3 Air Compressor]])*1000</f>
        <v>1331.000000000131</v>
      </c>
      <c r="FM22">
        <f>(AX23-Table2[[#This Row],[Solar Reading Panel II]])*1000</f>
        <v>1976.9999999998618</v>
      </c>
      <c r="FN22">
        <f>AI23-Table2[[#This Row],[3F1 Maintenance Workshop]]</f>
        <v>1.9488000000001193</v>
      </c>
      <c r="FO22">
        <f>BD23-Table2[[#This Row],[4F B2B unit ]]</f>
        <v>48.159999999974389</v>
      </c>
      <c r="FP22">
        <f>BL23-Table2[[#This Row],[2F1 - PDB 6 - Bread, B2B section]]</f>
        <v>21762.09599999999</v>
      </c>
      <c r="FQ22">
        <f>(CG23-Table2[[#This Row],[9F5 - PDB 14 - Bread Lift]])</f>
        <v>0.37120000000140863</v>
      </c>
      <c r="FR22">
        <f>CJ23-Table2[[#This Row],[PDB - 16 Bread Section]]</f>
        <v>1.4000000000000909</v>
      </c>
      <c r="FS22">
        <f>BU23-Table2[[#This Row],[7F1 Donut Production area]]</f>
        <v>179.00800000003073</v>
      </c>
      <c r="FT22">
        <f>CB23-Table2[[#This Row],[8F5 Donut Ban Bary]]</f>
        <v>35.663999999989755</v>
      </c>
      <c r="FU22">
        <f>CF23-Table2[[#This Row],[9F4 - PDB 13 - Donut Sink Geyser area]]</f>
        <v>29.040000000008149</v>
      </c>
      <c r="FV22">
        <f>BV23-Table2[[#This Row],[7F2 Flour Silo]]</f>
        <v>558.39999999990687</v>
      </c>
      <c r="FW22">
        <f>BY23-Table2[[#This Row],[8F2 ACPDB - 3 SILO Ventilation]]</f>
        <v>44.080000000016298</v>
      </c>
      <c r="FX22">
        <f>J23-Table2[[#This Row],[DG 1010KVA Running Hours]]</f>
        <v>0</v>
      </c>
      <c r="FY22">
        <f>K23-Table2[[#This Row],[DG 1010 KVA Meter Reading]]</f>
        <v>0</v>
      </c>
      <c r="FZ22">
        <f>L23-Table2[[#This Row],[GG 1010 KVA Running Hours]]</f>
        <v>0</v>
      </c>
      <c r="GA22">
        <f>M23-Table2[[#This Row],[GG 1010 KVA Meter Reading]]</f>
        <v>0</v>
      </c>
    </row>
    <row r="23" spans="1:183">
      <c r="A23" s="55">
        <v>123</v>
      </c>
      <c r="B23" s="45">
        <v>46319.380740740744</v>
      </c>
      <c r="C23" s="45">
        <v>46319.431608796294</v>
      </c>
      <c r="D23" s="55" t="s">
        <v>111</v>
      </c>
      <c r="E23" s="44"/>
      <c r="F23" s="44"/>
      <c r="G23" s="57">
        <v>46319</v>
      </c>
      <c r="H23" s="44" t="s">
        <v>182</v>
      </c>
      <c r="I23" s="46">
        <v>10.282999999999999</v>
      </c>
      <c r="J23" s="46">
        <v>4295.3</v>
      </c>
      <c r="K23" s="46">
        <v>1785849</v>
      </c>
      <c r="L23" s="46">
        <v>474</v>
      </c>
      <c r="M23" s="46">
        <v>200.09</v>
      </c>
      <c r="N23" s="46">
        <v>1944062.56</v>
      </c>
      <c r="O23" s="46">
        <v>4750521.5999999996</v>
      </c>
      <c r="P23" s="46">
        <v>674253.88800000004</v>
      </c>
      <c r="Q23" s="46">
        <v>8317154.5599999996</v>
      </c>
      <c r="R23" s="46">
        <v>5978482.5599999996</v>
      </c>
      <c r="S23" s="46">
        <v>7646556.7999999998</v>
      </c>
      <c r="T23" s="46">
        <v>44189407.789999999</v>
      </c>
      <c r="U23" s="46">
        <v>2213261.44</v>
      </c>
      <c r="V23" s="46">
        <v>5252530.88</v>
      </c>
      <c r="W23" s="46">
        <v>1683.4806000000001</v>
      </c>
      <c r="X23" s="46">
        <v>798492.35199999996</v>
      </c>
      <c r="Y23" s="46">
        <v>1211548.24</v>
      </c>
      <c r="Z23" s="46">
        <v>2777.8894</v>
      </c>
      <c r="AA23" s="46">
        <v>692223.29599999997</v>
      </c>
      <c r="AB23" s="46">
        <v>424149.56800000003</v>
      </c>
      <c r="AC23" s="46">
        <v>2197056.48</v>
      </c>
      <c r="AD23" s="46">
        <v>5191744.7889999999</v>
      </c>
      <c r="AE23" s="46">
        <v>13374.663200000001</v>
      </c>
      <c r="AF23" s="46">
        <v>921482.88</v>
      </c>
      <c r="AG23" s="46">
        <v>1497.8440000000001</v>
      </c>
      <c r="AH23" s="46">
        <v>142561.60000000001</v>
      </c>
      <c r="AI23" s="46">
        <v>15032.6512</v>
      </c>
      <c r="AJ23" s="46">
        <v>145479.296</v>
      </c>
      <c r="AK23" s="46">
        <v>105942.136</v>
      </c>
      <c r="AL23" s="46">
        <v>337054.78399999999</v>
      </c>
      <c r="AM23" s="46">
        <v>1040.972</v>
      </c>
      <c r="AN23" s="46">
        <v>291.2</v>
      </c>
      <c r="AO23" s="46">
        <v>7.2</v>
      </c>
      <c r="AP23" s="46">
        <v>270148</v>
      </c>
      <c r="AQ23" s="46">
        <v>43690</v>
      </c>
      <c r="AR23" s="46">
        <v>43133</v>
      </c>
      <c r="AS23" s="46">
        <v>32537</v>
      </c>
      <c r="AT23" s="46">
        <v>22238</v>
      </c>
      <c r="AU23" s="46">
        <v>17462</v>
      </c>
      <c r="AV23" s="46">
        <v>7485</v>
      </c>
      <c r="AW23" s="46">
        <v>21.477080000000001</v>
      </c>
      <c r="AX23" s="46">
        <v>7436.6120000000001</v>
      </c>
      <c r="AY23" s="46">
        <v>690.41512</v>
      </c>
      <c r="AZ23" s="46">
        <v>21.541</v>
      </c>
      <c r="BA23" s="46">
        <v>11.837999999999999</v>
      </c>
      <c r="BB23" s="46">
        <v>47.744999999999997</v>
      </c>
      <c r="BC23" s="46">
        <v>0</v>
      </c>
      <c r="BD23" s="46">
        <v>279778.24</v>
      </c>
      <c r="BE23" s="46">
        <v>3828.1815999999999</v>
      </c>
      <c r="BF23" s="46">
        <v>1714.182</v>
      </c>
      <c r="BG23" s="46">
        <v>77.292000000000002</v>
      </c>
      <c r="BH23" s="46">
        <v>394.87</v>
      </c>
      <c r="BI23" s="46">
        <v>954.71299999999997</v>
      </c>
      <c r="BJ23" s="46">
        <v>18.009</v>
      </c>
      <c r="BK23" s="46">
        <v>586.78099999999995</v>
      </c>
      <c r="BL23" s="46">
        <v>215959.64799999999</v>
      </c>
      <c r="BM23" s="46">
        <v>349833.28</v>
      </c>
      <c r="BN23" s="46">
        <v>7543.616</v>
      </c>
      <c r="BO23" s="46">
        <v>53589.132799999999</v>
      </c>
      <c r="BP23" s="46">
        <v>323281.82400000002</v>
      </c>
      <c r="BQ23" s="46">
        <v>344.36700000000002</v>
      </c>
      <c r="BR23" s="46">
        <v>192.33199999999999</v>
      </c>
      <c r="BS23" s="46">
        <v>1120501.1980000001</v>
      </c>
      <c r="BT23" s="46">
        <v>1400691.1569999999</v>
      </c>
      <c r="BU23" s="46">
        <v>644737.152</v>
      </c>
      <c r="BV23" s="46">
        <v>1069008.24</v>
      </c>
      <c r="BW23" s="46">
        <v>587043.00800000003</v>
      </c>
      <c r="BX23" s="46">
        <v>1088894.6399999999</v>
      </c>
      <c r="BY23" s="46">
        <v>161353.60000000001</v>
      </c>
      <c r="BZ23" s="46">
        <v>117754.944</v>
      </c>
      <c r="CA23" s="46">
        <v>1271.2435</v>
      </c>
      <c r="CB23" s="46">
        <v>111495.53599999999</v>
      </c>
      <c r="CC23" s="46">
        <v>160188.144</v>
      </c>
      <c r="CD23" s="46">
        <v>462912.70400000003</v>
      </c>
      <c r="CE23" s="46">
        <v>51426.102400000003</v>
      </c>
      <c r="CF23" s="46">
        <v>158656.448</v>
      </c>
      <c r="CG23" s="46">
        <v>36125.616000000002</v>
      </c>
      <c r="CH23" s="46">
        <v>2385.8710000000001</v>
      </c>
      <c r="CI23" s="46">
        <v>226.09100000000001</v>
      </c>
      <c r="CJ23" s="46">
        <v>1210</v>
      </c>
      <c r="CK23" s="46">
        <v>82.025999999999996</v>
      </c>
      <c r="CL23" s="46">
        <v>776.25199999999995</v>
      </c>
      <c r="CM23" s="46">
        <v>551.4</v>
      </c>
      <c r="CN23" s="46">
        <v>78130</v>
      </c>
      <c r="CO23" s="46">
        <v>1742.731</v>
      </c>
      <c r="CP23" s="46">
        <v>314743.74099999998</v>
      </c>
      <c r="CQ23" s="46">
        <v>3793944</v>
      </c>
      <c r="CR23" s="46">
        <v>135561.136</v>
      </c>
      <c r="CS23" s="46">
        <v>538511.68000000005</v>
      </c>
      <c r="CT23" s="46">
        <v>3224111.159</v>
      </c>
      <c r="CU23" s="46">
        <v>323714.99</v>
      </c>
      <c r="CV23" s="46">
        <v>31315.184000000001</v>
      </c>
      <c r="CW23" s="46">
        <v>64290.662400000001</v>
      </c>
      <c r="CX23" s="46">
        <v>34161.120000000003</v>
      </c>
      <c r="CY23" s="46">
        <v>177308.576</v>
      </c>
      <c r="CZ23" s="46">
        <v>224616.288</v>
      </c>
      <c r="DA23" s="46">
        <v>20348.580000000002</v>
      </c>
      <c r="DB23" s="46">
        <v>158270.82199999999</v>
      </c>
      <c r="DC23" s="46">
        <v>3561.28</v>
      </c>
      <c r="DD23" s="46">
        <v>3561.15</v>
      </c>
      <c r="DE23" s="46">
        <v>3593.98</v>
      </c>
      <c r="DF23" s="46">
        <v>0.997</v>
      </c>
      <c r="DG23" s="44" t="s">
        <v>212</v>
      </c>
      <c r="DH23" s="2">
        <f>Table2[[#This Row],[Date]]</f>
        <v>46319</v>
      </c>
      <c r="DI23">
        <f>(DD24-Table2[[#This Row],[MWH Total]])*4000</f>
        <v>25319.999999999709</v>
      </c>
      <c r="DJ23">
        <f>(DA24-Table2[[#This Row],[PNG Meter (Outside)]])*2.936</f>
        <v>10.246639999994018</v>
      </c>
      <c r="DK23">
        <f>(DB24-Table2[[#This Row],[PNG Meter (Inside)]])*2.936</f>
        <v>161.32732800001162</v>
      </c>
      <c r="DL23">
        <f>(BH24-Table2[[#This Row],[3F Dough cooler - 2 ]])*1000</f>
        <v>291.99999999997317</v>
      </c>
      <c r="DM23">
        <f>(BI24-Table2[[#This Row],[3F Dough Cooler- 1]])*1000</f>
        <v>344.00000000005093</v>
      </c>
      <c r="DN23">
        <f>(BJ24-Table2[[#This Row],[4F Dough Production cooling Unit]])*1000</f>
        <v>21.999999999998465</v>
      </c>
      <c r="DO23">
        <f>(BQ24-Table2[[#This Row],[3F2 - PDB 3 - Dough Production Area]])*1000</f>
        <v>112.99999999999955</v>
      </c>
      <c r="DP23">
        <f>(BR24-Table2[[#This Row],[3F3 - PDB 4 - Dough Area]])*1000</f>
        <v>74.000000000012278</v>
      </c>
      <c r="DQ23">
        <f>AC24-Table2[[#This Row],[16F1 Tray washer Panel for Light]]</f>
        <v>555.20000000018626</v>
      </c>
      <c r="DR23">
        <f>CQ24-Table2[[#This Row],[2F1 Tray Washer - 1]]</f>
        <v>1004.4799999999814</v>
      </c>
      <c r="DS23">
        <f>CS24-Table2[[#This Row],[2F5 Destacker]]</f>
        <v>89.983999999938533</v>
      </c>
      <c r="DT23">
        <f>CU24-Table2[[#This Row],[5F1 Metering (TW-2)]]</f>
        <v>157.28800000000047</v>
      </c>
      <c r="DU23">
        <f>CV24-Table2[[#This Row],[6F1 Pre soaker Tray washer]]</f>
        <v>1.372799999997369</v>
      </c>
      <c r="DV23">
        <f>CZ24-Table2[[#This Row],[6F5 Vent tray Storage]]</f>
        <v>62.067999999999302</v>
      </c>
      <c r="DW23">
        <f>I24-Table2[[#This Row],[Popeyes Meter ]]</f>
        <v>1.7000000000001236E-2</v>
      </c>
      <c r="DX23">
        <f>AZ24-Table2[[#This Row],[2F WH Chiller, Segregation Area]]</f>
        <v>1.8999999999998352E-2</v>
      </c>
      <c r="DY23">
        <f>BA24-Table2[[#This Row],[3F1 AC Unit WH dock cooling - 2 Nos]]</f>
        <v>1.3000000000001677E-2</v>
      </c>
      <c r="DZ23">
        <f>BB24-Table2[[#This Row],[3F2 AC Unit WH dock cooling - 3 Nos]]</f>
        <v>2.7000000000001023E-2</v>
      </c>
      <c r="EA23">
        <f>(BK24-Table2[[#This Row],[5F WH Perishable]])*1000</f>
        <v>206.00000000001728</v>
      </c>
      <c r="EB23">
        <f>BN24-Table2[[#This Row],[2F3 - PDB 9 - WH Dock Leveler Door ]]</f>
        <v>2.9823999999998705</v>
      </c>
      <c r="EC23">
        <f>BP24-Table2[[#This Row],[3F1 - PDB 5 - WH HSD]]</f>
        <v>91.583999999973457</v>
      </c>
      <c r="ED23">
        <f>BX24-Table2[[#This Row],[8F1 WH Dock AHU - Ventilation]]</f>
        <v>124.88000000012107</v>
      </c>
      <c r="EE23">
        <f>BZ24-Table2[[#This Row],[8F3 ACPDB - 4 WH Dock air curtain]]</f>
        <v>27.695999999996275</v>
      </c>
      <c r="EF23">
        <f>CA24-Table2[[#This Row],[8F4 WH Light]]</f>
        <v>2.024599999999964</v>
      </c>
      <c r="EG23">
        <f>CC24-Table2[[#This Row],[9F1 - PDB 10 - WH Dock door &amp; Office]]</f>
        <v>59.247999999992317</v>
      </c>
      <c r="EH23">
        <f>CD24-Table2[[#This Row],[9F2 - PDB 11 - WH flycatchers]]</f>
        <v>149.21599999995669</v>
      </c>
      <c r="EI23">
        <f>CE24-Table2[[#This Row],[9F3 - PDB 12 - Other items]]</f>
        <v>463037.22719999996</v>
      </c>
      <c r="EJ23">
        <f>CR24-Table2[[#This Row],[2F3 - PDB 1 - Dock 1 to 4 ]]</f>
        <v>29.423999999999069</v>
      </c>
      <c r="EK23">
        <f>BM24-Table2[[#This Row],[2F2 - PDB 3 - WH Truck &amp; Battery Charging]]</f>
        <v>416.51199999998789</v>
      </c>
      <c r="EL23">
        <f>(CK24-Table2[[#This Row],[PDB - 11 Truck Charging]])*1000</f>
        <v>57.00000000000216</v>
      </c>
      <c r="EM23" s="1">
        <f>P24-Table2[[#This Row],[5F3 Admin Area]]</f>
        <v>254.9759999999078</v>
      </c>
      <c r="EN23">
        <f>AH24-Table2[[#This Row],[2F5 Main Gate-1 Piller -1]]</f>
        <v>85.296000000002095</v>
      </c>
      <c r="EO23">
        <f>CW24-Table2[[#This Row],[6F2 Ground Floor AC]]</f>
        <v>6.5023999999975786</v>
      </c>
      <c r="EP23">
        <f>CX24-Table2[[#This Row],[6F3 ACBD -1 (First floor AC)]]</f>
        <v>-9.6000000005005859E-2</v>
      </c>
      <c r="EQ23">
        <f>CY24-Table2[[#This Row],[6F4 ACBD - 2 (Second &amp; Third floor AC)]]</f>
        <v>62.127999999996973</v>
      </c>
      <c r="ER23">
        <f>(BC24-Table2[[#This Row],[4F Old BMC cooling Unit]])</f>
        <v>114029.736</v>
      </c>
      <c r="ES23">
        <f>BO24-Table2[[#This Row],[2F4 - Old BMC]]</f>
        <v>0</v>
      </c>
      <c r="ET23">
        <f>Y24-Table2[[#This Row],[14F2 New CK]]</f>
        <v>1394.1599999999162</v>
      </c>
      <c r="EU23">
        <f>(CL24-Table2[[#This Row],[OLD Ck Panel-1]])*1000</f>
        <v>436.00000000003547</v>
      </c>
      <c r="EV23">
        <f>CM24-Table2[[#This Row],[2F4 Old CK Blast (Blue star)]]</f>
        <v>0</v>
      </c>
      <c r="EW23">
        <f>CN24-Table2[[#This Row],[3F6 Old CK Blast (Carrier)]]</f>
        <v>366.19999999999709</v>
      </c>
      <c r="EX23">
        <f>(CO24-Table2[[#This Row],[Old CK Panel -2]])*1000</f>
        <v>826.99999999999818</v>
      </c>
      <c r="EY23">
        <f>N24-Table2[[#This Row],[4F1 Main UPS 1/C -1]]</f>
        <v>660.95999999996275</v>
      </c>
      <c r="EZ23">
        <f>Z24-Table2[[#This Row],[15F1 Main UPS Panel - I/C - 2]]</f>
        <v>0</v>
      </c>
      <c r="FA23">
        <f>BF24-Table2[[#This Row],[2F CLC -1 AC unit - 2]]</f>
        <v>0</v>
      </c>
      <c r="FB23">
        <f>(BG24-Table2[[#This Row],[2F CLC Anti room]])*1000</f>
        <v>28.999999999996362</v>
      </c>
      <c r="FC23">
        <f>BW24-Table2[[#This Row],[7F3 CLC Power Panel]]</f>
        <v>237.95199999993201</v>
      </c>
      <c r="FD23">
        <f>(CI24-Table2[[#This Row],[PDB - 17 CLC Section ]])*1000</f>
        <v>135.99999999999568</v>
      </c>
      <c r="FE23">
        <f>(W24-Table2[[#This Row],[13F3 Water &amp; Lift Old CK]])*1000</f>
        <v>1847.9999999999563</v>
      </c>
      <c r="FF23">
        <f>AA24-Table2[[#This Row],[15F2 New ETP Panel]]</f>
        <v>236.73600000003353</v>
      </c>
      <c r="FG23">
        <f>AL24-Table2[[#This Row],[3F4 Old ETP Panel]]</f>
        <v>74.976000000024214</v>
      </c>
      <c r="FH23">
        <f>AF24-Table2[[#This Row],[2F1 RO Plant]]</f>
        <v>399.10400000005029</v>
      </c>
      <c r="FI23">
        <f>AK24-Table2[[#This Row],[3F3 Fire Hydrant Panel]]</f>
        <v>0.83199999999487773</v>
      </c>
      <c r="FJ23">
        <f>R24-Table2[[#This Row],[7F1 Freon System Panel]]</f>
        <v>4485.1200000001118</v>
      </c>
      <c r="FK23">
        <f>(AE24-Table2[[#This Row],[21F1 Refrigeration Ammonia]])*1000</f>
        <v>4789.599999998245</v>
      </c>
      <c r="FL23">
        <f>(AG24-Table2[[#This Row],[2F3 Air Compressor]])*1000</f>
        <v>984.99999999989996</v>
      </c>
      <c r="FM23">
        <f>(AX24-Table2[[#This Row],[Solar Reading Panel II]])*1000</f>
        <v>1820.9999999999127</v>
      </c>
      <c r="FN23">
        <f>AI24-Table2[[#This Row],[3F1 Maintenance Workshop]]</f>
        <v>1.4704000000001543</v>
      </c>
      <c r="FO23">
        <f>BD24-Table2[[#This Row],[4F B2B unit ]]</f>
        <v>33.184000000008382</v>
      </c>
      <c r="FP23">
        <f>BL24-Table2[[#This Row],[2F1 - PDB 6 - Bread, B2B section]]</f>
        <v>15836.38400000002</v>
      </c>
      <c r="FQ23">
        <f>(CG24-Table2[[#This Row],[9F5 - PDB 14 - Bread Lift]])</f>
        <v>0.37120000000140863</v>
      </c>
      <c r="FR23">
        <f>CJ24-Table2[[#This Row],[PDB - 16 Bread Section]]</f>
        <v>1</v>
      </c>
      <c r="FS23">
        <f>BU24-Table2[[#This Row],[7F1 Donut Production area]]</f>
        <v>126.46400000003632</v>
      </c>
      <c r="FT23">
        <f>CB24-Table2[[#This Row],[8F5 Donut Ban Bary]]</f>
        <v>26.056000000011409</v>
      </c>
      <c r="FU23">
        <f>CF24-Table2[[#This Row],[9F4 - PDB 13 - Donut Sink Geyser area]]</f>
        <v>58.815999999991618</v>
      </c>
      <c r="FV23">
        <f>BV24-Table2[[#This Row],[7F2 Flour Silo]]</f>
        <v>279.12000000011176</v>
      </c>
      <c r="FW23">
        <f>BY24-Table2[[#This Row],[8F2 ACPDB - 3 SILO Ventilation]]</f>
        <v>54.687999999994645</v>
      </c>
      <c r="FX23">
        <f>J24-Table2[[#This Row],[DG 1010KVA Running Hours]]</f>
        <v>0</v>
      </c>
      <c r="FY23">
        <f>K24-Table2[[#This Row],[DG 1010 KVA Meter Reading]]</f>
        <v>0</v>
      </c>
      <c r="FZ23">
        <f>L24-Table2[[#This Row],[GG 1010 KVA Running Hours]]</f>
        <v>0</v>
      </c>
      <c r="GA23">
        <f>M24-Table2[[#This Row],[GG 1010 KVA Meter Reading]]</f>
        <v>0</v>
      </c>
    </row>
    <row r="24" spans="1:183">
      <c r="A24" s="55">
        <v>125</v>
      </c>
      <c r="B24" s="45">
        <v>46321.489895833336</v>
      </c>
      <c r="C24" s="45">
        <v>46321.506180555552</v>
      </c>
      <c r="D24" s="55" t="s">
        <v>111</v>
      </c>
      <c r="E24" s="44"/>
      <c r="F24" s="44"/>
      <c r="G24" s="57">
        <v>46320</v>
      </c>
      <c r="H24" s="44" t="s">
        <v>182</v>
      </c>
      <c r="I24" s="46">
        <v>10.3</v>
      </c>
      <c r="J24" s="46">
        <v>4295.3</v>
      </c>
      <c r="K24" s="46">
        <v>1785849</v>
      </c>
      <c r="L24" s="46">
        <v>474</v>
      </c>
      <c r="M24" s="46">
        <v>200.09</v>
      </c>
      <c r="N24" s="46">
        <v>1944723.52</v>
      </c>
      <c r="O24" s="46">
        <v>4751976.96</v>
      </c>
      <c r="P24" s="46">
        <v>674508.86399999994</v>
      </c>
      <c r="Q24" s="46">
        <v>8319608.3200000003</v>
      </c>
      <c r="R24" s="46">
        <v>5982967.6799999997</v>
      </c>
      <c r="S24" s="46">
        <v>7649315.2039999999</v>
      </c>
      <c r="T24" s="46">
        <v>43740093.762000002</v>
      </c>
      <c r="U24" s="46">
        <v>2214299.6800000002</v>
      </c>
      <c r="V24" s="46">
        <v>5253859.5199999996</v>
      </c>
      <c r="W24" s="46">
        <v>1685.3286000000001</v>
      </c>
      <c r="X24" s="46">
        <v>798656.83200000005</v>
      </c>
      <c r="Y24" s="46">
        <v>1212942.3999999999</v>
      </c>
      <c r="Z24" s="46">
        <v>2777.8894</v>
      </c>
      <c r="AA24" s="46">
        <v>692460.03200000001</v>
      </c>
      <c r="AB24" s="46">
        <v>424173.88799999998</v>
      </c>
      <c r="AC24" s="46">
        <v>2197611.6800000002</v>
      </c>
      <c r="AD24" s="46">
        <v>3468965.7009999999</v>
      </c>
      <c r="AE24" s="46">
        <v>13379.452799999999</v>
      </c>
      <c r="AF24" s="46">
        <v>921881.98400000005</v>
      </c>
      <c r="AG24" s="46">
        <v>1498.829</v>
      </c>
      <c r="AH24" s="46">
        <v>142646.89600000001</v>
      </c>
      <c r="AI24" s="46">
        <v>15034.1216</v>
      </c>
      <c r="AJ24" s="46">
        <v>145480.07999999999</v>
      </c>
      <c r="AK24" s="46">
        <v>105942.96799999999</v>
      </c>
      <c r="AL24" s="46">
        <v>337129.76</v>
      </c>
      <c r="AM24" s="46">
        <v>1041.443</v>
      </c>
      <c r="AN24" s="46">
        <v>287.3</v>
      </c>
      <c r="AO24" s="46">
        <v>7.4</v>
      </c>
      <c r="AP24" s="46">
        <v>277578</v>
      </c>
      <c r="AQ24" s="46">
        <v>43708</v>
      </c>
      <c r="AR24" s="46">
        <v>43152</v>
      </c>
      <c r="AS24" s="46">
        <v>32537</v>
      </c>
      <c r="AT24" s="46">
        <v>22238</v>
      </c>
      <c r="AU24" s="46">
        <v>17480</v>
      </c>
      <c r="AV24" s="46">
        <v>7494</v>
      </c>
      <c r="AW24" s="46">
        <v>21.481608000000001</v>
      </c>
      <c r="AX24" s="46">
        <v>7438.433</v>
      </c>
      <c r="AY24" s="46">
        <v>690.51783999999998</v>
      </c>
      <c r="AZ24" s="46">
        <v>21.56</v>
      </c>
      <c r="BA24" s="46">
        <v>11.851000000000001</v>
      </c>
      <c r="BB24" s="46">
        <v>47.771999999999998</v>
      </c>
      <c r="BC24" s="46">
        <v>114029.736</v>
      </c>
      <c r="BD24" s="46">
        <v>279811.424</v>
      </c>
      <c r="BE24" s="46">
        <v>3829.1060000000002</v>
      </c>
      <c r="BF24" s="46">
        <v>1714.182</v>
      </c>
      <c r="BG24" s="46">
        <v>77.320999999999998</v>
      </c>
      <c r="BH24" s="46">
        <v>395.16199999999998</v>
      </c>
      <c r="BI24" s="46">
        <v>955.05700000000002</v>
      </c>
      <c r="BJ24" s="46">
        <v>18.030999999999999</v>
      </c>
      <c r="BK24" s="46">
        <v>586.98699999999997</v>
      </c>
      <c r="BL24" s="46">
        <v>231796.03200000001</v>
      </c>
      <c r="BM24" s="46">
        <v>350249.79200000002</v>
      </c>
      <c r="BN24" s="46">
        <v>7546.5983999999999</v>
      </c>
      <c r="BO24" s="46">
        <v>53589.132799999999</v>
      </c>
      <c r="BP24" s="46">
        <v>323373.408</v>
      </c>
      <c r="BQ24" s="46">
        <v>344.48</v>
      </c>
      <c r="BR24" s="46">
        <v>192.40600000000001</v>
      </c>
      <c r="BS24" s="46">
        <v>1121482.6089999999</v>
      </c>
      <c r="BT24" s="46">
        <v>1400691.581</v>
      </c>
      <c r="BU24" s="46">
        <v>644863.61600000004</v>
      </c>
      <c r="BV24" s="46">
        <v>1069287.3600000001</v>
      </c>
      <c r="BW24" s="46">
        <v>587280.96</v>
      </c>
      <c r="BX24" s="46">
        <v>1089019.52</v>
      </c>
      <c r="BY24" s="46">
        <v>161408.288</v>
      </c>
      <c r="BZ24" s="46">
        <v>117782.64</v>
      </c>
      <c r="CA24" s="46">
        <v>1273.2681</v>
      </c>
      <c r="CB24" s="46">
        <v>111521.592</v>
      </c>
      <c r="CC24" s="46">
        <v>160247.39199999999</v>
      </c>
      <c r="CD24" s="46">
        <v>463061.92</v>
      </c>
      <c r="CE24" s="46">
        <v>514463.3296</v>
      </c>
      <c r="CF24" s="46">
        <v>158715.264</v>
      </c>
      <c r="CG24" s="46">
        <v>36125.987200000003</v>
      </c>
      <c r="CH24" s="46">
        <v>2385.8710000000001</v>
      </c>
      <c r="CI24" s="46">
        <v>226.227</v>
      </c>
      <c r="CJ24" s="46">
        <v>1211</v>
      </c>
      <c r="CK24" s="46">
        <v>82.082999999999998</v>
      </c>
      <c r="CL24" s="46">
        <v>776.68799999999999</v>
      </c>
      <c r="CM24" s="46">
        <v>551.4</v>
      </c>
      <c r="CN24" s="46">
        <v>78496.2</v>
      </c>
      <c r="CO24" s="46">
        <v>1743.558</v>
      </c>
      <c r="CP24" s="46">
        <v>315256.88099999999</v>
      </c>
      <c r="CQ24" s="46">
        <v>3794948.48</v>
      </c>
      <c r="CR24" s="46">
        <v>135590.56</v>
      </c>
      <c r="CS24" s="46">
        <v>538601.66399999999</v>
      </c>
      <c r="CT24" s="46">
        <v>3226715.2689999999</v>
      </c>
      <c r="CU24" s="46">
        <v>323872.27799999999</v>
      </c>
      <c r="CV24" s="46">
        <v>31316.556799999998</v>
      </c>
      <c r="CW24" s="46">
        <v>64297.164799999999</v>
      </c>
      <c r="CX24" s="46">
        <v>34161.023999999998</v>
      </c>
      <c r="CY24" s="46">
        <v>177370.704</v>
      </c>
      <c r="CZ24" s="46">
        <v>224678.356</v>
      </c>
      <c r="DA24" s="46">
        <v>20352.07</v>
      </c>
      <c r="DB24" s="46">
        <v>158325.76999999999</v>
      </c>
      <c r="DC24" s="46">
        <v>3567.6</v>
      </c>
      <c r="DD24" s="46">
        <v>3567.48</v>
      </c>
      <c r="DE24" s="46">
        <v>3600.41</v>
      </c>
      <c r="DF24" s="46">
        <v>0.995</v>
      </c>
      <c r="DG24" s="44" t="s">
        <v>228</v>
      </c>
      <c r="DH24" s="2">
        <f>Table2[[#This Row],[Date]]</f>
        <v>46320</v>
      </c>
      <c r="DI24">
        <f>(DD25-Table2[[#This Row],[MWH Total]])*4000</f>
        <v>21039.999999999054</v>
      </c>
      <c r="DJ24">
        <f>(DA25-Table2[[#This Row],[PNG Meter (Outside)]])*2.936</f>
        <v>6.0481600000038451</v>
      </c>
      <c r="DK24">
        <f>(DB25-Table2[[#This Row],[PNG Meter (Inside)]])*2.936</f>
        <v>225.57288000004786</v>
      </c>
      <c r="DL24">
        <f>(BH25-Table2[[#This Row],[3F Dough cooler - 2 ]])*1000</f>
        <v>400.00000000003411</v>
      </c>
      <c r="DM24">
        <f>(BI25-Table2[[#This Row],[3F Dough Cooler- 1]])*1000</f>
        <v>612.9999999999427</v>
      </c>
      <c r="DN24">
        <f>(BJ25-Table2[[#This Row],[4F Dough Production cooling Unit]])*1000</f>
        <v>25.999999999999801</v>
      </c>
      <c r="DO24">
        <f>(BQ25-Table2[[#This Row],[3F2 - PDB 3 - Dough Production Area]])*1000</f>
        <v>228.99999999998499</v>
      </c>
      <c r="DP24">
        <f>(BR25-Table2[[#This Row],[3F3 - PDB 4 - Dough Area]])*1000</f>
        <v>145.99999999998658</v>
      </c>
      <c r="DQ24">
        <f>AC25-Table2[[#This Row],[16F1 Tray washer Panel for Light]]</f>
        <v>863.83999999985099</v>
      </c>
      <c r="DR24">
        <f>CQ25-Table2[[#This Row],[2F1 Tray Washer - 1]]</f>
        <v>1944.3199999998324</v>
      </c>
      <c r="DS24">
        <f>CS25-Table2[[#This Row],[2F5 Destacker]]</f>
        <v>76.160000000032596</v>
      </c>
      <c r="DT24">
        <f>CU25-Table2[[#This Row],[5F1 Metering (TW-2)]]</f>
        <v>205.20799999998417</v>
      </c>
      <c r="DU24">
        <f>CV25-Table2[[#This Row],[6F1 Pre soaker Tray washer]]</f>
        <v>12.745600000002014</v>
      </c>
      <c r="DV24">
        <f>CZ25-Table2[[#This Row],[6F5 Vent tray Storage]]</f>
        <v>42.171999999991385</v>
      </c>
      <c r="DW24">
        <f>I25-Table2[[#This Row],[Popeyes Meter ]]</f>
        <v>3.9999999999995595E-3</v>
      </c>
      <c r="DX24">
        <f>AZ25-Table2[[#This Row],[2F WH Chiller, Segregation Area]]</f>
        <v>3.2000000000000028E-2</v>
      </c>
      <c r="DY24">
        <f>BA25-Table2[[#This Row],[3F1 AC Unit WH dock cooling - 2 Nos]]</f>
        <v>7.9999999999991189E-3</v>
      </c>
      <c r="DZ24">
        <f>BB25-Table2[[#This Row],[3F2 AC Unit WH dock cooling - 3 Nos]]</f>
        <v>1.8000000000000682E-2</v>
      </c>
      <c r="EA24">
        <f>(BK25-Table2[[#This Row],[5F WH Perishable]])*1000</f>
        <v>355.00000000001819</v>
      </c>
      <c r="EB24">
        <f>BN25-Table2[[#This Row],[2F3 - PDB 9 - WH Dock Leveler Door ]]</f>
        <v>5.0888000000004467</v>
      </c>
      <c r="EC24">
        <f>BP25-Table2[[#This Row],[3F1 - PDB 5 - WH HSD]]</f>
        <v>148.64000000001397</v>
      </c>
      <c r="ED24">
        <f>BX25-Table2[[#This Row],[8F1 WH Dock AHU - Ventilation]]</f>
        <v>218.95999999996275</v>
      </c>
      <c r="EE24">
        <f>BZ25-Table2[[#This Row],[8F3 ACPDB - 4 WH Dock air curtain]]</f>
        <v>19.415999999997439</v>
      </c>
      <c r="EF24">
        <f>CA25-Table2[[#This Row],[8F4 WH Light]]</f>
        <v>4.7778000000000702</v>
      </c>
      <c r="EG24">
        <f>CC25-Table2[[#This Row],[9F1 - PDB 10 - WH Dock door &amp; Office]]</f>
        <v>86.543999999994412</v>
      </c>
      <c r="EH24">
        <f>CD25-Table2[[#This Row],[9F2 - PDB 11 - WH flycatchers]]</f>
        <v>180.06400000001304</v>
      </c>
      <c r="EI24">
        <f>CE25-Table2[[#This Row],[9F3 - PDB 12 - Other items]]</f>
        <v>-463011.84159999999</v>
      </c>
      <c r="EJ24">
        <f>CR25-Table2[[#This Row],[2F3 - PDB 1 - Dock 1 to 4 ]]</f>
        <v>39.904000000009546</v>
      </c>
      <c r="EK24">
        <f>BM25-Table2[[#This Row],[2F2 - PDB 3 - WH Truck &amp; Battery Charging]]</f>
        <v>353.40799999999581</v>
      </c>
      <c r="EL24">
        <f>(CK25-Table2[[#This Row],[PDB - 11 Truck Charging]])*1000</f>
        <v>84.000000000003183</v>
      </c>
      <c r="EM24" s="1">
        <f>P25-Table2[[#This Row],[5F3 Admin Area]]</f>
        <v>249.92000000004191</v>
      </c>
      <c r="EN24">
        <f>AH25-Table2[[#This Row],[2F5 Main Gate-1 Piller -1]]</f>
        <v>-171.34400000001187</v>
      </c>
      <c r="EO24">
        <f>CW25-Table2[[#This Row],[6F2 Ground Floor AC]]</f>
        <v>8.8000000000029104</v>
      </c>
      <c r="EP24">
        <f>CX25-Table2[[#This Row],[6F3 ACBD -1 (First floor AC)]]</f>
        <v>17.097600000000966</v>
      </c>
      <c r="EQ24">
        <f>CY25-Table2[[#This Row],[6F4 ACBD - 2 (Second &amp; Third floor AC)]]</f>
        <v>70.864000000001397</v>
      </c>
      <c r="ER24">
        <f>(BC25-Table2[[#This Row],[4F Old BMC cooling Unit]])</f>
        <v>0</v>
      </c>
      <c r="ES24">
        <f>BO25-Table2[[#This Row],[2F4 - Old BMC]]</f>
        <v>0</v>
      </c>
      <c r="ET24">
        <f>Y25-Table2[[#This Row],[14F2 New CK]]</f>
        <v>984.47999999998137</v>
      </c>
      <c r="EU24">
        <f>(CL25-Table2[[#This Row],[OLD Ck Panel-1]])*1000</f>
        <v>397.0000000000482</v>
      </c>
      <c r="EV24">
        <f>CM25-Table2[[#This Row],[2F4 Old CK Blast (Blue star)]]</f>
        <v>0</v>
      </c>
      <c r="EW24">
        <f>CN25-Table2[[#This Row],[3F6 Old CK Blast (Carrier)]]</f>
        <v>305.30000000000291</v>
      </c>
      <c r="EX24">
        <f>(CO25-Table2[[#This Row],[Old CK Panel -2]])*1000</f>
        <v>1347.9999999999563</v>
      </c>
      <c r="EY24">
        <f>N25-Table2[[#This Row],[4F1 Main UPS 1/C -1]]</f>
        <v>974.23999999999069</v>
      </c>
      <c r="EZ24">
        <f>Z25-Table2[[#This Row],[15F1 Main UPS Panel - I/C - 2]]</f>
        <v>0</v>
      </c>
      <c r="FA24">
        <f>BF25-Table2[[#This Row],[2F CLC -1 AC unit - 2]]</f>
        <v>0</v>
      </c>
      <c r="FB24">
        <f>(BG25-Table2[[#This Row],[2F CLC Anti room]])*1000</f>
        <v>22.000000000005571</v>
      </c>
      <c r="FC24">
        <f>BW25-Table2[[#This Row],[7F3 CLC Power Panel]]</f>
        <v>226.68800000008196</v>
      </c>
      <c r="FD24">
        <f>(CI25-Table2[[#This Row],[PDB - 17 CLC Section ]])*1000</f>
        <v>155.00000000000114</v>
      </c>
      <c r="FE24">
        <f>(W25-Table2[[#This Row],[13F3 Water &amp; Lift Old CK]])*1000</f>
        <v>2508.0000000000382</v>
      </c>
      <c r="FF24">
        <f>AA25-Table2[[#This Row],[15F2 New ETP Panel]]</f>
        <v>334.59199999994598</v>
      </c>
      <c r="FG24">
        <f>AL25-Table2[[#This Row],[3F4 Old ETP Panel]]</f>
        <v>104.25599999999395</v>
      </c>
      <c r="FH24">
        <f>AF25-Table2[[#This Row],[2F1 RO Plant]]</f>
        <v>600.57600000000093</v>
      </c>
      <c r="FI24">
        <f>AK25-Table2[[#This Row],[3F3 Fire Hydrant Panel]]</f>
        <v>8.0000000016298145E-3</v>
      </c>
      <c r="FJ24">
        <f>R25-Table2[[#This Row],[7F1 Freon System Panel]]</f>
        <v>4949.1200000001118</v>
      </c>
      <c r="FK24">
        <f>(AE25-Table2[[#This Row],[21F1 Refrigeration Ammonia]])*1000</f>
        <v>6705.6000000011409</v>
      </c>
      <c r="FL24">
        <f>(AG25-Table2[[#This Row],[2F3 Air Compressor]])*1000</f>
        <v>1499.0000000000236</v>
      </c>
      <c r="FM24">
        <f>(AX25-Table2[[#This Row],[Solar Reading Panel II]])*1000</f>
        <v>2355.9999999997672</v>
      </c>
      <c r="FN24">
        <f>AI25-Table2[[#This Row],[3F1 Maintenance Workshop]]</f>
        <v>0</v>
      </c>
      <c r="FO24">
        <f>BD25-Table2[[#This Row],[4F B2B unit ]]</f>
        <v>18.847999999998137</v>
      </c>
      <c r="FP24">
        <f>BL25-Table2[[#This Row],[2F1 - PDB 6 - Bread, B2B section]]</f>
        <v>3704.1919999999809</v>
      </c>
      <c r="FQ24">
        <f>(CG25-Table2[[#This Row],[9F5 - PDB 14 - Bread Lift]])</f>
        <v>0.18879999999626307</v>
      </c>
      <c r="FR24">
        <f>CJ25-Table2[[#This Row],[PDB - 16 Bread Section]]</f>
        <v>9.9999999999909051E-2</v>
      </c>
      <c r="FS24">
        <f>BU25-Table2[[#This Row],[7F1 Donut Production area]]</f>
        <v>189.88799999991897</v>
      </c>
      <c r="FT24">
        <f>CB25-Table2[[#This Row],[8F5 Donut Ban Bary]]</f>
        <v>41.327999999994063</v>
      </c>
      <c r="FU24">
        <f>CF25-Table2[[#This Row],[9F4 - PDB 13 - Donut Sink Geyser area]]</f>
        <v>116.64000000001397</v>
      </c>
      <c r="FV24">
        <f>BV25-Table2[[#This Row],[7F2 Flour Silo]]</f>
        <v>504.79999999981374</v>
      </c>
      <c r="FW24">
        <f>BY25-Table2[[#This Row],[8F2 ACPDB - 3 SILO Ventilation]]</f>
        <v>64.448000000003958</v>
      </c>
      <c r="FX24">
        <f>J25-Table2[[#This Row],[DG 1010KVA Running Hours]]</f>
        <v>0</v>
      </c>
      <c r="FY24">
        <f>K25-Table2[[#This Row],[DG 1010 KVA Meter Reading]]</f>
        <v>0</v>
      </c>
      <c r="FZ24">
        <f>L25-Table2[[#This Row],[GG 1010 KVA Running Hours]]</f>
        <v>0</v>
      </c>
      <c r="GA24">
        <f>M25-Table2[[#This Row],[GG 1010 KVA Meter Reading]]</f>
        <v>0</v>
      </c>
    </row>
    <row r="25" spans="1:183">
      <c r="A25" s="55">
        <v>124</v>
      </c>
      <c r="B25" s="45">
        <v>46321.382210648146</v>
      </c>
      <c r="C25" s="45">
        <v>46321.422881944447</v>
      </c>
      <c r="D25" s="55" t="s">
        <v>111</v>
      </c>
      <c r="E25" s="44"/>
      <c r="F25" s="44"/>
      <c r="G25" s="57">
        <v>46321</v>
      </c>
      <c r="H25" s="44" t="s">
        <v>182</v>
      </c>
      <c r="I25" s="46">
        <v>10.304</v>
      </c>
      <c r="J25" s="46">
        <v>4295.3</v>
      </c>
      <c r="K25" s="46">
        <v>1785849</v>
      </c>
      <c r="L25" s="46">
        <v>474</v>
      </c>
      <c r="M25" s="46">
        <v>200.09</v>
      </c>
      <c r="N25" s="46">
        <v>1945697.76</v>
      </c>
      <c r="O25" s="46">
        <v>4754150.4000000004</v>
      </c>
      <c r="P25" s="46">
        <v>674758.78399999999</v>
      </c>
      <c r="Q25" s="46">
        <v>8322125.4400000004</v>
      </c>
      <c r="R25" s="46">
        <v>5987916.7999999998</v>
      </c>
      <c r="S25" s="46">
        <v>7653686.4000000004</v>
      </c>
      <c r="T25" s="46">
        <v>44211933.825000003</v>
      </c>
      <c r="U25" s="46">
        <v>2215239.04</v>
      </c>
      <c r="V25" s="46">
        <v>5255791.3600000003</v>
      </c>
      <c r="W25" s="46">
        <v>1687.8366000000001</v>
      </c>
      <c r="X25" s="46">
        <v>798800</v>
      </c>
      <c r="Y25" s="46">
        <v>1213926.8799999999</v>
      </c>
      <c r="Z25" s="46">
        <v>2777.8894</v>
      </c>
      <c r="AA25" s="46">
        <v>692794.62399999995</v>
      </c>
      <c r="AB25" s="46">
        <v>424192.19199999998</v>
      </c>
      <c r="AC25" s="46">
        <v>2198475.52</v>
      </c>
      <c r="AD25" s="46">
        <v>5215125</v>
      </c>
      <c r="AE25" s="46">
        <v>13386.1584</v>
      </c>
      <c r="AF25" s="46">
        <v>922482.56</v>
      </c>
      <c r="AG25" s="46">
        <v>1500.328</v>
      </c>
      <c r="AH25" s="46">
        <v>142475.552</v>
      </c>
      <c r="AI25" s="46">
        <v>15034.1216</v>
      </c>
      <c r="AJ25" s="46">
        <v>145480.848</v>
      </c>
      <c r="AK25" s="46">
        <v>105942.976</v>
      </c>
      <c r="AL25" s="46">
        <v>337234.016</v>
      </c>
      <c r="AM25" s="46">
        <v>1042.1210000000001</v>
      </c>
      <c r="AN25" s="46">
        <v>175.2</v>
      </c>
      <c r="AO25" s="46">
        <v>7</v>
      </c>
      <c r="AP25" s="46">
        <v>288478</v>
      </c>
      <c r="AQ25" s="46">
        <v>43737</v>
      </c>
      <c r="AR25" s="46">
        <v>43180</v>
      </c>
      <c r="AS25" s="46">
        <v>32537</v>
      </c>
      <c r="AT25" s="46">
        <v>22238</v>
      </c>
      <c r="AU25" s="46">
        <v>17510</v>
      </c>
      <c r="AV25" s="46">
        <v>7506</v>
      </c>
      <c r="AW25" s="46">
        <v>21.488294</v>
      </c>
      <c r="AX25" s="46">
        <v>7440.7889999999998</v>
      </c>
      <c r="AY25" s="46">
        <v>690.60640000000001</v>
      </c>
      <c r="AZ25" s="46">
        <v>21.591999999999999</v>
      </c>
      <c r="BA25" s="46">
        <v>11.859</v>
      </c>
      <c r="BB25" s="46">
        <v>47.79</v>
      </c>
      <c r="BC25" s="46">
        <v>114029.736</v>
      </c>
      <c r="BD25" s="46">
        <v>279830.272</v>
      </c>
      <c r="BE25" s="46">
        <v>3830.5688</v>
      </c>
      <c r="BF25" s="46">
        <v>1714.182</v>
      </c>
      <c r="BG25" s="46">
        <v>77.343000000000004</v>
      </c>
      <c r="BH25" s="46">
        <v>395.56200000000001</v>
      </c>
      <c r="BI25" s="46">
        <v>955.67</v>
      </c>
      <c r="BJ25" s="46">
        <v>18.056999999999999</v>
      </c>
      <c r="BK25" s="46">
        <v>587.34199999999998</v>
      </c>
      <c r="BL25" s="46">
        <v>235500.22399999999</v>
      </c>
      <c r="BM25" s="46">
        <v>350603.2</v>
      </c>
      <c r="BN25" s="46">
        <v>7551.6872000000003</v>
      </c>
      <c r="BO25" s="46">
        <v>53589.132799999999</v>
      </c>
      <c r="BP25" s="46">
        <v>323522.04800000001</v>
      </c>
      <c r="BQ25" s="46">
        <v>344.709</v>
      </c>
      <c r="BR25" s="46">
        <v>192.55199999999999</v>
      </c>
      <c r="BS25" s="46">
        <v>1122440.108</v>
      </c>
      <c r="BT25" s="46">
        <v>1400692.649</v>
      </c>
      <c r="BU25" s="46">
        <v>645053.50399999996</v>
      </c>
      <c r="BV25" s="46">
        <v>1069792.1599999999</v>
      </c>
      <c r="BW25" s="46">
        <v>587507.64800000004</v>
      </c>
      <c r="BX25" s="46">
        <v>1089238.48</v>
      </c>
      <c r="BY25" s="46">
        <v>161472.736</v>
      </c>
      <c r="BZ25" s="46">
        <v>117802.056</v>
      </c>
      <c r="CA25" s="46">
        <v>1278.0459000000001</v>
      </c>
      <c r="CB25" s="46">
        <v>111562.92</v>
      </c>
      <c r="CC25" s="46">
        <v>160333.93599999999</v>
      </c>
      <c r="CD25" s="46">
        <v>463241.984</v>
      </c>
      <c r="CE25" s="46">
        <v>51451.487999999998</v>
      </c>
      <c r="CF25" s="46">
        <v>158831.90400000001</v>
      </c>
      <c r="CG25" s="46">
        <v>36126.175999999999</v>
      </c>
      <c r="CH25" s="46">
        <v>2385.8710000000001</v>
      </c>
      <c r="CI25" s="46">
        <v>226.38200000000001</v>
      </c>
      <c r="CJ25" s="46">
        <v>1211.0999999999999</v>
      </c>
      <c r="CK25" s="46">
        <v>82.167000000000002</v>
      </c>
      <c r="CL25" s="46">
        <v>777.08500000000004</v>
      </c>
      <c r="CM25" s="46">
        <v>551.4</v>
      </c>
      <c r="CN25" s="46">
        <v>78801.5</v>
      </c>
      <c r="CO25" s="46">
        <v>1744.9059999999999</v>
      </c>
      <c r="CP25" s="46">
        <v>315326.74900000001</v>
      </c>
      <c r="CQ25" s="46">
        <v>3796892.8</v>
      </c>
      <c r="CR25" s="46">
        <v>135630.46400000001</v>
      </c>
      <c r="CS25" s="46">
        <v>538677.82400000002</v>
      </c>
      <c r="CT25" s="46">
        <v>3231350.5350000001</v>
      </c>
      <c r="CU25" s="46">
        <v>324077.48599999998</v>
      </c>
      <c r="CV25" s="46">
        <v>31329.3024</v>
      </c>
      <c r="CW25" s="46">
        <v>64305.964800000002</v>
      </c>
      <c r="CX25" s="46">
        <v>34178.121599999999</v>
      </c>
      <c r="CY25" s="46">
        <v>177441.568</v>
      </c>
      <c r="CZ25" s="46">
        <v>224720.52799999999</v>
      </c>
      <c r="DA25" s="46">
        <v>20354.13</v>
      </c>
      <c r="DB25" s="46">
        <v>158402.6</v>
      </c>
      <c r="DC25" s="46">
        <v>3572.87</v>
      </c>
      <c r="DD25" s="46">
        <v>3572.74</v>
      </c>
      <c r="DE25" s="46">
        <v>3605.69</v>
      </c>
      <c r="DF25" s="46">
        <v>0.998</v>
      </c>
      <c r="DG25" s="44" t="s">
        <v>213</v>
      </c>
      <c r="DH25" s="2">
        <f>Table2[[#This Row],[Date]]</f>
        <v>46321</v>
      </c>
      <c r="DI25">
        <f>(DD26-Table2[[#This Row],[MWH Total]])*4000</f>
        <v>25120.0000000008</v>
      </c>
      <c r="DJ25">
        <f>(DA26-Table2[[#This Row],[PNG Meter (Outside)]])*2.936</f>
        <v>30.710559999997436</v>
      </c>
      <c r="DK25">
        <f>(DB26-Table2[[#This Row],[PNG Meter (Inside)]])*2.936</f>
        <v>395.12100800002531</v>
      </c>
      <c r="DL25">
        <f>(BH26-Table2[[#This Row],[3F Dough cooler - 2 ]])*1000</f>
        <v>404.99999999997272</v>
      </c>
      <c r="DM25">
        <f>(BI26-Table2[[#This Row],[3F Dough Cooler- 1]])*1000</f>
        <v>475.00000000002274</v>
      </c>
      <c r="DN25">
        <f>(BJ26-Table2[[#This Row],[4F Dough Production cooling Unit]])*1000</f>
        <v>24.000000000000909</v>
      </c>
      <c r="DO25">
        <f>(BQ26-Table2[[#This Row],[3F2 - PDB 3 - Dough Production Area]])*1000</f>
        <v>211.00000000001273</v>
      </c>
      <c r="DP25">
        <f>(BR26-Table2[[#This Row],[3F3 - PDB 4 - Dough Area]])*1000</f>
        <v>133.00000000000978</v>
      </c>
      <c r="DQ25">
        <f>AC26-Table2[[#This Row],[16F1 Tray washer Panel for Light]]</f>
        <v>728.16000000014901</v>
      </c>
      <c r="DR25">
        <f>CQ26-Table2[[#This Row],[2F1 Tray Washer - 1]]</f>
        <v>1300.4799999999814</v>
      </c>
      <c r="DS25">
        <f>CS26-Table2[[#This Row],[2F5 Destacker]]</f>
        <v>122.75199999997858</v>
      </c>
      <c r="DT25">
        <f>CU26-Table2[[#This Row],[5F1 Metering (TW-2)]]</f>
        <v>825.27000000001863</v>
      </c>
      <c r="DU25">
        <f>CV26-Table2[[#This Row],[6F1 Pre soaker Tray washer]]</f>
        <v>152.32960000000094</v>
      </c>
      <c r="DV25">
        <f>CZ26-Table2[[#This Row],[6F5 Vent tray Storage]]</f>
        <v>-224720.52799999999</v>
      </c>
      <c r="DW25">
        <f>I26-Table2[[#This Row],[Popeyes Meter ]]</f>
        <v>2.8000000000000469E-2</v>
      </c>
      <c r="DX25">
        <f>AZ26-Table2[[#This Row],[2F WH Chiller, Segregation Area]]</f>
        <v>2.5000000000002132E-2</v>
      </c>
      <c r="DY25">
        <f>BA26-Table2[[#This Row],[3F1 AC Unit WH dock cooling - 2 Nos]]</f>
        <v>1.3999999999999346E-2</v>
      </c>
      <c r="DZ25">
        <f>BB26-Table2[[#This Row],[3F2 AC Unit WH dock cooling - 3 Nos]]</f>
        <v>2.7000000000001023E-2</v>
      </c>
      <c r="EA25">
        <f>(BK26-Table2[[#This Row],[5F WH Perishable]])*1000</f>
        <v>287.00000000003456</v>
      </c>
      <c r="EB25">
        <f>BN26-Table2[[#This Row],[2F3 - PDB 9 - WH Dock Leveler Door ]]</f>
        <v>4.1079999999992651</v>
      </c>
      <c r="EC25">
        <f>BP26-Table2[[#This Row],[3F1 - PDB 5 - WH HSD]]</f>
        <v>99.935999999986961</v>
      </c>
      <c r="ED25">
        <f>BX26-Table2[[#This Row],[8F1 WH Dock AHU - Ventilation]]</f>
        <v>172.39999999990687</v>
      </c>
      <c r="EE25">
        <f>BZ26-Table2[[#This Row],[8F3 ACPDB - 4 WH Dock air curtain]]</f>
        <v>9.7119999999995343</v>
      </c>
      <c r="EF25">
        <f>CA26-Table2[[#This Row],[8F4 WH Light]]</f>
        <v>3.415599999999813</v>
      </c>
      <c r="EG25">
        <f>CC26-Table2[[#This Row],[9F1 - PDB 10 - WH Dock door &amp; Office]]</f>
        <v>94.828000000008615</v>
      </c>
      <c r="EH25">
        <f>CD26-Table2[[#This Row],[9F2 - PDB 11 - WH flycatchers]]</f>
        <v>238.65600000001723</v>
      </c>
      <c r="EI25">
        <f>CE26-Table2[[#This Row],[9F3 - PDB 12 - Other items]]</f>
        <v>32.495999999999185</v>
      </c>
      <c r="EJ25">
        <f>CR26-Table2[[#This Row],[2F3 - PDB 1 - Dock 1 to 4 ]]</f>
        <v>33.247999999992317</v>
      </c>
      <c r="EK25">
        <f>BM26-Table2[[#This Row],[2F2 - PDB 3 - WH Truck &amp; Battery Charging]]</f>
        <v>440.95999999996275</v>
      </c>
      <c r="EL25">
        <f>(CK26-Table2[[#This Row],[PDB - 11 Truck Charging]])*1000</f>
        <v>48.999999999992383</v>
      </c>
      <c r="EM25" s="1">
        <f>P26-Table2[[#This Row],[5F3 Admin Area]]</f>
        <v>-674758.78399999999</v>
      </c>
      <c r="EN25">
        <f>AH26-Table2[[#This Row],[2F5 Main Gate-1 Piller -1]]</f>
        <v>358.03200000000652</v>
      </c>
      <c r="EO25">
        <f>CW26-Table2[[#This Row],[6F2 Ground Floor AC]]</f>
        <v>-64305.964800000002</v>
      </c>
      <c r="EP25">
        <f>CX26-Table2[[#This Row],[6F3 ACBD -1 (First floor AC)]]</f>
        <v>8.4224000000031083</v>
      </c>
      <c r="EQ25">
        <f>CY26-Table2[[#This Row],[6F4 ACBD - 2 (Second &amp; Third floor AC)]]</f>
        <v>90.687999999994645</v>
      </c>
      <c r="ER25">
        <f>(BC26-Table2[[#This Row],[4F Old BMC cooling Unit]])</f>
        <v>0</v>
      </c>
      <c r="ES25">
        <f>BO26-Table2[[#This Row],[2F4 - Old BMC]]</f>
        <v>0</v>
      </c>
      <c r="ET25">
        <f>Y26-Table2[[#This Row],[14F2 New CK]]</f>
        <v>1745.3600000001024</v>
      </c>
      <c r="EU25">
        <f>(CL26-Table2[[#This Row],[OLD Ck Panel-1]])*1000</f>
        <v>636.99999999994361</v>
      </c>
      <c r="EV25">
        <f>CM26-Table2[[#This Row],[2F4 Old CK Blast (Blue star)]]</f>
        <v>0</v>
      </c>
      <c r="EW25">
        <f>CN26-Table2[[#This Row],[3F6 Old CK Blast (Carrier)]]</f>
        <v>526.39999999999418</v>
      </c>
      <c r="EX25">
        <f>(CO26-Table2[[#This Row],[Old CK Panel -2]])*1000</f>
        <v>1187.0000000001255</v>
      </c>
      <c r="EY25">
        <f>N26-Table2[[#This Row],[4F1 Main UPS 1/C -1]]</f>
        <v>-1945697.76</v>
      </c>
      <c r="EZ25">
        <f>Z26-Table2[[#This Row],[15F1 Main UPS Panel - I/C - 2]]</f>
        <v>0</v>
      </c>
      <c r="FA25">
        <f>BF26-Table2[[#This Row],[2F CLC -1 AC unit - 2]]</f>
        <v>0</v>
      </c>
      <c r="FB25">
        <f>(BG26-Table2[[#This Row],[2F CLC Anti room]])*1000</f>
        <v>33.000000000001251</v>
      </c>
      <c r="FC25">
        <f>BW26-Table2[[#This Row],[7F3 CLC Power Panel]]</f>
        <v>319.48800000001211</v>
      </c>
      <c r="FD25">
        <f>(CI26-Table2[[#This Row],[PDB - 17 CLC Section ]])*1000</f>
        <v>199.99999999998863</v>
      </c>
      <c r="FE25">
        <f>(W26-Table2[[#This Row],[13F3 Water &amp; Lift Old CK]])*1000</f>
        <v>2139.9999999998727</v>
      </c>
      <c r="FF25">
        <f>AA26-Table2[[#This Row],[15F2 New ETP Panel]]</f>
        <v>303.23200000007637</v>
      </c>
      <c r="FG25">
        <f>AL26-Table2[[#This Row],[3F4 Old ETP Panel]]</f>
        <v>88.096000000019558</v>
      </c>
      <c r="FH25">
        <f>AF26-Table2[[#This Row],[2F1 RO Plant]]</f>
        <v>499.00799999991432</v>
      </c>
      <c r="FI25">
        <f>AK26-Table2[[#This Row],[3F3 Fire Hydrant Panel]]</f>
        <v>6.6640000000043074</v>
      </c>
      <c r="FJ25">
        <f>R26-Table2[[#This Row],[7F1 Freon System Panel]]</f>
        <v>5419.5200000004843</v>
      </c>
      <c r="FK25">
        <f>(AE26-Table2[[#This Row],[21F1 Refrigeration Ammonia]])*1000</f>
        <v>5991.20000000039</v>
      </c>
      <c r="FL25">
        <f>(AG26-Table2[[#This Row],[2F3 Air Compressor]])*1000</f>
        <v>1280.9999999999491</v>
      </c>
      <c r="FM25">
        <f>(AX26-Table2[[#This Row],[Solar Reading Panel II]])*1000</f>
        <v>2077.0000000002256</v>
      </c>
      <c r="FN25">
        <f>AI26-Table2[[#This Row],[3F1 Maintenance Workshop]]</f>
        <v>1.5200000000004366</v>
      </c>
      <c r="FO25">
        <f>BD26-Table2[[#This Row],[4F B2B unit ]]</f>
        <v>55.744000000006054</v>
      </c>
      <c r="FP25">
        <f>BL26-Table2[[#This Row],[2F1 - PDB 6 - Bread, B2B section]]</f>
        <v>28888.176000000036</v>
      </c>
      <c r="FQ25">
        <f>(CG26-Table2[[#This Row],[9F5 - PDB 14 - Bread Lift]])</f>
        <v>0.75519999999960419</v>
      </c>
      <c r="FR25">
        <f>CJ26-Table2[[#This Row],[PDB - 16 Bread Section]]</f>
        <v>1</v>
      </c>
      <c r="FS25">
        <f>BU26-Table2[[#This Row],[7F1 Donut Production area]]</f>
        <v>193.72800000000279</v>
      </c>
      <c r="FT25">
        <f>CB26-Table2[[#This Row],[8F5 Donut Ban Bary]]</f>
        <v>35.687999999994645</v>
      </c>
      <c r="FU25">
        <f>CF26-Table2[[#This Row],[9F4 - PDB 13 - Donut Sink Geyser area]]</f>
        <v>100.30400000000373</v>
      </c>
      <c r="FV25">
        <f>BV26-Table2[[#This Row],[7F2 Flour Silo]]</f>
        <v>396.23999999999069</v>
      </c>
      <c r="FW25">
        <f>BY26-Table2[[#This Row],[8F2 ACPDB - 3 SILO Ventilation]]</f>
        <v>43.888000000006286</v>
      </c>
      <c r="FX25">
        <f>J26-Table2[[#This Row],[DG 1010KVA Running Hours]]</f>
        <v>0</v>
      </c>
      <c r="FY25">
        <f>K26-Table2[[#This Row],[DG 1010 KVA Meter Reading]]</f>
        <v>0</v>
      </c>
      <c r="FZ25">
        <f>L26-Table2[[#This Row],[GG 1010 KVA Running Hours]]</f>
        <v>0</v>
      </c>
      <c r="GA25">
        <f>M26-Table2[[#This Row],[GG 1010 KVA Meter Reading]]</f>
        <v>0</v>
      </c>
    </row>
    <row r="26" spans="1:183">
      <c r="A26" s="55">
        <v>126</v>
      </c>
      <c r="B26" s="45">
        <v>46322.377557870372</v>
      </c>
      <c r="C26" s="45">
        <v>46322.420798611114</v>
      </c>
      <c r="D26" s="55" t="s">
        <v>111</v>
      </c>
      <c r="E26" s="44"/>
      <c r="F26" s="44"/>
      <c r="G26" s="57">
        <v>46322</v>
      </c>
      <c r="H26" s="44" t="s">
        <v>182</v>
      </c>
      <c r="I26" s="46">
        <v>10.332000000000001</v>
      </c>
      <c r="J26" s="46">
        <v>4295.3</v>
      </c>
      <c r="K26" s="46">
        <v>1785849</v>
      </c>
      <c r="L26" s="46">
        <v>474</v>
      </c>
      <c r="M26" s="46">
        <v>200.09</v>
      </c>
      <c r="N26" s="46">
        <v>0</v>
      </c>
      <c r="O26" s="46">
        <v>4755998.08</v>
      </c>
      <c r="P26" s="46">
        <v>0</v>
      </c>
      <c r="Q26" s="46">
        <v>8324666.2400000002</v>
      </c>
      <c r="R26" s="46">
        <v>5993336.3200000003</v>
      </c>
      <c r="S26" s="46">
        <v>7657155.2000000002</v>
      </c>
      <c r="T26" s="46">
        <v>44224398.344999999</v>
      </c>
      <c r="U26" s="46">
        <v>2216635.2000000002</v>
      </c>
      <c r="V26" s="46">
        <v>5257502.08</v>
      </c>
      <c r="W26" s="46">
        <v>1689.9766</v>
      </c>
      <c r="X26" s="46">
        <v>799648.32</v>
      </c>
      <c r="Y26" s="46">
        <v>1215672.24</v>
      </c>
      <c r="Z26" s="46">
        <v>2777.8894</v>
      </c>
      <c r="AA26" s="46">
        <v>693097.85600000003</v>
      </c>
      <c r="AB26" s="46">
        <v>424233.95199999999</v>
      </c>
      <c r="AC26" s="46">
        <v>2199203.6800000002</v>
      </c>
      <c r="AD26" s="46">
        <v>5228888.4780000001</v>
      </c>
      <c r="AE26" s="46">
        <v>13392.149600000001</v>
      </c>
      <c r="AF26" s="46">
        <v>922981.56799999997</v>
      </c>
      <c r="AG26" s="46">
        <v>1501.6089999999999</v>
      </c>
      <c r="AH26" s="46">
        <v>142833.584</v>
      </c>
      <c r="AI26" s="46">
        <v>15035.641600000001</v>
      </c>
      <c r="AJ26" s="46">
        <v>145482.016</v>
      </c>
      <c r="AK26" s="46">
        <v>105949.64</v>
      </c>
      <c r="AL26" s="46">
        <v>337322.11200000002</v>
      </c>
      <c r="AM26" s="46">
        <v>1042.691</v>
      </c>
      <c r="AN26" s="46">
        <v>224.7</v>
      </c>
      <c r="AO26" s="46">
        <v>6.8</v>
      </c>
      <c r="AP26" s="46">
        <v>298235</v>
      </c>
      <c r="AQ26" s="46">
        <v>43761</v>
      </c>
      <c r="AR26" s="46">
        <v>43203</v>
      </c>
      <c r="AS26" s="46">
        <v>32537</v>
      </c>
      <c r="AT26" s="46">
        <v>22238</v>
      </c>
      <c r="AU26" s="46">
        <v>17534</v>
      </c>
      <c r="AV26" s="46">
        <v>7517</v>
      </c>
      <c r="AW26" s="46">
        <v>21.494136000000001</v>
      </c>
      <c r="AX26" s="46">
        <v>7442.866</v>
      </c>
      <c r="AY26" s="46">
        <v>690.72824000000003</v>
      </c>
      <c r="AZ26" s="46">
        <v>21.617000000000001</v>
      </c>
      <c r="BA26" s="46">
        <v>11.872999999999999</v>
      </c>
      <c r="BB26" s="46">
        <v>47.817</v>
      </c>
      <c r="BC26" s="46">
        <v>114029.736</v>
      </c>
      <c r="BD26" s="46">
        <v>279886.016</v>
      </c>
      <c r="BE26" s="46">
        <v>3831.8312000000001</v>
      </c>
      <c r="BF26" s="46">
        <v>1714.182</v>
      </c>
      <c r="BG26" s="46">
        <v>77.376000000000005</v>
      </c>
      <c r="BH26" s="46">
        <v>395.96699999999998</v>
      </c>
      <c r="BI26" s="46">
        <v>956.14499999999998</v>
      </c>
      <c r="BJ26" s="46">
        <v>18.081</v>
      </c>
      <c r="BK26" s="46">
        <v>587.62900000000002</v>
      </c>
      <c r="BL26" s="46">
        <v>264388.40000000002</v>
      </c>
      <c r="BM26" s="46">
        <v>351044.16</v>
      </c>
      <c r="BN26" s="46">
        <v>7555.7951999999996</v>
      </c>
      <c r="BO26" s="46">
        <v>53589.132799999999</v>
      </c>
      <c r="BP26" s="46">
        <v>323621.984</v>
      </c>
      <c r="BQ26" s="46">
        <v>344.92</v>
      </c>
      <c r="BR26" s="46">
        <v>192.685</v>
      </c>
      <c r="BS26" s="46">
        <v>1123816.811</v>
      </c>
      <c r="BT26" s="46">
        <v>1400692.7679999999</v>
      </c>
      <c r="BU26" s="46">
        <v>645247.23199999996</v>
      </c>
      <c r="BV26" s="46">
        <v>1070188.3999999999</v>
      </c>
      <c r="BW26" s="46">
        <v>587827.13600000006</v>
      </c>
      <c r="BX26" s="46">
        <v>1089410.8799999999</v>
      </c>
      <c r="BY26" s="46">
        <v>161516.62400000001</v>
      </c>
      <c r="BZ26" s="46">
        <v>117811.768</v>
      </c>
      <c r="CA26" s="46">
        <v>1281.4614999999999</v>
      </c>
      <c r="CB26" s="46">
        <v>111598.60799999999</v>
      </c>
      <c r="CC26" s="46">
        <v>160428.764</v>
      </c>
      <c r="CD26" s="46">
        <v>463480.64</v>
      </c>
      <c r="CE26" s="46">
        <v>51483.983999999997</v>
      </c>
      <c r="CF26" s="46">
        <v>158932.20800000001</v>
      </c>
      <c r="CG26" s="46">
        <v>36126.931199999999</v>
      </c>
      <c r="CH26" s="46">
        <v>2385.8710000000001</v>
      </c>
      <c r="CI26" s="46">
        <v>226.58199999999999</v>
      </c>
      <c r="CJ26" s="46">
        <v>1212.0999999999999</v>
      </c>
      <c r="CK26" s="46">
        <v>82.215999999999994</v>
      </c>
      <c r="CL26" s="46">
        <v>777.72199999999998</v>
      </c>
      <c r="CM26" s="46">
        <v>551.4</v>
      </c>
      <c r="CN26" s="46">
        <v>79327.899999999994</v>
      </c>
      <c r="CO26" s="46">
        <v>1746.0930000000001</v>
      </c>
      <c r="CP26" s="46">
        <v>315601.26</v>
      </c>
      <c r="CQ26" s="46">
        <v>3798193.28</v>
      </c>
      <c r="CR26" s="46">
        <v>135663.712</v>
      </c>
      <c r="CS26" s="46">
        <v>538800.576</v>
      </c>
      <c r="CT26" s="46">
        <v>3234849.2170000002</v>
      </c>
      <c r="CU26" s="46">
        <v>324902.75599999999</v>
      </c>
      <c r="CV26" s="46">
        <v>31481.632000000001</v>
      </c>
      <c r="CW26" s="46">
        <v>0</v>
      </c>
      <c r="CX26" s="46">
        <v>34186.544000000002</v>
      </c>
      <c r="CY26" s="46">
        <v>177532.25599999999</v>
      </c>
      <c r="CZ26" s="46">
        <v>0</v>
      </c>
      <c r="DA26" s="46">
        <v>20364.59</v>
      </c>
      <c r="DB26" s="46">
        <v>158537.17800000001</v>
      </c>
      <c r="DC26" s="46">
        <v>3579.15</v>
      </c>
      <c r="DD26" s="46">
        <v>3579.02</v>
      </c>
      <c r="DE26" s="46">
        <v>3612.03</v>
      </c>
      <c r="DF26" s="46">
        <v>0.995</v>
      </c>
      <c r="DG26" s="44" t="s">
        <v>216</v>
      </c>
      <c r="DH26" s="2">
        <f>Table2[[#This Row],[Date]]</f>
        <v>46322</v>
      </c>
      <c r="DI26">
        <f>(DD27-Table2[[#This Row],[MWH Total]])*4000</f>
        <v>-14316080</v>
      </c>
      <c r="DJ26">
        <f>(DA27-Table2[[#This Row],[PNG Meter (Outside)]])*2.936</f>
        <v>-59790.436240000003</v>
      </c>
      <c r="DK26">
        <f>(DB27-Table2[[#This Row],[PNG Meter (Inside)]])*2.936</f>
        <v>-465465.15460800001</v>
      </c>
      <c r="DL26">
        <f>(BH27-Table2[[#This Row],[3F Dough cooler - 2 ]])*1000</f>
        <v>-395967</v>
      </c>
      <c r="DM26">
        <f>(BI27-Table2[[#This Row],[3F Dough Cooler- 1]])*1000</f>
        <v>-956145</v>
      </c>
      <c r="DN26">
        <f>(BJ27-Table2[[#This Row],[4F Dough Production cooling Unit]])*1000</f>
        <v>-18081</v>
      </c>
      <c r="DO26">
        <f>(BQ27-Table2[[#This Row],[3F2 - PDB 3 - Dough Production Area]])*1000</f>
        <v>-344920</v>
      </c>
      <c r="DP26">
        <f>(BR27-Table2[[#This Row],[3F3 - PDB 4 - Dough Area]])*1000</f>
        <v>-192685</v>
      </c>
      <c r="DQ26">
        <f>AC27-Table2[[#This Row],[16F1 Tray washer Panel for Light]]</f>
        <v>-2199203.6800000002</v>
      </c>
      <c r="DR26">
        <f>CQ27-Table2[[#This Row],[2F1 Tray Washer - 1]]</f>
        <v>-3798193.28</v>
      </c>
      <c r="DS26">
        <f>CS27-Table2[[#This Row],[2F5 Destacker]]</f>
        <v>-538800.576</v>
      </c>
      <c r="DT26">
        <f>CU27-Table2[[#This Row],[5F1 Metering (TW-2)]]</f>
        <v>-324902.75599999999</v>
      </c>
      <c r="DU26">
        <f>CV27-Table2[[#This Row],[6F1 Pre soaker Tray washer]]</f>
        <v>-31481.632000000001</v>
      </c>
      <c r="DV26">
        <f>CZ27-Table2[[#This Row],[6F5 Vent tray Storage]]</f>
        <v>0</v>
      </c>
      <c r="DW26">
        <f>I27-Table2[[#This Row],[Popeyes Meter ]]</f>
        <v>-10.332000000000001</v>
      </c>
      <c r="DX26">
        <f>AZ27-Table2[[#This Row],[2F WH Chiller, Segregation Area]]</f>
        <v>-21.617000000000001</v>
      </c>
      <c r="DY26">
        <f>BA27-Table2[[#This Row],[3F1 AC Unit WH dock cooling - 2 Nos]]</f>
        <v>-11.872999999999999</v>
      </c>
      <c r="DZ26">
        <f>BB27-Table2[[#This Row],[3F2 AC Unit WH dock cooling - 3 Nos]]</f>
        <v>-47.817</v>
      </c>
      <c r="EA26">
        <f>(BK27-Table2[[#This Row],[5F WH Perishable]])*1000</f>
        <v>-587629</v>
      </c>
      <c r="EB26">
        <f>BN27-Table2[[#This Row],[2F3 - PDB 9 - WH Dock Leveler Door ]]</f>
        <v>-7555.7951999999996</v>
      </c>
      <c r="EC26">
        <f>BP27-Table2[[#This Row],[3F1 - PDB 5 - WH HSD]]</f>
        <v>-323621.984</v>
      </c>
      <c r="ED26">
        <f>BX27-Table2[[#This Row],[8F1 WH Dock AHU - Ventilation]]</f>
        <v>-1089410.8799999999</v>
      </c>
      <c r="EE26">
        <f>BZ27-Table2[[#This Row],[8F3 ACPDB - 4 WH Dock air curtain]]</f>
        <v>-117811.768</v>
      </c>
      <c r="EF26">
        <f>CA27-Table2[[#This Row],[8F4 WH Light]]</f>
        <v>-1281.4614999999999</v>
      </c>
      <c r="EG26">
        <f>CC27-Table2[[#This Row],[9F1 - PDB 10 - WH Dock door &amp; Office]]</f>
        <v>-160428.764</v>
      </c>
      <c r="EH26">
        <f>CD27-Table2[[#This Row],[9F2 - PDB 11 - WH flycatchers]]</f>
        <v>-463480.64</v>
      </c>
      <c r="EI26">
        <f>CE27-Table2[[#This Row],[9F3 - PDB 12 - Other items]]</f>
        <v>-51483.983999999997</v>
      </c>
      <c r="EJ26">
        <f>CR27-Table2[[#This Row],[2F3 - PDB 1 - Dock 1 to 4 ]]</f>
        <v>-135663.712</v>
      </c>
      <c r="EK26">
        <f>BM27-Table2[[#This Row],[2F2 - PDB 3 - WH Truck &amp; Battery Charging]]</f>
        <v>-351044.16</v>
      </c>
      <c r="EL26">
        <f>(CK27-Table2[[#This Row],[PDB - 11 Truck Charging]])*1000</f>
        <v>-82216</v>
      </c>
      <c r="EM26" s="1">
        <f>P27-Table2[[#This Row],[5F3 Admin Area]]</f>
        <v>0</v>
      </c>
      <c r="EN26">
        <f>AH27-Table2[[#This Row],[2F5 Main Gate-1 Piller -1]]</f>
        <v>-142833.584</v>
      </c>
      <c r="EO26">
        <f>CW27-Table2[[#This Row],[6F2 Ground Floor AC]]</f>
        <v>0</v>
      </c>
      <c r="EP26">
        <f>CX27-Table2[[#This Row],[6F3 ACBD -1 (First floor AC)]]</f>
        <v>-34186.544000000002</v>
      </c>
      <c r="EQ26">
        <f>CY27-Table2[[#This Row],[6F4 ACBD - 2 (Second &amp; Third floor AC)]]</f>
        <v>-177532.25599999999</v>
      </c>
      <c r="ER26">
        <f>(BC27-Table2[[#This Row],[4F Old BMC cooling Unit]])</f>
        <v>-114029.736</v>
      </c>
      <c r="ES26">
        <f>BO27-Table2[[#This Row],[2F4 - Old BMC]]</f>
        <v>-53589.132799999999</v>
      </c>
      <c r="ET26">
        <f>Y27-Table2[[#This Row],[14F2 New CK]]</f>
        <v>-1215672.24</v>
      </c>
      <c r="EU26">
        <f>(CL27-Table2[[#This Row],[OLD Ck Panel-1]])*1000</f>
        <v>-777722</v>
      </c>
      <c r="EV26">
        <f>CM27-Table2[[#This Row],[2F4 Old CK Blast (Blue star)]]</f>
        <v>-551.4</v>
      </c>
      <c r="EW26">
        <f>CN27-Table2[[#This Row],[3F6 Old CK Blast (Carrier)]]</f>
        <v>-79327.899999999994</v>
      </c>
      <c r="EX26">
        <f>(CO27-Table2[[#This Row],[Old CK Panel -2]])*1000</f>
        <v>-1746093</v>
      </c>
      <c r="EY26">
        <f>N27-Table2[[#This Row],[4F1 Main UPS 1/C -1]]</f>
        <v>0</v>
      </c>
      <c r="EZ26">
        <f>Z27-Table2[[#This Row],[15F1 Main UPS Panel - I/C - 2]]</f>
        <v>-2777.8894</v>
      </c>
      <c r="FA26">
        <f>BF27-Table2[[#This Row],[2F CLC -1 AC unit - 2]]</f>
        <v>-1714.182</v>
      </c>
      <c r="FB26">
        <f>(BG27-Table2[[#This Row],[2F CLC Anti room]])*1000</f>
        <v>-77376</v>
      </c>
      <c r="FC26">
        <f>BW27-Table2[[#This Row],[7F3 CLC Power Panel]]</f>
        <v>-587827.13600000006</v>
      </c>
      <c r="FD26">
        <f>(CI27-Table2[[#This Row],[PDB - 17 CLC Section ]])*1000</f>
        <v>-226582</v>
      </c>
      <c r="FE26">
        <f>(W27-Table2[[#This Row],[13F3 Water &amp; Lift Old CK]])*1000</f>
        <v>-1689976.5999999999</v>
      </c>
      <c r="FF26">
        <f>AA27-Table2[[#This Row],[15F2 New ETP Panel]]</f>
        <v>-693097.85600000003</v>
      </c>
      <c r="FG26">
        <f>AL27-Table2[[#This Row],[3F4 Old ETP Panel]]</f>
        <v>-337322.11200000002</v>
      </c>
      <c r="FH26">
        <f>AF27-Table2[[#This Row],[2F1 RO Plant]]</f>
        <v>-922981.56799999997</v>
      </c>
      <c r="FI26">
        <f>AK27-Table2[[#This Row],[3F3 Fire Hydrant Panel]]</f>
        <v>-105949.64</v>
      </c>
      <c r="FJ26">
        <f>R27-Table2[[#This Row],[7F1 Freon System Panel]]</f>
        <v>-5993336.3200000003</v>
      </c>
      <c r="FK26">
        <f>(AE27-Table2[[#This Row],[21F1 Refrigeration Ammonia]])*1000</f>
        <v>-13392149.600000001</v>
      </c>
      <c r="FL26">
        <f>(AG27-Table2[[#This Row],[2F3 Air Compressor]])*1000</f>
        <v>-1501609</v>
      </c>
      <c r="FM26">
        <f>(AX27-Table2[[#This Row],[Solar Reading Panel II]])*1000</f>
        <v>-7442866</v>
      </c>
      <c r="FN26">
        <f>AI27-Table2[[#This Row],[3F1 Maintenance Workshop]]</f>
        <v>-15035.641600000001</v>
      </c>
      <c r="FO26">
        <f>BD27-Table2[[#This Row],[4F B2B unit ]]</f>
        <v>-279886.016</v>
      </c>
      <c r="FP26">
        <f>BL27-Table2[[#This Row],[2F1 - PDB 6 - Bread, B2B section]]</f>
        <v>-264388.40000000002</v>
      </c>
      <c r="FQ26">
        <f>(CG27-Table2[[#This Row],[9F5 - PDB 14 - Bread Lift]])</f>
        <v>-36126.931199999999</v>
      </c>
      <c r="FR26">
        <f>CJ27-Table2[[#This Row],[PDB - 16 Bread Section]]</f>
        <v>-1212.0999999999999</v>
      </c>
      <c r="FS26">
        <f>BU27-Table2[[#This Row],[7F1 Donut Production area]]</f>
        <v>-645247.23199999996</v>
      </c>
      <c r="FT26">
        <f>CB27-Table2[[#This Row],[8F5 Donut Ban Bary]]</f>
        <v>-111598.60799999999</v>
      </c>
      <c r="FU26">
        <f>CF27-Table2[[#This Row],[9F4 - PDB 13 - Donut Sink Geyser area]]</f>
        <v>-158932.20800000001</v>
      </c>
      <c r="FV26">
        <f>BV27-Table2[[#This Row],[7F2 Flour Silo]]</f>
        <v>-1070188.3999999999</v>
      </c>
      <c r="FW26">
        <f>BY27-Table2[[#This Row],[8F2 ACPDB - 3 SILO Ventilation]]</f>
        <v>-161516.62400000001</v>
      </c>
      <c r="FX26">
        <f>J27-Table2[[#This Row],[DG 1010KVA Running Hours]]</f>
        <v>-4295.3</v>
      </c>
      <c r="FY26">
        <f>K27-Table2[[#This Row],[DG 1010 KVA Meter Reading]]</f>
        <v>-1785849</v>
      </c>
      <c r="FZ26">
        <f>L27-Table2[[#This Row],[GG 1010 KVA Running Hours]]</f>
        <v>-474</v>
      </c>
      <c r="GA26">
        <f>M27-Table2[[#This Row],[GG 1010 KVA Meter Reading]]</f>
        <v>-200.09</v>
      </c>
    </row>
    <row r="27" spans="1:183">
      <c r="A27" s="55"/>
      <c r="B27" s="45"/>
      <c r="C27" s="45"/>
      <c r="D27" s="55"/>
      <c r="E27" s="44"/>
      <c r="F27" s="44"/>
      <c r="G27" s="57"/>
      <c r="H27" s="44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4"/>
      <c r="DH27" s="2">
        <f>Table2[[#This Row],[Date]]</f>
        <v>0</v>
      </c>
      <c r="DI27">
        <f>(DD28-Table2[[#This Row],[MWH Total]])*4000</f>
        <v>0</v>
      </c>
      <c r="DJ27">
        <f>(DA28-Table2[[#This Row],[PNG Meter (Outside)]])*2.936</f>
        <v>0</v>
      </c>
      <c r="DK27">
        <f>(DB28-Table2[[#This Row],[PNG Meter (Inside)]])*2.936</f>
        <v>0</v>
      </c>
      <c r="DL27">
        <f>(BH28-Table2[[#This Row],[3F Dough cooler - 2 ]])*1000</f>
        <v>0</v>
      </c>
      <c r="DM27">
        <f>(BI28-Table2[[#This Row],[3F Dough Cooler- 1]])*1000</f>
        <v>0</v>
      </c>
      <c r="DN27">
        <f>(BJ28-Table2[[#This Row],[4F Dough Production cooling Unit]])*1000</f>
        <v>0</v>
      </c>
      <c r="DO27">
        <f>(BQ28-Table2[[#This Row],[3F2 - PDB 3 - Dough Production Area]])*1000</f>
        <v>0</v>
      </c>
      <c r="DP27">
        <f>(BR28-Table2[[#This Row],[3F3 - PDB 4 - Dough Area]])*1000</f>
        <v>0</v>
      </c>
      <c r="DQ27">
        <f>AC28-Table2[[#This Row],[16F1 Tray washer Panel for Light]]</f>
        <v>0</v>
      </c>
      <c r="DR27">
        <f>CQ28-Table2[[#This Row],[2F1 Tray Washer - 1]]</f>
        <v>0</v>
      </c>
      <c r="DS27">
        <f>CS28-Table2[[#This Row],[2F5 Destacker]]</f>
        <v>0</v>
      </c>
      <c r="DT27">
        <f>CU28-Table2[[#This Row],[5F1 Metering (TW-2)]]</f>
        <v>0</v>
      </c>
      <c r="DU27">
        <f>CV28-Table2[[#This Row],[6F1 Pre soaker Tray washer]]</f>
        <v>0</v>
      </c>
      <c r="DV27">
        <f>CZ28-Table2[[#This Row],[6F5 Vent tray Storage]]</f>
        <v>0</v>
      </c>
      <c r="DW27">
        <f>I28-Table2[[#This Row],[Popeyes Meter ]]</f>
        <v>0</v>
      </c>
      <c r="DX27">
        <f>AZ28-Table2[[#This Row],[2F WH Chiller, Segregation Area]]</f>
        <v>0</v>
      </c>
      <c r="DY27">
        <f>BA28-Table2[[#This Row],[3F1 AC Unit WH dock cooling - 2 Nos]]</f>
        <v>0</v>
      </c>
      <c r="DZ27">
        <f>BB28-Table2[[#This Row],[3F2 AC Unit WH dock cooling - 3 Nos]]</f>
        <v>0</v>
      </c>
      <c r="EA27">
        <f>(BK28-Table2[[#This Row],[5F WH Perishable]])*1000</f>
        <v>0</v>
      </c>
      <c r="EB27">
        <f>BN28-Table2[[#This Row],[2F3 - PDB 9 - WH Dock Leveler Door ]]</f>
        <v>0</v>
      </c>
      <c r="EC27">
        <f>BP28-Table2[[#This Row],[3F1 - PDB 5 - WH HSD]]</f>
        <v>0</v>
      </c>
      <c r="ED27">
        <f>BX28-Table2[[#This Row],[8F1 WH Dock AHU - Ventilation]]</f>
        <v>0</v>
      </c>
      <c r="EE27">
        <f>BZ28-Table2[[#This Row],[8F3 ACPDB - 4 WH Dock air curtain]]</f>
        <v>0</v>
      </c>
      <c r="EF27">
        <f>CA28-Table2[[#This Row],[8F4 WH Light]]</f>
        <v>0</v>
      </c>
      <c r="EG27">
        <f>CC28-Table2[[#This Row],[9F1 - PDB 10 - WH Dock door &amp; Office]]</f>
        <v>0</v>
      </c>
      <c r="EH27">
        <f>CD28-Table2[[#This Row],[9F2 - PDB 11 - WH flycatchers]]</f>
        <v>0</v>
      </c>
      <c r="EI27">
        <f>CE28-Table2[[#This Row],[9F3 - PDB 12 - Other items]]</f>
        <v>0</v>
      </c>
      <c r="EJ27">
        <f>CR28-Table2[[#This Row],[2F3 - PDB 1 - Dock 1 to 4 ]]</f>
        <v>0</v>
      </c>
      <c r="EK27">
        <f>BM28-Table2[[#This Row],[2F2 - PDB 3 - WH Truck &amp; Battery Charging]]</f>
        <v>0</v>
      </c>
      <c r="EL27">
        <f>(CK28-Table2[[#This Row],[PDB - 11 Truck Charging]])*1000</f>
        <v>0</v>
      </c>
      <c r="EM27" s="1">
        <f>P28-Table2[[#This Row],[5F3 Admin Area]]</f>
        <v>0</v>
      </c>
      <c r="EN27">
        <f>AH28-Table2[[#This Row],[2F5 Main Gate-1 Piller -1]]</f>
        <v>0</v>
      </c>
      <c r="EO27">
        <f>CW28-Table2[[#This Row],[6F2 Ground Floor AC]]</f>
        <v>0</v>
      </c>
      <c r="EP27">
        <f>CX28-Table2[[#This Row],[6F3 ACBD -1 (First floor AC)]]</f>
        <v>0</v>
      </c>
      <c r="EQ27">
        <f>CY28-Table2[[#This Row],[6F4 ACBD - 2 (Second &amp; Third floor AC)]]</f>
        <v>0</v>
      </c>
      <c r="ER27">
        <f>(BC28-Table2[[#This Row],[4F Old BMC cooling Unit]])</f>
        <v>0</v>
      </c>
      <c r="ES27">
        <f>BO28-Table2[[#This Row],[2F4 - Old BMC]]</f>
        <v>0</v>
      </c>
      <c r="ET27">
        <f>Y28-Table2[[#This Row],[14F2 New CK]]</f>
        <v>0</v>
      </c>
      <c r="EU27">
        <f>(CL28-Table2[[#This Row],[OLD Ck Panel-1]])*1000</f>
        <v>0</v>
      </c>
      <c r="EV27">
        <f>CM28-Table2[[#This Row],[2F4 Old CK Blast (Blue star)]]</f>
        <v>0</v>
      </c>
      <c r="EW27">
        <f>CN28-Table2[[#This Row],[3F6 Old CK Blast (Carrier)]]</f>
        <v>0</v>
      </c>
      <c r="EX27">
        <f>(CO28-Table2[[#This Row],[Old CK Panel -2]])*1000</f>
        <v>0</v>
      </c>
      <c r="EY27">
        <f>N28-Table2[[#This Row],[4F1 Main UPS 1/C -1]]</f>
        <v>0</v>
      </c>
      <c r="EZ27">
        <f>Z28-Table2[[#This Row],[15F1 Main UPS Panel - I/C - 2]]</f>
        <v>0</v>
      </c>
      <c r="FA27">
        <f>BF28-Table2[[#This Row],[2F CLC -1 AC unit - 2]]</f>
        <v>0</v>
      </c>
      <c r="FB27">
        <f>(BG28-Table2[[#This Row],[2F CLC Anti room]])*1000</f>
        <v>0</v>
      </c>
      <c r="FC27">
        <f>BW28-Table2[[#This Row],[7F3 CLC Power Panel]]</f>
        <v>0</v>
      </c>
      <c r="FD27">
        <f>(CI28-Table2[[#This Row],[PDB - 17 CLC Section ]])*1000</f>
        <v>0</v>
      </c>
      <c r="FE27">
        <f>(W28-Table2[[#This Row],[13F3 Water &amp; Lift Old CK]])*1000</f>
        <v>0</v>
      </c>
      <c r="FF27">
        <f>AA28-Table2[[#This Row],[15F2 New ETP Panel]]</f>
        <v>0</v>
      </c>
      <c r="FG27">
        <f>AL28-Table2[[#This Row],[3F4 Old ETP Panel]]</f>
        <v>0</v>
      </c>
      <c r="FH27">
        <f>AF28-Table2[[#This Row],[2F1 RO Plant]]</f>
        <v>0</v>
      </c>
      <c r="FI27">
        <f>AK28-Table2[[#This Row],[3F3 Fire Hydrant Panel]]</f>
        <v>0</v>
      </c>
      <c r="FJ27">
        <f>R28-Table2[[#This Row],[7F1 Freon System Panel]]</f>
        <v>0</v>
      </c>
      <c r="FK27">
        <f>(AE28-Table2[[#This Row],[21F1 Refrigeration Ammonia]])*1000</f>
        <v>0</v>
      </c>
      <c r="FL27">
        <f>(AG28-Table2[[#This Row],[2F3 Air Compressor]])*1000</f>
        <v>0</v>
      </c>
      <c r="FM27">
        <f>(AX28-Table2[[#This Row],[Solar Reading Panel II]])*1000</f>
        <v>0</v>
      </c>
      <c r="FN27">
        <f>AI28-Table2[[#This Row],[3F1 Maintenance Workshop]]</f>
        <v>0</v>
      </c>
      <c r="FO27">
        <f>BD28-Table2[[#This Row],[4F B2B unit ]]</f>
        <v>0</v>
      </c>
      <c r="FP27">
        <f>BL28-Table2[[#This Row],[2F1 - PDB 6 - Bread, B2B section]]</f>
        <v>0</v>
      </c>
      <c r="FQ27">
        <f>(CG28-Table2[[#This Row],[9F5 - PDB 14 - Bread Lift]])</f>
        <v>0</v>
      </c>
      <c r="FR27">
        <f>CJ28-Table2[[#This Row],[PDB - 16 Bread Section]]</f>
        <v>0</v>
      </c>
      <c r="FS27">
        <f>BU28-Table2[[#This Row],[7F1 Donut Production area]]</f>
        <v>0</v>
      </c>
      <c r="FT27">
        <f>CB28-Table2[[#This Row],[8F5 Donut Ban Bary]]</f>
        <v>0</v>
      </c>
      <c r="FU27">
        <f>CF28-Table2[[#This Row],[9F4 - PDB 13 - Donut Sink Geyser area]]</f>
        <v>0</v>
      </c>
      <c r="FV27">
        <f>BV28-Table2[[#This Row],[7F2 Flour Silo]]</f>
        <v>0</v>
      </c>
      <c r="FW27">
        <f>BY28-Table2[[#This Row],[8F2 ACPDB - 3 SILO Ventilation]]</f>
        <v>0</v>
      </c>
      <c r="FX27">
        <f>J28-Table2[[#This Row],[DG 1010KVA Running Hours]]</f>
        <v>0</v>
      </c>
      <c r="FY27">
        <f>K28-Table2[[#This Row],[DG 1010 KVA Meter Reading]]</f>
        <v>0</v>
      </c>
      <c r="FZ27">
        <f>L28-Table2[[#This Row],[GG 1010 KVA Running Hours]]</f>
        <v>0</v>
      </c>
      <c r="GA27">
        <f>M28-Table2[[#This Row],[GG 1010 KVA Meter Reading]]</f>
        <v>0</v>
      </c>
    </row>
    <row r="28" spans="1:183">
      <c r="A28" s="55"/>
      <c r="B28" s="45"/>
      <c r="C28" s="45"/>
      <c r="D28" s="55"/>
      <c r="E28" s="44"/>
      <c r="F28" s="44"/>
      <c r="G28" s="57"/>
      <c r="H28" s="44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4"/>
      <c r="DH28" s="2">
        <f>Table2[[#This Row],[Date]]</f>
        <v>0</v>
      </c>
      <c r="DI28">
        <f>(DD29-Table2[[#This Row],[MWH Total]])*4000</f>
        <v>0</v>
      </c>
      <c r="DJ28">
        <f>(DA29-Table2[[#This Row],[PNG Meter (Outside)]])*2.936</f>
        <v>0</v>
      </c>
      <c r="DK28">
        <f>(DB29-Table2[[#This Row],[PNG Meter (Inside)]])*2.936</f>
        <v>0</v>
      </c>
      <c r="DL28">
        <f>(BH29-Table2[[#This Row],[3F Dough cooler - 2 ]])*1000</f>
        <v>0</v>
      </c>
      <c r="DM28">
        <f>(BI29-Table2[[#This Row],[3F Dough Cooler- 1]])*1000</f>
        <v>0</v>
      </c>
      <c r="DN28">
        <f>(BJ29-Table2[[#This Row],[4F Dough Production cooling Unit]])*1000</f>
        <v>0</v>
      </c>
      <c r="DO28">
        <f>(BQ29-Table2[[#This Row],[3F2 - PDB 3 - Dough Production Area]])*1000</f>
        <v>0</v>
      </c>
      <c r="DP28">
        <f>(BR29-Table2[[#This Row],[3F3 - PDB 4 - Dough Area]])*1000</f>
        <v>0</v>
      </c>
      <c r="DQ28">
        <f>AC29-Table2[[#This Row],[16F1 Tray washer Panel for Light]]</f>
        <v>0</v>
      </c>
      <c r="DR28">
        <f>CQ29-Table2[[#This Row],[2F1 Tray Washer - 1]]</f>
        <v>0</v>
      </c>
      <c r="DS28">
        <f>CS29-Table2[[#This Row],[2F5 Destacker]]</f>
        <v>0</v>
      </c>
      <c r="DT28">
        <f>CU29-Table2[[#This Row],[5F1 Metering (TW-2)]]</f>
        <v>0</v>
      </c>
      <c r="DU28">
        <f>CV29-Table2[[#This Row],[6F1 Pre soaker Tray washer]]</f>
        <v>0</v>
      </c>
      <c r="DV28">
        <f>CZ29-Table2[[#This Row],[6F5 Vent tray Storage]]</f>
        <v>0</v>
      </c>
      <c r="DW28">
        <f>I29-Table2[[#This Row],[Popeyes Meter ]]</f>
        <v>0</v>
      </c>
      <c r="DX28">
        <f>AZ29-Table2[[#This Row],[2F WH Chiller, Segregation Area]]</f>
        <v>0</v>
      </c>
      <c r="DY28">
        <f>BA29-Table2[[#This Row],[3F1 AC Unit WH dock cooling - 2 Nos]]</f>
        <v>0</v>
      </c>
      <c r="DZ28">
        <f>BB29-Table2[[#This Row],[3F2 AC Unit WH dock cooling - 3 Nos]]</f>
        <v>0</v>
      </c>
      <c r="EA28">
        <f>(BK29-Table2[[#This Row],[5F WH Perishable]])*1000</f>
        <v>0</v>
      </c>
      <c r="EB28">
        <f>BN29-Table2[[#This Row],[2F3 - PDB 9 - WH Dock Leveler Door ]]</f>
        <v>0</v>
      </c>
      <c r="EC28">
        <f>BP29-Table2[[#This Row],[3F1 - PDB 5 - WH HSD]]</f>
        <v>0</v>
      </c>
      <c r="ED28">
        <f>BX29-Table2[[#This Row],[8F1 WH Dock AHU - Ventilation]]</f>
        <v>0</v>
      </c>
      <c r="EE28">
        <f>BZ29-Table2[[#This Row],[8F3 ACPDB - 4 WH Dock air curtain]]</f>
        <v>0</v>
      </c>
      <c r="EF28">
        <f>CA29-Table2[[#This Row],[8F4 WH Light]]</f>
        <v>0</v>
      </c>
      <c r="EG28">
        <f>CC29-Table2[[#This Row],[9F1 - PDB 10 - WH Dock door &amp; Office]]</f>
        <v>0</v>
      </c>
      <c r="EH28">
        <f>CD29-Table2[[#This Row],[9F2 - PDB 11 - WH flycatchers]]</f>
        <v>0</v>
      </c>
      <c r="EI28">
        <f>CE29-Table2[[#This Row],[9F3 - PDB 12 - Other items]]</f>
        <v>0</v>
      </c>
      <c r="EJ28">
        <f>CR29-Table2[[#This Row],[2F3 - PDB 1 - Dock 1 to 4 ]]</f>
        <v>0</v>
      </c>
      <c r="EK28">
        <f>BM29-Table2[[#This Row],[2F2 - PDB 3 - WH Truck &amp; Battery Charging]]</f>
        <v>0</v>
      </c>
      <c r="EL28">
        <f>(CK29-Table2[[#This Row],[PDB - 11 Truck Charging]])*1000</f>
        <v>0</v>
      </c>
      <c r="EM28" s="1">
        <f>P29-Table2[[#This Row],[5F3 Admin Area]]</f>
        <v>0</v>
      </c>
      <c r="EN28">
        <f>AH29-Table2[[#This Row],[2F5 Main Gate-1 Piller -1]]</f>
        <v>0</v>
      </c>
      <c r="EO28">
        <f>CW29-Table2[[#This Row],[6F2 Ground Floor AC]]</f>
        <v>0</v>
      </c>
      <c r="EP28">
        <f>CX29-Table2[[#This Row],[6F3 ACBD -1 (First floor AC)]]</f>
        <v>0</v>
      </c>
      <c r="EQ28">
        <f>CY29-Table2[[#This Row],[6F4 ACBD - 2 (Second &amp; Third floor AC)]]</f>
        <v>0</v>
      </c>
      <c r="ER28">
        <f>(BC29-Table2[[#This Row],[4F Old BMC cooling Unit]])</f>
        <v>0</v>
      </c>
      <c r="ES28">
        <f>BO29-Table2[[#This Row],[2F4 - Old BMC]]</f>
        <v>0</v>
      </c>
      <c r="ET28">
        <f>Y29-Table2[[#This Row],[14F2 New CK]]</f>
        <v>0</v>
      </c>
      <c r="EU28">
        <f>(CL29-Table2[[#This Row],[OLD Ck Panel-1]])*1000</f>
        <v>0</v>
      </c>
      <c r="EV28">
        <f>CM29-Table2[[#This Row],[2F4 Old CK Blast (Blue star)]]</f>
        <v>0</v>
      </c>
      <c r="EW28">
        <f>CN29-Table2[[#This Row],[3F6 Old CK Blast (Carrier)]]</f>
        <v>0</v>
      </c>
      <c r="EX28">
        <f>(CO29-Table2[[#This Row],[Old CK Panel -2]])*1000</f>
        <v>0</v>
      </c>
      <c r="EY28">
        <f>N29-Table2[[#This Row],[4F1 Main UPS 1/C -1]]</f>
        <v>0</v>
      </c>
      <c r="EZ28">
        <f>Z29-Table2[[#This Row],[15F1 Main UPS Panel - I/C - 2]]</f>
        <v>0</v>
      </c>
      <c r="FA28">
        <f>BF29-Table2[[#This Row],[2F CLC -1 AC unit - 2]]</f>
        <v>0</v>
      </c>
      <c r="FB28">
        <f>(BG29-Table2[[#This Row],[2F CLC Anti room]])*1000</f>
        <v>0</v>
      </c>
      <c r="FC28">
        <f>BW29-Table2[[#This Row],[7F3 CLC Power Panel]]</f>
        <v>0</v>
      </c>
      <c r="FD28">
        <f>(CI29-Table2[[#This Row],[PDB - 17 CLC Section ]])*1000</f>
        <v>0</v>
      </c>
      <c r="FE28">
        <f>(W29-Table2[[#This Row],[13F3 Water &amp; Lift Old CK]])*1000</f>
        <v>0</v>
      </c>
      <c r="FF28">
        <f>AA29-Table2[[#This Row],[15F2 New ETP Panel]]</f>
        <v>0</v>
      </c>
      <c r="FG28">
        <f>AL29-Table2[[#This Row],[3F4 Old ETP Panel]]</f>
        <v>0</v>
      </c>
      <c r="FH28">
        <f>AF29-Table2[[#This Row],[2F1 RO Plant]]</f>
        <v>0</v>
      </c>
      <c r="FI28">
        <f>AK29-Table2[[#This Row],[3F3 Fire Hydrant Panel]]</f>
        <v>0</v>
      </c>
      <c r="FJ28">
        <f>R29-Table2[[#This Row],[7F1 Freon System Panel]]</f>
        <v>0</v>
      </c>
      <c r="FK28">
        <f>(AE29-Table2[[#This Row],[21F1 Refrigeration Ammonia]])*1000</f>
        <v>0</v>
      </c>
      <c r="FL28">
        <f>(AG29-Table2[[#This Row],[2F3 Air Compressor]])*1000</f>
        <v>0</v>
      </c>
      <c r="FM28">
        <f>(AX29-Table2[[#This Row],[Solar Reading Panel II]])*1000</f>
        <v>0</v>
      </c>
      <c r="FN28">
        <f>AI29-Table2[[#This Row],[3F1 Maintenance Workshop]]</f>
        <v>0</v>
      </c>
      <c r="FO28">
        <f>BD29-Table2[[#This Row],[4F B2B unit ]]</f>
        <v>0</v>
      </c>
      <c r="FP28">
        <f>BL29-Table2[[#This Row],[2F1 - PDB 6 - Bread, B2B section]]</f>
        <v>0</v>
      </c>
      <c r="FQ28">
        <f>(CG29-Table2[[#This Row],[9F5 - PDB 14 - Bread Lift]])</f>
        <v>0</v>
      </c>
      <c r="FR28">
        <f>CJ29-Table2[[#This Row],[PDB - 16 Bread Section]]</f>
        <v>0</v>
      </c>
      <c r="FS28">
        <f>BU29-Table2[[#This Row],[7F1 Donut Production area]]</f>
        <v>0</v>
      </c>
      <c r="FT28">
        <f>CB29-Table2[[#This Row],[8F5 Donut Ban Bary]]</f>
        <v>0</v>
      </c>
      <c r="FU28">
        <f>CF29-Table2[[#This Row],[9F4 - PDB 13 - Donut Sink Geyser area]]</f>
        <v>0</v>
      </c>
      <c r="FV28">
        <f>BV29-Table2[[#This Row],[7F2 Flour Silo]]</f>
        <v>0</v>
      </c>
      <c r="FW28">
        <f>BY29-Table2[[#This Row],[8F2 ACPDB - 3 SILO Ventilation]]</f>
        <v>0</v>
      </c>
      <c r="FX28">
        <f>J29-Table2[[#This Row],[DG 1010KVA Running Hours]]</f>
        <v>0</v>
      </c>
      <c r="FY28">
        <f>K29-Table2[[#This Row],[DG 1010 KVA Meter Reading]]</f>
        <v>0</v>
      </c>
      <c r="FZ28">
        <f>L29-Table2[[#This Row],[GG 1010 KVA Running Hours]]</f>
        <v>0</v>
      </c>
      <c r="GA28">
        <f>M29-Table2[[#This Row],[GG 1010 KVA Meter Reading]]</f>
        <v>0</v>
      </c>
    </row>
    <row r="29" spans="1:183">
      <c r="A29" s="55"/>
      <c r="B29" s="45"/>
      <c r="C29" s="45"/>
      <c r="D29" s="55"/>
      <c r="E29" s="44"/>
      <c r="F29" s="44"/>
      <c r="G29" s="57"/>
      <c r="H29" s="44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4"/>
      <c r="DH29" s="2">
        <f>Table2[[#This Row],[Date]]</f>
        <v>0</v>
      </c>
      <c r="DI29">
        <f>(DD30-Table2[[#This Row],[MWH Total]])*4000</f>
        <v>0</v>
      </c>
      <c r="DJ29">
        <f>(DA30-Table2[[#This Row],[PNG Meter (Outside)]])*2.936</f>
        <v>0</v>
      </c>
      <c r="DK29">
        <f>(DB30-Table2[[#This Row],[PNG Meter (Inside)]])*2.936</f>
        <v>0</v>
      </c>
      <c r="DL29">
        <f>(BH30-Table2[[#This Row],[3F Dough cooler - 2 ]])*1000</f>
        <v>0</v>
      </c>
      <c r="DM29">
        <f>(BI30-Table2[[#This Row],[3F Dough Cooler- 1]])*1000</f>
        <v>0</v>
      </c>
      <c r="DN29">
        <f>(BJ30-Table2[[#This Row],[4F Dough Production cooling Unit]])*1000</f>
        <v>0</v>
      </c>
      <c r="DO29">
        <f>(BQ30-Table2[[#This Row],[3F2 - PDB 3 - Dough Production Area]])*1000</f>
        <v>0</v>
      </c>
      <c r="DP29">
        <f>(BR30-Table2[[#This Row],[3F3 - PDB 4 - Dough Area]])*1000</f>
        <v>0</v>
      </c>
      <c r="DQ29">
        <f>AC30-Table2[[#This Row],[16F1 Tray washer Panel for Light]]</f>
        <v>0</v>
      </c>
      <c r="DR29">
        <f>CQ30-Table2[[#This Row],[2F1 Tray Washer - 1]]</f>
        <v>0</v>
      </c>
      <c r="DS29">
        <f>CS30-Table2[[#This Row],[2F5 Destacker]]</f>
        <v>0</v>
      </c>
      <c r="DT29">
        <f>CU30-Table2[[#This Row],[5F1 Metering (TW-2)]]</f>
        <v>0</v>
      </c>
      <c r="DU29">
        <f>CV30-Table2[[#This Row],[6F1 Pre soaker Tray washer]]</f>
        <v>0</v>
      </c>
      <c r="DV29">
        <f>CZ30-Table2[[#This Row],[6F5 Vent tray Storage]]</f>
        <v>0</v>
      </c>
      <c r="DW29">
        <f>I30-Table2[[#This Row],[Popeyes Meter ]]</f>
        <v>0</v>
      </c>
      <c r="DX29">
        <f>AZ30-Table2[[#This Row],[2F WH Chiller, Segregation Area]]</f>
        <v>0</v>
      </c>
      <c r="DY29">
        <f>BA30-Table2[[#This Row],[3F1 AC Unit WH dock cooling - 2 Nos]]</f>
        <v>0</v>
      </c>
      <c r="DZ29">
        <f>BB30-Table2[[#This Row],[3F2 AC Unit WH dock cooling - 3 Nos]]</f>
        <v>0</v>
      </c>
      <c r="EA29">
        <f>(BK30-Table2[[#This Row],[5F WH Perishable]])*1000</f>
        <v>0</v>
      </c>
      <c r="EB29">
        <f>BN30-Table2[[#This Row],[2F3 - PDB 9 - WH Dock Leveler Door ]]</f>
        <v>0</v>
      </c>
      <c r="EC29">
        <f>BP30-Table2[[#This Row],[3F1 - PDB 5 - WH HSD]]</f>
        <v>0</v>
      </c>
      <c r="ED29">
        <f>BX30-Table2[[#This Row],[8F1 WH Dock AHU - Ventilation]]</f>
        <v>0</v>
      </c>
      <c r="EE29">
        <f>BZ30-Table2[[#This Row],[8F3 ACPDB - 4 WH Dock air curtain]]</f>
        <v>0</v>
      </c>
      <c r="EF29">
        <f>CA30-Table2[[#This Row],[8F4 WH Light]]</f>
        <v>0</v>
      </c>
      <c r="EG29">
        <f>CC30-Table2[[#This Row],[9F1 - PDB 10 - WH Dock door &amp; Office]]</f>
        <v>0</v>
      </c>
      <c r="EH29">
        <f>CD30-Table2[[#This Row],[9F2 - PDB 11 - WH flycatchers]]</f>
        <v>0</v>
      </c>
      <c r="EI29">
        <f>CE30-Table2[[#This Row],[9F3 - PDB 12 - Other items]]</f>
        <v>0</v>
      </c>
      <c r="EJ29">
        <f>CR30-Table2[[#This Row],[2F3 - PDB 1 - Dock 1 to 4 ]]</f>
        <v>0</v>
      </c>
      <c r="EK29">
        <f>BM30-Table2[[#This Row],[2F2 - PDB 3 - WH Truck &amp; Battery Charging]]</f>
        <v>0</v>
      </c>
      <c r="EL29">
        <f>(CK30-Table2[[#This Row],[PDB - 11 Truck Charging]])*1000</f>
        <v>0</v>
      </c>
      <c r="EM29" s="1">
        <f>P30-Table2[[#This Row],[5F3 Admin Area]]</f>
        <v>0</v>
      </c>
      <c r="EN29">
        <f>AH30-Table2[[#This Row],[2F5 Main Gate-1 Piller -1]]</f>
        <v>0</v>
      </c>
      <c r="EO29">
        <f>CW30-Table2[[#This Row],[6F2 Ground Floor AC]]</f>
        <v>0</v>
      </c>
      <c r="EP29">
        <f>CX30-Table2[[#This Row],[6F3 ACBD -1 (First floor AC)]]</f>
        <v>0</v>
      </c>
      <c r="EQ29">
        <f>CY30-Table2[[#This Row],[6F4 ACBD - 2 (Second &amp; Third floor AC)]]</f>
        <v>0</v>
      </c>
      <c r="ER29">
        <f>(BC30-Table2[[#This Row],[4F Old BMC cooling Unit]])</f>
        <v>0</v>
      </c>
      <c r="ES29">
        <f>BO30-Table2[[#This Row],[2F4 - Old BMC]]</f>
        <v>0</v>
      </c>
      <c r="ET29">
        <f>Y30-Table2[[#This Row],[14F2 New CK]]</f>
        <v>0</v>
      </c>
      <c r="EU29">
        <f>(CL30-Table2[[#This Row],[OLD Ck Panel-1]])*1000</f>
        <v>0</v>
      </c>
      <c r="EV29">
        <f>CM30-Table2[[#This Row],[2F4 Old CK Blast (Blue star)]]</f>
        <v>0</v>
      </c>
      <c r="EW29">
        <f>CN30-Table2[[#This Row],[3F6 Old CK Blast (Carrier)]]</f>
        <v>0</v>
      </c>
      <c r="EX29">
        <f>(CO30-Table2[[#This Row],[Old CK Panel -2]])*1000</f>
        <v>0</v>
      </c>
      <c r="EY29">
        <f>N30-Table2[[#This Row],[4F1 Main UPS 1/C -1]]</f>
        <v>0</v>
      </c>
      <c r="EZ29">
        <f>Z30-Table2[[#This Row],[15F1 Main UPS Panel - I/C - 2]]</f>
        <v>0</v>
      </c>
      <c r="FA29">
        <f>BF30-Table2[[#This Row],[2F CLC -1 AC unit - 2]]</f>
        <v>0</v>
      </c>
      <c r="FB29">
        <f>(BG30-Table2[[#This Row],[2F CLC Anti room]])*1000</f>
        <v>0</v>
      </c>
      <c r="FC29">
        <f>BW30-Table2[[#This Row],[7F3 CLC Power Panel]]</f>
        <v>0</v>
      </c>
      <c r="FD29">
        <f>(CI30-Table2[[#This Row],[PDB - 17 CLC Section ]])*1000</f>
        <v>0</v>
      </c>
      <c r="FE29">
        <f>(W30-Table2[[#This Row],[13F3 Water &amp; Lift Old CK]])*1000</f>
        <v>0</v>
      </c>
      <c r="FF29">
        <f>AA30-Table2[[#This Row],[15F2 New ETP Panel]]</f>
        <v>0</v>
      </c>
      <c r="FG29">
        <f>AL30-Table2[[#This Row],[3F4 Old ETP Panel]]</f>
        <v>0</v>
      </c>
      <c r="FH29">
        <f>AF30-Table2[[#This Row],[2F1 RO Plant]]</f>
        <v>0</v>
      </c>
      <c r="FI29">
        <f>AK30-Table2[[#This Row],[3F3 Fire Hydrant Panel]]</f>
        <v>0</v>
      </c>
      <c r="FJ29">
        <f>R30-Table2[[#This Row],[7F1 Freon System Panel]]</f>
        <v>0</v>
      </c>
      <c r="FK29">
        <f>(AE30-Table2[[#This Row],[21F1 Refrigeration Ammonia]])*1000</f>
        <v>0</v>
      </c>
      <c r="FL29">
        <f>(AG30-Table2[[#This Row],[2F3 Air Compressor]])*1000</f>
        <v>0</v>
      </c>
      <c r="FM29">
        <f>(AX30-Table2[[#This Row],[Solar Reading Panel II]])*1000</f>
        <v>0</v>
      </c>
      <c r="FN29">
        <f>AI30-Table2[[#This Row],[3F1 Maintenance Workshop]]</f>
        <v>0</v>
      </c>
      <c r="FO29">
        <f>BD30-Table2[[#This Row],[4F B2B unit ]]</f>
        <v>0</v>
      </c>
      <c r="FP29">
        <f>BL30-Table2[[#This Row],[2F1 - PDB 6 - Bread, B2B section]]</f>
        <v>0</v>
      </c>
      <c r="FQ29">
        <f>(CG30-Table2[[#This Row],[9F5 - PDB 14 - Bread Lift]])</f>
        <v>0</v>
      </c>
      <c r="FR29">
        <f>CJ30-Table2[[#This Row],[PDB - 16 Bread Section]]</f>
        <v>0</v>
      </c>
      <c r="FS29">
        <f>BU30-Table2[[#This Row],[7F1 Donut Production area]]</f>
        <v>0</v>
      </c>
      <c r="FT29">
        <f>CB30-Table2[[#This Row],[8F5 Donut Ban Bary]]</f>
        <v>0</v>
      </c>
      <c r="FU29">
        <f>CF30-Table2[[#This Row],[9F4 - PDB 13 - Donut Sink Geyser area]]</f>
        <v>0</v>
      </c>
      <c r="FV29">
        <f>BV30-Table2[[#This Row],[7F2 Flour Silo]]</f>
        <v>0</v>
      </c>
      <c r="FW29">
        <f>BY30-Table2[[#This Row],[8F2 ACPDB - 3 SILO Ventilation]]</f>
        <v>0</v>
      </c>
      <c r="FX29">
        <f>J30-Table2[[#This Row],[DG 1010KVA Running Hours]]</f>
        <v>0</v>
      </c>
      <c r="FY29">
        <f>K30-Table2[[#This Row],[DG 1010 KVA Meter Reading]]</f>
        <v>0</v>
      </c>
      <c r="FZ29">
        <f>L30-Table2[[#This Row],[GG 1010 KVA Running Hours]]</f>
        <v>0</v>
      </c>
      <c r="GA29">
        <f>M30-Table2[[#This Row],[GG 1010 KVA Meter Reading]]</f>
        <v>0</v>
      </c>
    </row>
    <row r="30" spans="1:183">
      <c r="A30" s="55"/>
      <c r="B30" s="45"/>
      <c r="C30" s="45"/>
      <c r="D30" s="55"/>
      <c r="E30" s="44"/>
      <c r="F30" s="44"/>
      <c r="G30" s="57"/>
      <c r="H30" s="44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4"/>
      <c r="DH30" s="2">
        <f>Table2[[#This Row],[Date]]</f>
        <v>0</v>
      </c>
      <c r="DI30">
        <f>(DD31-Table2[[#This Row],[MWH Total]])*4000</f>
        <v>0</v>
      </c>
      <c r="DJ30">
        <f>(DA31-Table2[[#This Row],[PNG Meter (Outside)]])*2.936</f>
        <v>0</v>
      </c>
      <c r="DK30">
        <f>(DB31-Table2[[#This Row],[PNG Meter (Inside)]])*2.936</f>
        <v>0</v>
      </c>
      <c r="DL30">
        <f>(BH31-Table2[[#This Row],[3F Dough cooler - 2 ]])*1000</f>
        <v>0</v>
      </c>
      <c r="DM30">
        <f>(BI31-Table2[[#This Row],[3F Dough Cooler- 1]])*1000</f>
        <v>0</v>
      </c>
      <c r="DN30">
        <f>(BJ31-Table2[[#This Row],[4F Dough Production cooling Unit]])*1000</f>
        <v>0</v>
      </c>
      <c r="DO30">
        <f>(BQ31-Table2[[#This Row],[3F2 - PDB 3 - Dough Production Area]])*1000</f>
        <v>0</v>
      </c>
      <c r="DP30">
        <f>(BR31-Table2[[#This Row],[3F3 - PDB 4 - Dough Area]])*1000</f>
        <v>0</v>
      </c>
      <c r="DQ30">
        <f>AC31-Table2[[#This Row],[16F1 Tray washer Panel for Light]]</f>
        <v>0</v>
      </c>
      <c r="DR30">
        <f>CQ31-Table2[[#This Row],[2F1 Tray Washer - 1]]</f>
        <v>0</v>
      </c>
      <c r="DS30">
        <f>CS31-Table2[[#This Row],[2F5 Destacker]]</f>
        <v>0</v>
      </c>
      <c r="DT30">
        <f>CU31-Table2[[#This Row],[5F1 Metering (TW-2)]]</f>
        <v>0</v>
      </c>
      <c r="DU30">
        <f>CV31-Table2[[#This Row],[6F1 Pre soaker Tray washer]]</f>
        <v>0</v>
      </c>
      <c r="DV30">
        <f>CZ31-Table2[[#This Row],[6F5 Vent tray Storage]]</f>
        <v>0</v>
      </c>
      <c r="DW30">
        <f>I31-Table2[[#This Row],[Popeyes Meter ]]</f>
        <v>0</v>
      </c>
      <c r="DX30">
        <f>AZ31-Table2[[#This Row],[2F WH Chiller, Segregation Area]]</f>
        <v>0</v>
      </c>
      <c r="DY30">
        <f>BA31-Table2[[#This Row],[3F1 AC Unit WH dock cooling - 2 Nos]]</f>
        <v>0</v>
      </c>
      <c r="DZ30">
        <f>BB31-Table2[[#This Row],[3F2 AC Unit WH dock cooling - 3 Nos]]</f>
        <v>0</v>
      </c>
      <c r="EA30">
        <f>(BK31-Table2[[#This Row],[5F WH Perishable]])*1000</f>
        <v>0</v>
      </c>
      <c r="EB30">
        <f>BN31-Table2[[#This Row],[2F3 - PDB 9 - WH Dock Leveler Door ]]</f>
        <v>0</v>
      </c>
      <c r="EC30">
        <f>BP31-Table2[[#This Row],[3F1 - PDB 5 - WH HSD]]</f>
        <v>0</v>
      </c>
      <c r="ED30">
        <f>BX31-Table2[[#This Row],[8F1 WH Dock AHU - Ventilation]]</f>
        <v>0</v>
      </c>
      <c r="EE30">
        <f>BZ31-Table2[[#This Row],[8F3 ACPDB - 4 WH Dock air curtain]]</f>
        <v>0</v>
      </c>
      <c r="EF30">
        <f>CA31-Table2[[#This Row],[8F4 WH Light]]</f>
        <v>0</v>
      </c>
      <c r="EG30">
        <f>CC31-Table2[[#This Row],[9F1 - PDB 10 - WH Dock door &amp; Office]]</f>
        <v>0</v>
      </c>
      <c r="EH30">
        <f>CD31-Table2[[#This Row],[9F2 - PDB 11 - WH flycatchers]]</f>
        <v>0</v>
      </c>
      <c r="EI30">
        <f>CE31-Table2[[#This Row],[9F3 - PDB 12 - Other items]]</f>
        <v>0</v>
      </c>
      <c r="EJ30">
        <f>CR31-Table2[[#This Row],[2F3 - PDB 1 - Dock 1 to 4 ]]</f>
        <v>0</v>
      </c>
      <c r="EK30">
        <f>BM31-Table2[[#This Row],[2F2 - PDB 3 - WH Truck &amp; Battery Charging]]</f>
        <v>0</v>
      </c>
      <c r="EL30">
        <f>(CK31-Table2[[#This Row],[PDB - 11 Truck Charging]])*1000</f>
        <v>0</v>
      </c>
      <c r="EM30" s="1">
        <f>P31-Table2[[#This Row],[5F3 Admin Area]]</f>
        <v>0</v>
      </c>
      <c r="EN30">
        <f>AH31-Table2[[#This Row],[2F5 Main Gate-1 Piller -1]]</f>
        <v>0</v>
      </c>
      <c r="EO30">
        <f>CW31-Table2[[#This Row],[6F2 Ground Floor AC]]</f>
        <v>0</v>
      </c>
      <c r="EP30">
        <f>CX31-Table2[[#This Row],[6F3 ACBD -1 (First floor AC)]]</f>
        <v>0</v>
      </c>
      <c r="EQ30">
        <f>CY31-Table2[[#This Row],[6F4 ACBD - 2 (Second &amp; Third floor AC)]]</f>
        <v>0</v>
      </c>
      <c r="ER30">
        <f>(BC31-Table2[[#This Row],[4F Old BMC cooling Unit]])</f>
        <v>0</v>
      </c>
      <c r="ES30">
        <f>BO31-Table2[[#This Row],[2F4 - Old BMC]]</f>
        <v>0</v>
      </c>
      <c r="ET30">
        <f>Y31-Table2[[#This Row],[14F2 New CK]]</f>
        <v>0</v>
      </c>
      <c r="EU30">
        <f>(CL31-Table2[[#This Row],[OLD Ck Panel-1]])*1000</f>
        <v>0</v>
      </c>
      <c r="EV30">
        <f>CM31-Table2[[#This Row],[2F4 Old CK Blast (Blue star)]]</f>
        <v>0</v>
      </c>
      <c r="EW30">
        <f>CN31-Table2[[#This Row],[3F6 Old CK Blast (Carrier)]]</f>
        <v>0</v>
      </c>
      <c r="EX30">
        <f>(CO31-Table2[[#This Row],[Old CK Panel -2]])*1000</f>
        <v>0</v>
      </c>
      <c r="EY30">
        <f>N31-Table2[[#This Row],[4F1 Main UPS 1/C -1]]</f>
        <v>0</v>
      </c>
      <c r="EZ30">
        <f>Z31-Table2[[#This Row],[15F1 Main UPS Panel - I/C - 2]]</f>
        <v>0</v>
      </c>
      <c r="FA30">
        <f>BF31-Table2[[#This Row],[2F CLC -1 AC unit - 2]]</f>
        <v>0</v>
      </c>
      <c r="FB30">
        <f>(BG31-Table2[[#This Row],[2F CLC Anti room]])*1000</f>
        <v>0</v>
      </c>
      <c r="FC30">
        <f>BW31-Table2[[#This Row],[7F3 CLC Power Panel]]</f>
        <v>0</v>
      </c>
      <c r="FD30">
        <f>(CI31-Table2[[#This Row],[PDB - 17 CLC Section ]])*1000</f>
        <v>0</v>
      </c>
      <c r="FE30">
        <f>(W31-Table2[[#This Row],[13F3 Water &amp; Lift Old CK]])*1000</f>
        <v>0</v>
      </c>
      <c r="FF30">
        <f>AA31-Table2[[#This Row],[15F2 New ETP Panel]]</f>
        <v>0</v>
      </c>
      <c r="FG30">
        <f>AL31-Table2[[#This Row],[3F4 Old ETP Panel]]</f>
        <v>0</v>
      </c>
      <c r="FH30">
        <f>AF31-Table2[[#This Row],[2F1 RO Plant]]</f>
        <v>0</v>
      </c>
      <c r="FI30">
        <f>AK31-Table2[[#This Row],[3F3 Fire Hydrant Panel]]</f>
        <v>0</v>
      </c>
      <c r="FJ30">
        <f>R31-Table2[[#This Row],[7F1 Freon System Panel]]</f>
        <v>0</v>
      </c>
      <c r="FK30">
        <f>(AE31-Table2[[#This Row],[21F1 Refrigeration Ammonia]])*1000</f>
        <v>0</v>
      </c>
      <c r="FL30">
        <f>(AG31-Table2[[#This Row],[2F3 Air Compressor]])*1000</f>
        <v>0</v>
      </c>
      <c r="FM30">
        <f>(AX31-Table2[[#This Row],[Solar Reading Panel II]])*1000</f>
        <v>0</v>
      </c>
      <c r="FN30">
        <f>AI31-Table2[[#This Row],[3F1 Maintenance Workshop]]</f>
        <v>0</v>
      </c>
      <c r="FO30">
        <f>BD31-Table2[[#This Row],[4F B2B unit ]]</f>
        <v>0</v>
      </c>
      <c r="FP30">
        <f>BL31-Table2[[#This Row],[2F1 - PDB 6 - Bread, B2B section]]</f>
        <v>0</v>
      </c>
      <c r="FQ30">
        <f>(CG31-Table2[[#This Row],[9F5 - PDB 14 - Bread Lift]])</f>
        <v>0</v>
      </c>
      <c r="FR30">
        <f>CJ31-Table2[[#This Row],[PDB - 16 Bread Section]]</f>
        <v>0</v>
      </c>
      <c r="FS30">
        <f>BU31-Table2[[#This Row],[7F1 Donut Production area]]</f>
        <v>0</v>
      </c>
      <c r="FT30">
        <f>CB31-Table2[[#This Row],[8F5 Donut Ban Bary]]</f>
        <v>0</v>
      </c>
      <c r="FU30">
        <f>CF31-Table2[[#This Row],[9F4 - PDB 13 - Donut Sink Geyser area]]</f>
        <v>0</v>
      </c>
      <c r="FV30">
        <f>BV31-Table2[[#This Row],[7F2 Flour Silo]]</f>
        <v>0</v>
      </c>
      <c r="FW30">
        <f>BY31-Table2[[#This Row],[8F2 ACPDB - 3 SILO Ventilation]]</f>
        <v>0</v>
      </c>
      <c r="FX30">
        <f>J31-Table2[[#This Row],[DG 1010KVA Running Hours]]</f>
        <v>0</v>
      </c>
      <c r="FY30">
        <f>K31-Table2[[#This Row],[DG 1010 KVA Meter Reading]]</f>
        <v>0</v>
      </c>
      <c r="FZ30">
        <f>L31-Table2[[#This Row],[GG 1010 KVA Running Hours]]</f>
        <v>0</v>
      </c>
      <c r="GA30">
        <f>M31-Table2[[#This Row],[GG 1010 KVA Meter Reading]]</f>
        <v>0</v>
      </c>
    </row>
    <row r="31" spans="1:183">
      <c r="A31" s="61"/>
      <c r="B31" s="59"/>
      <c r="C31" s="59"/>
      <c r="D31" s="61"/>
      <c r="E31" s="61"/>
      <c r="F31" s="61"/>
      <c r="G31" s="60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2" t="e">
        <f>Table2[[#This Row],[Date]]</f>
        <v>#VALUE!</v>
      </c>
      <c r="DI31" t="e">
        <f>(DD32-Table2[[#This Row],[MWH Total]])*4000</f>
        <v>#VALUE!</v>
      </c>
      <c r="DJ31" t="e">
        <f>(DA32-Table2[[#This Row],[PNG Meter (Outside)]])*2.936</f>
        <v>#VALUE!</v>
      </c>
      <c r="DK31" t="e">
        <f>(DB32-Table2[[#This Row],[PNG Meter (Inside)]])*2.936</f>
        <v>#VALUE!</v>
      </c>
      <c r="DL31" t="e">
        <f>(BH32-Table2[[#This Row],[3F Dough cooler - 2 ]])*1000</f>
        <v>#VALUE!</v>
      </c>
      <c r="DM31" t="e">
        <f>(BI32-Table2[[#This Row],[3F Dough Cooler- 1]])*1000</f>
        <v>#VALUE!</v>
      </c>
      <c r="DN31" t="e">
        <f>(BJ32-Table2[[#This Row],[4F Dough Production cooling Unit]])*1000</f>
        <v>#VALUE!</v>
      </c>
      <c r="DO31" t="e">
        <f>(BQ32-Table2[[#This Row],[3F2 - PDB 3 - Dough Production Area]])*1000</f>
        <v>#VALUE!</v>
      </c>
      <c r="DP31" t="e">
        <f>(BR32-Table2[[#This Row],[3F3 - PDB 4 - Dough Area]])*1000</f>
        <v>#VALUE!</v>
      </c>
      <c r="DQ31" t="e">
        <f>AC32-Table2[[#This Row],[16F1 Tray washer Panel for Light]]</f>
        <v>#VALUE!</v>
      </c>
      <c r="DR31" t="e">
        <f>CQ32-Table2[[#This Row],[2F1 Tray Washer - 1]]</f>
        <v>#VALUE!</v>
      </c>
      <c r="DS31" t="e">
        <f>CS32-Table2[[#This Row],[2F5 Destacker]]</f>
        <v>#VALUE!</v>
      </c>
      <c r="DT31" t="e">
        <f>CU32-Table2[[#This Row],[5F1 Metering (TW-2)]]</f>
        <v>#VALUE!</v>
      </c>
      <c r="DU31" t="e">
        <f>CV32-Table2[[#This Row],[6F1 Pre soaker Tray washer]]</f>
        <v>#VALUE!</v>
      </c>
      <c r="DV31" t="e">
        <f>CZ32-Table2[[#This Row],[6F5 Vent tray Storage]]</f>
        <v>#VALUE!</v>
      </c>
      <c r="DW31" t="e">
        <f>I32-Table2[[#This Row],[Popeyes Meter ]]</f>
        <v>#VALUE!</v>
      </c>
      <c r="DX31" t="e">
        <f>AZ32-Table2[[#This Row],[2F WH Chiller, Segregation Area]]</f>
        <v>#VALUE!</v>
      </c>
      <c r="DY31" t="e">
        <f>BA32-Table2[[#This Row],[3F1 AC Unit WH dock cooling - 2 Nos]]</f>
        <v>#VALUE!</v>
      </c>
      <c r="DZ31" t="e">
        <f>BB32-Table2[[#This Row],[3F2 AC Unit WH dock cooling - 3 Nos]]</f>
        <v>#VALUE!</v>
      </c>
      <c r="EA31" t="e">
        <f>(BK32-Table2[[#This Row],[5F WH Perishable]])*1000</f>
        <v>#VALUE!</v>
      </c>
      <c r="EB31" t="e">
        <f>BN32-Table2[[#This Row],[2F3 - PDB 9 - WH Dock Leveler Door ]]</f>
        <v>#VALUE!</v>
      </c>
      <c r="EC31" t="e">
        <f>BP32-Table2[[#This Row],[3F1 - PDB 5 - WH HSD]]</f>
        <v>#VALUE!</v>
      </c>
      <c r="ED31" t="e">
        <f>BX32-Table2[[#This Row],[8F1 WH Dock AHU - Ventilation]]</f>
        <v>#VALUE!</v>
      </c>
      <c r="EE31" t="e">
        <f>BZ32-Table2[[#This Row],[8F3 ACPDB - 4 WH Dock air curtain]]</f>
        <v>#VALUE!</v>
      </c>
      <c r="EF31" t="e">
        <f>CA32-Table2[[#This Row],[8F4 WH Light]]</f>
        <v>#VALUE!</v>
      </c>
      <c r="EG31" t="e">
        <f>CC32-Table2[[#This Row],[9F1 - PDB 10 - WH Dock door &amp; Office]]</f>
        <v>#VALUE!</v>
      </c>
      <c r="EH31" t="e">
        <f>CD32-Table2[[#This Row],[9F2 - PDB 11 - WH flycatchers]]</f>
        <v>#VALUE!</v>
      </c>
      <c r="EI31" t="e">
        <f>CE32-Table2[[#This Row],[9F3 - PDB 12 - Other items]]</f>
        <v>#VALUE!</v>
      </c>
      <c r="EJ31" t="e">
        <f>CR32-Table2[[#This Row],[2F3 - PDB 1 - Dock 1 to 4 ]]</f>
        <v>#VALUE!</v>
      </c>
      <c r="EK31" t="e">
        <f>BM32-Table2[[#This Row],[2F2 - PDB 3 - WH Truck &amp; Battery Charging]]</f>
        <v>#VALUE!</v>
      </c>
      <c r="EL31" t="e">
        <f>(CK32-Table2[[#This Row],[PDB - 11 Truck Charging]])*1000</f>
        <v>#VALUE!</v>
      </c>
      <c r="EM31" s="1" t="e">
        <f>P32-Table2[[#This Row],[5F3 Admin Area]]</f>
        <v>#VALUE!</v>
      </c>
      <c r="EN31" t="e">
        <f>AH32-Table2[[#This Row],[2F5 Main Gate-1 Piller -1]]</f>
        <v>#VALUE!</v>
      </c>
      <c r="EO31" t="e">
        <f>CW32-Table2[[#This Row],[6F2 Ground Floor AC]]</f>
        <v>#VALUE!</v>
      </c>
      <c r="EP31" t="e">
        <f>CX32-Table2[[#This Row],[6F3 ACBD -1 (First floor AC)]]</f>
        <v>#VALUE!</v>
      </c>
      <c r="EQ31" t="e">
        <f>CY32-Table2[[#This Row],[6F4 ACBD - 2 (Second &amp; Third floor AC)]]</f>
        <v>#VALUE!</v>
      </c>
      <c r="ER31" t="e">
        <f>(BC32-Table2[[#This Row],[4F Old BMC cooling Unit]])</f>
        <v>#VALUE!</v>
      </c>
      <c r="ES31" t="e">
        <f>BO32-Table2[[#This Row],[2F4 - Old BMC]]</f>
        <v>#VALUE!</v>
      </c>
      <c r="ET31" t="e">
        <f>Y32-Table2[[#This Row],[14F2 New CK]]</f>
        <v>#VALUE!</v>
      </c>
      <c r="EU31" t="e">
        <f>(CL32-Table2[[#This Row],[OLD Ck Panel-1]])*1000</f>
        <v>#VALUE!</v>
      </c>
      <c r="EV31" t="e">
        <f>CM32-Table2[[#This Row],[2F4 Old CK Blast (Blue star)]]</f>
        <v>#VALUE!</v>
      </c>
      <c r="EW31" t="e">
        <f>CN32-Table2[[#This Row],[3F6 Old CK Blast (Carrier)]]</f>
        <v>#VALUE!</v>
      </c>
      <c r="EX31" t="e">
        <f>(CO32-Table2[[#This Row],[Old CK Panel -2]])*1000</f>
        <v>#VALUE!</v>
      </c>
      <c r="EY31" t="e">
        <f>N32-Table2[[#This Row],[4F1 Main UPS 1/C -1]]</f>
        <v>#VALUE!</v>
      </c>
      <c r="EZ31" t="e">
        <f>Z32-Table2[[#This Row],[15F1 Main UPS Panel - I/C - 2]]</f>
        <v>#VALUE!</v>
      </c>
      <c r="FA31" t="e">
        <f>BF32-Table2[[#This Row],[2F CLC -1 AC unit - 2]]</f>
        <v>#VALUE!</v>
      </c>
      <c r="FB31" t="e">
        <f>(BG32-Table2[[#This Row],[2F CLC Anti room]])*1000</f>
        <v>#VALUE!</v>
      </c>
      <c r="FC31" t="e">
        <f>BW32-Table2[[#This Row],[7F3 CLC Power Panel]]</f>
        <v>#VALUE!</v>
      </c>
      <c r="FD31" t="e">
        <f>(CI32-Table2[[#This Row],[PDB - 17 CLC Section ]])*1000</f>
        <v>#VALUE!</v>
      </c>
      <c r="FE31" t="e">
        <f>(W32-Table2[[#This Row],[13F3 Water &amp; Lift Old CK]])*1000</f>
        <v>#VALUE!</v>
      </c>
      <c r="FF31" t="e">
        <f>AA32-Table2[[#This Row],[15F2 New ETP Panel]]</f>
        <v>#VALUE!</v>
      </c>
      <c r="FG31" t="e">
        <f>AL32-Table2[[#This Row],[3F4 Old ETP Panel]]</f>
        <v>#VALUE!</v>
      </c>
      <c r="FH31" t="e">
        <f>AF32-Table2[[#This Row],[2F1 RO Plant]]</f>
        <v>#VALUE!</v>
      </c>
      <c r="FI31" t="e">
        <f>AK32-Table2[[#This Row],[3F3 Fire Hydrant Panel]]</f>
        <v>#VALUE!</v>
      </c>
      <c r="FJ31" t="e">
        <f>R32-Table2[[#This Row],[7F1 Freon System Panel]]</f>
        <v>#VALUE!</v>
      </c>
      <c r="FK31" t="e">
        <f>(AE32-Table2[[#This Row],[21F1 Refrigeration Ammonia]])*1000</f>
        <v>#VALUE!</v>
      </c>
      <c r="FL31" t="e">
        <f>(AG32-Table2[[#This Row],[2F3 Air Compressor]])*1000</f>
        <v>#VALUE!</v>
      </c>
      <c r="FM31" t="e">
        <f>(AX32-Table2[[#This Row],[Solar Reading Panel II]])*1000</f>
        <v>#VALUE!</v>
      </c>
      <c r="FN31" t="e">
        <f>AI32-Table2[[#This Row],[3F1 Maintenance Workshop]]</f>
        <v>#VALUE!</v>
      </c>
      <c r="FO31" t="e">
        <f>BD32-Table2[[#This Row],[4F B2B unit ]]</f>
        <v>#VALUE!</v>
      </c>
      <c r="FP31" t="e">
        <f>BL32-Table2[[#This Row],[2F1 - PDB 6 - Bread, B2B section]]</f>
        <v>#VALUE!</v>
      </c>
      <c r="FQ31" t="e">
        <f>(CG32-Table2[[#This Row],[9F5 - PDB 14 - Bread Lift]])</f>
        <v>#VALUE!</v>
      </c>
      <c r="FR31" t="e">
        <f>CJ32-Table2[[#This Row],[PDB - 16 Bread Section]]</f>
        <v>#VALUE!</v>
      </c>
      <c r="FS31" t="e">
        <f>BU32-Table2[[#This Row],[7F1 Donut Production area]]</f>
        <v>#VALUE!</v>
      </c>
      <c r="FT31" t="e">
        <f>CB32-Table2[[#This Row],[8F5 Donut Ban Bary]]</f>
        <v>#VALUE!</v>
      </c>
      <c r="FU31" t="e">
        <f>CF32-Table2[[#This Row],[9F4 - PDB 13 - Donut Sink Geyser area]]</f>
        <v>#VALUE!</v>
      </c>
      <c r="FV31" t="e">
        <f>BV32-Table2[[#This Row],[7F2 Flour Silo]]</f>
        <v>#VALUE!</v>
      </c>
      <c r="FW31" t="e">
        <f>BY32-Table2[[#This Row],[8F2 ACPDB - 3 SILO Ventilation]]</f>
        <v>#VALUE!</v>
      </c>
      <c r="FX31" t="e">
        <f>J32-Table2[[#This Row],[DG 1010KVA Running Hours]]</f>
        <v>#VALUE!</v>
      </c>
      <c r="FY31" t="e">
        <f>K32-Table2[[#This Row],[DG 1010 KVA Meter Reading]]</f>
        <v>#VALUE!</v>
      </c>
      <c r="FZ31" t="e">
        <f>L32-Table2[[#This Row],[GG 1010 KVA Running Hours]]</f>
        <v>#VALUE!</v>
      </c>
      <c r="GA31" t="e">
        <f>M32-Table2[[#This Row],[GG 1010 KVA Meter Reading]]</f>
        <v>#VALUE!</v>
      </c>
    </row>
    <row r="32" spans="1:183">
      <c r="A32" s="61"/>
      <c r="B32" s="59"/>
      <c r="C32" s="59"/>
      <c r="D32" s="61"/>
      <c r="E32" s="61"/>
      <c r="F32" s="61"/>
      <c r="G32" s="60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3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2" t="e">
        <f>Table2[[#This Row],[Date]]</f>
        <v>#VALUE!</v>
      </c>
      <c r="DI32" t="e">
        <f>(DD33-Table2[[#This Row],[MWH Total]])*4000</f>
        <v>#VALUE!</v>
      </c>
      <c r="DJ32" t="e">
        <f>(DA33-Table2[[#This Row],[PNG Meter (Outside)]])*2.936</f>
        <v>#VALUE!</v>
      </c>
      <c r="DK32" t="e">
        <f>(DB33-Table2[[#This Row],[PNG Meter (Inside)]])*2.936</f>
        <v>#VALUE!</v>
      </c>
      <c r="DL32" t="e">
        <f>(BH33-Table2[[#This Row],[3F Dough cooler - 2 ]])*1000</f>
        <v>#VALUE!</v>
      </c>
      <c r="DM32" t="e">
        <f>(BI33-Table2[[#This Row],[3F Dough Cooler- 1]])*1000</f>
        <v>#VALUE!</v>
      </c>
      <c r="DN32" t="e">
        <f>(BJ33-Table2[[#This Row],[4F Dough Production cooling Unit]])*1000</f>
        <v>#VALUE!</v>
      </c>
      <c r="DO32" t="e">
        <f>(BQ33-Table2[[#This Row],[3F2 - PDB 3 - Dough Production Area]])*1000</f>
        <v>#VALUE!</v>
      </c>
      <c r="DP32" t="e">
        <f>(BR33-Table2[[#This Row],[3F3 - PDB 4 - Dough Area]])*1000</f>
        <v>#VALUE!</v>
      </c>
      <c r="DQ32" t="e">
        <f>AC33-Table2[[#This Row],[16F1 Tray washer Panel for Light]]</f>
        <v>#VALUE!</v>
      </c>
      <c r="DR32" t="e">
        <f>CQ33-Table2[[#This Row],[2F1 Tray Washer - 1]]</f>
        <v>#VALUE!</v>
      </c>
      <c r="DS32" t="e">
        <f>CS33-Table2[[#This Row],[2F5 Destacker]]</f>
        <v>#VALUE!</v>
      </c>
      <c r="DT32" t="e">
        <f>CU33-Table2[[#This Row],[5F1 Metering (TW-2)]]</f>
        <v>#VALUE!</v>
      </c>
      <c r="DU32" t="e">
        <f>CV33-Table2[[#This Row],[6F1 Pre soaker Tray washer]]</f>
        <v>#VALUE!</v>
      </c>
      <c r="DV32" t="e">
        <f>CZ33-Table2[[#This Row],[6F5 Vent tray Storage]]</f>
        <v>#VALUE!</v>
      </c>
      <c r="DW32" t="e">
        <f>I33-Table2[[#This Row],[Popeyes Meter ]]</f>
        <v>#VALUE!</v>
      </c>
      <c r="DX32" t="e">
        <f>AZ33-Table2[[#This Row],[2F WH Chiller, Segregation Area]]</f>
        <v>#VALUE!</v>
      </c>
      <c r="DY32" t="e">
        <f>BA33-Table2[[#This Row],[3F1 AC Unit WH dock cooling - 2 Nos]]</f>
        <v>#VALUE!</v>
      </c>
      <c r="DZ32" t="e">
        <f>BB33-Table2[[#This Row],[3F2 AC Unit WH dock cooling - 3 Nos]]</f>
        <v>#VALUE!</v>
      </c>
      <c r="EA32" t="e">
        <f>(BK33-Table2[[#This Row],[5F WH Perishable]])*1000</f>
        <v>#VALUE!</v>
      </c>
      <c r="EB32" t="e">
        <f>BN33-Table2[[#This Row],[2F3 - PDB 9 - WH Dock Leveler Door ]]</f>
        <v>#VALUE!</v>
      </c>
      <c r="EC32" t="e">
        <f>BP33-Table2[[#This Row],[3F1 - PDB 5 - WH HSD]]</f>
        <v>#VALUE!</v>
      </c>
      <c r="ED32" t="e">
        <f>BX33-Table2[[#This Row],[8F1 WH Dock AHU - Ventilation]]</f>
        <v>#VALUE!</v>
      </c>
      <c r="EE32" t="e">
        <f>BZ33-Table2[[#This Row],[8F3 ACPDB - 4 WH Dock air curtain]]</f>
        <v>#VALUE!</v>
      </c>
      <c r="EF32" t="e">
        <f>CA33-Table2[[#This Row],[8F4 WH Light]]</f>
        <v>#VALUE!</v>
      </c>
      <c r="EG32" t="e">
        <f>CC33-Table2[[#This Row],[9F1 - PDB 10 - WH Dock door &amp; Office]]</f>
        <v>#VALUE!</v>
      </c>
      <c r="EH32" t="e">
        <f>CD33-Table2[[#This Row],[9F2 - PDB 11 - WH flycatchers]]</f>
        <v>#VALUE!</v>
      </c>
      <c r="EI32" t="e">
        <f>CE33-Table2[[#This Row],[9F3 - PDB 12 - Other items]]</f>
        <v>#VALUE!</v>
      </c>
      <c r="EJ32" t="e">
        <f>CR33-Table2[[#This Row],[2F3 - PDB 1 - Dock 1 to 4 ]]</f>
        <v>#VALUE!</v>
      </c>
      <c r="EK32" t="e">
        <f>BM33-Table2[[#This Row],[2F2 - PDB 3 - WH Truck &amp; Battery Charging]]</f>
        <v>#VALUE!</v>
      </c>
      <c r="EL32" t="e">
        <f>(CK33-Table2[[#This Row],[PDB - 11 Truck Charging]])*1000</f>
        <v>#VALUE!</v>
      </c>
      <c r="EM32" s="1" t="e">
        <f>P33-Table2[[#This Row],[5F3 Admin Area]]</f>
        <v>#VALUE!</v>
      </c>
      <c r="EN32" t="e">
        <f>AH33-Table2[[#This Row],[2F5 Main Gate-1 Piller -1]]</f>
        <v>#VALUE!</v>
      </c>
      <c r="EO32" t="e">
        <f>CW33-Table2[[#This Row],[6F2 Ground Floor AC]]</f>
        <v>#VALUE!</v>
      </c>
      <c r="EP32" t="e">
        <f>CX33-Table2[[#This Row],[6F3 ACBD -1 (First floor AC)]]</f>
        <v>#VALUE!</v>
      </c>
      <c r="EQ32" t="e">
        <f>CY33-Table2[[#This Row],[6F4 ACBD - 2 (Second &amp; Third floor AC)]]</f>
        <v>#VALUE!</v>
      </c>
      <c r="ER32" t="e">
        <f>(BC33-Table2[[#This Row],[4F Old BMC cooling Unit]])</f>
        <v>#VALUE!</v>
      </c>
      <c r="ES32" t="e">
        <f>BO33-Table2[[#This Row],[2F4 - Old BMC]]</f>
        <v>#VALUE!</v>
      </c>
      <c r="ET32" t="e">
        <f>Y33-Table2[[#This Row],[14F2 New CK]]</f>
        <v>#VALUE!</v>
      </c>
      <c r="EU32" t="e">
        <f>(CL33-Table2[[#This Row],[OLD Ck Panel-1]])*1000</f>
        <v>#VALUE!</v>
      </c>
      <c r="EV32" t="e">
        <f>CM33-Table2[[#This Row],[2F4 Old CK Blast (Blue star)]]</f>
        <v>#VALUE!</v>
      </c>
      <c r="EW32" t="e">
        <f>CN33-Table2[[#This Row],[3F6 Old CK Blast (Carrier)]]</f>
        <v>#VALUE!</v>
      </c>
      <c r="EX32" t="e">
        <f>(CO33-Table2[[#This Row],[Old CK Panel -2]])*1000</f>
        <v>#VALUE!</v>
      </c>
      <c r="EY32" t="e">
        <f>N33-Table2[[#This Row],[4F1 Main UPS 1/C -1]]</f>
        <v>#VALUE!</v>
      </c>
      <c r="EZ32" t="e">
        <f>Z33-Table2[[#This Row],[15F1 Main UPS Panel - I/C - 2]]</f>
        <v>#VALUE!</v>
      </c>
      <c r="FA32" t="e">
        <f>BF33-Table2[[#This Row],[2F CLC -1 AC unit - 2]]</f>
        <v>#VALUE!</v>
      </c>
      <c r="FB32" t="e">
        <f>(BG33-Table2[[#This Row],[2F CLC Anti room]])*1000</f>
        <v>#VALUE!</v>
      </c>
      <c r="FC32" t="e">
        <f>BW33-Table2[[#This Row],[7F3 CLC Power Panel]]</f>
        <v>#VALUE!</v>
      </c>
      <c r="FD32" t="e">
        <f>(CI33-Table2[[#This Row],[PDB - 17 CLC Section ]])*1000</f>
        <v>#VALUE!</v>
      </c>
      <c r="FE32" t="e">
        <f>(W33-Table2[[#This Row],[13F3 Water &amp; Lift Old CK]])*1000</f>
        <v>#VALUE!</v>
      </c>
      <c r="FF32" t="e">
        <f>AA33-Table2[[#This Row],[15F2 New ETP Panel]]</f>
        <v>#VALUE!</v>
      </c>
      <c r="FG32" t="e">
        <f>AL33-Table2[[#This Row],[3F4 Old ETP Panel]]</f>
        <v>#VALUE!</v>
      </c>
      <c r="FH32" t="e">
        <f>AF33-Table2[[#This Row],[2F1 RO Plant]]</f>
        <v>#VALUE!</v>
      </c>
      <c r="FI32" t="e">
        <f>AK33-Table2[[#This Row],[3F3 Fire Hydrant Panel]]</f>
        <v>#VALUE!</v>
      </c>
      <c r="FJ32" t="e">
        <f>R33-Table2[[#This Row],[7F1 Freon System Panel]]</f>
        <v>#VALUE!</v>
      </c>
      <c r="FK32" t="e">
        <f>(AE33-Table2[[#This Row],[21F1 Refrigeration Ammonia]])*1000</f>
        <v>#VALUE!</v>
      </c>
      <c r="FL32" t="e">
        <f>(AG33-Table2[[#This Row],[2F3 Air Compressor]])*1000</f>
        <v>#VALUE!</v>
      </c>
      <c r="FM32" t="e">
        <f>(AX33-Table2[[#This Row],[Solar Reading Panel II]])*1000</f>
        <v>#VALUE!</v>
      </c>
      <c r="FN32" t="e">
        <f>AI33-Table2[[#This Row],[3F1 Maintenance Workshop]]</f>
        <v>#VALUE!</v>
      </c>
      <c r="FO32" t="e">
        <f>BD33-Table2[[#This Row],[4F B2B unit ]]</f>
        <v>#VALUE!</v>
      </c>
      <c r="FP32" t="e">
        <f>BL33-Table2[[#This Row],[2F1 - PDB 6 - Bread, B2B section]]</f>
        <v>#VALUE!</v>
      </c>
      <c r="FQ32" t="e">
        <f>(CG33-Table2[[#This Row],[9F5 - PDB 14 - Bread Lift]])</f>
        <v>#VALUE!</v>
      </c>
      <c r="FR32" t="e">
        <f>CJ33-Table2[[#This Row],[PDB - 16 Bread Section]]</f>
        <v>#VALUE!</v>
      </c>
      <c r="FS32" t="e">
        <f>BU33-Table2[[#This Row],[7F1 Donut Production area]]</f>
        <v>#VALUE!</v>
      </c>
      <c r="FT32" t="e">
        <f>CB33-Table2[[#This Row],[8F5 Donut Ban Bary]]</f>
        <v>#VALUE!</v>
      </c>
      <c r="FU32" t="e">
        <f>CF33-Table2[[#This Row],[9F4 - PDB 13 - Donut Sink Geyser area]]</f>
        <v>#VALUE!</v>
      </c>
      <c r="FV32" t="e">
        <f>BV33-Table2[[#This Row],[7F2 Flour Silo]]</f>
        <v>#VALUE!</v>
      </c>
      <c r="FW32" t="e">
        <f>BY33-Table2[[#This Row],[8F2 ACPDB - 3 SILO Ventilation]]</f>
        <v>#VALUE!</v>
      </c>
      <c r="FX32" t="e">
        <f>J33-Table2[[#This Row],[DG 1010KVA Running Hours]]</f>
        <v>#VALUE!</v>
      </c>
      <c r="FY32" t="e">
        <f>K33-Table2[[#This Row],[DG 1010 KVA Meter Reading]]</f>
        <v>#VALUE!</v>
      </c>
      <c r="FZ32" t="e">
        <f>L33-Table2[[#This Row],[GG 1010 KVA Running Hours]]</f>
        <v>#VALUE!</v>
      </c>
      <c r="GA32" t="e">
        <f>M33-Table2[[#This Row],[GG 1010 KVA Meter Reading]]</f>
        <v>#VALUE!</v>
      </c>
    </row>
    <row r="33" spans="1:183">
      <c r="A33" s="61"/>
      <c r="B33" s="59"/>
      <c r="C33" s="59"/>
      <c r="D33" s="61"/>
      <c r="E33" s="61"/>
      <c r="F33" s="61"/>
      <c r="G33" s="60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2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2" t="e">
        <f>Table2[[#This Row],[Date]]</f>
        <v>#VALUE!</v>
      </c>
      <c r="DI33" t="e">
        <f>(DD34-Table2[[#This Row],[MWH Total]])*4000</f>
        <v>#VALUE!</v>
      </c>
      <c r="DJ33" t="e">
        <f>(DA34-Table2[[#This Row],[PNG Meter (Outside)]])*2.936</f>
        <v>#VALUE!</v>
      </c>
      <c r="DK33" t="e">
        <f>(DB34-Table2[[#This Row],[PNG Meter (Inside)]])*2.936</f>
        <v>#VALUE!</v>
      </c>
      <c r="DL33" t="e">
        <f>(BH34-Table2[[#This Row],[3F Dough cooler - 2 ]])*1000</f>
        <v>#VALUE!</v>
      </c>
      <c r="DM33" t="e">
        <f>(BI34-Table2[[#This Row],[3F Dough Cooler- 1]])*1000</f>
        <v>#VALUE!</v>
      </c>
      <c r="DN33" t="e">
        <f>(BJ34-Table2[[#This Row],[4F Dough Production cooling Unit]])*1000</f>
        <v>#VALUE!</v>
      </c>
      <c r="DO33" t="e">
        <f>(BQ34-Table2[[#This Row],[3F2 - PDB 3 - Dough Production Area]])*1000</f>
        <v>#VALUE!</v>
      </c>
      <c r="DP33" t="e">
        <f>(BR34-Table2[[#This Row],[3F3 - PDB 4 - Dough Area]])*1000</f>
        <v>#VALUE!</v>
      </c>
      <c r="DQ33" t="e">
        <f>AC34-Table2[[#This Row],[16F1 Tray washer Panel for Light]]</f>
        <v>#VALUE!</v>
      </c>
      <c r="DR33" t="e">
        <f>CQ34-Table2[[#This Row],[2F1 Tray Washer - 1]]</f>
        <v>#VALUE!</v>
      </c>
      <c r="DS33" t="e">
        <f>CS34-Table2[[#This Row],[2F5 Destacker]]</f>
        <v>#VALUE!</v>
      </c>
      <c r="DT33" t="e">
        <f>CU34-Table2[[#This Row],[5F1 Metering (TW-2)]]</f>
        <v>#VALUE!</v>
      </c>
      <c r="DU33" t="e">
        <f>CV34-Table2[[#This Row],[6F1 Pre soaker Tray washer]]</f>
        <v>#VALUE!</v>
      </c>
      <c r="DV33" t="e">
        <f>CZ34-Table2[[#This Row],[6F5 Vent tray Storage]]</f>
        <v>#VALUE!</v>
      </c>
      <c r="DW33" t="e">
        <f>I34-Table2[[#This Row],[Popeyes Meter ]]</f>
        <v>#VALUE!</v>
      </c>
      <c r="DX33" t="e">
        <f>AZ34-Table2[[#This Row],[2F WH Chiller, Segregation Area]]</f>
        <v>#VALUE!</v>
      </c>
      <c r="DY33" t="e">
        <f>BA34-Table2[[#This Row],[3F1 AC Unit WH dock cooling - 2 Nos]]</f>
        <v>#VALUE!</v>
      </c>
      <c r="DZ33" t="e">
        <f>BB34-Table2[[#This Row],[3F2 AC Unit WH dock cooling - 3 Nos]]</f>
        <v>#VALUE!</v>
      </c>
      <c r="EA33" t="e">
        <f>(BK34-Table2[[#This Row],[5F WH Perishable]])*1000</f>
        <v>#VALUE!</v>
      </c>
      <c r="EB33" t="e">
        <f>BN34-Table2[[#This Row],[2F3 - PDB 9 - WH Dock Leveler Door ]]</f>
        <v>#VALUE!</v>
      </c>
      <c r="EC33" t="e">
        <f>BP34-Table2[[#This Row],[3F1 - PDB 5 - WH HSD]]</f>
        <v>#VALUE!</v>
      </c>
      <c r="ED33" t="e">
        <f>BX34-Table2[[#This Row],[8F1 WH Dock AHU - Ventilation]]</f>
        <v>#VALUE!</v>
      </c>
      <c r="EE33" t="e">
        <f>BZ34-Table2[[#This Row],[8F3 ACPDB - 4 WH Dock air curtain]]</f>
        <v>#VALUE!</v>
      </c>
      <c r="EF33" t="e">
        <f>CA34-Table2[[#This Row],[8F4 WH Light]]</f>
        <v>#VALUE!</v>
      </c>
      <c r="EG33" t="e">
        <f>CC34-Table2[[#This Row],[9F1 - PDB 10 - WH Dock door &amp; Office]]</f>
        <v>#VALUE!</v>
      </c>
      <c r="EH33" t="e">
        <f>CD34-Table2[[#This Row],[9F2 - PDB 11 - WH flycatchers]]</f>
        <v>#VALUE!</v>
      </c>
      <c r="EI33" t="e">
        <f>CE34-Table2[[#This Row],[9F3 - PDB 12 - Other items]]</f>
        <v>#VALUE!</v>
      </c>
      <c r="EJ33" t="e">
        <f>CR34-Table2[[#This Row],[2F3 - PDB 1 - Dock 1 to 4 ]]</f>
        <v>#VALUE!</v>
      </c>
      <c r="EK33" t="e">
        <f>BM34-Table2[[#This Row],[2F2 - PDB 3 - WH Truck &amp; Battery Charging]]</f>
        <v>#VALUE!</v>
      </c>
      <c r="EL33" t="e">
        <f>(CK34-Table2[[#This Row],[PDB - 11 Truck Charging]])*1000</f>
        <v>#VALUE!</v>
      </c>
      <c r="EM33" s="1" t="e">
        <f>P34-Table2[[#This Row],[5F3 Admin Area]]</f>
        <v>#VALUE!</v>
      </c>
      <c r="EN33" t="e">
        <f>AH34-Table2[[#This Row],[2F5 Main Gate-1 Piller -1]]</f>
        <v>#VALUE!</v>
      </c>
      <c r="EO33" t="e">
        <f>CW34-Table2[[#This Row],[6F2 Ground Floor AC]]</f>
        <v>#VALUE!</v>
      </c>
      <c r="EP33" t="e">
        <f>CX34-Table2[[#This Row],[6F3 ACBD -1 (First floor AC)]]</f>
        <v>#VALUE!</v>
      </c>
      <c r="EQ33" t="e">
        <f>CY34-Table2[[#This Row],[6F4 ACBD - 2 (Second &amp; Third floor AC)]]</f>
        <v>#VALUE!</v>
      </c>
      <c r="ER33" t="e">
        <f>(BC34-Table2[[#This Row],[4F Old BMC cooling Unit]])</f>
        <v>#VALUE!</v>
      </c>
      <c r="ES33" t="e">
        <f>BO34-Table2[[#This Row],[2F4 - Old BMC]]</f>
        <v>#VALUE!</v>
      </c>
      <c r="ET33" t="e">
        <f>Y34-Table2[[#This Row],[14F2 New CK]]</f>
        <v>#VALUE!</v>
      </c>
      <c r="EU33" t="e">
        <f>(CL34-Table2[[#This Row],[OLD Ck Panel-1]])*1000</f>
        <v>#VALUE!</v>
      </c>
      <c r="EV33" t="e">
        <f>CM34-Table2[[#This Row],[2F4 Old CK Blast (Blue star)]]</f>
        <v>#VALUE!</v>
      </c>
      <c r="EW33" t="e">
        <f>CN34-Table2[[#This Row],[3F6 Old CK Blast (Carrier)]]</f>
        <v>#VALUE!</v>
      </c>
      <c r="EX33" t="e">
        <f>(CO34-Table2[[#This Row],[Old CK Panel -2]])*1000</f>
        <v>#VALUE!</v>
      </c>
      <c r="EY33" t="e">
        <f>N34-Table2[[#This Row],[4F1 Main UPS 1/C -1]]</f>
        <v>#VALUE!</v>
      </c>
      <c r="EZ33" t="e">
        <f>Z34-Table2[[#This Row],[15F1 Main UPS Panel - I/C - 2]]</f>
        <v>#VALUE!</v>
      </c>
      <c r="FA33" t="e">
        <f>BF34-Table2[[#This Row],[2F CLC -1 AC unit - 2]]</f>
        <v>#VALUE!</v>
      </c>
      <c r="FB33" t="e">
        <f>(BG34-Table2[[#This Row],[2F CLC Anti room]])*1000</f>
        <v>#VALUE!</v>
      </c>
      <c r="FC33" t="e">
        <f>BW34-Table2[[#This Row],[7F3 CLC Power Panel]]</f>
        <v>#VALUE!</v>
      </c>
      <c r="FD33" t="e">
        <f>(CI34-Table2[[#This Row],[PDB - 17 CLC Section ]])*1000</f>
        <v>#VALUE!</v>
      </c>
      <c r="FE33" t="e">
        <f>(W34-Table2[[#This Row],[13F3 Water &amp; Lift Old CK]])*1000</f>
        <v>#VALUE!</v>
      </c>
      <c r="FF33" t="e">
        <f>AA34-Table2[[#This Row],[15F2 New ETP Panel]]</f>
        <v>#VALUE!</v>
      </c>
      <c r="FG33" t="e">
        <f>AL34-Table2[[#This Row],[3F4 Old ETP Panel]]</f>
        <v>#VALUE!</v>
      </c>
      <c r="FH33" t="e">
        <f>AF34-Table2[[#This Row],[2F1 RO Plant]]</f>
        <v>#VALUE!</v>
      </c>
      <c r="FI33" t="e">
        <f>AK34-Table2[[#This Row],[3F3 Fire Hydrant Panel]]</f>
        <v>#VALUE!</v>
      </c>
      <c r="FJ33" t="e">
        <f>R34-Table2[[#This Row],[7F1 Freon System Panel]]</f>
        <v>#VALUE!</v>
      </c>
      <c r="FK33" t="e">
        <f>(AE34-Table2[[#This Row],[21F1 Refrigeration Ammonia]])*1000</f>
        <v>#VALUE!</v>
      </c>
      <c r="FL33" t="e">
        <f>(AG34-Table2[[#This Row],[2F3 Air Compressor]])*1000</f>
        <v>#VALUE!</v>
      </c>
      <c r="FM33" t="e">
        <f>(AX34-Table2[[#This Row],[Solar Reading Panel II]])*1000</f>
        <v>#VALUE!</v>
      </c>
      <c r="FN33" t="e">
        <f>AI34-Table2[[#This Row],[3F1 Maintenance Workshop]]</f>
        <v>#VALUE!</v>
      </c>
      <c r="FO33" t="e">
        <f>BD34-Table2[[#This Row],[4F B2B unit ]]</f>
        <v>#VALUE!</v>
      </c>
      <c r="FP33" t="e">
        <f>BL34-Table2[[#This Row],[2F1 - PDB 6 - Bread, B2B section]]</f>
        <v>#VALUE!</v>
      </c>
      <c r="FQ33" t="e">
        <f>(CG34-Table2[[#This Row],[9F5 - PDB 14 - Bread Lift]])</f>
        <v>#VALUE!</v>
      </c>
      <c r="FR33" t="e">
        <f>CJ34-Table2[[#This Row],[PDB - 16 Bread Section]]</f>
        <v>#VALUE!</v>
      </c>
      <c r="FS33" t="e">
        <f>BU34-Table2[[#This Row],[7F1 Donut Production area]]</f>
        <v>#VALUE!</v>
      </c>
      <c r="FT33" t="e">
        <f>CB34-Table2[[#This Row],[8F5 Donut Ban Bary]]</f>
        <v>#VALUE!</v>
      </c>
      <c r="FU33" t="e">
        <f>CF34-Table2[[#This Row],[9F4 - PDB 13 - Donut Sink Geyser area]]</f>
        <v>#VALUE!</v>
      </c>
      <c r="FV33" t="e">
        <f>BV34-Table2[[#This Row],[7F2 Flour Silo]]</f>
        <v>#VALUE!</v>
      </c>
      <c r="FW33" t="e">
        <f>BY34-Table2[[#This Row],[8F2 ACPDB - 3 SILO Ventilation]]</f>
        <v>#VALUE!</v>
      </c>
      <c r="FX33" t="e">
        <f>J34-Table2[[#This Row],[DG 1010KVA Running Hours]]</f>
        <v>#VALUE!</v>
      </c>
      <c r="FY33" t="e">
        <f>K34-Table2[[#This Row],[DG 1010 KVA Meter Reading]]</f>
        <v>#VALUE!</v>
      </c>
      <c r="FZ33" t="e">
        <f>L34-Table2[[#This Row],[GG 1010 KVA Running Hours]]</f>
        <v>#VALUE!</v>
      </c>
      <c r="GA33" t="e">
        <f>M34-Table2[[#This Row],[GG 1010 KVA Meter Reading]]</f>
        <v>#VALUE!</v>
      </c>
    </row>
    <row r="34" spans="1:183">
      <c r="A34" s="61"/>
      <c r="B34" s="59"/>
      <c r="C34" s="59"/>
      <c r="D34" s="61"/>
      <c r="E34" s="61"/>
      <c r="F34" s="61"/>
      <c r="G34" s="60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3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2" t="e">
        <f>Table2[[#This Row],[Date]]</f>
        <v>#VALUE!</v>
      </c>
      <c r="DI34" t="e">
        <f>(DD35-Table2[[#This Row],[MWH Total]])*4000</f>
        <v>#VALUE!</v>
      </c>
      <c r="DJ34" t="e">
        <f>(DA35-Table2[[#This Row],[PNG Meter (Outside)]])*2.936</f>
        <v>#VALUE!</v>
      </c>
      <c r="DK34" t="e">
        <f>(DB35-Table2[[#This Row],[PNG Meter (Inside)]])*2.936</f>
        <v>#VALUE!</v>
      </c>
      <c r="DL34" t="e">
        <f>(BH35-Table2[[#This Row],[3F Dough cooler - 2 ]])*1000</f>
        <v>#VALUE!</v>
      </c>
      <c r="DM34" t="e">
        <f>(BI35-Table2[[#This Row],[3F Dough Cooler- 1]])*1000</f>
        <v>#VALUE!</v>
      </c>
      <c r="DN34" t="e">
        <f>(BJ35-Table2[[#This Row],[4F Dough Production cooling Unit]])*1000</f>
        <v>#VALUE!</v>
      </c>
      <c r="DO34" t="e">
        <f>(BQ35-Table2[[#This Row],[3F2 - PDB 3 - Dough Production Area]])*1000</f>
        <v>#VALUE!</v>
      </c>
      <c r="DP34" t="e">
        <f>(BR35-Table2[[#This Row],[3F3 - PDB 4 - Dough Area]])*1000</f>
        <v>#VALUE!</v>
      </c>
      <c r="DQ34" t="e">
        <f>AC35-Table2[[#This Row],[16F1 Tray washer Panel for Light]]</f>
        <v>#VALUE!</v>
      </c>
      <c r="DR34" t="e">
        <f>CQ35-Table2[[#This Row],[2F1 Tray Washer - 1]]</f>
        <v>#VALUE!</v>
      </c>
      <c r="DS34" t="e">
        <f>CS35-Table2[[#This Row],[2F5 Destacker]]</f>
        <v>#VALUE!</v>
      </c>
      <c r="DT34" t="e">
        <f>CU35-Table2[[#This Row],[5F1 Metering (TW-2)]]</f>
        <v>#VALUE!</v>
      </c>
      <c r="DU34" t="e">
        <f>CV35-Table2[[#This Row],[6F1 Pre soaker Tray washer]]</f>
        <v>#VALUE!</v>
      </c>
      <c r="DV34" t="e">
        <f>CZ35-Table2[[#This Row],[6F5 Vent tray Storage]]</f>
        <v>#VALUE!</v>
      </c>
      <c r="DW34" t="e">
        <f>I35-Table2[[#This Row],[Popeyes Meter ]]</f>
        <v>#VALUE!</v>
      </c>
      <c r="DX34" t="e">
        <f>AZ35-Table2[[#This Row],[2F WH Chiller, Segregation Area]]</f>
        <v>#VALUE!</v>
      </c>
      <c r="DY34" t="e">
        <f>BA35-Table2[[#This Row],[3F1 AC Unit WH dock cooling - 2 Nos]]</f>
        <v>#VALUE!</v>
      </c>
      <c r="DZ34" t="e">
        <f>BB35-Table2[[#This Row],[3F2 AC Unit WH dock cooling - 3 Nos]]</f>
        <v>#VALUE!</v>
      </c>
      <c r="EA34" t="e">
        <f>(BK35-Table2[[#This Row],[5F WH Perishable]])*1000</f>
        <v>#VALUE!</v>
      </c>
      <c r="EB34" t="e">
        <f>BN35-Table2[[#This Row],[2F3 - PDB 9 - WH Dock Leveler Door ]]</f>
        <v>#VALUE!</v>
      </c>
      <c r="EC34" t="e">
        <f>BP35-Table2[[#This Row],[3F1 - PDB 5 - WH HSD]]</f>
        <v>#VALUE!</v>
      </c>
      <c r="ED34" t="e">
        <f>BX35-Table2[[#This Row],[8F1 WH Dock AHU - Ventilation]]</f>
        <v>#VALUE!</v>
      </c>
      <c r="EE34" t="e">
        <f>BZ35-Table2[[#This Row],[8F3 ACPDB - 4 WH Dock air curtain]]</f>
        <v>#VALUE!</v>
      </c>
      <c r="EF34" t="e">
        <f>CA35-Table2[[#This Row],[8F4 WH Light]]</f>
        <v>#VALUE!</v>
      </c>
      <c r="EG34" t="e">
        <f>CC35-Table2[[#This Row],[9F1 - PDB 10 - WH Dock door &amp; Office]]</f>
        <v>#VALUE!</v>
      </c>
      <c r="EH34" t="e">
        <f>CD35-Table2[[#This Row],[9F2 - PDB 11 - WH flycatchers]]</f>
        <v>#VALUE!</v>
      </c>
      <c r="EI34" t="e">
        <f>CE35-Table2[[#This Row],[9F3 - PDB 12 - Other items]]</f>
        <v>#VALUE!</v>
      </c>
      <c r="EJ34" t="e">
        <f>CR35-Table2[[#This Row],[2F3 - PDB 1 - Dock 1 to 4 ]]</f>
        <v>#VALUE!</v>
      </c>
      <c r="EK34" t="e">
        <f>BM35-Table2[[#This Row],[2F2 - PDB 3 - WH Truck &amp; Battery Charging]]</f>
        <v>#VALUE!</v>
      </c>
      <c r="EL34" t="e">
        <f>(CK35-Table2[[#This Row],[PDB - 11 Truck Charging]])*1000</f>
        <v>#VALUE!</v>
      </c>
      <c r="EM34" s="1" t="e">
        <f>P35-Table2[[#This Row],[5F3 Admin Area]]</f>
        <v>#VALUE!</v>
      </c>
      <c r="EN34" t="e">
        <f>AH35-Table2[[#This Row],[2F5 Main Gate-1 Piller -1]]</f>
        <v>#VALUE!</v>
      </c>
      <c r="EO34" t="e">
        <f>CW35-Table2[[#This Row],[6F2 Ground Floor AC]]</f>
        <v>#VALUE!</v>
      </c>
      <c r="EP34" t="e">
        <f>CX35-Table2[[#This Row],[6F3 ACBD -1 (First floor AC)]]</f>
        <v>#VALUE!</v>
      </c>
      <c r="EQ34" t="e">
        <f>CY35-Table2[[#This Row],[6F4 ACBD - 2 (Second &amp; Third floor AC)]]</f>
        <v>#VALUE!</v>
      </c>
      <c r="ER34" t="e">
        <f>(BC35-Table2[[#This Row],[4F Old BMC cooling Unit]])</f>
        <v>#VALUE!</v>
      </c>
      <c r="ES34" t="e">
        <f>BO35-Table2[[#This Row],[2F4 - Old BMC]]</f>
        <v>#VALUE!</v>
      </c>
      <c r="ET34" t="e">
        <f>Y35-Table2[[#This Row],[14F2 New CK]]</f>
        <v>#VALUE!</v>
      </c>
      <c r="EU34" t="e">
        <f>(CL35-Table2[[#This Row],[OLD Ck Panel-1]])*1000</f>
        <v>#VALUE!</v>
      </c>
      <c r="EV34" t="e">
        <f>CM35-Table2[[#This Row],[2F4 Old CK Blast (Blue star)]]</f>
        <v>#VALUE!</v>
      </c>
      <c r="EW34" t="e">
        <f>CN35-Table2[[#This Row],[3F6 Old CK Blast (Carrier)]]</f>
        <v>#VALUE!</v>
      </c>
      <c r="EX34" t="e">
        <f>(CO35-Table2[[#This Row],[Old CK Panel -2]])*1000</f>
        <v>#VALUE!</v>
      </c>
      <c r="EY34" t="e">
        <f>N35-Table2[[#This Row],[4F1 Main UPS 1/C -1]]</f>
        <v>#VALUE!</v>
      </c>
      <c r="EZ34" t="e">
        <f>Z35-Table2[[#This Row],[15F1 Main UPS Panel - I/C - 2]]</f>
        <v>#VALUE!</v>
      </c>
      <c r="FA34" t="e">
        <f>BF35-Table2[[#This Row],[2F CLC -1 AC unit - 2]]</f>
        <v>#VALUE!</v>
      </c>
      <c r="FB34" t="e">
        <f>(BG35-Table2[[#This Row],[2F CLC Anti room]])*1000</f>
        <v>#VALUE!</v>
      </c>
      <c r="FC34" t="e">
        <f>BW35-Table2[[#This Row],[7F3 CLC Power Panel]]</f>
        <v>#VALUE!</v>
      </c>
      <c r="FD34" t="e">
        <f>(CI35-Table2[[#This Row],[PDB - 17 CLC Section ]])*1000</f>
        <v>#VALUE!</v>
      </c>
      <c r="FE34" t="e">
        <f>(W35-Table2[[#This Row],[13F3 Water &amp; Lift Old CK]])*1000</f>
        <v>#VALUE!</v>
      </c>
      <c r="FF34" t="e">
        <f>AA35-Table2[[#This Row],[15F2 New ETP Panel]]</f>
        <v>#VALUE!</v>
      </c>
      <c r="FG34" t="e">
        <f>AL35-Table2[[#This Row],[3F4 Old ETP Panel]]</f>
        <v>#VALUE!</v>
      </c>
      <c r="FH34" t="e">
        <f>AF35-Table2[[#This Row],[2F1 RO Plant]]</f>
        <v>#VALUE!</v>
      </c>
      <c r="FI34" t="e">
        <f>AK35-Table2[[#This Row],[3F3 Fire Hydrant Panel]]</f>
        <v>#VALUE!</v>
      </c>
      <c r="FJ34" t="e">
        <f>R35-Table2[[#This Row],[7F1 Freon System Panel]]</f>
        <v>#VALUE!</v>
      </c>
      <c r="FK34" t="e">
        <f>(AE35-Table2[[#This Row],[21F1 Refrigeration Ammonia]])*1000</f>
        <v>#VALUE!</v>
      </c>
      <c r="FL34" t="e">
        <f>(AG35-Table2[[#This Row],[2F3 Air Compressor]])*1000</f>
        <v>#VALUE!</v>
      </c>
      <c r="FM34" t="e">
        <f>(AX35-Table2[[#This Row],[Solar Reading Panel II]])*1000</f>
        <v>#VALUE!</v>
      </c>
      <c r="FN34" t="e">
        <f>AI35-Table2[[#This Row],[3F1 Maintenance Workshop]]</f>
        <v>#VALUE!</v>
      </c>
      <c r="FO34" t="e">
        <f>BD35-Table2[[#This Row],[4F B2B unit ]]</f>
        <v>#VALUE!</v>
      </c>
      <c r="FP34" t="e">
        <f>BL35-Table2[[#This Row],[2F1 - PDB 6 - Bread, B2B section]]</f>
        <v>#VALUE!</v>
      </c>
      <c r="FQ34" t="e">
        <f>(CG35-Table2[[#This Row],[9F5 - PDB 14 - Bread Lift]])</f>
        <v>#VALUE!</v>
      </c>
      <c r="FR34" t="e">
        <f>CJ35-Table2[[#This Row],[PDB - 16 Bread Section]]</f>
        <v>#VALUE!</v>
      </c>
      <c r="FS34" t="e">
        <f>BU35-Table2[[#This Row],[7F1 Donut Production area]]</f>
        <v>#VALUE!</v>
      </c>
      <c r="FT34" t="e">
        <f>CB35-Table2[[#This Row],[8F5 Donut Ban Bary]]</f>
        <v>#VALUE!</v>
      </c>
      <c r="FU34" t="e">
        <f>CF35-Table2[[#This Row],[9F4 - PDB 13 - Donut Sink Geyser area]]</f>
        <v>#VALUE!</v>
      </c>
      <c r="FV34" t="e">
        <f>BV35-Table2[[#This Row],[7F2 Flour Silo]]</f>
        <v>#VALUE!</v>
      </c>
      <c r="FW34" t="e">
        <f>BY35-Table2[[#This Row],[8F2 ACPDB - 3 SILO Ventilation]]</f>
        <v>#VALUE!</v>
      </c>
      <c r="FX34" t="e">
        <f>J35-Table2[[#This Row],[DG 1010KVA Running Hours]]</f>
        <v>#VALUE!</v>
      </c>
      <c r="FY34" t="e">
        <f>K35-Table2[[#This Row],[DG 1010 KVA Meter Reading]]</f>
        <v>#VALUE!</v>
      </c>
      <c r="FZ34" t="e">
        <f>L35-Table2[[#This Row],[GG 1010 KVA Running Hours]]</f>
        <v>#VALUE!</v>
      </c>
      <c r="GA34" t="e">
        <f>M35-Table2[[#This Row],[GG 1010 KVA Meter Reading]]</f>
        <v>#VALUE!</v>
      </c>
    </row>
    <row r="35" spans="1:183">
      <c r="A35" s="61"/>
      <c r="B35" s="59"/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2" t="e">
        <f>Table2[[#This Row],[Date]]</f>
        <v>#VALUE!</v>
      </c>
      <c r="DI35" t="e">
        <f>(DD36-Table2[[#This Row],[MWH Total]])*4000</f>
        <v>#VALUE!</v>
      </c>
      <c r="DJ35" t="e">
        <f>(DA36-Table2[[#This Row],[PNG Meter (Outside)]])*2.936</f>
        <v>#VALUE!</v>
      </c>
      <c r="DK35" t="e">
        <f>(DB36-Table2[[#This Row],[PNG Meter (Inside)]])*2.936</f>
        <v>#VALUE!</v>
      </c>
      <c r="DL35" t="e">
        <f>(BH36-Table2[[#This Row],[3F Dough cooler - 2 ]])*1000</f>
        <v>#VALUE!</v>
      </c>
      <c r="DM35" t="e">
        <f>(BI36-Table2[[#This Row],[3F Dough Cooler- 1]])*1000</f>
        <v>#VALUE!</v>
      </c>
      <c r="DN35" t="e">
        <f>(BJ36-Table2[[#This Row],[4F Dough Production cooling Unit]])*1000</f>
        <v>#VALUE!</v>
      </c>
      <c r="DO35" t="e">
        <f>(BQ36-Table2[[#This Row],[3F2 - PDB 3 - Dough Production Area]])*1000</f>
        <v>#VALUE!</v>
      </c>
      <c r="DP35" t="e">
        <f>(BR36-Table2[[#This Row],[3F3 - PDB 4 - Dough Area]])*1000</f>
        <v>#VALUE!</v>
      </c>
      <c r="DQ35" t="e">
        <f>AC36-Table2[[#This Row],[16F1 Tray washer Panel for Light]]</f>
        <v>#VALUE!</v>
      </c>
      <c r="DR35" t="e">
        <f>CQ36-Table2[[#This Row],[2F1 Tray Washer - 1]]</f>
        <v>#VALUE!</v>
      </c>
      <c r="DS35" t="e">
        <f>CS36-Table2[[#This Row],[2F5 Destacker]]</f>
        <v>#VALUE!</v>
      </c>
      <c r="DT35" t="e">
        <f>CU36-Table2[[#This Row],[5F1 Metering (TW-2)]]</f>
        <v>#VALUE!</v>
      </c>
      <c r="DU35" t="e">
        <f>CV36-Table2[[#This Row],[6F1 Pre soaker Tray washer]]</f>
        <v>#VALUE!</v>
      </c>
      <c r="DV35" t="e">
        <f>CZ36-Table2[[#This Row],[6F5 Vent tray Storage]]</f>
        <v>#VALUE!</v>
      </c>
      <c r="DW35" t="e">
        <f>I36-Table2[[#This Row],[Popeyes Meter ]]</f>
        <v>#VALUE!</v>
      </c>
      <c r="DX35" t="e">
        <f>AZ36-Table2[[#This Row],[2F WH Chiller, Segregation Area]]</f>
        <v>#VALUE!</v>
      </c>
      <c r="DY35" t="e">
        <f>BA36-Table2[[#This Row],[3F1 AC Unit WH dock cooling - 2 Nos]]</f>
        <v>#VALUE!</v>
      </c>
      <c r="DZ35" t="e">
        <f>BB36-Table2[[#This Row],[3F2 AC Unit WH dock cooling - 3 Nos]]</f>
        <v>#VALUE!</v>
      </c>
      <c r="EA35" t="e">
        <f>(BK36-Table2[[#This Row],[5F WH Perishable]])*1000</f>
        <v>#VALUE!</v>
      </c>
      <c r="EB35" t="e">
        <f>BN36-Table2[[#This Row],[2F3 - PDB 9 - WH Dock Leveler Door ]]</f>
        <v>#VALUE!</v>
      </c>
      <c r="EC35" t="e">
        <f>BP36-Table2[[#This Row],[3F1 - PDB 5 - WH HSD]]</f>
        <v>#VALUE!</v>
      </c>
      <c r="ED35" t="e">
        <f>BX36-Table2[[#This Row],[8F1 WH Dock AHU - Ventilation]]</f>
        <v>#VALUE!</v>
      </c>
      <c r="EE35" t="e">
        <f>BZ36-Table2[[#This Row],[8F3 ACPDB - 4 WH Dock air curtain]]</f>
        <v>#VALUE!</v>
      </c>
      <c r="EF35" t="e">
        <f>CA36-Table2[[#This Row],[8F4 WH Light]]</f>
        <v>#VALUE!</v>
      </c>
      <c r="EG35" t="e">
        <f>CC36-Table2[[#This Row],[9F1 - PDB 10 - WH Dock door &amp; Office]]</f>
        <v>#VALUE!</v>
      </c>
      <c r="EH35" t="e">
        <f>CD36-Table2[[#This Row],[9F2 - PDB 11 - WH flycatchers]]</f>
        <v>#VALUE!</v>
      </c>
      <c r="EI35" t="e">
        <f>CE36-Table2[[#This Row],[9F3 - PDB 12 - Other items]]</f>
        <v>#VALUE!</v>
      </c>
      <c r="EJ35" t="e">
        <f>CR36-Table2[[#This Row],[2F3 - PDB 1 - Dock 1 to 4 ]]</f>
        <v>#VALUE!</v>
      </c>
      <c r="EK35" t="e">
        <f>BM36-Table2[[#This Row],[2F2 - PDB 3 - WH Truck &amp; Battery Charging]]</f>
        <v>#VALUE!</v>
      </c>
      <c r="EL35" t="e">
        <f>(CK36-Table2[[#This Row],[PDB - 11 Truck Charging]])*1000</f>
        <v>#VALUE!</v>
      </c>
      <c r="EM35" s="1" t="e">
        <f>P36-Table2[[#This Row],[5F3 Admin Area]]</f>
        <v>#VALUE!</v>
      </c>
      <c r="EN35" t="e">
        <f>AH36-Table2[[#This Row],[2F5 Main Gate-1 Piller -1]]</f>
        <v>#VALUE!</v>
      </c>
      <c r="EO35" t="e">
        <f>CW36-Table2[[#This Row],[6F2 Ground Floor AC]]</f>
        <v>#VALUE!</v>
      </c>
      <c r="EP35" t="e">
        <f>CX36-Table2[[#This Row],[6F3 ACBD -1 (First floor AC)]]</f>
        <v>#VALUE!</v>
      </c>
      <c r="EQ35" t="e">
        <f>CY36-Table2[[#This Row],[6F4 ACBD - 2 (Second &amp; Third floor AC)]]</f>
        <v>#VALUE!</v>
      </c>
      <c r="ER35" t="e">
        <f>(BC36-Table2[[#This Row],[4F Old BMC cooling Unit]])</f>
        <v>#VALUE!</v>
      </c>
      <c r="ES35" t="e">
        <f>BO36-Table2[[#This Row],[2F4 - Old BMC]]</f>
        <v>#VALUE!</v>
      </c>
      <c r="ET35" t="e">
        <f>Y36-Table2[[#This Row],[14F2 New CK]]</f>
        <v>#VALUE!</v>
      </c>
      <c r="EU35" t="e">
        <f>(CL36-Table2[[#This Row],[OLD Ck Panel-1]])*1000</f>
        <v>#VALUE!</v>
      </c>
      <c r="EV35" t="e">
        <f>CM36-Table2[[#This Row],[2F4 Old CK Blast (Blue star)]]</f>
        <v>#VALUE!</v>
      </c>
      <c r="EW35" t="e">
        <f>CN36-Table2[[#This Row],[3F6 Old CK Blast (Carrier)]]</f>
        <v>#VALUE!</v>
      </c>
      <c r="EX35" t="e">
        <f>(CO36-Table2[[#This Row],[Old CK Panel -2]])*1000</f>
        <v>#VALUE!</v>
      </c>
      <c r="EY35" t="e">
        <f>N36-Table2[[#This Row],[4F1 Main UPS 1/C -1]]</f>
        <v>#VALUE!</v>
      </c>
      <c r="EZ35" t="e">
        <f>Z36-Table2[[#This Row],[15F1 Main UPS Panel - I/C - 2]]</f>
        <v>#VALUE!</v>
      </c>
      <c r="FA35" t="e">
        <f>BF36-Table2[[#This Row],[2F CLC -1 AC unit - 2]]</f>
        <v>#VALUE!</v>
      </c>
      <c r="FB35" t="e">
        <f>(BG36-Table2[[#This Row],[2F CLC Anti room]])*1000</f>
        <v>#VALUE!</v>
      </c>
      <c r="FC35" t="e">
        <f>BW36-Table2[[#This Row],[7F3 CLC Power Panel]]</f>
        <v>#VALUE!</v>
      </c>
      <c r="FD35" t="e">
        <f>(CI36-Table2[[#This Row],[PDB - 17 CLC Section ]])*1000</f>
        <v>#VALUE!</v>
      </c>
      <c r="FE35" t="e">
        <f>(W36-Table2[[#This Row],[13F3 Water &amp; Lift Old CK]])*1000</f>
        <v>#VALUE!</v>
      </c>
      <c r="FF35" t="e">
        <f>AA36-Table2[[#This Row],[15F2 New ETP Panel]]</f>
        <v>#VALUE!</v>
      </c>
      <c r="FG35" t="e">
        <f>AL36-Table2[[#This Row],[3F4 Old ETP Panel]]</f>
        <v>#VALUE!</v>
      </c>
      <c r="FH35" t="e">
        <f>AF36-Table2[[#This Row],[2F1 RO Plant]]</f>
        <v>#VALUE!</v>
      </c>
      <c r="FI35" t="e">
        <f>AK36-Table2[[#This Row],[3F3 Fire Hydrant Panel]]</f>
        <v>#VALUE!</v>
      </c>
      <c r="FJ35" t="e">
        <f>R36-Table2[[#This Row],[7F1 Freon System Panel]]</f>
        <v>#VALUE!</v>
      </c>
      <c r="FK35" t="e">
        <f>(AE36-Table2[[#This Row],[21F1 Refrigeration Ammonia]])*1000</f>
        <v>#VALUE!</v>
      </c>
      <c r="FL35" t="e">
        <f>(AG36-Table2[[#This Row],[2F3 Air Compressor]])*1000</f>
        <v>#VALUE!</v>
      </c>
      <c r="FM35" t="e">
        <f>(AX36-Table2[[#This Row],[Solar Reading Panel II]])*1000</f>
        <v>#VALUE!</v>
      </c>
      <c r="FN35" t="e">
        <f>AI36-Table2[[#This Row],[3F1 Maintenance Workshop]]</f>
        <v>#VALUE!</v>
      </c>
      <c r="FO35" t="e">
        <f>BD36-Table2[[#This Row],[4F B2B unit ]]</f>
        <v>#VALUE!</v>
      </c>
      <c r="FP35" t="e">
        <f>BL36-Table2[[#This Row],[2F1 - PDB 6 - Bread, B2B section]]</f>
        <v>#VALUE!</v>
      </c>
      <c r="FQ35" t="e">
        <f>(CG36-Table2[[#This Row],[9F5 - PDB 14 - Bread Lift]])</f>
        <v>#VALUE!</v>
      </c>
      <c r="FR35" t="e">
        <f>CJ36-Table2[[#This Row],[PDB - 16 Bread Section]]</f>
        <v>#VALUE!</v>
      </c>
      <c r="FS35" t="e">
        <f>BU36-Table2[[#This Row],[7F1 Donut Production area]]</f>
        <v>#VALUE!</v>
      </c>
      <c r="FT35" t="e">
        <f>CB36-Table2[[#This Row],[8F5 Donut Ban Bary]]</f>
        <v>#VALUE!</v>
      </c>
      <c r="FU35" t="e">
        <f>CF36-Table2[[#This Row],[9F4 - PDB 13 - Donut Sink Geyser area]]</f>
        <v>#VALUE!</v>
      </c>
      <c r="FV35" t="e">
        <f>BV36-Table2[[#This Row],[7F2 Flour Silo]]</f>
        <v>#VALUE!</v>
      </c>
      <c r="FW35" t="e">
        <f>BY36-Table2[[#This Row],[8F2 ACPDB - 3 SILO Ventilation]]</f>
        <v>#VALUE!</v>
      </c>
      <c r="FX35" t="e">
        <f>J36-Table2[[#This Row],[DG 1010KVA Running Hours]]</f>
        <v>#VALUE!</v>
      </c>
      <c r="FY35" t="e">
        <f>K36-Table2[[#This Row],[DG 1010 KVA Meter Reading]]</f>
        <v>#VALUE!</v>
      </c>
      <c r="FZ35" t="e">
        <f>L36-Table2[[#This Row],[GG 1010 KVA Running Hours]]</f>
        <v>#VALUE!</v>
      </c>
      <c r="GA35" t="e">
        <f>M36-Table2[[#This Row],[GG 1010 KVA Meter Reading]]</f>
        <v>#VALUE!</v>
      </c>
    </row>
    <row r="36" spans="1:183">
      <c r="A36" s="61"/>
      <c r="B36" s="59"/>
      <c r="C36" s="59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I36" t="e">
        <f>(DD37-Table2[[#This Row],[MWH Total]])*4000</f>
        <v>#VALUE!</v>
      </c>
      <c r="DJ36" t="e">
        <f>(DA37-Table2[[#This Row],[PNG Meter (Outside)]])*2.936</f>
        <v>#VALUE!</v>
      </c>
      <c r="DK36" t="e">
        <f>(DB37-Table2[[#This Row],[PNG Meter (Inside)]])*2.936</f>
        <v>#VALUE!</v>
      </c>
      <c r="DL36" t="e">
        <f>(BH37-Table2[[#This Row],[3F Dough cooler - 2 ]])*1000</f>
        <v>#VALUE!</v>
      </c>
      <c r="DM36" t="e">
        <f>(BI37-Table2[[#This Row],[3F Dough Cooler- 1]])*1000</f>
        <v>#VALUE!</v>
      </c>
      <c r="DN36" t="e">
        <f>(BJ37-Table2[[#This Row],[4F Dough Production cooling Unit]])*1000</f>
        <v>#VALUE!</v>
      </c>
      <c r="DO36" t="e">
        <f>(BQ37-Table2[[#This Row],[3F2 - PDB 3 - Dough Production Area]])*1000</f>
        <v>#VALUE!</v>
      </c>
      <c r="DP36" t="e">
        <f>(BR37-Table2[[#This Row],[3F3 - PDB 4 - Dough Area]])*1000</f>
        <v>#VALUE!</v>
      </c>
      <c r="DQ36" t="e">
        <f>AC37-Table2[[#This Row],[16F1 Tray washer Panel for Light]]</f>
        <v>#VALUE!</v>
      </c>
      <c r="DR36" t="e">
        <f>CQ37-Table2[[#This Row],[2F1 Tray Washer - 1]]</f>
        <v>#VALUE!</v>
      </c>
      <c r="DS36" t="e">
        <f>CS37-Table2[[#This Row],[2F5 Destacker]]</f>
        <v>#VALUE!</v>
      </c>
      <c r="DT36" t="e">
        <f>CU37-Table2[[#This Row],[5F1 Metering (TW-2)]]</f>
        <v>#VALUE!</v>
      </c>
      <c r="DU36" t="e">
        <f>CV37-Table2[[#This Row],[6F1 Pre soaker Tray washer]]</f>
        <v>#VALUE!</v>
      </c>
      <c r="DV36" t="e">
        <f>CZ37-Table2[[#This Row],[6F5 Vent tray Storage]]</f>
        <v>#VALUE!</v>
      </c>
      <c r="DW36" t="e">
        <f>I37-Table2[[#This Row],[Popeyes Meter ]]</f>
        <v>#VALUE!</v>
      </c>
      <c r="DX36" t="e">
        <f>AZ37-Table2[[#This Row],[2F WH Chiller, Segregation Area]]</f>
        <v>#VALUE!</v>
      </c>
      <c r="DY36" t="e">
        <f>BA37-Table2[[#This Row],[3F1 AC Unit WH dock cooling - 2 Nos]]</f>
        <v>#VALUE!</v>
      </c>
      <c r="DZ36" t="e">
        <f>BB37-Table2[[#This Row],[3F2 AC Unit WH dock cooling - 3 Nos]]</f>
        <v>#VALUE!</v>
      </c>
      <c r="EA36" t="e">
        <f>(BK37-Table2[[#This Row],[5F WH Perishable]])*1000</f>
        <v>#VALUE!</v>
      </c>
      <c r="EB36" t="e">
        <f>BN37-Table2[[#This Row],[2F3 - PDB 9 - WH Dock Leveler Door ]]</f>
        <v>#VALUE!</v>
      </c>
      <c r="EC36" t="e">
        <f>BP37-Table2[[#This Row],[3F1 - PDB 5 - WH HSD]]</f>
        <v>#VALUE!</v>
      </c>
      <c r="ED36" t="e">
        <f>BX37-Table2[[#This Row],[8F1 WH Dock AHU - Ventilation]]</f>
        <v>#VALUE!</v>
      </c>
      <c r="EE36" t="e">
        <f>BZ37-Table2[[#This Row],[8F3 ACPDB - 4 WH Dock air curtain]]</f>
        <v>#VALUE!</v>
      </c>
      <c r="EF36" t="e">
        <f>CA37-Table2[[#This Row],[8F4 WH Light]]</f>
        <v>#VALUE!</v>
      </c>
      <c r="EG36" t="e">
        <f>CC37-Table2[[#This Row],[9F1 - PDB 10 - WH Dock door &amp; Office]]</f>
        <v>#VALUE!</v>
      </c>
      <c r="EH36" t="e">
        <f>CD37-Table2[[#This Row],[9F2 - PDB 11 - WH flycatchers]]</f>
        <v>#VALUE!</v>
      </c>
      <c r="EI36" t="e">
        <f>CE37-Table2[[#This Row],[9F3 - PDB 12 - Other items]]</f>
        <v>#VALUE!</v>
      </c>
      <c r="EJ36" t="e">
        <f>CR37-Table2[[#This Row],[2F3 - PDB 1 - Dock 1 to 4 ]]</f>
        <v>#VALUE!</v>
      </c>
      <c r="EK36" t="e">
        <f>BM37-Table2[[#This Row],[2F2 - PDB 3 - WH Truck &amp; Battery Charging]]</f>
        <v>#VALUE!</v>
      </c>
      <c r="EL36" t="e">
        <f>(CK37-Table2[[#This Row],[PDB - 11 Truck Charging]])*1000</f>
        <v>#VALUE!</v>
      </c>
      <c r="EM36" s="1" t="e">
        <f>P37-Table2[[#This Row],[5F3 Admin Area]]</f>
        <v>#VALUE!</v>
      </c>
      <c r="EN36" t="e">
        <f>AH37-Table2[[#This Row],[2F5 Main Gate-1 Piller -1]]</f>
        <v>#VALUE!</v>
      </c>
      <c r="EO36" t="e">
        <f>CW37-Table2[[#This Row],[6F2 Ground Floor AC]]</f>
        <v>#VALUE!</v>
      </c>
      <c r="EP36" t="e">
        <f>CX37-Table2[[#This Row],[6F3 ACBD -1 (First floor AC)]]</f>
        <v>#VALUE!</v>
      </c>
      <c r="EQ36" t="e">
        <f>CY37-Table2[[#This Row],[6F4 ACBD - 2 (Second &amp; Third floor AC)]]</f>
        <v>#VALUE!</v>
      </c>
      <c r="ER36" t="e">
        <f>(BC37-Table2[[#This Row],[4F Old BMC cooling Unit]])</f>
        <v>#VALUE!</v>
      </c>
      <c r="ES36" t="e">
        <f>BO37-Table2[[#This Row],[2F4 - Old BMC]]</f>
        <v>#VALUE!</v>
      </c>
      <c r="ET36" t="e">
        <f>Y37-Table2[[#This Row],[14F2 New CK]]</f>
        <v>#VALUE!</v>
      </c>
      <c r="EU36" t="e">
        <f>(CL37-Table2[[#This Row],[OLD Ck Panel-1]])*1000</f>
        <v>#VALUE!</v>
      </c>
      <c r="EV36" t="e">
        <f>CM37-Table2[[#This Row],[2F4 Old CK Blast (Blue star)]]</f>
        <v>#VALUE!</v>
      </c>
      <c r="EW36" t="e">
        <f>CN37-Table2[[#This Row],[3F6 Old CK Blast (Carrier)]]</f>
        <v>#VALUE!</v>
      </c>
      <c r="EX36" t="e">
        <f>(CO37-Table2[[#This Row],[Old CK Panel -2]])*1000</f>
        <v>#VALUE!</v>
      </c>
      <c r="EY36" t="e">
        <f>N37-Table2[[#This Row],[4F1 Main UPS 1/C -1]]</f>
        <v>#VALUE!</v>
      </c>
      <c r="EZ36" t="e">
        <f>Z37-Table2[[#This Row],[15F1 Main UPS Panel - I/C - 2]]</f>
        <v>#VALUE!</v>
      </c>
      <c r="FA36" t="e">
        <f>BF37-Table2[[#This Row],[2F CLC -1 AC unit - 2]]</f>
        <v>#VALUE!</v>
      </c>
      <c r="FB36" t="e">
        <f>(BG37-Table2[[#This Row],[2F CLC Anti room]])*1000</f>
        <v>#VALUE!</v>
      </c>
      <c r="FC36" t="e">
        <f>BW37-Table2[[#This Row],[7F3 CLC Power Panel]]</f>
        <v>#VALUE!</v>
      </c>
      <c r="FD36" t="e">
        <f>(CI37-Table2[[#This Row],[PDB - 17 CLC Section ]])*1000</f>
        <v>#VALUE!</v>
      </c>
      <c r="FE36" t="e">
        <f>(W37-Table2[[#This Row],[13F3 Water &amp; Lift Old CK]])*1000</f>
        <v>#VALUE!</v>
      </c>
      <c r="FF36" t="e">
        <f>AA37-Table2[[#This Row],[15F2 New ETP Panel]]</f>
        <v>#VALUE!</v>
      </c>
      <c r="FG36" t="e">
        <f>AL37-Table2[[#This Row],[3F4 Old ETP Panel]]</f>
        <v>#VALUE!</v>
      </c>
      <c r="FH36" t="e">
        <f>AF37-Table2[[#This Row],[2F1 RO Plant]]</f>
        <v>#VALUE!</v>
      </c>
      <c r="FI36" t="e">
        <f>AK37-Table2[[#This Row],[3F3 Fire Hydrant Panel]]</f>
        <v>#VALUE!</v>
      </c>
      <c r="FJ36" t="e">
        <f>R37-Table2[[#This Row],[7F1 Freon System Panel]]</f>
        <v>#VALUE!</v>
      </c>
      <c r="FK36" t="e">
        <f>(AE37-Table2[[#This Row],[21F1 Refrigeration Ammonia]])*1000</f>
        <v>#VALUE!</v>
      </c>
      <c r="FL36" t="e">
        <f>(AG37-Table2[[#This Row],[2F3 Air Compressor]])*1000</f>
        <v>#VALUE!</v>
      </c>
      <c r="FM36" t="e">
        <f>(AX37-Table2[[#This Row],[Solar Reading Panel II]])*1000</f>
        <v>#VALUE!</v>
      </c>
      <c r="FN36" t="e">
        <f>AI37-Table2[[#This Row],[3F1 Maintenance Workshop]]</f>
        <v>#VALUE!</v>
      </c>
      <c r="FO36" t="e">
        <f>BD37-Table2[[#This Row],[4F B2B unit ]]</f>
        <v>#VALUE!</v>
      </c>
      <c r="FP36" t="e">
        <f>BL37-Table2[[#This Row],[2F1 - PDB 6 - Bread, B2B section]]</f>
        <v>#VALUE!</v>
      </c>
      <c r="FQ36" t="e">
        <f>(CG37-Table2[[#This Row],[9F5 - PDB 14 - Bread Lift]])</f>
        <v>#VALUE!</v>
      </c>
      <c r="FR36" t="e">
        <f>CJ37-Table2[[#This Row],[PDB - 16 Bread Section]]</f>
        <v>#VALUE!</v>
      </c>
      <c r="FS36" t="e">
        <f>BU37-Table2[[#This Row],[7F1 Donut Production area]]</f>
        <v>#VALUE!</v>
      </c>
      <c r="FT36" t="e">
        <f>CB37-Table2[[#This Row],[8F5 Donut Ban Bary]]</f>
        <v>#VALUE!</v>
      </c>
      <c r="FU36" t="e">
        <f>CF37-Table2[[#This Row],[9F4 - PDB 13 - Donut Sink Geyser area]]</f>
        <v>#VALUE!</v>
      </c>
      <c r="FV36" t="e">
        <f>BV37-Table2[[#This Row],[7F2 Flour Silo]]</f>
        <v>#VALUE!</v>
      </c>
      <c r="FW36" t="e">
        <f>BY37-Table2[[#This Row],[8F2 ACPDB - 3 SILO Ventilation]]</f>
        <v>#VALUE!</v>
      </c>
      <c r="FX36" t="e">
        <f>J37-Table2[[#This Row],[DG 1010KVA Running Hours]]</f>
        <v>#VALUE!</v>
      </c>
      <c r="FY36" t="e">
        <f>K37-Table2[[#This Row],[DG 1010 KVA Meter Reading]]</f>
        <v>#VALUE!</v>
      </c>
      <c r="FZ36" t="e">
        <f>L37-Table2[[#This Row],[GG 1010 KVA Running Hours]]</f>
        <v>#VALUE!</v>
      </c>
      <c r="GA36" t="e">
        <f>M37-Table2[[#This Row],[GG 1010 KVA Meter Reading]]</f>
        <v>#VALUE!</v>
      </c>
    </row>
    <row r="37" spans="1:183">
      <c r="A37" s="61"/>
      <c r="B37" s="59"/>
      <c r="C37" s="59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I37" t="e">
        <f>(DD38-Table2[[#This Row],[MWH Total]])*4000</f>
        <v>#VALUE!</v>
      </c>
      <c r="DJ37" t="e">
        <f>(DA38-Table2[[#This Row],[PNG Meter (Outside)]])*2.936</f>
        <v>#VALUE!</v>
      </c>
      <c r="DK37" t="e">
        <f>(DB38-Table2[[#This Row],[PNG Meter (Inside)]])*2.936</f>
        <v>#VALUE!</v>
      </c>
      <c r="DL37" t="e">
        <f>(BH38-Table2[[#This Row],[3F Dough cooler - 2 ]])*1000</f>
        <v>#VALUE!</v>
      </c>
      <c r="DM37" t="e">
        <f>(BI38-Table2[[#This Row],[3F Dough Cooler- 1]])*1000</f>
        <v>#VALUE!</v>
      </c>
      <c r="DN37" t="e">
        <f>(BJ38-Table2[[#This Row],[4F Dough Production cooling Unit]])*1000</f>
        <v>#VALUE!</v>
      </c>
      <c r="DO37" t="e">
        <f>(BQ38-Table2[[#This Row],[3F2 - PDB 3 - Dough Production Area]])*1000</f>
        <v>#VALUE!</v>
      </c>
      <c r="DP37" t="e">
        <f>(BR38-Table2[[#This Row],[3F3 - PDB 4 - Dough Area]])*1000</f>
        <v>#VALUE!</v>
      </c>
      <c r="DQ37" t="e">
        <f>AC38-Table2[[#This Row],[16F1 Tray washer Panel for Light]]</f>
        <v>#VALUE!</v>
      </c>
      <c r="DR37" t="e">
        <f>CQ38-Table2[[#This Row],[2F1 Tray Washer - 1]]</f>
        <v>#VALUE!</v>
      </c>
      <c r="DS37" t="e">
        <f>CS38-Table2[[#This Row],[2F5 Destacker]]</f>
        <v>#VALUE!</v>
      </c>
      <c r="DT37" t="e">
        <f>CU38-Table2[[#This Row],[5F1 Metering (TW-2)]]</f>
        <v>#VALUE!</v>
      </c>
      <c r="DU37" t="e">
        <f>CV38-Table2[[#This Row],[6F1 Pre soaker Tray washer]]</f>
        <v>#VALUE!</v>
      </c>
      <c r="DV37" t="e">
        <f>CZ38-Table2[[#This Row],[6F5 Vent tray Storage]]</f>
        <v>#VALUE!</v>
      </c>
      <c r="DW37" t="e">
        <f>I38-Table2[[#This Row],[Popeyes Meter ]]</f>
        <v>#VALUE!</v>
      </c>
      <c r="DX37" t="e">
        <f>AZ38-Table2[[#This Row],[2F WH Chiller, Segregation Area]]</f>
        <v>#VALUE!</v>
      </c>
      <c r="DY37" t="e">
        <f>BA38-Table2[[#This Row],[3F1 AC Unit WH dock cooling - 2 Nos]]</f>
        <v>#VALUE!</v>
      </c>
      <c r="DZ37" t="e">
        <f>BB38-Table2[[#This Row],[3F2 AC Unit WH dock cooling - 3 Nos]]</f>
        <v>#VALUE!</v>
      </c>
      <c r="EA37" t="e">
        <f>(BK38-Table2[[#This Row],[5F WH Perishable]])*1000</f>
        <v>#VALUE!</v>
      </c>
      <c r="EB37" t="e">
        <f>BN38-Table2[[#This Row],[2F3 - PDB 9 - WH Dock Leveler Door ]]</f>
        <v>#VALUE!</v>
      </c>
      <c r="EC37" t="e">
        <f>BP38-Table2[[#This Row],[3F1 - PDB 5 - WH HSD]]</f>
        <v>#VALUE!</v>
      </c>
      <c r="ED37" t="e">
        <f>BX38-Table2[[#This Row],[8F1 WH Dock AHU - Ventilation]]</f>
        <v>#VALUE!</v>
      </c>
      <c r="EE37" t="e">
        <f>BZ38-Table2[[#This Row],[8F3 ACPDB - 4 WH Dock air curtain]]</f>
        <v>#VALUE!</v>
      </c>
      <c r="EF37" t="e">
        <f>CA38-Table2[[#This Row],[8F4 WH Light]]</f>
        <v>#VALUE!</v>
      </c>
      <c r="EG37" t="e">
        <f>CC38-Table2[[#This Row],[9F1 - PDB 10 - WH Dock door &amp; Office]]</f>
        <v>#VALUE!</v>
      </c>
      <c r="EH37" t="e">
        <f>CD38-Table2[[#This Row],[9F2 - PDB 11 - WH flycatchers]]</f>
        <v>#VALUE!</v>
      </c>
      <c r="EI37" t="e">
        <f>CE38-Table2[[#This Row],[9F3 - PDB 12 - Other items]]</f>
        <v>#VALUE!</v>
      </c>
      <c r="EJ37" t="e">
        <f>CR38-Table2[[#This Row],[2F3 - PDB 1 - Dock 1 to 4 ]]</f>
        <v>#VALUE!</v>
      </c>
      <c r="EK37" t="e">
        <f>BM38-Table2[[#This Row],[2F2 - PDB 3 - WH Truck &amp; Battery Charging]]</f>
        <v>#VALUE!</v>
      </c>
      <c r="EL37" t="e">
        <f>(CK38-Table2[[#This Row],[PDB - 11 Truck Charging]])*1000</f>
        <v>#VALUE!</v>
      </c>
      <c r="EM37" s="1" t="e">
        <f>P38-Table2[[#This Row],[5F3 Admin Area]]</f>
        <v>#VALUE!</v>
      </c>
      <c r="EN37" t="e">
        <f>AH38-Table2[[#This Row],[2F5 Main Gate-1 Piller -1]]</f>
        <v>#VALUE!</v>
      </c>
      <c r="EO37" t="e">
        <f>CW38-Table2[[#This Row],[6F2 Ground Floor AC]]</f>
        <v>#VALUE!</v>
      </c>
      <c r="EP37" t="e">
        <f>CX38-Table2[[#This Row],[6F3 ACBD -1 (First floor AC)]]</f>
        <v>#VALUE!</v>
      </c>
      <c r="EQ37" t="e">
        <f>CY38-Table2[[#This Row],[6F4 ACBD - 2 (Second &amp; Third floor AC)]]</f>
        <v>#VALUE!</v>
      </c>
      <c r="ER37" t="e">
        <f>(BC38-Table2[[#This Row],[4F Old BMC cooling Unit]])</f>
        <v>#VALUE!</v>
      </c>
      <c r="ES37" t="e">
        <f>BO38-Table2[[#This Row],[2F4 - Old BMC]]</f>
        <v>#VALUE!</v>
      </c>
      <c r="ET37" t="e">
        <f>Y38-Table2[[#This Row],[14F2 New CK]]</f>
        <v>#VALUE!</v>
      </c>
      <c r="EU37" t="e">
        <f>(CL38-Table2[[#This Row],[OLD Ck Panel-1]])*1000</f>
        <v>#VALUE!</v>
      </c>
      <c r="EV37" t="e">
        <f>CM38-Table2[[#This Row],[2F4 Old CK Blast (Blue star)]]</f>
        <v>#VALUE!</v>
      </c>
      <c r="EW37" t="e">
        <f>CN38-Table2[[#This Row],[3F6 Old CK Blast (Carrier)]]</f>
        <v>#VALUE!</v>
      </c>
      <c r="EX37" t="e">
        <f>(CO38-Table2[[#This Row],[Old CK Panel -2]])*1000</f>
        <v>#VALUE!</v>
      </c>
      <c r="EY37" t="e">
        <f>N38-Table2[[#This Row],[4F1 Main UPS 1/C -1]]</f>
        <v>#VALUE!</v>
      </c>
      <c r="EZ37" t="e">
        <f>Z38-Table2[[#This Row],[15F1 Main UPS Panel - I/C - 2]]</f>
        <v>#VALUE!</v>
      </c>
      <c r="FA37" t="e">
        <f>BF38-Table2[[#This Row],[2F CLC -1 AC unit - 2]]</f>
        <v>#VALUE!</v>
      </c>
      <c r="FB37" t="e">
        <f>(BG38-Table2[[#This Row],[2F CLC Anti room]])*1000</f>
        <v>#VALUE!</v>
      </c>
      <c r="FC37" t="e">
        <f>BW38-Table2[[#This Row],[7F3 CLC Power Panel]]</f>
        <v>#VALUE!</v>
      </c>
      <c r="FD37" t="e">
        <f>(CI38-Table2[[#This Row],[PDB - 17 CLC Section ]])*1000</f>
        <v>#VALUE!</v>
      </c>
      <c r="FE37" t="e">
        <f>(W38-Table2[[#This Row],[13F3 Water &amp; Lift Old CK]])*1000</f>
        <v>#VALUE!</v>
      </c>
      <c r="FF37" t="e">
        <f>AA38-Table2[[#This Row],[15F2 New ETP Panel]]</f>
        <v>#VALUE!</v>
      </c>
      <c r="FG37" t="e">
        <f>AL38-Table2[[#This Row],[3F4 Old ETP Panel]]</f>
        <v>#VALUE!</v>
      </c>
      <c r="FH37" t="e">
        <f>AF38-Table2[[#This Row],[2F1 RO Plant]]</f>
        <v>#VALUE!</v>
      </c>
      <c r="FI37" t="e">
        <f>AK38-Table2[[#This Row],[3F3 Fire Hydrant Panel]]</f>
        <v>#VALUE!</v>
      </c>
      <c r="FJ37" t="e">
        <f>R38-Table2[[#This Row],[7F1 Freon System Panel]]</f>
        <v>#VALUE!</v>
      </c>
      <c r="FK37" t="e">
        <f>(AE38-Table2[[#This Row],[21F1 Refrigeration Ammonia]])*1000</f>
        <v>#VALUE!</v>
      </c>
      <c r="FL37" t="e">
        <f>(AG38-Table2[[#This Row],[2F3 Air Compressor]])*1000</f>
        <v>#VALUE!</v>
      </c>
      <c r="FM37" t="e">
        <f>(AX38-Table2[[#This Row],[Solar Reading Panel II]])*1000</f>
        <v>#VALUE!</v>
      </c>
      <c r="FN37" t="e">
        <f>AI38-Table2[[#This Row],[3F1 Maintenance Workshop]]</f>
        <v>#VALUE!</v>
      </c>
      <c r="FO37" t="e">
        <f>BD38-Table2[[#This Row],[4F B2B unit ]]</f>
        <v>#VALUE!</v>
      </c>
      <c r="FP37" t="e">
        <f>BL38-Table2[[#This Row],[2F1 - PDB 6 - Bread, B2B section]]</f>
        <v>#VALUE!</v>
      </c>
      <c r="FQ37" t="e">
        <f>(CG38-Table2[[#This Row],[9F5 - PDB 14 - Bread Lift]])</f>
        <v>#VALUE!</v>
      </c>
      <c r="FR37" t="e">
        <f>CJ38-Table2[[#This Row],[PDB - 16 Bread Section]]</f>
        <v>#VALUE!</v>
      </c>
      <c r="FS37" t="e">
        <f>BU38-Table2[[#This Row],[7F1 Donut Production area]]</f>
        <v>#VALUE!</v>
      </c>
      <c r="FT37" t="e">
        <f>CB38-Table2[[#This Row],[8F5 Donut Ban Bary]]</f>
        <v>#VALUE!</v>
      </c>
      <c r="FU37" t="e">
        <f>CF38-Table2[[#This Row],[9F4 - PDB 13 - Donut Sink Geyser area]]</f>
        <v>#VALUE!</v>
      </c>
      <c r="FV37" t="e">
        <f>BV38-Table2[[#This Row],[7F2 Flour Silo]]</f>
        <v>#VALUE!</v>
      </c>
      <c r="FW37" t="e">
        <f>BY38-Table2[[#This Row],[8F2 ACPDB - 3 SILO Ventilation]]</f>
        <v>#VALUE!</v>
      </c>
      <c r="FX37" t="e">
        <f>J38-Table2[[#This Row],[DG 1010KVA Running Hours]]</f>
        <v>#VALUE!</v>
      </c>
      <c r="FY37" t="e">
        <f>K38-Table2[[#This Row],[DG 1010 KVA Meter Reading]]</f>
        <v>#VALUE!</v>
      </c>
      <c r="FZ37" t="e">
        <f>L38-Table2[[#This Row],[GG 1010 KVA Running Hours]]</f>
        <v>#VALUE!</v>
      </c>
      <c r="GA37" t="e">
        <f>M38-Table2[[#This Row],[GG 1010 KVA Meter Reading]]</f>
        <v>#VALUE!</v>
      </c>
    </row>
    <row r="38" spans="1:183">
      <c r="A38" s="61"/>
      <c r="B38" s="59"/>
      <c r="C38" s="59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</row>
    <row r="39" spans="1:183">
      <c r="A39" s="61"/>
      <c r="B39" s="59"/>
      <c r="C39" s="59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</row>
    <row r="40" spans="1:183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</row>
    <row r="41" spans="1:183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</row>
    <row r="42" spans="1:183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</row>
    <row r="43" spans="1:18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</row>
    <row r="44" spans="1:18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</row>
    <row r="45" spans="1:18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</row>
    <row r="46" spans="1:18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</row>
    <row r="47" spans="1:183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</row>
    <row r="48" spans="1:183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</row>
    <row r="49" spans="1:11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</row>
    <row r="50" spans="1:11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</row>
    <row r="51" spans="1:11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</row>
    <row r="52" spans="1:11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</row>
    <row r="53" spans="1:11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</row>
    <row r="54" spans="1:11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</row>
  </sheetData>
  <mergeCells count="16">
    <mergeCell ref="DL1:DP1"/>
    <mergeCell ref="DJ1:DK1"/>
    <mergeCell ref="DR1:DV1"/>
    <mergeCell ref="FX1:FY1"/>
    <mergeCell ref="FZ1:GA1"/>
    <mergeCell ref="EY1:EZ1"/>
    <mergeCell ref="FA1:FD1"/>
    <mergeCell ref="FF1:FG1"/>
    <mergeCell ref="FV1:FW1"/>
    <mergeCell ref="FS1:FU1"/>
    <mergeCell ref="FP1:FR1"/>
    <mergeCell ref="DX1:EJ1"/>
    <mergeCell ref="EK1:EL1"/>
    <mergeCell ref="EM1:EQ1"/>
    <mergeCell ref="ER1:ES1"/>
    <mergeCell ref="EU1:EX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zoomScale="76" workbookViewId="0">
      <pane ySplit="9" topLeftCell="A10" activePane="bottomLeft" state="frozen"/>
      <selection pane="bottomLeft" activeCell="A10" sqref="A10:J36"/>
    </sheetView>
  </sheetViews>
  <sheetFormatPr defaultColWidth="8.77734375" defaultRowHeight="13.2"/>
  <cols>
    <col min="1" max="1" width="18.5546875" style="6" customWidth="1"/>
    <col min="2" max="2" width="11.21875" style="6" customWidth="1"/>
    <col min="3" max="10" width="10.6640625" style="6" customWidth="1"/>
    <col min="11" max="11" width="8.77734375" style="6"/>
    <col min="12" max="19" width="15.44140625" style="7" customWidth="1"/>
    <col min="20" max="20" width="11.21875" style="7" customWidth="1"/>
    <col min="21" max="23" width="11.44140625" style="6" customWidth="1"/>
    <col min="24" max="24" width="12.6640625" style="6" customWidth="1"/>
    <col min="25" max="16384" width="8.77734375" style="6"/>
  </cols>
  <sheetData>
    <row r="1" spans="1:24" ht="14.25" customHeight="1">
      <c r="A1" s="4" t="s">
        <v>144</v>
      </c>
      <c r="B1" s="4"/>
      <c r="C1" s="4"/>
      <c r="D1" s="5"/>
      <c r="E1" s="5"/>
      <c r="F1" s="5"/>
      <c r="G1" s="5"/>
      <c r="H1" s="5"/>
      <c r="I1" s="4" t="s">
        <v>145</v>
      </c>
      <c r="J1" s="4"/>
    </row>
    <row r="2" spans="1:24" ht="14.25" customHeight="1">
      <c r="A2" s="4" t="s">
        <v>146</v>
      </c>
      <c r="B2" s="4"/>
      <c r="C2" s="4"/>
      <c r="D2" s="5"/>
      <c r="E2" s="5"/>
      <c r="F2" s="5"/>
      <c r="G2" s="5"/>
      <c r="H2" s="5"/>
      <c r="I2" s="5"/>
      <c r="J2" s="5"/>
    </row>
    <row r="3" spans="1:24" ht="14.25" customHeight="1">
      <c r="A3" s="4" t="s">
        <v>147</v>
      </c>
      <c r="B3" s="4"/>
      <c r="C3" s="5"/>
      <c r="D3" s="5"/>
      <c r="E3" s="5"/>
      <c r="F3" s="5"/>
      <c r="G3" s="5"/>
      <c r="H3" s="5"/>
      <c r="I3" s="5"/>
      <c r="J3" s="5"/>
    </row>
    <row r="4" spans="1:24" ht="14.25" customHeight="1">
      <c r="A4" s="4" t="s">
        <v>148</v>
      </c>
      <c r="B4" s="4"/>
      <c r="C4" s="4"/>
      <c r="D4" s="5"/>
      <c r="E4" s="5"/>
      <c r="F4" s="5"/>
      <c r="G4" s="5"/>
      <c r="H4" s="5"/>
      <c r="I4" s="5"/>
      <c r="J4" s="5"/>
    </row>
    <row r="5" spans="1:24" ht="14.25" customHeight="1">
      <c r="A5" s="4" t="s">
        <v>149</v>
      </c>
      <c r="B5" s="4"/>
      <c r="C5" s="5"/>
      <c r="D5" s="5"/>
      <c r="E5" s="5"/>
      <c r="F5" s="5"/>
      <c r="G5" s="5"/>
      <c r="H5" s="5"/>
      <c r="I5" s="5"/>
      <c r="J5" s="5"/>
    </row>
    <row r="6" spans="1:24" ht="14.25" customHeight="1">
      <c r="A6" s="4" t="s">
        <v>150</v>
      </c>
      <c r="B6" s="4"/>
      <c r="C6" s="4"/>
      <c r="D6" s="5"/>
      <c r="E6" s="5"/>
      <c r="F6" s="5"/>
      <c r="G6" s="5"/>
      <c r="H6" s="5"/>
      <c r="I6" s="5"/>
      <c r="J6" s="5"/>
    </row>
    <row r="7" spans="1:24" ht="14.25" customHeight="1">
      <c r="A7" s="4" t="s">
        <v>151</v>
      </c>
      <c r="B7" s="4"/>
      <c r="C7" s="5"/>
      <c r="D7" s="5"/>
      <c r="E7" s="5"/>
      <c r="F7" s="5"/>
      <c r="G7" s="5"/>
      <c r="H7" s="5"/>
      <c r="I7" s="5"/>
      <c r="J7" s="5"/>
    </row>
    <row r="8" spans="1:24" ht="28.95" customHeight="1">
      <c r="A8" s="8" t="s">
        <v>152</v>
      </c>
      <c r="B8" s="8"/>
      <c r="C8" s="9"/>
      <c r="D8" s="9"/>
      <c r="E8" s="9"/>
      <c r="F8" s="9"/>
      <c r="G8" s="9"/>
      <c r="H8" s="9"/>
      <c r="I8" s="9"/>
      <c r="J8" s="9"/>
      <c r="L8" s="28">
        <f t="shared" ref="L8:X8" si="0">SUBTOTAL(9,L10:L11116)</f>
        <v>-431463.6</v>
      </c>
      <c r="M8" s="28">
        <f t="shared" si="0"/>
        <v>-242135.6</v>
      </c>
      <c r="N8" s="28">
        <f t="shared" si="0"/>
        <v>-72562.3</v>
      </c>
      <c r="O8" s="28">
        <f t="shared" si="0"/>
        <v>-399065.2</v>
      </c>
      <c r="P8" s="28">
        <f t="shared" si="0"/>
        <v>-266516.59999999998</v>
      </c>
      <c r="Q8" s="28">
        <f t="shared" si="0"/>
        <v>-559748</v>
      </c>
      <c r="R8" s="28">
        <f t="shared" si="0"/>
        <v>-339148.2</v>
      </c>
      <c r="S8" s="28">
        <f t="shared" si="0"/>
        <v>-798099.3</v>
      </c>
      <c r="T8" s="28">
        <f t="shared" si="0"/>
        <v>-1563422</v>
      </c>
      <c r="U8" s="28">
        <f t="shared" si="0"/>
        <v>-991211.6</v>
      </c>
      <c r="V8" s="28">
        <f t="shared" si="0"/>
        <v>-581283.80000000005</v>
      </c>
      <c r="W8" s="28">
        <f t="shared" si="0"/>
        <v>-870661.60000000009</v>
      </c>
      <c r="X8" s="28">
        <f t="shared" si="0"/>
        <v>-2229003.7999999998</v>
      </c>
    </row>
    <row r="9" spans="1:24" ht="52.8">
      <c r="A9" s="10" t="s">
        <v>153</v>
      </c>
      <c r="B9" s="11" t="s">
        <v>154</v>
      </c>
      <c r="C9" s="10" t="s">
        <v>155</v>
      </c>
      <c r="D9" s="10" t="s">
        <v>156</v>
      </c>
      <c r="E9" s="10" t="s">
        <v>157</v>
      </c>
      <c r="F9" s="10" t="s">
        <v>158</v>
      </c>
      <c r="G9" s="10" t="s">
        <v>159</v>
      </c>
      <c r="H9" s="12" t="s">
        <v>160</v>
      </c>
      <c r="I9" s="13" t="s">
        <v>161</v>
      </c>
      <c r="J9" s="10" t="s">
        <v>162</v>
      </c>
      <c r="L9" s="29" t="s">
        <v>165</v>
      </c>
      <c r="M9" s="29" t="s">
        <v>166</v>
      </c>
      <c r="N9" s="29" t="s">
        <v>167</v>
      </c>
      <c r="O9" s="29" t="s">
        <v>168</v>
      </c>
      <c r="P9" s="29" t="s">
        <v>169</v>
      </c>
      <c r="Q9" s="29" t="s">
        <v>170</v>
      </c>
      <c r="R9" s="29" t="s">
        <v>171</v>
      </c>
      <c r="S9" s="29" t="s">
        <v>172</v>
      </c>
      <c r="T9" s="29" t="s">
        <v>173</v>
      </c>
      <c r="U9" s="30" t="s">
        <v>163</v>
      </c>
      <c r="V9" s="30" t="s">
        <v>126</v>
      </c>
      <c r="W9" s="30" t="s">
        <v>128</v>
      </c>
      <c r="X9" s="30" t="s">
        <v>164</v>
      </c>
    </row>
    <row r="10" spans="1:24" ht="19.95" customHeight="1">
      <c r="A10" s="75">
        <v>46296</v>
      </c>
      <c r="B10" s="76">
        <v>431463.6</v>
      </c>
      <c r="C10" s="76">
        <v>242135.6</v>
      </c>
      <c r="D10" s="76">
        <v>72562.3</v>
      </c>
      <c r="E10" s="76">
        <v>399065.2</v>
      </c>
      <c r="F10" s="76">
        <v>266516.59999999998</v>
      </c>
      <c r="G10" s="76">
        <v>559748</v>
      </c>
      <c r="H10" s="76">
        <v>339148.2</v>
      </c>
      <c r="I10" s="76">
        <v>798099.3</v>
      </c>
      <c r="J10" s="76">
        <v>1563422</v>
      </c>
      <c r="L10" s="31">
        <f t="shared" ref="L10:T37" si="1">IFERROR(B11-B10,0)</f>
        <v>0</v>
      </c>
      <c r="M10" s="31">
        <f t="shared" si="1"/>
        <v>457.79999999998836</v>
      </c>
      <c r="N10" s="31">
        <f t="shared" si="1"/>
        <v>1.6999999999970896</v>
      </c>
      <c r="O10" s="31">
        <f t="shared" si="1"/>
        <v>371.79999999998836</v>
      </c>
      <c r="P10" s="31">
        <f t="shared" si="1"/>
        <v>234.40000000002328</v>
      </c>
      <c r="Q10" s="31">
        <f t="shared" si="1"/>
        <v>3.8000000000465661</v>
      </c>
      <c r="R10" s="31">
        <f t="shared" si="1"/>
        <v>655.29999999998836</v>
      </c>
      <c r="S10" s="31">
        <f t="shared" si="1"/>
        <v>5.2999999999301508</v>
      </c>
      <c r="T10" s="31">
        <f t="shared" si="1"/>
        <v>995</v>
      </c>
      <c r="U10" s="32">
        <f t="shared" ref="U10:W72" si="2">L10+Q10</f>
        <v>3.8000000000465661</v>
      </c>
      <c r="V10" s="32">
        <f t="shared" si="2"/>
        <v>1113.0999999999767</v>
      </c>
      <c r="W10" s="32">
        <f t="shared" si="2"/>
        <v>6.9999999999272404</v>
      </c>
      <c r="X10" s="32">
        <f t="shared" ref="X10:X37" si="3">O10+P10+T10</f>
        <v>1601.2000000000116</v>
      </c>
    </row>
    <row r="11" spans="1:24" ht="19.95" customHeight="1">
      <c r="A11" s="75">
        <v>46297</v>
      </c>
      <c r="B11" s="76">
        <v>431463.6</v>
      </c>
      <c r="C11" s="76">
        <v>242593.4</v>
      </c>
      <c r="D11" s="76">
        <v>72564</v>
      </c>
      <c r="E11" s="76">
        <v>399437</v>
      </c>
      <c r="F11" s="76">
        <v>266751</v>
      </c>
      <c r="G11" s="76">
        <v>559751.80000000005</v>
      </c>
      <c r="H11" s="76">
        <v>339803.5</v>
      </c>
      <c r="I11" s="76">
        <v>798104.6</v>
      </c>
      <c r="J11" s="76">
        <v>1564417</v>
      </c>
      <c r="L11" s="31">
        <f t="shared" si="1"/>
        <v>0</v>
      </c>
      <c r="M11" s="31">
        <f t="shared" si="1"/>
        <v>469.10000000000582</v>
      </c>
      <c r="N11" s="31">
        <f t="shared" si="1"/>
        <v>1.6999999999970896</v>
      </c>
      <c r="O11" s="31">
        <f t="shared" si="1"/>
        <v>382.70000000001164</v>
      </c>
      <c r="P11" s="31">
        <f t="shared" si="1"/>
        <v>242.79999999998836</v>
      </c>
      <c r="Q11" s="31">
        <f t="shared" si="1"/>
        <v>2.6999999999534339</v>
      </c>
      <c r="R11" s="31">
        <f t="shared" si="1"/>
        <v>626.79999999998836</v>
      </c>
      <c r="S11" s="31">
        <f t="shared" si="1"/>
        <v>4.5999999999767169</v>
      </c>
      <c r="T11" s="31">
        <f t="shared" si="1"/>
        <v>1124</v>
      </c>
      <c r="U11" s="32">
        <f t="shared" si="2"/>
        <v>2.6999999999534339</v>
      </c>
      <c r="V11" s="32">
        <f t="shared" si="2"/>
        <v>1095.8999999999942</v>
      </c>
      <c r="W11" s="32">
        <f t="shared" si="2"/>
        <v>6.2999999999738066</v>
      </c>
      <c r="X11" s="32">
        <f t="shared" si="3"/>
        <v>1749.5</v>
      </c>
    </row>
    <row r="12" spans="1:24" ht="19.95" customHeight="1">
      <c r="A12" s="75">
        <v>46298</v>
      </c>
      <c r="B12" s="76">
        <v>431463.6</v>
      </c>
      <c r="C12" s="76">
        <v>243062.5</v>
      </c>
      <c r="D12" s="76">
        <v>72565.7</v>
      </c>
      <c r="E12" s="76">
        <v>399819.7</v>
      </c>
      <c r="F12" s="76">
        <v>266993.8</v>
      </c>
      <c r="G12" s="76">
        <v>559754.5</v>
      </c>
      <c r="H12" s="76">
        <v>340430.3</v>
      </c>
      <c r="I12" s="76">
        <v>798109.2</v>
      </c>
      <c r="J12" s="76">
        <v>1565541</v>
      </c>
      <c r="L12" s="31">
        <f t="shared" si="1"/>
        <v>0</v>
      </c>
      <c r="M12" s="31">
        <f t="shared" si="1"/>
        <v>460.79999999998836</v>
      </c>
      <c r="N12" s="31">
        <f t="shared" si="1"/>
        <v>92</v>
      </c>
      <c r="O12" s="31">
        <f t="shared" si="1"/>
        <v>370.59999999997672</v>
      </c>
      <c r="P12" s="31">
        <f t="shared" si="1"/>
        <v>233.79999999998836</v>
      </c>
      <c r="Q12" s="31">
        <f t="shared" si="1"/>
        <v>2.6999999999534339</v>
      </c>
      <c r="R12" s="31">
        <f t="shared" si="1"/>
        <v>599.70000000001164</v>
      </c>
      <c r="S12" s="31">
        <f t="shared" si="1"/>
        <v>318.80000000004657</v>
      </c>
      <c r="T12" s="31">
        <f t="shared" si="1"/>
        <v>1078</v>
      </c>
      <c r="U12" s="32">
        <f t="shared" si="2"/>
        <v>2.6999999999534339</v>
      </c>
      <c r="V12" s="32">
        <f t="shared" si="2"/>
        <v>1060.5</v>
      </c>
      <c r="W12" s="32">
        <f t="shared" si="2"/>
        <v>410.80000000004657</v>
      </c>
      <c r="X12" s="32">
        <f t="shared" si="3"/>
        <v>1682.3999999999651</v>
      </c>
    </row>
    <row r="13" spans="1:24" ht="19.95" customHeight="1">
      <c r="A13" s="75">
        <v>46299</v>
      </c>
      <c r="B13" s="76">
        <v>431463.6</v>
      </c>
      <c r="C13" s="76">
        <v>243523.3</v>
      </c>
      <c r="D13" s="76">
        <v>72657.7</v>
      </c>
      <c r="E13" s="76">
        <v>400190.3</v>
      </c>
      <c r="F13" s="76">
        <v>267227.59999999998</v>
      </c>
      <c r="G13" s="76">
        <v>559757.19999999995</v>
      </c>
      <c r="H13" s="76">
        <v>341030</v>
      </c>
      <c r="I13" s="76">
        <v>798428</v>
      </c>
      <c r="J13" s="76">
        <v>1566619</v>
      </c>
      <c r="L13" s="31">
        <f t="shared" si="1"/>
        <v>0</v>
      </c>
      <c r="M13" s="31">
        <f t="shared" si="1"/>
        <v>436.90000000002328</v>
      </c>
      <c r="N13" s="31">
        <f t="shared" si="1"/>
        <v>183</v>
      </c>
      <c r="O13" s="31">
        <f t="shared" si="1"/>
        <v>359.79999999998836</v>
      </c>
      <c r="P13" s="31">
        <f t="shared" si="1"/>
        <v>224.5</v>
      </c>
      <c r="Q13" s="31">
        <f t="shared" si="1"/>
        <v>2.8000000000465661</v>
      </c>
      <c r="R13" s="31">
        <f t="shared" si="1"/>
        <v>480.09999999997672</v>
      </c>
      <c r="S13" s="31">
        <f t="shared" si="1"/>
        <v>520.30000000004657</v>
      </c>
      <c r="T13" s="31">
        <f t="shared" si="1"/>
        <v>947</v>
      </c>
      <c r="U13" s="32">
        <f t="shared" si="2"/>
        <v>2.8000000000465661</v>
      </c>
      <c r="V13" s="32">
        <f t="shared" si="2"/>
        <v>917</v>
      </c>
      <c r="W13" s="32">
        <f t="shared" si="2"/>
        <v>703.30000000004657</v>
      </c>
      <c r="X13" s="32">
        <f t="shared" si="3"/>
        <v>1531.2999999999884</v>
      </c>
    </row>
    <row r="14" spans="1:24" ht="19.95" customHeight="1">
      <c r="A14" s="75">
        <v>46300</v>
      </c>
      <c r="B14" s="76">
        <v>431463.6</v>
      </c>
      <c r="C14" s="76">
        <v>243960.2</v>
      </c>
      <c r="D14" s="76">
        <v>72840.7</v>
      </c>
      <c r="E14" s="76">
        <v>400550.1</v>
      </c>
      <c r="F14" s="76">
        <v>267452.09999999998</v>
      </c>
      <c r="G14" s="76">
        <v>559760</v>
      </c>
      <c r="H14" s="76">
        <v>341510.1</v>
      </c>
      <c r="I14" s="76">
        <v>798948.3</v>
      </c>
      <c r="J14" s="76">
        <v>1567566</v>
      </c>
      <c r="L14" s="31">
        <f t="shared" si="1"/>
        <v>0</v>
      </c>
      <c r="M14" s="31">
        <f t="shared" si="1"/>
        <v>493.29999999998836</v>
      </c>
      <c r="N14" s="31">
        <f t="shared" si="1"/>
        <v>190.10000000000582</v>
      </c>
      <c r="O14" s="31">
        <f t="shared" si="1"/>
        <v>378.60000000003492</v>
      </c>
      <c r="P14" s="31">
        <f t="shared" si="1"/>
        <v>237.10000000003492</v>
      </c>
      <c r="Q14" s="31">
        <f t="shared" si="1"/>
        <v>3</v>
      </c>
      <c r="R14" s="31">
        <f t="shared" si="1"/>
        <v>626.5</v>
      </c>
      <c r="S14" s="31">
        <f t="shared" si="1"/>
        <v>833.79999999993015</v>
      </c>
      <c r="T14" s="31">
        <f t="shared" si="1"/>
        <v>1182</v>
      </c>
      <c r="U14" s="32">
        <f t="shared" si="2"/>
        <v>3</v>
      </c>
      <c r="V14" s="32">
        <f t="shared" si="2"/>
        <v>1119.7999999999884</v>
      </c>
      <c r="W14" s="32">
        <f t="shared" si="2"/>
        <v>1023.899999999936</v>
      </c>
      <c r="X14" s="32">
        <f t="shared" si="3"/>
        <v>1797.7000000000698</v>
      </c>
    </row>
    <row r="15" spans="1:24" ht="19.95" customHeight="1">
      <c r="A15" s="75">
        <v>46301</v>
      </c>
      <c r="B15" s="76">
        <v>431463.6</v>
      </c>
      <c r="C15" s="76">
        <v>244453.5</v>
      </c>
      <c r="D15" s="76">
        <v>73030.8</v>
      </c>
      <c r="E15" s="76">
        <v>400928.7</v>
      </c>
      <c r="F15" s="76">
        <v>267689.2</v>
      </c>
      <c r="G15" s="76">
        <v>559763</v>
      </c>
      <c r="H15" s="76">
        <v>342136.6</v>
      </c>
      <c r="I15" s="76">
        <v>799782.1</v>
      </c>
      <c r="J15" s="76">
        <v>1568748</v>
      </c>
      <c r="L15" s="31">
        <f t="shared" si="1"/>
        <v>0</v>
      </c>
      <c r="M15" s="31">
        <f t="shared" si="1"/>
        <v>481</v>
      </c>
      <c r="N15" s="31">
        <f t="shared" si="1"/>
        <v>301.30000000000291</v>
      </c>
      <c r="O15" s="31">
        <f t="shared" si="1"/>
        <v>379</v>
      </c>
      <c r="P15" s="31">
        <f t="shared" si="1"/>
        <v>236.59999999997672</v>
      </c>
      <c r="Q15" s="31">
        <f t="shared" si="1"/>
        <v>3.3000000000465661</v>
      </c>
      <c r="R15" s="31">
        <f t="shared" si="1"/>
        <v>594.5</v>
      </c>
      <c r="S15" s="31">
        <f t="shared" si="1"/>
        <v>1063</v>
      </c>
      <c r="T15" s="31">
        <f t="shared" si="1"/>
        <v>1545</v>
      </c>
      <c r="U15" s="32">
        <f t="shared" si="2"/>
        <v>3.3000000000465661</v>
      </c>
      <c r="V15" s="32">
        <f t="shared" si="2"/>
        <v>1075.5</v>
      </c>
      <c r="W15" s="32">
        <f t="shared" si="2"/>
        <v>1364.3000000000029</v>
      </c>
      <c r="X15" s="32">
        <f t="shared" si="3"/>
        <v>2160.5999999999767</v>
      </c>
    </row>
    <row r="16" spans="1:24" ht="19.95" customHeight="1">
      <c r="A16" s="75">
        <v>46302</v>
      </c>
      <c r="B16" s="76">
        <v>431463.6</v>
      </c>
      <c r="C16" s="76">
        <v>244934.5</v>
      </c>
      <c r="D16" s="76">
        <v>73332.100000000006</v>
      </c>
      <c r="E16" s="76">
        <v>401307.7</v>
      </c>
      <c r="F16" s="76">
        <v>267925.8</v>
      </c>
      <c r="G16" s="76">
        <v>559766.30000000005</v>
      </c>
      <c r="H16" s="76">
        <v>342731.1</v>
      </c>
      <c r="I16" s="76">
        <v>800845.1</v>
      </c>
      <c r="J16" s="76">
        <v>1570293</v>
      </c>
      <c r="L16" s="31">
        <f t="shared" si="1"/>
        <v>0</v>
      </c>
      <c r="M16" s="31">
        <f t="shared" si="1"/>
        <v>454.5</v>
      </c>
      <c r="N16" s="31">
        <f t="shared" si="1"/>
        <v>307.29999999998836</v>
      </c>
      <c r="O16" s="31">
        <f t="shared" si="1"/>
        <v>378.39999999996508</v>
      </c>
      <c r="P16" s="31">
        <f t="shared" si="1"/>
        <v>236.10000000003492</v>
      </c>
      <c r="Q16" s="31">
        <f t="shared" si="1"/>
        <v>1.3999999999068677</v>
      </c>
      <c r="R16" s="31">
        <f t="shared" si="1"/>
        <v>649.30000000004657</v>
      </c>
      <c r="S16" s="31">
        <f t="shared" si="1"/>
        <v>1156.9000000000233</v>
      </c>
      <c r="T16" s="31">
        <f t="shared" si="1"/>
        <v>1498</v>
      </c>
      <c r="U16" s="32">
        <f t="shared" si="2"/>
        <v>1.3999999999068677</v>
      </c>
      <c r="V16" s="32">
        <f t="shared" si="2"/>
        <v>1103.8000000000466</v>
      </c>
      <c r="W16" s="32">
        <f t="shared" si="2"/>
        <v>1464.2000000000116</v>
      </c>
      <c r="X16" s="32">
        <f t="shared" si="3"/>
        <v>2112.5</v>
      </c>
    </row>
    <row r="17" spans="1:24" ht="19.95" customHeight="1">
      <c r="A17" s="75">
        <v>46303</v>
      </c>
      <c r="B17" s="76">
        <v>431463.6</v>
      </c>
      <c r="C17" s="76">
        <v>245389</v>
      </c>
      <c r="D17" s="76">
        <v>73639.399999999994</v>
      </c>
      <c r="E17" s="76">
        <v>401686.1</v>
      </c>
      <c r="F17" s="76">
        <v>268161.90000000002</v>
      </c>
      <c r="G17" s="76">
        <v>559767.69999999995</v>
      </c>
      <c r="H17" s="76">
        <v>343380.4</v>
      </c>
      <c r="I17" s="76">
        <v>802002</v>
      </c>
      <c r="J17" s="76">
        <v>1571791</v>
      </c>
      <c r="L17" s="31">
        <f t="shared" si="1"/>
        <v>0</v>
      </c>
      <c r="M17" s="31">
        <f t="shared" si="1"/>
        <v>450.70000000001164</v>
      </c>
      <c r="N17" s="31">
        <f t="shared" si="1"/>
        <v>316.5</v>
      </c>
      <c r="O17" s="31">
        <f t="shared" si="1"/>
        <v>378.30000000004657</v>
      </c>
      <c r="P17" s="31">
        <f t="shared" si="1"/>
        <v>235.19999999995343</v>
      </c>
      <c r="Q17" s="31">
        <f t="shared" si="1"/>
        <v>1.3000000000465661</v>
      </c>
      <c r="R17" s="31">
        <f t="shared" si="1"/>
        <v>555.39999999996508</v>
      </c>
      <c r="S17" s="31">
        <f t="shared" si="1"/>
        <v>1166.3000000000466</v>
      </c>
      <c r="T17" s="31">
        <f t="shared" si="1"/>
        <v>1630</v>
      </c>
      <c r="U17" s="32">
        <f t="shared" si="2"/>
        <v>1.3000000000465661</v>
      </c>
      <c r="V17" s="32">
        <f t="shared" si="2"/>
        <v>1006.0999999999767</v>
      </c>
      <c r="W17" s="32">
        <f t="shared" si="2"/>
        <v>1482.8000000000466</v>
      </c>
      <c r="X17" s="32">
        <f t="shared" si="3"/>
        <v>2243.5</v>
      </c>
    </row>
    <row r="18" spans="1:24" ht="19.95" customHeight="1">
      <c r="A18" s="75">
        <v>46304</v>
      </c>
      <c r="B18" s="76">
        <v>431463.6</v>
      </c>
      <c r="C18" s="76">
        <v>245839.7</v>
      </c>
      <c r="D18" s="76">
        <v>73955.899999999994</v>
      </c>
      <c r="E18" s="76">
        <v>402064.4</v>
      </c>
      <c r="F18" s="76">
        <v>268397.09999999998</v>
      </c>
      <c r="G18" s="76">
        <v>559769</v>
      </c>
      <c r="H18" s="76">
        <v>343935.8</v>
      </c>
      <c r="I18" s="76">
        <v>803168.3</v>
      </c>
      <c r="J18" s="76">
        <v>1573421</v>
      </c>
      <c r="L18" s="31">
        <f t="shared" si="1"/>
        <v>56</v>
      </c>
      <c r="M18" s="31">
        <f t="shared" si="1"/>
        <v>444.39999999999418</v>
      </c>
      <c r="N18" s="31">
        <f t="shared" si="1"/>
        <v>324.80000000000291</v>
      </c>
      <c r="O18" s="31">
        <f t="shared" si="1"/>
        <v>368.39999999996508</v>
      </c>
      <c r="P18" s="31">
        <f t="shared" si="1"/>
        <v>221.20000000001164</v>
      </c>
      <c r="Q18" s="31">
        <f t="shared" si="1"/>
        <v>71.400000000023283</v>
      </c>
      <c r="R18" s="31">
        <f t="shared" si="1"/>
        <v>543.10000000003492</v>
      </c>
      <c r="S18" s="31">
        <f t="shared" si="1"/>
        <v>1181.1999999999534</v>
      </c>
      <c r="T18" s="31">
        <f t="shared" si="1"/>
        <v>1231</v>
      </c>
      <c r="U18" s="32">
        <f t="shared" si="2"/>
        <v>127.40000000002328</v>
      </c>
      <c r="V18" s="32">
        <f t="shared" si="2"/>
        <v>987.5000000000291</v>
      </c>
      <c r="W18" s="32">
        <f t="shared" si="2"/>
        <v>1505.9999999999563</v>
      </c>
      <c r="X18" s="32">
        <f t="shared" si="3"/>
        <v>1820.5999999999767</v>
      </c>
    </row>
    <row r="19" spans="1:24" ht="19.95" customHeight="1">
      <c r="A19" s="75">
        <v>46305</v>
      </c>
      <c r="B19" s="76">
        <v>431519.6</v>
      </c>
      <c r="C19" s="76">
        <v>246284.1</v>
      </c>
      <c r="D19" s="76">
        <v>74280.7</v>
      </c>
      <c r="E19" s="76">
        <v>402432.8</v>
      </c>
      <c r="F19" s="76">
        <v>268618.3</v>
      </c>
      <c r="G19" s="76">
        <v>559840.4</v>
      </c>
      <c r="H19" s="76">
        <v>344478.9</v>
      </c>
      <c r="I19" s="76">
        <v>804349.5</v>
      </c>
      <c r="J19" s="76">
        <v>1574652</v>
      </c>
      <c r="L19" s="31">
        <f t="shared" si="1"/>
        <v>391.10000000003492</v>
      </c>
      <c r="M19" s="31">
        <f t="shared" si="1"/>
        <v>469.69999999998254</v>
      </c>
      <c r="N19" s="31">
        <f t="shared" si="1"/>
        <v>384.19999999999709</v>
      </c>
      <c r="O19" s="31">
        <f t="shared" si="1"/>
        <v>352.79999999998836</v>
      </c>
      <c r="P19" s="31">
        <f t="shared" si="1"/>
        <v>183.20000000001164</v>
      </c>
      <c r="Q19" s="31">
        <f t="shared" si="1"/>
        <v>334.59999999997672</v>
      </c>
      <c r="R19" s="31">
        <f t="shared" si="1"/>
        <v>590</v>
      </c>
      <c r="S19" s="31">
        <f t="shared" si="1"/>
        <v>1159.3000000000466</v>
      </c>
      <c r="T19" s="31">
        <f t="shared" si="1"/>
        <v>1188</v>
      </c>
      <c r="U19" s="32">
        <f t="shared" si="2"/>
        <v>725.70000000001164</v>
      </c>
      <c r="V19" s="32">
        <f t="shared" si="2"/>
        <v>1059.6999999999825</v>
      </c>
      <c r="W19" s="32">
        <f t="shared" si="2"/>
        <v>1543.5000000000437</v>
      </c>
      <c r="X19" s="32">
        <f t="shared" si="3"/>
        <v>1724</v>
      </c>
    </row>
    <row r="20" spans="1:24" ht="19.95" customHeight="1">
      <c r="A20" s="75">
        <v>46306</v>
      </c>
      <c r="B20" s="76">
        <v>431910.7</v>
      </c>
      <c r="C20" s="76">
        <v>246753.8</v>
      </c>
      <c r="D20" s="76">
        <v>74664.899999999994</v>
      </c>
      <c r="E20" s="76">
        <v>402785.6</v>
      </c>
      <c r="F20" s="76">
        <v>268801.5</v>
      </c>
      <c r="G20" s="76">
        <v>560175</v>
      </c>
      <c r="H20" s="76">
        <v>345068.9</v>
      </c>
      <c r="I20" s="76">
        <v>805508.8</v>
      </c>
      <c r="J20" s="76">
        <v>1575840</v>
      </c>
      <c r="L20" s="31">
        <f t="shared" si="1"/>
        <v>398.39999999996508</v>
      </c>
      <c r="M20" s="31">
        <f t="shared" si="1"/>
        <v>471</v>
      </c>
      <c r="N20" s="31">
        <f t="shared" si="1"/>
        <v>242.10000000000582</v>
      </c>
      <c r="O20" s="31">
        <f t="shared" si="1"/>
        <v>366.5</v>
      </c>
      <c r="P20" s="31">
        <f t="shared" si="1"/>
        <v>198.09999999997672</v>
      </c>
      <c r="Q20" s="31">
        <f t="shared" si="1"/>
        <v>272.59999999997672</v>
      </c>
      <c r="R20" s="31">
        <f t="shared" si="1"/>
        <v>590.39999999996508</v>
      </c>
      <c r="S20" s="31">
        <f t="shared" si="1"/>
        <v>506.29999999993015</v>
      </c>
      <c r="T20" s="31">
        <f t="shared" si="1"/>
        <v>1113</v>
      </c>
      <c r="U20" s="32">
        <f t="shared" si="2"/>
        <v>670.99999999994179</v>
      </c>
      <c r="V20" s="32">
        <f t="shared" si="2"/>
        <v>1061.3999999999651</v>
      </c>
      <c r="W20" s="32">
        <f t="shared" si="2"/>
        <v>748.39999999993597</v>
      </c>
      <c r="X20" s="32">
        <f t="shared" si="3"/>
        <v>1677.5999999999767</v>
      </c>
    </row>
    <row r="21" spans="1:24" ht="19.95" customHeight="1">
      <c r="A21" s="75">
        <v>46307</v>
      </c>
      <c r="B21" s="76">
        <v>432309.1</v>
      </c>
      <c r="C21" s="76">
        <v>247224.8</v>
      </c>
      <c r="D21" s="76">
        <v>74907</v>
      </c>
      <c r="E21" s="76">
        <v>403152.1</v>
      </c>
      <c r="F21" s="76">
        <v>268999.59999999998</v>
      </c>
      <c r="G21" s="76">
        <v>560447.6</v>
      </c>
      <c r="H21" s="76">
        <v>345659.3</v>
      </c>
      <c r="I21" s="76">
        <v>806015.1</v>
      </c>
      <c r="J21" s="76">
        <v>1576953</v>
      </c>
      <c r="L21" s="31">
        <f t="shared" si="1"/>
        <v>114</v>
      </c>
      <c r="M21" s="31">
        <f t="shared" si="1"/>
        <v>476.40000000002328</v>
      </c>
      <c r="N21" s="31">
        <f t="shared" si="1"/>
        <v>234</v>
      </c>
      <c r="O21" s="31">
        <f t="shared" si="1"/>
        <v>345.30000000004657</v>
      </c>
      <c r="P21" s="31">
        <f t="shared" si="1"/>
        <v>165.60000000003492</v>
      </c>
      <c r="Q21" s="31">
        <f t="shared" si="1"/>
        <v>111.70000000006985</v>
      </c>
      <c r="R21" s="31">
        <f t="shared" si="1"/>
        <v>593.79999999998836</v>
      </c>
      <c r="S21" s="31">
        <f t="shared" si="1"/>
        <v>881.20000000006985</v>
      </c>
      <c r="T21" s="31">
        <f t="shared" si="1"/>
        <v>1017</v>
      </c>
      <c r="U21" s="32">
        <f t="shared" si="2"/>
        <v>225.70000000006985</v>
      </c>
      <c r="V21" s="32">
        <f t="shared" si="2"/>
        <v>1070.2000000000116</v>
      </c>
      <c r="W21" s="32">
        <f t="shared" si="2"/>
        <v>1115.2000000000698</v>
      </c>
      <c r="X21" s="32">
        <f t="shared" si="3"/>
        <v>1527.9000000000815</v>
      </c>
    </row>
    <row r="22" spans="1:24" ht="19.95" customHeight="1">
      <c r="A22" s="75">
        <v>46308</v>
      </c>
      <c r="B22" s="76">
        <v>432423.1</v>
      </c>
      <c r="C22" s="76">
        <v>247701.2</v>
      </c>
      <c r="D22" s="76">
        <v>75141</v>
      </c>
      <c r="E22" s="76">
        <v>403497.4</v>
      </c>
      <c r="F22" s="76">
        <v>269165.2</v>
      </c>
      <c r="G22" s="76">
        <v>560559.30000000005</v>
      </c>
      <c r="H22" s="76">
        <v>346253.1</v>
      </c>
      <c r="I22" s="76">
        <v>806896.3</v>
      </c>
      <c r="J22" s="76">
        <v>1577970</v>
      </c>
      <c r="L22" s="31">
        <f t="shared" si="1"/>
        <v>256.90000000002328</v>
      </c>
      <c r="M22" s="31">
        <f t="shared" si="1"/>
        <v>435.59999999997672</v>
      </c>
      <c r="N22" s="31">
        <f t="shared" si="1"/>
        <v>363.89999999999418</v>
      </c>
      <c r="O22" s="31">
        <f t="shared" si="1"/>
        <v>354.79999999998836</v>
      </c>
      <c r="P22" s="31">
        <f t="shared" si="1"/>
        <v>194.29999999998836</v>
      </c>
      <c r="Q22" s="31">
        <f t="shared" si="1"/>
        <v>212.19999999995343</v>
      </c>
      <c r="R22" s="31">
        <f t="shared" si="1"/>
        <v>574.40000000002328</v>
      </c>
      <c r="S22" s="31">
        <f t="shared" si="1"/>
        <v>1138.3999999999069</v>
      </c>
      <c r="T22" s="31">
        <f t="shared" si="1"/>
        <v>1153</v>
      </c>
      <c r="U22" s="32">
        <f t="shared" si="2"/>
        <v>469.09999999997672</v>
      </c>
      <c r="V22" s="32">
        <f t="shared" si="2"/>
        <v>1010</v>
      </c>
      <c r="W22" s="32">
        <f t="shared" si="2"/>
        <v>1502.299999999901</v>
      </c>
      <c r="X22" s="32">
        <f t="shared" si="3"/>
        <v>1702.0999999999767</v>
      </c>
    </row>
    <row r="23" spans="1:24" ht="19.95" customHeight="1">
      <c r="A23" s="75">
        <v>46309</v>
      </c>
      <c r="B23" s="76">
        <v>432680</v>
      </c>
      <c r="C23" s="76">
        <v>248136.8</v>
      </c>
      <c r="D23" s="76">
        <v>75504.899999999994</v>
      </c>
      <c r="E23" s="76">
        <v>403852.2</v>
      </c>
      <c r="F23" s="76">
        <v>269359.5</v>
      </c>
      <c r="G23" s="76">
        <v>560771.5</v>
      </c>
      <c r="H23" s="76">
        <v>346827.5</v>
      </c>
      <c r="I23" s="76">
        <v>808034.7</v>
      </c>
      <c r="J23" s="76">
        <v>1579123</v>
      </c>
      <c r="L23" s="31">
        <f t="shared" si="1"/>
        <v>375.79999999998836</v>
      </c>
      <c r="M23" s="31">
        <f t="shared" si="1"/>
        <v>472.40000000002328</v>
      </c>
      <c r="N23" s="31">
        <f t="shared" si="1"/>
        <v>362.60000000000582</v>
      </c>
      <c r="O23" s="31">
        <f t="shared" si="1"/>
        <v>360.5</v>
      </c>
      <c r="P23" s="31">
        <f t="shared" si="1"/>
        <v>206.90000000002328</v>
      </c>
      <c r="Q23" s="31">
        <f t="shared" si="1"/>
        <v>275.30000000004657</v>
      </c>
      <c r="R23" s="31">
        <f t="shared" si="1"/>
        <v>571</v>
      </c>
      <c r="S23" s="31">
        <f t="shared" si="1"/>
        <v>1213.5</v>
      </c>
      <c r="T23" s="31">
        <f t="shared" si="1"/>
        <v>1231</v>
      </c>
      <c r="U23" s="32">
        <f t="shared" si="2"/>
        <v>651.10000000003492</v>
      </c>
      <c r="V23" s="32">
        <f t="shared" si="2"/>
        <v>1043.4000000000233</v>
      </c>
      <c r="W23" s="32">
        <f t="shared" si="2"/>
        <v>1576.1000000000058</v>
      </c>
      <c r="X23" s="32">
        <f t="shared" si="3"/>
        <v>1798.4000000000233</v>
      </c>
    </row>
    <row r="24" spans="1:24" ht="19.95" customHeight="1">
      <c r="A24" s="75">
        <v>46310</v>
      </c>
      <c r="B24" s="76">
        <v>433055.8</v>
      </c>
      <c r="C24" s="76">
        <v>248609.2</v>
      </c>
      <c r="D24" s="76">
        <v>75867.5</v>
      </c>
      <c r="E24" s="76">
        <v>404212.7</v>
      </c>
      <c r="F24" s="76">
        <v>269566.40000000002</v>
      </c>
      <c r="G24" s="76">
        <v>561046.80000000005</v>
      </c>
      <c r="H24" s="76">
        <v>347398.5</v>
      </c>
      <c r="I24" s="76">
        <v>809248.2</v>
      </c>
      <c r="J24" s="76">
        <v>1580354</v>
      </c>
      <c r="L24" s="31">
        <f t="shared" si="1"/>
        <v>432.20000000001164</v>
      </c>
      <c r="M24" s="31">
        <f t="shared" si="1"/>
        <v>480.69999999998254</v>
      </c>
      <c r="N24" s="31">
        <f t="shared" si="1"/>
        <v>366.60000000000582</v>
      </c>
      <c r="O24" s="31">
        <f t="shared" si="1"/>
        <v>363.59999999997672</v>
      </c>
      <c r="P24" s="31">
        <f t="shared" si="1"/>
        <v>207.09999999997672</v>
      </c>
      <c r="Q24" s="31">
        <f t="shared" si="1"/>
        <v>253.19999999995343</v>
      </c>
      <c r="R24" s="31">
        <f t="shared" si="1"/>
        <v>539.90000000002328</v>
      </c>
      <c r="S24" s="31">
        <f t="shared" si="1"/>
        <v>1131.9000000000233</v>
      </c>
      <c r="T24" s="31">
        <f t="shared" si="1"/>
        <v>1161</v>
      </c>
      <c r="U24" s="32">
        <f t="shared" si="2"/>
        <v>685.39999999996508</v>
      </c>
      <c r="V24" s="32">
        <f t="shared" si="2"/>
        <v>1020.6000000000058</v>
      </c>
      <c r="W24" s="32">
        <f t="shared" si="2"/>
        <v>1498.5000000000291</v>
      </c>
      <c r="X24" s="32">
        <f t="shared" si="3"/>
        <v>1731.6999999999534</v>
      </c>
    </row>
    <row r="25" spans="1:24" ht="19.95" customHeight="1">
      <c r="A25" s="75">
        <v>46311</v>
      </c>
      <c r="B25" s="76">
        <v>433488</v>
      </c>
      <c r="C25" s="76">
        <v>249089.9</v>
      </c>
      <c r="D25" s="76">
        <v>76234.100000000006</v>
      </c>
      <c r="E25" s="76">
        <v>404576.3</v>
      </c>
      <c r="F25" s="76">
        <v>269773.5</v>
      </c>
      <c r="G25" s="76">
        <v>561300</v>
      </c>
      <c r="H25" s="76">
        <v>347938.4</v>
      </c>
      <c r="I25" s="76">
        <v>810380.1</v>
      </c>
      <c r="J25" s="76">
        <v>1581515</v>
      </c>
      <c r="L25" s="31">
        <f t="shared" si="1"/>
        <v>439</v>
      </c>
      <c r="M25" s="31">
        <f t="shared" si="1"/>
        <v>531</v>
      </c>
      <c r="N25" s="31">
        <f t="shared" si="1"/>
        <v>383</v>
      </c>
      <c r="O25" s="31">
        <f t="shared" si="1"/>
        <v>357.29999999998836</v>
      </c>
      <c r="P25" s="31">
        <f t="shared" si="1"/>
        <v>201.79999999998836</v>
      </c>
      <c r="Q25" s="31">
        <f t="shared" si="1"/>
        <v>508.30000000004657</v>
      </c>
      <c r="R25" s="31">
        <f t="shared" si="1"/>
        <v>647.29999999998836</v>
      </c>
      <c r="S25" s="31">
        <f t="shared" si="1"/>
        <v>971.09999999997672</v>
      </c>
      <c r="T25" s="31">
        <f t="shared" si="1"/>
        <v>1041</v>
      </c>
      <c r="U25" s="32">
        <f t="shared" si="2"/>
        <v>947.30000000004657</v>
      </c>
      <c r="V25" s="32">
        <f t="shared" si="2"/>
        <v>1178.2999999999884</v>
      </c>
      <c r="W25" s="32">
        <f t="shared" si="2"/>
        <v>1354.0999999999767</v>
      </c>
      <c r="X25" s="32">
        <f t="shared" si="3"/>
        <v>1600.0999999999767</v>
      </c>
    </row>
    <row r="26" spans="1:24" ht="19.95" customHeight="1">
      <c r="A26" s="75">
        <v>46312</v>
      </c>
      <c r="B26" s="76">
        <v>433927</v>
      </c>
      <c r="C26" s="76">
        <v>249620.9</v>
      </c>
      <c r="D26" s="76">
        <v>76617.100000000006</v>
      </c>
      <c r="E26" s="76">
        <v>404933.6</v>
      </c>
      <c r="F26" s="76">
        <v>269975.3</v>
      </c>
      <c r="G26" s="76">
        <v>561808.30000000005</v>
      </c>
      <c r="H26" s="76">
        <v>348585.7</v>
      </c>
      <c r="I26" s="76">
        <v>811351.2</v>
      </c>
      <c r="J26" s="76">
        <v>1582556</v>
      </c>
      <c r="L26" s="31">
        <f t="shared" si="1"/>
        <v>464</v>
      </c>
      <c r="M26" s="31">
        <f t="shared" si="1"/>
        <v>483.80000000001746</v>
      </c>
      <c r="N26" s="31">
        <f t="shared" si="1"/>
        <v>376.5</v>
      </c>
      <c r="O26" s="31">
        <f t="shared" si="1"/>
        <v>358.10000000003492</v>
      </c>
      <c r="P26" s="31">
        <f t="shared" si="1"/>
        <v>202.40000000002328</v>
      </c>
      <c r="Q26" s="31">
        <f t="shared" si="1"/>
        <v>879.5</v>
      </c>
      <c r="R26" s="31">
        <f t="shared" si="1"/>
        <v>534.20000000001164</v>
      </c>
      <c r="S26" s="31">
        <f t="shared" si="1"/>
        <v>971.90000000002328</v>
      </c>
      <c r="T26" s="31">
        <f t="shared" si="1"/>
        <v>1047</v>
      </c>
      <c r="U26" s="32">
        <f t="shared" si="2"/>
        <v>1343.5</v>
      </c>
      <c r="V26" s="32">
        <f t="shared" si="2"/>
        <v>1018.0000000000291</v>
      </c>
      <c r="W26" s="32">
        <f t="shared" si="2"/>
        <v>1348.4000000000233</v>
      </c>
      <c r="X26" s="32">
        <f t="shared" si="3"/>
        <v>1607.5000000000582</v>
      </c>
    </row>
    <row r="27" spans="1:24" ht="16.8" customHeight="1">
      <c r="A27" s="75">
        <v>46313</v>
      </c>
      <c r="B27" s="76">
        <v>434391</v>
      </c>
      <c r="C27" s="76">
        <v>250104.7</v>
      </c>
      <c r="D27" s="76">
        <v>76993.600000000006</v>
      </c>
      <c r="E27" s="76">
        <v>405291.7</v>
      </c>
      <c r="F27" s="76">
        <v>270177.7</v>
      </c>
      <c r="G27" s="76">
        <v>562687.80000000005</v>
      </c>
      <c r="H27" s="76">
        <v>349119.9</v>
      </c>
      <c r="I27" s="76">
        <v>812323.1</v>
      </c>
      <c r="J27" s="76">
        <v>1583603</v>
      </c>
      <c r="L27" s="31">
        <f t="shared" si="1"/>
        <v>484.09999999997672</v>
      </c>
      <c r="M27" s="31">
        <f t="shared" si="1"/>
        <v>99.199999999982538</v>
      </c>
      <c r="N27" s="31">
        <f t="shared" si="1"/>
        <v>368</v>
      </c>
      <c r="O27" s="31">
        <f t="shared" si="1"/>
        <v>354.70000000001164</v>
      </c>
      <c r="P27" s="31">
        <f t="shared" si="1"/>
        <v>203.20000000001164</v>
      </c>
      <c r="Q27" s="31">
        <f t="shared" si="1"/>
        <v>817.89999999990687</v>
      </c>
      <c r="R27" s="31">
        <f t="shared" si="1"/>
        <v>6.1999999999534339</v>
      </c>
      <c r="S27" s="31">
        <f t="shared" si="1"/>
        <v>618.20000000006985</v>
      </c>
      <c r="T27" s="31">
        <f t="shared" si="1"/>
        <v>1088</v>
      </c>
      <c r="U27" s="32">
        <f t="shared" si="2"/>
        <v>1301.9999999998836</v>
      </c>
      <c r="V27" s="32">
        <f t="shared" si="2"/>
        <v>105.39999999993597</v>
      </c>
      <c r="W27" s="32">
        <f t="shared" si="2"/>
        <v>986.20000000006985</v>
      </c>
      <c r="X27" s="32">
        <f t="shared" si="3"/>
        <v>1645.9000000000233</v>
      </c>
    </row>
    <row r="28" spans="1:24" ht="19.95" customHeight="1">
      <c r="A28" s="75">
        <v>46314</v>
      </c>
      <c r="B28" s="76">
        <v>434875.1</v>
      </c>
      <c r="C28" s="76">
        <v>250203.9</v>
      </c>
      <c r="D28" s="76">
        <v>77361.600000000006</v>
      </c>
      <c r="E28" s="76">
        <v>405646.4</v>
      </c>
      <c r="F28" s="76">
        <v>270380.90000000002</v>
      </c>
      <c r="G28" s="76">
        <v>563505.69999999995</v>
      </c>
      <c r="H28" s="76">
        <v>349126.1</v>
      </c>
      <c r="I28" s="76">
        <v>812941.3</v>
      </c>
      <c r="J28" s="76">
        <v>1584691</v>
      </c>
      <c r="L28" s="31">
        <f t="shared" si="1"/>
        <v>492.90000000002328</v>
      </c>
      <c r="M28" s="31">
        <f t="shared" si="1"/>
        <v>76.600000000005821</v>
      </c>
      <c r="N28" s="31">
        <f t="shared" si="1"/>
        <v>355.69999999999709</v>
      </c>
      <c r="O28" s="31">
        <f t="shared" si="1"/>
        <v>360.89999999996508</v>
      </c>
      <c r="P28" s="31">
        <f t="shared" si="1"/>
        <v>205</v>
      </c>
      <c r="Q28" s="31">
        <f t="shared" si="1"/>
        <v>721.70000000006985</v>
      </c>
      <c r="R28" s="31">
        <f t="shared" si="1"/>
        <v>87.200000000011642</v>
      </c>
      <c r="S28" s="31">
        <f t="shared" si="1"/>
        <v>951.69999999995343</v>
      </c>
      <c r="T28" s="31">
        <f t="shared" si="1"/>
        <v>1020</v>
      </c>
      <c r="U28" s="32">
        <f t="shared" si="2"/>
        <v>1214.6000000000931</v>
      </c>
      <c r="V28" s="32">
        <f t="shared" si="2"/>
        <v>163.80000000001746</v>
      </c>
      <c r="W28" s="32">
        <f t="shared" si="2"/>
        <v>1307.3999999999505</v>
      </c>
      <c r="X28" s="32">
        <f t="shared" si="3"/>
        <v>1585.8999999999651</v>
      </c>
    </row>
    <row r="29" spans="1:24" ht="19.95" customHeight="1">
      <c r="A29" s="75">
        <v>46315</v>
      </c>
      <c r="B29" s="76">
        <v>435368</v>
      </c>
      <c r="C29" s="76">
        <v>250280.5</v>
      </c>
      <c r="D29" s="76">
        <v>77717.3</v>
      </c>
      <c r="E29" s="76">
        <v>406007.3</v>
      </c>
      <c r="F29" s="76">
        <v>270585.90000000002</v>
      </c>
      <c r="G29" s="76">
        <v>564227.4</v>
      </c>
      <c r="H29" s="76">
        <v>349213.3</v>
      </c>
      <c r="I29" s="76">
        <v>813893</v>
      </c>
      <c r="J29" s="76">
        <v>1585711</v>
      </c>
      <c r="L29" s="31">
        <f t="shared" si="1"/>
        <v>94.099999999976717</v>
      </c>
      <c r="M29" s="31">
        <f t="shared" si="1"/>
        <v>458.79999999998836</v>
      </c>
      <c r="N29" s="31">
        <f t="shared" si="1"/>
        <v>379.69999999999709</v>
      </c>
      <c r="O29" s="31">
        <f t="shared" si="1"/>
        <v>365.5</v>
      </c>
      <c r="P29" s="31">
        <f t="shared" si="1"/>
        <v>208.29999999998836</v>
      </c>
      <c r="Q29" s="31">
        <f t="shared" si="1"/>
        <v>125.29999999993015</v>
      </c>
      <c r="R29" s="31">
        <f t="shared" si="1"/>
        <v>594.5</v>
      </c>
      <c r="S29" s="31">
        <f t="shared" si="1"/>
        <v>1070.1999999999534</v>
      </c>
      <c r="T29" s="31">
        <f t="shared" si="1"/>
        <v>1080</v>
      </c>
      <c r="U29" s="32">
        <f t="shared" si="2"/>
        <v>219.39999999990687</v>
      </c>
      <c r="V29" s="32">
        <f t="shared" si="2"/>
        <v>1053.2999999999884</v>
      </c>
      <c r="W29" s="32">
        <f t="shared" si="2"/>
        <v>1449.8999999999505</v>
      </c>
      <c r="X29" s="32">
        <f t="shared" si="3"/>
        <v>1653.7999999999884</v>
      </c>
    </row>
    <row r="30" spans="1:24" ht="19.95" customHeight="1">
      <c r="A30" s="75">
        <v>46316</v>
      </c>
      <c r="B30" s="76">
        <v>435462.1</v>
      </c>
      <c r="C30" s="76">
        <v>250739.3</v>
      </c>
      <c r="D30" s="76">
        <v>78097</v>
      </c>
      <c r="E30" s="76">
        <v>406372.8</v>
      </c>
      <c r="F30" s="76">
        <v>270794.2</v>
      </c>
      <c r="G30" s="76">
        <v>564352.69999999995</v>
      </c>
      <c r="H30" s="76">
        <v>349807.8</v>
      </c>
      <c r="I30" s="76">
        <v>814963.19999999995</v>
      </c>
      <c r="J30" s="76">
        <v>1586791</v>
      </c>
      <c r="L30" s="31">
        <f t="shared" si="1"/>
        <v>0</v>
      </c>
      <c r="M30" s="31">
        <f t="shared" si="1"/>
        <v>456.30000000001746</v>
      </c>
      <c r="N30" s="31">
        <f t="shared" si="1"/>
        <v>380.10000000000582</v>
      </c>
      <c r="O30" s="31">
        <f t="shared" si="1"/>
        <v>360</v>
      </c>
      <c r="P30" s="31">
        <f t="shared" si="1"/>
        <v>205</v>
      </c>
      <c r="Q30" s="31">
        <f t="shared" si="1"/>
        <v>0</v>
      </c>
      <c r="R30" s="31">
        <f t="shared" si="1"/>
        <v>568</v>
      </c>
      <c r="S30" s="31">
        <f t="shared" si="1"/>
        <v>1068.3000000000466</v>
      </c>
      <c r="T30" s="31">
        <f t="shared" si="1"/>
        <v>1033</v>
      </c>
      <c r="U30" s="32">
        <f t="shared" si="2"/>
        <v>0</v>
      </c>
      <c r="V30" s="32">
        <f t="shared" si="2"/>
        <v>1024.3000000000175</v>
      </c>
      <c r="W30" s="32">
        <f t="shared" si="2"/>
        <v>1448.4000000000524</v>
      </c>
      <c r="X30" s="32">
        <f t="shared" si="3"/>
        <v>1598</v>
      </c>
    </row>
    <row r="31" spans="1:24" ht="19.95" customHeight="1">
      <c r="A31" s="75">
        <v>46317</v>
      </c>
      <c r="B31" s="76">
        <v>435462.1</v>
      </c>
      <c r="C31" s="76">
        <v>251195.6</v>
      </c>
      <c r="D31" s="76">
        <v>78477.100000000006</v>
      </c>
      <c r="E31" s="76">
        <v>406732.79999999999</v>
      </c>
      <c r="F31" s="76">
        <v>270999.2</v>
      </c>
      <c r="G31" s="76">
        <v>564352.69999999995</v>
      </c>
      <c r="H31" s="76">
        <v>350375.8</v>
      </c>
      <c r="I31" s="76">
        <v>816031.5</v>
      </c>
      <c r="J31" s="76">
        <v>1587824</v>
      </c>
      <c r="L31" s="31">
        <f t="shared" si="1"/>
        <v>7.9000000000232831</v>
      </c>
      <c r="M31" s="31">
        <f t="shared" si="1"/>
        <v>475.79999999998836</v>
      </c>
      <c r="N31" s="31">
        <f t="shared" si="1"/>
        <v>376</v>
      </c>
      <c r="O31" s="31">
        <f t="shared" si="1"/>
        <v>365.40000000002328</v>
      </c>
      <c r="P31" s="31">
        <f t="shared" si="1"/>
        <v>208.70000000001164</v>
      </c>
      <c r="Q31" s="31">
        <f t="shared" si="1"/>
        <v>4.7000000000698492</v>
      </c>
      <c r="R31" s="31">
        <f t="shared" si="1"/>
        <v>577.5</v>
      </c>
      <c r="S31" s="31">
        <f t="shared" si="1"/>
        <v>1056.1999999999534</v>
      </c>
      <c r="T31" s="31">
        <f t="shared" si="1"/>
        <v>1147</v>
      </c>
      <c r="U31" s="32">
        <f t="shared" si="2"/>
        <v>12.600000000093132</v>
      </c>
      <c r="V31" s="32">
        <f t="shared" si="2"/>
        <v>1053.2999999999884</v>
      </c>
      <c r="W31" s="32">
        <f t="shared" si="2"/>
        <v>1432.1999999999534</v>
      </c>
      <c r="X31" s="32">
        <f t="shared" si="3"/>
        <v>1721.1000000000349</v>
      </c>
    </row>
    <row r="32" spans="1:24" ht="19.95" customHeight="1">
      <c r="A32" s="75">
        <v>46318</v>
      </c>
      <c r="B32" s="76">
        <v>435470</v>
      </c>
      <c r="C32" s="76">
        <v>251671.4</v>
      </c>
      <c r="D32" s="76">
        <v>78853.100000000006</v>
      </c>
      <c r="E32" s="76">
        <v>407098.2</v>
      </c>
      <c r="F32" s="76">
        <v>271207.90000000002</v>
      </c>
      <c r="G32" s="76">
        <v>564357.4</v>
      </c>
      <c r="H32" s="76">
        <v>350953.3</v>
      </c>
      <c r="I32" s="76">
        <v>817087.7</v>
      </c>
      <c r="J32" s="76">
        <v>1588971</v>
      </c>
      <c r="L32" s="31">
        <f t="shared" si="1"/>
        <v>255.5</v>
      </c>
      <c r="M32" s="31">
        <f t="shared" si="1"/>
        <v>466.70000000001164</v>
      </c>
      <c r="N32" s="31">
        <f t="shared" si="1"/>
        <v>347.09999999999127</v>
      </c>
      <c r="O32" s="31">
        <f t="shared" si="1"/>
        <v>364</v>
      </c>
      <c r="P32" s="31">
        <f t="shared" si="1"/>
        <v>207.79999999998836</v>
      </c>
      <c r="Q32" s="31">
        <f t="shared" si="1"/>
        <v>538.40000000002328</v>
      </c>
      <c r="R32" s="31">
        <f t="shared" si="1"/>
        <v>629.79999999998836</v>
      </c>
      <c r="S32" s="31">
        <f t="shared" si="1"/>
        <v>1048</v>
      </c>
      <c r="T32" s="31">
        <f t="shared" si="1"/>
        <v>1147</v>
      </c>
      <c r="U32" s="32">
        <f t="shared" si="2"/>
        <v>793.90000000002328</v>
      </c>
      <c r="V32" s="32">
        <f t="shared" si="2"/>
        <v>1096.5</v>
      </c>
      <c r="W32" s="32">
        <f t="shared" si="2"/>
        <v>1395.0999999999913</v>
      </c>
      <c r="X32" s="32">
        <f t="shared" si="3"/>
        <v>1718.7999999999884</v>
      </c>
    </row>
    <row r="33" spans="1:24" ht="19.95" customHeight="1">
      <c r="A33" s="75">
        <v>46319</v>
      </c>
      <c r="B33" s="76">
        <v>435725.5</v>
      </c>
      <c r="C33" s="76">
        <v>252138.1</v>
      </c>
      <c r="D33" s="76">
        <v>79200.2</v>
      </c>
      <c r="E33" s="76">
        <v>407462.2</v>
      </c>
      <c r="F33" s="76">
        <v>271415.7</v>
      </c>
      <c r="G33" s="76">
        <v>564895.80000000005</v>
      </c>
      <c r="H33" s="76">
        <v>351583.1</v>
      </c>
      <c r="I33" s="76">
        <v>818135.7</v>
      </c>
      <c r="J33" s="76">
        <v>1590118</v>
      </c>
      <c r="L33" s="31">
        <f t="shared" si="1"/>
        <v>432.5</v>
      </c>
      <c r="M33" s="31">
        <f t="shared" si="1"/>
        <v>377.79999999998836</v>
      </c>
      <c r="N33" s="31">
        <f t="shared" si="1"/>
        <v>373.30000000000291</v>
      </c>
      <c r="O33" s="31">
        <f t="shared" si="1"/>
        <v>364.59999999997672</v>
      </c>
      <c r="P33" s="31">
        <f t="shared" si="1"/>
        <v>208.20000000001164</v>
      </c>
      <c r="Q33" s="31">
        <f t="shared" si="1"/>
        <v>858.79999999993015</v>
      </c>
      <c r="R33" s="31">
        <f t="shared" si="1"/>
        <v>349.90000000002328</v>
      </c>
      <c r="S33" s="31">
        <f t="shared" si="1"/>
        <v>909.10000000009313</v>
      </c>
      <c r="T33" s="31">
        <f t="shared" si="1"/>
        <v>1111</v>
      </c>
      <c r="U33" s="32">
        <f t="shared" si="2"/>
        <v>1291.2999999999302</v>
      </c>
      <c r="V33" s="32">
        <f t="shared" si="2"/>
        <v>727.70000000001164</v>
      </c>
      <c r="W33" s="32">
        <f t="shared" si="2"/>
        <v>1282.400000000096</v>
      </c>
      <c r="X33" s="32">
        <f t="shared" si="3"/>
        <v>1683.7999999999884</v>
      </c>
    </row>
    <row r="34" spans="1:24" ht="19.95" customHeight="1">
      <c r="A34" s="75">
        <v>46320</v>
      </c>
      <c r="B34" s="76">
        <v>436158</v>
      </c>
      <c r="C34" s="76">
        <v>252515.9</v>
      </c>
      <c r="D34" s="76">
        <v>79573.5</v>
      </c>
      <c r="E34" s="76">
        <v>407826.8</v>
      </c>
      <c r="F34" s="76">
        <v>271623.90000000002</v>
      </c>
      <c r="G34" s="76">
        <v>565754.6</v>
      </c>
      <c r="H34" s="76">
        <v>351933</v>
      </c>
      <c r="I34" s="76">
        <v>819044.8</v>
      </c>
      <c r="J34" s="76">
        <v>1591229</v>
      </c>
      <c r="L34" s="31">
        <f t="shared" si="1"/>
        <v>471.20000000001164</v>
      </c>
      <c r="M34" s="31">
        <f t="shared" si="1"/>
        <v>73.5</v>
      </c>
      <c r="N34" s="31">
        <f t="shared" si="1"/>
        <v>234.10000000000582</v>
      </c>
      <c r="O34" s="31">
        <f t="shared" si="1"/>
        <v>349.90000000002328</v>
      </c>
      <c r="P34" s="31">
        <f t="shared" si="1"/>
        <v>202.69999999995343</v>
      </c>
      <c r="Q34" s="31">
        <f t="shared" si="1"/>
        <v>675.5</v>
      </c>
      <c r="R34" s="31">
        <f t="shared" si="1"/>
        <v>93.099999999976717</v>
      </c>
      <c r="S34" s="31">
        <f t="shared" si="1"/>
        <v>480.29999999993015</v>
      </c>
      <c r="T34" s="31">
        <f t="shared" si="1"/>
        <v>994</v>
      </c>
      <c r="U34" s="32">
        <f t="shared" si="2"/>
        <v>1146.7000000000116</v>
      </c>
      <c r="V34" s="32">
        <f t="shared" si="2"/>
        <v>166.59999999997672</v>
      </c>
      <c r="W34" s="32">
        <f t="shared" si="2"/>
        <v>714.39999999993597</v>
      </c>
      <c r="X34" s="32">
        <f t="shared" si="3"/>
        <v>1546.5999999999767</v>
      </c>
    </row>
    <row r="35" spans="1:24" ht="19.95" customHeight="1">
      <c r="A35" s="75">
        <v>46321</v>
      </c>
      <c r="B35" s="76">
        <v>436629.2</v>
      </c>
      <c r="C35" s="76">
        <v>252589.4</v>
      </c>
      <c r="D35" s="76">
        <v>79807.600000000006</v>
      </c>
      <c r="E35" s="76">
        <v>408176.7</v>
      </c>
      <c r="F35" s="76">
        <v>271826.59999999998</v>
      </c>
      <c r="G35" s="76">
        <v>566430.1</v>
      </c>
      <c r="H35" s="76">
        <v>352026.1</v>
      </c>
      <c r="I35" s="76">
        <v>819525.1</v>
      </c>
      <c r="J35" s="76">
        <v>1592223</v>
      </c>
      <c r="L35" s="31">
        <f t="shared" si="1"/>
        <v>491.20000000001164</v>
      </c>
      <c r="M35" s="31">
        <f t="shared" si="1"/>
        <v>39.200000000011642</v>
      </c>
      <c r="N35" s="31">
        <f t="shared" si="1"/>
        <v>232.29999999998836</v>
      </c>
      <c r="O35" s="31">
        <f t="shared" si="1"/>
        <v>366.29999999998836</v>
      </c>
      <c r="P35" s="31">
        <f t="shared" si="1"/>
        <v>208.90000000002328</v>
      </c>
      <c r="Q35" s="31">
        <f t="shared" si="1"/>
        <v>713.30000000004657</v>
      </c>
      <c r="R35" s="31">
        <f t="shared" si="1"/>
        <v>5.1000000000349246</v>
      </c>
      <c r="S35" s="31">
        <f t="shared" si="1"/>
        <v>822.40000000002328</v>
      </c>
      <c r="T35" s="31">
        <f t="shared" si="1"/>
        <v>1006</v>
      </c>
      <c r="U35" s="32">
        <f t="shared" si="2"/>
        <v>1204.5000000000582</v>
      </c>
      <c r="V35" s="32">
        <f t="shared" si="2"/>
        <v>44.300000000046566</v>
      </c>
      <c r="W35" s="32">
        <f t="shared" si="2"/>
        <v>1054.7000000000116</v>
      </c>
      <c r="X35" s="32">
        <f t="shared" si="3"/>
        <v>1581.2000000000116</v>
      </c>
    </row>
    <row r="36" spans="1:24" ht="19.95" customHeight="1">
      <c r="A36" s="75">
        <v>46322</v>
      </c>
      <c r="B36" s="76">
        <v>437120.4</v>
      </c>
      <c r="C36" s="76">
        <v>252628.6</v>
      </c>
      <c r="D36" s="76">
        <v>80039.899999999994</v>
      </c>
      <c r="E36" s="76">
        <v>408543</v>
      </c>
      <c r="F36" s="76">
        <v>272035.5</v>
      </c>
      <c r="G36" s="76">
        <v>567143.4</v>
      </c>
      <c r="H36" s="76">
        <v>352031.2</v>
      </c>
      <c r="I36" s="76">
        <v>820347.5</v>
      </c>
      <c r="J36" s="76">
        <v>1593229</v>
      </c>
      <c r="L36" s="31">
        <f t="shared" si="1"/>
        <v>-437120.4</v>
      </c>
      <c r="M36" s="31">
        <f t="shared" si="1"/>
        <v>-252628.6</v>
      </c>
      <c r="N36" s="31">
        <f t="shared" si="1"/>
        <v>-80039.899999999994</v>
      </c>
      <c r="O36" s="31">
        <f t="shared" si="1"/>
        <v>-408543</v>
      </c>
      <c r="P36" s="31">
        <f t="shared" si="1"/>
        <v>-272035.5</v>
      </c>
      <c r="Q36" s="31">
        <f t="shared" si="1"/>
        <v>-567143.4</v>
      </c>
      <c r="R36" s="31">
        <f t="shared" si="1"/>
        <v>-352031.2</v>
      </c>
      <c r="S36" s="31">
        <f t="shared" si="1"/>
        <v>-820347.5</v>
      </c>
      <c r="T36" s="31">
        <f t="shared" si="1"/>
        <v>-1593229</v>
      </c>
      <c r="U36" s="32">
        <f t="shared" si="2"/>
        <v>-1004263.8</v>
      </c>
      <c r="V36" s="32">
        <f t="shared" si="2"/>
        <v>-604659.80000000005</v>
      </c>
      <c r="W36" s="32">
        <f t="shared" si="2"/>
        <v>-900387.4</v>
      </c>
      <c r="X36" s="32">
        <f t="shared" si="3"/>
        <v>-2273807.5</v>
      </c>
    </row>
    <row r="37" spans="1:24" ht="19.95" customHeight="1">
      <c r="A37" s="58"/>
      <c r="B37" s="15"/>
      <c r="C37" s="16"/>
      <c r="D37" s="14"/>
      <c r="E37" s="16"/>
      <c r="F37" s="16"/>
      <c r="G37" s="16"/>
      <c r="H37" s="16"/>
      <c r="I37" s="14"/>
      <c r="J37" s="19"/>
      <c r="L37" s="31">
        <f t="shared" si="1"/>
        <v>0</v>
      </c>
      <c r="M37" s="31">
        <f t="shared" si="1"/>
        <v>0</v>
      </c>
      <c r="N37" s="31">
        <f t="shared" si="1"/>
        <v>0</v>
      </c>
      <c r="O37" s="31">
        <f t="shared" ref="O37:T79" si="4">IFERROR(E38-E37,0)</f>
        <v>0</v>
      </c>
      <c r="P37" s="31">
        <f t="shared" si="4"/>
        <v>0</v>
      </c>
      <c r="Q37" s="31">
        <f t="shared" si="4"/>
        <v>0</v>
      </c>
      <c r="R37" s="31">
        <f t="shared" si="4"/>
        <v>0</v>
      </c>
      <c r="S37" s="31">
        <f t="shared" si="4"/>
        <v>0</v>
      </c>
      <c r="T37" s="31">
        <f t="shared" si="4"/>
        <v>0</v>
      </c>
      <c r="U37" s="32">
        <f t="shared" si="2"/>
        <v>0</v>
      </c>
      <c r="V37" s="32">
        <f t="shared" si="2"/>
        <v>0</v>
      </c>
      <c r="W37" s="32">
        <f t="shared" si="2"/>
        <v>0</v>
      </c>
      <c r="X37" s="32">
        <f t="shared" si="3"/>
        <v>0</v>
      </c>
    </row>
    <row r="38" spans="1:24" ht="19.95" customHeight="1">
      <c r="A38" s="58"/>
      <c r="B38" s="15"/>
      <c r="C38" s="16"/>
      <c r="D38" s="14"/>
      <c r="E38" s="16"/>
      <c r="F38" s="16"/>
      <c r="G38" s="16"/>
      <c r="H38" s="16"/>
      <c r="I38" s="14"/>
      <c r="J38" s="19"/>
      <c r="L38" s="31">
        <f t="shared" ref="L38:Q101" si="5">IFERROR(B39-B38,0)</f>
        <v>0</v>
      </c>
      <c r="M38" s="31">
        <f t="shared" si="5"/>
        <v>0</v>
      </c>
      <c r="N38" s="31">
        <f t="shared" si="5"/>
        <v>0</v>
      </c>
      <c r="O38" s="31">
        <f t="shared" si="4"/>
        <v>0</v>
      </c>
      <c r="P38" s="31">
        <f t="shared" si="4"/>
        <v>0</v>
      </c>
      <c r="Q38" s="31">
        <f t="shared" si="4"/>
        <v>0</v>
      </c>
      <c r="R38" s="31">
        <f t="shared" si="4"/>
        <v>0</v>
      </c>
      <c r="S38" s="31">
        <f t="shared" si="4"/>
        <v>0</v>
      </c>
      <c r="T38" s="31">
        <f t="shared" si="4"/>
        <v>0</v>
      </c>
      <c r="U38" s="32">
        <f t="shared" si="2"/>
        <v>0</v>
      </c>
      <c r="V38" s="32">
        <f t="shared" si="2"/>
        <v>0</v>
      </c>
      <c r="W38" s="32">
        <f t="shared" si="2"/>
        <v>0</v>
      </c>
      <c r="X38" s="32">
        <f t="shared" ref="X38:X69" si="6">O38+P38+T38</f>
        <v>0</v>
      </c>
    </row>
    <row r="39" spans="1:24" ht="19.95" customHeight="1">
      <c r="A39" s="58"/>
      <c r="B39" s="15"/>
      <c r="C39" s="16"/>
      <c r="D39" s="16"/>
      <c r="E39" s="16"/>
      <c r="F39" s="16"/>
      <c r="G39" s="16"/>
      <c r="H39" s="16"/>
      <c r="I39" s="16"/>
      <c r="J39" s="19"/>
      <c r="L39" s="31">
        <f t="shared" si="5"/>
        <v>0</v>
      </c>
      <c r="M39" s="31">
        <f t="shared" si="5"/>
        <v>0</v>
      </c>
      <c r="N39" s="31">
        <f t="shared" si="5"/>
        <v>0</v>
      </c>
      <c r="O39" s="31">
        <f t="shared" si="4"/>
        <v>0</v>
      </c>
      <c r="P39" s="31">
        <f t="shared" si="4"/>
        <v>0</v>
      </c>
      <c r="Q39" s="31">
        <f t="shared" si="4"/>
        <v>0</v>
      </c>
      <c r="R39" s="31">
        <f t="shared" si="4"/>
        <v>0</v>
      </c>
      <c r="S39" s="31">
        <f t="shared" si="4"/>
        <v>0</v>
      </c>
      <c r="T39" s="31">
        <f t="shared" si="4"/>
        <v>0</v>
      </c>
      <c r="U39" s="32">
        <f t="shared" si="2"/>
        <v>0</v>
      </c>
      <c r="V39" s="32">
        <f t="shared" si="2"/>
        <v>0</v>
      </c>
      <c r="W39" s="32">
        <f t="shared" si="2"/>
        <v>0</v>
      </c>
      <c r="X39" s="32">
        <f t="shared" si="6"/>
        <v>0</v>
      </c>
    </row>
    <row r="40" spans="1:24" ht="19.95" customHeight="1">
      <c r="A40" s="14"/>
      <c r="B40" s="15"/>
      <c r="C40" s="16"/>
      <c r="D40" s="14"/>
      <c r="E40" s="16"/>
      <c r="F40" s="16"/>
      <c r="G40" s="16"/>
      <c r="H40" s="16"/>
      <c r="I40" s="14"/>
      <c r="J40" s="19"/>
      <c r="L40" s="31">
        <f t="shared" si="5"/>
        <v>0</v>
      </c>
      <c r="M40" s="31">
        <f t="shared" si="5"/>
        <v>0</v>
      </c>
      <c r="N40" s="31">
        <f t="shared" si="5"/>
        <v>0</v>
      </c>
      <c r="O40" s="31">
        <f t="shared" si="4"/>
        <v>0</v>
      </c>
      <c r="P40" s="31">
        <f t="shared" si="4"/>
        <v>0</v>
      </c>
      <c r="Q40" s="31">
        <f t="shared" si="4"/>
        <v>0</v>
      </c>
      <c r="R40" s="31">
        <f t="shared" si="4"/>
        <v>0</v>
      </c>
      <c r="S40" s="31">
        <f t="shared" si="4"/>
        <v>0</v>
      </c>
      <c r="T40" s="31">
        <f t="shared" si="4"/>
        <v>0</v>
      </c>
      <c r="U40" s="32">
        <f t="shared" si="2"/>
        <v>0</v>
      </c>
      <c r="V40" s="32">
        <f t="shared" si="2"/>
        <v>0</v>
      </c>
      <c r="W40" s="32">
        <f t="shared" si="2"/>
        <v>0</v>
      </c>
      <c r="X40" s="32">
        <f t="shared" si="6"/>
        <v>0</v>
      </c>
    </row>
    <row r="41" spans="1:24" ht="19.95" customHeight="1">
      <c r="A41" s="14"/>
      <c r="B41" s="15"/>
      <c r="C41" s="16"/>
      <c r="D41" s="14"/>
      <c r="E41" s="16"/>
      <c r="F41" s="16"/>
      <c r="G41" s="16"/>
      <c r="H41" s="16"/>
      <c r="I41" s="14"/>
      <c r="J41" s="19"/>
      <c r="L41" s="31">
        <f t="shared" si="5"/>
        <v>0</v>
      </c>
      <c r="M41" s="31">
        <f t="shared" si="5"/>
        <v>0</v>
      </c>
      <c r="N41" s="31">
        <f t="shared" si="5"/>
        <v>0</v>
      </c>
      <c r="O41" s="31">
        <f t="shared" si="4"/>
        <v>0</v>
      </c>
      <c r="P41" s="31">
        <f t="shared" si="4"/>
        <v>0</v>
      </c>
      <c r="Q41" s="31">
        <f t="shared" si="4"/>
        <v>0</v>
      </c>
      <c r="R41" s="31">
        <f t="shared" si="4"/>
        <v>0</v>
      </c>
      <c r="S41" s="31">
        <f t="shared" si="4"/>
        <v>0</v>
      </c>
      <c r="T41" s="31">
        <f t="shared" si="4"/>
        <v>0</v>
      </c>
      <c r="U41" s="32">
        <f t="shared" si="2"/>
        <v>0</v>
      </c>
      <c r="V41" s="32">
        <f t="shared" si="2"/>
        <v>0</v>
      </c>
      <c r="W41" s="32">
        <f t="shared" si="2"/>
        <v>0</v>
      </c>
      <c r="X41" s="32">
        <f t="shared" si="6"/>
        <v>0</v>
      </c>
    </row>
    <row r="42" spans="1:24" ht="19.95" customHeight="1">
      <c r="A42" s="14"/>
      <c r="B42" s="15"/>
      <c r="C42" s="16"/>
      <c r="D42" s="16"/>
      <c r="E42" s="16"/>
      <c r="F42" s="16"/>
      <c r="G42" s="16"/>
      <c r="H42" s="16"/>
      <c r="I42" s="16"/>
      <c r="J42" s="19"/>
      <c r="L42" s="31">
        <f t="shared" si="5"/>
        <v>0</v>
      </c>
      <c r="M42" s="31">
        <f t="shared" si="5"/>
        <v>0</v>
      </c>
      <c r="N42" s="31">
        <f t="shared" si="5"/>
        <v>0</v>
      </c>
      <c r="O42" s="31">
        <f t="shared" si="4"/>
        <v>0</v>
      </c>
      <c r="P42" s="31">
        <f t="shared" si="4"/>
        <v>0</v>
      </c>
      <c r="Q42" s="31">
        <f t="shared" si="4"/>
        <v>0</v>
      </c>
      <c r="R42" s="31">
        <f t="shared" si="4"/>
        <v>0</v>
      </c>
      <c r="S42" s="31">
        <f t="shared" si="4"/>
        <v>0</v>
      </c>
      <c r="T42" s="31">
        <f t="shared" si="4"/>
        <v>0</v>
      </c>
      <c r="U42" s="32">
        <f t="shared" si="2"/>
        <v>0</v>
      </c>
      <c r="V42" s="32">
        <f t="shared" si="2"/>
        <v>0</v>
      </c>
      <c r="W42" s="32">
        <f t="shared" si="2"/>
        <v>0</v>
      </c>
      <c r="X42" s="32">
        <f t="shared" si="6"/>
        <v>0</v>
      </c>
    </row>
    <row r="43" spans="1:24" ht="19.95" customHeight="1">
      <c r="A43" s="14"/>
      <c r="B43" s="15"/>
      <c r="C43" s="16"/>
      <c r="D43" s="16"/>
      <c r="E43" s="16"/>
      <c r="F43" s="16"/>
      <c r="G43" s="16"/>
      <c r="H43" s="16"/>
      <c r="I43" s="16"/>
      <c r="J43" s="19"/>
      <c r="L43" s="31">
        <f t="shared" si="5"/>
        <v>0</v>
      </c>
      <c r="M43" s="31">
        <f t="shared" si="5"/>
        <v>0</v>
      </c>
      <c r="N43" s="31">
        <f t="shared" si="5"/>
        <v>0</v>
      </c>
      <c r="O43" s="31">
        <f t="shared" si="4"/>
        <v>0</v>
      </c>
      <c r="P43" s="31">
        <f t="shared" si="4"/>
        <v>0</v>
      </c>
      <c r="Q43" s="31">
        <f t="shared" si="4"/>
        <v>0</v>
      </c>
      <c r="R43" s="31">
        <f t="shared" si="4"/>
        <v>0</v>
      </c>
      <c r="S43" s="31">
        <f t="shared" si="4"/>
        <v>0</v>
      </c>
      <c r="T43" s="31">
        <f t="shared" si="4"/>
        <v>0</v>
      </c>
      <c r="U43" s="32">
        <f t="shared" si="2"/>
        <v>0</v>
      </c>
      <c r="V43" s="32">
        <f t="shared" si="2"/>
        <v>0</v>
      </c>
      <c r="W43" s="32">
        <f t="shared" si="2"/>
        <v>0</v>
      </c>
      <c r="X43" s="32">
        <f t="shared" si="6"/>
        <v>0</v>
      </c>
    </row>
    <row r="44" spans="1:24" ht="19.95" customHeight="1">
      <c r="A44" s="14"/>
      <c r="B44" s="15"/>
      <c r="C44" s="16"/>
      <c r="D44" s="16"/>
      <c r="E44" s="16"/>
      <c r="F44" s="16"/>
      <c r="G44" s="16"/>
      <c r="H44" s="16"/>
      <c r="I44" s="16"/>
      <c r="J44" s="19"/>
      <c r="L44" s="31">
        <f t="shared" si="5"/>
        <v>0</v>
      </c>
      <c r="M44" s="31">
        <f t="shared" si="5"/>
        <v>0</v>
      </c>
      <c r="N44" s="31">
        <f t="shared" si="5"/>
        <v>0</v>
      </c>
      <c r="O44" s="31">
        <f t="shared" si="4"/>
        <v>0</v>
      </c>
      <c r="P44" s="31">
        <f t="shared" si="4"/>
        <v>0</v>
      </c>
      <c r="Q44" s="31">
        <f t="shared" si="4"/>
        <v>0</v>
      </c>
      <c r="R44" s="31">
        <f t="shared" si="4"/>
        <v>0</v>
      </c>
      <c r="S44" s="31">
        <f t="shared" si="4"/>
        <v>0</v>
      </c>
      <c r="T44" s="31">
        <f t="shared" si="4"/>
        <v>0</v>
      </c>
      <c r="U44" s="32">
        <f t="shared" si="2"/>
        <v>0</v>
      </c>
      <c r="V44" s="32">
        <f t="shared" si="2"/>
        <v>0</v>
      </c>
      <c r="W44" s="32">
        <f t="shared" si="2"/>
        <v>0</v>
      </c>
      <c r="X44" s="32">
        <f t="shared" si="6"/>
        <v>0</v>
      </c>
    </row>
    <row r="45" spans="1:24" ht="16.8" customHeight="1">
      <c r="A45" s="51"/>
      <c r="B45" s="64"/>
      <c r="C45" s="64"/>
      <c r="D45" s="64"/>
      <c r="E45" s="64"/>
      <c r="F45" s="64"/>
      <c r="G45" s="64"/>
      <c r="H45" s="64"/>
      <c r="I45" s="64"/>
      <c r="J45" s="64"/>
      <c r="L45" s="31">
        <f t="shared" si="5"/>
        <v>0</v>
      </c>
      <c r="M45" s="31">
        <f t="shared" si="5"/>
        <v>0</v>
      </c>
      <c r="N45" s="31">
        <f t="shared" si="5"/>
        <v>0</v>
      </c>
      <c r="O45" s="31">
        <f t="shared" si="4"/>
        <v>0</v>
      </c>
      <c r="P45" s="31">
        <f t="shared" si="4"/>
        <v>0</v>
      </c>
      <c r="Q45" s="31">
        <f t="shared" si="4"/>
        <v>0</v>
      </c>
      <c r="R45" s="31">
        <f t="shared" si="4"/>
        <v>0</v>
      </c>
      <c r="S45" s="31">
        <f t="shared" si="4"/>
        <v>0</v>
      </c>
      <c r="T45" s="31">
        <f t="shared" si="4"/>
        <v>0</v>
      </c>
      <c r="U45" s="32">
        <f t="shared" si="2"/>
        <v>0</v>
      </c>
      <c r="V45" s="32">
        <f t="shared" si="2"/>
        <v>0</v>
      </c>
      <c r="W45" s="32">
        <f t="shared" si="2"/>
        <v>0</v>
      </c>
      <c r="X45" s="32">
        <f t="shared" si="6"/>
        <v>0</v>
      </c>
    </row>
    <row r="46" spans="1:24" ht="19.95" customHeight="1">
      <c r="A46" s="65"/>
      <c r="B46" s="66"/>
      <c r="C46" s="66"/>
      <c r="D46" s="66"/>
      <c r="E46" s="66"/>
      <c r="F46" s="66"/>
      <c r="G46" s="66"/>
      <c r="H46" s="66"/>
      <c r="I46" s="66"/>
      <c r="J46" s="66"/>
      <c r="L46" s="31">
        <f t="shared" si="5"/>
        <v>0</v>
      </c>
      <c r="M46" s="31">
        <f t="shared" si="5"/>
        <v>0</v>
      </c>
      <c r="N46" s="31">
        <f t="shared" si="5"/>
        <v>0</v>
      </c>
      <c r="O46" s="31">
        <f t="shared" si="4"/>
        <v>0</v>
      </c>
      <c r="P46" s="31">
        <f t="shared" si="4"/>
        <v>0</v>
      </c>
      <c r="Q46" s="31">
        <f t="shared" si="4"/>
        <v>0</v>
      </c>
      <c r="R46" s="31">
        <f t="shared" si="4"/>
        <v>0</v>
      </c>
      <c r="S46" s="31">
        <f t="shared" si="4"/>
        <v>0</v>
      </c>
      <c r="T46" s="31">
        <f t="shared" si="4"/>
        <v>0</v>
      </c>
      <c r="U46" s="32">
        <f t="shared" si="2"/>
        <v>0</v>
      </c>
      <c r="V46" s="32">
        <f t="shared" si="2"/>
        <v>0</v>
      </c>
      <c r="W46" s="32">
        <f t="shared" si="2"/>
        <v>0</v>
      </c>
      <c r="X46" s="32">
        <f t="shared" si="6"/>
        <v>0</v>
      </c>
    </row>
    <row r="47" spans="1:24" ht="19.95" customHeight="1">
      <c r="A47" s="65"/>
      <c r="B47" s="66"/>
      <c r="C47" s="66"/>
      <c r="D47" s="66"/>
      <c r="E47" s="66"/>
      <c r="F47" s="66"/>
      <c r="G47" s="66"/>
      <c r="H47" s="66"/>
      <c r="I47" s="66"/>
      <c r="J47" s="66"/>
      <c r="L47" s="31">
        <f t="shared" si="5"/>
        <v>0</v>
      </c>
      <c r="M47" s="31">
        <f t="shared" si="5"/>
        <v>0</v>
      </c>
      <c r="N47" s="31">
        <f t="shared" si="5"/>
        <v>0</v>
      </c>
      <c r="O47" s="31">
        <f t="shared" si="4"/>
        <v>0</v>
      </c>
      <c r="P47" s="31">
        <f t="shared" si="4"/>
        <v>0</v>
      </c>
      <c r="Q47" s="31">
        <f t="shared" si="4"/>
        <v>0</v>
      </c>
      <c r="R47" s="31">
        <f t="shared" si="4"/>
        <v>0</v>
      </c>
      <c r="S47" s="31">
        <f t="shared" si="4"/>
        <v>0</v>
      </c>
      <c r="T47" s="31">
        <f t="shared" si="4"/>
        <v>0</v>
      </c>
      <c r="U47" s="32">
        <f t="shared" si="2"/>
        <v>0</v>
      </c>
      <c r="V47" s="32">
        <f t="shared" si="2"/>
        <v>0</v>
      </c>
      <c r="W47" s="32">
        <f t="shared" si="2"/>
        <v>0</v>
      </c>
      <c r="X47" s="32">
        <f t="shared" si="6"/>
        <v>0</v>
      </c>
    </row>
    <row r="48" spans="1:24" ht="19.95" customHeight="1">
      <c r="A48" s="65"/>
      <c r="B48" s="66"/>
      <c r="C48" s="66"/>
      <c r="D48" s="66"/>
      <c r="E48" s="66"/>
      <c r="F48" s="66"/>
      <c r="G48" s="66"/>
      <c r="H48" s="66"/>
      <c r="I48" s="66"/>
      <c r="J48" s="66"/>
      <c r="L48" s="31">
        <f t="shared" si="5"/>
        <v>0</v>
      </c>
      <c r="M48" s="31">
        <f t="shared" si="5"/>
        <v>0</v>
      </c>
      <c r="N48" s="31">
        <f t="shared" si="5"/>
        <v>0</v>
      </c>
      <c r="O48" s="31">
        <f t="shared" si="4"/>
        <v>0</v>
      </c>
      <c r="P48" s="31">
        <f t="shared" si="4"/>
        <v>0</v>
      </c>
      <c r="Q48" s="31">
        <f t="shared" si="4"/>
        <v>0</v>
      </c>
      <c r="R48" s="31">
        <f t="shared" si="4"/>
        <v>0</v>
      </c>
      <c r="S48" s="31">
        <f t="shared" si="4"/>
        <v>0</v>
      </c>
      <c r="T48" s="31">
        <f t="shared" si="4"/>
        <v>0</v>
      </c>
      <c r="U48" s="32">
        <f t="shared" si="2"/>
        <v>0</v>
      </c>
      <c r="V48" s="32">
        <f t="shared" si="2"/>
        <v>0</v>
      </c>
      <c r="W48" s="32">
        <f t="shared" si="2"/>
        <v>0</v>
      </c>
      <c r="X48" s="32">
        <f t="shared" si="6"/>
        <v>0</v>
      </c>
    </row>
    <row r="49" spans="1:24" ht="19.95" customHeight="1">
      <c r="A49" s="65"/>
      <c r="B49" s="66"/>
      <c r="C49" s="66"/>
      <c r="D49" s="66"/>
      <c r="E49" s="66"/>
      <c r="F49" s="66"/>
      <c r="G49" s="66"/>
      <c r="H49" s="66"/>
      <c r="I49" s="66"/>
      <c r="J49" s="66"/>
      <c r="L49" s="31">
        <f t="shared" si="5"/>
        <v>0</v>
      </c>
      <c r="M49" s="31">
        <f t="shared" si="5"/>
        <v>0</v>
      </c>
      <c r="N49" s="31">
        <f t="shared" si="5"/>
        <v>0</v>
      </c>
      <c r="O49" s="31">
        <f t="shared" si="4"/>
        <v>0</v>
      </c>
      <c r="P49" s="31">
        <f t="shared" si="4"/>
        <v>0</v>
      </c>
      <c r="Q49" s="31">
        <f t="shared" si="4"/>
        <v>0</v>
      </c>
      <c r="R49" s="31">
        <f t="shared" si="4"/>
        <v>0</v>
      </c>
      <c r="S49" s="31">
        <f t="shared" si="4"/>
        <v>0</v>
      </c>
      <c r="T49" s="31">
        <f t="shared" si="4"/>
        <v>0</v>
      </c>
      <c r="U49" s="32">
        <f t="shared" si="2"/>
        <v>0</v>
      </c>
      <c r="V49" s="32">
        <f t="shared" si="2"/>
        <v>0</v>
      </c>
      <c r="W49" s="32">
        <f t="shared" si="2"/>
        <v>0</v>
      </c>
      <c r="X49" s="32">
        <f t="shared" si="6"/>
        <v>0</v>
      </c>
    </row>
    <row r="50" spans="1:24" ht="19.95" customHeight="1">
      <c r="A50" s="65"/>
      <c r="B50" s="66"/>
      <c r="C50" s="66"/>
      <c r="D50" s="66"/>
      <c r="E50" s="66"/>
      <c r="F50" s="66"/>
      <c r="G50" s="66"/>
      <c r="H50" s="66"/>
      <c r="I50" s="66"/>
      <c r="J50" s="66"/>
      <c r="L50" s="31">
        <f t="shared" si="5"/>
        <v>0</v>
      </c>
      <c r="M50" s="31">
        <f t="shared" si="5"/>
        <v>0</v>
      </c>
      <c r="N50" s="31">
        <f t="shared" si="5"/>
        <v>0</v>
      </c>
      <c r="O50" s="31">
        <f t="shared" si="4"/>
        <v>0</v>
      </c>
      <c r="P50" s="31">
        <f t="shared" si="4"/>
        <v>0</v>
      </c>
      <c r="Q50" s="31">
        <f t="shared" si="4"/>
        <v>0</v>
      </c>
      <c r="R50" s="31">
        <f t="shared" si="4"/>
        <v>0</v>
      </c>
      <c r="S50" s="31">
        <f t="shared" si="4"/>
        <v>0</v>
      </c>
      <c r="T50" s="31">
        <f t="shared" si="4"/>
        <v>0</v>
      </c>
      <c r="U50" s="32">
        <f t="shared" si="2"/>
        <v>0</v>
      </c>
      <c r="V50" s="32">
        <f t="shared" si="2"/>
        <v>0</v>
      </c>
      <c r="W50" s="32">
        <f t="shared" si="2"/>
        <v>0</v>
      </c>
      <c r="X50" s="32">
        <f t="shared" si="6"/>
        <v>0</v>
      </c>
    </row>
    <row r="51" spans="1:24" ht="19.95" customHeight="1">
      <c r="A51" s="14"/>
      <c r="B51" s="15"/>
      <c r="C51" s="16"/>
      <c r="D51" s="16"/>
      <c r="E51" s="16"/>
      <c r="F51" s="16"/>
      <c r="G51" s="16"/>
      <c r="H51" s="16"/>
      <c r="I51" s="16"/>
      <c r="J51" s="19"/>
      <c r="L51" s="31">
        <f t="shared" si="5"/>
        <v>0</v>
      </c>
      <c r="M51" s="31">
        <f t="shared" si="5"/>
        <v>0</v>
      </c>
      <c r="N51" s="31">
        <f t="shared" si="5"/>
        <v>0</v>
      </c>
      <c r="O51" s="31">
        <f t="shared" si="4"/>
        <v>0</v>
      </c>
      <c r="P51" s="31">
        <f t="shared" si="4"/>
        <v>0</v>
      </c>
      <c r="Q51" s="31">
        <f t="shared" si="4"/>
        <v>0</v>
      </c>
      <c r="R51" s="31">
        <f t="shared" si="4"/>
        <v>0</v>
      </c>
      <c r="S51" s="31">
        <f t="shared" si="4"/>
        <v>0</v>
      </c>
      <c r="T51" s="31">
        <f t="shared" si="4"/>
        <v>0</v>
      </c>
      <c r="U51" s="32">
        <f t="shared" si="2"/>
        <v>0</v>
      </c>
      <c r="V51" s="32">
        <f t="shared" si="2"/>
        <v>0</v>
      </c>
      <c r="W51" s="32">
        <f t="shared" si="2"/>
        <v>0</v>
      </c>
      <c r="X51" s="32">
        <f t="shared" si="6"/>
        <v>0</v>
      </c>
    </row>
    <row r="52" spans="1:24" ht="19.95" customHeight="1">
      <c r="A52" s="14"/>
      <c r="B52" s="15"/>
      <c r="C52" s="16"/>
      <c r="D52" s="16"/>
      <c r="E52" s="16"/>
      <c r="F52" s="16"/>
      <c r="G52" s="16"/>
      <c r="H52" s="16"/>
      <c r="I52" s="16"/>
      <c r="J52" s="19"/>
      <c r="L52" s="31">
        <f t="shared" si="5"/>
        <v>0</v>
      </c>
      <c r="M52" s="31">
        <f t="shared" si="5"/>
        <v>0</v>
      </c>
      <c r="N52" s="31">
        <f t="shared" si="5"/>
        <v>0</v>
      </c>
      <c r="O52" s="31">
        <f t="shared" si="4"/>
        <v>0</v>
      </c>
      <c r="P52" s="31">
        <f t="shared" si="4"/>
        <v>0</v>
      </c>
      <c r="Q52" s="31">
        <f t="shared" si="4"/>
        <v>0</v>
      </c>
      <c r="R52" s="31">
        <f t="shared" si="4"/>
        <v>0</v>
      </c>
      <c r="S52" s="31">
        <f t="shared" si="4"/>
        <v>0</v>
      </c>
      <c r="T52" s="31">
        <f t="shared" si="4"/>
        <v>0</v>
      </c>
      <c r="U52" s="32">
        <f t="shared" si="2"/>
        <v>0</v>
      </c>
      <c r="V52" s="32">
        <f t="shared" si="2"/>
        <v>0</v>
      </c>
      <c r="W52" s="32">
        <f t="shared" si="2"/>
        <v>0</v>
      </c>
      <c r="X52" s="32">
        <f t="shared" si="6"/>
        <v>0</v>
      </c>
    </row>
    <row r="53" spans="1:24" ht="19.95" customHeight="1">
      <c r="A53" s="14"/>
      <c r="B53" s="15"/>
      <c r="C53" s="16"/>
      <c r="D53" s="16"/>
      <c r="E53" s="16"/>
      <c r="F53" s="16"/>
      <c r="G53" s="16"/>
      <c r="H53" s="16"/>
      <c r="I53" s="16"/>
      <c r="J53" s="19"/>
      <c r="L53" s="31">
        <f t="shared" si="5"/>
        <v>0</v>
      </c>
      <c r="M53" s="31">
        <f t="shared" si="5"/>
        <v>0</v>
      </c>
      <c r="N53" s="31">
        <f t="shared" si="5"/>
        <v>0</v>
      </c>
      <c r="O53" s="31">
        <f t="shared" si="4"/>
        <v>0</v>
      </c>
      <c r="P53" s="31">
        <f t="shared" si="4"/>
        <v>0</v>
      </c>
      <c r="Q53" s="31">
        <f t="shared" si="4"/>
        <v>0</v>
      </c>
      <c r="R53" s="31">
        <f t="shared" si="4"/>
        <v>0</v>
      </c>
      <c r="S53" s="31">
        <f t="shared" si="4"/>
        <v>0</v>
      </c>
      <c r="T53" s="31">
        <f t="shared" si="4"/>
        <v>0</v>
      </c>
      <c r="U53" s="32">
        <f t="shared" si="2"/>
        <v>0</v>
      </c>
      <c r="V53" s="32">
        <f t="shared" si="2"/>
        <v>0</v>
      </c>
      <c r="W53" s="32">
        <f t="shared" si="2"/>
        <v>0</v>
      </c>
      <c r="X53" s="32">
        <f t="shared" si="6"/>
        <v>0</v>
      </c>
    </row>
    <row r="54" spans="1:24" ht="19.95" customHeight="1">
      <c r="A54" s="14"/>
      <c r="B54" s="15"/>
      <c r="C54" s="16"/>
      <c r="D54" s="16"/>
      <c r="E54" s="16"/>
      <c r="F54" s="16"/>
      <c r="G54" s="16"/>
      <c r="H54" s="16"/>
      <c r="I54" s="16"/>
      <c r="J54" s="19"/>
      <c r="L54" s="31">
        <f t="shared" si="5"/>
        <v>0</v>
      </c>
      <c r="M54" s="31">
        <f t="shared" si="5"/>
        <v>0</v>
      </c>
      <c r="N54" s="31">
        <f t="shared" si="5"/>
        <v>0</v>
      </c>
      <c r="O54" s="31">
        <f t="shared" si="4"/>
        <v>0</v>
      </c>
      <c r="P54" s="31">
        <f t="shared" si="4"/>
        <v>0</v>
      </c>
      <c r="Q54" s="31">
        <f t="shared" si="4"/>
        <v>0</v>
      </c>
      <c r="R54" s="31">
        <f t="shared" si="4"/>
        <v>0</v>
      </c>
      <c r="S54" s="31">
        <f t="shared" si="4"/>
        <v>0</v>
      </c>
      <c r="T54" s="31">
        <f t="shared" si="4"/>
        <v>0</v>
      </c>
      <c r="U54" s="32">
        <f t="shared" si="2"/>
        <v>0</v>
      </c>
      <c r="V54" s="32">
        <f t="shared" si="2"/>
        <v>0</v>
      </c>
      <c r="W54" s="32">
        <f t="shared" si="2"/>
        <v>0</v>
      </c>
      <c r="X54" s="32">
        <f t="shared" si="6"/>
        <v>0</v>
      </c>
    </row>
    <row r="55" spans="1:24" ht="19.95" customHeight="1">
      <c r="A55" s="14"/>
      <c r="B55" s="15"/>
      <c r="C55" s="16"/>
      <c r="D55" s="16"/>
      <c r="E55" s="16"/>
      <c r="F55" s="16"/>
      <c r="G55" s="16"/>
      <c r="H55" s="16"/>
      <c r="I55" s="16"/>
      <c r="J55" s="19"/>
      <c r="L55" s="31">
        <f t="shared" si="5"/>
        <v>0</v>
      </c>
      <c r="M55" s="31">
        <f t="shared" si="5"/>
        <v>0</v>
      </c>
      <c r="N55" s="31">
        <f t="shared" si="5"/>
        <v>0</v>
      </c>
      <c r="O55" s="31">
        <f t="shared" si="4"/>
        <v>0</v>
      </c>
      <c r="P55" s="31">
        <f t="shared" si="4"/>
        <v>0</v>
      </c>
      <c r="Q55" s="31">
        <f t="shared" si="4"/>
        <v>0</v>
      </c>
      <c r="R55" s="31">
        <f t="shared" si="4"/>
        <v>0</v>
      </c>
      <c r="S55" s="31">
        <f t="shared" si="4"/>
        <v>0</v>
      </c>
      <c r="T55" s="31">
        <f t="shared" si="4"/>
        <v>0</v>
      </c>
      <c r="U55" s="32">
        <f t="shared" si="2"/>
        <v>0</v>
      </c>
      <c r="V55" s="32">
        <f t="shared" si="2"/>
        <v>0</v>
      </c>
      <c r="W55" s="32">
        <f t="shared" si="2"/>
        <v>0</v>
      </c>
      <c r="X55" s="32">
        <f t="shared" si="6"/>
        <v>0</v>
      </c>
    </row>
    <row r="56" spans="1:24" ht="19.95" customHeight="1">
      <c r="A56" s="14"/>
      <c r="B56" s="15"/>
      <c r="C56" s="16"/>
      <c r="D56" s="16"/>
      <c r="E56" s="16"/>
      <c r="F56" s="16"/>
      <c r="G56" s="16"/>
      <c r="H56" s="16"/>
      <c r="I56" s="16"/>
      <c r="J56" s="19"/>
      <c r="L56" s="31">
        <f t="shared" si="5"/>
        <v>0</v>
      </c>
      <c r="M56" s="31">
        <f t="shared" si="5"/>
        <v>0</v>
      </c>
      <c r="N56" s="31">
        <f t="shared" si="5"/>
        <v>0</v>
      </c>
      <c r="O56" s="31">
        <f t="shared" si="4"/>
        <v>0</v>
      </c>
      <c r="P56" s="31">
        <f t="shared" si="4"/>
        <v>0</v>
      </c>
      <c r="Q56" s="31">
        <f t="shared" si="4"/>
        <v>0</v>
      </c>
      <c r="R56" s="31">
        <f t="shared" si="4"/>
        <v>0</v>
      </c>
      <c r="S56" s="31">
        <f t="shared" si="4"/>
        <v>0</v>
      </c>
      <c r="T56" s="31">
        <f t="shared" si="4"/>
        <v>0</v>
      </c>
      <c r="U56" s="32">
        <f t="shared" si="2"/>
        <v>0</v>
      </c>
      <c r="V56" s="32">
        <f t="shared" si="2"/>
        <v>0</v>
      </c>
      <c r="W56" s="32">
        <f t="shared" si="2"/>
        <v>0</v>
      </c>
      <c r="X56" s="32">
        <f t="shared" si="6"/>
        <v>0</v>
      </c>
    </row>
    <row r="57" spans="1:24" ht="19.95" customHeight="1">
      <c r="A57" s="14"/>
      <c r="B57" s="15"/>
      <c r="C57" s="16"/>
      <c r="D57" s="16"/>
      <c r="E57" s="16"/>
      <c r="F57" s="16"/>
      <c r="G57" s="16"/>
      <c r="H57" s="16"/>
      <c r="I57" s="16"/>
      <c r="J57" s="19"/>
      <c r="L57" s="31">
        <f t="shared" si="5"/>
        <v>0</v>
      </c>
      <c r="M57" s="31">
        <f t="shared" si="5"/>
        <v>0</v>
      </c>
      <c r="N57" s="31">
        <f t="shared" si="5"/>
        <v>0</v>
      </c>
      <c r="O57" s="31">
        <f t="shared" si="4"/>
        <v>0</v>
      </c>
      <c r="P57" s="31">
        <f t="shared" si="4"/>
        <v>0</v>
      </c>
      <c r="Q57" s="31">
        <f t="shared" si="4"/>
        <v>0</v>
      </c>
      <c r="R57" s="31">
        <f t="shared" si="4"/>
        <v>0</v>
      </c>
      <c r="S57" s="31">
        <f t="shared" si="4"/>
        <v>0</v>
      </c>
      <c r="T57" s="31">
        <f t="shared" si="4"/>
        <v>0</v>
      </c>
      <c r="U57" s="32">
        <f t="shared" si="2"/>
        <v>0</v>
      </c>
      <c r="V57" s="32">
        <f t="shared" si="2"/>
        <v>0</v>
      </c>
      <c r="W57" s="32">
        <f t="shared" si="2"/>
        <v>0</v>
      </c>
      <c r="X57" s="32">
        <f t="shared" si="6"/>
        <v>0</v>
      </c>
    </row>
    <row r="58" spans="1:24" ht="19.95" customHeight="1">
      <c r="A58" s="14"/>
      <c r="B58" s="15"/>
      <c r="C58" s="16"/>
      <c r="D58" s="16"/>
      <c r="E58" s="16"/>
      <c r="F58" s="16"/>
      <c r="G58" s="16"/>
      <c r="H58" s="16"/>
      <c r="I58" s="16"/>
      <c r="J58" s="19"/>
      <c r="L58" s="31">
        <f t="shared" si="5"/>
        <v>0</v>
      </c>
      <c r="M58" s="31">
        <f t="shared" si="5"/>
        <v>0</v>
      </c>
      <c r="N58" s="31">
        <f t="shared" si="5"/>
        <v>0</v>
      </c>
      <c r="O58" s="31">
        <f t="shared" si="4"/>
        <v>0</v>
      </c>
      <c r="P58" s="31">
        <f t="shared" si="4"/>
        <v>0</v>
      </c>
      <c r="Q58" s="31">
        <f t="shared" si="4"/>
        <v>0</v>
      </c>
      <c r="R58" s="31">
        <f t="shared" si="4"/>
        <v>0</v>
      </c>
      <c r="S58" s="31">
        <f t="shared" si="4"/>
        <v>0</v>
      </c>
      <c r="T58" s="31">
        <f t="shared" si="4"/>
        <v>0</v>
      </c>
      <c r="U58" s="32">
        <f t="shared" si="2"/>
        <v>0</v>
      </c>
      <c r="V58" s="32">
        <f t="shared" si="2"/>
        <v>0</v>
      </c>
      <c r="W58" s="32">
        <f t="shared" si="2"/>
        <v>0</v>
      </c>
      <c r="X58" s="32">
        <f t="shared" si="6"/>
        <v>0</v>
      </c>
    </row>
    <row r="59" spans="1:24" ht="19.95" customHeight="1">
      <c r="A59" s="14"/>
      <c r="B59" s="15"/>
      <c r="C59" s="16"/>
      <c r="D59" s="16"/>
      <c r="E59" s="16"/>
      <c r="F59" s="16"/>
      <c r="G59" s="16"/>
      <c r="H59" s="16"/>
      <c r="I59" s="16"/>
      <c r="J59" s="19"/>
      <c r="L59" s="31">
        <f t="shared" si="5"/>
        <v>0</v>
      </c>
      <c r="M59" s="31">
        <f t="shared" si="5"/>
        <v>0</v>
      </c>
      <c r="N59" s="31">
        <f t="shared" si="5"/>
        <v>0</v>
      </c>
      <c r="O59" s="31">
        <f t="shared" si="4"/>
        <v>0</v>
      </c>
      <c r="P59" s="31">
        <f t="shared" si="4"/>
        <v>0</v>
      </c>
      <c r="Q59" s="31">
        <f t="shared" si="4"/>
        <v>0</v>
      </c>
      <c r="R59" s="31">
        <f t="shared" si="4"/>
        <v>0</v>
      </c>
      <c r="S59" s="31">
        <f t="shared" si="4"/>
        <v>0</v>
      </c>
      <c r="T59" s="31">
        <f t="shared" si="4"/>
        <v>0</v>
      </c>
      <c r="U59" s="32">
        <f t="shared" si="2"/>
        <v>0</v>
      </c>
      <c r="V59" s="32">
        <f t="shared" si="2"/>
        <v>0</v>
      </c>
      <c r="W59" s="32">
        <f t="shared" si="2"/>
        <v>0</v>
      </c>
      <c r="X59" s="32">
        <f t="shared" si="6"/>
        <v>0</v>
      </c>
    </row>
    <row r="60" spans="1:24" ht="19.95" customHeight="1">
      <c r="A60" s="14"/>
      <c r="B60" s="15"/>
      <c r="C60" s="16"/>
      <c r="D60" s="16"/>
      <c r="E60" s="16"/>
      <c r="F60" s="16"/>
      <c r="G60" s="16"/>
      <c r="H60" s="16"/>
      <c r="I60" s="16"/>
      <c r="J60" s="19"/>
      <c r="L60" s="31">
        <f t="shared" si="5"/>
        <v>0</v>
      </c>
      <c r="M60" s="31">
        <f t="shared" si="5"/>
        <v>0</v>
      </c>
      <c r="N60" s="31">
        <f t="shared" si="5"/>
        <v>0</v>
      </c>
      <c r="O60" s="31">
        <f t="shared" si="4"/>
        <v>0</v>
      </c>
      <c r="P60" s="31">
        <f t="shared" si="4"/>
        <v>0</v>
      </c>
      <c r="Q60" s="31">
        <f t="shared" si="4"/>
        <v>0</v>
      </c>
      <c r="R60" s="31">
        <f t="shared" si="4"/>
        <v>0</v>
      </c>
      <c r="S60" s="31">
        <f t="shared" si="4"/>
        <v>0</v>
      </c>
      <c r="T60" s="31">
        <f t="shared" si="4"/>
        <v>0</v>
      </c>
      <c r="U60" s="32">
        <f t="shared" si="2"/>
        <v>0</v>
      </c>
      <c r="V60" s="32">
        <f t="shared" si="2"/>
        <v>0</v>
      </c>
      <c r="W60" s="32">
        <f t="shared" si="2"/>
        <v>0</v>
      </c>
      <c r="X60" s="32">
        <f t="shared" si="6"/>
        <v>0</v>
      </c>
    </row>
    <row r="61" spans="1:24" ht="19.95" customHeight="1">
      <c r="A61" s="14"/>
      <c r="B61" s="15"/>
      <c r="C61" s="16"/>
      <c r="D61" s="16"/>
      <c r="E61" s="16"/>
      <c r="F61" s="16"/>
      <c r="G61" s="16"/>
      <c r="H61" s="16"/>
      <c r="I61" s="16"/>
      <c r="J61" s="19"/>
      <c r="L61" s="31">
        <f t="shared" si="5"/>
        <v>0</v>
      </c>
      <c r="M61" s="31">
        <f t="shared" si="5"/>
        <v>0</v>
      </c>
      <c r="N61" s="31">
        <f t="shared" si="5"/>
        <v>0</v>
      </c>
      <c r="O61" s="31">
        <f t="shared" si="4"/>
        <v>0</v>
      </c>
      <c r="P61" s="31">
        <f t="shared" si="4"/>
        <v>0</v>
      </c>
      <c r="Q61" s="31">
        <f t="shared" si="4"/>
        <v>0</v>
      </c>
      <c r="R61" s="31">
        <f t="shared" si="4"/>
        <v>0</v>
      </c>
      <c r="S61" s="31">
        <f t="shared" si="4"/>
        <v>0</v>
      </c>
      <c r="T61" s="31">
        <f t="shared" si="4"/>
        <v>0</v>
      </c>
      <c r="U61" s="32">
        <f t="shared" si="2"/>
        <v>0</v>
      </c>
      <c r="V61" s="32">
        <f t="shared" si="2"/>
        <v>0</v>
      </c>
      <c r="W61" s="32">
        <f t="shared" si="2"/>
        <v>0</v>
      </c>
      <c r="X61" s="32">
        <f t="shared" si="6"/>
        <v>0</v>
      </c>
    </row>
    <row r="62" spans="1:24" ht="19.95" customHeight="1">
      <c r="A62" s="14"/>
      <c r="B62" s="15"/>
      <c r="C62" s="16"/>
      <c r="D62" s="16"/>
      <c r="E62" s="16"/>
      <c r="F62" s="16"/>
      <c r="G62" s="16"/>
      <c r="H62" s="16"/>
      <c r="I62" s="16"/>
      <c r="J62" s="19"/>
      <c r="L62" s="31">
        <f t="shared" si="5"/>
        <v>0</v>
      </c>
      <c r="M62" s="31">
        <f t="shared" si="5"/>
        <v>0</v>
      </c>
      <c r="N62" s="31">
        <f t="shared" si="5"/>
        <v>0</v>
      </c>
      <c r="O62" s="31">
        <f t="shared" si="4"/>
        <v>0</v>
      </c>
      <c r="P62" s="31">
        <f t="shared" si="4"/>
        <v>0</v>
      </c>
      <c r="Q62" s="31">
        <f t="shared" si="4"/>
        <v>0</v>
      </c>
      <c r="R62" s="31">
        <f t="shared" si="4"/>
        <v>0</v>
      </c>
      <c r="S62" s="31">
        <f t="shared" si="4"/>
        <v>0</v>
      </c>
      <c r="T62" s="31">
        <f t="shared" si="4"/>
        <v>0</v>
      </c>
      <c r="U62" s="32">
        <f t="shared" si="2"/>
        <v>0</v>
      </c>
      <c r="V62" s="32">
        <f t="shared" si="2"/>
        <v>0</v>
      </c>
      <c r="W62" s="32">
        <f t="shared" si="2"/>
        <v>0</v>
      </c>
      <c r="X62" s="32">
        <f t="shared" si="6"/>
        <v>0</v>
      </c>
    </row>
    <row r="63" spans="1:24" ht="16.8" customHeight="1">
      <c r="A63" s="14"/>
      <c r="B63" s="15"/>
      <c r="C63" s="16"/>
      <c r="D63" s="16"/>
      <c r="E63" s="16"/>
      <c r="F63" s="16"/>
      <c r="G63" s="16"/>
      <c r="H63" s="16"/>
      <c r="I63" s="16"/>
      <c r="J63" s="19"/>
      <c r="L63" s="31">
        <f t="shared" si="5"/>
        <v>0</v>
      </c>
      <c r="M63" s="31">
        <f t="shared" si="5"/>
        <v>0</v>
      </c>
      <c r="N63" s="31">
        <f t="shared" si="5"/>
        <v>0</v>
      </c>
      <c r="O63" s="31">
        <f t="shared" si="4"/>
        <v>0</v>
      </c>
      <c r="P63" s="31">
        <f t="shared" si="4"/>
        <v>0</v>
      </c>
      <c r="Q63" s="31">
        <f t="shared" si="4"/>
        <v>0</v>
      </c>
      <c r="R63" s="31">
        <f t="shared" si="4"/>
        <v>0</v>
      </c>
      <c r="S63" s="31">
        <f t="shared" si="4"/>
        <v>0</v>
      </c>
      <c r="T63" s="31">
        <f t="shared" si="4"/>
        <v>0</v>
      </c>
      <c r="U63" s="32">
        <f t="shared" si="2"/>
        <v>0</v>
      </c>
      <c r="V63" s="32">
        <f t="shared" si="2"/>
        <v>0</v>
      </c>
      <c r="W63" s="32">
        <f t="shared" si="2"/>
        <v>0</v>
      </c>
      <c r="X63" s="32">
        <f t="shared" si="6"/>
        <v>0</v>
      </c>
    </row>
    <row r="64" spans="1:24" ht="19.95" customHeight="1">
      <c r="A64" s="14"/>
      <c r="B64" s="15"/>
      <c r="C64" s="16"/>
      <c r="D64" s="16"/>
      <c r="E64" s="16"/>
      <c r="F64" s="16"/>
      <c r="G64" s="16"/>
      <c r="H64" s="16"/>
      <c r="I64" s="16"/>
      <c r="J64" s="19"/>
      <c r="L64" s="31">
        <f t="shared" si="5"/>
        <v>0</v>
      </c>
      <c r="M64" s="31">
        <f t="shared" si="5"/>
        <v>0</v>
      </c>
      <c r="N64" s="31">
        <f t="shared" si="5"/>
        <v>0</v>
      </c>
      <c r="O64" s="31">
        <f t="shared" si="4"/>
        <v>0</v>
      </c>
      <c r="P64" s="31">
        <f t="shared" si="4"/>
        <v>0</v>
      </c>
      <c r="Q64" s="31">
        <f t="shared" si="4"/>
        <v>0</v>
      </c>
      <c r="R64" s="31">
        <f t="shared" si="4"/>
        <v>0</v>
      </c>
      <c r="S64" s="31">
        <f t="shared" si="4"/>
        <v>0</v>
      </c>
      <c r="T64" s="31">
        <f t="shared" si="4"/>
        <v>0</v>
      </c>
      <c r="U64" s="32">
        <f t="shared" si="2"/>
        <v>0</v>
      </c>
      <c r="V64" s="32">
        <f t="shared" si="2"/>
        <v>0</v>
      </c>
      <c r="W64" s="32">
        <f t="shared" si="2"/>
        <v>0</v>
      </c>
      <c r="X64" s="32">
        <f t="shared" si="6"/>
        <v>0</v>
      </c>
    </row>
    <row r="65" spans="1:24" ht="19.95" customHeight="1">
      <c r="A65" s="14"/>
      <c r="B65" s="15"/>
      <c r="C65" s="16"/>
      <c r="D65" s="16"/>
      <c r="E65" s="16"/>
      <c r="F65" s="16"/>
      <c r="G65" s="16"/>
      <c r="H65" s="16"/>
      <c r="I65" s="16"/>
      <c r="J65" s="19"/>
      <c r="L65" s="31">
        <f t="shared" si="5"/>
        <v>0</v>
      </c>
      <c r="M65" s="31">
        <f t="shared" si="5"/>
        <v>0</v>
      </c>
      <c r="N65" s="31">
        <f t="shared" si="5"/>
        <v>0</v>
      </c>
      <c r="O65" s="31">
        <f t="shared" si="4"/>
        <v>0</v>
      </c>
      <c r="P65" s="31">
        <f t="shared" si="4"/>
        <v>0</v>
      </c>
      <c r="Q65" s="31">
        <f t="shared" si="4"/>
        <v>0</v>
      </c>
      <c r="R65" s="31">
        <f t="shared" si="4"/>
        <v>0</v>
      </c>
      <c r="S65" s="31">
        <f t="shared" si="4"/>
        <v>0</v>
      </c>
      <c r="T65" s="31">
        <f t="shared" si="4"/>
        <v>0</v>
      </c>
      <c r="U65" s="32">
        <f t="shared" si="2"/>
        <v>0</v>
      </c>
      <c r="V65" s="32">
        <f t="shared" si="2"/>
        <v>0</v>
      </c>
      <c r="W65" s="32">
        <f t="shared" si="2"/>
        <v>0</v>
      </c>
      <c r="X65" s="32">
        <f t="shared" si="6"/>
        <v>0</v>
      </c>
    </row>
    <row r="66" spans="1:24" ht="19.95" customHeight="1">
      <c r="A66" s="14"/>
      <c r="B66" s="15"/>
      <c r="C66" s="16"/>
      <c r="D66" s="16"/>
      <c r="E66" s="16"/>
      <c r="F66" s="16"/>
      <c r="G66" s="16"/>
      <c r="H66" s="16"/>
      <c r="I66" s="16"/>
      <c r="J66" s="19"/>
      <c r="L66" s="31">
        <f t="shared" si="5"/>
        <v>0</v>
      </c>
      <c r="M66" s="31">
        <f t="shared" si="5"/>
        <v>0</v>
      </c>
      <c r="N66" s="31">
        <f t="shared" si="5"/>
        <v>0</v>
      </c>
      <c r="O66" s="31">
        <f t="shared" si="4"/>
        <v>0</v>
      </c>
      <c r="P66" s="31">
        <f t="shared" si="4"/>
        <v>0</v>
      </c>
      <c r="Q66" s="31">
        <f t="shared" si="4"/>
        <v>0</v>
      </c>
      <c r="R66" s="31">
        <f t="shared" si="4"/>
        <v>0</v>
      </c>
      <c r="S66" s="31">
        <f t="shared" si="4"/>
        <v>0</v>
      </c>
      <c r="T66" s="31">
        <f t="shared" si="4"/>
        <v>0</v>
      </c>
      <c r="U66" s="32">
        <f t="shared" si="2"/>
        <v>0</v>
      </c>
      <c r="V66" s="32">
        <f t="shared" si="2"/>
        <v>0</v>
      </c>
      <c r="W66" s="32">
        <f t="shared" si="2"/>
        <v>0</v>
      </c>
      <c r="X66" s="32">
        <f t="shared" si="6"/>
        <v>0</v>
      </c>
    </row>
    <row r="67" spans="1:24" ht="19.95" customHeight="1">
      <c r="A67" s="14"/>
      <c r="B67" s="15"/>
      <c r="C67" s="16"/>
      <c r="D67" s="16"/>
      <c r="E67" s="16"/>
      <c r="F67" s="16"/>
      <c r="G67" s="16"/>
      <c r="H67" s="16"/>
      <c r="I67" s="16"/>
      <c r="J67" s="19"/>
      <c r="L67" s="31">
        <f t="shared" si="5"/>
        <v>0</v>
      </c>
      <c r="M67" s="31">
        <f t="shared" si="5"/>
        <v>0</v>
      </c>
      <c r="N67" s="31">
        <f t="shared" si="5"/>
        <v>0</v>
      </c>
      <c r="O67" s="31">
        <f t="shared" si="4"/>
        <v>0</v>
      </c>
      <c r="P67" s="31">
        <f t="shared" si="4"/>
        <v>0</v>
      </c>
      <c r="Q67" s="31">
        <f t="shared" si="4"/>
        <v>0</v>
      </c>
      <c r="R67" s="31">
        <f t="shared" si="4"/>
        <v>0</v>
      </c>
      <c r="S67" s="31">
        <f t="shared" si="4"/>
        <v>0</v>
      </c>
      <c r="T67" s="31">
        <f t="shared" si="4"/>
        <v>0</v>
      </c>
      <c r="U67" s="32">
        <f t="shared" si="2"/>
        <v>0</v>
      </c>
      <c r="V67" s="32">
        <f t="shared" si="2"/>
        <v>0</v>
      </c>
      <c r="W67" s="32">
        <f t="shared" si="2"/>
        <v>0</v>
      </c>
      <c r="X67" s="32">
        <f t="shared" si="6"/>
        <v>0</v>
      </c>
    </row>
    <row r="68" spans="1:24" ht="19.95" customHeight="1">
      <c r="A68" s="14"/>
      <c r="B68" s="15"/>
      <c r="C68" s="16"/>
      <c r="D68" s="16"/>
      <c r="E68" s="16"/>
      <c r="F68" s="16"/>
      <c r="G68" s="16"/>
      <c r="H68" s="16"/>
      <c r="I68" s="16"/>
      <c r="J68" s="19"/>
      <c r="L68" s="31">
        <f t="shared" si="5"/>
        <v>0</v>
      </c>
      <c r="M68" s="31">
        <f t="shared" si="5"/>
        <v>0</v>
      </c>
      <c r="N68" s="31">
        <f t="shared" si="5"/>
        <v>0</v>
      </c>
      <c r="O68" s="31">
        <f t="shared" si="4"/>
        <v>0</v>
      </c>
      <c r="P68" s="31">
        <f t="shared" si="4"/>
        <v>0</v>
      </c>
      <c r="Q68" s="31">
        <f t="shared" si="4"/>
        <v>0</v>
      </c>
      <c r="R68" s="31">
        <f t="shared" si="4"/>
        <v>0</v>
      </c>
      <c r="S68" s="31">
        <f t="shared" si="4"/>
        <v>0</v>
      </c>
      <c r="T68" s="31">
        <f t="shared" si="4"/>
        <v>0</v>
      </c>
      <c r="U68" s="32">
        <f t="shared" si="2"/>
        <v>0</v>
      </c>
      <c r="V68" s="32">
        <f t="shared" si="2"/>
        <v>0</v>
      </c>
      <c r="W68" s="32">
        <f t="shared" si="2"/>
        <v>0</v>
      </c>
      <c r="X68" s="32">
        <f t="shared" si="6"/>
        <v>0</v>
      </c>
    </row>
    <row r="69" spans="1:24" ht="19.95" customHeight="1">
      <c r="A69" s="14"/>
      <c r="B69" s="15"/>
      <c r="C69" s="16"/>
      <c r="D69" s="16"/>
      <c r="E69" s="16"/>
      <c r="F69" s="16"/>
      <c r="G69" s="16"/>
      <c r="H69" s="16"/>
      <c r="I69" s="16"/>
      <c r="J69" s="19"/>
      <c r="L69" s="31">
        <f t="shared" si="5"/>
        <v>0</v>
      </c>
      <c r="M69" s="31">
        <f t="shared" si="5"/>
        <v>0</v>
      </c>
      <c r="N69" s="31">
        <f t="shared" si="5"/>
        <v>0</v>
      </c>
      <c r="O69" s="31">
        <f t="shared" si="4"/>
        <v>0</v>
      </c>
      <c r="P69" s="31">
        <f t="shared" si="4"/>
        <v>0</v>
      </c>
      <c r="Q69" s="31">
        <f t="shared" si="4"/>
        <v>0</v>
      </c>
      <c r="R69" s="31">
        <f t="shared" si="4"/>
        <v>0</v>
      </c>
      <c r="S69" s="31">
        <f t="shared" si="4"/>
        <v>0</v>
      </c>
      <c r="T69" s="31">
        <f t="shared" si="4"/>
        <v>0</v>
      </c>
      <c r="U69" s="32">
        <f t="shared" si="2"/>
        <v>0</v>
      </c>
      <c r="V69" s="32">
        <f t="shared" si="2"/>
        <v>0</v>
      </c>
      <c r="W69" s="32">
        <f t="shared" si="2"/>
        <v>0</v>
      </c>
      <c r="X69" s="32">
        <f t="shared" si="6"/>
        <v>0</v>
      </c>
    </row>
    <row r="70" spans="1:24" ht="19.95" customHeight="1">
      <c r="A70" s="14"/>
      <c r="B70" s="15"/>
      <c r="C70" s="16"/>
      <c r="D70" s="16"/>
      <c r="E70" s="16"/>
      <c r="F70" s="16"/>
      <c r="G70" s="16"/>
      <c r="H70" s="16"/>
      <c r="I70" s="16"/>
      <c r="J70" s="19"/>
      <c r="L70" s="31">
        <f t="shared" si="5"/>
        <v>0</v>
      </c>
      <c r="M70" s="31">
        <f t="shared" si="5"/>
        <v>0</v>
      </c>
      <c r="N70" s="31">
        <f t="shared" si="5"/>
        <v>0</v>
      </c>
      <c r="O70" s="31">
        <f t="shared" si="4"/>
        <v>0</v>
      </c>
      <c r="P70" s="31">
        <f t="shared" si="4"/>
        <v>0</v>
      </c>
      <c r="Q70" s="31">
        <f t="shared" si="4"/>
        <v>0</v>
      </c>
      <c r="R70" s="31">
        <f t="shared" si="4"/>
        <v>0</v>
      </c>
      <c r="S70" s="31">
        <f t="shared" si="4"/>
        <v>0</v>
      </c>
      <c r="T70" s="31">
        <f t="shared" si="4"/>
        <v>0</v>
      </c>
      <c r="U70" s="32">
        <f t="shared" si="2"/>
        <v>0</v>
      </c>
      <c r="V70" s="32">
        <f t="shared" si="2"/>
        <v>0</v>
      </c>
      <c r="W70" s="32">
        <f t="shared" si="2"/>
        <v>0</v>
      </c>
      <c r="X70" s="32">
        <f t="shared" ref="X70:X101" si="7">O70+P70+T70</f>
        <v>0</v>
      </c>
    </row>
    <row r="71" spans="1:24" ht="19.95" customHeight="1">
      <c r="A71" s="14"/>
      <c r="B71" s="15"/>
      <c r="C71" s="16"/>
      <c r="D71" s="16"/>
      <c r="E71" s="16"/>
      <c r="F71" s="16"/>
      <c r="G71" s="16"/>
      <c r="H71" s="16"/>
      <c r="I71" s="16"/>
      <c r="J71" s="19"/>
      <c r="L71" s="31">
        <f t="shared" si="5"/>
        <v>0</v>
      </c>
      <c r="M71" s="31">
        <f t="shared" si="5"/>
        <v>0</v>
      </c>
      <c r="N71" s="31">
        <f t="shared" si="5"/>
        <v>0</v>
      </c>
      <c r="O71" s="31">
        <f t="shared" si="4"/>
        <v>0</v>
      </c>
      <c r="P71" s="31">
        <f t="shared" si="4"/>
        <v>0</v>
      </c>
      <c r="Q71" s="31">
        <f t="shared" si="4"/>
        <v>0</v>
      </c>
      <c r="R71" s="31">
        <f t="shared" si="4"/>
        <v>0</v>
      </c>
      <c r="S71" s="31">
        <f t="shared" si="4"/>
        <v>0</v>
      </c>
      <c r="T71" s="31">
        <f t="shared" si="4"/>
        <v>0</v>
      </c>
      <c r="U71" s="32">
        <f t="shared" si="2"/>
        <v>0</v>
      </c>
      <c r="V71" s="32">
        <f t="shared" si="2"/>
        <v>0</v>
      </c>
      <c r="W71" s="32">
        <f t="shared" si="2"/>
        <v>0</v>
      </c>
      <c r="X71" s="32">
        <f t="shared" si="7"/>
        <v>0</v>
      </c>
    </row>
    <row r="72" spans="1:24" ht="19.95" customHeight="1">
      <c r="A72" s="14"/>
      <c r="B72" s="15"/>
      <c r="C72" s="16"/>
      <c r="D72" s="16"/>
      <c r="E72" s="16"/>
      <c r="F72" s="16"/>
      <c r="G72" s="16"/>
      <c r="H72" s="16"/>
      <c r="I72" s="16"/>
      <c r="J72" s="19"/>
      <c r="L72" s="31">
        <f t="shared" si="5"/>
        <v>0</v>
      </c>
      <c r="M72" s="31">
        <f t="shared" si="5"/>
        <v>0</v>
      </c>
      <c r="N72" s="31">
        <f t="shared" si="5"/>
        <v>0</v>
      </c>
      <c r="O72" s="31">
        <f t="shared" si="4"/>
        <v>0</v>
      </c>
      <c r="P72" s="31">
        <f t="shared" si="4"/>
        <v>0</v>
      </c>
      <c r="Q72" s="31">
        <f t="shared" si="4"/>
        <v>0</v>
      </c>
      <c r="R72" s="31">
        <f t="shared" si="4"/>
        <v>0</v>
      </c>
      <c r="S72" s="31">
        <f t="shared" si="4"/>
        <v>0</v>
      </c>
      <c r="T72" s="31">
        <f t="shared" si="4"/>
        <v>0</v>
      </c>
      <c r="U72" s="32">
        <f t="shared" si="2"/>
        <v>0</v>
      </c>
      <c r="V72" s="32">
        <f t="shared" si="2"/>
        <v>0</v>
      </c>
      <c r="W72" s="32">
        <f t="shared" si="2"/>
        <v>0</v>
      </c>
      <c r="X72" s="32">
        <f t="shared" si="7"/>
        <v>0</v>
      </c>
    </row>
    <row r="73" spans="1:24" ht="19.95" customHeight="1">
      <c r="A73" s="14"/>
      <c r="B73" s="15"/>
      <c r="C73" s="16"/>
      <c r="D73" s="16"/>
      <c r="E73" s="16"/>
      <c r="F73" s="16"/>
      <c r="G73" s="16"/>
      <c r="H73" s="16"/>
      <c r="I73" s="16"/>
      <c r="J73" s="19"/>
      <c r="L73" s="31">
        <f t="shared" si="5"/>
        <v>0</v>
      </c>
      <c r="M73" s="31">
        <f t="shared" si="5"/>
        <v>0</v>
      </c>
      <c r="N73" s="31">
        <f t="shared" si="5"/>
        <v>0</v>
      </c>
      <c r="O73" s="31">
        <f t="shared" si="4"/>
        <v>0</v>
      </c>
      <c r="P73" s="31">
        <f t="shared" si="4"/>
        <v>0</v>
      </c>
      <c r="Q73" s="31">
        <f t="shared" si="4"/>
        <v>0</v>
      </c>
      <c r="R73" s="31">
        <f t="shared" si="4"/>
        <v>0</v>
      </c>
      <c r="S73" s="31">
        <f t="shared" si="4"/>
        <v>0</v>
      </c>
      <c r="T73" s="31">
        <f t="shared" si="4"/>
        <v>0</v>
      </c>
      <c r="U73" s="32">
        <f t="shared" ref="U73:W116" si="8">L73+Q73</f>
        <v>0</v>
      </c>
      <c r="V73" s="32">
        <f t="shared" si="8"/>
        <v>0</v>
      </c>
      <c r="W73" s="32">
        <f t="shared" si="8"/>
        <v>0</v>
      </c>
      <c r="X73" s="32">
        <f t="shared" si="7"/>
        <v>0</v>
      </c>
    </row>
    <row r="74" spans="1:24" ht="19.95" customHeight="1">
      <c r="A74" s="14"/>
      <c r="B74" s="15"/>
      <c r="C74" s="16"/>
      <c r="D74" s="16"/>
      <c r="E74" s="16"/>
      <c r="F74" s="16"/>
      <c r="G74" s="16"/>
      <c r="H74" s="16"/>
      <c r="I74" s="16"/>
      <c r="J74" s="19"/>
      <c r="L74" s="31">
        <f t="shared" si="5"/>
        <v>0</v>
      </c>
      <c r="M74" s="31">
        <f t="shared" si="5"/>
        <v>0</v>
      </c>
      <c r="N74" s="31">
        <f t="shared" si="5"/>
        <v>0</v>
      </c>
      <c r="O74" s="31">
        <f t="shared" si="4"/>
        <v>0</v>
      </c>
      <c r="P74" s="31">
        <f t="shared" si="4"/>
        <v>0</v>
      </c>
      <c r="Q74" s="31">
        <f t="shared" si="4"/>
        <v>0</v>
      </c>
      <c r="R74" s="31">
        <f t="shared" si="4"/>
        <v>0</v>
      </c>
      <c r="S74" s="31">
        <f t="shared" si="4"/>
        <v>0</v>
      </c>
      <c r="T74" s="31">
        <f t="shared" si="4"/>
        <v>0</v>
      </c>
      <c r="U74" s="32">
        <f t="shared" si="8"/>
        <v>0</v>
      </c>
      <c r="V74" s="32">
        <f t="shared" si="8"/>
        <v>0</v>
      </c>
      <c r="W74" s="32">
        <f t="shared" si="8"/>
        <v>0</v>
      </c>
      <c r="X74" s="32">
        <f t="shared" si="7"/>
        <v>0</v>
      </c>
    </row>
    <row r="75" spans="1:24" ht="19.95" customHeight="1">
      <c r="A75" s="14"/>
      <c r="B75" s="15"/>
      <c r="C75" s="16"/>
      <c r="D75" s="16"/>
      <c r="E75" s="16"/>
      <c r="F75" s="16"/>
      <c r="G75" s="16"/>
      <c r="H75" s="16"/>
      <c r="I75" s="16"/>
      <c r="J75" s="19"/>
      <c r="L75" s="31">
        <f t="shared" si="5"/>
        <v>0</v>
      </c>
      <c r="M75" s="31">
        <f t="shared" si="5"/>
        <v>0</v>
      </c>
      <c r="N75" s="31">
        <f t="shared" si="5"/>
        <v>0</v>
      </c>
      <c r="O75" s="31">
        <f t="shared" si="4"/>
        <v>0</v>
      </c>
      <c r="P75" s="31">
        <f t="shared" si="4"/>
        <v>0</v>
      </c>
      <c r="Q75" s="31">
        <f t="shared" si="4"/>
        <v>0</v>
      </c>
      <c r="R75" s="31">
        <f t="shared" si="4"/>
        <v>0</v>
      </c>
      <c r="S75" s="31">
        <f t="shared" si="4"/>
        <v>0</v>
      </c>
      <c r="T75" s="31">
        <f t="shared" si="4"/>
        <v>0</v>
      </c>
      <c r="U75" s="32">
        <f t="shared" si="8"/>
        <v>0</v>
      </c>
      <c r="V75" s="32">
        <f t="shared" si="8"/>
        <v>0</v>
      </c>
      <c r="W75" s="32">
        <f t="shared" si="8"/>
        <v>0</v>
      </c>
      <c r="X75" s="32">
        <f t="shared" si="7"/>
        <v>0</v>
      </c>
    </row>
    <row r="76" spans="1:24" ht="19.95" customHeight="1">
      <c r="A76" s="14"/>
      <c r="B76" s="15"/>
      <c r="C76" s="16"/>
      <c r="D76" s="16"/>
      <c r="E76" s="16"/>
      <c r="F76" s="16"/>
      <c r="G76" s="16"/>
      <c r="H76" s="16"/>
      <c r="I76" s="16"/>
      <c r="J76" s="19"/>
      <c r="L76" s="31">
        <f t="shared" si="5"/>
        <v>0</v>
      </c>
      <c r="M76" s="31">
        <f t="shared" si="5"/>
        <v>0</v>
      </c>
      <c r="N76" s="31">
        <f t="shared" si="5"/>
        <v>0</v>
      </c>
      <c r="O76" s="31">
        <f t="shared" si="4"/>
        <v>0</v>
      </c>
      <c r="P76" s="31">
        <f t="shared" si="4"/>
        <v>0</v>
      </c>
      <c r="Q76" s="31">
        <f t="shared" si="4"/>
        <v>0</v>
      </c>
      <c r="R76" s="31">
        <f t="shared" si="4"/>
        <v>0</v>
      </c>
      <c r="S76" s="31">
        <f t="shared" si="4"/>
        <v>0</v>
      </c>
      <c r="T76" s="31">
        <f t="shared" si="4"/>
        <v>0</v>
      </c>
      <c r="U76" s="32">
        <f t="shared" si="8"/>
        <v>0</v>
      </c>
      <c r="V76" s="32">
        <f t="shared" si="8"/>
        <v>0</v>
      </c>
      <c r="W76" s="32">
        <f t="shared" si="8"/>
        <v>0</v>
      </c>
      <c r="X76" s="32">
        <f t="shared" si="7"/>
        <v>0</v>
      </c>
    </row>
    <row r="77" spans="1:24" ht="19.95" customHeight="1">
      <c r="A77" s="14"/>
      <c r="B77" s="15"/>
      <c r="C77" s="16"/>
      <c r="D77" s="16"/>
      <c r="E77" s="16"/>
      <c r="F77" s="16"/>
      <c r="G77" s="16"/>
      <c r="H77" s="16"/>
      <c r="I77" s="16"/>
      <c r="J77" s="19"/>
      <c r="L77" s="31">
        <f t="shared" si="5"/>
        <v>0</v>
      </c>
      <c r="M77" s="31">
        <f t="shared" si="5"/>
        <v>0</v>
      </c>
      <c r="N77" s="31">
        <f t="shared" si="5"/>
        <v>0</v>
      </c>
      <c r="O77" s="31">
        <f t="shared" si="4"/>
        <v>0</v>
      </c>
      <c r="P77" s="31">
        <f t="shared" si="4"/>
        <v>0</v>
      </c>
      <c r="Q77" s="31">
        <f t="shared" si="4"/>
        <v>0</v>
      </c>
      <c r="R77" s="31">
        <f t="shared" si="4"/>
        <v>0</v>
      </c>
      <c r="S77" s="31">
        <f t="shared" si="4"/>
        <v>0</v>
      </c>
      <c r="T77" s="31">
        <f t="shared" si="4"/>
        <v>0</v>
      </c>
      <c r="U77" s="32">
        <f t="shared" si="8"/>
        <v>0</v>
      </c>
      <c r="V77" s="32">
        <f t="shared" si="8"/>
        <v>0</v>
      </c>
      <c r="W77" s="32">
        <f t="shared" si="8"/>
        <v>0</v>
      </c>
      <c r="X77" s="32">
        <f t="shared" si="7"/>
        <v>0</v>
      </c>
    </row>
    <row r="78" spans="1:24" ht="19.95" customHeight="1">
      <c r="A78" s="14"/>
      <c r="B78" s="15"/>
      <c r="C78" s="16"/>
      <c r="D78" s="16"/>
      <c r="E78" s="16"/>
      <c r="F78" s="16"/>
      <c r="G78" s="16"/>
      <c r="H78" s="16"/>
      <c r="I78" s="16"/>
      <c r="J78" s="19"/>
      <c r="L78" s="31">
        <f t="shared" si="5"/>
        <v>0</v>
      </c>
      <c r="M78" s="31">
        <f t="shared" si="5"/>
        <v>0</v>
      </c>
      <c r="N78" s="31">
        <f t="shared" si="5"/>
        <v>0</v>
      </c>
      <c r="O78" s="31">
        <f t="shared" si="4"/>
        <v>0</v>
      </c>
      <c r="P78" s="31">
        <f t="shared" si="4"/>
        <v>0</v>
      </c>
      <c r="Q78" s="31">
        <f t="shared" si="4"/>
        <v>0</v>
      </c>
      <c r="R78" s="31">
        <f t="shared" si="4"/>
        <v>0</v>
      </c>
      <c r="S78" s="31">
        <f t="shared" si="4"/>
        <v>0</v>
      </c>
      <c r="T78" s="31">
        <f t="shared" si="4"/>
        <v>0</v>
      </c>
      <c r="U78" s="32">
        <f t="shared" si="8"/>
        <v>0</v>
      </c>
      <c r="V78" s="32">
        <f t="shared" si="8"/>
        <v>0</v>
      </c>
      <c r="W78" s="32">
        <f t="shared" si="8"/>
        <v>0</v>
      </c>
      <c r="X78" s="32">
        <f t="shared" si="7"/>
        <v>0</v>
      </c>
    </row>
    <row r="79" spans="1:24" ht="19.95" customHeight="1">
      <c r="A79" s="14"/>
      <c r="B79" s="15"/>
      <c r="C79" s="16"/>
      <c r="D79" s="16"/>
      <c r="E79" s="16"/>
      <c r="F79" s="16"/>
      <c r="G79" s="16"/>
      <c r="H79" s="16"/>
      <c r="I79" s="16"/>
      <c r="J79" s="19"/>
      <c r="L79" s="31">
        <f t="shared" si="5"/>
        <v>0</v>
      </c>
      <c r="M79" s="31">
        <f t="shared" si="5"/>
        <v>0</v>
      </c>
      <c r="N79" s="31">
        <f t="shared" si="5"/>
        <v>0</v>
      </c>
      <c r="O79" s="31">
        <f t="shared" si="4"/>
        <v>0</v>
      </c>
      <c r="P79" s="31">
        <f t="shared" si="4"/>
        <v>0</v>
      </c>
      <c r="Q79" s="31">
        <f t="shared" si="4"/>
        <v>0</v>
      </c>
      <c r="R79" s="31">
        <f t="shared" ref="R79:T116" si="9">IFERROR(H80-H79,0)</f>
        <v>0</v>
      </c>
      <c r="S79" s="31">
        <f t="shared" si="9"/>
        <v>0</v>
      </c>
      <c r="T79" s="31">
        <f t="shared" si="9"/>
        <v>0</v>
      </c>
      <c r="U79" s="32">
        <f t="shared" si="8"/>
        <v>0</v>
      </c>
      <c r="V79" s="32">
        <f t="shared" si="8"/>
        <v>0</v>
      </c>
      <c r="W79" s="32">
        <f t="shared" si="8"/>
        <v>0</v>
      </c>
      <c r="X79" s="32">
        <f t="shared" si="7"/>
        <v>0</v>
      </c>
    </row>
    <row r="80" spans="1:24" ht="19.95" customHeight="1">
      <c r="A80" s="14"/>
      <c r="B80" s="15"/>
      <c r="C80" s="16"/>
      <c r="D80" s="16"/>
      <c r="E80" s="16"/>
      <c r="F80" s="16"/>
      <c r="G80" s="16"/>
      <c r="H80" s="16"/>
      <c r="I80" s="16"/>
      <c r="J80" s="19"/>
      <c r="L80" s="31">
        <f t="shared" si="5"/>
        <v>0</v>
      </c>
      <c r="M80" s="31">
        <f t="shared" si="5"/>
        <v>0</v>
      </c>
      <c r="N80" s="31">
        <f t="shared" si="5"/>
        <v>0</v>
      </c>
      <c r="O80" s="31">
        <f t="shared" si="5"/>
        <v>0</v>
      </c>
      <c r="P80" s="31">
        <f t="shared" si="5"/>
        <v>0</v>
      </c>
      <c r="Q80" s="31">
        <f t="shared" si="5"/>
        <v>0</v>
      </c>
      <c r="R80" s="31">
        <f t="shared" si="9"/>
        <v>0</v>
      </c>
      <c r="S80" s="31">
        <f t="shared" si="9"/>
        <v>0</v>
      </c>
      <c r="T80" s="31">
        <f t="shared" si="9"/>
        <v>0</v>
      </c>
      <c r="U80" s="32">
        <f t="shared" si="8"/>
        <v>0</v>
      </c>
      <c r="V80" s="32">
        <f t="shared" si="8"/>
        <v>0</v>
      </c>
      <c r="W80" s="32">
        <f t="shared" si="8"/>
        <v>0</v>
      </c>
      <c r="X80" s="32">
        <f t="shared" si="7"/>
        <v>0</v>
      </c>
    </row>
    <row r="81" spans="1:24" ht="16.8" customHeight="1">
      <c r="A81" s="14"/>
      <c r="B81" s="15"/>
      <c r="C81" s="16"/>
      <c r="D81" s="16"/>
      <c r="E81" s="16"/>
      <c r="F81" s="16"/>
      <c r="G81" s="16"/>
      <c r="H81" s="16"/>
      <c r="I81" s="16"/>
      <c r="J81" s="19"/>
      <c r="L81" s="31">
        <f t="shared" si="5"/>
        <v>0</v>
      </c>
      <c r="M81" s="31">
        <f t="shared" si="5"/>
        <v>0</v>
      </c>
      <c r="N81" s="31">
        <f t="shared" si="5"/>
        <v>0</v>
      </c>
      <c r="O81" s="31">
        <f t="shared" si="5"/>
        <v>0</v>
      </c>
      <c r="P81" s="31">
        <f t="shared" si="5"/>
        <v>0</v>
      </c>
      <c r="Q81" s="31">
        <f t="shared" si="5"/>
        <v>0</v>
      </c>
      <c r="R81" s="31">
        <f t="shared" si="9"/>
        <v>0</v>
      </c>
      <c r="S81" s="31">
        <f t="shared" si="9"/>
        <v>0</v>
      </c>
      <c r="T81" s="31">
        <f t="shared" si="9"/>
        <v>0</v>
      </c>
      <c r="U81" s="32">
        <f t="shared" si="8"/>
        <v>0</v>
      </c>
      <c r="V81" s="32">
        <f t="shared" si="8"/>
        <v>0</v>
      </c>
      <c r="W81" s="32">
        <f t="shared" si="8"/>
        <v>0</v>
      </c>
      <c r="X81" s="32">
        <f t="shared" si="7"/>
        <v>0</v>
      </c>
    </row>
    <row r="82" spans="1:24" ht="19.95" customHeight="1">
      <c r="A82" s="14"/>
      <c r="B82" s="15"/>
      <c r="C82" s="16"/>
      <c r="D82" s="16"/>
      <c r="E82" s="16"/>
      <c r="F82" s="16"/>
      <c r="G82" s="16"/>
      <c r="H82" s="16"/>
      <c r="I82" s="16"/>
      <c r="J82" s="19"/>
      <c r="L82" s="31">
        <f t="shared" si="5"/>
        <v>0</v>
      </c>
      <c r="M82" s="31">
        <f t="shared" si="5"/>
        <v>0</v>
      </c>
      <c r="N82" s="31">
        <f t="shared" si="5"/>
        <v>0</v>
      </c>
      <c r="O82" s="31">
        <f t="shared" si="5"/>
        <v>0</v>
      </c>
      <c r="P82" s="31">
        <f t="shared" si="5"/>
        <v>0</v>
      </c>
      <c r="Q82" s="31">
        <f t="shared" si="5"/>
        <v>0</v>
      </c>
      <c r="R82" s="31">
        <f t="shared" si="9"/>
        <v>0</v>
      </c>
      <c r="S82" s="31">
        <f t="shared" si="9"/>
        <v>0</v>
      </c>
      <c r="T82" s="31">
        <f t="shared" si="9"/>
        <v>0</v>
      </c>
      <c r="U82" s="32">
        <f t="shared" si="8"/>
        <v>0</v>
      </c>
      <c r="V82" s="32">
        <f t="shared" si="8"/>
        <v>0</v>
      </c>
      <c r="W82" s="32">
        <f t="shared" si="8"/>
        <v>0</v>
      </c>
      <c r="X82" s="32">
        <f t="shared" si="7"/>
        <v>0</v>
      </c>
    </row>
    <row r="83" spans="1:24" ht="19.95" customHeight="1">
      <c r="A83" s="14"/>
      <c r="B83" s="15"/>
      <c r="C83" s="16"/>
      <c r="D83" s="16"/>
      <c r="E83" s="16"/>
      <c r="F83" s="16"/>
      <c r="G83" s="16"/>
      <c r="H83" s="16"/>
      <c r="I83" s="16"/>
      <c r="J83" s="19"/>
      <c r="L83" s="31">
        <f t="shared" si="5"/>
        <v>0</v>
      </c>
      <c r="M83" s="31">
        <f t="shared" si="5"/>
        <v>0</v>
      </c>
      <c r="N83" s="31">
        <f t="shared" si="5"/>
        <v>0</v>
      </c>
      <c r="O83" s="31">
        <f t="shared" si="5"/>
        <v>0</v>
      </c>
      <c r="P83" s="31">
        <f t="shared" si="5"/>
        <v>0</v>
      </c>
      <c r="Q83" s="31">
        <f t="shared" si="5"/>
        <v>0</v>
      </c>
      <c r="R83" s="31">
        <f t="shared" si="9"/>
        <v>0</v>
      </c>
      <c r="S83" s="31">
        <f t="shared" si="9"/>
        <v>0</v>
      </c>
      <c r="T83" s="31">
        <f t="shared" si="9"/>
        <v>0</v>
      </c>
      <c r="U83" s="32">
        <f t="shared" si="8"/>
        <v>0</v>
      </c>
      <c r="V83" s="32">
        <f t="shared" si="8"/>
        <v>0</v>
      </c>
      <c r="W83" s="32">
        <f t="shared" si="8"/>
        <v>0</v>
      </c>
      <c r="X83" s="32">
        <f t="shared" si="7"/>
        <v>0</v>
      </c>
    </row>
    <row r="84" spans="1:24" ht="19.95" customHeight="1">
      <c r="A84" s="14"/>
      <c r="B84" s="15"/>
      <c r="C84" s="16"/>
      <c r="D84" s="16"/>
      <c r="E84" s="16"/>
      <c r="F84" s="16"/>
      <c r="G84" s="16"/>
      <c r="H84" s="16"/>
      <c r="I84" s="16"/>
      <c r="J84" s="19"/>
      <c r="L84" s="31">
        <f t="shared" si="5"/>
        <v>0</v>
      </c>
      <c r="M84" s="31">
        <f t="shared" si="5"/>
        <v>0</v>
      </c>
      <c r="N84" s="31">
        <f t="shared" si="5"/>
        <v>0</v>
      </c>
      <c r="O84" s="31">
        <f t="shared" si="5"/>
        <v>0</v>
      </c>
      <c r="P84" s="31">
        <f t="shared" si="5"/>
        <v>0</v>
      </c>
      <c r="Q84" s="31">
        <f t="shared" si="5"/>
        <v>0</v>
      </c>
      <c r="R84" s="31">
        <f t="shared" si="9"/>
        <v>0</v>
      </c>
      <c r="S84" s="31">
        <f t="shared" si="9"/>
        <v>0</v>
      </c>
      <c r="T84" s="31">
        <f t="shared" si="9"/>
        <v>0</v>
      </c>
      <c r="U84" s="32">
        <f t="shared" si="8"/>
        <v>0</v>
      </c>
      <c r="V84" s="32">
        <f t="shared" si="8"/>
        <v>0</v>
      </c>
      <c r="W84" s="32">
        <f t="shared" si="8"/>
        <v>0</v>
      </c>
      <c r="X84" s="32">
        <f t="shared" si="7"/>
        <v>0</v>
      </c>
    </row>
    <row r="85" spans="1:24" ht="19.95" customHeight="1">
      <c r="A85" s="14"/>
      <c r="B85" s="15"/>
      <c r="C85" s="16"/>
      <c r="D85" s="16"/>
      <c r="E85" s="16"/>
      <c r="F85" s="16"/>
      <c r="G85" s="16"/>
      <c r="H85" s="16"/>
      <c r="I85" s="16"/>
      <c r="J85" s="19"/>
      <c r="L85" s="31">
        <f t="shared" si="5"/>
        <v>0</v>
      </c>
      <c r="M85" s="31">
        <f t="shared" si="5"/>
        <v>0</v>
      </c>
      <c r="N85" s="31">
        <f t="shared" si="5"/>
        <v>0</v>
      </c>
      <c r="O85" s="31">
        <f t="shared" si="5"/>
        <v>0</v>
      </c>
      <c r="P85" s="31">
        <f t="shared" si="5"/>
        <v>0</v>
      </c>
      <c r="Q85" s="31">
        <f t="shared" si="5"/>
        <v>0</v>
      </c>
      <c r="R85" s="31">
        <f t="shared" si="9"/>
        <v>0</v>
      </c>
      <c r="S85" s="31">
        <f t="shared" si="9"/>
        <v>0</v>
      </c>
      <c r="T85" s="31">
        <f t="shared" si="9"/>
        <v>0</v>
      </c>
      <c r="U85" s="32">
        <f t="shared" si="8"/>
        <v>0</v>
      </c>
      <c r="V85" s="32">
        <f t="shared" si="8"/>
        <v>0</v>
      </c>
      <c r="W85" s="32">
        <f t="shared" si="8"/>
        <v>0</v>
      </c>
      <c r="X85" s="32">
        <f t="shared" si="7"/>
        <v>0</v>
      </c>
    </row>
    <row r="86" spans="1:24" ht="19.95" customHeight="1">
      <c r="A86" s="14"/>
      <c r="B86" s="15"/>
      <c r="C86" s="16"/>
      <c r="D86" s="16"/>
      <c r="E86" s="16"/>
      <c r="F86" s="16"/>
      <c r="G86" s="16"/>
      <c r="H86" s="16"/>
      <c r="I86" s="16"/>
      <c r="J86" s="19"/>
      <c r="L86" s="31">
        <f t="shared" si="5"/>
        <v>0</v>
      </c>
      <c r="M86" s="31">
        <f t="shared" si="5"/>
        <v>0</v>
      </c>
      <c r="N86" s="31">
        <f t="shared" si="5"/>
        <v>0</v>
      </c>
      <c r="O86" s="31">
        <f t="shared" si="5"/>
        <v>0</v>
      </c>
      <c r="P86" s="31">
        <f t="shared" si="5"/>
        <v>0</v>
      </c>
      <c r="Q86" s="31">
        <f t="shared" si="5"/>
        <v>0</v>
      </c>
      <c r="R86" s="31">
        <f t="shared" si="9"/>
        <v>0</v>
      </c>
      <c r="S86" s="31">
        <f t="shared" si="9"/>
        <v>0</v>
      </c>
      <c r="T86" s="31">
        <f t="shared" si="9"/>
        <v>0</v>
      </c>
      <c r="U86" s="32">
        <f t="shared" si="8"/>
        <v>0</v>
      </c>
      <c r="V86" s="32">
        <f t="shared" si="8"/>
        <v>0</v>
      </c>
      <c r="W86" s="32">
        <f t="shared" si="8"/>
        <v>0</v>
      </c>
      <c r="X86" s="32">
        <f t="shared" si="7"/>
        <v>0</v>
      </c>
    </row>
    <row r="87" spans="1:24" ht="19.95" customHeight="1">
      <c r="A87" s="14"/>
      <c r="B87" s="15"/>
      <c r="C87" s="16"/>
      <c r="D87" s="16"/>
      <c r="E87" s="16"/>
      <c r="F87" s="16"/>
      <c r="G87" s="16"/>
      <c r="H87" s="16"/>
      <c r="I87" s="16"/>
      <c r="J87" s="19"/>
      <c r="L87" s="31">
        <f t="shared" si="5"/>
        <v>0</v>
      </c>
      <c r="M87" s="31">
        <f t="shared" si="5"/>
        <v>0</v>
      </c>
      <c r="N87" s="31">
        <f t="shared" si="5"/>
        <v>0</v>
      </c>
      <c r="O87" s="31">
        <f t="shared" si="5"/>
        <v>0</v>
      </c>
      <c r="P87" s="31">
        <f t="shared" si="5"/>
        <v>0</v>
      </c>
      <c r="Q87" s="31">
        <f t="shared" si="5"/>
        <v>0</v>
      </c>
      <c r="R87" s="31">
        <f t="shared" si="9"/>
        <v>0</v>
      </c>
      <c r="S87" s="31">
        <f t="shared" si="9"/>
        <v>0</v>
      </c>
      <c r="T87" s="31">
        <f t="shared" si="9"/>
        <v>0</v>
      </c>
      <c r="U87" s="32">
        <f t="shared" si="8"/>
        <v>0</v>
      </c>
      <c r="V87" s="32">
        <f t="shared" si="8"/>
        <v>0</v>
      </c>
      <c r="W87" s="32">
        <f t="shared" si="8"/>
        <v>0</v>
      </c>
      <c r="X87" s="32">
        <f t="shared" si="7"/>
        <v>0</v>
      </c>
    </row>
    <row r="88" spans="1:24" ht="19.95" customHeight="1">
      <c r="A88" s="14"/>
      <c r="B88" s="15"/>
      <c r="C88" s="16"/>
      <c r="D88" s="16"/>
      <c r="E88" s="16"/>
      <c r="F88" s="16"/>
      <c r="G88" s="16"/>
      <c r="H88" s="16"/>
      <c r="I88" s="16"/>
      <c r="J88" s="19"/>
      <c r="L88" s="31">
        <f t="shared" si="5"/>
        <v>0</v>
      </c>
      <c r="M88" s="31">
        <f t="shared" si="5"/>
        <v>0</v>
      </c>
      <c r="N88" s="31">
        <f t="shared" si="5"/>
        <v>0</v>
      </c>
      <c r="O88" s="31">
        <f t="shared" si="5"/>
        <v>0</v>
      </c>
      <c r="P88" s="31">
        <f t="shared" si="5"/>
        <v>0</v>
      </c>
      <c r="Q88" s="31">
        <f t="shared" si="5"/>
        <v>0</v>
      </c>
      <c r="R88" s="31">
        <f t="shared" si="9"/>
        <v>0</v>
      </c>
      <c r="S88" s="31">
        <f t="shared" si="9"/>
        <v>0</v>
      </c>
      <c r="T88" s="31">
        <f t="shared" si="9"/>
        <v>0</v>
      </c>
      <c r="U88" s="32">
        <f t="shared" si="8"/>
        <v>0</v>
      </c>
      <c r="V88" s="32">
        <f t="shared" si="8"/>
        <v>0</v>
      </c>
      <c r="W88" s="32">
        <f t="shared" si="8"/>
        <v>0</v>
      </c>
      <c r="X88" s="32">
        <f t="shared" si="7"/>
        <v>0</v>
      </c>
    </row>
    <row r="89" spans="1:24" ht="19.95" customHeight="1">
      <c r="A89" s="14"/>
      <c r="B89" s="15"/>
      <c r="C89" s="16"/>
      <c r="D89" s="16"/>
      <c r="E89" s="16"/>
      <c r="F89" s="16"/>
      <c r="G89" s="16"/>
      <c r="H89" s="16"/>
      <c r="I89" s="16"/>
      <c r="J89" s="19"/>
      <c r="L89" s="31">
        <f t="shared" si="5"/>
        <v>0</v>
      </c>
      <c r="M89" s="31">
        <f t="shared" si="5"/>
        <v>0</v>
      </c>
      <c r="N89" s="31">
        <f t="shared" si="5"/>
        <v>0</v>
      </c>
      <c r="O89" s="31">
        <f t="shared" si="5"/>
        <v>0</v>
      </c>
      <c r="P89" s="31">
        <f t="shared" si="5"/>
        <v>0</v>
      </c>
      <c r="Q89" s="31">
        <f t="shared" si="5"/>
        <v>0</v>
      </c>
      <c r="R89" s="31">
        <f t="shared" si="9"/>
        <v>0</v>
      </c>
      <c r="S89" s="31">
        <f t="shared" si="9"/>
        <v>0</v>
      </c>
      <c r="T89" s="31">
        <f t="shared" si="9"/>
        <v>0</v>
      </c>
      <c r="U89" s="32">
        <f t="shared" si="8"/>
        <v>0</v>
      </c>
      <c r="V89" s="32">
        <f t="shared" si="8"/>
        <v>0</v>
      </c>
      <c r="W89" s="32">
        <f t="shared" si="8"/>
        <v>0</v>
      </c>
      <c r="X89" s="32">
        <f t="shared" si="7"/>
        <v>0</v>
      </c>
    </row>
    <row r="90" spans="1:24" ht="19.95" customHeight="1">
      <c r="A90" s="14"/>
      <c r="B90" s="15"/>
      <c r="C90" s="16"/>
      <c r="D90" s="16"/>
      <c r="E90" s="16"/>
      <c r="F90" s="16"/>
      <c r="G90" s="16"/>
      <c r="H90" s="16"/>
      <c r="I90" s="16"/>
      <c r="J90" s="19"/>
      <c r="L90" s="31">
        <f t="shared" si="5"/>
        <v>0</v>
      </c>
      <c r="M90" s="31">
        <f t="shared" si="5"/>
        <v>0</v>
      </c>
      <c r="N90" s="31">
        <f t="shared" si="5"/>
        <v>0</v>
      </c>
      <c r="O90" s="31">
        <f t="shared" si="5"/>
        <v>0</v>
      </c>
      <c r="P90" s="31">
        <f t="shared" si="5"/>
        <v>0</v>
      </c>
      <c r="Q90" s="31">
        <f t="shared" si="5"/>
        <v>0</v>
      </c>
      <c r="R90" s="31">
        <f t="shared" si="9"/>
        <v>0</v>
      </c>
      <c r="S90" s="31">
        <f t="shared" si="9"/>
        <v>0</v>
      </c>
      <c r="T90" s="31">
        <f t="shared" si="9"/>
        <v>0</v>
      </c>
      <c r="U90" s="32">
        <f t="shared" si="8"/>
        <v>0</v>
      </c>
      <c r="V90" s="32">
        <f t="shared" si="8"/>
        <v>0</v>
      </c>
      <c r="W90" s="32">
        <f t="shared" si="8"/>
        <v>0</v>
      </c>
      <c r="X90" s="32">
        <f t="shared" si="7"/>
        <v>0</v>
      </c>
    </row>
    <row r="91" spans="1:24" ht="19.95" customHeight="1">
      <c r="A91" s="14"/>
      <c r="B91" s="15"/>
      <c r="C91" s="16"/>
      <c r="D91" s="16"/>
      <c r="E91" s="16"/>
      <c r="F91" s="16"/>
      <c r="G91" s="16"/>
      <c r="H91" s="16"/>
      <c r="I91" s="16"/>
      <c r="J91" s="19"/>
      <c r="L91" s="31">
        <f t="shared" si="5"/>
        <v>0</v>
      </c>
      <c r="M91" s="31">
        <f t="shared" si="5"/>
        <v>0</v>
      </c>
      <c r="N91" s="31">
        <f t="shared" si="5"/>
        <v>0</v>
      </c>
      <c r="O91" s="31">
        <f t="shared" si="5"/>
        <v>0</v>
      </c>
      <c r="P91" s="31">
        <f t="shared" si="5"/>
        <v>0</v>
      </c>
      <c r="Q91" s="31">
        <f t="shared" si="5"/>
        <v>0</v>
      </c>
      <c r="R91" s="31">
        <f t="shared" si="9"/>
        <v>0</v>
      </c>
      <c r="S91" s="31">
        <f t="shared" si="9"/>
        <v>0</v>
      </c>
      <c r="T91" s="31">
        <f t="shared" si="9"/>
        <v>0</v>
      </c>
      <c r="U91" s="32">
        <f t="shared" si="8"/>
        <v>0</v>
      </c>
      <c r="V91" s="32">
        <f t="shared" si="8"/>
        <v>0</v>
      </c>
      <c r="W91" s="32">
        <f t="shared" si="8"/>
        <v>0</v>
      </c>
      <c r="X91" s="32">
        <f t="shared" si="7"/>
        <v>0</v>
      </c>
    </row>
    <row r="92" spans="1:24" ht="19.95" customHeight="1">
      <c r="A92" s="14"/>
      <c r="B92" s="15"/>
      <c r="C92" s="16"/>
      <c r="D92" s="16"/>
      <c r="E92" s="16"/>
      <c r="F92" s="16"/>
      <c r="G92" s="16"/>
      <c r="H92" s="16"/>
      <c r="I92" s="16"/>
      <c r="J92" s="19"/>
      <c r="L92" s="31">
        <f t="shared" si="5"/>
        <v>0</v>
      </c>
      <c r="M92" s="31">
        <f t="shared" si="5"/>
        <v>0</v>
      </c>
      <c r="N92" s="31">
        <f t="shared" si="5"/>
        <v>0</v>
      </c>
      <c r="O92" s="31">
        <f t="shared" si="5"/>
        <v>0</v>
      </c>
      <c r="P92" s="31">
        <f t="shared" si="5"/>
        <v>0</v>
      </c>
      <c r="Q92" s="31">
        <f t="shared" si="5"/>
        <v>0</v>
      </c>
      <c r="R92" s="31">
        <f t="shared" si="9"/>
        <v>0</v>
      </c>
      <c r="S92" s="31">
        <f t="shared" si="9"/>
        <v>0</v>
      </c>
      <c r="T92" s="31">
        <f t="shared" si="9"/>
        <v>0</v>
      </c>
      <c r="U92" s="32">
        <f t="shared" si="8"/>
        <v>0</v>
      </c>
      <c r="V92" s="32">
        <f t="shared" si="8"/>
        <v>0</v>
      </c>
      <c r="W92" s="32">
        <f t="shared" si="8"/>
        <v>0</v>
      </c>
      <c r="X92" s="32">
        <f t="shared" si="7"/>
        <v>0</v>
      </c>
    </row>
    <row r="93" spans="1:24" ht="19.95" customHeight="1">
      <c r="A93" s="14"/>
      <c r="B93" s="15"/>
      <c r="C93" s="16"/>
      <c r="D93" s="16"/>
      <c r="E93" s="16"/>
      <c r="F93" s="16"/>
      <c r="G93" s="16"/>
      <c r="H93" s="16"/>
      <c r="I93" s="16"/>
      <c r="J93" s="19"/>
      <c r="L93" s="31">
        <f t="shared" si="5"/>
        <v>0</v>
      </c>
      <c r="M93" s="31">
        <f t="shared" si="5"/>
        <v>0</v>
      </c>
      <c r="N93" s="31">
        <f t="shared" si="5"/>
        <v>0</v>
      </c>
      <c r="O93" s="31">
        <f t="shared" si="5"/>
        <v>0</v>
      </c>
      <c r="P93" s="31">
        <f t="shared" si="5"/>
        <v>0</v>
      </c>
      <c r="Q93" s="31">
        <f t="shared" si="5"/>
        <v>0</v>
      </c>
      <c r="R93" s="31">
        <f t="shared" si="9"/>
        <v>0</v>
      </c>
      <c r="S93" s="31">
        <f t="shared" si="9"/>
        <v>0</v>
      </c>
      <c r="T93" s="31">
        <f t="shared" si="9"/>
        <v>0</v>
      </c>
      <c r="U93" s="32">
        <f t="shared" si="8"/>
        <v>0</v>
      </c>
      <c r="V93" s="32">
        <f t="shared" si="8"/>
        <v>0</v>
      </c>
      <c r="W93" s="32">
        <f t="shared" si="8"/>
        <v>0</v>
      </c>
      <c r="X93" s="32">
        <f t="shared" si="7"/>
        <v>0</v>
      </c>
    </row>
    <row r="94" spans="1:24" ht="19.95" customHeight="1">
      <c r="A94" s="14"/>
      <c r="B94" s="15"/>
      <c r="C94" s="16"/>
      <c r="D94" s="16"/>
      <c r="E94" s="16"/>
      <c r="F94" s="16"/>
      <c r="G94" s="16"/>
      <c r="H94" s="16"/>
      <c r="I94" s="16"/>
      <c r="J94" s="19"/>
      <c r="L94" s="31">
        <f t="shared" si="5"/>
        <v>0</v>
      </c>
      <c r="M94" s="31">
        <f t="shared" si="5"/>
        <v>0</v>
      </c>
      <c r="N94" s="31">
        <f t="shared" si="5"/>
        <v>0</v>
      </c>
      <c r="O94" s="31">
        <f t="shared" si="5"/>
        <v>0</v>
      </c>
      <c r="P94" s="31">
        <f t="shared" si="5"/>
        <v>0</v>
      </c>
      <c r="Q94" s="31">
        <f t="shared" si="5"/>
        <v>0</v>
      </c>
      <c r="R94" s="31">
        <f t="shared" si="9"/>
        <v>0</v>
      </c>
      <c r="S94" s="31">
        <f t="shared" si="9"/>
        <v>0</v>
      </c>
      <c r="T94" s="31">
        <f t="shared" si="9"/>
        <v>0</v>
      </c>
      <c r="U94" s="32">
        <f t="shared" si="8"/>
        <v>0</v>
      </c>
      <c r="V94" s="32">
        <f t="shared" si="8"/>
        <v>0</v>
      </c>
      <c r="W94" s="32">
        <f t="shared" si="8"/>
        <v>0</v>
      </c>
      <c r="X94" s="32">
        <f t="shared" si="7"/>
        <v>0</v>
      </c>
    </row>
    <row r="95" spans="1:24" ht="19.95" customHeight="1">
      <c r="A95" s="14"/>
      <c r="B95" s="15"/>
      <c r="C95" s="16"/>
      <c r="D95" s="16"/>
      <c r="E95" s="16"/>
      <c r="F95" s="16"/>
      <c r="G95" s="16"/>
      <c r="H95" s="16"/>
      <c r="I95" s="16"/>
      <c r="J95" s="19"/>
      <c r="L95" s="31">
        <f t="shared" si="5"/>
        <v>0</v>
      </c>
      <c r="M95" s="31">
        <f t="shared" si="5"/>
        <v>0</v>
      </c>
      <c r="N95" s="31">
        <f t="shared" si="5"/>
        <v>0</v>
      </c>
      <c r="O95" s="31">
        <f t="shared" si="5"/>
        <v>0</v>
      </c>
      <c r="P95" s="31">
        <f t="shared" si="5"/>
        <v>0</v>
      </c>
      <c r="Q95" s="31">
        <f t="shared" si="5"/>
        <v>0</v>
      </c>
      <c r="R95" s="31">
        <f t="shared" si="9"/>
        <v>0</v>
      </c>
      <c r="S95" s="31">
        <f t="shared" si="9"/>
        <v>0</v>
      </c>
      <c r="T95" s="31">
        <f t="shared" si="9"/>
        <v>0</v>
      </c>
      <c r="U95" s="32">
        <f t="shared" si="8"/>
        <v>0</v>
      </c>
      <c r="V95" s="32">
        <f t="shared" si="8"/>
        <v>0</v>
      </c>
      <c r="W95" s="32">
        <f t="shared" si="8"/>
        <v>0</v>
      </c>
      <c r="X95" s="32">
        <f t="shared" si="7"/>
        <v>0</v>
      </c>
    </row>
    <row r="96" spans="1:24" ht="19.95" customHeight="1">
      <c r="A96" s="14"/>
      <c r="B96" s="15"/>
      <c r="C96" s="16"/>
      <c r="D96" s="16"/>
      <c r="E96" s="16"/>
      <c r="F96" s="16"/>
      <c r="G96" s="16"/>
      <c r="H96" s="16"/>
      <c r="I96" s="16"/>
      <c r="J96" s="19"/>
      <c r="L96" s="31">
        <f t="shared" si="5"/>
        <v>0</v>
      </c>
      <c r="M96" s="31">
        <f t="shared" si="5"/>
        <v>0</v>
      </c>
      <c r="N96" s="31">
        <f t="shared" si="5"/>
        <v>0</v>
      </c>
      <c r="O96" s="31">
        <f t="shared" si="5"/>
        <v>0</v>
      </c>
      <c r="P96" s="31">
        <f t="shared" si="5"/>
        <v>0</v>
      </c>
      <c r="Q96" s="31">
        <f t="shared" si="5"/>
        <v>0</v>
      </c>
      <c r="R96" s="31">
        <f t="shared" si="9"/>
        <v>0</v>
      </c>
      <c r="S96" s="31">
        <f t="shared" si="9"/>
        <v>0</v>
      </c>
      <c r="T96" s="31">
        <f t="shared" si="9"/>
        <v>0</v>
      </c>
      <c r="U96" s="32">
        <f t="shared" si="8"/>
        <v>0</v>
      </c>
      <c r="V96" s="32">
        <f t="shared" si="8"/>
        <v>0</v>
      </c>
      <c r="W96" s="32">
        <f t="shared" si="8"/>
        <v>0</v>
      </c>
      <c r="X96" s="32">
        <f t="shared" si="7"/>
        <v>0</v>
      </c>
    </row>
    <row r="97" spans="1:24" ht="19.95" customHeight="1">
      <c r="A97" s="14"/>
      <c r="B97" s="15"/>
      <c r="C97" s="16"/>
      <c r="D97" s="16"/>
      <c r="E97" s="16"/>
      <c r="F97" s="16"/>
      <c r="G97" s="16"/>
      <c r="H97" s="16"/>
      <c r="I97" s="16"/>
      <c r="J97" s="19"/>
      <c r="L97" s="31">
        <f t="shared" si="5"/>
        <v>0</v>
      </c>
      <c r="M97" s="31">
        <f t="shared" si="5"/>
        <v>0</v>
      </c>
      <c r="N97" s="31">
        <f t="shared" si="5"/>
        <v>0</v>
      </c>
      <c r="O97" s="31">
        <f t="shared" si="5"/>
        <v>0</v>
      </c>
      <c r="P97" s="31">
        <f t="shared" si="5"/>
        <v>0</v>
      </c>
      <c r="Q97" s="31">
        <f t="shared" si="5"/>
        <v>0</v>
      </c>
      <c r="R97" s="31">
        <f t="shared" si="9"/>
        <v>0</v>
      </c>
      <c r="S97" s="31">
        <f t="shared" si="9"/>
        <v>0</v>
      </c>
      <c r="T97" s="31">
        <f t="shared" si="9"/>
        <v>0</v>
      </c>
      <c r="U97" s="32">
        <f t="shared" si="8"/>
        <v>0</v>
      </c>
      <c r="V97" s="32">
        <f t="shared" si="8"/>
        <v>0</v>
      </c>
      <c r="W97" s="32">
        <f t="shared" si="8"/>
        <v>0</v>
      </c>
      <c r="X97" s="32">
        <f t="shared" si="7"/>
        <v>0</v>
      </c>
    </row>
    <row r="98" spans="1:24" ht="19.95" customHeight="1">
      <c r="A98" s="14"/>
      <c r="B98" s="15"/>
      <c r="C98" s="16"/>
      <c r="D98" s="16"/>
      <c r="E98" s="16"/>
      <c r="F98" s="16"/>
      <c r="G98" s="16"/>
      <c r="H98" s="16"/>
      <c r="I98" s="16"/>
      <c r="J98" s="19"/>
      <c r="L98" s="31">
        <f t="shared" si="5"/>
        <v>0</v>
      </c>
      <c r="M98" s="31">
        <f t="shared" si="5"/>
        <v>0</v>
      </c>
      <c r="N98" s="31">
        <f t="shared" si="5"/>
        <v>0</v>
      </c>
      <c r="O98" s="31">
        <f t="shared" si="5"/>
        <v>0</v>
      </c>
      <c r="P98" s="31">
        <f t="shared" si="5"/>
        <v>0</v>
      </c>
      <c r="Q98" s="31">
        <f t="shared" si="5"/>
        <v>0</v>
      </c>
      <c r="R98" s="31">
        <f t="shared" si="9"/>
        <v>0</v>
      </c>
      <c r="S98" s="31">
        <f t="shared" si="9"/>
        <v>0</v>
      </c>
      <c r="T98" s="31">
        <f t="shared" si="9"/>
        <v>0</v>
      </c>
      <c r="U98" s="32">
        <f t="shared" si="8"/>
        <v>0</v>
      </c>
      <c r="V98" s="32">
        <f t="shared" si="8"/>
        <v>0</v>
      </c>
      <c r="W98" s="32">
        <f t="shared" si="8"/>
        <v>0</v>
      </c>
      <c r="X98" s="32">
        <f t="shared" si="7"/>
        <v>0</v>
      </c>
    </row>
    <row r="99" spans="1:24" ht="16.8" customHeight="1">
      <c r="A99" s="14"/>
      <c r="B99" s="15"/>
      <c r="C99" s="16"/>
      <c r="D99" s="16"/>
      <c r="E99" s="16"/>
      <c r="F99" s="16"/>
      <c r="G99" s="16"/>
      <c r="H99" s="16"/>
      <c r="I99" s="16"/>
      <c r="J99" s="19"/>
      <c r="L99" s="31">
        <f t="shared" si="5"/>
        <v>0</v>
      </c>
      <c r="M99" s="31">
        <f t="shared" si="5"/>
        <v>0</v>
      </c>
      <c r="N99" s="31">
        <f t="shared" si="5"/>
        <v>0</v>
      </c>
      <c r="O99" s="31">
        <f t="shared" si="5"/>
        <v>0</v>
      </c>
      <c r="P99" s="31">
        <f t="shared" si="5"/>
        <v>0</v>
      </c>
      <c r="Q99" s="31">
        <f t="shared" si="5"/>
        <v>0</v>
      </c>
      <c r="R99" s="31">
        <f t="shared" si="9"/>
        <v>0</v>
      </c>
      <c r="S99" s="31">
        <f t="shared" si="9"/>
        <v>0</v>
      </c>
      <c r="T99" s="31">
        <f t="shared" si="9"/>
        <v>0</v>
      </c>
      <c r="U99" s="32">
        <f t="shared" si="8"/>
        <v>0</v>
      </c>
      <c r="V99" s="32">
        <f t="shared" si="8"/>
        <v>0</v>
      </c>
      <c r="W99" s="32">
        <f t="shared" si="8"/>
        <v>0</v>
      </c>
      <c r="X99" s="32">
        <f t="shared" si="7"/>
        <v>0</v>
      </c>
    </row>
    <row r="100" spans="1:24" ht="19.95" customHeight="1">
      <c r="A100" s="14"/>
      <c r="B100" s="15"/>
      <c r="C100" s="16"/>
      <c r="D100" s="16"/>
      <c r="E100" s="16"/>
      <c r="F100" s="16"/>
      <c r="G100" s="16"/>
      <c r="H100" s="16"/>
      <c r="I100" s="16"/>
      <c r="J100" s="19"/>
      <c r="L100" s="31">
        <f t="shared" si="5"/>
        <v>0</v>
      </c>
      <c r="M100" s="31">
        <f t="shared" si="5"/>
        <v>0</v>
      </c>
      <c r="N100" s="31">
        <f t="shared" si="5"/>
        <v>0</v>
      </c>
      <c r="O100" s="31">
        <f t="shared" si="5"/>
        <v>0</v>
      </c>
      <c r="P100" s="31">
        <f t="shared" si="5"/>
        <v>0</v>
      </c>
      <c r="Q100" s="31">
        <f t="shared" si="5"/>
        <v>0</v>
      </c>
      <c r="R100" s="31">
        <f t="shared" si="9"/>
        <v>0</v>
      </c>
      <c r="S100" s="31">
        <f t="shared" si="9"/>
        <v>0</v>
      </c>
      <c r="T100" s="31">
        <f t="shared" si="9"/>
        <v>0</v>
      </c>
      <c r="U100" s="32">
        <f t="shared" si="8"/>
        <v>0</v>
      </c>
      <c r="V100" s="32">
        <f t="shared" si="8"/>
        <v>0</v>
      </c>
      <c r="W100" s="32">
        <f t="shared" si="8"/>
        <v>0</v>
      </c>
      <c r="X100" s="32">
        <f t="shared" si="7"/>
        <v>0</v>
      </c>
    </row>
    <row r="101" spans="1:24" ht="19.95" customHeight="1">
      <c r="A101" s="14"/>
      <c r="B101" s="15"/>
      <c r="C101" s="16"/>
      <c r="D101" s="16"/>
      <c r="E101" s="16"/>
      <c r="F101" s="16"/>
      <c r="G101" s="16"/>
      <c r="H101" s="16"/>
      <c r="I101" s="16"/>
      <c r="J101" s="19"/>
      <c r="L101" s="31">
        <f t="shared" si="5"/>
        <v>0</v>
      </c>
      <c r="M101" s="31">
        <f t="shared" si="5"/>
        <v>0</v>
      </c>
      <c r="N101" s="31">
        <f t="shared" si="5"/>
        <v>0</v>
      </c>
      <c r="O101" s="31">
        <f t="shared" ref="O101:Q116" si="10">IFERROR(E102-E101,0)</f>
        <v>0</v>
      </c>
      <c r="P101" s="31">
        <f t="shared" si="10"/>
        <v>0</v>
      </c>
      <c r="Q101" s="31">
        <f t="shared" si="10"/>
        <v>0</v>
      </c>
      <c r="R101" s="31">
        <f t="shared" si="9"/>
        <v>0</v>
      </c>
      <c r="S101" s="31">
        <f t="shared" si="9"/>
        <v>0</v>
      </c>
      <c r="T101" s="31">
        <f t="shared" si="9"/>
        <v>0</v>
      </c>
      <c r="U101" s="32">
        <f t="shared" si="8"/>
        <v>0</v>
      </c>
      <c r="V101" s="32">
        <f t="shared" si="8"/>
        <v>0</v>
      </c>
      <c r="W101" s="32">
        <f t="shared" si="8"/>
        <v>0</v>
      </c>
      <c r="X101" s="32">
        <f t="shared" si="7"/>
        <v>0</v>
      </c>
    </row>
    <row r="102" spans="1:24" ht="19.95" customHeight="1">
      <c r="A102" s="14"/>
      <c r="B102" s="15"/>
      <c r="C102" s="16"/>
      <c r="D102" s="16"/>
      <c r="E102" s="16"/>
      <c r="F102" s="16"/>
      <c r="G102" s="16"/>
      <c r="H102" s="16"/>
      <c r="I102" s="16"/>
      <c r="J102" s="19"/>
      <c r="L102" s="31">
        <f t="shared" ref="L102:N116" si="11">IFERROR(B103-B102,0)</f>
        <v>0</v>
      </c>
      <c r="M102" s="31">
        <f t="shared" si="11"/>
        <v>0</v>
      </c>
      <c r="N102" s="31">
        <f t="shared" si="11"/>
        <v>0</v>
      </c>
      <c r="O102" s="31">
        <f t="shared" si="10"/>
        <v>0</v>
      </c>
      <c r="P102" s="31">
        <f t="shared" si="10"/>
        <v>0</v>
      </c>
      <c r="Q102" s="31">
        <f t="shared" si="10"/>
        <v>0</v>
      </c>
      <c r="R102" s="31">
        <f t="shared" si="9"/>
        <v>0</v>
      </c>
      <c r="S102" s="31">
        <f t="shared" si="9"/>
        <v>0</v>
      </c>
      <c r="T102" s="31">
        <f t="shared" si="9"/>
        <v>0</v>
      </c>
      <c r="U102" s="32">
        <f t="shared" si="8"/>
        <v>0</v>
      </c>
      <c r="V102" s="32">
        <f t="shared" si="8"/>
        <v>0</v>
      </c>
      <c r="W102" s="32">
        <f t="shared" si="8"/>
        <v>0</v>
      </c>
      <c r="X102" s="32">
        <f t="shared" ref="X102:X117" si="12">O102+P102+T102</f>
        <v>0</v>
      </c>
    </row>
    <row r="103" spans="1:24" ht="19.95" customHeight="1">
      <c r="A103" s="14"/>
      <c r="B103" s="15"/>
      <c r="C103" s="16"/>
      <c r="D103" s="16"/>
      <c r="E103" s="16"/>
      <c r="F103" s="16"/>
      <c r="G103" s="16"/>
      <c r="H103" s="16"/>
      <c r="I103" s="16"/>
      <c r="J103" s="19"/>
      <c r="L103" s="31">
        <f t="shared" si="11"/>
        <v>0</v>
      </c>
      <c r="M103" s="31">
        <f t="shared" si="11"/>
        <v>0</v>
      </c>
      <c r="N103" s="31">
        <f t="shared" si="11"/>
        <v>0</v>
      </c>
      <c r="O103" s="31">
        <f t="shared" si="10"/>
        <v>0</v>
      </c>
      <c r="P103" s="31">
        <f t="shared" si="10"/>
        <v>0</v>
      </c>
      <c r="Q103" s="31">
        <f t="shared" si="10"/>
        <v>0</v>
      </c>
      <c r="R103" s="31">
        <f t="shared" si="9"/>
        <v>0</v>
      </c>
      <c r="S103" s="31">
        <f t="shared" si="9"/>
        <v>0</v>
      </c>
      <c r="T103" s="31">
        <f t="shared" si="9"/>
        <v>0</v>
      </c>
      <c r="U103" s="32">
        <f t="shared" si="8"/>
        <v>0</v>
      </c>
      <c r="V103" s="32">
        <f t="shared" si="8"/>
        <v>0</v>
      </c>
      <c r="W103" s="32">
        <f t="shared" si="8"/>
        <v>0</v>
      </c>
      <c r="X103" s="32">
        <f t="shared" si="12"/>
        <v>0</v>
      </c>
    </row>
    <row r="104" spans="1:24" ht="19.95" customHeight="1">
      <c r="A104" s="14"/>
      <c r="B104" s="15"/>
      <c r="C104" s="16"/>
      <c r="D104" s="16"/>
      <c r="E104" s="16"/>
      <c r="F104" s="16"/>
      <c r="G104" s="16"/>
      <c r="H104" s="16"/>
      <c r="I104" s="16"/>
      <c r="J104" s="19"/>
      <c r="L104" s="31">
        <f t="shared" si="11"/>
        <v>0</v>
      </c>
      <c r="M104" s="31">
        <f t="shared" si="11"/>
        <v>0</v>
      </c>
      <c r="N104" s="31">
        <f t="shared" si="11"/>
        <v>0</v>
      </c>
      <c r="O104" s="31">
        <f t="shared" si="10"/>
        <v>0</v>
      </c>
      <c r="P104" s="31">
        <f t="shared" si="10"/>
        <v>0</v>
      </c>
      <c r="Q104" s="31">
        <f t="shared" si="10"/>
        <v>0</v>
      </c>
      <c r="R104" s="31">
        <f t="shared" si="9"/>
        <v>0</v>
      </c>
      <c r="S104" s="31">
        <f t="shared" si="9"/>
        <v>0</v>
      </c>
      <c r="T104" s="31">
        <f t="shared" si="9"/>
        <v>0</v>
      </c>
      <c r="U104" s="32">
        <f t="shared" si="8"/>
        <v>0</v>
      </c>
      <c r="V104" s="32">
        <f t="shared" si="8"/>
        <v>0</v>
      </c>
      <c r="W104" s="32">
        <f t="shared" si="8"/>
        <v>0</v>
      </c>
      <c r="X104" s="32">
        <f t="shared" si="12"/>
        <v>0</v>
      </c>
    </row>
    <row r="105" spans="1:24" ht="19.95" customHeight="1">
      <c r="A105" s="14"/>
      <c r="B105" s="15"/>
      <c r="C105" s="16"/>
      <c r="D105" s="16"/>
      <c r="E105" s="16"/>
      <c r="F105" s="16"/>
      <c r="G105" s="16"/>
      <c r="H105" s="16"/>
      <c r="I105" s="16"/>
      <c r="J105" s="19"/>
      <c r="L105" s="31">
        <f t="shared" si="11"/>
        <v>0</v>
      </c>
      <c r="M105" s="31">
        <f t="shared" si="11"/>
        <v>0</v>
      </c>
      <c r="N105" s="31">
        <f t="shared" si="11"/>
        <v>0</v>
      </c>
      <c r="O105" s="31">
        <f t="shared" si="10"/>
        <v>0</v>
      </c>
      <c r="P105" s="31">
        <f t="shared" si="10"/>
        <v>0</v>
      </c>
      <c r="Q105" s="31">
        <f t="shared" si="10"/>
        <v>0</v>
      </c>
      <c r="R105" s="31">
        <f t="shared" si="9"/>
        <v>0</v>
      </c>
      <c r="S105" s="31">
        <f t="shared" si="9"/>
        <v>0</v>
      </c>
      <c r="T105" s="31">
        <f t="shared" si="9"/>
        <v>0</v>
      </c>
      <c r="U105" s="32">
        <f t="shared" si="8"/>
        <v>0</v>
      </c>
      <c r="V105" s="32">
        <f t="shared" si="8"/>
        <v>0</v>
      </c>
      <c r="W105" s="32">
        <f t="shared" si="8"/>
        <v>0</v>
      </c>
      <c r="X105" s="32">
        <f t="shared" si="12"/>
        <v>0</v>
      </c>
    </row>
    <row r="106" spans="1:24" ht="19.95" customHeight="1">
      <c r="A106" s="14"/>
      <c r="B106" s="15"/>
      <c r="C106" s="16"/>
      <c r="D106" s="16"/>
      <c r="E106" s="16"/>
      <c r="F106" s="16"/>
      <c r="G106" s="16"/>
      <c r="H106" s="16"/>
      <c r="I106" s="16"/>
      <c r="J106" s="19"/>
      <c r="L106" s="31">
        <f t="shared" si="11"/>
        <v>0</v>
      </c>
      <c r="M106" s="31">
        <f t="shared" si="11"/>
        <v>0</v>
      </c>
      <c r="N106" s="31">
        <f t="shared" si="11"/>
        <v>0</v>
      </c>
      <c r="O106" s="31">
        <f t="shared" si="10"/>
        <v>0</v>
      </c>
      <c r="P106" s="31">
        <f t="shared" si="10"/>
        <v>0</v>
      </c>
      <c r="Q106" s="31">
        <f t="shared" si="10"/>
        <v>0</v>
      </c>
      <c r="R106" s="31">
        <f t="shared" si="9"/>
        <v>0</v>
      </c>
      <c r="S106" s="31">
        <f t="shared" si="9"/>
        <v>0</v>
      </c>
      <c r="T106" s="31">
        <f t="shared" si="9"/>
        <v>0</v>
      </c>
      <c r="U106" s="32">
        <f t="shared" si="8"/>
        <v>0</v>
      </c>
      <c r="V106" s="32">
        <f t="shared" si="8"/>
        <v>0</v>
      </c>
      <c r="W106" s="32">
        <f t="shared" si="8"/>
        <v>0</v>
      </c>
      <c r="X106" s="32">
        <f t="shared" si="12"/>
        <v>0</v>
      </c>
    </row>
    <row r="107" spans="1:24" ht="19.95" customHeight="1">
      <c r="A107" s="14"/>
      <c r="B107" s="15"/>
      <c r="C107" s="16"/>
      <c r="D107" s="16"/>
      <c r="E107" s="16"/>
      <c r="F107" s="16"/>
      <c r="G107" s="16"/>
      <c r="H107" s="16"/>
      <c r="I107" s="16"/>
      <c r="J107" s="19"/>
      <c r="L107" s="31">
        <f t="shared" si="11"/>
        <v>0</v>
      </c>
      <c r="M107" s="31">
        <f t="shared" si="11"/>
        <v>0</v>
      </c>
      <c r="N107" s="31">
        <f t="shared" si="11"/>
        <v>0</v>
      </c>
      <c r="O107" s="31">
        <f t="shared" si="10"/>
        <v>0</v>
      </c>
      <c r="P107" s="31">
        <f t="shared" si="10"/>
        <v>0</v>
      </c>
      <c r="Q107" s="31">
        <f t="shared" si="10"/>
        <v>0</v>
      </c>
      <c r="R107" s="31">
        <f t="shared" si="9"/>
        <v>0</v>
      </c>
      <c r="S107" s="31">
        <f t="shared" si="9"/>
        <v>0</v>
      </c>
      <c r="T107" s="31">
        <f t="shared" si="9"/>
        <v>0</v>
      </c>
      <c r="U107" s="32">
        <f t="shared" si="8"/>
        <v>0</v>
      </c>
      <c r="V107" s="32">
        <f t="shared" si="8"/>
        <v>0</v>
      </c>
      <c r="W107" s="32">
        <f t="shared" si="8"/>
        <v>0</v>
      </c>
      <c r="X107" s="32">
        <f t="shared" si="12"/>
        <v>0</v>
      </c>
    </row>
    <row r="108" spans="1:24" ht="19.95" customHeight="1">
      <c r="A108" s="14"/>
      <c r="B108" s="15"/>
      <c r="C108" s="16"/>
      <c r="D108" s="16"/>
      <c r="E108" s="16"/>
      <c r="F108" s="16"/>
      <c r="G108" s="16"/>
      <c r="H108" s="16"/>
      <c r="I108" s="16"/>
      <c r="J108" s="19"/>
      <c r="L108" s="31">
        <f t="shared" si="11"/>
        <v>0</v>
      </c>
      <c r="M108" s="31">
        <f t="shared" si="11"/>
        <v>0</v>
      </c>
      <c r="N108" s="31">
        <f t="shared" si="11"/>
        <v>0</v>
      </c>
      <c r="O108" s="31">
        <f t="shared" si="10"/>
        <v>0</v>
      </c>
      <c r="P108" s="31">
        <f t="shared" si="10"/>
        <v>0</v>
      </c>
      <c r="Q108" s="31">
        <f t="shared" si="10"/>
        <v>0</v>
      </c>
      <c r="R108" s="31">
        <f t="shared" si="9"/>
        <v>0</v>
      </c>
      <c r="S108" s="31">
        <f t="shared" si="9"/>
        <v>0</v>
      </c>
      <c r="T108" s="31">
        <f t="shared" si="9"/>
        <v>0</v>
      </c>
      <c r="U108" s="32">
        <f t="shared" si="8"/>
        <v>0</v>
      </c>
      <c r="V108" s="32">
        <f t="shared" si="8"/>
        <v>0</v>
      </c>
      <c r="W108" s="32">
        <f t="shared" si="8"/>
        <v>0</v>
      </c>
      <c r="X108" s="32">
        <f t="shared" si="12"/>
        <v>0</v>
      </c>
    </row>
    <row r="109" spans="1:24" ht="19.95" customHeight="1">
      <c r="A109" s="14"/>
      <c r="B109" s="15"/>
      <c r="C109" s="16"/>
      <c r="D109" s="16"/>
      <c r="E109" s="16"/>
      <c r="F109" s="16"/>
      <c r="G109" s="16"/>
      <c r="H109" s="16"/>
      <c r="I109" s="16"/>
      <c r="J109" s="19"/>
      <c r="L109" s="31">
        <f t="shared" si="11"/>
        <v>0</v>
      </c>
      <c r="M109" s="31">
        <f t="shared" si="11"/>
        <v>0</v>
      </c>
      <c r="N109" s="31">
        <f t="shared" si="11"/>
        <v>0</v>
      </c>
      <c r="O109" s="31">
        <f t="shared" si="10"/>
        <v>0</v>
      </c>
      <c r="P109" s="31">
        <f t="shared" si="10"/>
        <v>0</v>
      </c>
      <c r="Q109" s="31">
        <f t="shared" si="10"/>
        <v>0</v>
      </c>
      <c r="R109" s="31">
        <f t="shared" si="9"/>
        <v>0</v>
      </c>
      <c r="S109" s="31">
        <f t="shared" si="9"/>
        <v>0</v>
      </c>
      <c r="T109" s="31">
        <f t="shared" si="9"/>
        <v>0</v>
      </c>
      <c r="U109" s="32">
        <f t="shared" si="8"/>
        <v>0</v>
      </c>
      <c r="V109" s="32">
        <f t="shared" si="8"/>
        <v>0</v>
      </c>
      <c r="W109" s="32">
        <f t="shared" si="8"/>
        <v>0</v>
      </c>
      <c r="X109" s="32">
        <f t="shared" si="12"/>
        <v>0</v>
      </c>
    </row>
    <row r="110" spans="1:24" ht="19.95" customHeight="1">
      <c r="A110" s="14"/>
      <c r="B110" s="15"/>
      <c r="C110" s="16"/>
      <c r="D110" s="16"/>
      <c r="E110" s="16"/>
      <c r="F110" s="16"/>
      <c r="G110" s="16"/>
      <c r="H110" s="16"/>
      <c r="I110" s="16"/>
      <c r="J110" s="19"/>
      <c r="L110" s="31">
        <f t="shared" si="11"/>
        <v>0</v>
      </c>
      <c r="M110" s="31">
        <f t="shared" si="11"/>
        <v>0</v>
      </c>
      <c r="N110" s="31">
        <f t="shared" si="11"/>
        <v>0</v>
      </c>
      <c r="O110" s="31">
        <f t="shared" si="10"/>
        <v>0</v>
      </c>
      <c r="P110" s="31">
        <f t="shared" si="10"/>
        <v>0</v>
      </c>
      <c r="Q110" s="31">
        <f t="shared" si="10"/>
        <v>0</v>
      </c>
      <c r="R110" s="31">
        <f t="shared" si="9"/>
        <v>0</v>
      </c>
      <c r="S110" s="31">
        <f t="shared" si="9"/>
        <v>0</v>
      </c>
      <c r="T110" s="31">
        <f t="shared" si="9"/>
        <v>0</v>
      </c>
      <c r="U110" s="32">
        <f t="shared" si="8"/>
        <v>0</v>
      </c>
      <c r="V110" s="32">
        <f t="shared" si="8"/>
        <v>0</v>
      </c>
      <c r="W110" s="32">
        <f t="shared" si="8"/>
        <v>0</v>
      </c>
      <c r="X110" s="32">
        <f t="shared" si="12"/>
        <v>0</v>
      </c>
    </row>
    <row r="111" spans="1:24" ht="19.95" customHeight="1">
      <c r="A111" s="14"/>
      <c r="B111" s="15"/>
      <c r="C111" s="16"/>
      <c r="D111" s="16"/>
      <c r="E111" s="16"/>
      <c r="F111" s="16"/>
      <c r="G111" s="16"/>
      <c r="H111" s="16"/>
      <c r="I111" s="16"/>
      <c r="J111" s="19"/>
      <c r="L111" s="31">
        <f t="shared" si="11"/>
        <v>0</v>
      </c>
      <c r="M111" s="31">
        <f t="shared" si="11"/>
        <v>0</v>
      </c>
      <c r="N111" s="31">
        <f t="shared" si="11"/>
        <v>0</v>
      </c>
      <c r="O111" s="31">
        <f t="shared" si="10"/>
        <v>0</v>
      </c>
      <c r="P111" s="31">
        <f t="shared" si="10"/>
        <v>0</v>
      </c>
      <c r="Q111" s="31">
        <f t="shared" si="10"/>
        <v>0</v>
      </c>
      <c r="R111" s="31">
        <f t="shared" si="9"/>
        <v>0</v>
      </c>
      <c r="S111" s="31">
        <f t="shared" si="9"/>
        <v>0</v>
      </c>
      <c r="T111" s="31">
        <f t="shared" si="9"/>
        <v>0</v>
      </c>
      <c r="U111" s="32">
        <f t="shared" si="8"/>
        <v>0</v>
      </c>
      <c r="V111" s="32">
        <f t="shared" si="8"/>
        <v>0</v>
      </c>
      <c r="W111" s="32">
        <f t="shared" si="8"/>
        <v>0</v>
      </c>
      <c r="X111" s="32">
        <f t="shared" si="12"/>
        <v>0</v>
      </c>
    </row>
    <row r="112" spans="1:24" ht="19.95" customHeight="1">
      <c r="A112" s="14"/>
      <c r="B112" s="15"/>
      <c r="C112" s="16"/>
      <c r="D112" s="16"/>
      <c r="E112" s="16"/>
      <c r="F112" s="16"/>
      <c r="G112" s="16"/>
      <c r="H112" s="16"/>
      <c r="I112" s="16"/>
      <c r="J112" s="19"/>
      <c r="L112" s="31">
        <f t="shared" si="11"/>
        <v>0</v>
      </c>
      <c r="M112" s="31">
        <f t="shared" si="11"/>
        <v>0</v>
      </c>
      <c r="N112" s="31">
        <f t="shared" si="11"/>
        <v>0</v>
      </c>
      <c r="O112" s="31">
        <f t="shared" si="10"/>
        <v>0</v>
      </c>
      <c r="P112" s="31">
        <f t="shared" si="10"/>
        <v>0</v>
      </c>
      <c r="Q112" s="31">
        <f t="shared" si="10"/>
        <v>0</v>
      </c>
      <c r="R112" s="31">
        <f t="shared" si="9"/>
        <v>0</v>
      </c>
      <c r="S112" s="31">
        <f t="shared" si="9"/>
        <v>0</v>
      </c>
      <c r="T112" s="31">
        <f t="shared" si="9"/>
        <v>0</v>
      </c>
      <c r="U112" s="32">
        <f t="shared" si="8"/>
        <v>0</v>
      </c>
      <c r="V112" s="32">
        <f t="shared" si="8"/>
        <v>0</v>
      </c>
      <c r="W112" s="32">
        <f t="shared" si="8"/>
        <v>0</v>
      </c>
      <c r="X112" s="32">
        <f t="shared" si="12"/>
        <v>0</v>
      </c>
    </row>
    <row r="113" spans="1:24" ht="19.95" customHeight="1">
      <c r="A113" s="14"/>
      <c r="B113" s="15"/>
      <c r="C113" s="16"/>
      <c r="D113" s="16"/>
      <c r="E113" s="16"/>
      <c r="F113" s="16"/>
      <c r="G113" s="16"/>
      <c r="H113" s="16"/>
      <c r="I113" s="16"/>
      <c r="J113" s="19"/>
      <c r="L113" s="31">
        <f t="shared" si="11"/>
        <v>0</v>
      </c>
      <c r="M113" s="31">
        <f t="shared" si="11"/>
        <v>0</v>
      </c>
      <c r="N113" s="31">
        <f t="shared" si="11"/>
        <v>0</v>
      </c>
      <c r="O113" s="31">
        <f t="shared" si="10"/>
        <v>0</v>
      </c>
      <c r="P113" s="31">
        <f t="shared" si="10"/>
        <v>0</v>
      </c>
      <c r="Q113" s="31">
        <f t="shared" si="10"/>
        <v>0</v>
      </c>
      <c r="R113" s="31">
        <f t="shared" si="9"/>
        <v>0</v>
      </c>
      <c r="S113" s="31">
        <f t="shared" si="9"/>
        <v>0</v>
      </c>
      <c r="T113" s="31">
        <f t="shared" si="9"/>
        <v>0</v>
      </c>
      <c r="U113" s="32">
        <f t="shared" si="8"/>
        <v>0</v>
      </c>
      <c r="V113" s="32">
        <f t="shared" si="8"/>
        <v>0</v>
      </c>
      <c r="W113" s="32">
        <f t="shared" si="8"/>
        <v>0</v>
      </c>
      <c r="X113" s="32">
        <f t="shared" si="12"/>
        <v>0</v>
      </c>
    </row>
    <row r="114" spans="1:24" ht="19.95" customHeight="1">
      <c r="A114" s="14"/>
      <c r="B114" s="15"/>
      <c r="C114" s="16"/>
      <c r="D114" s="16"/>
      <c r="E114" s="16"/>
      <c r="F114" s="16"/>
      <c r="G114" s="16"/>
      <c r="H114" s="16"/>
      <c r="I114" s="16"/>
      <c r="J114" s="19"/>
      <c r="L114" s="31">
        <f t="shared" si="11"/>
        <v>0</v>
      </c>
      <c r="M114" s="31">
        <f t="shared" si="11"/>
        <v>0</v>
      </c>
      <c r="N114" s="31">
        <f t="shared" si="11"/>
        <v>0</v>
      </c>
      <c r="O114" s="31">
        <f t="shared" si="10"/>
        <v>0</v>
      </c>
      <c r="P114" s="31">
        <f t="shared" si="10"/>
        <v>0</v>
      </c>
      <c r="Q114" s="31">
        <f t="shared" si="10"/>
        <v>0</v>
      </c>
      <c r="R114" s="31">
        <f t="shared" si="9"/>
        <v>0</v>
      </c>
      <c r="S114" s="31">
        <f t="shared" si="9"/>
        <v>0</v>
      </c>
      <c r="T114" s="31">
        <f t="shared" si="9"/>
        <v>0</v>
      </c>
      <c r="U114" s="32">
        <f t="shared" si="8"/>
        <v>0</v>
      </c>
      <c r="V114" s="32">
        <f t="shared" si="8"/>
        <v>0</v>
      </c>
      <c r="W114" s="32">
        <f t="shared" si="8"/>
        <v>0</v>
      </c>
      <c r="X114" s="32">
        <f t="shared" si="12"/>
        <v>0</v>
      </c>
    </row>
    <row r="115" spans="1:24" ht="19.95" customHeight="1">
      <c r="A115" s="14"/>
      <c r="B115" s="15"/>
      <c r="C115" s="16"/>
      <c r="D115" s="16"/>
      <c r="E115" s="16"/>
      <c r="F115" s="16"/>
      <c r="G115" s="16"/>
      <c r="H115" s="16"/>
      <c r="I115" s="16"/>
      <c r="J115" s="19"/>
      <c r="L115" s="31">
        <f t="shared" si="11"/>
        <v>0</v>
      </c>
      <c r="M115" s="31">
        <f t="shared" si="11"/>
        <v>0</v>
      </c>
      <c r="N115" s="31">
        <f t="shared" si="11"/>
        <v>0</v>
      </c>
      <c r="O115" s="31">
        <f t="shared" si="10"/>
        <v>0</v>
      </c>
      <c r="P115" s="31">
        <f t="shared" si="10"/>
        <v>0</v>
      </c>
      <c r="Q115" s="31">
        <f t="shared" si="10"/>
        <v>0</v>
      </c>
      <c r="R115" s="31">
        <f t="shared" si="9"/>
        <v>0</v>
      </c>
      <c r="S115" s="31">
        <f t="shared" si="9"/>
        <v>0</v>
      </c>
      <c r="T115" s="31">
        <f t="shared" si="9"/>
        <v>0</v>
      </c>
      <c r="U115" s="32">
        <f t="shared" si="8"/>
        <v>0</v>
      </c>
      <c r="V115" s="32">
        <f t="shared" si="8"/>
        <v>0</v>
      </c>
      <c r="W115" s="32">
        <f t="shared" si="8"/>
        <v>0</v>
      </c>
      <c r="X115" s="32">
        <f t="shared" si="12"/>
        <v>0</v>
      </c>
    </row>
    <row r="116" spans="1:24" ht="19.95" customHeight="1">
      <c r="A116" s="14"/>
      <c r="B116" s="15"/>
      <c r="C116" s="16"/>
      <c r="D116" s="16"/>
      <c r="E116" s="16"/>
      <c r="F116" s="16"/>
      <c r="G116" s="16"/>
      <c r="H116" s="16"/>
      <c r="I116" s="16"/>
      <c r="J116" s="19"/>
      <c r="L116" s="31">
        <f t="shared" si="11"/>
        <v>0</v>
      </c>
      <c r="M116" s="31">
        <f t="shared" si="11"/>
        <v>0</v>
      </c>
      <c r="N116" s="31">
        <f t="shared" si="11"/>
        <v>0</v>
      </c>
      <c r="O116" s="31">
        <f t="shared" si="10"/>
        <v>0</v>
      </c>
      <c r="P116" s="31">
        <f t="shared" si="10"/>
        <v>0</v>
      </c>
      <c r="Q116" s="31">
        <f t="shared" si="10"/>
        <v>0</v>
      </c>
      <c r="R116" s="31">
        <f t="shared" si="9"/>
        <v>0</v>
      </c>
      <c r="S116" s="31">
        <f t="shared" si="9"/>
        <v>0</v>
      </c>
      <c r="T116" s="31">
        <f t="shared" si="9"/>
        <v>0</v>
      </c>
      <c r="U116" s="32">
        <f t="shared" si="8"/>
        <v>0</v>
      </c>
      <c r="V116" s="32">
        <f t="shared" si="8"/>
        <v>0</v>
      </c>
      <c r="W116" s="32">
        <f t="shared" si="8"/>
        <v>0</v>
      </c>
      <c r="X116" s="32">
        <f t="shared" si="12"/>
        <v>0</v>
      </c>
    </row>
    <row r="117" spans="1:24" ht="16.8" customHeight="1">
      <c r="A117" s="14"/>
      <c r="B117" s="15"/>
      <c r="C117" s="16"/>
      <c r="D117" s="16"/>
      <c r="E117" s="16"/>
      <c r="F117" s="16"/>
      <c r="G117" s="16"/>
      <c r="H117" s="16"/>
      <c r="I117" s="16"/>
      <c r="J117" s="19"/>
      <c r="L117" s="20"/>
      <c r="M117" s="20"/>
      <c r="N117" s="20"/>
      <c r="O117" s="20"/>
      <c r="P117" s="20"/>
      <c r="Q117" s="20"/>
      <c r="R117" s="20"/>
      <c r="S117" s="20"/>
      <c r="T117" s="20"/>
      <c r="U117" s="21">
        <f t="shared" ref="U117:W117" si="13">L117+Q117</f>
        <v>0</v>
      </c>
      <c r="V117" s="21">
        <f t="shared" si="13"/>
        <v>0</v>
      </c>
      <c r="W117" s="21">
        <f t="shared" si="13"/>
        <v>0</v>
      </c>
      <c r="X117" s="21">
        <f t="shared" si="12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2"/>
  <sheetViews>
    <sheetView topLeftCell="Q1" zoomScale="76" workbookViewId="0">
      <selection activeCell="Z39" sqref="Z39"/>
    </sheetView>
  </sheetViews>
  <sheetFormatPr defaultColWidth="8.77734375" defaultRowHeight="13.2"/>
  <cols>
    <col min="1" max="1" width="18.5546875" style="6" customWidth="1"/>
    <col min="2" max="2" width="11.21875" style="6" customWidth="1"/>
    <col min="3" max="10" width="10.6640625" style="6" customWidth="1"/>
    <col min="11" max="11" width="8.77734375" style="6"/>
    <col min="12" max="19" width="15.44140625" style="7" customWidth="1"/>
    <col min="20" max="20" width="11.21875" style="7" customWidth="1"/>
    <col min="21" max="23" width="11.44140625" style="6" customWidth="1"/>
    <col min="24" max="24" width="10.21875" style="6" customWidth="1"/>
    <col min="25" max="16384" width="8.77734375" style="6"/>
  </cols>
  <sheetData>
    <row r="1" spans="1:24" ht="14.25" customHeight="1">
      <c r="A1" s="4" t="s">
        <v>144</v>
      </c>
      <c r="B1" s="4"/>
      <c r="C1" s="4"/>
      <c r="D1" s="5"/>
      <c r="E1" s="5"/>
      <c r="F1" s="5"/>
      <c r="G1" s="5"/>
      <c r="H1" s="5"/>
      <c r="I1" s="4" t="s">
        <v>145</v>
      </c>
      <c r="J1" s="4"/>
    </row>
    <row r="2" spans="1:24" ht="14.25" customHeight="1">
      <c r="A2" s="4" t="s">
        <v>146</v>
      </c>
      <c r="B2" s="4"/>
      <c r="C2" s="4"/>
      <c r="D2" s="5"/>
      <c r="E2" s="5"/>
      <c r="F2" s="5"/>
      <c r="G2" s="5"/>
      <c r="H2" s="5"/>
      <c r="I2" s="5"/>
      <c r="J2" s="5"/>
    </row>
    <row r="3" spans="1:24" ht="14.25" customHeight="1">
      <c r="A3" s="4" t="s">
        <v>147</v>
      </c>
      <c r="B3" s="4"/>
      <c r="C3" s="5"/>
      <c r="D3" s="5"/>
      <c r="E3" s="5"/>
      <c r="F3" s="5"/>
      <c r="G3" s="5"/>
      <c r="H3" s="5"/>
      <c r="I3" s="5"/>
      <c r="J3" s="5"/>
    </row>
    <row r="4" spans="1:24" ht="14.25" customHeight="1">
      <c r="A4" s="4" t="s">
        <v>148</v>
      </c>
      <c r="B4" s="4"/>
      <c r="C4" s="4"/>
      <c r="D4" s="5"/>
      <c r="E4" s="5"/>
      <c r="F4" s="5"/>
      <c r="G4" s="5"/>
      <c r="H4" s="5"/>
      <c r="I4" s="5"/>
      <c r="J4" s="5"/>
    </row>
    <row r="5" spans="1:24" ht="14.25" customHeight="1">
      <c r="A5" s="4" t="s">
        <v>149</v>
      </c>
      <c r="B5" s="4"/>
      <c r="C5" s="5"/>
      <c r="D5" s="5"/>
      <c r="E5" s="5"/>
      <c r="F5" s="5"/>
      <c r="G5" s="5"/>
      <c r="H5" s="5"/>
      <c r="I5" s="5"/>
      <c r="J5" s="5"/>
    </row>
    <row r="6" spans="1:24" ht="14.25" customHeight="1">
      <c r="A6" s="4" t="s">
        <v>150</v>
      </c>
      <c r="B6" s="4"/>
      <c r="C6" s="4"/>
      <c r="D6" s="5"/>
      <c r="E6" s="5"/>
      <c r="F6" s="5"/>
      <c r="G6" s="5"/>
      <c r="H6" s="5"/>
      <c r="I6" s="5"/>
      <c r="J6" s="5"/>
    </row>
    <row r="7" spans="1:24" ht="14.25" customHeight="1">
      <c r="A7" s="4" t="s">
        <v>151</v>
      </c>
      <c r="B7" s="4"/>
      <c r="C7" s="5"/>
      <c r="D7" s="5"/>
      <c r="E7" s="5"/>
      <c r="F7" s="5"/>
      <c r="G7" s="5"/>
      <c r="H7" s="5"/>
      <c r="I7" s="5"/>
      <c r="J7" s="5"/>
    </row>
    <row r="8" spans="1:24" ht="28.95" customHeight="1">
      <c r="A8" s="8" t="s">
        <v>152</v>
      </c>
      <c r="B8" s="8"/>
      <c r="C8" s="9"/>
      <c r="D8" s="9"/>
      <c r="E8" s="9"/>
      <c r="F8" s="9"/>
      <c r="G8" s="9"/>
      <c r="H8" s="9"/>
      <c r="I8" s="9"/>
      <c r="J8" s="9"/>
      <c r="L8" s="28">
        <f t="shared" ref="L8:X8" si="0">SUBTOTAL(9,L10:L11151)</f>
        <v>-395634.9</v>
      </c>
      <c r="M8" s="28">
        <f t="shared" si="0"/>
        <v>-216048.1</v>
      </c>
      <c r="N8" s="28">
        <f t="shared" si="0"/>
        <v>-34876.199999999997</v>
      </c>
      <c r="O8" s="28">
        <f t="shared" si="0"/>
        <v>-355078.5</v>
      </c>
      <c r="P8" s="28">
        <f t="shared" si="0"/>
        <v>-238362.8</v>
      </c>
      <c r="Q8" s="28">
        <f t="shared" si="0"/>
        <v>-502130.1</v>
      </c>
      <c r="R8" s="28">
        <f t="shared" si="0"/>
        <v>-303165.5</v>
      </c>
      <c r="S8" s="28">
        <f t="shared" si="0"/>
        <v>-671211.6</v>
      </c>
      <c r="T8" s="28">
        <f t="shared" si="0"/>
        <v>-1382335</v>
      </c>
      <c r="U8" s="28">
        <f t="shared" si="0"/>
        <v>-897765</v>
      </c>
      <c r="V8" s="28">
        <f t="shared" si="0"/>
        <v>-519213.6</v>
      </c>
      <c r="W8" s="28">
        <f t="shared" si="0"/>
        <v>-706087.79999999993</v>
      </c>
      <c r="X8" s="28">
        <f t="shared" si="0"/>
        <v>-1975776.2999999998</v>
      </c>
    </row>
    <row r="9" spans="1:24" ht="52.8">
      <c r="A9" s="10" t="s">
        <v>153</v>
      </c>
      <c r="B9" s="11" t="s">
        <v>154</v>
      </c>
      <c r="C9" s="10" t="s">
        <v>155</v>
      </c>
      <c r="D9" s="10" t="s">
        <v>156</v>
      </c>
      <c r="E9" s="10" t="s">
        <v>157</v>
      </c>
      <c r="F9" s="10" t="s">
        <v>158</v>
      </c>
      <c r="G9" s="10" t="s">
        <v>159</v>
      </c>
      <c r="H9" s="12" t="s">
        <v>160</v>
      </c>
      <c r="I9" s="13" t="s">
        <v>161</v>
      </c>
      <c r="J9" s="10" t="s">
        <v>162</v>
      </c>
      <c r="L9" s="29" t="s">
        <v>165</v>
      </c>
      <c r="M9" s="29" t="s">
        <v>166</v>
      </c>
      <c r="N9" s="29" t="s">
        <v>167</v>
      </c>
      <c r="O9" s="29" t="s">
        <v>168</v>
      </c>
      <c r="P9" s="29" t="s">
        <v>169</v>
      </c>
      <c r="Q9" s="29" t="s">
        <v>170</v>
      </c>
      <c r="R9" s="29" t="s">
        <v>171</v>
      </c>
      <c r="S9" s="29" t="s">
        <v>172</v>
      </c>
      <c r="T9" s="29" t="s">
        <v>173</v>
      </c>
      <c r="U9" s="30" t="s">
        <v>163</v>
      </c>
      <c r="V9" s="30" t="s">
        <v>126</v>
      </c>
      <c r="W9" s="30" t="s">
        <v>128</v>
      </c>
      <c r="X9" s="30" t="s">
        <v>164</v>
      </c>
    </row>
    <row r="10" spans="1:24" ht="19.95" customHeight="1">
      <c r="A10" s="14" t="s">
        <v>184</v>
      </c>
      <c r="B10" s="33">
        <v>395634.9</v>
      </c>
      <c r="C10" s="14" t="s">
        <v>176</v>
      </c>
      <c r="D10" s="34">
        <v>34876.199999999997</v>
      </c>
      <c r="E10" s="34">
        <v>355078.5</v>
      </c>
      <c r="F10" s="34">
        <v>238362.8</v>
      </c>
      <c r="G10" s="34">
        <v>502130.1</v>
      </c>
      <c r="H10" s="17" t="s">
        <v>176</v>
      </c>
      <c r="I10" s="34">
        <v>671211.6</v>
      </c>
      <c r="J10" s="34">
        <v>1382335</v>
      </c>
      <c r="L10" s="31">
        <f>IFERROR(B11-B10,0)</f>
        <v>501.69999999995343</v>
      </c>
      <c r="M10" s="31">
        <f t="shared" ref="M10:T25" si="1">IFERROR(C11-C10,0)</f>
        <v>0</v>
      </c>
      <c r="N10" s="31">
        <f t="shared" si="1"/>
        <v>204.90000000000146</v>
      </c>
      <c r="O10" s="31">
        <f t="shared" si="1"/>
        <v>371.59999999997672</v>
      </c>
      <c r="P10" s="31">
        <f t="shared" si="1"/>
        <v>227.20000000001164</v>
      </c>
      <c r="Q10" s="31">
        <f t="shared" si="1"/>
        <v>917.90000000002328</v>
      </c>
      <c r="R10" s="31">
        <f t="shared" si="1"/>
        <v>0</v>
      </c>
      <c r="S10" s="31">
        <f t="shared" si="1"/>
        <v>951.20000000006985</v>
      </c>
      <c r="T10" s="31">
        <f t="shared" si="1"/>
        <v>1452</v>
      </c>
      <c r="U10" s="32">
        <f>L10+Q10</f>
        <v>1419.5999999999767</v>
      </c>
      <c r="V10" s="32">
        <f>M10+R10</f>
        <v>0</v>
      </c>
      <c r="W10" s="32">
        <f>N10+S10</f>
        <v>1156.1000000000713</v>
      </c>
      <c r="X10" s="32">
        <f t="shared" ref="X10:X72" si="2">O10+P10+T10</f>
        <v>2050.7999999999884</v>
      </c>
    </row>
    <row r="11" spans="1:24" ht="19.95" customHeight="1">
      <c r="A11" s="14" t="s">
        <v>185</v>
      </c>
      <c r="B11" s="33">
        <v>396136.6</v>
      </c>
      <c r="C11" s="14" t="s">
        <v>176</v>
      </c>
      <c r="D11" s="34">
        <v>35081.1</v>
      </c>
      <c r="E11" s="34">
        <v>355450.1</v>
      </c>
      <c r="F11" s="34">
        <v>238590</v>
      </c>
      <c r="G11" s="34">
        <v>503048</v>
      </c>
      <c r="H11" s="17" t="s">
        <v>176</v>
      </c>
      <c r="I11" s="34">
        <v>672162.8</v>
      </c>
      <c r="J11" s="34">
        <v>1383787</v>
      </c>
      <c r="L11" s="31">
        <f t="shared" ref="L11:T43" si="3">IFERROR(B12-B11,0)</f>
        <v>502.5</v>
      </c>
      <c r="M11" s="31">
        <f t="shared" si="1"/>
        <v>0</v>
      </c>
      <c r="N11" s="31">
        <f t="shared" si="1"/>
        <v>326.40000000000146</v>
      </c>
      <c r="O11" s="31">
        <f t="shared" si="1"/>
        <v>365.40000000002328</v>
      </c>
      <c r="P11" s="31">
        <f t="shared" si="1"/>
        <v>222.20000000001164</v>
      </c>
      <c r="Q11" s="31">
        <f t="shared" si="1"/>
        <v>873.29999999998836</v>
      </c>
      <c r="R11" s="31">
        <f t="shared" si="1"/>
        <v>0</v>
      </c>
      <c r="S11" s="31">
        <f t="shared" si="1"/>
        <v>1377.3999999999069</v>
      </c>
      <c r="T11" s="31">
        <f t="shared" si="1"/>
        <v>1404</v>
      </c>
      <c r="U11" s="32">
        <f t="shared" ref="U11:W43" si="4">L11+Q11</f>
        <v>1375.7999999999884</v>
      </c>
      <c r="V11" s="32">
        <f t="shared" si="4"/>
        <v>0</v>
      </c>
      <c r="W11" s="32">
        <f t="shared" si="4"/>
        <v>1703.7999999999083</v>
      </c>
      <c r="X11" s="32">
        <f t="shared" si="2"/>
        <v>1991.6000000000349</v>
      </c>
    </row>
    <row r="12" spans="1:24" ht="19.95" customHeight="1">
      <c r="A12" s="14" t="s">
        <v>186</v>
      </c>
      <c r="B12" s="33">
        <v>396639.1</v>
      </c>
      <c r="C12" s="14" t="s">
        <v>176</v>
      </c>
      <c r="D12" s="34">
        <v>35407.5</v>
      </c>
      <c r="E12" s="34">
        <v>355815.5</v>
      </c>
      <c r="F12" s="34">
        <v>238812.2</v>
      </c>
      <c r="G12" s="34">
        <v>503921.3</v>
      </c>
      <c r="H12" s="17" t="s">
        <v>176</v>
      </c>
      <c r="I12" s="34">
        <v>673540.2</v>
      </c>
      <c r="J12" s="34">
        <v>1385191</v>
      </c>
      <c r="L12" s="31">
        <f t="shared" si="3"/>
        <v>497.40000000002328</v>
      </c>
      <c r="M12" s="31">
        <f t="shared" si="1"/>
        <v>0</v>
      </c>
      <c r="N12" s="31">
        <f t="shared" si="1"/>
        <v>334</v>
      </c>
      <c r="O12" s="31">
        <f t="shared" si="1"/>
        <v>369.70000000001164</v>
      </c>
      <c r="P12" s="31">
        <f t="shared" si="1"/>
        <v>227</v>
      </c>
      <c r="Q12" s="31">
        <f t="shared" si="1"/>
        <v>927</v>
      </c>
      <c r="R12" s="31">
        <f t="shared" si="1"/>
        <v>0</v>
      </c>
      <c r="S12" s="31">
        <f t="shared" si="1"/>
        <v>1302.8000000000466</v>
      </c>
      <c r="T12" s="31">
        <f t="shared" si="1"/>
        <v>1436</v>
      </c>
      <c r="U12" s="32">
        <f t="shared" si="4"/>
        <v>1424.4000000000233</v>
      </c>
      <c r="V12" s="32">
        <f t="shared" si="4"/>
        <v>0</v>
      </c>
      <c r="W12" s="32">
        <f t="shared" si="4"/>
        <v>1636.8000000000466</v>
      </c>
      <c r="X12" s="32">
        <f t="shared" si="2"/>
        <v>2032.7000000000116</v>
      </c>
    </row>
    <row r="13" spans="1:24" ht="19.95" customHeight="1">
      <c r="A13" s="14" t="s">
        <v>187</v>
      </c>
      <c r="B13" s="33">
        <v>397136.5</v>
      </c>
      <c r="C13" s="14" t="s">
        <v>176</v>
      </c>
      <c r="D13" s="34">
        <v>35741.5</v>
      </c>
      <c r="E13" s="34">
        <v>356185.2</v>
      </c>
      <c r="F13" s="34">
        <v>239039.2</v>
      </c>
      <c r="G13" s="34">
        <v>504848.3</v>
      </c>
      <c r="H13" s="17" t="s">
        <v>176</v>
      </c>
      <c r="I13" s="34">
        <v>674843</v>
      </c>
      <c r="J13" s="34">
        <v>1386627</v>
      </c>
      <c r="L13" s="31">
        <f t="shared" si="3"/>
        <v>326.40000000002328</v>
      </c>
      <c r="M13" s="31">
        <f t="shared" si="1"/>
        <v>0</v>
      </c>
      <c r="N13" s="31">
        <f t="shared" si="1"/>
        <v>328.5</v>
      </c>
      <c r="O13" s="31">
        <f t="shared" si="1"/>
        <v>371.70000000001164</v>
      </c>
      <c r="P13" s="31">
        <f t="shared" si="1"/>
        <v>228.5</v>
      </c>
      <c r="Q13" s="31">
        <f t="shared" si="1"/>
        <v>568</v>
      </c>
      <c r="R13" s="31">
        <f t="shared" si="1"/>
        <v>0</v>
      </c>
      <c r="S13" s="31">
        <f t="shared" si="1"/>
        <v>1371.5999999999767</v>
      </c>
      <c r="T13" s="31">
        <f t="shared" si="1"/>
        <v>1469</v>
      </c>
      <c r="U13" s="32">
        <f t="shared" si="4"/>
        <v>894.40000000002328</v>
      </c>
      <c r="V13" s="32">
        <f t="shared" si="4"/>
        <v>0</v>
      </c>
      <c r="W13" s="32">
        <f t="shared" si="4"/>
        <v>1700.0999999999767</v>
      </c>
      <c r="X13" s="32">
        <f t="shared" si="2"/>
        <v>2069.2000000000116</v>
      </c>
    </row>
    <row r="14" spans="1:24" ht="19.95" customHeight="1">
      <c r="A14" s="14" t="s">
        <v>188</v>
      </c>
      <c r="B14" s="33">
        <v>397462.9</v>
      </c>
      <c r="C14" s="35">
        <v>216027.3</v>
      </c>
      <c r="D14" s="34">
        <v>36070</v>
      </c>
      <c r="E14" s="34">
        <v>356556.9</v>
      </c>
      <c r="F14" s="34">
        <v>239267.7</v>
      </c>
      <c r="G14" s="34">
        <v>505416.3</v>
      </c>
      <c r="H14" s="36">
        <v>303115.90000000002</v>
      </c>
      <c r="I14" s="34">
        <v>676214.6</v>
      </c>
      <c r="J14" s="34">
        <v>1388096</v>
      </c>
      <c r="L14" s="31">
        <f t="shared" si="3"/>
        <v>0</v>
      </c>
      <c r="M14" s="31">
        <f t="shared" si="1"/>
        <v>431.60000000000582</v>
      </c>
      <c r="N14" s="31">
        <f t="shared" si="1"/>
        <v>335.59999999999854</v>
      </c>
      <c r="O14" s="31">
        <f t="shared" si="1"/>
        <v>364</v>
      </c>
      <c r="P14" s="31">
        <f t="shared" si="1"/>
        <v>246.09999999997672</v>
      </c>
      <c r="Q14" s="31">
        <f t="shared" si="1"/>
        <v>7.1000000000349246</v>
      </c>
      <c r="R14" s="31">
        <f t="shared" si="1"/>
        <v>555.5</v>
      </c>
      <c r="S14" s="31">
        <f t="shared" si="1"/>
        <v>1335.8000000000466</v>
      </c>
      <c r="T14" s="31">
        <f t="shared" si="1"/>
        <v>1297</v>
      </c>
      <c r="U14" s="32">
        <f t="shared" si="4"/>
        <v>7.1000000000349246</v>
      </c>
      <c r="V14" s="32">
        <f t="shared" si="4"/>
        <v>987.10000000000582</v>
      </c>
      <c r="W14" s="32">
        <f t="shared" si="4"/>
        <v>1671.4000000000451</v>
      </c>
      <c r="X14" s="32">
        <f t="shared" si="2"/>
        <v>1907.0999999999767</v>
      </c>
    </row>
    <row r="15" spans="1:24" ht="19.95" customHeight="1">
      <c r="A15" s="14" t="s">
        <v>189</v>
      </c>
      <c r="B15" s="33">
        <v>397462.9</v>
      </c>
      <c r="C15" s="35">
        <v>216458.9</v>
      </c>
      <c r="D15" s="34">
        <v>36405.599999999999</v>
      </c>
      <c r="E15" s="34">
        <v>356920.9</v>
      </c>
      <c r="F15" s="34">
        <v>239513.8</v>
      </c>
      <c r="G15" s="34">
        <v>505423.4</v>
      </c>
      <c r="H15" s="36">
        <v>303671.40000000002</v>
      </c>
      <c r="I15" s="34">
        <v>677550.4</v>
      </c>
      <c r="J15" s="34">
        <v>1389393</v>
      </c>
      <c r="L15" s="31">
        <f t="shared" si="3"/>
        <v>0</v>
      </c>
      <c r="M15" s="31">
        <f t="shared" si="1"/>
        <v>430.5</v>
      </c>
      <c r="N15" s="31">
        <f t="shared" si="1"/>
        <v>329.80000000000291</v>
      </c>
      <c r="O15" s="31">
        <f t="shared" si="1"/>
        <v>250</v>
      </c>
      <c r="P15" s="31">
        <f t="shared" si="1"/>
        <v>231.90000000002328</v>
      </c>
      <c r="Q15" s="31">
        <f t="shared" si="1"/>
        <v>4.5999999999767169</v>
      </c>
      <c r="R15" s="31">
        <f t="shared" si="1"/>
        <v>553.19999999995343</v>
      </c>
      <c r="S15" s="31">
        <f t="shared" si="1"/>
        <v>1085.9000000000233</v>
      </c>
      <c r="T15" s="31">
        <f t="shared" si="1"/>
        <v>1511</v>
      </c>
      <c r="U15" s="32">
        <f t="shared" si="4"/>
        <v>4.5999999999767169</v>
      </c>
      <c r="V15" s="32">
        <f t="shared" si="4"/>
        <v>983.69999999995343</v>
      </c>
      <c r="W15" s="32">
        <f t="shared" si="4"/>
        <v>1415.7000000000262</v>
      </c>
      <c r="X15" s="32">
        <f t="shared" si="2"/>
        <v>1992.9000000000233</v>
      </c>
    </row>
    <row r="16" spans="1:24" ht="19.95" customHeight="1">
      <c r="A16" s="14" t="s">
        <v>190</v>
      </c>
      <c r="B16" s="33">
        <v>397462.9</v>
      </c>
      <c r="C16" s="35">
        <v>216889.4</v>
      </c>
      <c r="D16" s="34">
        <v>36735.4</v>
      </c>
      <c r="E16" s="34">
        <v>357170.9</v>
      </c>
      <c r="F16" s="34">
        <v>239745.7</v>
      </c>
      <c r="G16" s="34">
        <v>505428</v>
      </c>
      <c r="H16" s="36">
        <v>304224.59999999998</v>
      </c>
      <c r="I16" s="34">
        <v>678636.3</v>
      </c>
      <c r="J16" s="34">
        <v>1390904</v>
      </c>
      <c r="L16" s="31">
        <f t="shared" si="3"/>
        <v>0</v>
      </c>
      <c r="M16" s="31">
        <f t="shared" si="1"/>
        <v>421.5</v>
      </c>
      <c r="N16" s="31">
        <f t="shared" si="1"/>
        <v>223.40000000000146</v>
      </c>
      <c r="O16" s="31">
        <f t="shared" si="1"/>
        <v>250.29999999998836</v>
      </c>
      <c r="P16" s="31">
        <f t="shared" si="1"/>
        <v>231.19999999998254</v>
      </c>
      <c r="Q16" s="31">
        <f t="shared" si="1"/>
        <v>4.2000000000116415</v>
      </c>
      <c r="R16" s="31">
        <f t="shared" si="1"/>
        <v>425.80000000004657</v>
      </c>
      <c r="S16" s="31">
        <f t="shared" si="1"/>
        <v>477</v>
      </c>
      <c r="T16" s="31">
        <f t="shared" si="1"/>
        <v>1485</v>
      </c>
      <c r="U16" s="32">
        <f t="shared" si="4"/>
        <v>4.2000000000116415</v>
      </c>
      <c r="V16" s="32">
        <f t="shared" si="4"/>
        <v>847.30000000004657</v>
      </c>
      <c r="W16" s="32">
        <f t="shared" si="4"/>
        <v>700.40000000000146</v>
      </c>
      <c r="X16" s="32">
        <f t="shared" si="2"/>
        <v>1966.4999999999709</v>
      </c>
    </row>
    <row r="17" spans="1:24" ht="19.95" customHeight="1">
      <c r="A17" s="14" t="s">
        <v>191</v>
      </c>
      <c r="B17" s="33">
        <v>397462.9</v>
      </c>
      <c r="C17" s="35">
        <v>217310.9</v>
      </c>
      <c r="D17" s="34">
        <v>36958.800000000003</v>
      </c>
      <c r="E17" s="34">
        <v>357421.2</v>
      </c>
      <c r="F17" s="34">
        <v>239976.9</v>
      </c>
      <c r="G17" s="34">
        <v>505432.2</v>
      </c>
      <c r="H17" s="36">
        <v>304650.40000000002</v>
      </c>
      <c r="I17" s="34">
        <v>679113.3</v>
      </c>
      <c r="J17" s="34">
        <v>1392389</v>
      </c>
      <c r="L17" s="31">
        <f t="shared" si="3"/>
        <v>0</v>
      </c>
      <c r="M17" s="31">
        <f t="shared" si="1"/>
        <v>421.60000000000582</v>
      </c>
      <c r="N17" s="31">
        <f t="shared" si="1"/>
        <v>333.79999999999563</v>
      </c>
      <c r="O17" s="31">
        <f t="shared" si="1"/>
        <v>249.39999999996508</v>
      </c>
      <c r="P17" s="31">
        <f t="shared" si="1"/>
        <v>229.60000000000582</v>
      </c>
      <c r="Q17" s="31">
        <f t="shared" si="1"/>
        <v>6.2000000000116415</v>
      </c>
      <c r="R17" s="31">
        <f t="shared" si="1"/>
        <v>511.69999999995343</v>
      </c>
      <c r="S17" s="31">
        <f t="shared" si="1"/>
        <v>1523.3999999999069</v>
      </c>
      <c r="T17" s="31">
        <f t="shared" si="1"/>
        <v>1466</v>
      </c>
      <c r="U17" s="32">
        <f t="shared" si="4"/>
        <v>6.2000000000116415</v>
      </c>
      <c r="V17" s="32">
        <f t="shared" si="4"/>
        <v>933.29999999995925</v>
      </c>
      <c r="W17" s="32">
        <f t="shared" si="4"/>
        <v>1857.1999999999025</v>
      </c>
      <c r="X17" s="32">
        <f t="shared" si="2"/>
        <v>1944.9999999999709</v>
      </c>
    </row>
    <row r="18" spans="1:24" ht="19.95" customHeight="1">
      <c r="A18" s="14" t="s">
        <v>192</v>
      </c>
      <c r="B18" s="33">
        <v>397462.9</v>
      </c>
      <c r="C18" s="35">
        <v>217732.5</v>
      </c>
      <c r="D18" s="34">
        <v>37292.6</v>
      </c>
      <c r="E18" s="34">
        <v>357670.6</v>
      </c>
      <c r="F18" s="34">
        <v>240206.5</v>
      </c>
      <c r="G18" s="34">
        <v>505438.4</v>
      </c>
      <c r="H18" s="36">
        <v>305162.09999999998</v>
      </c>
      <c r="I18" s="34">
        <v>680636.7</v>
      </c>
      <c r="J18" s="34">
        <v>1393855</v>
      </c>
      <c r="L18" s="31">
        <f t="shared" si="3"/>
        <v>0</v>
      </c>
      <c r="M18" s="31">
        <f t="shared" si="1"/>
        <v>419.89999999999418</v>
      </c>
      <c r="N18" s="31">
        <f t="shared" si="1"/>
        <v>336.80000000000291</v>
      </c>
      <c r="O18" s="31">
        <f t="shared" si="1"/>
        <v>254.90000000002328</v>
      </c>
      <c r="P18" s="31">
        <f t="shared" si="1"/>
        <v>249.10000000000582</v>
      </c>
      <c r="Q18" s="31">
        <f t="shared" si="1"/>
        <v>6.7999999999883585</v>
      </c>
      <c r="R18" s="31">
        <f t="shared" si="1"/>
        <v>442.30000000004657</v>
      </c>
      <c r="S18" s="31">
        <f t="shared" si="1"/>
        <v>1404.7000000000698</v>
      </c>
      <c r="T18" s="31">
        <f t="shared" si="1"/>
        <v>1382</v>
      </c>
      <c r="U18" s="32">
        <f t="shared" si="4"/>
        <v>6.7999999999883585</v>
      </c>
      <c r="V18" s="32">
        <f t="shared" si="4"/>
        <v>862.20000000004075</v>
      </c>
      <c r="W18" s="32">
        <f t="shared" si="4"/>
        <v>1741.5000000000728</v>
      </c>
      <c r="X18" s="32">
        <f t="shared" si="2"/>
        <v>1886.0000000000291</v>
      </c>
    </row>
    <row r="19" spans="1:24" ht="19.95" customHeight="1">
      <c r="A19" s="14" t="s">
        <v>193</v>
      </c>
      <c r="B19" s="33">
        <v>397462.9</v>
      </c>
      <c r="C19" s="35">
        <v>218152.4</v>
      </c>
      <c r="D19" s="34">
        <v>37629.4</v>
      </c>
      <c r="E19" s="34">
        <v>357925.5</v>
      </c>
      <c r="F19" s="34">
        <v>240455.6</v>
      </c>
      <c r="G19" s="34">
        <v>505445.2</v>
      </c>
      <c r="H19" s="36">
        <v>305604.40000000002</v>
      </c>
      <c r="I19" s="34">
        <v>682041.4</v>
      </c>
      <c r="J19" s="34">
        <v>1395237</v>
      </c>
      <c r="L19" s="31">
        <f t="shared" si="3"/>
        <v>0</v>
      </c>
      <c r="M19" s="31">
        <f t="shared" si="1"/>
        <v>429</v>
      </c>
      <c r="N19" s="31">
        <f t="shared" si="1"/>
        <v>326.59999999999854</v>
      </c>
      <c r="O19" s="31">
        <f t="shared" si="1"/>
        <v>372.09999999997672</v>
      </c>
      <c r="P19" s="31">
        <f t="shared" si="1"/>
        <v>231.69999999998254</v>
      </c>
      <c r="Q19" s="31">
        <f t="shared" si="1"/>
        <v>3</v>
      </c>
      <c r="R19" s="31">
        <f t="shared" si="1"/>
        <v>481.19999999995343</v>
      </c>
      <c r="S19" s="31">
        <f t="shared" si="1"/>
        <v>1353.2999999999302</v>
      </c>
      <c r="T19" s="31">
        <f t="shared" si="1"/>
        <v>1521</v>
      </c>
      <c r="U19" s="32">
        <f t="shared" si="4"/>
        <v>3</v>
      </c>
      <c r="V19" s="32">
        <f t="shared" si="4"/>
        <v>910.19999999995343</v>
      </c>
      <c r="W19" s="32">
        <f t="shared" si="4"/>
        <v>1679.8999999999287</v>
      </c>
      <c r="X19" s="32">
        <f t="shared" si="2"/>
        <v>2124.7999999999593</v>
      </c>
    </row>
    <row r="20" spans="1:24" ht="19.95" customHeight="1">
      <c r="A20" s="14" t="s">
        <v>194</v>
      </c>
      <c r="B20" s="33">
        <v>397462.9</v>
      </c>
      <c r="C20" s="35">
        <v>218581.4</v>
      </c>
      <c r="D20" s="34">
        <v>37956</v>
      </c>
      <c r="E20" s="34">
        <v>358297.59999999998</v>
      </c>
      <c r="F20" s="34">
        <v>240687.3</v>
      </c>
      <c r="G20" s="34">
        <v>505448.2</v>
      </c>
      <c r="H20" s="36">
        <v>306085.59999999998</v>
      </c>
      <c r="I20" s="34">
        <v>683394.7</v>
      </c>
      <c r="J20" s="34">
        <v>1396758</v>
      </c>
      <c r="L20" s="31">
        <f t="shared" si="3"/>
        <v>249.79999999998836</v>
      </c>
      <c r="M20" s="31">
        <f t="shared" si="1"/>
        <v>230</v>
      </c>
      <c r="N20" s="31">
        <f t="shared" si="1"/>
        <v>335</v>
      </c>
      <c r="O20" s="31">
        <f t="shared" si="1"/>
        <v>394.60000000003492</v>
      </c>
      <c r="P20" s="31">
        <f t="shared" si="1"/>
        <v>228.30000000001746</v>
      </c>
      <c r="Q20" s="31">
        <f t="shared" si="1"/>
        <v>496.29999999998836</v>
      </c>
      <c r="R20" s="31">
        <f t="shared" si="1"/>
        <v>244.60000000003492</v>
      </c>
      <c r="S20" s="31">
        <f t="shared" si="1"/>
        <v>1501.2000000000698</v>
      </c>
      <c r="T20" s="31">
        <f t="shared" si="1"/>
        <v>1478</v>
      </c>
      <c r="U20" s="32">
        <f t="shared" si="4"/>
        <v>746.09999999997672</v>
      </c>
      <c r="V20" s="32">
        <f t="shared" si="4"/>
        <v>474.60000000003492</v>
      </c>
      <c r="W20" s="32">
        <f t="shared" si="4"/>
        <v>1836.2000000000698</v>
      </c>
      <c r="X20" s="32">
        <f t="shared" si="2"/>
        <v>2100.9000000000524</v>
      </c>
    </row>
    <row r="21" spans="1:24" ht="19.95" customHeight="1">
      <c r="A21" s="14" t="s">
        <v>195</v>
      </c>
      <c r="B21" s="33">
        <v>397712.7</v>
      </c>
      <c r="C21" s="35">
        <v>218811.4</v>
      </c>
      <c r="D21" s="34">
        <v>38291</v>
      </c>
      <c r="E21" s="34">
        <v>358692.2</v>
      </c>
      <c r="F21" s="34">
        <v>240915.6</v>
      </c>
      <c r="G21" s="34">
        <v>505944.5</v>
      </c>
      <c r="H21" s="36">
        <v>306330.2</v>
      </c>
      <c r="I21" s="34">
        <v>684895.9</v>
      </c>
      <c r="J21" s="34">
        <v>1398236</v>
      </c>
      <c r="L21" s="31">
        <f t="shared" si="3"/>
        <v>493.20000000001164</v>
      </c>
      <c r="M21" s="31">
        <f t="shared" si="1"/>
        <v>0</v>
      </c>
      <c r="N21" s="31">
        <f t="shared" si="1"/>
        <v>329</v>
      </c>
      <c r="O21" s="31">
        <f t="shared" si="1"/>
        <v>373.79999999998836</v>
      </c>
      <c r="P21" s="31">
        <f t="shared" si="1"/>
        <v>229.39999999999418</v>
      </c>
      <c r="Q21" s="31">
        <f t="shared" si="1"/>
        <v>968.20000000001164</v>
      </c>
      <c r="R21" s="31">
        <f t="shared" si="1"/>
        <v>0</v>
      </c>
      <c r="S21" s="31">
        <f t="shared" si="1"/>
        <v>1309.5999999999767</v>
      </c>
      <c r="T21" s="31">
        <f t="shared" si="1"/>
        <v>1499</v>
      </c>
      <c r="U21" s="32">
        <f t="shared" si="4"/>
        <v>1461.4000000000233</v>
      </c>
      <c r="V21" s="32">
        <f t="shared" si="4"/>
        <v>0</v>
      </c>
      <c r="W21" s="32">
        <f t="shared" si="4"/>
        <v>1638.5999999999767</v>
      </c>
      <c r="X21" s="32">
        <f t="shared" si="2"/>
        <v>2102.1999999999825</v>
      </c>
    </row>
    <row r="22" spans="1:24" ht="19.95" customHeight="1">
      <c r="A22" s="14" t="s">
        <v>196</v>
      </c>
      <c r="B22" s="33">
        <v>398205.9</v>
      </c>
      <c r="C22" s="14" t="s">
        <v>176</v>
      </c>
      <c r="D22" s="34">
        <v>38620</v>
      </c>
      <c r="E22" s="34">
        <v>359066</v>
      </c>
      <c r="F22" s="34">
        <v>241145</v>
      </c>
      <c r="G22" s="34">
        <v>506912.7</v>
      </c>
      <c r="H22" s="17" t="s">
        <v>176</v>
      </c>
      <c r="I22" s="37">
        <v>686205.5</v>
      </c>
      <c r="J22" s="34">
        <v>1399735</v>
      </c>
      <c r="L22" s="31">
        <f t="shared" si="3"/>
        <v>493.59999999997672</v>
      </c>
      <c r="M22" s="31">
        <f t="shared" si="1"/>
        <v>0</v>
      </c>
      <c r="N22" s="31">
        <f t="shared" si="1"/>
        <v>335</v>
      </c>
      <c r="O22" s="31">
        <f t="shared" si="1"/>
        <v>395.20000000001164</v>
      </c>
      <c r="P22" s="31">
        <f t="shared" si="1"/>
        <v>247.79999999998836</v>
      </c>
      <c r="Q22" s="31">
        <f t="shared" si="1"/>
        <v>978.29999999998836</v>
      </c>
      <c r="R22" s="31">
        <f t="shared" si="1"/>
        <v>0</v>
      </c>
      <c r="S22" s="31">
        <f t="shared" si="1"/>
        <v>1260.5999999999767</v>
      </c>
      <c r="T22" s="31">
        <f t="shared" si="1"/>
        <v>1526</v>
      </c>
      <c r="U22" s="32">
        <f t="shared" si="4"/>
        <v>1471.8999999999651</v>
      </c>
      <c r="V22" s="32">
        <f t="shared" si="4"/>
        <v>0</v>
      </c>
      <c r="W22" s="32">
        <f t="shared" si="4"/>
        <v>1595.5999999999767</v>
      </c>
      <c r="X22" s="32">
        <f t="shared" si="2"/>
        <v>2169</v>
      </c>
    </row>
    <row r="23" spans="1:24" ht="19.95" customHeight="1">
      <c r="A23" s="14" t="s">
        <v>197</v>
      </c>
      <c r="B23" s="33">
        <v>398699.5</v>
      </c>
      <c r="C23" s="14" t="s">
        <v>176</v>
      </c>
      <c r="D23" s="34">
        <v>38955</v>
      </c>
      <c r="E23" s="34">
        <v>359461.2</v>
      </c>
      <c r="F23" s="34">
        <v>241392.8</v>
      </c>
      <c r="G23" s="34">
        <v>507891</v>
      </c>
      <c r="H23" s="17" t="s">
        <v>176</v>
      </c>
      <c r="I23" s="37">
        <v>687466.1</v>
      </c>
      <c r="J23" s="34">
        <v>1401261</v>
      </c>
      <c r="L23" s="31">
        <f t="shared" si="3"/>
        <v>479.79999999998836</v>
      </c>
      <c r="M23" s="31">
        <f t="shared" si="1"/>
        <v>0</v>
      </c>
      <c r="N23" s="31">
        <f t="shared" si="1"/>
        <v>274.90000000000146</v>
      </c>
      <c r="O23" s="31">
        <f t="shared" si="1"/>
        <v>377.20000000001164</v>
      </c>
      <c r="P23" s="31">
        <f t="shared" si="1"/>
        <v>232.5</v>
      </c>
      <c r="Q23" s="31">
        <f t="shared" si="1"/>
        <v>668.09999999997672</v>
      </c>
      <c r="R23" s="31">
        <f t="shared" si="1"/>
        <v>0</v>
      </c>
      <c r="S23" s="31">
        <f t="shared" si="1"/>
        <v>580.80000000004657</v>
      </c>
      <c r="T23" s="31">
        <f t="shared" si="1"/>
        <v>1529</v>
      </c>
      <c r="U23" s="32">
        <f t="shared" si="4"/>
        <v>1147.8999999999651</v>
      </c>
      <c r="V23" s="32">
        <f t="shared" si="4"/>
        <v>0</v>
      </c>
      <c r="W23" s="32">
        <f t="shared" si="4"/>
        <v>855.70000000004802</v>
      </c>
      <c r="X23" s="32">
        <f t="shared" si="2"/>
        <v>2138.7000000000116</v>
      </c>
    </row>
    <row r="24" spans="1:24" ht="19.95" customHeight="1">
      <c r="A24" s="14" t="s">
        <v>198</v>
      </c>
      <c r="B24" s="33">
        <v>399179.3</v>
      </c>
      <c r="C24" s="14" t="s">
        <v>176</v>
      </c>
      <c r="D24" s="34">
        <v>39229.9</v>
      </c>
      <c r="E24" s="34">
        <v>359838.4</v>
      </c>
      <c r="F24" s="34">
        <v>241625.3</v>
      </c>
      <c r="G24" s="34">
        <v>508559.1</v>
      </c>
      <c r="H24" s="17" t="s">
        <v>176</v>
      </c>
      <c r="I24" s="37">
        <v>688046.9</v>
      </c>
      <c r="J24" s="34">
        <v>1402790</v>
      </c>
      <c r="L24" s="31">
        <f t="shared" si="3"/>
        <v>497.29999999998836</v>
      </c>
      <c r="M24" s="31">
        <f t="shared" si="1"/>
        <v>0</v>
      </c>
      <c r="N24" s="31">
        <f t="shared" si="1"/>
        <v>328.19999999999709</v>
      </c>
      <c r="O24" s="31">
        <f t="shared" si="1"/>
        <v>376.39999999996508</v>
      </c>
      <c r="P24" s="31">
        <f t="shared" si="1"/>
        <v>231.70000000001164</v>
      </c>
      <c r="Q24" s="31">
        <f t="shared" si="1"/>
        <v>1003.2000000000116</v>
      </c>
      <c r="R24" s="31">
        <f t="shared" si="1"/>
        <v>0</v>
      </c>
      <c r="S24" s="31">
        <f t="shared" si="1"/>
        <v>1269.9000000000233</v>
      </c>
      <c r="T24" s="31">
        <f t="shared" si="1"/>
        <v>1487</v>
      </c>
      <c r="U24" s="32">
        <f t="shared" si="4"/>
        <v>1500.5</v>
      </c>
      <c r="V24" s="32">
        <f t="shared" si="4"/>
        <v>0</v>
      </c>
      <c r="W24" s="32">
        <f t="shared" si="4"/>
        <v>1598.1000000000204</v>
      </c>
      <c r="X24" s="32">
        <f t="shared" si="2"/>
        <v>2095.0999999999767</v>
      </c>
    </row>
    <row r="25" spans="1:24" ht="19.95" customHeight="1">
      <c r="A25" s="14" t="s">
        <v>199</v>
      </c>
      <c r="B25" s="33">
        <v>399676.6</v>
      </c>
      <c r="C25" s="14" t="s">
        <v>176</v>
      </c>
      <c r="D25" s="34">
        <v>39558.1</v>
      </c>
      <c r="E25" s="34">
        <v>360214.8</v>
      </c>
      <c r="F25" s="34">
        <v>241857</v>
      </c>
      <c r="G25" s="34">
        <v>509562.3</v>
      </c>
      <c r="H25" s="17" t="s">
        <v>176</v>
      </c>
      <c r="I25" s="37">
        <v>689316.8</v>
      </c>
      <c r="J25" s="34">
        <v>1404277</v>
      </c>
      <c r="L25" s="31">
        <f t="shared" si="3"/>
        <v>495.70000000001164</v>
      </c>
      <c r="M25" s="31">
        <f t="shared" si="1"/>
        <v>0</v>
      </c>
      <c r="N25" s="31">
        <f t="shared" si="1"/>
        <v>324.20000000000437</v>
      </c>
      <c r="O25" s="31">
        <f t="shared" si="1"/>
        <v>350.60000000003492</v>
      </c>
      <c r="P25" s="31">
        <f t="shared" si="1"/>
        <v>225.29999999998836</v>
      </c>
      <c r="Q25" s="31">
        <f t="shared" si="1"/>
        <v>1020.9000000000233</v>
      </c>
      <c r="R25" s="31">
        <f t="shared" si="1"/>
        <v>0</v>
      </c>
      <c r="S25" s="31">
        <f t="shared" si="1"/>
        <v>1444</v>
      </c>
      <c r="T25" s="31">
        <f t="shared" si="1"/>
        <v>1143</v>
      </c>
      <c r="U25" s="32">
        <f t="shared" si="4"/>
        <v>1516.6000000000349</v>
      </c>
      <c r="V25" s="32">
        <f t="shared" si="4"/>
        <v>0</v>
      </c>
      <c r="W25" s="32">
        <f t="shared" si="4"/>
        <v>1768.2000000000044</v>
      </c>
      <c r="X25" s="32">
        <f t="shared" si="2"/>
        <v>1718.9000000000233</v>
      </c>
    </row>
    <row r="26" spans="1:24" ht="19.95" customHeight="1">
      <c r="A26" s="14" t="s">
        <v>200</v>
      </c>
      <c r="B26" s="33">
        <v>400172.3</v>
      </c>
      <c r="C26" s="14" t="s">
        <v>176</v>
      </c>
      <c r="D26" s="34">
        <v>39882.300000000003</v>
      </c>
      <c r="E26" s="34">
        <v>360565.4</v>
      </c>
      <c r="F26" s="34">
        <v>242082.3</v>
      </c>
      <c r="G26" s="34">
        <v>510583.2</v>
      </c>
      <c r="H26" s="17" t="s">
        <v>176</v>
      </c>
      <c r="I26" s="37">
        <v>690760.8</v>
      </c>
      <c r="J26" s="34">
        <v>1405420</v>
      </c>
      <c r="L26" s="31">
        <f t="shared" si="3"/>
        <v>495.90000000002328</v>
      </c>
      <c r="M26" s="31">
        <f t="shared" si="3"/>
        <v>0</v>
      </c>
      <c r="N26" s="31">
        <f t="shared" si="3"/>
        <v>334</v>
      </c>
      <c r="O26" s="31">
        <f t="shared" si="3"/>
        <v>329.39999999996508</v>
      </c>
      <c r="P26" s="31">
        <f t="shared" si="3"/>
        <v>222.60000000000582</v>
      </c>
      <c r="Q26" s="31">
        <f t="shared" si="3"/>
        <v>968.09999999997672</v>
      </c>
      <c r="R26" s="31">
        <f t="shared" si="3"/>
        <v>0</v>
      </c>
      <c r="S26" s="31">
        <f t="shared" si="3"/>
        <v>1424.8999999999069</v>
      </c>
      <c r="T26" s="31">
        <f t="shared" si="3"/>
        <v>1091</v>
      </c>
      <c r="U26" s="32">
        <f t="shared" si="4"/>
        <v>1464</v>
      </c>
      <c r="V26" s="32">
        <f t="shared" si="4"/>
        <v>0</v>
      </c>
      <c r="W26" s="32">
        <f t="shared" si="4"/>
        <v>1758.8999999999069</v>
      </c>
      <c r="X26" s="32">
        <f t="shared" si="2"/>
        <v>1642.9999999999709</v>
      </c>
    </row>
    <row r="27" spans="1:24" ht="42.75" customHeight="1">
      <c r="A27" s="22" t="s">
        <v>201</v>
      </c>
      <c r="B27" s="38">
        <v>400668.2</v>
      </c>
      <c r="C27" s="22" t="s">
        <v>176</v>
      </c>
      <c r="D27" s="39">
        <v>40216.300000000003</v>
      </c>
      <c r="E27" s="39">
        <v>360894.8</v>
      </c>
      <c r="F27" s="39">
        <v>242304.9</v>
      </c>
      <c r="G27" s="39">
        <v>511551.3</v>
      </c>
      <c r="H27" s="25" t="s">
        <v>176</v>
      </c>
      <c r="I27" s="40">
        <v>692185.7</v>
      </c>
      <c r="J27" s="39">
        <v>1406511</v>
      </c>
      <c r="L27" s="31">
        <f t="shared" si="3"/>
        <v>490.5</v>
      </c>
      <c r="M27" s="31">
        <f t="shared" si="3"/>
        <v>0</v>
      </c>
      <c r="N27" s="31">
        <f t="shared" si="3"/>
        <v>327.59999999999854</v>
      </c>
      <c r="O27" s="31">
        <f t="shared" si="3"/>
        <v>299.10000000003492</v>
      </c>
      <c r="P27" s="31">
        <f t="shared" si="3"/>
        <v>230.10000000000582</v>
      </c>
      <c r="Q27" s="31">
        <f t="shared" si="3"/>
        <v>1075.4000000000233</v>
      </c>
      <c r="R27" s="31">
        <f t="shared" si="3"/>
        <v>0</v>
      </c>
      <c r="S27" s="31">
        <f t="shared" si="3"/>
        <v>1316.2000000000698</v>
      </c>
      <c r="T27" s="31">
        <f t="shared" si="3"/>
        <v>1294</v>
      </c>
      <c r="U27" s="32">
        <f t="shared" si="4"/>
        <v>1565.9000000000233</v>
      </c>
      <c r="V27" s="32">
        <f t="shared" si="4"/>
        <v>0</v>
      </c>
      <c r="W27" s="32">
        <f t="shared" si="4"/>
        <v>1643.8000000000684</v>
      </c>
      <c r="X27" s="32">
        <f t="shared" si="2"/>
        <v>1823.2000000000407</v>
      </c>
    </row>
    <row r="28" spans="1:24" ht="19.95" customHeight="1">
      <c r="A28" s="14" t="s">
        <v>202</v>
      </c>
      <c r="B28" s="33">
        <v>401158.7</v>
      </c>
      <c r="C28" s="14" t="s">
        <v>176</v>
      </c>
      <c r="D28" s="34">
        <v>40543.9</v>
      </c>
      <c r="E28" s="34">
        <v>361193.9</v>
      </c>
      <c r="F28" s="34">
        <v>242535</v>
      </c>
      <c r="G28" s="34">
        <v>512626.7</v>
      </c>
      <c r="H28" s="17" t="s">
        <v>176</v>
      </c>
      <c r="I28" s="37">
        <v>693501.9</v>
      </c>
      <c r="J28" s="34">
        <v>1407805</v>
      </c>
      <c r="L28" s="31">
        <f t="shared" si="3"/>
        <v>481.29999999998836</v>
      </c>
      <c r="M28" s="31">
        <f t="shared" si="3"/>
        <v>0</v>
      </c>
      <c r="N28" s="31">
        <f t="shared" si="3"/>
        <v>325.79999999999563</v>
      </c>
      <c r="O28" s="31">
        <f t="shared" si="3"/>
        <v>257.59999999997672</v>
      </c>
      <c r="P28" s="31">
        <f t="shared" si="3"/>
        <v>223.39999999999418</v>
      </c>
      <c r="Q28" s="31">
        <f t="shared" si="3"/>
        <v>890</v>
      </c>
      <c r="R28" s="31">
        <f t="shared" si="3"/>
        <v>0</v>
      </c>
      <c r="S28" s="31">
        <f t="shared" si="3"/>
        <v>1287.0999999999767</v>
      </c>
      <c r="T28" s="31">
        <f t="shared" si="3"/>
        <v>1528</v>
      </c>
      <c r="U28" s="32">
        <f t="shared" si="4"/>
        <v>1371.2999999999884</v>
      </c>
      <c r="V28" s="32">
        <f t="shared" si="4"/>
        <v>0</v>
      </c>
      <c r="W28" s="32">
        <f t="shared" si="4"/>
        <v>1612.8999999999724</v>
      </c>
      <c r="X28" s="32">
        <f t="shared" si="2"/>
        <v>2008.9999999999709</v>
      </c>
    </row>
    <row r="29" spans="1:24" ht="19.95" customHeight="1">
      <c r="A29" s="14" t="s">
        <v>203</v>
      </c>
      <c r="B29" s="33">
        <v>401640</v>
      </c>
      <c r="C29" s="14" t="s">
        <v>176</v>
      </c>
      <c r="D29" s="34">
        <v>40869.699999999997</v>
      </c>
      <c r="E29" s="34">
        <v>361451.5</v>
      </c>
      <c r="F29" s="34">
        <v>242758.39999999999</v>
      </c>
      <c r="G29" s="34">
        <v>513516.7</v>
      </c>
      <c r="H29" s="17" t="s">
        <v>176</v>
      </c>
      <c r="I29" s="37">
        <v>694789</v>
      </c>
      <c r="J29" s="34">
        <v>1409333</v>
      </c>
      <c r="L29" s="31">
        <f t="shared" si="3"/>
        <v>475.40000000002328</v>
      </c>
      <c r="M29" s="31">
        <f t="shared" si="3"/>
        <v>0</v>
      </c>
      <c r="N29" s="31">
        <f t="shared" si="3"/>
        <v>312.30000000000291</v>
      </c>
      <c r="O29" s="31">
        <f t="shared" si="3"/>
        <v>331.5</v>
      </c>
      <c r="P29" s="31">
        <f t="shared" si="3"/>
        <v>239.39999999999418</v>
      </c>
      <c r="Q29" s="31">
        <f t="shared" si="3"/>
        <v>821.79999999998836</v>
      </c>
      <c r="R29" s="31">
        <f t="shared" si="3"/>
        <v>0</v>
      </c>
      <c r="S29" s="31">
        <f t="shared" si="3"/>
        <v>1092</v>
      </c>
      <c r="T29" s="31">
        <f t="shared" si="3"/>
        <v>1423</v>
      </c>
      <c r="U29" s="32">
        <f t="shared" si="4"/>
        <v>1297.2000000000116</v>
      </c>
      <c r="V29" s="32">
        <f t="shared" si="4"/>
        <v>0</v>
      </c>
      <c r="W29" s="32">
        <f t="shared" si="4"/>
        <v>1404.3000000000029</v>
      </c>
      <c r="X29" s="32">
        <f t="shared" si="2"/>
        <v>1993.8999999999942</v>
      </c>
    </row>
    <row r="30" spans="1:24" ht="19.95" customHeight="1">
      <c r="A30" s="14" t="s">
        <v>204</v>
      </c>
      <c r="B30" s="33">
        <v>402115.4</v>
      </c>
      <c r="C30" s="14" t="s">
        <v>176</v>
      </c>
      <c r="D30" s="34">
        <v>41182</v>
      </c>
      <c r="E30" s="34">
        <v>361783</v>
      </c>
      <c r="F30" s="34">
        <v>242997.8</v>
      </c>
      <c r="G30" s="34">
        <v>514338.5</v>
      </c>
      <c r="H30" s="17" t="s">
        <v>176</v>
      </c>
      <c r="I30" s="37">
        <v>695881</v>
      </c>
      <c r="J30" s="34">
        <v>1410756</v>
      </c>
      <c r="L30" s="31">
        <f t="shared" si="3"/>
        <v>470.19999999995343</v>
      </c>
      <c r="M30" s="31">
        <f t="shared" si="3"/>
        <v>0</v>
      </c>
      <c r="N30" s="31">
        <f t="shared" si="3"/>
        <v>243.5</v>
      </c>
      <c r="O30" s="31">
        <f t="shared" si="3"/>
        <v>369.40000000002328</v>
      </c>
      <c r="P30" s="31">
        <f t="shared" si="3"/>
        <v>215.80000000001746</v>
      </c>
      <c r="Q30" s="31">
        <f t="shared" si="3"/>
        <v>608.90000000002328</v>
      </c>
      <c r="R30" s="31">
        <f t="shared" si="3"/>
        <v>0</v>
      </c>
      <c r="S30" s="31">
        <f t="shared" si="3"/>
        <v>603.40000000002328</v>
      </c>
      <c r="T30" s="31">
        <f t="shared" si="3"/>
        <v>1515</v>
      </c>
      <c r="U30" s="32">
        <f t="shared" si="4"/>
        <v>1079.0999999999767</v>
      </c>
      <c r="V30" s="32">
        <f t="shared" si="4"/>
        <v>0</v>
      </c>
      <c r="W30" s="32">
        <f t="shared" si="4"/>
        <v>846.90000000002328</v>
      </c>
      <c r="X30" s="32">
        <f t="shared" si="2"/>
        <v>2100.2000000000407</v>
      </c>
    </row>
    <row r="31" spans="1:24" ht="19.95" customHeight="1">
      <c r="A31" s="14" t="s">
        <v>205</v>
      </c>
      <c r="B31" s="33">
        <v>402585.59999999998</v>
      </c>
      <c r="C31" s="14" t="s">
        <v>176</v>
      </c>
      <c r="D31" s="34">
        <v>41425.5</v>
      </c>
      <c r="E31" s="34">
        <v>362152.4</v>
      </c>
      <c r="F31" s="34">
        <v>243213.6</v>
      </c>
      <c r="G31" s="34">
        <v>514947.4</v>
      </c>
      <c r="H31" s="17" t="s">
        <v>176</v>
      </c>
      <c r="I31" s="37">
        <v>696484.4</v>
      </c>
      <c r="J31" s="34">
        <v>1412271</v>
      </c>
      <c r="L31" s="31">
        <f t="shared" si="3"/>
        <v>471.5</v>
      </c>
      <c r="M31" s="31">
        <f t="shared" si="3"/>
        <v>0</v>
      </c>
      <c r="N31" s="31">
        <f t="shared" si="3"/>
        <v>220.5</v>
      </c>
      <c r="O31" s="31">
        <f t="shared" si="3"/>
        <v>331.5</v>
      </c>
      <c r="P31" s="31">
        <f t="shared" si="3"/>
        <v>224.19999999998254</v>
      </c>
      <c r="Q31" s="31">
        <f t="shared" si="3"/>
        <v>772.59999999997672</v>
      </c>
      <c r="R31" s="31">
        <f t="shared" si="3"/>
        <v>0</v>
      </c>
      <c r="S31" s="31">
        <f t="shared" si="3"/>
        <v>999.19999999995343</v>
      </c>
      <c r="T31" s="31">
        <f t="shared" si="3"/>
        <v>1519</v>
      </c>
      <c r="U31" s="32">
        <f t="shared" si="4"/>
        <v>1244.0999999999767</v>
      </c>
      <c r="V31" s="32">
        <f t="shared" si="4"/>
        <v>0</v>
      </c>
      <c r="W31" s="32">
        <f t="shared" si="4"/>
        <v>1219.6999999999534</v>
      </c>
      <c r="X31" s="32">
        <f t="shared" si="2"/>
        <v>2074.6999999999825</v>
      </c>
    </row>
    <row r="32" spans="1:24" ht="19.95" customHeight="1">
      <c r="A32" s="14" t="s">
        <v>206</v>
      </c>
      <c r="B32" s="33">
        <v>403057.1</v>
      </c>
      <c r="C32" s="14" t="s">
        <v>176</v>
      </c>
      <c r="D32" s="34">
        <v>41646</v>
      </c>
      <c r="E32" s="34">
        <v>362483.9</v>
      </c>
      <c r="F32" s="34">
        <v>243437.8</v>
      </c>
      <c r="G32" s="34">
        <v>515720</v>
      </c>
      <c r="H32" s="17" t="s">
        <v>176</v>
      </c>
      <c r="I32" s="37">
        <v>697483.6</v>
      </c>
      <c r="J32" s="34">
        <v>1413790</v>
      </c>
      <c r="L32" s="31">
        <f t="shared" si="3"/>
        <v>498.5</v>
      </c>
      <c r="M32" s="31">
        <f t="shared" si="3"/>
        <v>0</v>
      </c>
      <c r="N32" s="31">
        <f t="shared" si="3"/>
        <v>324.30000000000291</v>
      </c>
      <c r="O32" s="31">
        <f t="shared" si="3"/>
        <v>331.09999999997672</v>
      </c>
      <c r="P32" s="31">
        <f t="shared" si="3"/>
        <v>222.60000000000582</v>
      </c>
      <c r="Q32" s="31">
        <f t="shared" si="3"/>
        <v>872.90000000002328</v>
      </c>
      <c r="R32" s="31">
        <f t="shared" si="3"/>
        <v>0</v>
      </c>
      <c r="S32" s="31">
        <f t="shared" si="3"/>
        <v>1403.5</v>
      </c>
      <c r="T32" s="31">
        <f t="shared" si="3"/>
        <v>1508</v>
      </c>
      <c r="U32" s="32">
        <f t="shared" si="4"/>
        <v>1371.4000000000233</v>
      </c>
      <c r="V32" s="32">
        <f t="shared" si="4"/>
        <v>0</v>
      </c>
      <c r="W32" s="32">
        <f t="shared" si="4"/>
        <v>1727.8000000000029</v>
      </c>
      <c r="X32" s="32">
        <f t="shared" si="2"/>
        <v>2061.6999999999825</v>
      </c>
    </row>
    <row r="33" spans="1:24" ht="19.95" customHeight="1">
      <c r="A33" s="14" t="s">
        <v>207</v>
      </c>
      <c r="B33" s="33">
        <v>403555.6</v>
      </c>
      <c r="C33" s="14" t="s">
        <v>176</v>
      </c>
      <c r="D33" s="34">
        <v>41970.3</v>
      </c>
      <c r="E33" s="34">
        <v>362815</v>
      </c>
      <c r="F33" s="34">
        <v>243660.4</v>
      </c>
      <c r="G33" s="34">
        <v>516592.9</v>
      </c>
      <c r="H33" s="17" t="s">
        <v>176</v>
      </c>
      <c r="I33" s="37">
        <v>698887.1</v>
      </c>
      <c r="J33" s="34">
        <v>1415298</v>
      </c>
      <c r="L33" s="31">
        <f t="shared" ref="L33:T34" si="5">IFERROR(B34-B33,0)</f>
        <v>478</v>
      </c>
      <c r="M33" s="31">
        <f t="shared" si="5"/>
        <v>0</v>
      </c>
      <c r="N33" s="31">
        <f t="shared" si="5"/>
        <v>329.09999999999854</v>
      </c>
      <c r="O33" s="31">
        <f t="shared" si="5"/>
        <v>307.70000000001164</v>
      </c>
      <c r="P33" s="31">
        <f t="shared" si="5"/>
        <v>274.89999999999418</v>
      </c>
      <c r="Q33" s="31">
        <f t="shared" si="5"/>
        <v>806.29999999998836</v>
      </c>
      <c r="R33" s="31">
        <f t="shared" si="5"/>
        <v>0</v>
      </c>
      <c r="S33" s="31">
        <f t="shared" si="5"/>
        <v>1477.3000000000466</v>
      </c>
      <c r="T33" s="31">
        <f t="shared" si="5"/>
        <v>1346</v>
      </c>
      <c r="U33" s="32">
        <f t="shared" si="4"/>
        <v>1284.2999999999884</v>
      </c>
      <c r="V33" s="32">
        <f t="shared" si="4"/>
        <v>0</v>
      </c>
      <c r="W33" s="32">
        <f t="shared" si="4"/>
        <v>1806.4000000000451</v>
      </c>
      <c r="X33" s="32">
        <f t="shared" si="2"/>
        <v>1928.6000000000058</v>
      </c>
    </row>
    <row r="34" spans="1:24" ht="19.95" customHeight="1">
      <c r="A34" s="14" t="s">
        <v>175</v>
      </c>
      <c r="B34" s="33">
        <v>404033.6</v>
      </c>
      <c r="C34" s="14" t="s">
        <v>176</v>
      </c>
      <c r="D34" s="34">
        <v>42299.4</v>
      </c>
      <c r="E34" s="34">
        <v>363122.7</v>
      </c>
      <c r="F34" s="34">
        <v>243935.3</v>
      </c>
      <c r="G34" s="34">
        <v>517399.2</v>
      </c>
      <c r="H34" s="17" t="s">
        <v>176</v>
      </c>
      <c r="I34" s="37">
        <v>700364.4</v>
      </c>
      <c r="J34" s="34">
        <v>1416644</v>
      </c>
      <c r="L34" s="31">
        <f t="shared" si="5"/>
        <v>294.10000000003492</v>
      </c>
      <c r="M34" s="31">
        <f t="shared" si="5"/>
        <v>0</v>
      </c>
      <c r="N34" s="31">
        <f t="shared" si="5"/>
        <v>328.5</v>
      </c>
      <c r="O34" s="31">
        <f t="shared" si="5"/>
        <v>347.70000000001164</v>
      </c>
      <c r="P34" s="31">
        <f t="shared" si="5"/>
        <v>222.20000000001164</v>
      </c>
      <c r="Q34" s="31">
        <f t="shared" si="5"/>
        <v>556.09999999997672</v>
      </c>
      <c r="R34" s="31">
        <f t="shared" si="5"/>
        <v>0</v>
      </c>
      <c r="S34" s="31">
        <f t="shared" si="5"/>
        <v>1472.1999999999534</v>
      </c>
      <c r="T34" s="31">
        <f t="shared" si="5"/>
        <v>1284</v>
      </c>
      <c r="U34" s="32">
        <f t="shared" ref="U34" si="6">L34+Q34</f>
        <v>850.20000000001164</v>
      </c>
      <c r="V34" s="32">
        <f t="shared" ref="V34" si="7">M34+R34</f>
        <v>0</v>
      </c>
      <c r="W34" s="32">
        <f t="shared" ref="W34" si="8">N34+S34</f>
        <v>1800.6999999999534</v>
      </c>
      <c r="X34" s="32">
        <f t="shared" ref="X34" si="9">O34+P34+T34</f>
        <v>1853.9000000000233</v>
      </c>
    </row>
    <row r="35" spans="1:24" ht="19.95" customHeight="1">
      <c r="A35" s="14" t="s">
        <v>177</v>
      </c>
      <c r="B35" s="15">
        <v>404327.7</v>
      </c>
      <c r="C35" s="14" t="s">
        <v>176</v>
      </c>
      <c r="D35" s="16">
        <v>42627.9</v>
      </c>
      <c r="E35" s="16">
        <v>363470.4</v>
      </c>
      <c r="F35" s="16">
        <v>244157.5</v>
      </c>
      <c r="G35" s="16">
        <v>517955.3</v>
      </c>
      <c r="H35" s="17" t="s">
        <v>176</v>
      </c>
      <c r="I35" s="18">
        <v>701836.6</v>
      </c>
      <c r="J35" s="19">
        <v>1417928</v>
      </c>
      <c r="L35" s="31">
        <f t="shared" si="3"/>
        <v>0</v>
      </c>
      <c r="M35" s="31">
        <f t="shared" si="3"/>
        <v>0</v>
      </c>
      <c r="N35" s="31">
        <f t="shared" si="3"/>
        <v>318.09999999999854</v>
      </c>
      <c r="O35" s="31">
        <f t="shared" si="3"/>
        <v>349.29999999998836</v>
      </c>
      <c r="P35" s="31">
        <f t="shared" si="3"/>
        <v>240.60000000000582</v>
      </c>
      <c r="Q35" s="31">
        <f t="shared" si="3"/>
        <v>3.2000000000116415</v>
      </c>
      <c r="R35" s="31">
        <f t="shared" si="3"/>
        <v>0</v>
      </c>
      <c r="S35" s="31">
        <f t="shared" si="3"/>
        <v>1238.2000000000698</v>
      </c>
      <c r="T35" s="31">
        <f t="shared" si="3"/>
        <v>1432</v>
      </c>
      <c r="U35" s="32">
        <f t="shared" si="4"/>
        <v>3.2000000000116415</v>
      </c>
      <c r="V35" s="32">
        <f t="shared" si="4"/>
        <v>0</v>
      </c>
      <c r="W35" s="32">
        <f t="shared" si="4"/>
        <v>1556.3000000000684</v>
      </c>
      <c r="X35" s="32">
        <f t="shared" si="2"/>
        <v>2021.8999999999942</v>
      </c>
    </row>
    <row r="36" spans="1:24" ht="19.95" customHeight="1">
      <c r="A36" s="14" t="s">
        <v>178</v>
      </c>
      <c r="B36" s="15">
        <v>404327.7</v>
      </c>
      <c r="C36" s="14">
        <v>218832.2</v>
      </c>
      <c r="D36" s="16">
        <v>42946</v>
      </c>
      <c r="E36" s="16">
        <v>363819.7</v>
      </c>
      <c r="F36" s="16">
        <v>244398.1</v>
      </c>
      <c r="G36" s="16">
        <v>517958.5</v>
      </c>
      <c r="H36" s="17">
        <v>306379.8</v>
      </c>
      <c r="I36" s="18">
        <v>703074.8</v>
      </c>
      <c r="J36" s="19">
        <v>1419360</v>
      </c>
      <c r="L36" s="31">
        <f t="shared" si="3"/>
        <v>181.5</v>
      </c>
      <c r="M36" s="31">
        <f t="shared" si="3"/>
        <v>374</v>
      </c>
      <c r="N36" s="31">
        <f t="shared" si="3"/>
        <v>96.099999999998545</v>
      </c>
      <c r="O36" s="31">
        <f t="shared" si="3"/>
        <v>384.5</v>
      </c>
      <c r="P36" s="31">
        <f t="shared" si="3"/>
        <v>273.5</v>
      </c>
      <c r="Q36" s="31">
        <f t="shared" si="3"/>
        <v>485.59999999997672</v>
      </c>
      <c r="R36" s="31">
        <f t="shared" si="3"/>
        <v>618.70000000001164</v>
      </c>
      <c r="S36" s="31">
        <f t="shared" si="3"/>
        <v>321</v>
      </c>
      <c r="T36" s="31">
        <f t="shared" si="3"/>
        <v>1467</v>
      </c>
      <c r="U36" s="32">
        <f t="shared" si="4"/>
        <v>667.09999999997672</v>
      </c>
      <c r="V36" s="32">
        <f t="shared" si="4"/>
        <v>992.70000000001164</v>
      </c>
      <c r="W36" s="32">
        <f t="shared" si="4"/>
        <v>417.09999999999854</v>
      </c>
      <c r="X36" s="32">
        <f t="shared" si="2"/>
        <v>2125</v>
      </c>
    </row>
    <row r="37" spans="1:24" ht="19.95" customHeight="1">
      <c r="A37" s="14" t="s">
        <v>179</v>
      </c>
      <c r="B37" s="15">
        <v>404509.2</v>
      </c>
      <c r="C37" s="14">
        <v>219206.2</v>
      </c>
      <c r="D37" s="16">
        <v>43042.1</v>
      </c>
      <c r="E37" s="16">
        <v>364204.2</v>
      </c>
      <c r="F37" s="16">
        <v>244671.6</v>
      </c>
      <c r="G37" s="16">
        <v>518444.1</v>
      </c>
      <c r="H37" s="17">
        <v>306998.5</v>
      </c>
      <c r="I37" s="18">
        <v>703395.8</v>
      </c>
      <c r="J37" s="19">
        <v>1420827</v>
      </c>
      <c r="L37" s="31">
        <f t="shared" si="3"/>
        <v>0</v>
      </c>
      <c r="M37" s="31">
        <f t="shared" si="3"/>
        <v>0</v>
      </c>
      <c r="N37" s="31">
        <f t="shared" si="3"/>
        <v>144.90000000000146</v>
      </c>
      <c r="O37" s="31">
        <f t="shared" si="3"/>
        <v>267.59999999997672</v>
      </c>
      <c r="P37" s="31">
        <f t="shared" si="3"/>
        <v>224.79999999998836</v>
      </c>
      <c r="Q37" s="31">
        <f t="shared" si="3"/>
        <v>5.3000000000465661</v>
      </c>
      <c r="R37" s="31">
        <f t="shared" si="3"/>
        <v>17.099999999976717</v>
      </c>
      <c r="S37" s="31">
        <f t="shared" si="3"/>
        <v>296.5</v>
      </c>
      <c r="T37" s="31">
        <f t="shared" si="3"/>
        <v>1425</v>
      </c>
      <c r="U37" s="32">
        <f t="shared" si="4"/>
        <v>5.3000000000465661</v>
      </c>
      <c r="V37" s="32">
        <f t="shared" si="4"/>
        <v>17.099999999976717</v>
      </c>
      <c r="W37" s="32">
        <f t="shared" si="4"/>
        <v>441.40000000000146</v>
      </c>
      <c r="X37" s="32">
        <f t="shared" si="2"/>
        <v>1917.3999999999651</v>
      </c>
    </row>
    <row r="38" spans="1:24" ht="19.95" customHeight="1">
      <c r="A38" s="14" t="s">
        <v>180</v>
      </c>
      <c r="B38" s="15">
        <v>404509.2</v>
      </c>
      <c r="C38" s="14">
        <v>219206.2</v>
      </c>
      <c r="D38" s="16">
        <v>43187</v>
      </c>
      <c r="E38" s="16">
        <v>364471.8</v>
      </c>
      <c r="F38" s="16">
        <v>244896.4</v>
      </c>
      <c r="G38" s="16">
        <v>518449.4</v>
      </c>
      <c r="H38" s="17">
        <v>307015.59999999998</v>
      </c>
      <c r="I38" s="18">
        <v>703692.3</v>
      </c>
      <c r="J38" s="19">
        <v>1422252</v>
      </c>
      <c r="L38" s="31">
        <f t="shared" si="3"/>
        <v>0</v>
      </c>
      <c r="M38" s="31">
        <f t="shared" si="3"/>
        <v>0</v>
      </c>
      <c r="N38" s="31">
        <f t="shared" si="3"/>
        <v>197.80000000000291</v>
      </c>
      <c r="O38" s="31">
        <f t="shared" si="3"/>
        <v>357.40000000002328</v>
      </c>
      <c r="P38" s="31">
        <f t="shared" si="3"/>
        <v>224.70000000001164</v>
      </c>
      <c r="Q38" s="31">
        <f t="shared" si="3"/>
        <v>1.5999999999767169</v>
      </c>
      <c r="R38" s="31">
        <f t="shared" si="3"/>
        <v>17.300000000046566</v>
      </c>
      <c r="S38" s="31">
        <f t="shared" si="3"/>
        <v>1034</v>
      </c>
      <c r="T38" s="31">
        <f t="shared" si="3"/>
        <v>1375</v>
      </c>
      <c r="U38" s="32">
        <f t="shared" si="4"/>
        <v>1.5999999999767169</v>
      </c>
      <c r="V38" s="32">
        <f t="shared" si="4"/>
        <v>17.300000000046566</v>
      </c>
      <c r="W38" s="32">
        <f t="shared" si="4"/>
        <v>1231.8000000000029</v>
      </c>
      <c r="X38" s="32">
        <f t="shared" si="2"/>
        <v>1957.1000000000349</v>
      </c>
    </row>
    <row r="39" spans="1:24" ht="19.95" customHeight="1">
      <c r="A39" s="14" t="s">
        <v>181</v>
      </c>
      <c r="B39" s="15">
        <v>404509.2</v>
      </c>
      <c r="C39" s="14">
        <v>219206.2</v>
      </c>
      <c r="D39" s="16">
        <v>43384.800000000003</v>
      </c>
      <c r="E39" s="16">
        <v>364829.2</v>
      </c>
      <c r="F39" s="16">
        <v>245121.1</v>
      </c>
      <c r="G39" s="16">
        <v>518451</v>
      </c>
      <c r="H39" s="17">
        <v>307032.90000000002</v>
      </c>
      <c r="I39" s="18">
        <v>704726.3</v>
      </c>
      <c r="J39" s="19">
        <v>1423627</v>
      </c>
      <c r="L39" s="31">
        <f t="shared" ref="L39" si="10">IFERROR(B40-B39,0)</f>
        <v>0</v>
      </c>
      <c r="M39" s="31">
        <f t="shared" ref="M39" si="11">IFERROR(C40-C39,0)</f>
        <v>0</v>
      </c>
      <c r="N39" s="31">
        <f t="shared" ref="N39" si="12">IFERROR(D40-D39,0)</f>
        <v>289.79999999999563</v>
      </c>
      <c r="O39" s="31">
        <f t="shared" ref="O39" si="13">IFERROR(E40-E39,0)</f>
        <v>358.59999999997672</v>
      </c>
      <c r="P39" s="31">
        <f t="shared" ref="P39" si="14">IFERROR(F40-F39,0)</f>
        <v>250</v>
      </c>
      <c r="Q39" s="31">
        <f t="shared" ref="Q39" si="15">IFERROR(G40-G39,0)</f>
        <v>2.5999999999767169</v>
      </c>
      <c r="R39" s="31">
        <f t="shared" ref="R39" si="16">IFERROR(H40-H39,0)</f>
        <v>17.599999999976717</v>
      </c>
      <c r="S39" s="31">
        <f t="shared" ref="S39" si="17">IFERROR(I40-I39,0)</f>
        <v>1156.5</v>
      </c>
      <c r="T39" s="31">
        <f t="shared" ref="T39" si="18">IFERROR(J40-J39,0)</f>
        <v>1512</v>
      </c>
      <c r="U39" s="32">
        <f t="shared" ref="U39" si="19">L39+Q39</f>
        <v>2.5999999999767169</v>
      </c>
      <c r="V39" s="32">
        <f t="shared" ref="V39" si="20">M39+R39</f>
        <v>17.599999999976717</v>
      </c>
      <c r="W39" s="32">
        <f t="shared" ref="W39" si="21">N39+S39</f>
        <v>1446.2999999999956</v>
      </c>
      <c r="X39" s="32">
        <f t="shared" ref="X39" si="22">O39+P39+T39</f>
        <v>2120.5999999999767</v>
      </c>
    </row>
    <row r="40" spans="1:24" ht="19.95" customHeight="1">
      <c r="A40" s="41" t="s">
        <v>183</v>
      </c>
      <c r="B40" s="15">
        <v>404509.2</v>
      </c>
      <c r="C40" s="14">
        <v>219206.2</v>
      </c>
      <c r="D40" s="16">
        <v>43674.6</v>
      </c>
      <c r="E40" s="16">
        <v>365187.8</v>
      </c>
      <c r="F40" s="16">
        <v>245371.1</v>
      </c>
      <c r="G40" s="16">
        <v>518453.6</v>
      </c>
      <c r="H40" s="17">
        <v>307050.5</v>
      </c>
      <c r="I40" s="18">
        <v>705882.8</v>
      </c>
      <c r="J40" s="19">
        <v>1425139</v>
      </c>
      <c r="L40" s="31">
        <f t="shared" si="3"/>
        <v>-404509.2</v>
      </c>
      <c r="M40" s="31">
        <f t="shared" si="3"/>
        <v>-219206.2</v>
      </c>
      <c r="N40" s="31">
        <f t="shared" si="3"/>
        <v>-43674.6</v>
      </c>
      <c r="O40" s="31">
        <f t="shared" si="3"/>
        <v>-365187.8</v>
      </c>
      <c r="P40" s="31">
        <f t="shared" si="3"/>
        <v>-245371.1</v>
      </c>
      <c r="Q40" s="31">
        <f t="shared" si="3"/>
        <v>-518453.6</v>
      </c>
      <c r="R40" s="31">
        <f t="shared" si="3"/>
        <v>-307050.5</v>
      </c>
      <c r="S40" s="31">
        <f t="shared" si="3"/>
        <v>-705882.8</v>
      </c>
      <c r="T40" s="31">
        <f t="shared" si="3"/>
        <v>-1425139</v>
      </c>
      <c r="U40" s="32">
        <f t="shared" si="4"/>
        <v>-922962.8</v>
      </c>
      <c r="V40" s="32">
        <f t="shared" si="4"/>
        <v>-526256.69999999995</v>
      </c>
      <c r="W40" s="32">
        <f t="shared" si="4"/>
        <v>-749557.4</v>
      </c>
      <c r="X40" s="32">
        <f t="shared" si="2"/>
        <v>-2035697.9</v>
      </c>
    </row>
    <row r="41" spans="1:24" ht="19.95" customHeight="1">
      <c r="A41" s="14"/>
      <c r="B41" s="15"/>
      <c r="C41" s="14"/>
      <c r="D41" s="16"/>
      <c r="E41" s="16"/>
      <c r="F41" s="16"/>
      <c r="G41" s="16"/>
      <c r="H41" s="17"/>
      <c r="I41" s="18"/>
      <c r="J41" s="19"/>
      <c r="L41" s="31">
        <f t="shared" si="3"/>
        <v>0</v>
      </c>
      <c r="M41" s="31">
        <f t="shared" si="3"/>
        <v>0</v>
      </c>
      <c r="N41" s="31">
        <f t="shared" si="3"/>
        <v>0</v>
      </c>
      <c r="O41" s="31">
        <f t="shared" si="3"/>
        <v>0</v>
      </c>
      <c r="P41" s="31">
        <f t="shared" si="3"/>
        <v>0</v>
      </c>
      <c r="Q41" s="31">
        <f t="shared" si="3"/>
        <v>0</v>
      </c>
      <c r="R41" s="31">
        <f t="shared" si="3"/>
        <v>0</v>
      </c>
      <c r="S41" s="31">
        <f t="shared" si="3"/>
        <v>0</v>
      </c>
      <c r="T41" s="31">
        <f t="shared" si="3"/>
        <v>0</v>
      </c>
      <c r="U41" s="32">
        <f t="shared" si="4"/>
        <v>0</v>
      </c>
      <c r="V41" s="32">
        <f t="shared" si="4"/>
        <v>0</v>
      </c>
      <c r="W41" s="32">
        <f t="shared" si="4"/>
        <v>0</v>
      </c>
      <c r="X41" s="32">
        <f t="shared" si="2"/>
        <v>0</v>
      </c>
    </row>
    <row r="42" spans="1:24" ht="19.95" customHeight="1">
      <c r="A42" s="14"/>
      <c r="B42" s="15"/>
      <c r="C42" s="14"/>
      <c r="D42" s="16"/>
      <c r="E42" s="16"/>
      <c r="F42" s="16"/>
      <c r="G42" s="16"/>
      <c r="H42" s="17"/>
      <c r="I42" s="18"/>
      <c r="J42" s="19"/>
      <c r="L42" s="31">
        <f t="shared" si="3"/>
        <v>0</v>
      </c>
      <c r="M42" s="31">
        <f t="shared" si="3"/>
        <v>0</v>
      </c>
      <c r="N42" s="31">
        <f t="shared" si="3"/>
        <v>0</v>
      </c>
      <c r="O42" s="31">
        <f t="shared" si="3"/>
        <v>0</v>
      </c>
      <c r="P42" s="31">
        <f t="shared" si="3"/>
        <v>0</v>
      </c>
      <c r="Q42" s="31">
        <f t="shared" si="3"/>
        <v>0</v>
      </c>
      <c r="R42" s="31">
        <f t="shared" si="3"/>
        <v>0</v>
      </c>
      <c r="S42" s="31">
        <f t="shared" si="3"/>
        <v>0</v>
      </c>
      <c r="T42" s="31">
        <f t="shared" si="3"/>
        <v>0</v>
      </c>
      <c r="U42" s="32">
        <f t="shared" si="4"/>
        <v>0</v>
      </c>
      <c r="V42" s="32">
        <f t="shared" si="4"/>
        <v>0</v>
      </c>
      <c r="W42" s="32">
        <f t="shared" si="4"/>
        <v>0</v>
      </c>
      <c r="X42" s="32">
        <f t="shared" si="2"/>
        <v>0</v>
      </c>
    </row>
    <row r="43" spans="1:24" ht="19.95" customHeight="1">
      <c r="A43" s="14"/>
      <c r="B43" s="15"/>
      <c r="C43" s="14"/>
      <c r="D43" s="16"/>
      <c r="E43" s="16"/>
      <c r="F43" s="16"/>
      <c r="G43" s="16"/>
      <c r="H43" s="17"/>
      <c r="I43" s="18"/>
      <c r="J43" s="19"/>
      <c r="L43" s="31">
        <f t="shared" si="3"/>
        <v>0</v>
      </c>
      <c r="M43" s="31">
        <f t="shared" si="3"/>
        <v>0</v>
      </c>
      <c r="N43" s="31">
        <f t="shared" si="3"/>
        <v>0</v>
      </c>
      <c r="O43" s="31">
        <f t="shared" si="3"/>
        <v>0</v>
      </c>
      <c r="P43" s="31">
        <f t="shared" si="3"/>
        <v>0</v>
      </c>
      <c r="Q43" s="31">
        <f t="shared" si="3"/>
        <v>0</v>
      </c>
      <c r="R43" s="31">
        <f t="shared" si="3"/>
        <v>0</v>
      </c>
      <c r="S43" s="31">
        <f t="shared" si="3"/>
        <v>0</v>
      </c>
      <c r="T43" s="31">
        <f t="shared" si="3"/>
        <v>0</v>
      </c>
      <c r="U43" s="32">
        <f t="shared" si="4"/>
        <v>0</v>
      </c>
      <c r="V43" s="32">
        <f t="shared" si="4"/>
        <v>0</v>
      </c>
      <c r="W43" s="32">
        <f t="shared" si="4"/>
        <v>0</v>
      </c>
      <c r="X43" s="32">
        <f t="shared" si="2"/>
        <v>0</v>
      </c>
    </row>
    <row r="44" spans="1:24" ht="42.75" customHeight="1">
      <c r="A44" s="22"/>
      <c r="B44" s="23"/>
      <c r="C44" s="22"/>
      <c r="D44" s="24"/>
      <c r="E44" s="24"/>
      <c r="F44" s="24"/>
      <c r="G44" s="24"/>
      <c r="H44" s="25"/>
      <c r="I44" s="26"/>
      <c r="J44" s="27"/>
      <c r="L44" s="31">
        <f t="shared" ref="L44:T72" si="23">IFERROR(B45-B44,0)</f>
        <v>0</v>
      </c>
      <c r="M44" s="31">
        <f t="shared" si="23"/>
        <v>0</v>
      </c>
      <c r="N44" s="31">
        <f t="shared" si="23"/>
        <v>0</v>
      </c>
      <c r="O44" s="31">
        <f t="shared" si="23"/>
        <v>0</v>
      </c>
      <c r="P44" s="31">
        <f t="shared" si="23"/>
        <v>0</v>
      </c>
      <c r="Q44" s="31">
        <f t="shared" si="23"/>
        <v>0</v>
      </c>
      <c r="R44" s="31">
        <f t="shared" si="23"/>
        <v>0</v>
      </c>
      <c r="S44" s="31">
        <f t="shared" si="23"/>
        <v>0</v>
      </c>
      <c r="T44" s="31">
        <f t="shared" si="23"/>
        <v>0</v>
      </c>
      <c r="U44" s="32">
        <f t="shared" ref="U44:W107" si="24">L44+Q44</f>
        <v>0</v>
      </c>
      <c r="V44" s="32">
        <f t="shared" si="24"/>
        <v>0</v>
      </c>
      <c r="W44" s="32">
        <f t="shared" si="24"/>
        <v>0</v>
      </c>
      <c r="X44" s="32">
        <f t="shared" si="2"/>
        <v>0</v>
      </c>
    </row>
    <row r="45" spans="1:24" ht="19.95" customHeight="1">
      <c r="A45" s="14"/>
      <c r="B45" s="15"/>
      <c r="C45" s="14"/>
      <c r="D45" s="16"/>
      <c r="E45" s="16"/>
      <c r="F45" s="16"/>
      <c r="G45" s="16"/>
      <c r="H45" s="14"/>
      <c r="I45" s="16"/>
      <c r="J45" s="19"/>
      <c r="L45" s="31">
        <f t="shared" si="23"/>
        <v>0</v>
      </c>
      <c r="M45" s="31">
        <f t="shared" si="23"/>
        <v>0</v>
      </c>
      <c r="N45" s="31">
        <f t="shared" si="23"/>
        <v>0</v>
      </c>
      <c r="O45" s="31">
        <f t="shared" si="23"/>
        <v>0</v>
      </c>
      <c r="P45" s="31">
        <f t="shared" si="23"/>
        <v>0</v>
      </c>
      <c r="Q45" s="31">
        <f t="shared" si="23"/>
        <v>0</v>
      </c>
      <c r="R45" s="31">
        <f t="shared" si="23"/>
        <v>0</v>
      </c>
      <c r="S45" s="31">
        <f t="shared" si="23"/>
        <v>0</v>
      </c>
      <c r="T45" s="31">
        <f t="shared" si="23"/>
        <v>0</v>
      </c>
      <c r="U45" s="32">
        <f t="shared" si="24"/>
        <v>0</v>
      </c>
      <c r="V45" s="32">
        <f t="shared" si="24"/>
        <v>0</v>
      </c>
      <c r="W45" s="32">
        <f t="shared" si="24"/>
        <v>0</v>
      </c>
      <c r="X45" s="32">
        <f t="shared" si="2"/>
        <v>0</v>
      </c>
    </row>
    <row r="46" spans="1:24" ht="19.95" customHeight="1">
      <c r="A46" s="14"/>
      <c r="B46" s="15"/>
      <c r="C46" s="14"/>
      <c r="D46" s="16"/>
      <c r="E46" s="16"/>
      <c r="F46" s="16"/>
      <c r="G46" s="16"/>
      <c r="H46" s="14"/>
      <c r="I46" s="16"/>
      <c r="J46" s="19"/>
      <c r="L46" s="31">
        <f t="shared" si="23"/>
        <v>0</v>
      </c>
      <c r="M46" s="31">
        <f t="shared" si="23"/>
        <v>0</v>
      </c>
      <c r="N46" s="31">
        <f t="shared" si="23"/>
        <v>0</v>
      </c>
      <c r="O46" s="31">
        <f t="shared" si="23"/>
        <v>0</v>
      </c>
      <c r="P46" s="31">
        <f t="shared" si="23"/>
        <v>0</v>
      </c>
      <c r="Q46" s="31">
        <f t="shared" si="23"/>
        <v>0</v>
      </c>
      <c r="R46" s="31">
        <f t="shared" si="23"/>
        <v>0</v>
      </c>
      <c r="S46" s="31">
        <f t="shared" si="23"/>
        <v>0</v>
      </c>
      <c r="T46" s="31">
        <f t="shared" si="23"/>
        <v>0</v>
      </c>
      <c r="U46" s="32">
        <f t="shared" si="24"/>
        <v>0</v>
      </c>
      <c r="V46" s="32">
        <f t="shared" si="24"/>
        <v>0</v>
      </c>
      <c r="W46" s="32">
        <f t="shared" si="24"/>
        <v>0</v>
      </c>
      <c r="X46" s="32">
        <f t="shared" si="2"/>
        <v>0</v>
      </c>
    </row>
    <row r="47" spans="1:24" ht="19.95" customHeight="1">
      <c r="A47" s="14"/>
      <c r="B47" s="15"/>
      <c r="C47" s="14"/>
      <c r="D47" s="16"/>
      <c r="E47" s="16"/>
      <c r="F47" s="16"/>
      <c r="G47" s="16"/>
      <c r="H47" s="14"/>
      <c r="I47" s="16"/>
      <c r="J47" s="19"/>
      <c r="L47" s="31">
        <f t="shared" si="23"/>
        <v>0</v>
      </c>
      <c r="M47" s="31">
        <f t="shared" si="23"/>
        <v>0</v>
      </c>
      <c r="N47" s="31">
        <f t="shared" si="23"/>
        <v>0</v>
      </c>
      <c r="O47" s="31">
        <f t="shared" si="23"/>
        <v>0</v>
      </c>
      <c r="P47" s="31">
        <f t="shared" si="23"/>
        <v>0</v>
      </c>
      <c r="Q47" s="31">
        <f t="shared" si="23"/>
        <v>0</v>
      </c>
      <c r="R47" s="31">
        <f t="shared" si="23"/>
        <v>0</v>
      </c>
      <c r="S47" s="31">
        <f t="shared" si="23"/>
        <v>0</v>
      </c>
      <c r="T47" s="31">
        <f t="shared" si="23"/>
        <v>0</v>
      </c>
      <c r="U47" s="32">
        <f t="shared" si="24"/>
        <v>0</v>
      </c>
      <c r="V47" s="32">
        <f t="shared" si="24"/>
        <v>0</v>
      </c>
      <c r="W47" s="32">
        <f t="shared" si="24"/>
        <v>0</v>
      </c>
      <c r="X47" s="32">
        <f t="shared" si="2"/>
        <v>0</v>
      </c>
    </row>
    <row r="48" spans="1:24" ht="19.95" customHeight="1">
      <c r="A48" s="14"/>
      <c r="B48" s="15"/>
      <c r="C48" s="14"/>
      <c r="D48" s="16"/>
      <c r="E48" s="16"/>
      <c r="F48" s="16"/>
      <c r="G48" s="16"/>
      <c r="H48" s="14"/>
      <c r="I48" s="16"/>
      <c r="J48" s="19"/>
      <c r="L48" s="31">
        <f t="shared" si="23"/>
        <v>0</v>
      </c>
      <c r="M48" s="31">
        <f t="shared" si="23"/>
        <v>0</v>
      </c>
      <c r="N48" s="31">
        <f t="shared" si="23"/>
        <v>0</v>
      </c>
      <c r="O48" s="31">
        <f t="shared" si="23"/>
        <v>0</v>
      </c>
      <c r="P48" s="31">
        <f t="shared" si="23"/>
        <v>0</v>
      </c>
      <c r="Q48" s="31">
        <f t="shared" si="23"/>
        <v>0</v>
      </c>
      <c r="R48" s="31">
        <f t="shared" si="23"/>
        <v>0</v>
      </c>
      <c r="S48" s="31">
        <f t="shared" si="23"/>
        <v>0</v>
      </c>
      <c r="T48" s="31">
        <f t="shared" si="23"/>
        <v>0</v>
      </c>
      <c r="U48" s="32">
        <f t="shared" si="24"/>
        <v>0</v>
      </c>
      <c r="V48" s="32">
        <f t="shared" si="24"/>
        <v>0</v>
      </c>
      <c r="W48" s="32">
        <f t="shared" si="24"/>
        <v>0</v>
      </c>
      <c r="X48" s="32">
        <f t="shared" si="2"/>
        <v>0</v>
      </c>
    </row>
    <row r="49" spans="1:24" ht="19.95" customHeight="1">
      <c r="A49" s="14"/>
      <c r="B49" s="15"/>
      <c r="C49" s="14"/>
      <c r="D49" s="16"/>
      <c r="E49" s="16"/>
      <c r="F49" s="16"/>
      <c r="G49" s="16"/>
      <c r="H49" s="14"/>
      <c r="I49" s="16"/>
      <c r="J49" s="19"/>
      <c r="L49" s="31">
        <f t="shared" si="23"/>
        <v>0</v>
      </c>
      <c r="M49" s="31">
        <f t="shared" si="23"/>
        <v>0</v>
      </c>
      <c r="N49" s="31">
        <f t="shared" si="23"/>
        <v>0</v>
      </c>
      <c r="O49" s="31">
        <f t="shared" si="23"/>
        <v>0</v>
      </c>
      <c r="P49" s="31">
        <f t="shared" si="23"/>
        <v>0</v>
      </c>
      <c r="Q49" s="31">
        <f t="shared" si="23"/>
        <v>0</v>
      </c>
      <c r="R49" s="31">
        <f t="shared" si="23"/>
        <v>0</v>
      </c>
      <c r="S49" s="31">
        <f t="shared" si="23"/>
        <v>0</v>
      </c>
      <c r="T49" s="31">
        <f t="shared" si="23"/>
        <v>0</v>
      </c>
      <c r="U49" s="32">
        <f t="shared" si="24"/>
        <v>0</v>
      </c>
      <c r="V49" s="32">
        <f t="shared" si="24"/>
        <v>0</v>
      </c>
      <c r="W49" s="32">
        <f t="shared" si="24"/>
        <v>0</v>
      </c>
      <c r="X49" s="32">
        <f t="shared" si="2"/>
        <v>0</v>
      </c>
    </row>
    <row r="50" spans="1:24" ht="19.95" customHeight="1">
      <c r="A50" s="14"/>
      <c r="B50" s="15"/>
      <c r="C50" s="14"/>
      <c r="D50" s="16"/>
      <c r="E50" s="16"/>
      <c r="F50" s="16"/>
      <c r="G50" s="16"/>
      <c r="H50" s="14"/>
      <c r="I50" s="16"/>
      <c r="J50" s="19"/>
      <c r="L50" s="31">
        <f t="shared" si="23"/>
        <v>0</v>
      </c>
      <c r="M50" s="31">
        <f t="shared" si="23"/>
        <v>0</v>
      </c>
      <c r="N50" s="31">
        <f t="shared" si="23"/>
        <v>0</v>
      </c>
      <c r="O50" s="31">
        <f t="shared" si="23"/>
        <v>0</v>
      </c>
      <c r="P50" s="31">
        <f t="shared" si="23"/>
        <v>0</v>
      </c>
      <c r="Q50" s="31">
        <f t="shared" si="23"/>
        <v>0</v>
      </c>
      <c r="R50" s="31">
        <f t="shared" si="23"/>
        <v>0</v>
      </c>
      <c r="S50" s="31">
        <f t="shared" si="23"/>
        <v>0</v>
      </c>
      <c r="T50" s="31">
        <f t="shared" si="23"/>
        <v>0</v>
      </c>
      <c r="U50" s="32">
        <f t="shared" si="24"/>
        <v>0</v>
      </c>
      <c r="V50" s="32">
        <f t="shared" si="24"/>
        <v>0</v>
      </c>
      <c r="W50" s="32">
        <f t="shared" si="24"/>
        <v>0</v>
      </c>
      <c r="X50" s="32">
        <f t="shared" si="2"/>
        <v>0</v>
      </c>
    </row>
    <row r="51" spans="1:24" ht="19.95" customHeight="1">
      <c r="A51" s="14"/>
      <c r="B51" s="15"/>
      <c r="C51" s="14"/>
      <c r="D51" s="16"/>
      <c r="E51" s="16"/>
      <c r="F51" s="16"/>
      <c r="G51" s="16"/>
      <c r="H51" s="14"/>
      <c r="I51" s="16"/>
      <c r="J51" s="19"/>
      <c r="L51" s="31">
        <f t="shared" si="23"/>
        <v>0</v>
      </c>
      <c r="M51" s="31">
        <f t="shared" si="23"/>
        <v>0</v>
      </c>
      <c r="N51" s="31">
        <f t="shared" si="23"/>
        <v>0</v>
      </c>
      <c r="O51" s="31">
        <f t="shared" si="23"/>
        <v>0</v>
      </c>
      <c r="P51" s="31">
        <f t="shared" si="23"/>
        <v>0</v>
      </c>
      <c r="Q51" s="31">
        <f t="shared" si="23"/>
        <v>0</v>
      </c>
      <c r="R51" s="31">
        <f t="shared" si="23"/>
        <v>0</v>
      </c>
      <c r="S51" s="31">
        <f t="shared" si="23"/>
        <v>0</v>
      </c>
      <c r="T51" s="31">
        <f t="shared" si="23"/>
        <v>0</v>
      </c>
      <c r="U51" s="32">
        <f t="shared" si="24"/>
        <v>0</v>
      </c>
      <c r="V51" s="32">
        <f t="shared" si="24"/>
        <v>0</v>
      </c>
      <c r="W51" s="32">
        <f t="shared" si="24"/>
        <v>0</v>
      </c>
      <c r="X51" s="32">
        <f t="shared" si="2"/>
        <v>0</v>
      </c>
    </row>
    <row r="52" spans="1:24" ht="19.95" customHeight="1">
      <c r="A52" s="14"/>
      <c r="B52" s="15"/>
      <c r="C52" s="14"/>
      <c r="D52" s="16"/>
      <c r="E52" s="16"/>
      <c r="F52" s="16"/>
      <c r="G52" s="16"/>
      <c r="H52" s="14"/>
      <c r="I52" s="16"/>
      <c r="J52" s="19"/>
      <c r="L52" s="31">
        <f t="shared" si="23"/>
        <v>0</v>
      </c>
      <c r="M52" s="31">
        <f t="shared" si="23"/>
        <v>0</v>
      </c>
      <c r="N52" s="31">
        <f t="shared" si="23"/>
        <v>0</v>
      </c>
      <c r="O52" s="31">
        <f t="shared" si="23"/>
        <v>0</v>
      </c>
      <c r="P52" s="31">
        <f t="shared" si="23"/>
        <v>0</v>
      </c>
      <c r="Q52" s="31">
        <f t="shared" si="23"/>
        <v>0</v>
      </c>
      <c r="R52" s="31">
        <f t="shared" si="23"/>
        <v>0</v>
      </c>
      <c r="S52" s="31">
        <f t="shared" si="23"/>
        <v>0</v>
      </c>
      <c r="T52" s="31">
        <f t="shared" si="23"/>
        <v>0</v>
      </c>
      <c r="U52" s="32">
        <f t="shared" si="24"/>
        <v>0</v>
      </c>
      <c r="V52" s="32">
        <f t="shared" si="24"/>
        <v>0</v>
      </c>
      <c r="W52" s="32">
        <f t="shared" si="24"/>
        <v>0</v>
      </c>
      <c r="X52" s="32">
        <f t="shared" si="2"/>
        <v>0</v>
      </c>
    </row>
    <row r="53" spans="1:24" ht="19.95" customHeight="1">
      <c r="A53" s="14"/>
      <c r="B53" s="15"/>
      <c r="C53" s="14"/>
      <c r="D53" s="16"/>
      <c r="E53" s="16"/>
      <c r="F53" s="16"/>
      <c r="G53" s="16"/>
      <c r="H53" s="14"/>
      <c r="I53" s="16"/>
      <c r="J53" s="19"/>
      <c r="L53" s="31">
        <f t="shared" si="23"/>
        <v>0</v>
      </c>
      <c r="M53" s="31">
        <f t="shared" si="23"/>
        <v>0</v>
      </c>
      <c r="N53" s="31">
        <f t="shared" si="23"/>
        <v>0</v>
      </c>
      <c r="O53" s="31">
        <f t="shared" si="23"/>
        <v>0</v>
      </c>
      <c r="P53" s="31">
        <f t="shared" si="23"/>
        <v>0</v>
      </c>
      <c r="Q53" s="31">
        <f t="shared" si="23"/>
        <v>0</v>
      </c>
      <c r="R53" s="31">
        <f t="shared" si="23"/>
        <v>0</v>
      </c>
      <c r="S53" s="31">
        <f t="shared" si="23"/>
        <v>0</v>
      </c>
      <c r="T53" s="31">
        <f t="shared" si="23"/>
        <v>0</v>
      </c>
      <c r="U53" s="32">
        <f t="shared" si="24"/>
        <v>0</v>
      </c>
      <c r="V53" s="32">
        <f t="shared" si="24"/>
        <v>0</v>
      </c>
      <c r="W53" s="32">
        <f t="shared" si="24"/>
        <v>0</v>
      </c>
      <c r="X53" s="32">
        <f t="shared" si="2"/>
        <v>0</v>
      </c>
    </row>
    <row r="54" spans="1:24" ht="19.95" customHeight="1">
      <c r="A54" s="14"/>
      <c r="B54" s="15"/>
      <c r="C54" s="14"/>
      <c r="D54" s="16"/>
      <c r="E54" s="16"/>
      <c r="F54" s="16"/>
      <c r="G54" s="16"/>
      <c r="H54" s="14"/>
      <c r="I54" s="16"/>
      <c r="J54" s="19"/>
      <c r="L54" s="31">
        <f t="shared" si="23"/>
        <v>0</v>
      </c>
      <c r="M54" s="31">
        <f t="shared" si="23"/>
        <v>0</v>
      </c>
      <c r="N54" s="31">
        <f t="shared" si="23"/>
        <v>0</v>
      </c>
      <c r="O54" s="31">
        <f t="shared" si="23"/>
        <v>0</v>
      </c>
      <c r="P54" s="31">
        <f t="shared" si="23"/>
        <v>0</v>
      </c>
      <c r="Q54" s="31">
        <f t="shared" si="23"/>
        <v>0</v>
      </c>
      <c r="R54" s="31">
        <f t="shared" si="23"/>
        <v>0</v>
      </c>
      <c r="S54" s="31">
        <f t="shared" si="23"/>
        <v>0</v>
      </c>
      <c r="T54" s="31">
        <f t="shared" si="23"/>
        <v>0</v>
      </c>
      <c r="U54" s="32">
        <f t="shared" si="24"/>
        <v>0</v>
      </c>
      <c r="V54" s="32">
        <f t="shared" si="24"/>
        <v>0</v>
      </c>
      <c r="W54" s="32">
        <f t="shared" si="24"/>
        <v>0</v>
      </c>
      <c r="X54" s="32">
        <f t="shared" si="2"/>
        <v>0</v>
      </c>
    </row>
    <row r="55" spans="1:24" ht="19.95" customHeight="1">
      <c r="A55" s="14"/>
      <c r="B55" s="15"/>
      <c r="C55" s="14"/>
      <c r="D55" s="16"/>
      <c r="E55" s="16"/>
      <c r="F55" s="16"/>
      <c r="G55" s="16"/>
      <c r="H55" s="14"/>
      <c r="I55" s="16"/>
      <c r="J55" s="19"/>
      <c r="L55" s="31">
        <f t="shared" si="23"/>
        <v>0</v>
      </c>
      <c r="M55" s="31">
        <f t="shared" si="23"/>
        <v>0</v>
      </c>
      <c r="N55" s="31">
        <f t="shared" si="23"/>
        <v>0</v>
      </c>
      <c r="O55" s="31">
        <f t="shared" si="23"/>
        <v>0</v>
      </c>
      <c r="P55" s="31">
        <f t="shared" si="23"/>
        <v>0</v>
      </c>
      <c r="Q55" s="31">
        <f t="shared" si="23"/>
        <v>0</v>
      </c>
      <c r="R55" s="31">
        <f t="shared" si="23"/>
        <v>0</v>
      </c>
      <c r="S55" s="31">
        <f t="shared" si="23"/>
        <v>0</v>
      </c>
      <c r="T55" s="31">
        <f t="shared" si="23"/>
        <v>0</v>
      </c>
      <c r="U55" s="32">
        <f t="shared" si="24"/>
        <v>0</v>
      </c>
      <c r="V55" s="32">
        <f t="shared" si="24"/>
        <v>0</v>
      </c>
      <c r="W55" s="32">
        <f t="shared" si="24"/>
        <v>0</v>
      </c>
      <c r="X55" s="32">
        <f t="shared" si="2"/>
        <v>0</v>
      </c>
    </row>
    <row r="56" spans="1:24" ht="19.95" customHeight="1">
      <c r="A56" s="14"/>
      <c r="B56" s="15"/>
      <c r="C56" s="16"/>
      <c r="D56" s="16"/>
      <c r="E56" s="16"/>
      <c r="F56" s="16"/>
      <c r="G56" s="16"/>
      <c r="H56" s="16"/>
      <c r="I56" s="16"/>
      <c r="J56" s="19"/>
      <c r="L56" s="31">
        <f t="shared" si="23"/>
        <v>0</v>
      </c>
      <c r="M56" s="31">
        <f t="shared" si="23"/>
        <v>0</v>
      </c>
      <c r="N56" s="31">
        <f t="shared" si="23"/>
        <v>0</v>
      </c>
      <c r="O56" s="31">
        <f t="shared" si="23"/>
        <v>0</v>
      </c>
      <c r="P56" s="31">
        <f t="shared" si="23"/>
        <v>0</v>
      </c>
      <c r="Q56" s="31">
        <f t="shared" si="23"/>
        <v>0</v>
      </c>
      <c r="R56" s="31">
        <f t="shared" si="23"/>
        <v>0</v>
      </c>
      <c r="S56" s="31">
        <f t="shared" si="23"/>
        <v>0</v>
      </c>
      <c r="T56" s="31">
        <f t="shared" si="23"/>
        <v>0</v>
      </c>
      <c r="U56" s="32">
        <f t="shared" si="24"/>
        <v>0</v>
      </c>
      <c r="V56" s="32">
        <f t="shared" si="24"/>
        <v>0</v>
      </c>
      <c r="W56" s="32">
        <f t="shared" si="24"/>
        <v>0</v>
      </c>
      <c r="X56" s="32">
        <f t="shared" si="2"/>
        <v>0</v>
      </c>
    </row>
    <row r="57" spans="1:24" ht="19.95" customHeight="1">
      <c r="A57" s="14"/>
      <c r="B57" s="15"/>
      <c r="C57" s="16"/>
      <c r="D57" s="16"/>
      <c r="E57" s="16"/>
      <c r="F57" s="16"/>
      <c r="G57" s="16"/>
      <c r="H57" s="16"/>
      <c r="I57" s="16"/>
      <c r="J57" s="19"/>
      <c r="L57" s="31">
        <f t="shared" si="23"/>
        <v>0</v>
      </c>
      <c r="M57" s="31">
        <f t="shared" si="23"/>
        <v>0</v>
      </c>
      <c r="N57" s="31">
        <f t="shared" si="23"/>
        <v>0</v>
      </c>
      <c r="O57" s="31">
        <f t="shared" si="23"/>
        <v>0</v>
      </c>
      <c r="P57" s="31">
        <f t="shared" si="23"/>
        <v>0</v>
      </c>
      <c r="Q57" s="31">
        <f t="shared" si="23"/>
        <v>0</v>
      </c>
      <c r="R57" s="31">
        <f t="shared" si="23"/>
        <v>0</v>
      </c>
      <c r="S57" s="31">
        <f t="shared" si="23"/>
        <v>0</v>
      </c>
      <c r="T57" s="31">
        <f t="shared" si="23"/>
        <v>0</v>
      </c>
      <c r="U57" s="32">
        <f t="shared" si="24"/>
        <v>0</v>
      </c>
      <c r="V57" s="32">
        <f t="shared" si="24"/>
        <v>0</v>
      </c>
      <c r="W57" s="32">
        <f t="shared" si="24"/>
        <v>0</v>
      </c>
      <c r="X57" s="32">
        <f t="shared" si="2"/>
        <v>0</v>
      </c>
    </row>
    <row r="58" spans="1:24" ht="19.95" customHeight="1">
      <c r="A58" s="14"/>
      <c r="B58" s="15"/>
      <c r="C58" s="16"/>
      <c r="D58" s="16"/>
      <c r="E58" s="16"/>
      <c r="F58" s="16"/>
      <c r="G58" s="16"/>
      <c r="H58" s="16"/>
      <c r="I58" s="16"/>
      <c r="J58" s="19"/>
      <c r="L58" s="31">
        <f t="shared" si="23"/>
        <v>0</v>
      </c>
      <c r="M58" s="31">
        <f t="shared" si="23"/>
        <v>0</v>
      </c>
      <c r="N58" s="31">
        <f t="shared" si="23"/>
        <v>0</v>
      </c>
      <c r="O58" s="31">
        <f t="shared" si="23"/>
        <v>0</v>
      </c>
      <c r="P58" s="31">
        <f t="shared" si="23"/>
        <v>0</v>
      </c>
      <c r="Q58" s="31">
        <f t="shared" si="23"/>
        <v>0</v>
      </c>
      <c r="R58" s="31">
        <f t="shared" si="23"/>
        <v>0</v>
      </c>
      <c r="S58" s="31">
        <f t="shared" si="23"/>
        <v>0</v>
      </c>
      <c r="T58" s="31">
        <f t="shared" si="23"/>
        <v>0</v>
      </c>
      <c r="U58" s="32">
        <f t="shared" si="24"/>
        <v>0</v>
      </c>
      <c r="V58" s="32">
        <f t="shared" si="24"/>
        <v>0</v>
      </c>
      <c r="W58" s="32">
        <f t="shared" si="24"/>
        <v>0</v>
      </c>
      <c r="X58" s="32">
        <f t="shared" si="2"/>
        <v>0</v>
      </c>
    </row>
    <row r="59" spans="1:24" ht="19.95" customHeight="1">
      <c r="A59" s="14"/>
      <c r="B59" s="15"/>
      <c r="C59" s="16"/>
      <c r="D59" s="16"/>
      <c r="E59" s="16"/>
      <c r="F59" s="16"/>
      <c r="G59" s="16"/>
      <c r="H59" s="16"/>
      <c r="I59" s="16"/>
      <c r="J59" s="19"/>
      <c r="L59" s="31">
        <f t="shared" si="23"/>
        <v>0</v>
      </c>
      <c r="M59" s="31">
        <f t="shared" si="23"/>
        <v>0</v>
      </c>
      <c r="N59" s="31">
        <f t="shared" si="23"/>
        <v>0</v>
      </c>
      <c r="O59" s="31">
        <f t="shared" si="23"/>
        <v>0</v>
      </c>
      <c r="P59" s="31">
        <f t="shared" si="23"/>
        <v>0</v>
      </c>
      <c r="Q59" s="31">
        <f t="shared" si="23"/>
        <v>0</v>
      </c>
      <c r="R59" s="31">
        <f t="shared" si="23"/>
        <v>0</v>
      </c>
      <c r="S59" s="31">
        <f t="shared" si="23"/>
        <v>0</v>
      </c>
      <c r="T59" s="31">
        <f t="shared" si="23"/>
        <v>0</v>
      </c>
      <c r="U59" s="32">
        <f t="shared" si="24"/>
        <v>0</v>
      </c>
      <c r="V59" s="32">
        <f t="shared" si="24"/>
        <v>0</v>
      </c>
      <c r="W59" s="32">
        <f t="shared" si="24"/>
        <v>0</v>
      </c>
      <c r="X59" s="32">
        <f t="shared" si="2"/>
        <v>0</v>
      </c>
    </row>
    <row r="60" spans="1:24" ht="19.95" customHeight="1">
      <c r="A60" s="14"/>
      <c r="B60" s="15"/>
      <c r="C60" s="16"/>
      <c r="D60" s="16"/>
      <c r="E60" s="16"/>
      <c r="F60" s="16"/>
      <c r="G60" s="16"/>
      <c r="H60" s="16"/>
      <c r="I60" s="16"/>
      <c r="J60" s="19"/>
      <c r="L60" s="31">
        <f t="shared" si="23"/>
        <v>0</v>
      </c>
      <c r="M60" s="31">
        <f t="shared" si="23"/>
        <v>0</v>
      </c>
      <c r="N60" s="31">
        <f t="shared" si="23"/>
        <v>0</v>
      </c>
      <c r="O60" s="31">
        <f t="shared" si="23"/>
        <v>0</v>
      </c>
      <c r="P60" s="31">
        <f t="shared" si="23"/>
        <v>0</v>
      </c>
      <c r="Q60" s="31">
        <f t="shared" si="23"/>
        <v>0</v>
      </c>
      <c r="R60" s="31">
        <f t="shared" si="23"/>
        <v>0</v>
      </c>
      <c r="S60" s="31">
        <f t="shared" si="23"/>
        <v>0</v>
      </c>
      <c r="T60" s="31">
        <f t="shared" si="23"/>
        <v>0</v>
      </c>
      <c r="U60" s="32">
        <f t="shared" si="24"/>
        <v>0</v>
      </c>
      <c r="V60" s="32">
        <f t="shared" si="24"/>
        <v>0</v>
      </c>
      <c r="W60" s="32">
        <f t="shared" si="24"/>
        <v>0</v>
      </c>
      <c r="X60" s="32">
        <f t="shared" si="2"/>
        <v>0</v>
      </c>
    </row>
    <row r="61" spans="1:24" ht="19.95" customHeight="1">
      <c r="A61" s="14"/>
      <c r="B61" s="15"/>
      <c r="C61" s="16"/>
      <c r="D61" s="16"/>
      <c r="E61" s="16"/>
      <c r="F61" s="16"/>
      <c r="G61" s="16"/>
      <c r="H61" s="16"/>
      <c r="I61" s="16"/>
      <c r="J61" s="19"/>
      <c r="L61" s="31">
        <f t="shared" si="23"/>
        <v>0</v>
      </c>
      <c r="M61" s="31">
        <f t="shared" si="23"/>
        <v>0</v>
      </c>
      <c r="N61" s="31">
        <f t="shared" si="23"/>
        <v>0</v>
      </c>
      <c r="O61" s="31">
        <f t="shared" si="23"/>
        <v>0</v>
      </c>
      <c r="P61" s="31">
        <f t="shared" si="23"/>
        <v>0</v>
      </c>
      <c r="Q61" s="31">
        <f t="shared" si="23"/>
        <v>0</v>
      </c>
      <c r="R61" s="31">
        <f t="shared" si="23"/>
        <v>0</v>
      </c>
      <c r="S61" s="31">
        <f t="shared" si="23"/>
        <v>0</v>
      </c>
      <c r="T61" s="31">
        <f t="shared" si="23"/>
        <v>0</v>
      </c>
      <c r="U61" s="32">
        <f t="shared" si="24"/>
        <v>0</v>
      </c>
      <c r="V61" s="32">
        <f t="shared" si="24"/>
        <v>0</v>
      </c>
      <c r="W61" s="32">
        <f t="shared" si="24"/>
        <v>0</v>
      </c>
      <c r="X61" s="32">
        <f t="shared" si="2"/>
        <v>0</v>
      </c>
    </row>
    <row r="62" spans="1:24" ht="16.8" customHeight="1">
      <c r="A62" s="14"/>
      <c r="B62" s="15"/>
      <c r="C62" s="16"/>
      <c r="D62" s="16"/>
      <c r="E62" s="16"/>
      <c r="F62" s="16"/>
      <c r="G62" s="16"/>
      <c r="H62" s="16"/>
      <c r="I62" s="16"/>
      <c r="J62" s="19"/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1">
        <f t="shared" si="23"/>
        <v>0</v>
      </c>
      <c r="S62" s="31">
        <f t="shared" si="23"/>
        <v>0</v>
      </c>
      <c r="T62" s="31">
        <f t="shared" si="23"/>
        <v>0</v>
      </c>
      <c r="U62" s="32">
        <f t="shared" si="24"/>
        <v>0</v>
      </c>
      <c r="V62" s="32">
        <f t="shared" si="24"/>
        <v>0</v>
      </c>
      <c r="W62" s="32">
        <f t="shared" si="24"/>
        <v>0</v>
      </c>
      <c r="X62" s="32">
        <f t="shared" si="2"/>
        <v>0</v>
      </c>
    </row>
    <row r="63" spans="1:24" ht="19.95" customHeight="1">
      <c r="A63" s="14"/>
      <c r="B63" s="15"/>
      <c r="C63" s="16"/>
      <c r="D63" s="16"/>
      <c r="E63" s="16"/>
      <c r="F63" s="16"/>
      <c r="G63" s="16"/>
      <c r="H63" s="16"/>
      <c r="I63" s="16"/>
      <c r="J63" s="19"/>
      <c r="L63" s="31">
        <f t="shared" si="23"/>
        <v>0</v>
      </c>
      <c r="M63" s="31">
        <f t="shared" si="23"/>
        <v>0</v>
      </c>
      <c r="N63" s="31">
        <f t="shared" si="23"/>
        <v>0</v>
      </c>
      <c r="O63" s="31">
        <f t="shared" si="23"/>
        <v>0</v>
      </c>
      <c r="P63" s="31">
        <f t="shared" si="23"/>
        <v>0</v>
      </c>
      <c r="Q63" s="31">
        <f t="shared" si="23"/>
        <v>0</v>
      </c>
      <c r="R63" s="31">
        <f t="shared" si="23"/>
        <v>0</v>
      </c>
      <c r="S63" s="31">
        <f t="shared" si="23"/>
        <v>0</v>
      </c>
      <c r="T63" s="31">
        <f t="shared" si="23"/>
        <v>0</v>
      </c>
      <c r="U63" s="32">
        <f t="shared" si="24"/>
        <v>0</v>
      </c>
      <c r="V63" s="32">
        <f t="shared" si="24"/>
        <v>0</v>
      </c>
      <c r="W63" s="32">
        <f t="shared" si="24"/>
        <v>0</v>
      </c>
      <c r="X63" s="32">
        <f t="shared" si="2"/>
        <v>0</v>
      </c>
    </row>
    <row r="64" spans="1:24" ht="19.95" customHeight="1">
      <c r="A64" s="14"/>
      <c r="B64" s="15"/>
      <c r="C64" s="16"/>
      <c r="D64" s="16"/>
      <c r="E64" s="16"/>
      <c r="F64" s="16"/>
      <c r="G64" s="16"/>
      <c r="H64" s="16"/>
      <c r="I64" s="16"/>
      <c r="J64" s="19"/>
      <c r="L64" s="31">
        <f t="shared" si="23"/>
        <v>0</v>
      </c>
      <c r="M64" s="31">
        <f t="shared" si="23"/>
        <v>0</v>
      </c>
      <c r="N64" s="31">
        <f t="shared" si="23"/>
        <v>0</v>
      </c>
      <c r="O64" s="31">
        <f t="shared" si="23"/>
        <v>0</v>
      </c>
      <c r="P64" s="31">
        <f t="shared" si="23"/>
        <v>0</v>
      </c>
      <c r="Q64" s="31">
        <f t="shared" si="23"/>
        <v>0</v>
      </c>
      <c r="R64" s="31">
        <f t="shared" si="23"/>
        <v>0</v>
      </c>
      <c r="S64" s="31">
        <f t="shared" si="23"/>
        <v>0</v>
      </c>
      <c r="T64" s="31">
        <f t="shared" si="23"/>
        <v>0</v>
      </c>
      <c r="U64" s="32">
        <f t="shared" si="24"/>
        <v>0</v>
      </c>
      <c r="V64" s="32">
        <f t="shared" si="24"/>
        <v>0</v>
      </c>
      <c r="W64" s="32">
        <f t="shared" si="24"/>
        <v>0</v>
      </c>
      <c r="X64" s="32">
        <f t="shared" si="2"/>
        <v>0</v>
      </c>
    </row>
    <row r="65" spans="1:24" ht="19.95" customHeight="1">
      <c r="A65" s="14"/>
      <c r="B65" s="15"/>
      <c r="C65" s="16"/>
      <c r="D65" s="16"/>
      <c r="E65" s="16"/>
      <c r="F65" s="16"/>
      <c r="G65" s="16"/>
      <c r="H65" s="16"/>
      <c r="I65" s="16"/>
      <c r="J65" s="19"/>
      <c r="L65" s="31">
        <f t="shared" si="23"/>
        <v>0</v>
      </c>
      <c r="M65" s="31">
        <f t="shared" si="23"/>
        <v>0</v>
      </c>
      <c r="N65" s="31">
        <f t="shared" si="23"/>
        <v>0</v>
      </c>
      <c r="O65" s="31">
        <f t="shared" si="23"/>
        <v>0</v>
      </c>
      <c r="P65" s="31">
        <f t="shared" si="23"/>
        <v>0</v>
      </c>
      <c r="Q65" s="31">
        <f t="shared" si="23"/>
        <v>0</v>
      </c>
      <c r="R65" s="31">
        <f t="shared" si="23"/>
        <v>0</v>
      </c>
      <c r="S65" s="31">
        <f t="shared" si="23"/>
        <v>0</v>
      </c>
      <c r="T65" s="31">
        <f t="shared" si="23"/>
        <v>0</v>
      </c>
      <c r="U65" s="32">
        <f t="shared" si="24"/>
        <v>0</v>
      </c>
      <c r="V65" s="32">
        <f t="shared" si="24"/>
        <v>0</v>
      </c>
      <c r="W65" s="32">
        <f t="shared" si="24"/>
        <v>0</v>
      </c>
      <c r="X65" s="32">
        <f t="shared" si="2"/>
        <v>0</v>
      </c>
    </row>
    <row r="66" spans="1:24" ht="19.95" customHeight="1">
      <c r="A66" s="14"/>
      <c r="B66" s="15"/>
      <c r="C66" s="16"/>
      <c r="D66" s="16"/>
      <c r="E66" s="16"/>
      <c r="F66" s="16"/>
      <c r="G66" s="16"/>
      <c r="H66" s="16"/>
      <c r="I66" s="16"/>
      <c r="J66" s="19"/>
      <c r="L66" s="31">
        <f t="shared" si="23"/>
        <v>0</v>
      </c>
      <c r="M66" s="31">
        <f t="shared" si="23"/>
        <v>0</v>
      </c>
      <c r="N66" s="31">
        <f t="shared" si="23"/>
        <v>0</v>
      </c>
      <c r="O66" s="31">
        <f t="shared" si="23"/>
        <v>0</v>
      </c>
      <c r="P66" s="31">
        <f t="shared" si="23"/>
        <v>0</v>
      </c>
      <c r="Q66" s="31">
        <f t="shared" si="23"/>
        <v>0</v>
      </c>
      <c r="R66" s="31">
        <f t="shared" si="23"/>
        <v>0</v>
      </c>
      <c r="S66" s="31">
        <f t="shared" si="23"/>
        <v>0</v>
      </c>
      <c r="T66" s="31">
        <f t="shared" si="23"/>
        <v>0</v>
      </c>
      <c r="U66" s="32">
        <f t="shared" si="24"/>
        <v>0</v>
      </c>
      <c r="V66" s="32">
        <f t="shared" si="24"/>
        <v>0</v>
      </c>
      <c r="W66" s="32">
        <f t="shared" si="24"/>
        <v>0</v>
      </c>
      <c r="X66" s="32">
        <f t="shared" si="2"/>
        <v>0</v>
      </c>
    </row>
    <row r="67" spans="1:24" ht="19.95" customHeight="1">
      <c r="A67" s="14"/>
      <c r="B67" s="15"/>
      <c r="C67" s="16"/>
      <c r="D67" s="16"/>
      <c r="E67" s="16"/>
      <c r="F67" s="16"/>
      <c r="G67" s="16"/>
      <c r="H67" s="16"/>
      <c r="I67" s="16"/>
      <c r="J67" s="19"/>
      <c r="L67" s="31">
        <f t="shared" si="23"/>
        <v>0</v>
      </c>
      <c r="M67" s="31">
        <f t="shared" si="23"/>
        <v>0</v>
      </c>
      <c r="N67" s="31">
        <f t="shared" si="23"/>
        <v>0</v>
      </c>
      <c r="O67" s="31">
        <f t="shared" si="23"/>
        <v>0</v>
      </c>
      <c r="P67" s="31">
        <f t="shared" si="23"/>
        <v>0</v>
      </c>
      <c r="Q67" s="31">
        <f t="shared" si="23"/>
        <v>0</v>
      </c>
      <c r="R67" s="31">
        <f t="shared" si="23"/>
        <v>0</v>
      </c>
      <c r="S67" s="31">
        <f t="shared" si="23"/>
        <v>0</v>
      </c>
      <c r="T67" s="31">
        <f t="shared" si="23"/>
        <v>0</v>
      </c>
      <c r="U67" s="32">
        <f t="shared" si="24"/>
        <v>0</v>
      </c>
      <c r="V67" s="32">
        <f t="shared" si="24"/>
        <v>0</v>
      </c>
      <c r="W67" s="32">
        <f t="shared" si="24"/>
        <v>0</v>
      </c>
      <c r="X67" s="32">
        <f t="shared" si="2"/>
        <v>0</v>
      </c>
    </row>
    <row r="68" spans="1:24" ht="19.95" customHeight="1">
      <c r="A68" s="14"/>
      <c r="B68" s="15"/>
      <c r="C68" s="16"/>
      <c r="D68" s="14"/>
      <c r="E68" s="16"/>
      <c r="F68" s="16"/>
      <c r="G68" s="16"/>
      <c r="H68" s="16"/>
      <c r="I68" s="14"/>
      <c r="J68" s="19"/>
      <c r="L68" s="31">
        <f t="shared" si="23"/>
        <v>0</v>
      </c>
      <c r="M68" s="31">
        <f t="shared" si="23"/>
        <v>0</v>
      </c>
      <c r="N68" s="31">
        <f t="shared" si="23"/>
        <v>0</v>
      </c>
      <c r="O68" s="31">
        <f t="shared" si="23"/>
        <v>0</v>
      </c>
      <c r="P68" s="31">
        <f t="shared" si="23"/>
        <v>0</v>
      </c>
      <c r="Q68" s="31">
        <f t="shared" si="23"/>
        <v>0</v>
      </c>
      <c r="R68" s="31">
        <f t="shared" si="23"/>
        <v>0</v>
      </c>
      <c r="S68" s="31">
        <f t="shared" si="23"/>
        <v>0</v>
      </c>
      <c r="T68" s="31">
        <f t="shared" si="23"/>
        <v>0</v>
      </c>
      <c r="U68" s="32">
        <f t="shared" si="24"/>
        <v>0</v>
      </c>
      <c r="V68" s="32">
        <f t="shared" si="24"/>
        <v>0</v>
      </c>
      <c r="W68" s="32">
        <f t="shared" si="24"/>
        <v>0</v>
      </c>
      <c r="X68" s="32">
        <f t="shared" si="2"/>
        <v>0</v>
      </c>
    </row>
    <row r="69" spans="1:24" ht="19.95" customHeight="1">
      <c r="A69" s="14"/>
      <c r="B69" s="15"/>
      <c r="C69" s="16"/>
      <c r="D69" s="14"/>
      <c r="E69" s="16"/>
      <c r="F69" s="16"/>
      <c r="G69" s="16"/>
      <c r="H69" s="16"/>
      <c r="I69" s="14"/>
      <c r="J69" s="19"/>
      <c r="L69" s="31">
        <f t="shared" si="23"/>
        <v>0</v>
      </c>
      <c r="M69" s="31">
        <f t="shared" si="23"/>
        <v>0</v>
      </c>
      <c r="N69" s="31">
        <f t="shared" si="23"/>
        <v>0</v>
      </c>
      <c r="O69" s="31">
        <f t="shared" si="23"/>
        <v>0</v>
      </c>
      <c r="P69" s="31">
        <f t="shared" si="23"/>
        <v>0</v>
      </c>
      <c r="Q69" s="31">
        <f t="shared" si="23"/>
        <v>0</v>
      </c>
      <c r="R69" s="31">
        <f t="shared" si="23"/>
        <v>0</v>
      </c>
      <c r="S69" s="31">
        <f t="shared" si="23"/>
        <v>0</v>
      </c>
      <c r="T69" s="31">
        <f t="shared" si="23"/>
        <v>0</v>
      </c>
      <c r="U69" s="32">
        <f t="shared" si="24"/>
        <v>0</v>
      </c>
      <c r="V69" s="32">
        <f t="shared" si="24"/>
        <v>0</v>
      </c>
      <c r="W69" s="32">
        <f t="shared" si="24"/>
        <v>0</v>
      </c>
      <c r="X69" s="32">
        <f t="shared" si="2"/>
        <v>0</v>
      </c>
    </row>
    <row r="70" spans="1:24" ht="19.95" customHeight="1">
      <c r="A70" s="14"/>
      <c r="B70" s="15"/>
      <c r="C70" s="16"/>
      <c r="D70" s="14"/>
      <c r="E70" s="16"/>
      <c r="F70" s="16"/>
      <c r="G70" s="16"/>
      <c r="H70" s="16"/>
      <c r="I70" s="14"/>
      <c r="J70" s="19"/>
      <c r="L70" s="31">
        <f t="shared" si="23"/>
        <v>0</v>
      </c>
      <c r="M70" s="31">
        <f t="shared" si="23"/>
        <v>0</v>
      </c>
      <c r="N70" s="31">
        <f t="shared" si="23"/>
        <v>0</v>
      </c>
      <c r="O70" s="31">
        <f t="shared" si="23"/>
        <v>0</v>
      </c>
      <c r="P70" s="31">
        <f t="shared" si="23"/>
        <v>0</v>
      </c>
      <c r="Q70" s="31">
        <f t="shared" si="23"/>
        <v>0</v>
      </c>
      <c r="R70" s="31">
        <f t="shared" si="23"/>
        <v>0</v>
      </c>
      <c r="S70" s="31">
        <f t="shared" si="23"/>
        <v>0</v>
      </c>
      <c r="T70" s="31">
        <f t="shared" si="23"/>
        <v>0</v>
      </c>
      <c r="U70" s="32">
        <f t="shared" si="24"/>
        <v>0</v>
      </c>
      <c r="V70" s="32">
        <f t="shared" si="24"/>
        <v>0</v>
      </c>
      <c r="W70" s="32">
        <f t="shared" si="24"/>
        <v>0</v>
      </c>
      <c r="X70" s="32">
        <f t="shared" si="2"/>
        <v>0</v>
      </c>
    </row>
    <row r="71" spans="1:24" ht="19.95" customHeight="1">
      <c r="A71" s="14"/>
      <c r="B71" s="15"/>
      <c r="C71" s="16"/>
      <c r="D71" s="14"/>
      <c r="E71" s="16"/>
      <c r="F71" s="16"/>
      <c r="G71" s="16"/>
      <c r="H71" s="16"/>
      <c r="I71" s="14"/>
      <c r="J71" s="19"/>
      <c r="L71" s="31">
        <f t="shared" si="23"/>
        <v>0</v>
      </c>
      <c r="M71" s="31">
        <f t="shared" si="23"/>
        <v>0</v>
      </c>
      <c r="N71" s="31">
        <f t="shared" si="23"/>
        <v>0</v>
      </c>
      <c r="O71" s="31">
        <f t="shared" si="23"/>
        <v>0</v>
      </c>
      <c r="P71" s="31">
        <f t="shared" si="23"/>
        <v>0</v>
      </c>
      <c r="Q71" s="31">
        <f t="shared" si="23"/>
        <v>0</v>
      </c>
      <c r="R71" s="31">
        <f t="shared" si="23"/>
        <v>0</v>
      </c>
      <c r="S71" s="31">
        <f t="shared" si="23"/>
        <v>0</v>
      </c>
      <c r="T71" s="31">
        <f t="shared" si="23"/>
        <v>0</v>
      </c>
      <c r="U71" s="32">
        <f t="shared" si="24"/>
        <v>0</v>
      </c>
      <c r="V71" s="32">
        <f t="shared" si="24"/>
        <v>0</v>
      </c>
      <c r="W71" s="32">
        <f t="shared" si="24"/>
        <v>0</v>
      </c>
      <c r="X71" s="32">
        <f t="shared" si="2"/>
        <v>0</v>
      </c>
    </row>
    <row r="72" spans="1:24" ht="19.95" customHeight="1">
      <c r="A72" s="14"/>
      <c r="B72" s="15"/>
      <c r="C72" s="16"/>
      <c r="D72" s="14"/>
      <c r="E72" s="16"/>
      <c r="F72" s="16"/>
      <c r="G72" s="16"/>
      <c r="H72" s="16"/>
      <c r="I72" s="14"/>
      <c r="J72" s="19"/>
      <c r="L72" s="31">
        <f t="shared" si="23"/>
        <v>0</v>
      </c>
      <c r="M72" s="31">
        <f t="shared" si="23"/>
        <v>0</v>
      </c>
      <c r="N72" s="31">
        <f t="shared" si="23"/>
        <v>0</v>
      </c>
      <c r="O72" s="31">
        <f t="shared" ref="O72:T114" si="25">IFERROR(E73-E72,0)</f>
        <v>0</v>
      </c>
      <c r="P72" s="31">
        <f t="shared" si="25"/>
        <v>0</v>
      </c>
      <c r="Q72" s="31">
        <f t="shared" si="25"/>
        <v>0</v>
      </c>
      <c r="R72" s="31">
        <f t="shared" si="25"/>
        <v>0</v>
      </c>
      <c r="S72" s="31">
        <f t="shared" si="25"/>
        <v>0</v>
      </c>
      <c r="T72" s="31">
        <f t="shared" si="25"/>
        <v>0</v>
      </c>
      <c r="U72" s="32">
        <f t="shared" si="24"/>
        <v>0</v>
      </c>
      <c r="V72" s="32">
        <f t="shared" si="24"/>
        <v>0</v>
      </c>
      <c r="W72" s="32">
        <f t="shared" si="24"/>
        <v>0</v>
      </c>
      <c r="X72" s="32">
        <f t="shared" si="2"/>
        <v>0</v>
      </c>
    </row>
    <row r="73" spans="1:24" ht="19.95" customHeight="1">
      <c r="A73" s="14"/>
      <c r="B73" s="15"/>
      <c r="C73" s="16"/>
      <c r="D73" s="14"/>
      <c r="E73" s="16"/>
      <c r="F73" s="16"/>
      <c r="G73" s="16"/>
      <c r="H73" s="16"/>
      <c r="I73" s="14"/>
      <c r="J73" s="19"/>
      <c r="L73" s="31">
        <f t="shared" ref="L73:Q136" si="26">IFERROR(B74-B73,0)</f>
        <v>0</v>
      </c>
      <c r="M73" s="31">
        <f t="shared" si="26"/>
        <v>0</v>
      </c>
      <c r="N73" s="31">
        <f t="shared" si="26"/>
        <v>0</v>
      </c>
      <c r="O73" s="31">
        <f t="shared" si="25"/>
        <v>0</v>
      </c>
      <c r="P73" s="31">
        <f t="shared" si="25"/>
        <v>0</v>
      </c>
      <c r="Q73" s="31">
        <f t="shared" si="25"/>
        <v>0</v>
      </c>
      <c r="R73" s="31">
        <f t="shared" si="25"/>
        <v>0</v>
      </c>
      <c r="S73" s="31">
        <f t="shared" si="25"/>
        <v>0</v>
      </c>
      <c r="T73" s="31">
        <f t="shared" si="25"/>
        <v>0</v>
      </c>
      <c r="U73" s="32">
        <f t="shared" si="24"/>
        <v>0</v>
      </c>
      <c r="V73" s="32">
        <f t="shared" si="24"/>
        <v>0</v>
      </c>
      <c r="W73" s="32">
        <f t="shared" si="24"/>
        <v>0</v>
      </c>
      <c r="X73" s="32">
        <f t="shared" ref="X73:X136" si="27">O73+P73+T73</f>
        <v>0</v>
      </c>
    </row>
    <row r="74" spans="1:24" ht="19.95" customHeight="1">
      <c r="A74" s="14"/>
      <c r="B74" s="15"/>
      <c r="C74" s="16"/>
      <c r="D74" s="16"/>
      <c r="E74" s="16"/>
      <c r="F74" s="16"/>
      <c r="G74" s="16"/>
      <c r="H74" s="16"/>
      <c r="I74" s="16"/>
      <c r="J74" s="19"/>
      <c r="L74" s="31">
        <f t="shared" si="26"/>
        <v>0</v>
      </c>
      <c r="M74" s="31">
        <f t="shared" si="26"/>
        <v>0</v>
      </c>
      <c r="N74" s="31">
        <f t="shared" si="26"/>
        <v>0</v>
      </c>
      <c r="O74" s="31">
        <f t="shared" si="25"/>
        <v>0</v>
      </c>
      <c r="P74" s="31">
        <f t="shared" si="25"/>
        <v>0</v>
      </c>
      <c r="Q74" s="31">
        <f t="shared" si="25"/>
        <v>0</v>
      </c>
      <c r="R74" s="31">
        <f t="shared" si="25"/>
        <v>0</v>
      </c>
      <c r="S74" s="31">
        <f t="shared" si="25"/>
        <v>0</v>
      </c>
      <c r="T74" s="31">
        <f t="shared" si="25"/>
        <v>0</v>
      </c>
      <c r="U74" s="32">
        <f t="shared" si="24"/>
        <v>0</v>
      </c>
      <c r="V74" s="32">
        <f t="shared" si="24"/>
        <v>0</v>
      </c>
      <c r="W74" s="32">
        <f t="shared" si="24"/>
        <v>0</v>
      </c>
      <c r="X74" s="32">
        <f t="shared" si="27"/>
        <v>0</v>
      </c>
    </row>
    <row r="75" spans="1:24" ht="19.95" customHeight="1">
      <c r="A75" s="14"/>
      <c r="B75" s="15"/>
      <c r="C75" s="16"/>
      <c r="D75" s="14"/>
      <c r="E75" s="16"/>
      <c r="F75" s="16"/>
      <c r="G75" s="16"/>
      <c r="H75" s="16"/>
      <c r="I75" s="14"/>
      <c r="J75" s="19"/>
      <c r="L75" s="31">
        <f t="shared" si="26"/>
        <v>0</v>
      </c>
      <c r="M75" s="31">
        <f t="shared" si="26"/>
        <v>0</v>
      </c>
      <c r="N75" s="31">
        <f t="shared" si="26"/>
        <v>0</v>
      </c>
      <c r="O75" s="31">
        <f t="shared" si="25"/>
        <v>0</v>
      </c>
      <c r="P75" s="31">
        <f t="shared" si="25"/>
        <v>0</v>
      </c>
      <c r="Q75" s="31">
        <f t="shared" si="25"/>
        <v>0</v>
      </c>
      <c r="R75" s="31">
        <f t="shared" si="25"/>
        <v>0</v>
      </c>
      <c r="S75" s="31">
        <f t="shared" si="25"/>
        <v>0</v>
      </c>
      <c r="T75" s="31">
        <f t="shared" si="25"/>
        <v>0</v>
      </c>
      <c r="U75" s="32">
        <f t="shared" si="24"/>
        <v>0</v>
      </c>
      <c r="V75" s="32">
        <f t="shared" si="24"/>
        <v>0</v>
      </c>
      <c r="W75" s="32">
        <f t="shared" si="24"/>
        <v>0</v>
      </c>
      <c r="X75" s="32">
        <f t="shared" si="27"/>
        <v>0</v>
      </c>
    </row>
    <row r="76" spans="1:24" ht="19.95" customHeight="1">
      <c r="A76" s="14"/>
      <c r="B76" s="15"/>
      <c r="C76" s="16"/>
      <c r="D76" s="14"/>
      <c r="E76" s="16"/>
      <c r="F76" s="16"/>
      <c r="G76" s="16"/>
      <c r="H76" s="16"/>
      <c r="I76" s="14"/>
      <c r="J76" s="19"/>
      <c r="L76" s="31">
        <f t="shared" si="26"/>
        <v>0</v>
      </c>
      <c r="M76" s="31">
        <f t="shared" si="26"/>
        <v>0</v>
      </c>
      <c r="N76" s="31">
        <f t="shared" si="26"/>
        <v>0</v>
      </c>
      <c r="O76" s="31">
        <f t="shared" si="25"/>
        <v>0</v>
      </c>
      <c r="P76" s="31">
        <f t="shared" si="25"/>
        <v>0</v>
      </c>
      <c r="Q76" s="31">
        <f t="shared" si="25"/>
        <v>0</v>
      </c>
      <c r="R76" s="31">
        <f t="shared" si="25"/>
        <v>0</v>
      </c>
      <c r="S76" s="31">
        <f t="shared" si="25"/>
        <v>0</v>
      </c>
      <c r="T76" s="31">
        <f t="shared" si="25"/>
        <v>0</v>
      </c>
      <c r="U76" s="32">
        <f t="shared" si="24"/>
        <v>0</v>
      </c>
      <c r="V76" s="32">
        <f t="shared" si="24"/>
        <v>0</v>
      </c>
      <c r="W76" s="32">
        <f t="shared" si="24"/>
        <v>0</v>
      </c>
      <c r="X76" s="32">
        <f t="shared" si="27"/>
        <v>0</v>
      </c>
    </row>
    <row r="77" spans="1:24" ht="19.95" customHeight="1">
      <c r="A77" s="14"/>
      <c r="B77" s="15"/>
      <c r="C77" s="16"/>
      <c r="D77" s="16"/>
      <c r="E77" s="16"/>
      <c r="F77" s="16"/>
      <c r="G77" s="16"/>
      <c r="H77" s="16"/>
      <c r="I77" s="16"/>
      <c r="J77" s="19"/>
      <c r="L77" s="31">
        <f t="shared" si="26"/>
        <v>0</v>
      </c>
      <c r="M77" s="31">
        <f t="shared" si="26"/>
        <v>0</v>
      </c>
      <c r="N77" s="31">
        <f t="shared" si="26"/>
        <v>0</v>
      </c>
      <c r="O77" s="31">
        <f t="shared" si="25"/>
        <v>0</v>
      </c>
      <c r="P77" s="31">
        <f t="shared" si="25"/>
        <v>0</v>
      </c>
      <c r="Q77" s="31">
        <f t="shared" si="25"/>
        <v>0</v>
      </c>
      <c r="R77" s="31">
        <f t="shared" si="25"/>
        <v>0</v>
      </c>
      <c r="S77" s="31">
        <f t="shared" si="25"/>
        <v>0</v>
      </c>
      <c r="T77" s="31">
        <f t="shared" si="25"/>
        <v>0</v>
      </c>
      <c r="U77" s="32">
        <f t="shared" si="24"/>
        <v>0</v>
      </c>
      <c r="V77" s="32">
        <f t="shared" si="24"/>
        <v>0</v>
      </c>
      <c r="W77" s="32">
        <f t="shared" si="24"/>
        <v>0</v>
      </c>
      <c r="X77" s="32">
        <f t="shared" si="27"/>
        <v>0</v>
      </c>
    </row>
    <row r="78" spans="1:24" ht="19.95" customHeight="1">
      <c r="A78" s="14"/>
      <c r="B78" s="15"/>
      <c r="C78" s="16"/>
      <c r="D78" s="16"/>
      <c r="E78" s="16"/>
      <c r="F78" s="16"/>
      <c r="G78" s="16"/>
      <c r="H78" s="16"/>
      <c r="I78" s="16"/>
      <c r="J78" s="19"/>
      <c r="L78" s="31">
        <f t="shared" si="26"/>
        <v>0</v>
      </c>
      <c r="M78" s="31">
        <f t="shared" si="26"/>
        <v>0</v>
      </c>
      <c r="N78" s="31">
        <f t="shared" si="26"/>
        <v>0</v>
      </c>
      <c r="O78" s="31">
        <f t="shared" si="25"/>
        <v>0</v>
      </c>
      <c r="P78" s="31">
        <f t="shared" si="25"/>
        <v>0</v>
      </c>
      <c r="Q78" s="31">
        <f t="shared" si="25"/>
        <v>0</v>
      </c>
      <c r="R78" s="31">
        <f t="shared" si="25"/>
        <v>0</v>
      </c>
      <c r="S78" s="31">
        <f t="shared" si="25"/>
        <v>0</v>
      </c>
      <c r="T78" s="31">
        <f t="shared" si="25"/>
        <v>0</v>
      </c>
      <c r="U78" s="32">
        <f t="shared" si="24"/>
        <v>0</v>
      </c>
      <c r="V78" s="32">
        <f t="shared" si="24"/>
        <v>0</v>
      </c>
      <c r="W78" s="32">
        <f t="shared" si="24"/>
        <v>0</v>
      </c>
      <c r="X78" s="32">
        <f t="shared" si="27"/>
        <v>0</v>
      </c>
    </row>
    <row r="79" spans="1:24" ht="19.95" customHeight="1">
      <c r="A79" s="14"/>
      <c r="B79" s="15"/>
      <c r="C79" s="16"/>
      <c r="D79" s="16"/>
      <c r="E79" s="16"/>
      <c r="F79" s="16"/>
      <c r="G79" s="16"/>
      <c r="H79" s="16"/>
      <c r="I79" s="16"/>
      <c r="J79" s="19"/>
      <c r="L79" s="31">
        <f t="shared" si="26"/>
        <v>0</v>
      </c>
      <c r="M79" s="31">
        <f t="shared" si="26"/>
        <v>0</v>
      </c>
      <c r="N79" s="31">
        <f t="shared" si="26"/>
        <v>0</v>
      </c>
      <c r="O79" s="31">
        <f t="shared" si="25"/>
        <v>0</v>
      </c>
      <c r="P79" s="31">
        <f t="shared" si="25"/>
        <v>0</v>
      </c>
      <c r="Q79" s="31">
        <f t="shared" si="25"/>
        <v>0</v>
      </c>
      <c r="R79" s="31">
        <f t="shared" si="25"/>
        <v>0</v>
      </c>
      <c r="S79" s="31">
        <f t="shared" si="25"/>
        <v>0</v>
      </c>
      <c r="T79" s="31">
        <f t="shared" si="25"/>
        <v>0</v>
      </c>
      <c r="U79" s="32">
        <f t="shared" si="24"/>
        <v>0</v>
      </c>
      <c r="V79" s="32">
        <f t="shared" si="24"/>
        <v>0</v>
      </c>
      <c r="W79" s="32">
        <f t="shared" si="24"/>
        <v>0</v>
      </c>
      <c r="X79" s="32">
        <f t="shared" si="27"/>
        <v>0</v>
      </c>
    </row>
    <row r="80" spans="1:24" ht="16.8" customHeight="1">
      <c r="A80" s="14"/>
      <c r="B80" s="15"/>
      <c r="C80" s="16"/>
      <c r="D80" s="16"/>
      <c r="E80" s="16"/>
      <c r="F80" s="16"/>
      <c r="G80" s="16"/>
      <c r="H80" s="16"/>
      <c r="I80" s="16"/>
      <c r="J80" s="19"/>
      <c r="L80" s="31">
        <f t="shared" si="26"/>
        <v>0</v>
      </c>
      <c r="M80" s="31">
        <f t="shared" si="26"/>
        <v>0</v>
      </c>
      <c r="N80" s="31">
        <f t="shared" si="26"/>
        <v>0</v>
      </c>
      <c r="O80" s="31">
        <f t="shared" si="25"/>
        <v>0</v>
      </c>
      <c r="P80" s="31">
        <f t="shared" si="25"/>
        <v>0</v>
      </c>
      <c r="Q80" s="31">
        <f t="shared" si="25"/>
        <v>0</v>
      </c>
      <c r="R80" s="31">
        <f t="shared" si="25"/>
        <v>0</v>
      </c>
      <c r="S80" s="31">
        <f t="shared" si="25"/>
        <v>0</v>
      </c>
      <c r="T80" s="31">
        <f t="shared" si="25"/>
        <v>0</v>
      </c>
      <c r="U80" s="32">
        <f t="shared" si="24"/>
        <v>0</v>
      </c>
      <c r="V80" s="32">
        <f t="shared" si="24"/>
        <v>0</v>
      </c>
      <c r="W80" s="32">
        <f t="shared" si="24"/>
        <v>0</v>
      </c>
      <c r="X80" s="32">
        <f t="shared" si="27"/>
        <v>0</v>
      </c>
    </row>
    <row r="81" spans="1:24" ht="19.95" customHeight="1">
      <c r="A81" s="14"/>
      <c r="B81" s="15"/>
      <c r="C81" s="16"/>
      <c r="D81" s="16"/>
      <c r="E81" s="16"/>
      <c r="F81" s="16"/>
      <c r="G81" s="16"/>
      <c r="H81" s="16"/>
      <c r="I81" s="16"/>
      <c r="J81" s="19"/>
      <c r="L81" s="31">
        <f t="shared" si="26"/>
        <v>0</v>
      </c>
      <c r="M81" s="31">
        <f t="shared" si="26"/>
        <v>0</v>
      </c>
      <c r="N81" s="31">
        <f t="shared" si="26"/>
        <v>0</v>
      </c>
      <c r="O81" s="31">
        <f t="shared" si="25"/>
        <v>0</v>
      </c>
      <c r="P81" s="31">
        <f t="shared" si="25"/>
        <v>0</v>
      </c>
      <c r="Q81" s="31">
        <f t="shared" si="25"/>
        <v>0</v>
      </c>
      <c r="R81" s="31">
        <f t="shared" si="25"/>
        <v>0</v>
      </c>
      <c r="S81" s="31">
        <f t="shared" si="25"/>
        <v>0</v>
      </c>
      <c r="T81" s="31">
        <f t="shared" si="25"/>
        <v>0</v>
      </c>
      <c r="U81" s="32">
        <f t="shared" si="24"/>
        <v>0</v>
      </c>
      <c r="V81" s="32">
        <f t="shared" si="24"/>
        <v>0</v>
      </c>
      <c r="W81" s="32">
        <f t="shared" si="24"/>
        <v>0</v>
      </c>
      <c r="X81" s="32">
        <f t="shared" si="27"/>
        <v>0</v>
      </c>
    </row>
    <row r="82" spans="1:24" ht="19.95" customHeight="1">
      <c r="A82" s="14"/>
      <c r="B82" s="15"/>
      <c r="C82" s="16"/>
      <c r="D82" s="16"/>
      <c r="E82" s="16"/>
      <c r="F82" s="16"/>
      <c r="G82" s="16"/>
      <c r="H82" s="16"/>
      <c r="I82" s="16"/>
      <c r="J82" s="19"/>
      <c r="L82" s="31">
        <f t="shared" si="26"/>
        <v>0</v>
      </c>
      <c r="M82" s="31">
        <f t="shared" si="26"/>
        <v>0</v>
      </c>
      <c r="N82" s="31">
        <f t="shared" si="26"/>
        <v>0</v>
      </c>
      <c r="O82" s="31">
        <f t="shared" si="25"/>
        <v>0</v>
      </c>
      <c r="P82" s="31">
        <f t="shared" si="25"/>
        <v>0</v>
      </c>
      <c r="Q82" s="31">
        <f t="shared" si="25"/>
        <v>0</v>
      </c>
      <c r="R82" s="31">
        <f t="shared" si="25"/>
        <v>0</v>
      </c>
      <c r="S82" s="31">
        <f t="shared" si="25"/>
        <v>0</v>
      </c>
      <c r="T82" s="31">
        <f t="shared" si="25"/>
        <v>0</v>
      </c>
      <c r="U82" s="32">
        <f t="shared" si="24"/>
        <v>0</v>
      </c>
      <c r="V82" s="32">
        <f t="shared" si="24"/>
        <v>0</v>
      </c>
      <c r="W82" s="32">
        <f t="shared" si="24"/>
        <v>0</v>
      </c>
      <c r="X82" s="32">
        <f t="shared" si="27"/>
        <v>0</v>
      </c>
    </row>
    <row r="83" spans="1:24" ht="19.95" customHeight="1">
      <c r="A83" s="14"/>
      <c r="B83" s="15"/>
      <c r="C83" s="16"/>
      <c r="D83" s="16"/>
      <c r="E83" s="16"/>
      <c r="F83" s="16"/>
      <c r="G83" s="16"/>
      <c r="H83" s="16"/>
      <c r="I83" s="16"/>
      <c r="J83" s="19"/>
      <c r="L83" s="31">
        <f t="shared" si="26"/>
        <v>0</v>
      </c>
      <c r="M83" s="31">
        <f t="shared" si="26"/>
        <v>0</v>
      </c>
      <c r="N83" s="31">
        <f t="shared" si="26"/>
        <v>0</v>
      </c>
      <c r="O83" s="31">
        <f t="shared" si="25"/>
        <v>0</v>
      </c>
      <c r="P83" s="31">
        <f t="shared" si="25"/>
        <v>0</v>
      </c>
      <c r="Q83" s="31">
        <f t="shared" si="25"/>
        <v>0</v>
      </c>
      <c r="R83" s="31">
        <f t="shared" si="25"/>
        <v>0</v>
      </c>
      <c r="S83" s="31">
        <f t="shared" si="25"/>
        <v>0</v>
      </c>
      <c r="T83" s="31">
        <f t="shared" si="25"/>
        <v>0</v>
      </c>
      <c r="U83" s="32">
        <f t="shared" si="24"/>
        <v>0</v>
      </c>
      <c r="V83" s="32">
        <f t="shared" si="24"/>
        <v>0</v>
      </c>
      <c r="W83" s="32">
        <f t="shared" si="24"/>
        <v>0</v>
      </c>
      <c r="X83" s="32">
        <f t="shared" si="27"/>
        <v>0</v>
      </c>
    </row>
    <row r="84" spans="1:24" ht="19.95" customHeight="1">
      <c r="A84" s="14"/>
      <c r="B84" s="15"/>
      <c r="C84" s="16"/>
      <c r="D84" s="16"/>
      <c r="E84" s="16"/>
      <c r="F84" s="16"/>
      <c r="G84" s="16"/>
      <c r="H84" s="16"/>
      <c r="I84" s="16"/>
      <c r="J84" s="19"/>
      <c r="L84" s="31">
        <f t="shared" si="26"/>
        <v>0</v>
      </c>
      <c r="M84" s="31">
        <f t="shared" si="26"/>
        <v>0</v>
      </c>
      <c r="N84" s="31">
        <f t="shared" si="26"/>
        <v>0</v>
      </c>
      <c r="O84" s="31">
        <f t="shared" si="25"/>
        <v>0</v>
      </c>
      <c r="P84" s="31">
        <f t="shared" si="25"/>
        <v>0</v>
      </c>
      <c r="Q84" s="31">
        <f t="shared" si="25"/>
        <v>0</v>
      </c>
      <c r="R84" s="31">
        <f t="shared" si="25"/>
        <v>0</v>
      </c>
      <c r="S84" s="31">
        <f t="shared" si="25"/>
        <v>0</v>
      </c>
      <c r="T84" s="31">
        <f t="shared" si="25"/>
        <v>0</v>
      </c>
      <c r="U84" s="32">
        <f t="shared" si="24"/>
        <v>0</v>
      </c>
      <c r="V84" s="32">
        <f t="shared" si="24"/>
        <v>0</v>
      </c>
      <c r="W84" s="32">
        <f t="shared" si="24"/>
        <v>0</v>
      </c>
      <c r="X84" s="32">
        <f t="shared" si="27"/>
        <v>0</v>
      </c>
    </row>
    <row r="85" spans="1:24" ht="19.95" customHeight="1">
      <c r="A85" s="14"/>
      <c r="B85" s="15"/>
      <c r="C85" s="16"/>
      <c r="D85" s="16"/>
      <c r="E85" s="16"/>
      <c r="F85" s="16"/>
      <c r="G85" s="16"/>
      <c r="H85" s="16"/>
      <c r="I85" s="16"/>
      <c r="J85" s="19"/>
      <c r="L85" s="31">
        <f t="shared" si="26"/>
        <v>0</v>
      </c>
      <c r="M85" s="31">
        <f t="shared" si="26"/>
        <v>0</v>
      </c>
      <c r="N85" s="31">
        <f t="shared" si="26"/>
        <v>0</v>
      </c>
      <c r="O85" s="31">
        <f t="shared" si="25"/>
        <v>0</v>
      </c>
      <c r="P85" s="31">
        <f t="shared" si="25"/>
        <v>0</v>
      </c>
      <c r="Q85" s="31">
        <f t="shared" si="25"/>
        <v>0</v>
      </c>
      <c r="R85" s="31">
        <f t="shared" si="25"/>
        <v>0</v>
      </c>
      <c r="S85" s="31">
        <f t="shared" si="25"/>
        <v>0</v>
      </c>
      <c r="T85" s="31">
        <f t="shared" si="25"/>
        <v>0</v>
      </c>
      <c r="U85" s="32">
        <f t="shared" si="24"/>
        <v>0</v>
      </c>
      <c r="V85" s="32">
        <f t="shared" si="24"/>
        <v>0</v>
      </c>
      <c r="W85" s="32">
        <f t="shared" si="24"/>
        <v>0</v>
      </c>
      <c r="X85" s="32">
        <f t="shared" si="27"/>
        <v>0</v>
      </c>
    </row>
    <row r="86" spans="1:24" ht="19.95" customHeight="1">
      <c r="A86" s="14"/>
      <c r="B86" s="15"/>
      <c r="C86" s="16"/>
      <c r="D86" s="16"/>
      <c r="E86" s="16"/>
      <c r="F86" s="16"/>
      <c r="G86" s="16"/>
      <c r="H86" s="16"/>
      <c r="I86" s="16"/>
      <c r="J86" s="19"/>
      <c r="L86" s="31">
        <f t="shared" si="26"/>
        <v>0</v>
      </c>
      <c r="M86" s="31">
        <f t="shared" si="26"/>
        <v>0</v>
      </c>
      <c r="N86" s="31">
        <f t="shared" si="26"/>
        <v>0</v>
      </c>
      <c r="O86" s="31">
        <f t="shared" si="25"/>
        <v>0</v>
      </c>
      <c r="P86" s="31">
        <f t="shared" si="25"/>
        <v>0</v>
      </c>
      <c r="Q86" s="31">
        <f t="shared" si="25"/>
        <v>0</v>
      </c>
      <c r="R86" s="31">
        <f t="shared" si="25"/>
        <v>0</v>
      </c>
      <c r="S86" s="31">
        <f t="shared" si="25"/>
        <v>0</v>
      </c>
      <c r="T86" s="31">
        <f t="shared" si="25"/>
        <v>0</v>
      </c>
      <c r="U86" s="32">
        <f t="shared" si="24"/>
        <v>0</v>
      </c>
      <c r="V86" s="32">
        <f t="shared" si="24"/>
        <v>0</v>
      </c>
      <c r="W86" s="32">
        <f t="shared" si="24"/>
        <v>0</v>
      </c>
      <c r="X86" s="32">
        <f t="shared" si="27"/>
        <v>0</v>
      </c>
    </row>
    <row r="87" spans="1:24" ht="19.95" customHeight="1">
      <c r="A87" s="14"/>
      <c r="B87" s="15"/>
      <c r="C87" s="16"/>
      <c r="D87" s="16"/>
      <c r="E87" s="16"/>
      <c r="F87" s="16"/>
      <c r="G87" s="16"/>
      <c r="H87" s="16"/>
      <c r="I87" s="16"/>
      <c r="J87" s="19"/>
      <c r="L87" s="31">
        <f t="shared" si="26"/>
        <v>0</v>
      </c>
      <c r="M87" s="31">
        <f t="shared" si="26"/>
        <v>0</v>
      </c>
      <c r="N87" s="31">
        <f t="shared" si="26"/>
        <v>0</v>
      </c>
      <c r="O87" s="31">
        <f t="shared" si="25"/>
        <v>0</v>
      </c>
      <c r="P87" s="31">
        <f t="shared" si="25"/>
        <v>0</v>
      </c>
      <c r="Q87" s="31">
        <f t="shared" si="25"/>
        <v>0</v>
      </c>
      <c r="R87" s="31">
        <f t="shared" si="25"/>
        <v>0</v>
      </c>
      <c r="S87" s="31">
        <f t="shared" si="25"/>
        <v>0</v>
      </c>
      <c r="T87" s="31">
        <f t="shared" si="25"/>
        <v>0</v>
      </c>
      <c r="U87" s="32">
        <f t="shared" si="24"/>
        <v>0</v>
      </c>
      <c r="V87" s="32">
        <f t="shared" si="24"/>
        <v>0</v>
      </c>
      <c r="W87" s="32">
        <f t="shared" si="24"/>
        <v>0</v>
      </c>
      <c r="X87" s="32">
        <f t="shared" si="27"/>
        <v>0</v>
      </c>
    </row>
    <row r="88" spans="1:24" ht="19.95" customHeight="1">
      <c r="A88" s="14"/>
      <c r="B88" s="15"/>
      <c r="C88" s="16"/>
      <c r="D88" s="16"/>
      <c r="E88" s="16"/>
      <c r="F88" s="16"/>
      <c r="G88" s="16"/>
      <c r="H88" s="16"/>
      <c r="I88" s="16"/>
      <c r="J88" s="19"/>
      <c r="L88" s="31">
        <f t="shared" si="26"/>
        <v>0</v>
      </c>
      <c r="M88" s="31">
        <f t="shared" si="26"/>
        <v>0</v>
      </c>
      <c r="N88" s="31">
        <f t="shared" si="26"/>
        <v>0</v>
      </c>
      <c r="O88" s="31">
        <f t="shared" si="25"/>
        <v>0</v>
      </c>
      <c r="P88" s="31">
        <f t="shared" si="25"/>
        <v>0</v>
      </c>
      <c r="Q88" s="31">
        <f t="shared" si="25"/>
        <v>0</v>
      </c>
      <c r="R88" s="31">
        <f t="shared" si="25"/>
        <v>0</v>
      </c>
      <c r="S88" s="31">
        <f t="shared" si="25"/>
        <v>0</v>
      </c>
      <c r="T88" s="31">
        <f t="shared" si="25"/>
        <v>0</v>
      </c>
      <c r="U88" s="32">
        <f t="shared" si="24"/>
        <v>0</v>
      </c>
      <c r="V88" s="32">
        <f t="shared" si="24"/>
        <v>0</v>
      </c>
      <c r="W88" s="32">
        <f t="shared" si="24"/>
        <v>0</v>
      </c>
      <c r="X88" s="32">
        <f t="shared" si="27"/>
        <v>0</v>
      </c>
    </row>
    <row r="89" spans="1:24" ht="19.95" customHeight="1">
      <c r="A89" s="14"/>
      <c r="B89" s="15"/>
      <c r="C89" s="16"/>
      <c r="D89" s="16"/>
      <c r="E89" s="16"/>
      <c r="F89" s="16"/>
      <c r="G89" s="16"/>
      <c r="H89" s="16"/>
      <c r="I89" s="16"/>
      <c r="J89" s="19"/>
      <c r="L89" s="31">
        <f t="shared" si="26"/>
        <v>0</v>
      </c>
      <c r="M89" s="31">
        <f t="shared" si="26"/>
        <v>0</v>
      </c>
      <c r="N89" s="31">
        <f t="shared" si="26"/>
        <v>0</v>
      </c>
      <c r="O89" s="31">
        <f t="shared" si="25"/>
        <v>0</v>
      </c>
      <c r="P89" s="31">
        <f t="shared" si="25"/>
        <v>0</v>
      </c>
      <c r="Q89" s="31">
        <f t="shared" si="25"/>
        <v>0</v>
      </c>
      <c r="R89" s="31">
        <f t="shared" si="25"/>
        <v>0</v>
      </c>
      <c r="S89" s="31">
        <f t="shared" si="25"/>
        <v>0</v>
      </c>
      <c r="T89" s="31">
        <f t="shared" si="25"/>
        <v>0</v>
      </c>
      <c r="U89" s="32">
        <f t="shared" si="24"/>
        <v>0</v>
      </c>
      <c r="V89" s="32">
        <f t="shared" si="24"/>
        <v>0</v>
      </c>
      <c r="W89" s="32">
        <f t="shared" si="24"/>
        <v>0</v>
      </c>
      <c r="X89" s="32">
        <f t="shared" si="27"/>
        <v>0</v>
      </c>
    </row>
    <row r="90" spans="1:24" ht="19.95" customHeight="1">
      <c r="A90" s="14"/>
      <c r="B90" s="15"/>
      <c r="C90" s="16"/>
      <c r="D90" s="16"/>
      <c r="E90" s="16"/>
      <c r="F90" s="16"/>
      <c r="G90" s="16"/>
      <c r="H90" s="16"/>
      <c r="I90" s="16"/>
      <c r="J90" s="19"/>
      <c r="L90" s="31">
        <f t="shared" si="26"/>
        <v>0</v>
      </c>
      <c r="M90" s="31">
        <f t="shared" si="26"/>
        <v>0</v>
      </c>
      <c r="N90" s="31">
        <f t="shared" si="26"/>
        <v>0</v>
      </c>
      <c r="O90" s="31">
        <f t="shared" si="25"/>
        <v>0</v>
      </c>
      <c r="P90" s="31">
        <f t="shared" si="25"/>
        <v>0</v>
      </c>
      <c r="Q90" s="31">
        <f t="shared" si="25"/>
        <v>0</v>
      </c>
      <c r="R90" s="31">
        <f t="shared" si="25"/>
        <v>0</v>
      </c>
      <c r="S90" s="31">
        <f t="shared" si="25"/>
        <v>0</v>
      </c>
      <c r="T90" s="31">
        <f t="shared" si="25"/>
        <v>0</v>
      </c>
      <c r="U90" s="32">
        <f t="shared" si="24"/>
        <v>0</v>
      </c>
      <c r="V90" s="32">
        <f t="shared" si="24"/>
        <v>0</v>
      </c>
      <c r="W90" s="32">
        <f t="shared" si="24"/>
        <v>0</v>
      </c>
      <c r="X90" s="32">
        <f t="shared" si="27"/>
        <v>0</v>
      </c>
    </row>
    <row r="91" spans="1:24" ht="19.95" customHeight="1">
      <c r="A91" s="14"/>
      <c r="B91" s="15"/>
      <c r="C91" s="16"/>
      <c r="D91" s="16"/>
      <c r="E91" s="16"/>
      <c r="F91" s="16"/>
      <c r="G91" s="16"/>
      <c r="H91" s="16"/>
      <c r="I91" s="16"/>
      <c r="J91" s="19"/>
      <c r="L91" s="31">
        <f t="shared" si="26"/>
        <v>0</v>
      </c>
      <c r="M91" s="31">
        <f t="shared" si="26"/>
        <v>0</v>
      </c>
      <c r="N91" s="31">
        <f t="shared" si="26"/>
        <v>0</v>
      </c>
      <c r="O91" s="31">
        <f t="shared" si="25"/>
        <v>0</v>
      </c>
      <c r="P91" s="31">
        <f t="shared" si="25"/>
        <v>0</v>
      </c>
      <c r="Q91" s="31">
        <f t="shared" si="25"/>
        <v>0</v>
      </c>
      <c r="R91" s="31">
        <f t="shared" si="25"/>
        <v>0</v>
      </c>
      <c r="S91" s="31">
        <f t="shared" si="25"/>
        <v>0</v>
      </c>
      <c r="T91" s="31">
        <f t="shared" si="25"/>
        <v>0</v>
      </c>
      <c r="U91" s="32">
        <f t="shared" si="24"/>
        <v>0</v>
      </c>
      <c r="V91" s="32">
        <f t="shared" si="24"/>
        <v>0</v>
      </c>
      <c r="W91" s="32">
        <f t="shared" si="24"/>
        <v>0</v>
      </c>
      <c r="X91" s="32">
        <f t="shared" si="27"/>
        <v>0</v>
      </c>
    </row>
    <row r="92" spans="1:24" ht="19.95" customHeight="1">
      <c r="A92" s="14"/>
      <c r="B92" s="15"/>
      <c r="C92" s="16"/>
      <c r="D92" s="16"/>
      <c r="E92" s="16"/>
      <c r="F92" s="16"/>
      <c r="G92" s="16"/>
      <c r="H92" s="16"/>
      <c r="I92" s="16"/>
      <c r="J92" s="19"/>
      <c r="L92" s="31">
        <f t="shared" si="26"/>
        <v>0</v>
      </c>
      <c r="M92" s="31">
        <f t="shared" si="26"/>
        <v>0</v>
      </c>
      <c r="N92" s="31">
        <f t="shared" si="26"/>
        <v>0</v>
      </c>
      <c r="O92" s="31">
        <f t="shared" si="25"/>
        <v>0</v>
      </c>
      <c r="P92" s="31">
        <f t="shared" si="25"/>
        <v>0</v>
      </c>
      <c r="Q92" s="31">
        <f t="shared" si="25"/>
        <v>0</v>
      </c>
      <c r="R92" s="31">
        <f t="shared" si="25"/>
        <v>0</v>
      </c>
      <c r="S92" s="31">
        <f t="shared" si="25"/>
        <v>0</v>
      </c>
      <c r="T92" s="31">
        <f t="shared" si="25"/>
        <v>0</v>
      </c>
      <c r="U92" s="32">
        <f t="shared" si="24"/>
        <v>0</v>
      </c>
      <c r="V92" s="32">
        <f t="shared" si="24"/>
        <v>0</v>
      </c>
      <c r="W92" s="32">
        <f t="shared" si="24"/>
        <v>0</v>
      </c>
      <c r="X92" s="32">
        <f t="shared" si="27"/>
        <v>0</v>
      </c>
    </row>
    <row r="93" spans="1:24" ht="19.95" customHeight="1">
      <c r="A93" s="14"/>
      <c r="B93" s="15"/>
      <c r="C93" s="16"/>
      <c r="D93" s="16"/>
      <c r="E93" s="16"/>
      <c r="F93" s="16"/>
      <c r="G93" s="16"/>
      <c r="H93" s="16"/>
      <c r="I93" s="16"/>
      <c r="J93" s="19"/>
      <c r="L93" s="31">
        <f t="shared" si="26"/>
        <v>0</v>
      </c>
      <c r="M93" s="31">
        <f t="shared" si="26"/>
        <v>0</v>
      </c>
      <c r="N93" s="31">
        <f t="shared" si="26"/>
        <v>0</v>
      </c>
      <c r="O93" s="31">
        <f t="shared" si="25"/>
        <v>0</v>
      </c>
      <c r="P93" s="31">
        <f t="shared" si="25"/>
        <v>0</v>
      </c>
      <c r="Q93" s="31">
        <f t="shared" si="25"/>
        <v>0</v>
      </c>
      <c r="R93" s="31">
        <f t="shared" si="25"/>
        <v>0</v>
      </c>
      <c r="S93" s="31">
        <f t="shared" si="25"/>
        <v>0</v>
      </c>
      <c r="T93" s="31">
        <f t="shared" si="25"/>
        <v>0</v>
      </c>
      <c r="U93" s="32">
        <f t="shared" si="24"/>
        <v>0</v>
      </c>
      <c r="V93" s="32">
        <f t="shared" si="24"/>
        <v>0</v>
      </c>
      <c r="W93" s="32">
        <f t="shared" si="24"/>
        <v>0</v>
      </c>
      <c r="X93" s="32">
        <f t="shared" si="27"/>
        <v>0</v>
      </c>
    </row>
    <row r="94" spans="1:24" ht="19.95" customHeight="1">
      <c r="A94" s="14"/>
      <c r="B94" s="15"/>
      <c r="C94" s="16"/>
      <c r="D94" s="16"/>
      <c r="E94" s="16"/>
      <c r="F94" s="16"/>
      <c r="G94" s="16"/>
      <c r="H94" s="16"/>
      <c r="I94" s="16"/>
      <c r="J94" s="19"/>
      <c r="L94" s="31">
        <f t="shared" si="26"/>
        <v>0</v>
      </c>
      <c r="M94" s="31">
        <f t="shared" si="26"/>
        <v>0</v>
      </c>
      <c r="N94" s="31">
        <f t="shared" si="26"/>
        <v>0</v>
      </c>
      <c r="O94" s="31">
        <f t="shared" si="25"/>
        <v>0</v>
      </c>
      <c r="P94" s="31">
        <f t="shared" si="25"/>
        <v>0</v>
      </c>
      <c r="Q94" s="31">
        <f t="shared" si="25"/>
        <v>0</v>
      </c>
      <c r="R94" s="31">
        <f t="shared" si="25"/>
        <v>0</v>
      </c>
      <c r="S94" s="31">
        <f t="shared" si="25"/>
        <v>0</v>
      </c>
      <c r="T94" s="31">
        <f t="shared" si="25"/>
        <v>0</v>
      </c>
      <c r="U94" s="32">
        <f t="shared" si="24"/>
        <v>0</v>
      </c>
      <c r="V94" s="32">
        <f t="shared" si="24"/>
        <v>0</v>
      </c>
      <c r="W94" s="32">
        <f t="shared" si="24"/>
        <v>0</v>
      </c>
      <c r="X94" s="32">
        <f t="shared" si="27"/>
        <v>0</v>
      </c>
    </row>
    <row r="95" spans="1:24" ht="19.95" customHeight="1">
      <c r="A95" s="14"/>
      <c r="B95" s="15"/>
      <c r="C95" s="16"/>
      <c r="D95" s="16"/>
      <c r="E95" s="16"/>
      <c r="F95" s="16"/>
      <c r="G95" s="16"/>
      <c r="H95" s="16"/>
      <c r="I95" s="16"/>
      <c r="J95" s="19"/>
      <c r="L95" s="31">
        <f t="shared" si="26"/>
        <v>0</v>
      </c>
      <c r="M95" s="31">
        <f t="shared" si="26"/>
        <v>0</v>
      </c>
      <c r="N95" s="31">
        <f t="shared" si="26"/>
        <v>0</v>
      </c>
      <c r="O95" s="31">
        <f t="shared" si="25"/>
        <v>0</v>
      </c>
      <c r="P95" s="31">
        <f t="shared" si="25"/>
        <v>0</v>
      </c>
      <c r="Q95" s="31">
        <f t="shared" si="25"/>
        <v>0</v>
      </c>
      <c r="R95" s="31">
        <f t="shared" si="25"/>
        <v>0</v>
      </c>
      <c r="S95" s="31">
        <f t="shared" si="25"/>
        <v>0</v>
      </c>
      <c r="T95" s="31">
        <f t="shared" si="25"/>
        <v>0</v>
      </c>
      <c r="U95" s="32">
        <f t="shared" si="24"/>
        <v>0</v>
      </c>
      <c r="V95" s="32">
        <f t="shared" si="24"/>
        <v>0</v>
      </c>
      <c r="W95" s="32">
        <f t="shared" si="24"/>
        <v>0</v>
      </c>
      <c r="X95" s="32">
        <f t="shared" si="27"/>
        <v>0</v>
      </c>
    </row>
    <row r="96" spans="1:24" ht="19.95" customHeight="1">
      <c r="A96" s="14"/>
      <c r="B96" s="15"/>
      <c r="C96" s="16"/>
      <c r="D96" s="16"/>
      <c r="E96" s="16"/>
      <c r="F96" s="16"/>
      <c r="G96" s="16"/>
      <c r="H96" s="16"/>
      <c r="I96" s="16"/>
      <c r="J96" s="19"/>
      <c r="L96" s="31">
        <f t="shared" si="26"/>
        <v>0</v>
      </c>
      <c r="M96" s="31">
        <f t="shared" si="26"/>
        <v>0</v>
      </c>
      <c r="N96" s="31">
        <f t="shared" si="26"/>
        <v>0</v>
      </c>
      <c r="O96" s="31">
        <f t="shared" si="25"/>
        <v>0</v>
      </c>
      <c r="P96" s="31">
        <f t="shared" si="25"/>
        <v>0</v>
      </c>
      <c r="Q96" s="31">
        <f t="shared" si="25"/>
        <v>0</v>
      </c>
      <c r="R96" s="31">
        <f t="shared" si="25"/>
        <v>0</v>
      </c>
      <c r="S96" s="31">
        <f t="shared" si="25"/>
        <v>0</v>
      </c>
      <c r="T96" s="31">
        <f t="shared" si="25"/>
        <v>0</v>
      </c>
      <c r="U96" s="32">
        <f t="shared" si="24"/>
        <v>0</v>
      </c>
      <c r="V96" s="32">
        <f t="shared" si="24"/>
        <v>0</v>
      </c>
      <c r="W96" s="32">
        <f t="shared" si="24"/>
        <v>0</v>
      </c>
      <c r="X96" s="32">
        <f t="shared" si="27"/>
        <v>0</v>
      </c>
    </row>
    <row r="97" spans="1:24" ht="19.95" customHeight="1">
      <c r="A97" s="14"/>
      <c r="B97" s="15"/>
      <c r="C97" s="16"/>
      <c r="D97" s="16"/>
      <c r="E97" s="16"/>
      <c r="F97" s="16"/>
      <c r="G97" s="16"/>
      <c r="H97" s="16"/>
      <c r="I97" s="16"/>
      <c r="J97" s="19"/>
      <c r="L97" s="31">
        <f t="shared" si="26"/>
        <v>0</v>
      </c>
      <c r="M97" s="31">
        <f t="shared" si="26"/>
        <v>0</v>
      </c>
      <c r="N97" s="31">
        <f t="shared" si="26"/>
        <v>0</v>
      </c>
      <c r="O97" s="31">
        <f t="shared" si="25"/>
        <v>0</v>
      </c>
      <c r="P97" s="31">
        <f t="shared" si="25"/>
        <v>0</v>
      </c>
      <c r="Q97" s="31">
        <f t="shared" si="25"/>
        <v>0</v>
      </c>
      <c r="R97" s="31">
        <f t="shared" si="25"/>
        <v>0</v>
      </c>
      <c r="S97" s="31">
        <f t="shared" si="25"/>
        <v>0</v>
      </c>
      <c r="T97" s="31">
        <f t="shared" si="25"/>
        <v>0</v>
      </c>
      <c r="U97" s="32">
        <f t="shared" si="24"/>
        <v>0</v>
      </c>
      <c r="V97" s="32">
        <f t="shared" si="24"/>
        <v>0</v>
      </c>
      <c r="W97" s="32">
        <f t="shared" si="24"/>
        <v>0</v>
      </c>
      <c r="X97" s="32">
        <f t="shared" si="27"/>
        <v>0</v>
      </c>
    </row>
    <row r="98" spans="1:24" ht="16.8" customHeight="1">
      <c r="A98" s="14"/>
      <c r="B98" s="15"/>
      <c r="C98" s="16"/>
      <c r="D98" s="16"/>
      <c r="E98" s="16"/>
      <c r="F98" s="16"/>
      <c r="G98" s="16"/>
      <c r="H98" s="16"/>
      <c r="I98" s="16"/>
      <c r="J98" s="19"/>
      <c r="L98" s="31">
        <f t="shared" si="26"/>
        <v>0</v>
      </c>
      <c r="M98" s="31">
        <f t="shared" si="26"/>
        <v>0</v>
      </c>
      <c r="N98" s="31">
        <f t="shared" si="26"/>
        <v>0</v>
      </c>
      <c r="O98" s="31">
        <f t="shared" si="25"/>
        <v>0</v>
      </c>
      <c r="P98" s="31">
        <f t="shared" si="25"/>
        <v>0</v>
      </c>
      <c r="Q98" s="31">
        <f t="shared" si="25"/>
        <v>0</v>
      </c>
      <c r="R98" s="31">
        <f t="shared" si="25"/>
        <v>0</v>
      </c>
      <c r="S98" s="31">
        <f t="shared" si="25"/>
        <v>0</v>
      </c>
      <c r="T98" s="31">
        <f t="shared" si="25"/>
        <v>0</v>
      </c>
      <c r="U98" s="32">
        <f t="shared" si="24"/>
        <v>0</v>
      </c>
      <c r="V98" s="32">
        <f t="shared" si="24"/>
        <v>0</v>
      </c>
      <c r="W98" s="32">
        <f t="shared" si="24"/>
        <v>0</v>
      </c>
      <c r="X98" s="32">
        <f t="shared" si="27"/>
        <v>0</v>
      </c>
    </row>
    <row r="99" spans="1:24" ht="19.95" customHeight="1">
      <c r="A99" s="14"/>
      <c r="B99" s="15"/>
      <c r="C99" s="16"/>
      <c r="D99" s="16"/>
      <c r="E99" s="16"/>
      <c r="F99" s="16"/>
      <c r="G99" s="16"/>
      <c r="H99" s="16"/>
      <c r="I99" s="16"/>
      <c r="J99" s="19"/>
      <c r="L99" s="31">
        <f t="shared" si="26"/>
        <v>0</v>
      </c>
      <c r="M99" s="31">
        <f t="shared" si="26"/>
        <v>0</v>
      </c>
      <c r="N99" s="31">
        <f t="shared" si="26"/>
        <v>0</v>
      </c>
      <c r="O99" s="31">
        <f t="shared" si="25"/>
        <v>0</v>
      </c>
      <c r="P99" s="31">
        <f t="shared" si="25"/>
        <v>0</v>
      </c>
      <c r="Q99" s="31">
        <f t="shared" si="25"/>
        <v>0</v>
      </c>
      <c r="R99" s="31">
        <f t="shared" si="25"/>
        <v>0</v>
      </c>
      <c r="S99" s="31">
        <f t="shared" si="25"/>
        <v>0</v>
      </c>
      <c r="T99" s="31">
        <f t="shared" si="25"/>
        <v>0</v>
      </c>
      <c r="U99" s="32">
        <f t="shared" si="24"/>
        <v>0</v>
      </c>
      <c r="V99" s="32">
        <f t="shared" si="24"/>
        <v>0</v>
      </c>
      <c r="W99" s="32">
        <f t="shared" si="24"/>
        <v>0</v>
      </c>
      <c r="X99" s="32">
        <f t="shared" si="27"/>
        <v>0</v>
      </c>
    </row>
    <row r="100" spans="1:24" ht="19.95" customHeight="1">
      <c r="A100" s="14"/>
      <c r="B100" s="15"/>
      <c r="C100" s="16"/>
      <c r="D100" s="16"/>
      <c r="E100" s="16"/>
      <c r="F100" s="16"/>
      <c r="G100" s="16"/>
      <c r="H100" s="16"/>
      <c r="I100" s="16"/>
      <c r="J100" s="19"/>
      <c r="L100" s="31">
        <f t="shared" si="26"/>
        <v>0</v>
      </c>
      <c r="M100" s="31">
        <f t="shared" si="26"/>
        <v>0</v>
      </c>
      <c r="N100" s="31">
        <f t="shared" si="26"/>
        <v>0</v>
      </c>
      <c r="O100" s="31">
        <f t="shared" si="25"/>
        <v>0</v>
      </c>
      <c r="P100" s="31">
        <f t="shared" si="25"/>
        <v>0</v>
      </c>
      <c r="Q100" s="31">
        <f t="shared" si="25"/>
        <v>0</v>
      </c>
      <c r="R100" s="31">
        <f t="shared" si="25"/>
        <v>0</v>
      </c>
      <c r="S100" s="31">
        <f t="shared" si="25"/>
        <v>0</v>
      </c>
      <c r="T100" s="31">
        <f t="shared" si="25"/>
        <v>0</v>
      </c>
      <c r="U100" s="32">
        <f t="shared" si="24"/>
        <v>0</v>
      </c>
      <c r="V100" s="32">
        <f t="shared" si="24"/>
        <v>0</v>
      </c>
      <c r="W100" s="32">
        <f t="shared" si="24"/>
        <v>0</v>
      </c>
      <c r="X100" s="32">
        <f t="shared" si="27"/>
        <v>0</v>
      </c>
    </row>
    <row r="101" spans="1:24" ht="19.95" customHeight="1">
      <c r="A101" s="14"/>
      <c r="B101" s="15"/>
      <c r="C101" s="16"/>
      <c r="D101" s="16"/>
      <c r="E101" s="16"/>
      <c r="F101" s="16"/>
      <c r="G101" s="16"/>
      <c r="H101" s="16"/>
      <c r="I101" s="16"/>
      <c r="J101" s="19"/>
      <c r="L101" s="31">
        <f t="shared" si="26"/>
        <v>0</v>
      </c>
      <c r="M101" s="31">
        <f t="shared" si="26"/>
        <v>0</v>
      </c>
      <c r="N101" s="31">
        <f t="shared" si="26"/>
        <v>0</v>
      </c>
      <c r="O101" s="31">
        <f t="shared" si="25"/>
        <v>0</v>
      </c>
      <c r="P101" s="31">
        <f t="shared" si="25"/>
        <v>0</v>
      </c>
      <c r="Q101" s="31">
        <f t="shared" si="25"/>
        <v>0</v>
      </c>
      <c r="R101" s="31">
        <f t="shared" si="25"/>
        <v>0</v>
      </c>
      <c r="S101" s="31">
        <f t="shared" si="25"/>
        <v>0</v>
      </c>
      <c r="T101" s="31">
        <f t="shared" si="25"/>
        <v>0</v>
      </c>
      <c r="U101" s="32">
        <f t="shared" si="24"/>
        <v>0</v>
      </c>
      <c r="V101" s="32">
        <f t="shared" si="24"/>
        <v>0</v>
      </c>
      <c r="W101" s="32">
        <f t="shared" si="24"/>
        <v>0</v>
      </c>
      <c r="X101" s="32">
        <f t="shared" si="27"/>
        <v>0</v>
      </c>
    </row>
    <row r="102" spans="1:24" ht="19.95" customHeight="1">
      <c r="A102" s="14"/>
      <c r="B102" s="15"/>
      <c r="C102" s="16"/>
      <c r="D102" s="16"/>
      <c r="E102" s="16"/>
      <c r="F102" s="16"/>
      <c r="G102" s="16"/>
      <c r="H102" s="16"/>
      <c r="I102" s="16"/>
      <c r="J102" s="19"/>
      <c r="L102" s="31">
        <f t="shared" si="26"/>
        <v>0</v>
      </c>
      <c r="M102" s="31">
        <f t="shared" si="26"/>
        <v>0</v>
      </c>
      <c r="N102" s="31">
        <f t="shared" si="26"/>
        <v>0</v>
      </c>
      <c r="O102" s="31">
        <f t="shared" si="25"/>
        <v>0</v>
      </c>
      <c r="P102" s="31">
        <f t="shared" si="25"/>
        <v>0</v>
      </c>
      <c r="Q102" s="31">
        <f t="shared" si="25"/>
        <v>0</v>
      </c>
      <c r="R102" s="31">
        <f t="shared" si="25"/>
        <v>0</v>
      </c>
      <c r="S102" s="31">
        <f t="shared" si="25"/>
        <v>0</v>
      </c>
      <c r="T102" s="31">
        <f t="shared" si="25"/>
        <v>0</v>
      </c>
      <c r="U102" s="32">
        <f t="shared" si="24"/>
        <v>0</v>
      </c>
      <c r="V102" s="32">
        <f t="shared" si="24"/>
        <v>0</v>
      </c>
      <c r="W102" s="32">
        <f t="shared" si="24"/>
        <v>0</v>
      </c>
      <c r="X102" s="32">
        <f t="shared" si="27"/>
        <v>0</v>
      </c>
    </row>
    <row r="103" spans="1:24" ht="19.95" customHeight="1">
      <c r="A103" s="14"/>
      <c r="B103" s="15"/>
      <c r="C103" s="16"/>
      <c r="D103" s="16"/>
      <c r="E103" s="16"/>
      <c r="F103" s="16"/>
      <c r="G103" s="16"/>
      <c r="H103" s="16"/>
      <c r="I103" s="16"/>
      <c r="J103" s="19"/>
      <c r="L103" s="31">
        <f t="shared" si="26"/>
        <v>0</v>
      </c>
      <c r="M103" s="31">
        <f t="shared" si="26"/>
        <v>0</v>
      </c>
      <c r="N103" s="31">
        <f t="shared" si="26"/>
        <v>0</v>
      </c>
      <c r="O103" s="31">
        <f t="shared" si="25"/>
        <v>0</v>
      </c>
      <c r="P103" s="31">
        <f t="shared" si="25"/>
        <v>0</v>
      </c>
      <c r="Q103" s="31">
        <f t="shared" si="25"/>
        <v>0</v>
      </c>
      <c r="R103" s="31">
        <f t="shared" si="25"/>
        <v>0</v>
      </c>
      <c r="S103" s="31">
        <f t="shared" si="25"/>
        <v>0</v>
      </c>
      <c r="T103" s="31">
        <f t="shared" si="25"/>
        <v>0</v>
      </c>
      <c r="U103" s="32">
        <f t="shared" si="24"/>
        <v>0</v>
      </c>
      <c r="V103" s="32">
        <f t="shared" si="24"/>
        <v>0</v>
      </c>
      <c r="W103" s="32">
        <f t="shared" si="24"/>
        <v>0</v>
      </c>
      <c r="X103" s="32">
        <f t="shared" si="27"/>
        <v>0</v>
      </c>
    </row>
    <row r="104" spans="1:24" ht="19.95" customHeight="1">
      <c r="A104" s="14"/>
      <c r="B104" s="15"/>
      <c r="C104" s="16"/>
      <c r="D104" s="16"/>
      <c r="E104" s="16"/>
      <c r="F104" s="16"/>
      <c r="G104" s="16"/>
      <c r="H104" s="16"/>
      <c r="I104" s="16"/>
      <c r="J104" s="19"/>
      <c r="L104" s="31">
        <f t="shared" si="26"/>
        <v>0</v>
      </c>
      <c r="M104" s="31">
        <f t="shared" si="26"/>
        <v>0</v>
      </c>
      <c r="N104" s="31">
        <f t="shared" si="26"/>
        <v>0</v>
      </c>
      <c r="O104" s="31">
        <f t="shared" si="25"/>
        <v>0</v>
      </c>
      <c r="P104" s="31">
        <f t="shared" si="25"/>
        <v>0</v>
      </c>
      <c r="Q104" s="31">
        <f t="shared" si="25"/>
        <v>0</v>
      </c>
      <c r="R104" s="31">
        <f t="shared" si="25"/>
        <v>0</v>
      </c>
      <c r="S104" s="31">
        <f t="shared" si="25"/>
        <v>0</v>
      </c>
      <c r="T104" s="31">
        <f t="shared" si="25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7"/>
        <v>0</v>
      </c>
    </row>
    <row r="105" spans="1:24" ht="19.95" customHeight="1">
      <c r="A105" s="14"/>
      <c r="B105" s="15"/>
      <c r="C105" s="16"/>
      <c r="D105" s="16"/>
      <c r="E105" s="16"/>
      <c r="F105" s="16"/>
      <c r="G105" s="16"/>
      <c r="H105" s="16"/>
      <c r="I105" s="16"/>
      <c r="J105" s="19"/>
      <c r="L105" s="31">
        <f t="shared" si="26"/>
        <v>0</v>
      </c>
      <c r="M105" s="31">
        <f t="shared" si="26"/>
        <v>0</v>
      </c>
      <c r="N105" s="31">
        <f t="shared" si="26"/>
        <v>0</v>
      </c>
      <c r="O105" s="31">
        <f t="shared" si="25"/>
        <v>0</v>
      </c>
      <c r="P105" s="31">
        <f t="shared" si="25"/>
        <v>0</v>
      </c>
      <c r="Q105" s="31">
        <f t="shared" si="25"/>
        <v>0</v>
      </c>
      <c r="R105" s="31">
        <f t="shared" si="25"/>
        <v>0</v>
      </c>
      <c r="S105" s="31">
        <f t="shared" si="25"/>
        <v>0</v>
      </c>
      <c r="T105" s="31">
        <f t="shared" si="25"/>
        <v>0</v>
      </c>
      <c r="U105" s="32">
        <f t="shared" si="24"/>
        <v>0</v>
      </c>
      <c r="V105" s="32">
        <f t="shared" si="24"/>
        <v>0</v>
      </c>
      <c r="W105" s="32">
        <f t="shared" si="24"/>
        <v>0</v>
      </c>
      <c r="X105" s="32">
        <f t="shared" si="27"/>
        <v>0</v>
      </c>
    </row>
    <row r="106" spans="1:24" ht="19.95" customHeight="1">
      <c r="A106" s="14"/>
      <c r="B106" s="15"/>
      <c r="C106" s="16"/>
      <c r="D106" s="16"/>
      <c r="E106" s="16"/>
      <c r="F106" s="16"/>
      <c r="G106" s="16"/>
      <c r="H106" s="16"/>
      <c r="I106" s="16"/>
      <c r="J106" s="19"/>
      <c r="L106" s="31">
        <f t="shared" si="26"/>
        <v>0</v>
      </c>
      <c r="M106" s="31">
        <f t="shared" si="26"/>
        <v>0</v>
      </c>
      <c r="N106" s="31">
        <f t="shared" si="26"/>
        <v>0</v>
      </c>
      <c r="O106" s="31">
        <f t="shared" si="25"/>
        <v>0</v>
      </c>
      <c r="P106" s="31">
        <f t="shared" si="25"/>
        <v>0</v>
      </c>
      <c r="Q106" s="31">
        <f t="shared" si="25"/>
        <v>0</v>
      </c>
      <c r="R106" s="31">
        <f t="shared" si="25"/>
        <v>0</v>
      </c>
      <c r="S106" s="31">
        <f t="shared" si="25"/>
        <v>0</v>
      </c>
      <c r="T106" s="31">
        <f t="shared" si="25"/>
        <v>0</v>
      </c>
      <c r="U106" s="32">
        <f t="shared" si="24"/>
        <v>0</v>
      </c>
      <c r="V106" s="32">
        <f t="shared" si="24"/>
        <v>0</v>
      </c>
      <c r="W106" s="32">
        <f t="shared" si="24"/>
        <v>0</v>
      </c>
      <c r="X106" s="32">
        <f t="shared" si="27"/>
        <v>0</v>
      </c>
    </row>
    <row r="107" spans="1:24" ht="19.95" customHeight="1">
      <c r="A107" s="14"/>
      <c r="B107" s="15"/>
      <c r="C107" s="16"/>
      <c r="D107" s="16"/>
      <c r="E107" s="16"/>
      <c r="F107" s="16"/>
      <c r="G107" s="16"/>
      <c r="H107" s="16"/>
      <c r="I107" s="16"/>
      <c r="J107" s="19"/>
      <c r="L107" s="31">
        <f t="shared" si="26"/>
        <v>0</v>
      </c>
      <c r="M107" s="31">
        <f t="shared" si="26"/>
        <v>0</v>
      </c>
      <c r="N107" s="31">
        <f t="shared" si="26"/>
        <v>0</v>
      </c>
      <c r="O107" s="31">
        <f t="shared" si="25"/>
        <v>0</v>
      </c>
      <c r="P107" s="31">
        <f t="shared" si="25"/>
        <v>0</v>
      </c>
      <c r="Q107" s="31">
        <f t="shared" si="25"/>
        <v>0</v>
      </c>
      <c r="R107" s="31">
        <f t="shared" si="25"/>
        <v>0</v>
      </c>
      <c r="S107" s="31">
        <f t="shared" si="25"/>
        <v>0</v>
      </c>
      <c r="T107" s="31">
        <f t="shared" si="25"/>
        <v>0</v>
      </c>
      <c r="U107" s="32">
        <f t="shared" si="24"/>
        <v>0</v>
      </c>
      <c r="V107" s="32">
        <f t="shared" si="24"/>
        <v>0</v>
      </c>
      <c r="W107" s="32">
        <f t="shared" si="24"/>
        <v>0</v>
      </c>
      <c r="X107" s="32">
        <f t="shared" si="27"/>
        <v>0</v>
      </c>
    </row>
    <row r="108" spans="1:24" ht="19.95" customHeight="1">
      <c r="A108" s="14"/>
      <c r="B108" s="15"/>
      <c r="C108" s="16"/>
      <c r="D108" s="16"/>
      <c r="E108" s="16"/>
      <c r="F108" s="16"/>
      <c r="G108" s="16"/>
      <c r="H108" s="16"/>
      <c r="I108" s="16"/>
      <c r="J108" s="19"/>
      <c r="L108" s="31">
        <f t="shared" si="26"/>
        <v>0</v>
      </c>
      <c r="M108" s="31">
        <f t="shared" si="26"/>
        <v>0</v>
      </c>
      <c r="N108" s="31">
        <f t="shared" si="26"/>
        <v>0</v>
      </c>
      <c r="O108" s="31">
        <f t="shared" si="25"/>
        <v>0</v>
      </c>
      <c r="P108" s="31">
        <f t="shared" si="25"/>
        <v>0</v>
      </c>
      <c r="Q108" s="31">
        <f t="shared" si="25"/>
        <v>0</v>
      </c>
      <c r="R108" s="31">
        <f t="shared" si="25"/>
        <v>0</v>
      </c>
      <c r="S108" s="31">
        <f t="shared" si="25"/>
        <v>0</v>
      </c>
      <c r="T108" s="31">
        <f t="shared" si="25"/>
        <v>0</v>
      </c>
      <c r="U108" s="32">
        <f t="shared" ref="U108:W151" si="28">L108+Q108</f>
        <v>0</v>
      </c>
      <c r="V108" s="32">
        <f t="shared" si="28"/>
        <v>0</v>
      </c>
      <c r="W108" s="32">
        <f t="shared" si="28"/>
        <v>0</v>
      </c>
      <c r="X108" s="32">
        <f t="shared" si="27"/>
        <v>0</v>
      </c>
    </row>
    <row r="109" spans="1:24" ht="19.95" customHeight="1">
      <c r="A109" s="14"/>
      <c r="B109" s="15"/>
      <c r="C109" s="16"/>
      <c r="D109" s="16"/>
      <c r="E109" s="16"/>
      <c r="F109" s="16"/>
      <c r="G109" s="16"/>
      <c r="H109" s="16"/>
      <c r="I109" s="16"/>
      <c r="J109" s="19"/>
      <c r="L109" s="31">
        <f t="shared" si="26"/>
        <v>0</v>
      </c>
      <c r="M109" s="31">
        <f t="shared" si="26"/>
        <v>0</v>
      </c>
      <c r="N109" s="31">
        <f t="shared" si="26"/>
        <v>0</v>
      </c>
      <c r="O109" s="31">
        <f t="shared" si="25"/>
        <v>0</v>
      </c>
      <c r="P109" s="31">
        <f t="shared" si="25"/>
        <v>0</v>
      </c>
      <c r="Q109" s="31">
        <f t="shared" si="25"/>
        <v>0</v>
      </c>
      <c r="R109" s="31">
        <f t="shared" si="25"/>
        <v>0</v>
      </c>
      <c r="S109" s="31">
        <f t="shared" si="25"/>
        <v>0</v>
      </c>
      <c r="T109" s="31">
        <f t="shared" si="25"/>
        <v>0</v>
      </c>
      <c r="U109" s="32">
        <f t="shared" si="28"/>
        <v>0</v>
      </c>
      <c r="V109" s="32">
        <f t="shared" si="28"/>
        <v>0</v>
      </c>
      <c r="W109" s="32">
        <f t="shared" si="28"/>
        <v>0</v>
      </c>
      <c r="X109" s="32">
        <f t="shared" si="27"/>
        <v>0</v>
      </c>
    </row>
    <row r="110" spans="1:24" ht="19.95" customHeight="1">
      <c r="A110" s="14"/>
      <c r="B110" s="15"/>
      <c r="C110" s="16"/>
      <c r="D110" s="16"/>
      <c r="E110" s="16"/>
      <c r="F110" s="16"/>
      <c r="G110" s="16"/>
      <c r="H110" s="16"/>
      <c r="I110" s="16"/>
      <c r="J110" s="19"/>
      <c r="L110" s="31">
        <f t="shared" si="26"/>
        <v>0</v>
      </c>
      <c r="M110" s="31">
        <f t="shared" si="26"/>
        <v>0</v>
      </c>
      <c r="N110" s="31">
        <f t="shared" si="26"/>
        <v>0</v>
      </c>
      <c r="O110" s="31">
        <f t="shared" si="25"/>
        <v>0</v>
      </c>
      <c r="P110" s="31">
        <f t="shared" si="25"/>
        <v>0</v>
      </c>
      <c r="Q110" s="31">
        <f t="shared" si="25"/>
        <v>0</v>
      </c>
      <c r="R110" s="31">
        <f t="shared" si="25"/>
        <v>0</v>
      </c>
      <c r="S110" s="31">
        <f t="shared" si="25"/>
        <v>0</v>
      </c>
      <c r="T110" s="31">
        <f t="shared" si="25"/>
        <v>0</v>
      </c>
      <c r="U110" s="32">
        <f t="shared" si="28"/>
        <v>0</v>
      </c>
      <c r="V110" s="32">
        <f t="shared" si="28"/>
        <v>0</v>
      </c>
      <c r="W110" s="32">
        <f t="shared" si="28"/>
        <v>0</v>
      </c>
      <c r="X110" s="32">
        <f t="shared" si="27"/>
        <v>0</v>
      </c>
    </row>
    <row r="111" spans="1:24" ht="19.95" customHeight="1">
      <c r="A111" s="14"/>
      <c r="B111" s="15"/>
      <c r="C111" s="16"/>
      <c r="D111" s="16"/>
      <c r="E111" s="16"/>
      <c r="F111" s="16"/>
      <c r="G111" s="16"/>
      <c r="H111" s="16"/>
      <c r="I111" s="16"/>
      <c r="J111" s="19"/>
      <c r="L111" s="31">
        <f t="shared" si="26"/>
        <v>0</v>
      </c>
      <c r="M111" s="31">
        <f t="shared" si="26"/>
        <v>0</v>
      </c>
      <c r="N111" s="31">
        <f t="shared" si="26"/>
        <v>0</v>
      </c>
      <c r="O111" s="31">
        <f t="shared" si="25"/>
        <v>0</v>
      </c>
      <c r="P111" s="31">
        <f t="shared" si="25"/>
        <v>0</v>
      </c>
      <c r="Q111" s="31">
        <f t="shared" si="25"/>
        <v>0</v>
      </c>
      <c r="R111" s="31">
        <f t="shared" si="25"/>
        <v>0</v>
      </c>
      <c r="S111" s="31">
        <f t="shared" si="25"/>
        <v>0</v>
      </c>
      <c r="T111" s="31">
        <f t="shared" si="25"/>
        <v>0</v>
      </c>
      <c r="U111" s="32">
        <f t="shared" si="28"/>
        <v>0</v>
      </c>
      <c r="V111" s="32">
        <f t="shared" si="28"/>
        <v>0</v>
      </c>
      <c r="W111" s="32">
        <f t="shared" si="28"/>
        <v>0</v>
      </c>
      <c r="X111" s="32">
        <f t="shared" si="27"/>
        <v>0</v>
      </c>
    </row>
    <row r="112" spans="1:24" ht="19.95" customHeight="1">
      <c r="A112" s="14"/>
      <c r="B112" s="15"/>
      <c r="C112" s="16"/>
      <c r="D112" s="16"/>
      <c r="E112" s="16"/>
      <c r="F112" s="16"/>
      <c r="G112" s="16"/>
      <c r="H112" s="16"/>
      <c r="I112" s="16"/>
      <c r="J112" s="19"/>
      <c r="L112" s="31">
        <f t="shared" si="26"/>
        <v>0</v>
      </c>
      <c r="M112" s="31">
        <f t="shared" si="26"/>
        <v>0</v>
      </c>
      <c r="N112" s="31">
        <f t="shared" si="26"/>
        <v>0</v>
      </c>
      <c r="O112" s="31">
        <f t="shared" si="25"/>
        <v>0</v>
      </c>
      <c r="P112" s="31">
        <f t="shared" si="25"/>
        <v>0</v>
      </c>
      <c r="Q112" s="31">
        <f t="shared" si="25"/>
        <v>0</v>
      </c>
      <c r="R112" s="31">
        <f t="shared" si="25"/>
        <v>0</v>
      </c>
      <c r="S112" s="31">
        <f t="shared" si="25"/>
        <v>0</v>
      </c>
      <c r="T112" s="31">
        <f t="shared" si="25"/>
        <v>0</v>
      </c>
      <c r="U112" s="32">
        <f t="shared" si="28"/>
        <v>0</v>
      </c>
      <c r="V112" s="32">
        <f t="shared" si="28"/>
        <v>0</v>
      </c>
      <c r="W112" s="32">
        <f t="shared" si="28"/>
        <v>0</v>
      </c>
      <c r="X112" s="32">
        <f t="shared" si="27"/>
        <v>0</v>
      </c>
    </row>
    <row r="113" spans="1:24" ht="19.95" customHeight="1">
      <c r="A113" s="14"/>
      <c r="B113" s="15"/>
      <c r="C113" s="16"/>
      <c r="D113" s="16"/>
      <c r="E113" s="16"/>
      <c r="F113" s="16"/>
      <c r="G113" s="16"/>
      <c r="H113" s="16"/>
      <c r="I113" s="16"/>
      <c r="J113" s="19"/>
      <c r="L113" s="31">
        <f t="shared" si="26"/>
        <v>0</v>
      </c>
      <c r="M113" s="31">
        <f t="shared" si="26"/>
        <v>0</v>
      </c>
      <c r="N113" s="31">
        <f t="shared" si="26"/>
        <v>0</v>
      </c>
      <c r="O113" s="31">
        <f t="shared" si="25"/>
        <v>0</v>
      </c>
      <c r="P113" s="31">
        <f t="shared" si="25"/>
        <v>0</v>
      </c>
      <c r="Q113" s="31">
        <f t="shared" si="25"/>
        <v>0</v>
      </c>
      <c r="R113" s="31">
        <f t="shared" si="25"/>
        <v>0</v>
      </c>
      <c r="S113" s="31">
        <f t="shared" si="25"/>
        <v>0</v>
      </c>
      <c r="T113" s="31">
        <f t="shared" si="25"/>
        <v>0</v>
      </c>
      <c r="U113" s="32">
        <f t="shared" si="28"/>
        <v>0</v>
      </c>
      <c r="V113" s="32">
        <f t="shared" si="28"/>
        <v>0</v>
      </c>
      <c r="W113" s="32">
        <f t="shared" si="28"/>
        <v>0</v>
      </c>
      <c r="X113" s="32">
        <f t="shared" si="27"/>
        <v>0</v>
      </c>
    </row>
    <row r="114" spans="1:24" ht="19.95" customHeight="1">
      <c r="A114" s="14"/>
      <c r="B114" s="15"/>
      <c r="C114" s="16"/>
      <c r="D114" s="16"/>
      <c r="E114" s="16"/>
      <c r="F114" s="16"/>
      <c r="G114" s="16"/>
      <c r="H114" s="16"/>
      <c r="I114" s="16"/>
      <c r="J114" s="19"/>
      <c r="L114" s="31">
        <f t="shared" si="26"/>
        <v>0</v>
      </c>
      <c r="M114" s="31">
        <f t="shared" si="26"/>
        <v>0</v>
      </c>
      <c r="N114" s="31">
        <f t="shared" si="26"/>
        <v>0</v>
      </c>
      <c r="O114" s="31">
        <f t="shared" si="25"/>
        <v>0</v>
      </c>
      <c r="P114" s="31">
        <f t="shared" si="25"/>
        <v>0</v>
      </c>
      <c r="Q114" s="31">
        <f t="shared" si="25"/>
        <v>0</v>
      </c>
      <c r="R114" s="31">
        <f t="shared" ref="R114:T151" si="29">IFERROR(H115-H114,0)</f>
        <v>0</v>
      </c>
      <c r="S114" s="31">
        <f t="shared" si="29"/>
        <v>0</v>
      </c>
      <c r="T114" s="31">
        <f t="shared" si="29"/>
        <v>0</v>
      </c>
      <c r="U114" s="32">
        <f t="shared" si="28"/>
        <v>0</v>
      </c>
      <c r="V114" s="32">
        <f t="shared" si="28"/>
        <v>0</v>
      </c>
      <c r="W114" s="32">
        <f t="shared" si="28"/>
        <v>0</v>
      </c>
      <c r="X114" s="32">
        <f t="shared" si="27"/>
        <v>0</v>
      </c>
    </row>
    <row r="115" spans="1:24" ht="19.95" customHeight="1">
      <c r="A115" s="14"/>
      <c r="B115" s="15"/>
      <c r="C115" s="16"/>
      <c r="D115" s="16"/>
      <c r="E115" s="16"/>
      <c r="F115" s="16"/>
      <c r="G115" s="16"/>
      <c r="H115" s="16"/>
      <c r="I115" s="16"/>
      <c r="J115" s="19"/>
      <c r="L115" s="31">
        <f t="shared" si="26"/>
        <v>0</v>
      </c>
      <c r="M115" s="31">
        <f t="shared" si="26"/>
        <v>0</v>
      </c>
      <c r="N115" s="31">
        <f t="shared" si="26"/>
        <v>0</v>
      </c>
      <c r="O115" s="31">
        <f t="shared" si="26"/>
        <v>0</v>
      </c>
      <c r="P115" s="31">
        <f t="shared" si="26"/>
        <v>0</v>
      </c>
      <c r="Q115" s="31">
        <f t="shared" si="26"/>
        <v>0</v>
      </c>
      <c r="R115" s="31">
        <f t="shared" si="29"/>
        <v>0</v>
      </c>
      <c r="S115" s="31">
        <f t="shared" si="29"/>
        <v>0</v>
      </c>
      <c r="T115" s="31">
        <f t="shared" si="29"/>
        <v>0</v>
      </c>
      <c r="U115" s="32">
        <f t="shared" si="28"/>
        <v>0</v>
      </c>
      <c r="V115" s="32">
        <f t="shared" si="28"/>
        <v>0</v>
      </c>
      <c r="W115" s="32">
        <f t="shared" si="28"/>
        <v>0</v>
      </c>
      <c r="X115" s="32">
        <f t="shared" si="27"/>
        <v>0</v>
      </c>
    </row>
    <row r="116" spans="1:24" ht="16.8" customHeight="1">
      <c r="A116" s="14"/>
      <c r="B116" s="15"/>
      <c r="C116" s="16"/>
      <c r="D116" s="16"/>
      <c r="E116" s="16"/>
      <c r="F116" s="16"/>
      <c r="G116" s="16"/>
      <c r="H116" s="16"/>
      <c r="I116" s="16"/>
      <c r="J116" s="19"/>
      <c r="L116" s="31">
        <f t="shared" si="26"/>
        <v>0</v>
      </c>
      <c r="M116" s="31">
        <f t="shared" si="26"/>
        <v>0</v>
      </c>
      <c r="N116" s="31">
        <f t="shared" si="26"/>
        <v>0</v>
      </c>
      <c r="O116" s="31">
        <f t="shared" si="26"/>
        <v>0</v>
      </c>
      <c r="P116" s="31">
        <f t="shared" si="26"/>
        <v>0</v>
      </c>
      <c r="Q116" s="31">
        <f t="shared" si="26"/>
        <v>0</v>
      </c>
      <c r="R116" s="31">
        <f t="shared" si="29"/>
        <v>0</v>
      </c>
      <c r="S116" s="31">
        <f t="shared" si="29"/>
        <v>0</v>
      </c>
      <c r="T116" s="31">
        <f t="shared" si="29"/>
        <v>0</v>
      </c>
      <c r="U116" s="32">
        <f t="shared" si="28"/>
        <v>0</v>
      </c>
      <c r="V116" s="32">
        <f t="shared" si="28"/>
        <v>0</v>
      </c>
      <c r="W116" s="32">
        <f t="shared" si="28"/>
        <v>0</v>
      </c>
      <c r="X116" s="32">
        <f t="shared" si="27"/>
        <v>0</v>
      </c>
    </row>
    <row r="117" spans="1:24" ht="19.95" customHeight="1">
      <c r="A117" s="14"/>
      <c r="B117" s="15"/>
      <c r="C117" s="16"/>
      <c r="D117" s="16"/>
      <c r="E117" s="16"/>
      <c r="F117" s="16"/>
      <c r="G117" s="16"/>
      <c r="H117" s="16"/>
      <c r="I117" s="16"/>
      <c r="J117" s="19"/>
      <c r="L117" s="31">
        <f t="shared" si="26"/>
        <v>0</v>
      </c>
      <c r="M117" s="31">
        <f t="shared" si="26"/>
        <v>0</v>
      </c>
      <c r="N117" s="31">
        <f t="shared" si="26"/>
        <v>0</v>
      </c>
      <c r="O117" s="31">
        <f t="shared" si="26"/>
        <v>0</v>
      </c>
      <c r="P117" s="31">
        <f t="shared" si="26"/>
        <v>0</v>
      </c>
      <c r="Q117" s="31">
        <f t="shared" si="26"/>
        <v>0</v>
      </c>
      <c r="R117" s="31">
        <f t="shared" si="29"/>
        <v>0</v>
      </c>
      <c r="S117" s="31">
        <f t="shared" si="29"/>
        <v>0</v>
      </c>
      <c r="T117" s="31">
        <f t="shared" si="29"/>
        <v>0</v>
      </c>
      <c r="U117" s="32">
        <f t="shared" si="28"/>
        <v>0</v>
      </c>
      <c r="V117" s="32">
        <f t="shared" si="28"/>
        <v>0</v>
      </c>
      <c r="W117" s="32">
        <f t="shared" si="28"/>
        <v>0</v>
      </c>
      <c r="X117" s="32">
        <f t="shared" si="27"/>
        <v>0</v>
      </c>
    </row>
    <row r="118" spans="1:24" ht="19.95" customHeight="1">
      <c r="A118" s="14"/>
      <c r="B118" s="15"/>
      <c r="C118" s="16"/>
      <c r="D118" s="16"/>
      <c r="E118" s="16"/>
      <c r="F118" s="16"/>
      <c r="G118" s="16"/>
      <c r="H118" s="16"/>
      <c r="I118" s="16"/>
      <c r="J118" s="19"/>
      <c r="L118" s="31">
        <f t="shared" si="26"/>
        <v>0</v>
      </c>
      <c r="M118" s="31">
        <f t="shared" si="26"/>
        <v>0</v>
      </c>
      <c r="N118" s="31">
        <f t="shared" si="26"/>
        <v>0</v>
      </c>
      <c r="O118" s="31">
        <f t="shared" si="26"/>
        <v>0</v>
      </c>
      <c r="P118" s="31">
        <f t="shared" si="26"/>
        <v>0</v>
      </c>
      <c r="Q118" s="31">
        <f t="shared" si="26"/>
        <v>0</v>
      </c>
      <c r="R118" s="31">
        <f t="shared" si="29"/>
        <v>0</v>
      </c>
      <c r="S118" s="31">
        <f t="shared" si="29"/>
        <v>0</v>
      </c>
      <c r="T118" s="31">
        <f t="shared" si="29"/>
        <v>0</v>
      </c>
      <c r="U118" s="32">
        <f t="shared" si="28"/>
        <v>0</v>
      </c>
      <c r="V118" s="32">
        <f t="shared" si="28"/>
        <v>0</v>
      </c>
      <c r="W118" s="32">
        <f t="shared" si="28"/>
        <v>0</v>
      </c>
      <c r="X118" s="32">
        <f t="shared" si="27"/>
        <v>0</v>
      </c>
    </row>
    <row r="119" spans="1:24" ht="19.95" customHeight="1">
      <c r="A119" s="14"/>
      <c r="B119" s="15"/>
      <c r="C119" s="16"/>
      <c r="D119" s="16"/>
      <c r="E119" s="16"/>
      <c r="F119" s="16"/>
      <c r="G119" s="16"/>
      <c r="H119" s="16"/>
      <c r="I119" s="16"/>
      <c r="J119" s="19"/>
      <c r="L119" s="31">
        <f t="shared" si="26"/>
        <v>0</v>
      </c>
      <c r="M119" s="31">
        <f t="shared" si="26"/>
        <v>0</v>
      </c>
      <c r="N119" s="31">
        <f t="shared" si="26"/>
        <v>0</v>
      </c>
      <c r="O119" s="31">
        <f t="shared" si="26"/>
        <v>0</v>
      </c>
      <c r="P119" s="31">
        <f t="shared" si="26"/>
        <v>0</v>
      </c>
      <c r="Q119" s="31">
        <f t="shared" si="26"/>
        <v>0</v>
      </c>
      <c r="R119" s="31">
        <f t="shared" si="29"/>
        <v>0</v>
      </c>
      <c r="S119" s="31">
        <f t="shared" si="29"/>
        <v>0</v>
      </c>
      <c r="T119" s="31">
        <f t="shared" si="29"/>
        <v>0</v>
      </c>
      <c r="U119" s="32">
        <f t="shared" si="28"/>
        <v>0</v>
      </c>
      <c r="V119" s="32">
        <f t="shared" si="28"/>
        <v>0</v>
      </c>
      <c r="W119" s="32">
        <f t="shared" si="28"/>
        <v>0</v>
      </c>
      <c r="X119" s="32">
        <f t="shared" si="27"/>
        <v>0</v>
      </c>
    </row>
    <row r="120" spans="1:24" ht="19.95" customHeight="1">
      <c r="A120" s="14"/>
      <c r="B120" s="15"/>
      <c r="C120" s="16"/>
      <c r="D120" s="16"/>
      <c r="E120" s="16"/>
      <c r="F120" s="16"/>
      <c r="G120" s="16"/>
      <c r="H120" s="16"/>
      <c r="I120" s="16"/>
      <c r="J120" s="19"/>
      <c r="L120" s="31">
        <f t="shared" si="26"/>
        <v>0</v>
      </c>
      <c r="M120" s="31">
        <f t="shared" si="26"/>
        <v>0</v>
      </c>
      <c r="N120" s="31">
        <f t="shared" si="26"/>
        <v>0</v>
      </c>
      <c r="O120" s="31">
        <f t="shared" si="26"/>
        <v>0</v>
      </c>
      <c r="P120" s="31">
        <f t="shared" si="26"/>
        <v>0</v>
      </c>
      <c r="Q120" s="31">
        <f t="shared" si="26"/>
        <v>0</v>
      </c>
      <c r="R120" s="31">
        <f t="shared" si="29"/>
        <v>0</v>
      </c>
      <c r="S120" s="31">
        <f t="shared" si="29"/>
        <v>0</v>
      </c>
      <c r="T120" s="31">
        <f t="shared" si="29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7"/>
        <v>0</v>
      </c>
    </row>
    <row r="121" spans="1:24" ht="19.95" customHeight="1">
      <c r="A121" s="14"/>
      <c r="B121" s="15"/>
      <c r="C121" s="16"/>
      <c r="D121" s="16"/>
      <c r="E121" s="16"/>
      <c r="F121" s="16"/>
      <c r="G121" s="16"/>
      <c r="H121" s="16"/>
      <c r="I121" s="16"/>
      <c r="J121" s="19"/>
      <c r="L121" s="31">
        <f t="shared" si="26"/>
        <v>0</v>
      </c>
      <c r="M121" s="31">
        <f t="shared" si="26"/>
        <v>0</v>
      </c>
      <c r="N121" s="31">
        <f t="shared" si="26"/>
        <v>0</v>
      </c>
      <c r="O121" s="31">
        <f t="shared" si="26"/>
        <v>0</v>
      </c>
      <c r="P121" s="31">
        <f t="shared" si="26"/>
        <v>0</v>
      </c>
      <c r="Q121" s="31">
        <f t="shared" si="26"/>
        <v>0</v>
      </c>
      <c r="R121" s="31">
        <f t="shared" si="29"/>
        <v>0</v>
      </c>
      <c r="S121" s="31">
        <f t="shared" si="29"/>
        <v>0</v>
      </c>
      <c r="T121" s="31">
        <f t="shared" si="29"/>
        <v>0</v>
      </c>
      <c r="U121" s="32">
        <f t="shared" si="28"/>
        <v>0</v>
      </c>
      <c r="V121" s="32">
        <f t="shared" si="28"/>
        <v>0</v>
      </c>
      <c r="W121" s="32">
        <f t="shared" si="28"/>
        <v>0</v>
      </c>
      <c r="X121" s="32">
        <f t="shared" si="27"/>
        <v>0</v>
      </c>
    </row>
    <row r="122" spans="1:24" ht="19.95" customHeight="1">
      <c r="A122" s="14"/>
      <c r="B122" s="15"/>
      <c r="C122" s="16"/>
      <c r="D122" s="16"/>
      <c r="E122" s="16"/>
      <c r="F122" s="16"/>
      <c r="G122" s="16"/>
      <c r="H122" s="16"/>
      <c r="I122" s="16"/>
      <c r="J122" s="19"/>
      <c r="L122" s="31">
        <f t="shared" si="26"/>
        <v>0</v>
      </c>
      <c r="M122" s="31">
        <f t="shared" si="26"/>
        <v>0</v>
      </c>
      <c r="N122" s="31">
        <f t="shared" si="26"/>
        <v>0</v>
      </c>
      <c r="O122" s="31">
        <f t="shared" si="26"/>
        <v>0</v>
      </c>
      <c r="P122" s="31">
        <f t="shared" si="26"/>
        <v>0</v>
      </c>
      <c r="Q122" s="31">
        <f t="shared" si="26"/>
        <v>0</v>
      </c>
      <c r="R122" s="31">
        <f t="shared" si="29"/>
        <v>0</v>
      </c>
      <c r="S122" s="31">
        <f t="shared" si="29"/>
        <v>0</v>
      </c>
      <c r="T122" s="31">
        <f t="shared" si="29"/>
        <v>0</v>
      </c>
      <c r="U122" s="32">
        <f t="shared" si="28"/>
        <v>0</v>
      </c>
      <c r="V122" s="32">
        <f t="shared" si="28"/>
        <v>0</v>
      </c>
      <c r="W122" s="32">
        <f t="shared" si="28"/>
        <v>0</v>
      </c>
      <c r="X122" s="32">
        <f t="shared" si="27"/>
        <v>0</v>
      </c>
    </row>
    <row r="123" spans="1:24" ht="19.95" customHeight="1">
      <c r="A123" s="14"/>
      <c r="B123" s="15"/>
      <c r="C123" s="16"/>
      <c r="D123" s="16"/>
      <c r="E123" s="16"/>
      <c r="F123" s="16"/>
      <c r="G123" s="16"/>
      <c r="H123" s="16"/>
      <c r="I123" s="16"/>
      <c r="J123" s="19"/>
      <c r="L123" s="31">
        <f t="shared" si="26"/>
        <v>0</v>
      </c>
      <c r="M123" s="31">
        <f t="shared" si="26"/>
        <v>0</v>
      </c>
      <c r="N123" s="31">
        <f t="shared" si="26"/>
        <v>0</v>
      </c>
      <c r="O123" s="31">
        <f t="shared" si="26"/>
        <v>0</v>
      </c>
      <c r="P123" s="31">
        <f t="shared" si="26"/>
        <v>0</v>
      </c>
      <c r="Q123" s="31">
        <f t="shared" si="26"/>
        <v>0</v>
      </c>
      <c r="R123" s="31">
        <f t="shared" si="29"/>
        <v>0</v>
      </c>
      <c r="S123" s="31">
        <f t="shared" si="29"/>
        <v>0</v>
      </c>
      <c r="T123" s="31">
        <f t="shared" si="29"/>
        <v>0</v>
      </c>
      <c r="U123" s="32">
        <f t="shared" si="28"/>
        <v>0</v>
      </c>
      <c r="V123" s="32">
        <f t="shared" si="28"/>
        <v>0</v>
      </c>
      <c r="W123" s="32">
        <f t="shared" si="28"/>
        <v>0</v>
      </c>
      <c r="X123" s="32">
        <f t="shared" si="27"/>
        <v>0</v>
      </c>
    </row>
    <row r="124" spans="1:24" ht="19.95" customHeight="1">
      <c r="A124" s="14"/>
      <c r="B124" s="15"/>
      <c r="C124" s="16"/>
      <c r="D124" s="16"/>
      <c r="E124" s="16"/>
      <c r="F124" s="16"/>
      <c r="G124" s="16"/>
      <c r="H124" s="16"/>
      <c r="I124" s="16"/>
      <c r="J124" s="19"/>
      <c r="L124" s="31">
        <f t="shared" si="26"/>
        <v>0</v>
      </c>
      <c r="M124" s="31">
        <f t="shared" si="26"/>
        <v>0</v>
      </c>
      <c r="N124" s="31">
        <f t="shared" si="26"/>
        <v>0</v>
      </c>
      <c r="O124" s="31">
        <f t="shared" si="26"/>
        <v>0</v>
      </c>
      <c r="P124" s="31">
        <f t="shared" si="26"/>
        <v>0</v>
      </c>
      <c r="Q124" s="31">
        <f t="shared" si="26"/>
        <v>0</v>
      </c>
      <c r="R124" s="31">
        <f t="shared" si="29"/>
        <v>0</v>
      </c>
      <c r="S124" s="31">
        <f t="shared" si="29"/>
        <v>0</v>
      </c>
      <c r="T124" s="31">
        <f t="shared" si="29"/>
        <v>0</v>
      </c>
      <c r="U124" s="32">
        <f t="shared" si="28"/>
        <v>0</v>
      </c>
      <c r="V124" s="32">
        <f t="shared" si="28"/>
        <v>0</v>
      </c>
      <c r="W124" s="32">
        <f t="shared" si="28"/>
        <v>0</v>
      </c>
      <c r="X124" s="32">
        <f t="shared" si="27"/>
        <v>0</v>
      </c>
    </row>
    <row r="125" spans="1:24" ht="19.95" customHeight="1">
      <c r="A125" s="14"/>
      <c r="B125" s="15"/>
      <c r="C125" s="16"/>
      <c r="D125" s="16"/>
      <c r="E125" s="16"/>
      <c r="F125" s="16"/>
      <c r="G125" s="16"/>
      <c r="H125" s="16"/>
      <c r="I125" s="16"/>
      <c r="J125" s="19"/>
      <c r="L125" s="31">
        <f t="shared" si="26"/>
        <v>0</v>
      </c>
      <c r="M125" s="31">
        <f t="shared" si="26"/>
        <v>0</v>
      </c>
      <c r="N125" s="31">
        <f t="shared" si="26"/>
        <v>0</v>
      </c>
      <c r="O125" s="31">
        <f t="shared" si="26"/>
        <v>0</v>
      </c>
      <c r="P125" s="31">
        <f t="shared" si="26"/>
        <v>0</v>
      </c>
      <c r="Q125" s="31">
        <f t="shared" si="26"/>
        <v>0</v>
      </c>
      <c r="R125" s="31">
        <f t="shared" si="29"/>
        <v>0</v>
      </c>
      <c r="S125" s="31">
        <f t="shared" si="29"/>
        <v>0</v>
      </c>
      <c r="T125" s="31">
        <f t="shared" si="29"/>
        <v>0</v>
      </c>
      <c r="U125" s="32">
        <f t="shared" si="28"/>
        <v>0</v>
      </c>
      <c r="V125" s="32">
        <f t="shared" si="28"/>
        <v>0</v>
      </c>
      <c r="W125" s="32">
        <f t="shared" si="28"/>
        <v>0</v>
      </c>
      <c r="X125" s="32">
        <f t="shared" si="27"/>
        <v>0</v>
      </c>
    </row>
    <row r="126" spans="1:24" ht="19.95" customHeight="1">
      <c r="A126" s="14"/>
      <c r="B126" s="15"/>
      <c r="C126" s="16"/>
      <c r="D126" s="16"/>
      <c r="E126" s="16"/>
      <c r="F126" s="16"/>
      <c r="G126" s="16"/>
      <c r="H126" s="16"/>
      <c r="I126" s="16"/>
      <c r="J126" s="19"/>
      <c r="L126" s="31">
        <f t="shared" si="26"/>
        <v>0</v>
      </c>
      <c r="M126" s="31">
        <f t="shared" si="26"/>
        <v>0</v>
      </c>
      <c r="N126" s="31">
        <f t="shared" si="26"/>
        <v>0</v>
      </c>
      <c r="O126" s="31">
        <f t="shared" si="26"/>
        <v>0</v>
      </c>
      <c r="P126" s="31">
        <f t="shared" si="26"/>
        <v>0</v>
      </c>
      <c r="Q126" s="31">
        <f t="shared" si="26"/>
        <v>0</v>
      </c>
      <c r="R126" s="31">
        <f t="shared" si="29"/>
        <v>0</v>
      </c>
      <c r="S126" s="31">
        <f t="shared" si="29"/>
        <v>0</v>
      </c>
      <c r="T126" s="31">
        <f t="shared" si="29"/>
        <v>0</v>
      </c>
      <c r="U126" s="32">
        <f t="shared" si="28"/>
        <v>0</v>
      </c>
      <c r="V126" s="32">
        <f t="shared" si="28"/>
        <v>0</v>
      </c>
      <c r="W126" s="32">
        <f t="shared" si="28"/>
        <v>0</v>
      </c>
      <c r="X126" s="32">
        <f t="shared" si="27"/>
        <v>0</v>
      </c>
    </row>
    <row r="127" spans="1:24" ht="19.95" customHeight="1">
      <c r="A127" s="14"/>
      <c r="B127" s="15"/>
      <c r="C127" s="16"/>
      <c r="D127" s="16"/>
      <c r="E127" s="16"/>
      <c r="F127" s="16"/>
      <c r="G127" s="16"/>
      <c r="H127" s="16"/>
      <c r="I127" s="16"/>
      <c r="J127" s="19"/>
      <c r="L127" s="31">
        <f t="shared" si="26"/>
        <v>0</v>
      </c>
      <c r="M127" s="31">
        <f t="shared" si="26"/>
        <v>0</v>
      </c>
      <c r="N127" s="31">
        <f t="shared" si="26"/>
        <v>0</v>
      </c>
      <c r="O127" s="31">
        <f t="shared" si="26"/>
        <v>0</v>
      </c>
      <c r="P127" s="31">
        <f t="shared" si="26"/>
        <v>0</v>
      </c>
      <c r="Q127" s="31">
        <f t="shared" si="26"/>
        <v>0</v>
      </c>
      <c r="R127" s="31">
        <f t="shared" si="29"/>
        <v>0</v>
      </c>
      <c r="S127" s="31">
        <f t="shared" si="29"/>
        <v>0</v>
      </c>
      <c r="T127" s="31">
        <f t="shared" si="29"/>
        <v>0</v>
      </c>
      <c r="U127" s="32">
        <f t="shared" si="28"/>
        <v>0</v>
      </c>
      <c r="V127" s="32">
        <f t="shared" si="28"/>
        <v>0</v>
      </c>
      <c r="W127" s="32">
        <f t="shared" si="28"/>
        <v>0</v>
      </c>
      <c r="X127" s="32">
        <f t="shared" si="27"/>
        <v>0</v>
      </c>
    </row>
    <row r="128" spans="1:24" ht="19.95" customHeight="1">
      <c r="A128" s="14"/>
      <c r="B128" s="15"/>
      <c r="C128" s="16"/>
      <c r="D128" s="16"/>
      <c r="E128" s="16"/>
      <c r="F128" s="16"/>
      <c r="G128" s="16"/>
      <c r="H128" s="16"/>
      <c r="I128" s="16"/>
      <c r="J128" s="19"/>
      <c r="L128" s="31">
        <f t="shared" si="26"/>
        <v>0</v>
      </c>
      <c r="M128" s="31">
        <f t="shared" si="26"/>
        <v>0</v>
      </c>
      <c r="N128" s="31">
        <f t="shared" si="26"/>
        <v>0</v>
      </c>
      <c r="O128" s="31">
        <f t="shared" si="26"/>
        <v>0</v>
      </c>
      <c r="P128" s="31">
        <f t="shared" si="26"/>
        <v>0</v>
      </c>
      <c r="Q128" s="31">
        <f t="shared" si="26"/>
        <v>0</v>
      </c>
      <c r="R128" s="31">
        <f t="shared" si="29"/>
        <v>0</v>
      </c>
      <c r="S128" s="31">
        <f t="shared" si="29"/>
        <v>0</v>
      </c>
      <c r="T128" s="31">
        <f t="shared" si="29"/>
        <v>0</v>
      </c>
      <c r="U128" s="32">
        <f t="shared" si="28"/>
        <v>0</v>
      </c>
      <c r="V128" s="32">
        <f t="shared" si="28"/>
        <v>0</v>
      </c>
      <c r="W128" s="32">
        <f t="shared" si="28"/>
        <v>0</v>
      </c>
      <c r="X128" s="32">
        <f t="shared" si="27"/>
        <v>0</v>
      </c>
    </row>
    <row r="129" spans="1:24" ht="19.95" customHeight="1">
      <c r="A129" s="14"/>
      <c r="B129" s="15"/>
      <c r="C129" s="16"/>
      <c r="D129" s="16"/>
      <c r="E129" s="16"/>
      <c r="F129" s="16"/>
      <c r="G129" s="16"/>
      <c r="H129" s="16"/>
      <c r="I129" s="16"/>
      <c r="J129" s="19"/>
      <c r="L129" s="31">
        <f t="shared" si="26"/>
        <v>0</v>
      </c>
      <c r="M129" s="31">
        <f t="shared" si="26"/>
        <v>0</v>
      </c>
      <c r="N129" s="31">
        <f t="shared" si="26"/>
        <v>0</v>
      </c>
      <c r="O129" s="31">
        <f t="shared" si="26"/>
        <v>0</v>
      </c>
      <c r="P129" s="31">
        <f t="shared" si="26"/>
        <v>0</v>
      </c>
      <c r="Q129" s="31">
        <f t="shared" si="26"/>
        <v>0</v>
      </c>
      <c r="R129" s="31">
        <f t="shared" si="29"/>
        <v>0</v>
      </c>
      <c r="S129" s="31">
        <f t="shared" si="29"/>
        <v>0</v>
      </c>
      <c r="T129" s="31">
        <f t="shared" si="29"/>
        <v>0</v>
      </c>
      <c r="U129" s="32">
        <f t="shared" si="28"/>
        <v>0</v>
      </c>
      <c r="V129" s="32">
        <f t="shared" si="28"/>
        <v>0</v>
      </c>
      <c r="W129" s="32">
        <f t="shared" si="28"/>
        <v>0</v>
      </c>
      <c r="X129" s="32">
        <f t="shared" si="27"/>
        <v>0</v>
      </c>
    </row>
    <row r="130" spans="1:24" ht="19.95" customHeight="1">
      <c r="A130" s="14"/>
      <c r="B130" s="15"/>
      <c r="C130" s="16"/>
      <c r="D130" s="16"/>
      <c r="E130" s="16"/>
      <c r="F130" s="16"/>
      <c r="G130" s="16"/>
      <c r="H130" s="16"/>
      <c r="I130" s="16"/>
      <c r="J130" s="19"/>
      <c r="L130" s="31">
        <f t="shared" si="26"/>
        <v>0</v>
      </c>
      <c r="M130" s="31">
        <f t="shared" si="26"/>
        <v>0</v>
      </c>
      <c r="N130" s="31">
        <f t="shared" si="26"/>
        <v>0</v>
      </c>
      <c r="O130" s="31">
        <f t="shared" si="26"/>
        <v>0</v>
      </c>
      <c r="P130" s="31">
        <f t="shared" si="26"/>
        <v>0</v>
      </c>
      <c r="Q130" s="31">
        <f t="shared" si="26"/>
        <v>0</v>
      </c>
      <c r="R130" s="31">
        <f t="shared" si="29"/>
        <v>0</v>
      </c>
      <c r="S130" s="31">
        <f t="shared" si="29"/>
        <v>0</v>
      </c>
      <c r="T130" s="31">
        <f t="shared" si="29"/>
        <v>0</v>
      </c>
      <c r="U130" s="32">
        <f t="shared" si="28"/>
        <v>0</v>
      </c>
      <c r="V130" s="32">
        <f t="shared" si="28"/>
        <v>0</v>
      </c>
      <c r="W130" s="32">
        <f t="shared" si="28"/>
        <v>0</v>
      </c>
      <c r="X130" s="32">
        <f t="shared" si="27"/>
        <v>0</v>
      </c>
    </row>
    <row r="131" spans="1:24" ht="19.95" customHeight="1">
      <c r="A131" s="14"/>
      <c r="B131" s="15"/>
      <c r="C131" s="16"/>
      <c r="D131" s="16"/>
      <c r="E131" s="16"/>
      <c r="F131" s="16"/>
      <c r="G131" s="16"/>
      <c r="H131" s="16"/>
      <c r="I131" s="16"/>
      <c r="J131" s="19"/>
      <c r="L131" s="31">
        <f t="shared" si="26"/>
        <v>0</v>
      </c>
      <c r="M131" s="31">
        <f t="shared" si="26"/>
        <v>0</v>
      </c>
      <c r="N131" s="31">
        <f t="shared" si="26"/>
        <v>0</v>
      </c>
      <c r="O131" s="31">
        <f t="shared" si="26"/>
        <v>0</v>
      </c>
      <c r="P131" s="31">
        <f t="shared" si="26"/>
        <v>0</v>
      </c>
      <c r="Q131" s="31">
        <f t="shared" si="26"/>
        <v>0</v>
      </c>
      <c r="R131" s="31">
        <f t="shared" si="29"/>
        <v>0</v>
      </c>
      <c r="S131" s="31">
        <f t="shared" si="29"/>
        <v>0</v>
      </c>
      <c r="T131" s="31">
        <f t="shared" si="29"/>
        <v>0</v>
      </c>
      <c r="U131" s="32">
        <f t="shared" si="28"/>
        <v>0</v>
      </c>
      <c r="V131" s="32">
        <f t="shared" si="28"/>
        <v>0</v>
      </c>
      <c r="W131" s="32">
        <f t="shared" si="28"/>
        <v>0</v>
      </c>
      <c r="X131" s="32">
        <f t="shared" si="27"/>
        <v>0</v>
      </c>
    </row>
    <row r="132" spans="1:24" ht="19.95" customHeight="1">
      <c r="A132" s="14"/>
      <c r="B132" s="15"/>
      <c r="C132" s="16"/>
      <c r="D132" s="16"/>
      <c r="E132" s="16"/>
      <c r="F132" s="16"/>
      <c r="G132" s="16"/>
      <c r="H132" s="16"/>
      <c r="I132" s="16"/>
      <c r="J132" s="19"/>
      <c r="L132" s="31">
        <f t="shared" si="26"/>
        <v>0</v>
      </c>
      <c r="M132" s="31">
        <f t="shared" si="26"/>
        <v>0</v>
      </c>
      <c r="N132" s="31">
        <f t="shared" si="26"/>
        <v>0</v>
      </c>
      <c r="O132" s="31">
        <f t="shared" si="26"/>
        <v>0</v>
      </c>
      <c r="P132" s="31">
        <f t="shared" si="26"/>
        <v>0</v>
      </c>
      <c r="Q132" s="31">
        <f t="shared" si="26"/>
        <v>0</v>
      </c>
      <c r="R132" s="31">
        <f t="shared" si="29"/>
        <v>0</v>
      </c>
      <c r="S132" s="31">
        <f t="shared" si="29"/>
        <v>0</v>
      </c>
      <c r="T132" s="31">
        <f t="shared" si="29"/>
        <v>0</v>
      </c>
      <c r="U132" s="32">
        <f t="shared" si="28"/>
        <v>0</v>
      </c>
      <c r="V132" s="32">
        <f t="shared" si="28"/>
        <v>0</v>
      </c>
      <c r="W132" s="32">
        <f t="shared" si="28"/>
        <v>0</v>
      </c>
      <c r="X132" s="32">
        <f t="shared" si="27"/>
        <v>0</v>
      </c>
    </row>
    <row r="133" spans="1:24" ht="19.95" customHeight="1">
      <c r="A133" s="14"/>
      <c r="B133" s="15"/>
      <c r="C133" s="16"/>
      <c r="D133" s="16"/>
      <c r="E133" s="16"/>
      <c r="F133" s="16"/>
      <c r="G133" s="16"/>
      <c r="H133" s="16"/>
      <c r="I133" s="16"/>
      <c r="J133" s="19"/>
      <c r="L133" s="31">
        <f t="shared" si="26"/>
        <v>0</v>
      </c>
      <c r="M133" s="31">
        <f t="shared" si="26"/>
        <v>0</v>
      </c>
      <c r="N133" s="31">
        <f t="shared" si="26"/>
        <v>0</v>
      </c>
      <c r="O133" s="31">
        <f t="shared" si="26"/>
        <v>0</v>
      </c>
      <c r="P133" s="31">
        <f t="shared" si="26"/>
        <v>0</v>
      </c>
      <c r="Q133" s="31">
        <f t="shared" si="26"/>
        <v>0</v>
      </c>
      <c r="R133" s="31">
        <f t="shared" si="29"/>
        <v>0</v>
      </c>
      <c r="S133" s="31">
        <f t="shared" si="29"/>
        <v>0</v>
      </c>
      <c r="T133" s="31">
        <f t="shared" si="29"/>
        <v>0</v>
      </c>
      <c r="U133" s="32">
        <f t="shared" si="28"/>
        <v>0</v>
      </c>
      <c r="V133" s="32">
        <f t="shared" si="28"/>
        <v>0</v>
      </c>
      <c r="W133" s="32">
        <f t="shared" si="28"/>
        <v>0</v>
      </c>
      <c r="X133" s="32">
        <f t="shared" si="27"/>
        <v>0</v>
      </c>
    </row>
    <row r="134" spans="1:24" ht="16.8" customHeight="1">
      <c r="A134" s="14"/>
      <c r="B134" s="15"/>
      <c r="C134" s="16"/>
      <c r="D134" s="16"/>
      <c r="E134" s="16"/>
      <c r="F134" s="16"/>
      <c r="G134" s="16"/>
      <c r="H134" s="16"/>
      <c r="I134" s="16"/>
      <c r="J134" s="19"/>
      <c r="L134" s="31">
        <f t="shared" si="26"/>
        <v>0</v>
      </c>
      <c r="M134" s="31">
        <f t="shared" si="26"/>
        <v>0</v>
      </c>
      <c r="N134" s="31">
        <f t="shared" si="26"/>
        <v>0</v>
      </c>
      <c r="O134" s="31">
        <f t="shared" si="26"/>
        <v>0</v>
      </c>
      <c r="P134" s="31">
        <f t="shared" si="26"/>
        <v>0</v>
      </c>
      <c r="Q134" s="31">
        <f t="shared" si="26"/>
        <v>0</v>
      </c>
      <c r="R134" s="31">
        <f t="shared" si="29"/>
        <v>0</v>
      </c>
      <c r="S134" s="31">
        <f t="shared" si="29"/>
        <v>0</v>
      </c>
      <c r="T134" s="31">
        <f t="shared" si="29"/>
        <v>0</v>
      </c>
      <c r="U134" s="32">
        <f t="shared" si="28"/>
        <v>0</v>
      </c>
      <c r="V134" s="32">
        <f t="shared" si="28"/>
        <v>0</v>
      </c>
      <c r="W134" s="32">
        <f t="shared" si="28"/>
        <v>0</v>
      </c>
      <c r="X134" s="32">
        <f t="shared" si="27"/>
        <v>0</v>
      </c>
    </row>
    <row r="135" spans="1:24" ht="19.95" customHeight="1">
      <c r="A135" s="14"/>
      <c r="B135" s="15"/>
      <c r="C135" s="16"/>
      <c r="D135" s="16"/>
      <c r="E135" s="16"/>
      <c r="F135" s="16"/>
      <c r="G135" s="16"/>
      <c r="H135" s="16"/>
      <c r="I135" s="16"/>
      <c r="J135" s="19"/>
      <c r="L135" s="31">
        <f t="shared" si="26"/>
        <v>0</v>
      </c>
      <c r="M135" s="31">
        <f t="shared" si="26"/>
        <v>0</v>
      </c>
      <c r="N135" s="31">
        <f t="shared" si="26"/>
        <v>0</v>
      </c>
      <c r="O135" s="31">
        <f t="shared" si="26"/>
        <v>0</v>
      </c>
      <c r="P135" s="31">
        <f t="shared" si="26"/>
        <v>0</v>
      </c>
      <c r="Q135" s="31">
        <f t="shared" si="26"/>
        <v>0</v>
      </c>
      <c r="R135" s="31">
        <f t="shared" si="29"/>
        <v>0</v>
      </c>
      <c r="S135" s="31">
        <f t="shared" si="29"/>
        <v>0</v>
      </c>
      <c r="T135" s="31">
        <f t="shared" si="29"/>
        <v>0</v>
      </c>
      <c r="U135" s="32">
        <f t="shared" si="28"/>
        <v>0</v>
      </c>
      <c r="V135" s="32">
        <f t="shared" si="28"/>
        <v>0</v>
      </c>
      <c r="W135" s="32">
        <f t="shared" si="28"/>
        <v>0</v>
      </c>
      <c r="X135" s="32">
        <f t="shared" si="27"/>
        <v>0</v>
      </c>
    </row>
    <row r="136" spans="1:24" ht="19.95" customHeight="1">
      <c r="A136" s="14"/>
      <c r="B136" s="15"/>
      <c r="C136" s="16"/>
      <c r="D136" s="16"/>
      <c r="E136" s="16"/>
      <c r="F136" s="16"/>
      <c r="G136" s="16"/>
      <c r="H136" s="16"/>
      <c r="I136" s="16"/>
      <c r="J136" s="19"/>
      <c r="L136" s="31">
        <f t="shared" si="26"/>
        <v>0</v>
      </c>
      <c r="M136" s="31">
        <f t="shared" si="26"/>
        <v>0</v>
      </c>
      <c r="N136" s="31">
        <f t="shared" si="26"/>
        <v>0</v>
      </c>
      <c r="O136" s="31">
        <f t="shared" ref="O136:Q151" si="30">IFERROR(E137-E136,0)</f>
        <v>0</v>
      </c>
      <c r="P136" s="31">
        <f t="shared" si="30"/>
        <v>0</v>
      </c>
      <c r="Q136" s="31">
        <f t="shared" si="30"/>
        <v>0</v>
      </c>
      <c r="R136" s="31">
        <f t="shared" si="29"/>
        <v>0</v>
      </c>
      <c r="S136" s="31">
        <f t="shared" si="29"/>
        <v>0</v>
      </c>
      <c r="T136" s="31">
        <f t="shared" si="29"/>
        <v>0</v>
      </c>
      <c r="U136" s="32">
        <f t="shared" si="28"/>
        <v>0</v>
      </c>
      <c r="V136" s="32">
        <f t="shared" si="28"/>
        <v>0</v>
      </c>
      <c r="W136" s="32">
        <f t="shared" si="28"/>
        <v>0</v>
      </c>
      <c r="X136" s="32">
        <f t="shared" si="27"/>
        <v>0</v>
      </c>
    </row>
    <row r="137" spans="1:24" ht="19.95" customHeight="1">
      <c r="A137" s="14"/>
      <c r="B137" s="15"/>
      <c r="C137" s="16"/>
      <c r="D137" s="16"/>
      <c r="E137" s="16"/>
      <c r="F137" s="16"/>
      <c r="G137" s="16"/>
      <c r="H137" s="16"/>
      <c r="I137" s="16"/>
      <c r="J137" s="19"/>
      <c r="L137" s="31">
        <f t="shared" ref="L137:N151" si="31">IFERROR(B138-B137,0)</f>
        <v>0</v>
      </c>
      <c r="M137" s="31">
        <f t="shared" si="31"/>
        <v>0</v>
      </c>
      <c r="N137" s="31">
        <f t="shared" si="31"/>
        <v>0</v>
      </c>
      <c r="O137" s="31">
        <f t="shared" si="30"/>
        <v>0</v>
      </c>
      <c r="P137" s="31">
        <f t="shared" si="30"/>
        <v>0</v>
      </c>
      <c r="Q137" s="31">
        <f t="shared" si="30"/>
        <v>0</v>
      </c>
      <c r="R137" s="31">
        <f t="shared" si="29"/>
        <v>0</v>
      </c>
      <c r="S137" s="31">
        <f t="shared" si="29"/>
        <v>0</v>
      </c>
      <c r="T137" s="31">
        <f t="shared" si="29"/>
        <v>0</v>
      </c>
      <c r="U137" s="32">
        <f t="shared" si="28"/>
        <v>0</v>
      </c>
      <c r="V137" s="32">
        <f t="shared" si="28"/>
        <v>0</v>
      </c>
      <c r="W137" s="32">
        <f t="shared" si="28"/>
        <v>0</v>
      </c>
      <c r="X137" s="32">
        <f t="shared" ref="X137:X152" si="32">O137+P137+T137</f>
        <v>0</v>
      </c>
    </row>
    <row r="138" spans="1:24" ht="19.95" customHeight="1">
      <c r="A138" s="14"/>
      <c r="B138" s="15"/>
      <c r="C138" s="16"/>
      <c r="D138" s="16"/>
      <c r="E138" s="16"/>
      <c r="F138" s="16"/>
      <c r="G138" s="16"/>
      <c r="H138" s="16"/>
      <c r="I138" s="16"/>
      <c r="J138" s="19"/>
      <c r="L138" s="31">
        <f t="shared" si="31"/>
        <v>0</v>
      </c>
      <c r="M138" s="31">
        <f t="shared" si="31"/>
        <v>0</v>
      </c>
      <c r="N138" s="31">
        <f t="shared" si="31"/>
        <v>0</v>
      </c>
      <c r="O138" s="31">
        <f t="shared" si="30"/>
        <v>0</v>
      </c>
      <c r="P138" s="31">
        <f t="shared" si="30"/>
        <v>0</v>
      </c>
      <c r="Q138" s="31">
        <f t="shared" si="30"/>
        <v>0</v>
      </c>
      <c r="R138" s="31">
        <f t="shared" si="29"/>
        <v>0</v>
      </c>
      <c r="S138" s="31">
        <f t="shared" si="29"/>
        <v>0</v>
      </c>
      <c r="T138" s="31">
        <f t="shared" si="29"/>
        <v>0</v>
      </c>
      <c r="U138" s="32">
        <f t="shared" si="28"/>
        <v>0</v>
      </c>
      <c r="V138" s="32">
        <f t="shared" si="28"/>
        <v>0</v>
      </c>
      <c r="W138" s="32">
        <f t="shared" si="28"/>
        <v>0</v>
      </c>
      <c r="X138" s="32">
        <f t="shared" si="32"/>
        <v>0</v>
      </c>
    </row>
    <row r="139" spans="1:24" ht="19.95" customHeight="1">
      <c r="A139" s="14"/>
      <c r="B139" s="15"/>
      <c r="C139" s="16"/>
      <c r="D139" s="16"/>
      <c r="E139" s="16"/>
      <c r="F139" s="16"/>
      <c r="G139" s="16"/>
      <c r="H139" s="16"/>
      <c r="I139" s="16"/>
      <c r="J139" s="19"/>
      <c r="L139" s="31">
        <f t="shared" si="31"/>
        <v>0</v>
      </c>
      <c r="M139" s="31">
        <f t="shared" si="31"/>
        <v>0</v>
      </c>
      <c r="N139" s="31">
        <f t="shared" si="31"/>
        <v>0</v>
      </c>
      <c r="O139" s="31">
        <f t="shared" si="30"/>
        <v>0</v>
      </c>
      <c r="P139" s="31">
        <f t="shared" si="30"/>
        <v>0</v>
      </c>
      <c r="Q139" s="31">
        <f t="shared" si="30"/>
        <v>0</v>
      </c>
      <c r="R139" s="31">
        <f t="shared" si="29"/>
        <v>0</v>
      </c>
      <c r="S139" s="31">
        <f t="shared" si="29"/>
        <v>0</v>
      </c>
      <c r="T139" s="31">
        <f t="shared" si="29"/>
        <v>0</v>
      </c>
      <c r="U139" s="32">
        <f t="shared" si="28"/>
        <v>0</v>
      </c>
      <c r="V139" s="32">
        <f t="shared" si="28"/>
        <v>0</v>
      </c>
      <c r="W139" s="32">
        <f t="shared" si="28"/>
        <v>0</v>
      </c>
      <c r="X139" s="32">
        <f t="shared" si="32"/>
        <v>0</v>
      </c>
    </row>
    <row r="140" spans="1:24" ht="19.95" customHeight="1">
      <c r="A140" s="14"/>
      <c r="B140" s="15"/>
      <c r="C140" s="16"/>
      <c r="D140" s="16"/>
      <c r="E140" s="16"/>
      <c r="F140" s="16"/>
      <c r="G140" s="16"/>
      <c r="H140" s="16"/>
      <c r="I140" s="16"/>
      <c r="J140" s="19"/>
      <c r="L140" s="31">
        <f t="shared" si="31"/>
        <v>0</v>
      </c>
      <c r="M140" s="31">
        <f t="shared" si="31"/>
        <v>0</v>
      </c>
      <c r="N140" s="31">
        <f t="shared" si="31"/>
        <v>0</v>
      </c>
      <c r="O140" s="31">
        <f t="shared" si="30"/>
        <v>0</v>
      </c>
      <c r="P140" s="31">
        <f t="shared" si="30"/>
        <v>0</v>
      </c>
      <c r="Q140" s="31">
        <f t="shared" si="30"/>
        <v>0</v>
      </c>
      <c r="R140" s="31">
        <f t="shared" si="29"/>
        <v>0</v>
      </c>
      <c r="S140" s="31">
        <f t="shared" si="29"/>
        <v>0</v>
      </c>
      <c r="T140" s="31">
        <f t="shared" si="29"/>
        <v>0</v>
      </c>
      <c r="U140" s="32">
        <f t="shared" si="28"/>
        <v>0</v>
      </c>
      <c r="V140" s="32">
        <f t="shared" si="28"/>
        <v>0</v>
      </c>
      <c r="W140" s="32">
        <f t="shared" si="28"/>
        <v>0</v>
      </c>
      <c r="X140" s="32">
        <f t="shared" si="32"/>
        <v>0</v>
      </c>
    </row>
    <row r="141" spans="1:24" ht="19.95" customHeight="1">
      <c r="A141" s="14"/>
      <c r="B141" s="15"/>
      <c r="C141" s="16"/>
      <c r="D141" s="16"/>
      <c r="E141" s="16"/>
      <c r="F141" s="16"/>
      <c r="G141" s="16"/>
      <c r="H141" s="16"/>
      <c r="I141" s="16"/>
      <c r="J141" s="19"/>
      <c r="L141" s="31">
        <f t="shared" si="31"/>
        <v>0</v>
      </c>
      <c r="M141" s="31">
        <f t="shared" si="31"/>
        <v>0</v>
      </c>
      <c r="N141" s="31">
        <f t="shared" si="31"/>
        <v>0</v>
      </c>
      <c r="O141" s="31">
        <f t="shared" si="30"/>
        <v>0</v>
      </c>
      <c r="P141" s="31">
        <f t="shared" si="30"/>
        <v>0</v>
      </c>
      <c r="Q141" s="31">
        <f t="shared" si="30"/>
        <v>0</v>
      </c>
      <c r="R141" s="31">
        <f t="shared" si="29"/>
        <v>0</v>
      </c>
      <c r="S141" s="31">
        <f t="shared" si="29"/>
        <v>0</v>
      </c>
      <c r="T141" s="31">
        <f t="shared" si="29"/>
        <v>0</v>
      </c>
      <c r="U141" s="32">
        <f t="shared" si="28"/>
        <v>0</v>
      </c>
      <c r="V141" s="32">
        <f t="shared" si="28"/>
        <v>0</v>
      </c>
      <c r="W141" s="32">
        <f t="shared" si="28"/>
        <v>0</v>
      </c>
      <c r="X141" s="32">
        <f t="shared" si="32"/>
        <v>0</v>
      </c>
    </row>
    <row r="142" spans="1:24" ht="19.95" customHeight="1">
      <c r="A142" s="14"/>
      <c r="B142" s="15"/>
      <c r="C142" s="16"/>
      <c r="D142" s="16"/>
      <c r="E142" s="16"/>
      <c r="F142" s="16"/>
      <c r="G142" s="16"/>
      <c r="H142" s="16"/>
      <c r="I142" s="16"/>
      <c r="J142" s="19"/>
      <c r="L142" s="31">
        <f t="shared" si="31"/>
        <v>0</v>
      </c>
      <c r="M142" s="31">
        <f t="shared" si="31"/>
        <v>0</v>
      </c>
      <c r="N142" s="31">
        <f t="shared" si="31"/>
        <v>0</v>
      </c>
      <c r="O142" s="31">
        <f t="shared" si="30"/>
        <v>0</v>
      </c>
      <c r="P142" s="31">
        <f t="shared" si="30"/>
        <v>0</v>
      </c>
      <c r="Q142" s="31">
        <f t="shared" si="30"/>
        <v>0</v>
      </c>
      <c r="R142" s="31">
        <f t="shared" si="29"/>
        <v>0</v>
      </c>
      <c r="S142" s="31">
        <f t="shared" si="29"/>
        <v>0</v>
      </c>
      <c r="T142" s="31">
        <f t="shared" si="29"/>
        <v>0</v>
      </c>
      <c r="U142" s="32">
        <f t="shared" si="28"/>
        <v>0</v>
      </c>
      <c r="V142" s="32">
        <f t="shared" si="28"/>
        <v>0</v>
      </c>
      <c r="W142" s="32">
        <f t="shared" si="28"/>
        <v>0</v>
      </c>
      <c r="X142" s="32">
        <f t="shared" si="32"/>
        <v>0</v>
      </c>
    </row>
    <row r="143" spans="1:24" ht="19.95" customHeight="1">
      <c r="A143" s="14"/>
      <c r="B143" s="15"/>
      <c r="C143" s="16"/>
      <c r="D143" s="16"/>
      <c r="E143" s="16"/>
      <c r="F143" s="16"/>
      <c r="G143" s="16"/>
      <c r="H143" s="16"/>
      <c r="I143" s="16"/>
      <c r="J143" s="19"/>
      <c r="L143" s="31">
        <f t="shared" si="31"/>
        <v>0</v>
      </c>
      <c r="M143" s="31">
        <f t="shared" si="31"/>
        <v>0</v>
      </c>
      <c r="N143" s="31">
        <f t="shared" si="31"/>
        <v>0</v>
      </c>
      <c r="O143" s="31">
        <f t="shared" si="30"/>
        <v>0</v>
      </c>
      <c r="P143" s="31">
        <f t="shared" si="30"/>
        <v>0</v>
      </c>
      <c r="Q143" s="31">
        <f t="shared" si="30"/>
        <v>0</v>
      </c>
      <c r="R143" s="31">
        <f t="shared" si="29"/>
        <v>0</v>
      </c>
      <c r="S143" s="31">
        <f t="shared" si="29"/>
        <v>0</v>
      </c>
      <c r="T143" s="31">
        <f t="shared" si="29"/>
        <v>0</v>
      </c>
      <c r="U143" s="32">
        <f t="shared" si="28"/>
        <v>0</v>
      </c>
      <c r="V143" s="32">
        <f t="shared" si="28"/>
        <v>0</v>
      </c>
      <c r="W143" s="32">
        <f t="shared" si="28"/>
        <v>0</v>
      </c>
      <c r="X143" s="32">
        <f t="shared" si="32"/>
        <v>0</v>
      </c>
    </row>
    <row r="144" spans="1:24" ht="19.95" customHeight="1">
      <c r="A144" s="14"/>
      <c r="B144" s="15"/>
      <c r="C144" s="16"/>
      <c r="D144" s="16"/>
      <c r="E144" s="16"/>
      <c r="F144" s="16"/>
      <c r="G144" s="16"/>
      <c r="H144" s="16"/>
      <c r="I144" s="16"/>
      <c r="J144" s="19"/>
      <c r="L144" s="31">
        <f t="shared" si="31"/>
        <v>0</v>
      </c>
      <c r="M144" s="31">
        <f t="shared" si="31"/>
        <v>0</v>
      </c>
      <c r="N144" s="31">
        <f t="shared" si="31"/>
        <v>0</v>
      </c>
      <c r="O144" s="31">
        <f t="shared" si="30"/>
        <v>0</v>
      </c>
      <c r="P144" s="31">
        <f t="shared" si="30"/>
        <v>0</v>
      </c>
      <c r="Q144" s="31">
        <f t="shared" si="30"/>
        <v>0</v>
      </c>
      <c r="R144" s="31">
        <f t="shared" si="29"/>
        <v>0</v>
      </c>
      <c r="S144" s="31">
        <f t="shared" si="29"/>
        <v>0</v>
      </c>
      <c r="T144" s="31">
        <f t="shared" si="29"/>
        <v>0</v>
      </c>
      <c r="U144" s="32">
        <f t="shared" si="28"/>
        <v>0</v>
      </c>
      <c r="V144" s="32">
        <f t="shared" si="28"/>
        <v>0</v>
      </c>
      <c r="W144" s="32">
        <f t="shared" si="28"/>
        <v>0</v>
      </c>
      <c r="X144" s="32">
        <f t="shared" si="32"/>
        <v>0</v>
      </c>
    </row>
    <row r="145" spans="1:24" ht="19.95" customHeight="1">
      <c r="A145" s="14"/>
      <c r="B145" s="15"/>
      <c r="C145" s="16"/>
      <c r="D145" s="16"/>
      <c r="E145" s="16"/>
      <c r="F145" s="16"/>
      <c r="G145" s="16"/>
      <c r="H145" s="16"/>
      <c r="I145" s="16"/>
      <c r="J145" s="19"/>
      <c r="L145" s="31">
        <f t="shared" si="31"/>
        <v>0</v>
      </c>
      <c r="M145" s="31">
        <f t="shared" si="31"/>
        <v>0</v>
      </c>
      <c r="N145" s="31">
        <f t="shared" si="31"/>
        <v>0</v>
      </c>
      <c r="O145" s="31">
        <f t="shared" si="30"/>
        <v>0</v>
      </c>
      <c r="P145" s="31">
        <f t="shared" si="30"/>
        <v>0</v>
      </c>
      <c r="Q145" s="31">
        <f t="shared" si="30"/>
        <v>0</v>
      </c>
      <c r="R145" s="31">
        <f t="shared" si="29"/>
        <v>0</v>
      </c>
      <c r="S145" s="31">
        <f t="shared" si="29"/>
        <v>0</v>
      </c>
      <c r="T145" s="31">
        <f t="shared" si="29"/>
        <v>0</v>
      </c>
      <c r="U145" s="32">
        <f t="shared" si="28"/>
        <v>0</v>
      </c>
      <c r="V145" s="32">
        <f t="shared" si="28"/>
        <v>0</v>
      </c>
      <c r="W145" s="32">
        <f t="shared" si="28"/>
        <v>0</v>
      </c>
      <c r="X145" s="32">
        <f t="shared" si="32"/>
        <v>0</v>
      </c>
    </row>
    <row r="146" spans="1:24" ht="19.95" customHeight="1">
      <c r="A146" s="14"/>
      <c r="B146" s="15"/>
      <c r="C146" s="16"/>
      <c r="D146" s="16"/>
      <c r="E146" s="16"/>
      <c r="F146" s="16"/>
      <c r="G146" s="16"/>
      <c r="H146" s="16"/>
      <c r="I146" s="16"/>
      <c r="J146" s="19"/>
      <c r="L146" s="31">
        <f t="shared" si="31"/>
        <v>0</v>
      </c>
      <c r="M146" s="31">
        <f t="shared" si="31"/>
        <v>0</v>
      </c>
      <c r="N146" s="31">
        <f t="shared" si="31"/>
        <v>0</v>
      </c>
      <c r="O146" s="31">
        <f t="shared" si="30"/>
        <v>0</v>
      </c>
      <c r="P146" s="31">
        <f t="shared" si="30"/>
        <v>0</v>
      </c>
      <c r="Q146" s="31">
        <f t="shared" si="30"/>
        <v>0</v>
      </c>
      <c r="R146" s="31">
        <f t="shared" si="29"/>
        <v>0</v>
      </c>
      <c r="S146" s="31">
        <f t="shared" si="29"/>
        <v>0</v>
      </c>
      <c r="T146" s="31">
        <f t="shared" si="29"/>
        <v>0</v>
      </c>
      <c r="U146" s="32">
        <f t="shared" si="28"/>
        <v>0</v>
      </c>
      <c r="V146" s="32">
        <f t="shared" si="28"/>
        <v>0</v>
      </c>
      <c r="W146" s="32">
        <f t="shared" si="28"/>
        <v>0</v>
      </c>
      <c r="X146" s="32">
        <f t="shared" si="32"/>
        <v>0</v>
      </c>
    </row>
    <row r="147" spans="1:24" ht="19.95" customHeight="1">
      <c r="A147" s="14"/>
      <c r="B147" s="15"/>
      <c r="C147" s="16"/>
      <c r="D147" s="16"/>
      <c r="E147" s="16"/>
      <c r="F147" s="16"/>
      <c r="G147" s="16"/>
      <c r="H147" s="16"/>
      <c r="I147" s="16"/>
      <c r="J147" s="19"/>
      <c r="L147" s="31">
        <f t="shared" si="31"/>
        <v>0</v>
      </c>
      <c r="M147" s="31">
        <f t="shared" si="31"/>
        <v>0</v>
      </c>
      <c r="N147" s="31">
        <f t="shared" si="31"/>
        <v>0</v>
      </c>
      <c r="O147" s="31">
        <f t="shared" si="30"/>
        <v>0</v>
      </c>
      <c r="P147" s="31">
        <f t="shared" si="30"/>
        <v>0</v>
      </c>
      <c r="Q147" s="31">
        <f t="shared" si="30"/>
        <v>0</v>
      </c>
      <c r="R147" s="31">
        <f t="shared" si="29"/>
        <v>0</v>
      </c>
      <c r="S147" s="31">
        <f t="shared" si="29"/>
        <v>0</v>
      </c>
      <c r="T147" s="31">
        <f t="shared" si="29"/>
        <v>0</v>
      </c>
      <c r="U147" s="32">
        <f t="shared" si="28"/>
        <v>0</v>
      </c>
      <c r="V147" s="32">
        <f t="shared" si="28"/>
        <v>0</v>
      </c>
      <c r="W147" s="32">
        <f t="shared" si="28"/>
        <v>0</v>
      </c>
      <c r="X147" s="32">
        <f t="shared" si="32"/>
        <v>0</v>
      </c>
    </row>
    <row r="148" spans="1:24" ht="19.95" customHeight="1">
      <c r="A148" s="14"/>
      <c r="B148" s="15"/>
      <c r="C148" s="16"/>
      <c r="D148" s="16"/>
      <c r="E148" s="16"/>
      <c r="F148" s="16"/>
      <c r="G148" s="16"/>
      <c r="H148" s="16"/>
      <c r="I148" s="16"/>
      <c r="J148" s="19"/>
      <c r="L148" s="31">
        <f t="shared" si="31"/>
        <v>0</v>
      </c>
      <c r="M148" s="31">
        <f t="shared" si="31"/>
        <v>0</v>
      </c>
      <c r="N148" s="31">
        <f t="shared" si="31"/>
        <v>0</v>
      </c>
      <c r="O148" s="31">
        <f t="shared" si="30"/>
        <v>0</v>
      </c>
      <c r="P148" s="31">
        <f t="shared" si="30"/>
        <v>0</v>
      </c>
      <c r="Q148" s="31">
        <f t="shared" si="30"/>
        <v>0</v>
      </c>
      <c r="R148" s="31">
        <f t="shared" si="29"/>
        <v>0</v>
      </c>
      <c r="S148" s="31">
        <f t="shared" si="29"/>
        <v>0</v>
      </c>
      <c r="T148" s="31">
        <f t="shared" si="29"/>
        <v>0</v>
      </c>
      <c r="U148" s="32">
        <f t="shared" si="28"/>
        <v>0</v>
      </c>
      <c r="V148" s="32">
        <f t="shared" si="28"/>
        <v>0</v>
      </c>
      <c r="W148" s="32">
        <f t="shared" si="28"/>
        <v>0</v>
      </c>
      <c r="X148" s="32">
        <f t="shared" si="32"/>
        <v>0</v>
      </c>
    </row>
    <row r="149" spans="1:24" ht="19.95" customHeight="1">
      <c r="A149" s="14"/>
      <c r="B149" s="15"/>
      <c r="C149" s="16"/>
      <c r="D149" s="16"/>
      <c r="E149" s="16"/>
      <c r="F149" s="16"/>
      <c r="G149" s="16"/>
      <c r="H149" s="16"/>
      <c r="I149" s="16"/>
      <c r="J149" s="19"/>
      <c r="L149" s="31">
        <f t="shared" si="31"/>
        <v>0</v>
      </c>
      <c r="M149" s="31">
        <f t="shared" si="31"/>
        <v>0</v>
      </c>
      <c r="N149" s="31">
        <f t="shared" si="31"/>
        <v>0</v>
      </c>
      <c r="O149" s="31">
        <f t="shared" si="30"/>
        <v>0</v>
      </c>
      <c r="P149" s="31">
        <f t="shared" si="30"/>
        <v>0</v>
      </c>
      <c r="Q149" s="31">
        <f t="shared" si="30"/>
        <v>0</v>
      </c>
      <c r="R149" s="31">
        <f t="shared" si="29"/>
        <v>0</v>
      </c>
      <c r="S149" s="31">
        <f t="shared" si="29"/>
        <v>0</v>
      </c>
      <c r="T149" s="31">
        <f t="shared" si="29"/>
        <v>0</v>
      </c>
      <c r="U149" s="32">
        <f t="shared" si="28"/>
        <v>0</v>
      </c>
      <c r="V149" s="32">
        <f t="shared" si="28"/>
        <v>0</v>
      </c>
      <c r="W149" s="32">
        <f t="shared" si="28"/>
        <v>0</v>
      </c>
      <c r="X149" s="32">
        <f t="shared" si="32"/>
        <v>0</v>
      </c>
    </row>
    <row r="150" spans="1:24" ht="19.95" customHeight="1">
      <c r="A150" s="14"/>
      <c r="B150" s="15"/>
      <c r="C150" s="16"/>
      <c r="D150" s="16"/>
      <c r="E150" s="16"/>
      <c r="F150" s="16"/>
      <c r="G150" s="16"/>
      <c r="H150" s="16"/>
      <c r="I150" s="16"/>
      <c r="J150" s="19"/>
      <c r="L150" s="31">
        <f t="shared" si="31"/>
        <v>0</v>
      </c>
      <c r="M150" s="31">
        <f t="shared" si="31"/>
        <v>0</v>
      </c>
      <c r="N150" s="31">
        <f t="shared" si="31"/>
        <v>0</v>
      </c>
      <c r="O150" s="31">
        <f t="shared" si="30"/>
        <v>0</v>
      </c>
      <c r="P150" s="31">
        <f t="shared" si="30"/>
        <v>0</v>
      </c>
      <c r="Q150" s="31">
        <f t="shared" si="30"/>
        <v>0</v>
      </c>
      <c r="R150" s="31">
        <f t="shared" si="29"/>
        <v>0</v>
      </c>
      <c r="S150" s="31">
        <f t="shared" si="29"/>
        <v>0</v>
      </c>
      <c r="T150" s="31">
        <f t="shared" si="29"/>
        <v>0</v>
      </c>
      <c r="U150" s="32">
        <f t="shared" si="28"/>
        <v>0</v>
      </c>
      <c r="V150" s="32">
        <f t="shared" si="28"/>
        <v>0</v>
      </c>
      <c r="W150" s="32">
        <f t="shared" si="28"/>
        <v>0</v>
      </c>
      <c r="X150" s="32">
        <f t="shared" si="32"/>
        <v>0</v>
      </c>
    </row>
    <row r="151" spans="1:24" ht="19.95" customHeight="1">
      <c r="A151" s="14"/>
      <c r="B151" s="15"/>
      <c r="C151" s="16"/>
      <c r="D151" s="16"/>
      <c r="E151" s="16"/>
      <c r="F151" s="16"/>
      <c r="G151" s="16"/>
      <c r="H151" s="16"/>
      <c r="I151" s="16"/>
      <c r="J151" s="19"/>
      <c r="L151" s="31">
        <f t="shared" si="31"/>
        <v>0</v>
      </c>
      <c r="M151" s="31">
        <f t="shared" si="31"/>
        <v>0</v>
      </c>
      <c r="N151" s="31">
        <f t="shared" si="31"/>
        <v>0</v>
      </c>
      <c r="O151" s="31">
        <f t="shared" si="30"/>
        <v>0</v>
      </c>
      <c r="P151" s="31">
        <f t="shared" si="30"/>
        <v>0</v>
      </c>
      <c r="Q151" s="31">
        <f t="shared" si="30"/>
        <v>0</v>
      </c>
      <c r="R151" s="31">
        <f t="shared" si="29"/>
        <v>0</v>
      </c>
      <c r="S151" s="31">
        <f t="shared" si="29"/>
        <v>0</v>
      </c>
      <c r="T151" s="31">
        <f t="shared" si="29"/>
        <v>0</v>
      </c>
      <c r="U151" s="32">
        <f t="shared" si="28"/>
        <v>0</v>
      </c>
      <c r="V151" s="32">
        <f t="shared" si="28"/>
        <v>0</v>
      </c>
      <c r="W151" s="32">
        <f t="shared" si="28"/>
        <v>0</v>
      </c>
      <c r="X151" s="32">
        <f t="shared" si="32"/>
        <v>0</v>
      </c>
    </row>
    <row r="152" spans="1:24" ht="16.8" customHeight="1">
      <c r="A152" s="14"/>
      <c r="B152" s="15"/>
      <c r="C152" s="16"/>
      <c r="D152" s="16"/>
      <c r="E152" s="16"/>
      <c r="F152" s="16"/>
      <c r="G152" s="16"/>
      <c r="H152" s="16"/>
      <c r="I152" s="16"/>
      <c r="J152" s="19"/>
      <c r="L152" s="20"/>
      <c r="M152" s="20"/>
      <c r="N152" s="20"/>
      <c r="O152" s="20"/>
      <c r="P152" s="20"/>
      <c r="Q152" s="20"/>
      <c r="R152" s="20"/>
      <c r="S152" s="20"/>
      <c r="T152" s="20"/>
      <c r="U152" s="21">
        <f t="shared" ref="U152:W152" si="33">L152+Q152</f>
        <v>0</v>
      </c>
      <c r="V152" s="21">
        <f t="shared" si="33"/>
        <v>0</v>
      </c>
      <c r="W152" s="21">
        <f t="shared" si="33"/>
        <v>0</v>
      </c>
      <c r="X152" s="21">
        <f t="shared" si="32"/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Freon Meter reading</vt:lpstr>
      <vt:lpstr>Freon Meter reading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Rituraj Changmai</dc:creator>
  <cp:lastModifiedBy>Rituraj Changmai</cp:lastModifiedBy>
  <dcterms:created xsi:type="dcterms:W3CDTF">2026-06-30T09:32:03Z</dcterms:created>
  <dcterms:modified xsi:type="dcterms:W3CDTF">2026-10-27T06:07:25Z</dcterms:modified>
</cp:coreProperties>
</file>