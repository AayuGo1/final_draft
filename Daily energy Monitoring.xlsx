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V36" i="3" s="1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X36" i="3" l="1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<sst xmlns="http://schemas.openxmlformats.org/spreadsheetml/2006/main" count="578" uniqueCount="257">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</sst>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workbookViewId="0">
      <pane xSplit="1" ySplit="2" topLeftCell="FM21" activePane="bottomRight" state="frozen"/>
      <selection pane="topRight" activeCell="B1" sqref="B1"/>
      <selection pane="bottomLeft" activeCell="A3" sqref="A3"/>
      <selection pane="bottomRight" activeCell="GC28" sqref="GC28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-11926200</v>
      </c>
      <c r="DJ30">
        <f>(DA31-Table2[[#This Row],[PNG Meter (Outside)]])*2.936</f>
        <v>-55619.936319999993</v>
      </c>
      <c r="DK30">
        <f>(DB31-Table2[[#This Row],[PNG Meter (Inside)]])*2.936</f>
        <v>-438546.79973600002</v>
      </c>
      <c r="DL30">
        <f>(BH31-Table2[[#This Row],[3F Dough cooler - 2 ]])*1000</f>
        <v>-361080</v>
      </c>
      <c r="DM30">
        <f>(BI31-Table2[[#This Row],[3F Dough Cooler- 1]])*1000</f>
        <v>-910867</v>
      </c>
      <c r="DN30">
        <f>(BJ31-Table2[[#This Row],[4F Dough Production cooling Unit]])*1000</f>
        <v>-14181</v>
      </c>
      <c r="DO30">
        <f>(BQ31-Table2[[#This Row],[3F2 - PDB 3 - Dough Production Area]])*1000</f>
        <v>-323341</v>
      </c>
      <c r="DP30">
        <f>(BR31-Table2[[#This Row],[3F3 - PDB 4 - Dough Area]])*1000</f>
        <v>-180163</v>
      </c>
      <c r="DQ30">
        <f>AC31-Table2[[#This Row],[16F1 Tray washer Panel for Light]]</f>
        <v>-2131827.04</v>
      </c>
      <c r="DR30">
        <f>CQ31-Table2[[#This Row],[2F1 Tray Washer - 1]]</f>
        <v>-3674427.52</v>
      </c>
      <c r="DS30">
        <f>CS31-Table2[[#This Row],[2F5 Destacker]]</f>
        <v>-511949.984</v>
      </c>
      <c r="DT30">
        <f>CU31-Table2[[#This Row],[5F1 Metering (TW-2)]]</f>
        <v>-296590.36200000002</v>
      </c>
      <c r="DU30">
        <f>CV31-Table2[[#This Row],[6F1 Pre soaker Tray washer]]</f>
        <v>-30129.257600000001</v>
      </c>
      <c r="DV30">
        <f>CZ31-Table2[[#This Row],[6F5 Vent tray Storage]]</f>
        <v>-217389.63200000001</v>
      </c>
      <c r="DW30">
        <f>I31-Table2[[#This Row],[Popeyes Meter ]]</f>
        <v>-6250.8119999999999</v>
      </c>
      <c r="DX30">
        <f>AZ31-Table2[[#This Row],[2F WH Chiller, Segregation Area]]</f>
        <v>-20.788</v>
      </c>
      <c r="DY30">
        <f>BA31-Table2[[#This Row],[3F1 AC Unit WH dock cooling - 2 Nos]]</f>
        <v>-10201</v>
      </c>
      <c r="DZ30">
        <f>BB31-Table2[[#This Row],[3F2 AC Unit WH dock cooling - 3 Nos]]</f>
        <v>-44.386000000000003</v>
      </c>
      <c r="EA30">
        <f>(BK31-Table2[[#This Row],[5F WH Perishable]])*1000</f>
        <v>-561592</v>
      </c>
      <c r="EB30">
        <f>BN31-Table2[[#This Row],[2F3 - PDB 9 - WH Dock Leveler Door ]]</f>
        <v>-7171.4831999999997</v>
      </c>
      <c r="EC30">
        <f>BP31-Table2[[#This Row],[3F1 - PDB 5 - WH HSD]]</f>
        <v>-313282.52799999999</v>
      </c>
      <c r="ED30">
        <f>BX31-Table2[[#This Row],[8F1 WH Dock AHU - Ventilation]]</f>
        <v>-976801.4</v>
      </c>
      <c r="EE30">
        <f>BZ31-Table2[[#This Row],[8F3 ACPDB - 4 WH Dock air curtain]]</f>
        <v>-114307.976</v>
      </c>
      <c r="EF30">
        <f>CA31-Table2[[#This Row],[8F4 WH Light]]</f>
        <v>-1220.4342999999999</v>
      </c>
      <c r="EG30">
        <f>CC31-Table2[[#This Row],[9F1 - PDB 10 - WH Dock door &amp; Office]]</f>
        <v>-149689.872</v>
      </c>
      <c r="EH30">
        <f>CD31-Table2[[#This Row],[9F2 - PDB 11 - WH flycatchers]]</f>
        <v>-444837.63199999998</v>
      </c>
      <c r="EI30">
        <f>CE31-Table2[[#This Row],[9F3 - PDB 12 - Other items]]</f>
        <v>-49125.260799999996</v>
      </c>
      <c r="EJ30">
        <f>CR31-Table2[[#This Row],[2F3 - PDB 1 - Dock 1 to 4 ]]</f>
        <v>-130624.912</v>
      </c>
      <c r="EK30">
        <f>BM31-Table2[[#This Row],[2F2 - PDB 3 - WH Truck &amp; Battery Charging]]</f>
        <v>-305035.712</v>
      </c>
      <c r="EL30">
        <f>(CK31-Table2[[#This Row],[PDB - 11 Truck Charging]])*1000</f>
        <v>-77662</v>
      </c>
      <c r="EM30">
        <f>P31-Table2[[#This Row],[5F3 Admin Area]]</f>
        <v>-642012.16000000003</v>
      </c>
      <c r="EN30">
        <f>AH31-Table2[[#This Row],[2F5 Main Gate-1 Piller -1]]</f>
        <v>-132358.34400000001</v>
      </c>
      <c r="EO30">
        <f>CW31-Table2[[#This Row],[6F2 Ground Floor AC]]</f>
        <v>-62657.4208</v>
      </c>
      <c r="EP30">
        <f>CX31-Table2[[#This Row],[6F3 ACBD -1 (First floor AC)]]</f>
        <v>-33415.350400000003</v>
      </c>
      <c r="EQ30">
        <f>CY31-Table2[[#This Row],[6F4 ACBD - 2 (Second &amp; Third floor AC)]]</f>
        <v>-166880.51199999999</v>
      </c>
      <c r="ER30">
        <f>(BC31-Table2[[#This Row],[4F Old BMC cooling Unit]])</f>
        <v>-113988.60799999999</v>
      </c>
      <c r="ES30">
        <f>BO31-Table2[[#This Row],[2F4 - Old BMC]]</f>
        <v>-53539.731200000002</v>
      </c>
      <c r="ET30">
        <f>Y31-Table2[[#This Row],[14F2 New CK]]</f>
        <v>-1080225.8400000001</v>
      </c>
      <c r="EU30">
        <f>(CL31-Table2[[#This Row],[OLD Ck Panel-1]])*1000</f>
        <v>-730017</v>
      </c>
      <c r="EV30">
        <f>CM31-Table2[[#This Row],[2F4 Old CK Blast (Blue star)]]</f>
        <v>-551.4</v>
      </c>
      <c r="EW30">
        <f>CN31-Table2[[#This Row],[3F6 Old CK Blast (Carrier)]]</f>
        <v>-42336</v>
      </c>
      <c r="EX30">
        <f>(CO31-Table2[[#This Row],[Old CK Panel -2]])*1000</f>
        <v>-1645261</v>
      </c>
      <c r="EY30">
        <f>N31-Table2[[#This Row],[4F1 Main UPS 1/C -1]]</f>
        <v>-1859609.44</v>
      </c>
      <c r="EZ30">
        <f>Z31-Table2[[#This Row],[15F1 Main UPS Panel - I/C - 2]]</f>
        <v>-2777.8894</v>
      </c>
      <c r="FA30">
        <f>BF31-Table2[[#This Row],[2F CLC -1 AC unit - 2]]</f>
        <v>-1712.0419999999999</v>
      </c>
      <c r="FB30">
        <f>(BG31-Table2[[#This Row],[2F CLC Anti room]])*1000</f>
        <v>-74735</v>
      </c>
      <c r="FC30">
        <f>BW31-Table2[[#This Row],[7F3 CLC Power Panel]]</f>
        <v>-566406.14399999997</v>
      </c>
      <c r="FD30">
        <f>(CI31-Table2[[#This Row],[PDB - 17 CLC Section ]])*1000</f>
        <v>-213112</v>
      </c>
      <c r="FE30">
        <f>(W31-Table2[[#This Row],[13F3 Water &amp; Lift Old CK]])*1000</f>
        <v>-1586757.1</v>
      </c>
      <c r="FF30">
        <f>AA31-Table2[[#This Row],[15F2 New ETP Panel]]</f>
        <v>-665797.88800000004</v>
      </c>
      <c r="FG30">
        <f>AL31-Table2[[#This Row],[3F4 Old ETP Panel]]</f>
        <v>-329873.08</v>
      </c>
      <c r="FH30">
        <f>AF31-Table2[[#This Row],[2F1 RO Plant]]</f>
        <v>-870120.83100000001</v>
      </c>
      <c r="FI30">
        <f>AK31-Table2[[#This Row],[3F3 Fire Hydrant Panel]]</f>
        <v>-105116.272</v>
      </c>
      <c r="FJ30">
        <f>R31-Table2[[#This Row],[7F1 Freon System Panel]]</f>
        <v>-5483464.3200000003</v>
      </c>
      <c r="FK30">
        <f>(AE31-Table2[[#This Row],[21F1 Refrigeration Ammonia]])*1000</f>
        <v>-12739744.800000001</v>
      </c>
      <c r="FL30">
        <f>(AG31-Table2[[#This Row],[2F3 Air Compressor]])*1000</f>
        <v>-1387605</v>
      </c>
      <c r="FM30">
        <f>(AX31-Table2[[#This Row],[Solar Reading Panel II]])*1000</f>
        <v>-7214277</v>
      </c>
      <c r="FN30">
        <f>AI31-Table2[[#This Row],[3F1 Maintenance Workshop]]</f>
        <v>-14582.099200000001</v>
      </c>
      <c r="FO30">
        <f>BD31-Table2[[#This Row],[4F B2B unit ]]</f>
        <v>-275374.11200000002</v>
      </c>
      <c r="FP30">
        <f>BL31-Table2[[#This Row],[2F1 - PDB 6 - Bread, B2B section]]</f>
        <v>-70876.249599999996</v>
      </c>
      <c r="FQ30">
        <f>(CG31-Table2[[#This Row],[9F5 - PDB 14 - Bread Lift]])</f>
        <v>-360803.0944</v>
      </c>
      <c r="FR30">
        <f>CJ31-Table2[[#This Row],[PDB - 16 Bread Section]]</f>
        <v>-1186.4000000000001</v>
      </c>
      <c r="FS30">
        <f>BU31-Table2[[#This Row],[7F1 Donut Production area]]</f>
        <v>-627357.82400000002</v>
      </c>
      <c r="FT30">
        <f>CB31-Table2[[#This Row],[8F5 Donut Ban Bary]]</f>
        <v>-108262.224</v>
      </c>
      <c r="FU30">
        <f>CF31-Table2[[#This Row],[9F4 - PDB 13 - Donut Sink Geyser area]]</f>
        <v>-155677.152</v>
      </c>
      <c r="FV30">
        <f>BV31-Table2[[#This Row],[7F2 Flour Silo]]</f>
        <v>-1017933.28</v>
      </c>
      <c r="FW30">
        <f>BY31-Table2[[#This Row],[8F2 ACPDB - 3 SILO Ventilation]]</f>
        <v>-157287.84</v>
      </c>
      <c r="FX30">
        <f>J31-Table2[[#This Row],[DG 1010KVA Running Hours]]</f>
        <v>-4269.5</v>
      </c>
      <c r="FY30">
        <f>K31-Table2[[#This Row],[DG 1010 KVA Meter Reading]]</f>
        <v>-1775990</v>
      </c>
      <c r="FZ30">
        <f>L31-Table2[[#This Row],[GG 1010 KVA Running Hours]]</f>
        <v>-451</v>
      </c>
      <c r="GA30">
        <f>M31-Table2[[#This Row],[GG 1010 KVA Meter Reading]]</f>
        <v>-189.99</v>
      </c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>
        <f>Table2[[#This Row],[Date]]</f>
        <v>0</v>
      </c>
      <c r="DI31">
        <f>(DD32-Table2[[#This Row],[MWH Total]])*4000</f>
        <v>0</v>
      </c>
      <c r="DJ31">
        <f>(DA32-Table2[[#This Row],[PNG Meter (Outside)]])*2.936</f>
        <v>0</v>
      </c>
      <c r="DK31">
        <f>(DB32-Table2[[#This Row],[PNG Meter (Inside)]])*2.936</f>
        <v>0</v>
      </c>
      <c r="DL31">
        <f>(BH32-Table2[[#This Row],[3F Dough cooler - 2 ]])*1000</f>
        <v>0</v>
      </c>
      <c r="DM31">
        <f>(BI32-Table2[[#This Row],[3F Dough Cooler- 1]])*1000</f>
        <v>0</v>
      </c>
      <c r="DN31">
        <f>(BJ32-Table2[[#This Row],[4F Dough Production cooling Unit]])*1000</f>
        <v>0</v>
      </c>
      <c r="DO31">
        <f>(BQ32-Table2[[#This Row],[3F2 - PDB 3 - Dough Production Area]])*1000</f>
        <v>0</v>
      </c>
      <c r="DP31">
        <f>(BR32-Table2[[#This Row],[3F3 - PDB 4 - Dough Area]])*1000</f>
        <v>0</v>
      </c>
      <c r="DQ31">
        <f>AC32-Table2[[#This Row],[16F1 Tray washer Panel for Light]]</f>
        <v>0</v>
      </c>
      <c r="DR31">
        <f>CQ32-Table2[[#This Row],[2F1 Tray Washer - 1]]</f>
        <v>0</v>
      </c>
      <c r="DS31">
        <f>CS32-Table2[[#This Row],[2F5 Destacker]]</f>
        <v>0</v>
      </c>
      <c r="DT31">
        <f>CU32-Table2[[#This Row],[5F1 Metering (TW-2)]]</f>
        <v>0</v>
      </c>
      <c r="DU31">
        <f>CV32-Table2[[#This Row],[6F1 Pre soaker Tray washer]]</f>
        <v>0</v>
      </c>
      <c r="DV31">
        <f>CZ32-Table2[[#This Row],[6F5 Vent tray Storage]]</f>
        <v>0</v>
      </c>
      <c r="DW31">
        <f>I32-Table2[[#This Row],[Popeyes Meter ]]</f>
        <v>0</v>
      </c>
      <c r="DX31">
        <f>AZ32-Table2[[#This Row],[2F WH Chiller, Segregation Area]]</f>
        <v>0</v>
      </c>
      <c r="DY31">
        <f>BA32-Table2[[#This Row],[3F1 AC Unit WH dock cooling - 2 Nos]]</f>
        <v>0</v>
      </c>
      <c r="DZ31">
        <f>BB32-Table2[[#This Row],[3F2 AC Unit WH dock cooling - 3 Nos]]</f>
        <v>0</v>
      </c>
      <c r="EA31">
        <f>(BK32-Table2[[#This Row],[5F WH Perishable]])*1000</f>
        <v>0</v>
      </c>
      <c r="EB31">
        <f>BN32-Table2[[#This Row],[2F3 - PDB 9 - WH Dock Leveler Door ]]</f>
        <v>0</v>
      </c>
      <c r="EC31">
        <f>BP32-Table2[[#This Row],[3F1 - PDB 5 - WH HSD]]</f>
        <v>0</v>
      </c>
      <c r="ED31">
        <f>BX32-Table2[[#This Row],[8F1 WH Dock AHU - Ventilation]]</f>
        <v>0</v>
      </c>
      <c r="EE31">
        <f>BZ32-Table2[[#This Row],[8F3 ACPDB - 4 WH Dock air curtain]]</f>
        <v>0</v>
      </c>
      <c r="EF31">
        <f>CA32-Table2[[#This Row],[8F4 WH Light]]</f>
        <v>0</v>
      </c>
      <c r="EG31">
        <f>CC32-Table2[[#This Row],[9F1 - PDB 10 - WH Dock door &amp; Office]]</f>
        <v>0</v>
      </c>
      <c r="EH31">
        <f>CD32-Table2[[#This Row],[9F2 - PDB 11 - WH flycatchers]]</f>
        <v>0</v>
      </c>
      <c r="EI31">
        <f>CE32-Table2[[#This Row],[9F3 - PDB 12 - Other items]]</f>
        <v>0</v>
      </c>
      <c r="EJ31">
        <f>CR32-Table2[[#This Row],[2F3 - PDB 1 - Dock 1 to 4 ]]</f>
        <v>0</v>
      </c>
      <c r="EK31">
        <f>BM32-Table2[[#This Row],[2F2 - PDB 3 - WH Truck &amp; Battery Charging]]</f>
        <v>0</v>
      </c>
      <c r="EL31">
        <f>(CK32-Table2[[#This Row],[PDB - 11 Truck Charging]])*1000</f>
        <v>0</v>
      </c>
      <c r="EM31">
        <f>P32-Table2[[#This Row],[5F3 Admin Area]]</f>
        <v>0</v>
      </c>
      <c r="EN31">
        <f>AH32-Table2[[#This Row],[2F5 Main Gate-1 Piller -1]]</f>
        <v>0</v>
      </c>
      <c r="EO31">
        <f>CW32-Table2[[#This Row],[6F2 Ground Floor AC]]</f>
        <v>0</v>
      </c>
      <c r="EP31">
        <f>CX32-Table2[[#This Row],[6F3 ACBD -1 (First floor AC)]]</f>
        <v>0</v>
      </c>
      <c r="EQ31">
        <f>CY32-Table2[[#This Row],[6F4 ACBD - 2 (Second &amp; Third floor AC)]]</f>
        <v>0</v>
      </c>
      <c r="ER31">
        <f>(BC32-Table2[[#This Row],[4F Old BMC cooling Unit]])</f>
        <v>0</v>
      </c>
      <c r="ES31">
        <f>BO32-Table2[[#This Row],[2F4 - Old BMC]]</f>
        <v>0</v>
      </c>
      <c r="ET31">
        <f>Y32-Table2[[#This Row],[14F2 New CK]]</f>
        <v>0</v>
      </c>
      <c r="EU31">
        <f>(CL32-Table2[[#This Row],[OLD Ck Panel-1]])*1000</f>
        <v>0</v>
      </c>
      <c r="EV31">
        <f>CM32-Table2[[#This Row],[2F4 Old CK Blast (Blue star)]]</f>
        <v>0</v>
      </c>
      <c r="EW31">
        <f>CN32-Table2[[#This Row],[3F6 Old CK Blast (Carrier)]]</f>
        <v>0</v>
      </c>
      <c r="EX31">
        <f>(CO32-Table2[[#This Row],[Old CK Panel -2]])*1000</f>
        <v>0</v>
      </c>
      <c r="EY31">
        <f>N32-Table2[[#This Row],[4F1 Main UPS 1/C -1]]</f>
        <v>0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0</v>
      </c>
      <c r="FC31">
        <f>BW32-Table2[[#This Row],[7F3 CLC Power Panel]]</f>
        <v>0</v>
      </c>
      <c r="FD31">
        <f>(CI32-Table2[[#This Row],[PDB - 17 CLC Section ]])*1000</f>
        <v>0</v>
      </c>
      <c r="FE31">
        <f>(W32-Table2[[#This Row],[13F3 Water &amp; Lift Old CK]])*1000</f>
        <v>0</v>
      </c>
      <c r="FF31">
        <f>AA32-Table2[[#This Row],[15F2 New ETP Panel]]</f>
        <v>0</v>
      </c>
      <c r="FG31">
        <f>AL32-Table2[[#This Row],[3F4 Old ETP Panel]]</f>
        <v>0</v>
      </c>
      <c r="FH31">
        <f>AF32-Table2[[#This Row],[2F1 RO Plant]]</f>
        <v>0</v>
      </c>
      <c r="FI31">
        <f>AK32-Table2[[#This Row],[3F3 Fire Hydrant Panel]]</f>
        <v>0</v>
      </c>
      <c r="FJ31">
        <f>R32-Table2[[#This Row],[7F1 Freon System Panel]]</f>
        <v>0</v>
      </c>
      <c r="FK31">
        <f>(AE32-Table2[[#This Row],[21F1 Refrigeration Ammonia]])*1000</f>
        <v>0</v>
      </c>
      <c r="FL31">
        <f>(AG32-Table2[[#This Row],[2F3 Air Compressor]])*1000</f>
        <v>0</v>
      </c>
      <c r="FM31">
        <f>(AX32-Table2[[#This Row],[Solar Reading Panel II]])*1000</f>
        <v>0</v>
      </c>
      <c r="FN31">
        <f>AI32-Table2[[#This Row],[3F1 Maintenance Workshop]]</f>
        <v>0</v>
      </c>
      <c r="FO31">
        <f>BD32-Table2[[#This Row],[4F B2B unit ]]</f>
        <v>0</v>
      </c>
      <c r="FP31">
        <f>BL32-Table2[[#This Row],[2F1 - PDB 6 - Bread, B2B section]]</f>
        <v>0</v>
      </c>
      <c r="FQ31">
        <f>(CG32-Table2[[#This Row],[9F5 - PDB 14 - Bread Lift]])</f>
        <v>0</v>
      </c>
      <c r="FR31">
        <f>CJ32-Table2[[#This Row],[PDB - 16 Bread Section]]</f>
        <v>0</v>
      </c>
      <c r="FS31">
        <f>BU32-Table2[[#This Row],[7F1 Donut Production area]]</f>
        <v>0</v>
      </c>
      <c r="FT31">
        <f>CB32-Table2[[#This Row],[8F5 Donut Ban Bary]]</f>
        <v>0</v>
      </c>
      <c r="FU31">
        <f>CF32-Table2[[#This Row],[9F4 - PDB 13 - Donut Sink Geyser area]]</f>
        <v>0</v>
      </c>
      <c r="FV31">
        <f>BV32-Table2[[#This Row],[7F2 Flour Silo]]</f>
        <v>0</v>
      </c>
      <c r="FW31">
        <f>BY32-Table2[[#This Row],[8F2 ACPDB - 3 SILO Ventilation]]</f>
        <v>0</v>
      </c>
      <c r="FX31">
        <f>J32-Table2[[#This Row],[DG 1010KVA Running Hours]]</f>
        <v>0</v>
      </c>
      <c r="FY31">
        <f>K32-Table2[[#This Row],[DG 1010 KVA Meter Reading]]</f>
        <v>0</v>
      </c>
      <c r="FZ31">
        <f>L32-Table2[[#This Row],[GG 1010 KVA Running Hours]]</f>
        <v>0</v>
      </c>
      <c r="GA31">
        <f>M32-Table2[[#This Row],[GG 1010 KVA Meter Reading]]</f>
        <v>0</v>
      </c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>
        <f>Table2[[#This Row],[Date]]</f>
        <v>0</v>
      </c>
      <c r="DI32">
        <f>(DD33-Table2[[#This Row],[MWH Total]])*4000</f>
        <v>0</v>
      </c>
      <c r="DJ32">
        <f>(DA33-Table2[[#This Row],[PNG Meter (Outside)]])*2.936</f>
        <v>0</v>
      </c>
      <c r="DK32">
        <f>(DB33-Table2[[#This Row],[PNG Meter (Inside)]])*2.936</f>
        <v>0</v>
      </c>
      <c r="DL32">
        <f>(BH33-Table2[[#This Row],[3F Dough cooler - 2 ]])*1000</f>
        <v>0</v>
      </c>
      <c r="DM32">
        <f>(BI33-Table2[[#This Row],[3F Dough Cooler- 1]])*1000</f>
        <v>0</v>
      </c>
      <c r="DN32">
        <f>(BJ33-Table2[[#This Row],[4F Dough Production cooling Unit]])*1000</f>
        <v>0</v>
      </c>
      <c r="DO32">
        <f>(BQ33-Table2[[#This Row],[3F2 - PDB 3 - Dough Production Area]])*1000</f>
        <v>0</v>
      </c>
      <c r="DP32">
        <f>(BR33-Table2[[#This Row],[3F3 - PDB 4 - Dough Area]])*1000</f>
        <v>0</v>
      </c>
      <c r="DQ32">
        <f>AC33-Table2[[#This Row],[16F1 Tray washer Panel for Light]]</f>
        <v>0</v>
      </c>
      <c r="DR32">
        <f>CQ33-Table2[[#This Row],[2F1 Tray Washer - 1]]</f>
        <v>0</v>
      </c>
      <c r="DS32">
        <f>CS33-Table2[[#This Row],[2F5 Destacker]]</f>
        <v>0</v>
      </c>
      <c r="DT32">
        <f>CU33-Table2[[#This Row],[5F1 Metering (TW-2)]]</f>
        <v>0</v>
      </c>
      <c r="DU32">
        <f>CV33-Table2[[#This Row],[6F1 Pre soaker Tray washer]]</f>
        <v>0</v>
      </c>
      <c r="DV32">
        <f>CZ33-Table2[[#This Row],[6F5 Vent tray Storage]]</f>
        <v>0</v>
      </c>
      <c r="DW32">
        <f>I33-Table2[[#This Row],[Popeyes Meter ]]</f>
        <v>0</v>
      </c>
      <c r="DX32">
        <f>AZ33-Table2[[#This Row],[2F WH Chiller, Segregation Area]]</f>
        <v>0</v>
      </c>
      <c r="DY32">
        <f>BA33-Table2[[#This Row],[3F1 AC Unit WH dock cooling - 2 Nos]]</f>
        <v>0</v>
      </c>
      <c r="DZ32">
        <f>BB33-Table2[[#This Row],[3F2 AC Unit WH dock cooling - 3 Nos]]</f>
        <v>0</v>
      </c>
      <c r="EA32">
        <f>(BK33-Table2[[#This Row],[5F WH Perishable]])*1000</f>
        <v>0</v>
      </c>
      <c r="EB32">
        <f>BN33-Table2[[#This Row],[2F3 - PDB 9 - WH Dock Leveler Door ]]</f>
        <v>0</v>
      </c>
      <c r="EC32">
        <f>BP33-Table2[[#This Row],[3F1 - PDB 5 - WH HSD]]</f>
        <v>0</v>
      </c>
      <c r="ED32">
        <f>BX33-Table2[[#This Row],[8F1 WH Dock AHU - Ventilation]]</f>
        <v>0</v>
      </c>
      <c r="EE32">
        <f>BZ33-Table2[[#This Row],[8F3 ACPDB - 4 WH Dock air curtain]]</f>
        <v>0</v>
      </c>
      <c r="EF32">
        <f>CA33-Table2[[#This Row],[8F4 WH Light]]</f>
        <v>0</v>
      </c>
      <c r="EG32">
        <f>CC33-Table2[[#This Row],[9F1 - PDB 10 - WH Dock door &amp; Office]]</f>
        <v>0</v>
      </c>
      <c r="EH32">
        <f>CD33-Table2[[#This Row],[9F2 - PDB 11 - WH flycatchers]]</f>
        <v>0</v>
      </c>
      <c r="EI32">
        <f>CE33-Table2[[#This Row],[9F3 - PDB 12 - Other items]]</f>
        <v>0</v>
      </c>
      <c r="EJ32">
        <f>CR33-Table2[[#This Row],[2F3 - PDB 1 - Dock 1 to 4 ]]</f>
        <v>0</v>
      </c>
      <c r="EK32">
        <f>BM33-Table2[[#This Row],[2F2 - PDB 3 - WH Truck &amp; Battery Charging]]</f>
        <v>0</v>
      </c>
      <c r="EL32">
        <f>(CK33-Table2[[#This Row],[PDB - 11 Truck Charging]])*1000</f>
        <v>0</v>
      </c>
      <c r="EM32">
        <f>P33-Table2[[#This Row],[5F3 Admin Area]]</f>
        <v>0</v>
      </c>
      <c r="EN32">
        <f>AH33-Table2[[#This Row],[2F5 Main Gate-1 Piller -1]]</f>
        <v>0</v>
      </c>
      <c r="EO32">
        <f>CW33-Table2[[#This Row],[6F2 Ground Floor AC]]</f>
        <v>0</v>
      </c>
      <c r="EP32">
        <f>CX33-Table2[[#This Row],[6F3 ACBD -1 (First floor AC)]]</f>
        <v>0</v>
      </c>
      <c r="EQ32">
        <f>CY33-Table2[[#This Row],[6F4 ACBD - 2 (Second &amp; Third floor AC)]]</f>
        <v>0</v>
      </c>
      <c r="ER32">
        <f>(BC33-Table2[[#This Row],[4F Old BMC cooling Unit]])</f>
        <v>0</v>
      </c>
      <c r="ES32">
        <f>BO33-Table2[[#This Row],[2F4 - Old BMC]]</f>
        <v>0</v>
      </c>
      <c r="ET32">
        <f>Y33-Table2[[#This Row],[14F2 New CK]]</f>
        <v>0</v>
      </c>
      <c r="EU32">
        <f>(CL33-Table2[[#This Row],[OLD Ck Panel-1]])*1000</f>
        <v>0</v>
      </c>
      <c r="EV32">
        <f>CM33-Table2[[#This Row],[2F4 Old CK Blast (Blue star)]]</f>
        <v>0</v>
      </c>
      <c r="EW32">
        <f>CN33-Table2[[#This Row],[3F6 Old CK Blast (Carrier)]]</f>
        <v>0</v>
      </c>
      <c r="EX32">
        <f>(CO33-Table2[[#This Row],[Old CK Panel -2]])*1000</f>
        <v>0</v>
      </c>
      <c r="EY32">
        <f>N33-Table2[[#This Row],[4F1 Main UPS 1/C -1]]</f>
        <v>0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0</v>
      </c>
      <c r="FC32">
        <f>BW33-Table2[[#This Row],[7F3 CLC Power Panel]]</f>
        <v>0</v>
      </c>
      <c r="FD32">
        <f>(CI33-Table2[[#This Row],[PDB - 17 CLC Section ]])*1000</f>
        <v>0</v>
      </c>
      <c r="FE32">
        <f>(W33-Table2[[#This Row],[13F3 Water &amp; Lift Old CK]])*1000</f>
        <v>0</v>
      </c>
      <c r="FF32">
        <f>AA33-Table2[[#This Row],[15F2 New ETP Panel]]</f>
        <v>0</v>
      </c>
      <c r="FG32">
        <f>AL33-Table2[[#This Row],[3F4 Old ETP Panel]]</f>
        <v>0</v>
      </c>
      <c r="FH32">
        <f>AF33-Table2[[#This Row],[2F1 RO Plant]]</f>
        <v>0</v>
      </c>
      <c r="FI32">
        <f>AK33-Table2[[#This Row],[3F3 Fire Hydrant Panel]]</f>
        <v>0</v>
      </c>
      <c r="FJ32">
        <f>R33-Table2[[#This Row],[7F1 Freon System Panel]]</f>
        <v>0</v>
      </c>
      <c r="FK32">
        <f>(AE33-Table2[[#This Row],[21F1 Refrigeration Ammonia]])*1000</f>
        <v>0</v>
      </c>
      <c r="FL32">
        <f>(AG33-Table2[[#This Row],[2F3 Air Compressor]])*1000</f>
        <v>0</v>
      </c>
      <c r="FM32">
        <f>(AX33-Table2[[#This Row],[Solar Reading Panel II]])*1000</f>
        <v>0</v>
      </c>
      <c r="FN32">
        <f>AI33-Table2[[#This Row],[3F1 Maintenance Workshop]]</f>
        <v>0</v>
      </c>
      <c r="FO32">
        <f>BD33-Table2[[#This Row],[4F B2B unit ]]</f>
        <v>0</v>
      </c>
      <c r="FP32">
        <f>BL33-Table2[[#This Row],[2F1 - PDB 6 - Bread, B2B section]]</f>
        <v>0</v>
      </c>
      <c r="FQ32">
        <f>(CG33-Table2[[#This Row],[9F5 - PDB 14 - Bread Lift]])</f>
        <v>0</v>
      </c>
      <c r="FR32">
        <f>CJ33-Table2[[#This Row],[PDB - 16 Bread Section]]</f>
        <v>0</v>
      </c>
      <c r="FS32">
        <f>BU33-Table2[[#This Row],[7F1 Donut Production area]]</f>
        <v>0</v>
      </c>
      <c r="FT32">
        <f>CB33-Table2[[#This Row],[8F5 Donut Ban Bary]]</f>
        <v>0</v>
      </c>
      <c r="FU32">
        <f>CF33-Table2[[#This Row],[9F4 - PDB 13 - Donut Sink Geyser area]]</f>
        <v>0</v>
      </c>
      <c r="FV32">
        <f>BV33-Table2[[#This Row],[7F2 Flour Silo]]</f>
        <v>0</v>
      </c>
      <c r="FW32">
        <f>BY33-Table2[[#This Row],[8F2 ACPDB - 3 SILO Ventilation]]</f>
        <v>0</v>
      </c>
      <c r="FX32">
        <f>J33-Table2[[#This Row],[DG 1010KVA Running Hours]]</f>
        <v>0</v>
      </c>
      <c r="FY32">
        <f>K33-Table2[[#This Row],[DG 1010 KVA Meter Reading]]</f>
        <v>0</v>
      </c>
      <c r="FZ32">
        <f>L33-Table2[[#This Row],[GG 1010 KVA Running Hours]]</f>
        <v>0</v>
      </c>
      <c r="GA32">
        <f>M33-Table2[[#This Row],[GG 1010 KVA Meter Reading]]</f>
        <v>0</v>
      </c>
    </row>
    <row r="33" spans="1:183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>
        <f>Table2[[#This Row],[Date]]</f>
        <v>0</v>
      </c>
      <c r="DI33">
        <f>(DD34-Table2[[#This Row],[MWH Total]])*4000</f>
        <v>0</v>
      </c>
      <c r="DJ33">
        <f>(DA34-Table2[[#This Row],[PNG Meter (Outside)]])*2.936</f>
        <v>0</v>
      </c>
      <c r="DK33">
        <f>(DB34-Table2[[#This Row],[PNG Meter (Inside)]])*2.936</f>
        <v>0</v>
      </c>
      <c r="DL33">
        <f>(BH34-Table2[[#This Row],[3F Dough cooler - 2 ]])*1000</f>
        <v>0</v>
      </c>
      <c r="DM33">
        <f>(BI34-Table2[[#This Row],[3F Dough Cooler- 1]])*1000</f>
        <v>0</v>
      </c>
      <c r="DN33">
        <f>(BJ34-Table2[[#This Row],[4F Dough Production cooling Unit]])*1000</f>
        <v>0</v>
      </c>
      <c r="DO33">
        <f>(BQ34-Table2[[#This Row],[3F2 - PDB 3 - Dough Production Area]])*1000</f>
        <v>0</v>
      </c>
      <c r="DP33">
        <f>(BR34-Table2[[#This Row],[3F3 - PDB 4 - Dough Area]])*1000</f>
        <v>0</v>
      </c>
      <c r="DQ33">
        <f>AC34-Table2[[#This Row],[16F1 Tray washer Panel for Light]]</f>
        <v>0</v>
      </c>
      <c r="DR33">
        <f>CQ34-Table2[[#This Row],[2F1 Tray Washer - 1]]</f>
        <v>0</v>
      </c>
      <c r="DS33">
        <f>CS34-Table2[[#This Row],[2F5 Destacker]]</f>
        <v>0</v>
      </c>
      <c r="DT33">
        <f>CU34-Table2[[#This Row],[5F1 Metering (TW-2)]]</f>
        <v>0</v>
      </c>
      <c r="DU33">
        <f>CV34-Table2[[#This Row],[6F1 Pre soaker Tray washer]]</f>
        <v>0</v>
      </c>
      <c r="DV33">
        <f>CZ34-Table2[[#This Row],[6F5 Vent tray Storage]]</f>
        <v>0</v>
      </c>
      <c r="DW33">
        <f>I34-Table2[[#This Row],[Popeyes Meter ]]</f>
        <v>0</v>
      </c>
      <c r="DX33">
        <f>AZ34-Table2[[#This Row],[2F WH Chiller, Segregation Area]]</f>
        <v>0</v>
      </c>
      <c r="DY33">
        <f>BA34-Table2[[#This Row],[3F1 AC Unit WH dock cooling - 2 Nos]]</f>
        <v>0</v>
      </c>
      <c r="DZ33">
        <f>BB34-Table2[[#This Row],[3F2 AC Unit WH dock cooling - 3 Nos]]</f>
        <v>0</v>
      </c>
      <c r="EA33">
        <f>(BK34-Table2[[#This Row],[5F WH Perishable]])*1000</f>
        <v>0</v>
      </c>
      <c r="EB33">
        <f>BN34-Table2[[#This Row],[2F3 - PDB 9 - WH Dock Leveler Door ]]</f>
        <v>0</v>
      </c>
      <c r="EC33">
        <f>BP34-Table2[[#This Row],[3F1 - PDB 5 - WH HSD]]</f>
        <v>0</v>
      </c>
      <c r="ED33">
        <f>BX34-Table2[[#This Row],[8F1 WH Dock AHU - Ventilation]]</f>
        <v>0</v>
      </c>
      <c r="EE33">
        <f>BZ34-Table2[[#This Row],[8F3 ACPDB - 4 WH Dock air curtain]]</f>
        <v>0</v>
      </c>
      <c r="EF33">
        <f>CA34-Table2[[#This Row],[8F4 WH Light]]</f>
        <v>0</v>
      </c>
      <c r="EG33">
        <f>CC34-Table2[[#This Row],[9F1 - PDB 10 - WH Dock door &amp; Office]]</f>
        <v>0</v>
      </c>
      <c r="EH33">
        <f>CD34-Table2[[#This Row],[9F2 - PDB 11 - WH flycatchers]]</f>
        <v>0</v>
      </c>
      <c r="EI33">
        <f>CE34-Table2[[#This Row],[9F3 - PDB 12 - Other items]]</f>
        <v>0</v>
      </c>
      <c r="EJ33">
        <f>CR34-Table2[[#This Row],[2F3 - PDB 1 - Dock 1 to 4 ]]</f>
        <v>0</v>
      </c>
      <c r="EK33">
        <f>BM34-Table2[[#This Row],[2F2 - PDB 3 - WH Truck &amp; Battery Charging]]</f>
        <v>0</v>
      </c>
      <c r="EL33">
        <f>(CK34-Table2[[#This Row],[PDB - 11 Truck Charging]])*1000</f>
        <v>0</v>
      </c>
      <c r="EM33">
        <f>P34-Table2[[#This Row],[5F3 Admin Area]]</f>
        <v>0</v>
      </c>
      <c r="EN33">
        <f>AH34-Table2[[#This Row],[2F5 Main Gate-1 Piller -1]]</f>
        <v>0</v>
      </c>
      <c r="EO33">
        <f>CW34-Table2[[#This Row],[6F2 Ground Floor AC]]</f>
        <v>0</v>
      </c>
      <c r="EP33">
        <f>CX34-Table2[[#This Row],[6F3 ACBD -1 (First floor AC)]]</f>
        <v>0</v>
      </c>
      <c r="EQ33">
        <f>CY34-Table2[[#This Row],[6F4 ACBD - 2 (Second &amp; Third floor AC)]]</f>
        <v>0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0</v>
      </c>
      <c r="EU33">
        <f>(CL34-Table2[[#This Row],[OLD Ck Panel-1]])*1000</f>
        <v>0</v>
      </c>
      <c r="EV33">
        <f>CM34-Table2[[#This Row],[2F4 Old CK Blast (Blue star)]]</f>
        <v>0</v>
      </c>
      <c r="EW33">
        <f>CN34-Table2[[#This Row],[3F6 Old CK Blast (Carrier)]]</f>
        <v>0</v>
      </c>
      <c r="EX33">
        <f>(CO34-Table2[[#This Row],[Old CK Panel -2]])*1000</f>
        <v>0</v>
      </c>
      <c r="EY33">
        <f>N34-Table2[[#This Row],[4F1 Main UPS 1/C -1]]</f>
        <v>0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0</v>
      </c>
      <c r="FC33">
        <f>BW34-Table2[[#This Row],[7F3 CLC Power Panel]]</f>
        <v>0</v>
      </c>
      <c r="FD33">
        <f>(CI34-Table2[[#This Row],[PDB - 17 CLC Section ]])*1000</f>
        <v>0</v>
      </c>
      <c r="FE33">
        <f>(W34-Table2[[#This Row],[13F3 Water &amp; Lift Old CK]])*1000</f>
        <v>0</v>
      </c>
      <c r="FF33">
        <f>AA34-Table2[[#This Row],[15F2 New ETP Panel]]</f>
        <v>0</v>
      </c>
      <c r="FG33">
        <f>AL34-Table2[[#This Row],[3F4 Old ETP Panel]]</f>
        <v>0</v>
      </c>
      <c r="FH33">
        <f>AF34-Table2[[#This Row],[2F1 RO Plant]]</f>
        <v>0</v>
      </c>
      <c r="FI33">
        <f>AK34-Table2[[#This Row],[3F3 Fire Hydrant Panel]]</f>
        <v>0</v>
      </c>
      <c r="FJ33">
        <f>R34-Table2[[#This Row],[7F1 Freon System Panel]]</f>
        <v>0</v>
      </c>
      <c r="FK33">
        <f>(AE34-Table2[[#This Row],[21F1 Refrigeration Ammonia]])*1000</f>
        <v>0</v>
      </c>
      <c r="FL33">
        <f>(AG34-Table2[[#This Row],[2F3 Air Compressor]])*1000</f>
        <v>0</v>
      </c>
      <c r="FM33">
        <f>(AX34-Table2[[#This Row],[Solar Reading Panel II]])*1000</f>
        <v>0</v>
      </c>
      <c r="FN33">
        <f>AI34-Table2[[#This Row],[3F1 Maintenance Workshop]]</f>
        <v>0</v>
      </c>
      <c r="FO33">
        <f>BD34-Table2[[#This Row],[4F B2B unit ]]</f>
        <v>0</v>
      </c>
      <c r="FP33">
        <f>BL34-Table2[[#This Row],[2F1 - PDB 6 - Bread, B2B section]]</f>
        <v>0</v>
      </c>
      <c r="FQ33">
        <f>(CG34-Table2[[#This Row],[9F5 - PDB 14 - Bread Lift]])</f>
        <v>0</v>
      </c>
      <c r="FR33">
        <f>CJ34-Table2[[#This Row],[PDB - 16 Bread Section]]</f>
        <v>0</v>
      </c>
      <c r="FS33">
        <f>BU34-Table2[[#This Row],[7F1 Donut Production area]]</f>
        <v>0</v>
      </c>
      <c r="FT33">
        <f>CB34-Table2[[#This Row],[8F5 Donut Ban Bary]]</f>
        <v>0</v>
      </c>
      <c r="FU33">
        <f>CF34-Table2[[#This Row],[9F4 - PDB 13 - Donut Sink Geyser area]]</f>
        <v>0</v>
      </c>
      <c r="FV33">
        <f>BV34-Table2[[#This Row],[7F2 Flour Silo]]</f>
        <v>0</v>
      </c>
      <c r="FW33">
        <f>BY34-Table2[[#This Row],[8F2 ACPDB - 3 SILO Ventilation]]</f>
        <v>0</v>
      </c>
      <c r="FX33">
        <f>J34-Table2[[#This Row],[DG 1010KVA Running Hours]]</f>
        <v>0</v>
      </c>
      <c r="FY33">
        <f>K34-Table2[[#This Row],[DG 1010 KVA Meter Reading]]</f>
        <v>0</v>
      </c>
      <c r="FZ33">
        <f>L34-Table2[[#This Row],[GG 1010 KVA Running Hours]]</f>
        <v>0</v>
      </c>
      <c r="GA33">
        <f>M34-Table2[[#This Row],[GG 1010 KVA Meter Reading]]</f>
        <v>0</v>
      </c>
    </row>
    <row r="34" spans="1:183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>
        <f>Table2[[#This Row],[Date]]</f>
        <v>0</v>
      </c>
      <c r="DI34">
        <f>(DD35-Table2[[#This Row],[MWH Total]])*4000</f>
        <v>0</v>
      </c>
      <c r="DJ34">
        <f>(DA35-Table2[[#This Row],[PNG Meter (Outside)]])*2.936</f>
        <v>0</v>
      </c>
      <c r="DK34">
        <f>(DB35-Table2[[#This Row],[PNG Meter (Inside)]])*2.936</f>
        <v>0</v>
      </c>
      <c r="DL34">
        <f>(BH35-Table2[[#This Row],[3F Dough cooler - 2 ]])*1000</f>
        <v>0</v>
      </c>
      <c r="DM34">
        <f>(BI35-Table2[[#This Row],[3F Dough Cooler- 1]])*1000</f>
        <v>0</v>
      </c>
      <c r="DN34">
        <f>(BJ35-Table2[[#This Row],[4F Dough Production cooling Unit]])*1000</f>
        <v>0</v>
      </c>
      <c r="DO34">
        <f>(BQ35-Table2[[#This Row],[3F2 - PDB 3 - Dough Production Area]])*1000</f>
        <v>0</v>
      </c>
      <c r="DP34">
        <f>(BR35-Table2[[#This Row],[3F3 - PDB 4 - Dough Area]])*1000</f>
        <v>0</v>
      </c>
      <c r="DQ34">
        <f>AC35-Table2[[#This Row],[16F1 Tray washer Panel for Light]]</f>
        <v>0</v>
      </c>
      <c r="DR34">
        <f>CQ35-Table2[[#This Row],[2F1 Tray Washer - 1]]</f>
        <v>0</v>
      </c>
      <c r="DS34">
        <f>CS35-Table2[[#This Row],[2F5 Destacker]]</f>
        <v>0</v>
      </c>
      <c r="DT34">
        <f>CU35-Table2[[#This Row],[5F1 Metering (TW-2)]]</f>
        <v>0</v>
      </c>
      <c r="DU34">
        <f>CV35-Table2[[#This Row],[6F1 Pre soaker Tray washer]]</f>
        <v>0</v>
      </c>
      <c r="DV34">
        <f>CZ35-Table2[[#This Row],[6F5 Vent tray Storage]]</f>
        <v>0</v>
      </c>
      <c r="DW34">
        <f>I35-Table2[[#This Row],[Popeyes Meter ]]</f>
        <v>0</v>
      </c>
      <c r="DX34">
        <f>AZ35-Table2[[#This Row],[2F WH Chiller, Segregation Area]]</f>
        <v>0</v>
      </c>
      <c r="DY34">
        <f>BA35-Table2[[#This Row],[3F1 AC Unit WH dock cooling - 2 Nos]]</f>
        <v>0</v>
      </c>
      <c r="DZ34">
        <f>BB35-Table2[[#This Row],[3F2 AC Unit WH dock cooling - 3 Nos]]</f>
        <v>0</v>
      </c>
      <c r="EA34">
        <f>(BK35-Table2[[#This Row],[5F WH Perishable]])*1000</f>
        <v>0</v>
      </c>
      <c r="EB34">
        <f>BN35-Table2[[#This Row],[2F3 - PDB 9 - WH Dock Leveler Door ]]</f>
        <v>0</v>
      </c>
      <c r="EC34">
        <f>BP35-Table2[[#This Row],[3F1 - PDB 5 - WH HSD]]</f>
        <v>0</v>
      </c>
      <c r="ED34">
        <f>BX35-Table2[[#This Row],[8F1 WH Dock AHU - Ventilation]]</f>
        <v>0</v>
      </c>
      <c r="EE34">
        <f>BZ35-Table2[[#This Row],[8F3 ACPDB - 4 WH Dock air curtain]]</f>
        <v>0</v>
      </c>
      <c r="EF34">
        <f>CA35-Table2[[#This Row],[8F4 WH Light]]</f>
        <v>0</v>
      </c>
      <c r="EG34">
        <f>CC35-Table2[[#This Row],[9F1 - PDB 10 - WH Dock door &amp; Office]]</f>
        <v>0</v>
      </c>
      <c r="EH34">
        <f>CD35-Table2[[#This Row],[9F2 - PDB 11 - WH flycatchers]]</f>
        <v>0</v>
      </c>
      <c r="EI34">
        <f>CE35-Table2[[#This Row],[9F3 - PDB 12 - Other items]]</f>
        <v>0</v>
      </c>
      <c r="EJ34">
        <f>CR35-Table2[[#This Row],[2F3 - PDB 1 - Dock 1 to 4 ]]</f>
        <v>0</v>
      </c>
      <c r="EK34">
        <f>BM35-Table2[[#This Row],[2F2 - PDB 3 - WH Truck &amp; Battery Charging]]</f>
        <v>0</v>
      </c>
      <c r="EL34">
        <f>(CK35-Table2[[#This Row],[PDB - 11 Truck Charging]])*1000</f>
        <v>0</v>
      </c>
      <c r="EM34">
        <f>P35-Table2[[#This Row],[5F3 Admin Area]]</f>
        <v>0</v>
      </c>
      <c r="EN34">
        <f>AH35-Table2[[#This Row],[2F5 Main Gate-1 Piller -1]]</f>
        <v>0</v>
      </c>
      <c r="EO34">
        <f>CW35-Table2[[#This Row],[6F2 Ground Floor AC]]</f>
        <v>0</v>
      </c>
      <c r="EP34">
        <f>CX35-Table2[[#This Row],[6F3 ACBD -1 (First floor AC)]]</f>
        <v>0</v>
      </c>
      <c r="EQ34">
        <f>CY35-Table2[[#This Row],[6F4 ACBD - 2 (Second &amp; Third floor AC)]]</f>
        <v>0</v>
      </c>
      <c r="ER34">
        <f>(BC35-Table2[[#This Row],[4F Old BMC cooling Unit]])</f>
        <v>0</v>
      </c>
      <c r="ES34">
        <f>BO35-Table2[[#This Row],[2F4 - Old BMC]]</f>
        <v>0</v>
      </c>
      <c r="ET34">
        <f>Y35-Table2[[#This Row],[14F2 New CK]]</f>
        <v>0</v>
      </c>
      <c r="EU34">
        <f>(CL35-Table2[[#This Row],[OLD Ck Panel-1]])*1000</f>
        <v>0</v>
      </c>
      <c r="EV34">
        <f>CM35-Table2[[#This Row],[2F4 Old CK Blast (Blue star)]]</f>
        <v>0</v>
      </c>
      <c r="EW34">
        <f>CN35-Table2[[#This Row],[3F6 Old CK Blast (Carrier)]]</f>
        <v>0</v>
      </c>
      <c r="EX34">
        <f>(CO35-Table2[[#This Row],[Old CK Panel -2]])*1000</f>
        <v>0</v>
      </c>
      <c r="EY34">
        <f>N35-Table2[[#This Row],[4F1 Main UPS 1/C -1]]</f>
        <v>0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0</v>
      </c>
      <c r="FC34">
        <f>BW35-Table2[[#This Row],[7F3 CLC Power Panel]]</f>
        <v>0</v>
      </c>
      <c r="FD34">
        <f>(CI35-Table2[[#This Row],[PDB - 17 CLC Section ]])*1000</f>
        <v>0</v>
      </c>
      <c r="FE34">
        <f>(W35-Table2[[#This Row],[13F3 Water &amp; Lift Old CK]])*1000</f>
        <v>0</v>
      </c>
      <c r="FF34">
        <f>AA35-Table2[[#This Row],[15F2 New ETP Panel]]</f>
        <v>0</v>
      </c>
      <c r="FG34">
        <f>AL35-Table2[[#This Row],[3F4 Old ETP Panel]]</f>
        <v>0</v>
      </c>
      <c r="FH34">
        <f>AF35-Table2[[#This Row],[2F1 RO Plant]]</f>
        <v>0</v>
      </c>
      <c r="FI34">
        <f>AK35-Table2[[#This Row],[3F3 Fire Hydrant Panel]]</f>
        <v>0</v>
      </c>
      <c r="FJ34">
        <f>R35-Table2[[#This Row],[7F1 Freon System Panel]]</f>
        <v>0</v>
      </c>
      <c r="FK34">
        <f>(AE35-Table2[[#This Row],[21F1 Refrigeration Ammonia]])*1000</f>
        <v>0</v>
      </c>
      <c r="FL34">
        <f>(AG35-Table2[[#This Row],[2F3 Air Compressor]])*1000</f>
        <v>0</v>
      </c>
      <c r="FM34">
        <f>(AX35-Table2[[#This Row],[Solar Reading Panel II]])*1000</f>
        <v>0</v>
      </c>
      <c r="FN34">
        <f>AI35-Table2[[#This Row],[3F1 Maintenance Workshop]]</f>
        <v>0</v>
      </c>
      <c r="FO34">
        <f>BD35-Table2[[#This Row],[4F B2B unit ]]</f>
        <v>0</v>
      </c>
      <c r="FP34">
        <f>BL35-Table2[[#This Row],[2F1 - PDB 6 - Bread, B2B section]]</f>
        <v>0</v>
      </c>
      <c r="FQ34">
        <f>(CG35-Table2[[#This Row],[9F5 - PDB 14 - Bread Lift]])</f>
        <v>0</v>
      </c>
      <c r="FR34">
        <f>CJ35-Table2[[#This Row],[PDB - 16 Bread Section]]</f>
        <v>0</v>
      </c>
      <c r="FS34">
        <f>BU35-Table2[[#This Row],[7F1 Donut Production area]]</f>
        <v>0</v>
      </c>
      <c r="FT34">
        <f>CB35-Table2[[#This Row],[8F5 Donut Ban Bary]]</f>
        <v>0</v>
      </c>
      <c r="FU34">
        <f>CF35-Table2[[#This Row],[9F4 - PDB 13 - Donut Sink Geyser area]]</f>
        <v>0</v>
      </c>
      <c r="FV34">
        <f>BV35-Table2[[#This Row],[7F2 Flour Silo]]</f>
        <v>0</v>
      </c>
      <c r="FW34">
        <f>BY35-Table2[[#This Row],[8F2 ACPDB - 3 SILO Ventilation]]</f>
        <v>0</v>
      </c>
      <c r="FX34">
        <f>J35-Table2[[#This Row],[DG 1010KVA Running Hours]]</f>
        <v>0</v>
      </c>
      <c r="FY34">
        <f>K35-Table2[[#This Row],[DG 1010 KVA Meter Reading]]</f>
        <v>0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>
        <f>Table2[[#This Row],[Date]]</f>
        <v>0</v>
      </c>
      <c r="DI35">
        <f>(DD36-Table2[[#This Row],[MWH Total]])*4000</f>
        <v>0</v>
      </c>
      <c r="DJ35">
        <f>(DA36-Table2[[#This Row],[PNG Meter (Outside)]])*2.936</f>
        <v>0</v>
      </c>
      <c r="DK35">
        <f>(DB36-Table2[[#This Row],[PNG Meter (Inside)]])*2.936</f>
        <v>0</v>
      </c>
      <c r="DL35">
        <f>(BH36-Table2[[#This Row],[3F Dough cooler - 2 ]])*1000</f>
        <v>0</v>
      </c>
      <c r="DM35">
        <f>(BI36-Table2[[#This Row],[3F Dough Cooler- 1]])*1000</f>
        <v>0</v>
      </c>
      <c r="DN35">
        <f>(BJ36-Table2[[#This Row],[4F Dough Production cooling Unit]])*1000</f>
        <v>0</v>
      </c>
      <c r="DO35">
        <f>(BQ36-Table2[[#This Row],[3F2 - PDB 3 - Dough Production Area]])*1000</f>
        <v>0</v>
      </c>
      <c r="DP35">
        <f>(BR36-Table2[[#This Row],[3F3 - PDB 4 - Dough Area]])*1000</f>
        <v>0</v>
      </c>
      <c r="DQ35">
        <f>AC36-Table2[[#This Row],[16F1 Tray washer Panel for Light]]</f>
        <v>0</v>
      </c>
      <c r="DR35">
        <f>CQ36-Table2[[#This Row],[2F1 Tray Washer - 1]]</f>
        <v>0</v>
      </c>
      <c r="DS35">
        <f>CS36-Table2[[#This Row],[2F5 Destacker]]</f>
        <v>0</v>
      </c>
      <c r="DT35">
        <f>CU36-Table2[[#This Row],[5F1 Metering (TW-2)]]</f>
        <v>0</v>
      </c>
      <c r="DU35">
        <f>CV36-Table2[[#This Row],[6F1 Pre soaker Tray washer]]</f>
        <v>0</v>
      </c>
      <c r="DV35">
        <f>CZ36-Table2[[#This Row],[6F5 Vent tray Storage]]</f>
        <v>0</v>
      </c>
      <c r="DW35">
        <f>I36-Table2[[#This Row],[Popeyes Meter ]]</f>
        <v>0</v>
      </c>
      <c r="DX35">
        <f>AZ36-Table2[[#This Row],[2F WH Chiller, Segregation Area]]</f>
        <v>0</v>
      </c>
      <c r="DY35">
        <f>BA36-Table2[[#This Row],[3F1 AC Unit WH dock cooling - 2 Nos]]</f>
        <v>0</v>
      </c>
      <c r="DZ35">
        <f>BB36-Table2[[#This Row],[3F2 AC Unit WH dock cooling - 3 Nos]]</f>
        <v>0</v>
      </c>
      <c r="EA35">
        <f>(BK36-Table2[[#This Row],[5F WH Perishable]])*1000</f>
        <v>0</v>
      </c>
      <c r="EB35">
        <f>BN36-Table2[[#This Row],[2F3 - PDB 9 - WH Dock Leveler Door ]]</f>
        <v>0</v>
      </c>
      <c r="EC35">
        <f>BP36-Table2[[#This Row],[3F1 - PDB 5 - WH HSD]]</f>
        <v>0</v>
      </c>
      <c r="ED35">
        <f>BX36-Table2[[#This Row],[8F1 WH Dock AHU - Ventilation]]</f>
        <v>0</v>
      </c>
      <c r="EE35">
        <f>BZ36-Table2[[#This Row],[8F3 ACPDB - 4 WH Dock air curtain]]</f>
        <v>0</v>
      </c>
      <c r="EF35">
        <f>CA36-Table2[[#This Row],[8F4 WH Light]]</f>
        <v>0</v>
      </c>
      <c r="EG35">
        <f>CC36-Table2[[#This Row],[9F1 - PDB 10 - WH Dock door &amp; Office]]</f>
        <v>0</v>
      </c>
      <c r="EH35">
        <f>CD36-Table2[[#This Row],[9F2 - PDB 11 - WH flycatchers]]</f>
        <v>0</v>
      </c>
      <c r="EI35">
        <f>CE36-Table2[[#This Row],[9F3 - PDB 12 - Other items]]</f>
        <v>0</v>
      </c>
      <c r="EJ35">
        <f>CR36-Table2[[#This Row],[2F3 - PDB 1 - Dock 1 to 4 ]]</f>
        <v>0</v>
      </c>
      <c r="EK35">
        <f>BM36-Table2[[#This Row],[2F2 - PDB 3 - WH Truck &amp; Battery Charging]]</f>
        <v>0</v>
      </c>
      <c r="EL35">
        <f>(CK36-Table2[[#This Row],[PDB - 11 Truck Charging]])*1000</f>
        <v>0</v>
      </c>
      <c r="EM35">
        <f>P36-Table2[[#This Row],[5F3 Admin Area]]</f>
        <v>0</v>
      </c>
      <c r="EN35">
        <f>AH36-Table2[[#This Row],[2F5 Main Gate-1 Piller -1]]</f>
        <v>0</v>
      </c>
      <c r="EO35">
        <f>CW36-Table2[[#This Row],[6F2 Ground Floor AC]]</f>
        <v>0</v>
      </c>
      <c r="EP35">
        <f>CX36-Table2[[#This Row],[6F3 ACBD -1 (First floor AC)]]</f>
        <v>0</v>
      </c>
      <c r="EQ35">
        <f>CY36-Table2[[#This Row],[6F4 ACBD - 2 (Second &amp; Third floor AC)]]</f>
        <v>0</v>
      </c>
      <c r="ER35">
        <f>(BC36-Table2[[#This Row],[4F Old BMC cooling Unit]])</f>
        <v>0</v>
      </c>
      <c r="ES35">
        <f>BO36-Table2[[#This Row],[2F4 - Old BMC]]</f>
        <v>0</v>
      </c>
      <c r="ET35">
        <f>Y36-Table2[[#This Row],[14F2 New CK]]</f>
        <v>0</v>
      </c>
      <c r="EU35">
        <f>(CL36-Table2[[#This Row],[OLD Ck Panel-1]])*1000</f>
        <v>0</v>
      </c>
      <c r="EV35">
        <f>CM36-Table2[[#This Row],[2F4 Old CK Blast (Blue star)]]</f>
        <v>0</v>
      </c>
      <c r="EW35">
        <f>CN36-Table2[[#This Row],[3F6 Old CK Blast (Carrier)]]</f>
        <v>0</v>
      </c>
      <c r="EX35">
        <f>(CO36-Table2[[#This Row],[Old CK Panel -2]])*1000</f>
        <v>0</v>
      </c>
      <c r="EY35">
        <f>N36-Table2[[#This Row],[4F1 Main UPS 1/C -1]]</f>
        <v>0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0</v>
      </c>
      <c r="FC35">
        <f>BW36-Table2[[#This Row],[7F3 CLC Power Panel]]</f>
        <v>0</v>
      </c>
      <c r="FD35">
        <f>(CI36-Table2[[#This Row],[PDB - 17 CLC Section ]])*1000</f>
        <v>0</v>
      </c>
      <c r="FE35">
        <f>(W36-Table2[[#This Row],[13F3 Water &amp; Lift Old CK]])*1000</f>
        <v>0</v>
      </c>
      <c r="FF35">
        <f>AA36-Table2[[#This Row],[15F2 New ETP Panel]]</f>
        <v>0</v>
      </c>
      <c r="FG35">
        <f>AL36-Table2[[#This Row],[3F4 Old ETP Panel]]</f>
        <v>0</v>
      </c>
      <c r="FH35">
        <f>AF36-Table2[[#This Row],[2F1 RO Plant]]</f>
        <v>0</v>
      </c>
      <c r="FI35">
        <f>AK36-Table2[[#This Row],[3F3 Fire Hydrant Panel]]</f>
        <v>0</v>
      </c>
      <c r="FJ35">
        <f>R36-Table2[[#This Row],[7F1 Freon System Panel]]</f>
        <v>0</v>
      </c>
      <c r="FK35">
        <f>(AE36-Table2[[#This Row],[21F1 Refrigeration Ammonia]])*1000</f>
        <v>0</v>
      </c>
      <c r="FL35">
        <f>(AG36-Table2[[#This Row],[2F3 Air Compressor]])*1000</f>
        <v>0</v>
      </c>
      <c r="FM35">
        <f>(AX36-Table2[[#This Row],[Solar Reading Panel II]])*1000</f>
        <v>0</v>
      </c>
      <c r="FN35">
        <f>AI36-Table2[[#This Row],[3F1 Maintenance Workshop]]</f>
        <v>0</v>
      </c>
      <c r="FO35">
        <f>BD36-Table2[[#This Row],[4F B2B unit ]]</f>
        <v>0</v>
      </c>
      <c r="FP35">
        <f>BL36-Table2[[#This Row],[2F1 - PDB 6 - Bread, B2B section]]</f>
        <v>0</v>
      </c>
      <c r="FQ35">
        <f>(CG36-Table2[[#This Row],[9F5 - PDB 14 - Bread Lift]])</f>
        <v>0</v>
      </c>
      <c r="FR35">
        <f>CJ36-Table2[[#This Row],[PDB - 16 Bread Section]]</f>
        <v>0</v>
      </c>
      <c r="FS35">
        <f>BU36-Table2[[#This Row],[7F1 Donut Production area]]</f>
        <v>0</v>
      </c>
      <c r="FT35">
        <f>CB36-Table2[[#This Row],[8F5 Donut Ban Bary]]</f>
        <v>0</v>
      </c>
      <c r="FU35">
        <f>CF36-Table2[[#This Row],[9F4 - PDB 13 - Donut Sink Geyser area]]</f>
        <v>0</v>
      </c>
      <c r="FV35">
        <f>BV36-Table2[[#This Row],[7F2 Flour Silo]]</f>
        <v>0</v>
      </c>
      <c r="FW35">
        <f>BY36-Table2[[#This Row],[8F2 ACPDB - 3 SILO Ventilation]]</f>
        <v>0</v>
      </c>
      <c r="FX35">
        <f>J36-Table2[[#This Row],[DG 1010KVA Running Hours]]</f>
        <v>0</v>
      </c>
      <c r="FY35">
        <f>K36-Table2[[#This Row],[DG 1010 KVA Meter Reading]]</f>
        <v>0</v>
      </c>
      <c r="FZ35">
        <f>L36-Table2[[#This Row],[GG 1010 KVA Running Hours]]</f>
        <v>0</v>
      </c>
      <c r="GA35">
        <f>M36-Table2[[#This Row],[GG 1010 KVA Meter Reading]]</f>
        <v>0</v>
      </c>
    </row>
    <row r="36" spans="1:183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>
        <f>Table2[[#This Row],[Date]]</f>
        <v>0</v>
      </c>
      <c r="DI36">
        <f>(DD37-Table2[[#This Row],[MWH Total]])*4000</f>
        <v>0</v>
      </c>
      <c r="DJ36">
        <f>(DA37-Table2[[#This Row],[PNG Meter (Outside)]])*2.936</f>
        <v>0</v>
      </c>
      <c r="DK36">
        <f>(DB37-Table2[[#This Row],[PNG Meter (Inside)]])*2.936</f>
        <v>0</v>
      </c>
      <c r="DL36">
        <f>(BH37-Table2[[#This Row],[3F Dough cooler - 2 ]])*1000</f>
        <v>0</v>
      </c>
      <c r="DM36">
        <f>(BI37-Table2[[#This Row],[3F Dough Cooler- 1]])*1000</f>
        <v>0</v>
      </c>
      <c r="DN36">
        <f>(BJ37-Table2[[#This Row],[4F Dough Production cooling Unit]])*1000</f>
        <v>0</v>
      </c>
      <c r="DO36">
        <f>(BQ37-Table2[[#This Row],[3F2 - PDB 3 - Dough Production Area]])*1000</f>
        <v>0</v>
      </c>
      <c r="DP36">
        <f>(BR37-Table2[[#This Row],[3F3 - PDB 4 - Dough Area]])*1000</f>
        <v>0</v>
      </c>
      <c r="DQ36">
        <f>AC37-Table2[[#This Row],[16F1 Tray washer Panel for Light]]</f>
        <v>0</v>
      </c>
      <c r="DR36">
        <f>CQ37-Table2[[#This Row],[2F1 Tray Washer - 1]]</f>
        <v>0</v>
      </c>
      <c r="DS36">
        <f>CS37-Table2[[#This Row],[2F5 Destacker]]</f>
        <v>0</v>
      </c>
      <c r="DT36">
        <f>CU37-Table2[[#This Row],[5F1 Metering (TW-2)]]</f>
        <v>0</v>
      </c>
      <c r="DU36">
        <f>CV37-Table2[[#This Row],[6F1 Pre soaker Tray washer]]</f>
        <v>0</v>
      </c>
      <c r="DV36">
        <f>CZ37-Table2[[#This Row],[6F5 Vent tray Storage]]</f>
        <v>0</v>
      </c>
      <c r="DW36">
        <f>I37-Table2[[#This Row],[Popeyes Meter ]]</f>
        <v>0</v>
      </c>
      <c r="DX36">
        <f>AZ37-Table2[[#This Row],[2F WH Chiller, Segregation Area]]</f>
        <v>0</v>
      </c>
      <c r="DY36">
        <f>BA37-Table2[[#This Row],[3F1 AC Unit WH dock cooling - 2 Nos]]</f>
        <v>0</v>
      </c>
      <c r="DZ36">
        <f>BB37-Table2[[#This Row],[3F2 AC Unit WH dock cooling - 3 Nos]]</f>
        <v>0</v>
      </c>
      <c r="EA36">
        <f>(BK37-Table2[[#This Row],[5F WH Perishable]])*1000</f>
        <v>0</v>
      </c>
      <c r="EB36">
        <f>BN37-Table2[[#This Row],[2F3 - PDB 9 - WH Dock Leveler Door ]]</f>
        <v>0</v>
      </c>
      <c r="EC36">
        <f>BP37-Table2[[#This Row],[3F1 - PDB 5 - WH HSD]]</f>
        <v>0</v>
      </c>
      <c r="ED36">
        <f>BX37-Table2[[#This Row],[8F1 WH Dock AHU - Ventilation]]</f>
        <v>0</v>
      </c>
      <c r="EE36">
        <f>BZ37-Table2[[#This Row],[8F3 ACPDB - 4 WH Dock air curtain]]</f>
        <v>0</v>
      </c>
      <c r="EF36">
        <f>CA37-Table2[[#This Row],[8F4 WH Light]]</f>
        <v>0</v>
      </c>
      <c r="EG36">
        <f>CC37-Table2[[#This Row],[9F1 - PDB 10 - WH Dock door &amp; Office]]</f>
        <v>0</v>
      </c>
      <c r="EH36">
        <f>CD37-Table2[[#This Row],[9F2 - PDB 11 - WH flycatchers]]</f>
        <v>0</v>
      </c>
      <c r="EI36">
        <f>CE37-Table2[[#This Row],[9F3 - PDB 12 - Other items]]</f>
        <v>0</v>
      </c>
      <c r="EJ36">
        <f>CR37-Table2[[#This Row],[2F3 - PDB 1 - Dock 1 to 4 ]]</f>
        <v>0</v>
      </c>
      <c r="EK36">
        <f>BM37-Table2[[#This Row],[2F2 - PDB 3 - WH Truck &amp; Battery Charging]]</f>
        <v>0</v>
      </c>
      <c r="EL36">
        <f>(CK37-Table2[[#This Row],[PDB - 11 Truck Charging]])*1000</f>
        <v>0</v>
      </c>
      <c r="EM36">
        <f>P37-Table2[[#This Row],[5F3 Admin Area]]</f>
        <v>0</v>
      </c>
      <c r="EN36">
        <f>AH37-Table2[[#This Row],[2F5 Main Gate-1 Piller -1]]</f>
        <v>0</v>
      </c>
      <c r="EO36">
        <f>CW37-Table2[[#This Row],[6F2 Ground Floor AC]]</f>
        <v>0</v>
      </c>
      <c r="EP36">
        <f>CX37-Table2[[#This Row],[6F3 ACBD -1 (First floor AC)]]</f>
        <v>0</v>
      </c>
      <c r="EQ36">
        <f>CY37-Table2[[#This Row],[6F4 ACBD - 2 (Second &amp; Third floor AC)]]</f>
        <v>0</v>
      </c>
      <c r="ER36">
        <f>(BC37-Table2[[#This Row],[4F Old BMC cooling Unit]])</f>
        <v>0</v>
      </c>
      <c r="ES36">
        <f>BO37-Table2[[#This Row],[2F4 - Old BMC]]</f>
        <v>0</v>
      </c>
      <c r="ET36">
        <f>Y37-Table2[[#This Row],[14F2 New CK]]</f>
        <v>0</v>
      </c>
      <c r="EU36">
        <f>(CL37-Table2[[#This Row],[OLD Ck Panel-1]])*1000</f>
        <v>0</v>
      </c>
      <c r="EV36">
        <f>CM37-Table2[[#This Row],[2F4 Old CK Blast (Blue star)]]</f>
        <v>0</v>
      </c>
      <c r="EW36">
        <f>CN37-Table2[[#This Row],[3F6 Old CK Blast (Carrier)]]</f>
        <v>0</v>
      </c>
      <c r="EX36">
        <f>(CO37-Table2[[#This Row],[Old CK Panel -2]])*1000</f>
        <v>0</v>
      </c>
      <c r="EY36">
        <f>N37-Table2[[#This Row],[4F1 Main UPS 1/C -1]]</f>
        <v>0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0</v>
      </c>
      <c r="FC36">
        <f>BW37-Table2[[#This Row],[7F3 CLC Power Panel]]</f>
        <v>0</v>
      </c>
      <c r="FD36">
        <f>(CI37-Table2[[#This Row],[PDB - 17 CLC Section ]])*1000</f>
        <v>0</v>
      </c>
      <c r="FE36">
        <f>(W37-Table2[[#This Row],[13F3 Water &amp; Lift Old CK]])*1000</f>
        <v>0</v>
      </c>
      <c r="FF36">
        <f>AA37-Table2[[#This Row],[15F2 New ETP Panel]]</f>
        <v>0</v>
      </c>
      <c r="FG36">
        <f>AL37-Table2[[#This Row],[3F4 Old ETP Panel]]</f>
        <v>0</v>
      </c>
      <c r="FH36">
        <f>AF37-Table2[[#This Row],[2F1 RO Plant]]</f>
        <v>0</v>
      </c>
      <c r="FI36">
        <f>AK37-Table2[[#This Row],[3F3 Fire Hydrant Panel]]</f>
        <v>0</v>
      </c>
      <c r="FJ36">
        <f>R37-Table2[[#This Row],[7F1 Freon System Panel]]</f>
        <v>0</v>
      </c>
      <c r="FK36">
        <f>(AE37-Table2[[#This Row],[21F1 Refrigeration Ammonia]])*1000</f>
        <v>0</v>
      </c>
      <c r="FL36">
        <f>(AG37-Table2[[#This Row],[2F3 Air Compressor]])*1000</f>
        <v>0</v>
      </c>
      <c r="FM36">
        <f>(AX37-Table2[[#This Row],[Solar Reading Panel II]])*1000</f>
        <v>0</v>
      </c>
      <c r="FN36">
        <f>AI37-Table2[[#This Row],[3F1 Maintenance Workshop]]</f>
        <v>0</v>
      </c>
      <c r="FO36">
        <f>BD37-Table2[[#This Row],[4F B2B unit ]]</f>
        <v>0</v>
      </c>
      <c r="FP36">
        <f>BL37-Table2[[#This Row],[2F1 - PDB 6 - Bread, B2B section]]</f>
        <v>0</v>
      </c>
      <c r="FQ36">
        <f>(CG37-Table2[[#This Row],[9F5 - PDB 14 - Bread Lift]])</f>
        <v>0</v>
      </c>
      <c r="FR36">
        <f>CJ37-Table2[[#This Row],[PDB - 16 Bread Section]]</f>
        <v>0</v>
      </c>
      <c r="FS36">
        <f>BU37-Table2[[#This Row],[7F1 Donut Production area]]</f>
        <v>0</v>
      </c>
      <c r="FT36">
        <f>CB37-Table2[[#This Row],[8F5 Donut Ban Bary]]</f>
        <v>0</v>
      </c>
      <c r="FU36">
        <f>CF37-Table2[[#This Row],[9F4 - PDB 13 - Donut Sink Geyser area]]</f>
        <v>0</v>
      </c>
      <c r="FV36">
        <f>BV37-Table2[[#This Row],[7F2 Flour Silo]]</f>
        <v>0</v>
      </c>
      <c r="FW36">
        <f>BY37-Table2[[#This Row],[8F2 ACPDB - 3 SILO Ventilation]]</f>
        <v>0</v>
      </c>
      <c r="FX36">
        <f>J37-Table2[[#This Row],[DG 1010KVA Running Hours]]</f>
        <v>0</v>
      </c>
      <c r="FY36">
        <f>K37-Table2[[#This Row],[DG 1010 KVA Meter Reading]]</f>
        <v>0</v>
      </c>
      <c r="FZ36">
        <f>L37-Table2[[#This Row],[GG 1010 KVA Running Hours]]</f>
        <v>0</v>
      </c>
      <c r="GA36">
        <f>M37-Table2[[#This Row],[GG 1010 KVA Meter Reading]]</f>
        <v>0</v>
      </c>
    </row>
    <row r="37" spans="1:183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>
        <f>Table2[[#This Row],[Date]]</f>
        <v>0</v>
      </c>
      <c r="DI37">
        <f>(DD38-Table2[[#This Row],[MWH Total]])*4000</f>
        <v>0</v>
      </c>
      <c r="DJ37">
        <f>(DA38-Table2[[#This Row],[PNG Meter (Outside)]])*2.936</f>
        <v>0</v>
      </c>
      <c r="DK37">
        <f>(DB38-Table2[[#This Row],[PNG Meter (Inside)]])*2.936</f>
        <v>0</v>
      </c>
      <c r="DL37">
        <f>(BH38-Table2[[#This Row],[3F Dough cooler - 2 ]])*1000</f>
        <v>0</v>
      </c>
      <c r="DM37">
        <f>(BI38-Table2[[#This Row],[3F Dough Cooler- 1]])*1000</f>
        <v>0</v>
      </c>
      <c r="DN37">
        <f>(BJ38-Table2[[#This Row],[4F Dough Production cooling Unit]])*1000</f>
        <v>0</v>
      </c>
      <c r="DO37">
        <f>(BQ38-Table2[[#This Row],[3F2 - PDB 3 - Dough Production Area]])*1000</f>
        <v>0</v>
      </c>
      <c r="DP37">
        <f>(BR38-Table2[[#This Row],[3F3 - PDB 4 - Dough Area]])*1000</f>
        <v>0</v>
      </c>
      <c r="DQ37">
        <f>AC38-Table2[[#This Row],[16F1 Tray washer Panel for Light]]</f>
        <v>0</v>
      </c>
      <c r="DR37">
        <f>CQ38-Table2[[#This Row],[2F1 Tray Washer - 1]]</f>
        <v>0</v>
      </c>
      <c r="DS37">
        <f>CS38-Table2[[#This Row],[2F5 Destacker]]</f>
        <v>0</v>
      </c>
      <c r="DT37">
        <f>CU38-Table2[[#This Row],[5F1 Metering (TW-2)]]</f>
        <v>0</v>
      </c>
      <c r="DU37">
        <f>CV38-Table2[[#This Row],[6F1 Pre soaker Tray washer]]</f>
        <v>0</v>
      </c>
      <c r="DV37">
        <f>CZ38-Table2[[#This Row],[6F5 Vent tray Storage]]</f>
        <v>0</v>
      </c>
      <c r="DW37">
        <f>I38-Table2[[#This Row],[Popeyes Meter ]]</f>
        <v>0</v>
      </c>
      <c r="DX37">
        <f>AZ38-Table2[[#This Row],[2F WH Chiller, Segregation Area]]</f>
        <v>0</v>
      </c>
      <c r="DY37">
        <f>BA38-Table2[[#This Row],[3F1 AC Unit WH dock cooling - 2 Nos]]</f>
        <v>0</v>
      </c>
      <c r="DZ37">
        <f>BB38-Table2[[#This Row],[3F2 AC Unit WH dock cooling - 3 Nos]]</f>
        <v>0</v>
      </c>
      <c r="EA37">
        <f>(BK38-Table2[[#This Row],[5F WH Perishable]])*1000</f>
        <v>0</v>
      </c>
      <c r="EB37">
        <f>BN38-Table2[[#This Row],[2F3 - PDB 9 - WH Dock Leveler Door ]]</f>
        <v>0</v>
      </c>
      <c r="EC37">
        <f>BP38-Table2[[#This Row],[3F1 - PDB 5 - WH HSD]]</f>
        <v>0</v>
      </c>
      <c r="ED37">
        <f>BX38-Table2[[#This Row],[8F1 WH Dock AHU - Ventilation]]</f>
        <v>0</v>
      </c>
      <c r="EE37">
        <f>BZ38-Table2[[#This Row],[8F3 ACPDB - 4 WH Dock air curtain]]</f>
        <v>0</v>
      </c>
      <c r="EF37">
        <f>CA38-Table2[[#This Row],[8F4 WH Light]]</f>
        <v>0</v>
      </c>
      <c r="EG37">
        <f>CC38-Table2[[#This Row],[9F1 - PDB 10 - WH Dock door &amp; Office]]</f>
        <v>0</v>
      </c>
      <c r="EH37">
        <f>CD38-Table2[[#This Row],[9F2 - PDB 11 - WH flycatchers]]</f>
        <v>0</v>
      </c>
      <c r="EI37">
        <f>CE38-Table2[[#This Row],[9F3 - PDB 12 - Other items]]</f>
        <v>0</v>
      </c>
      <c r="EJ37">
        <f>CR38-Table2[[#This Row],[2F3 - PDB 1 - Dock 1 to 4 ]]</f>
        <v>0</v>
      </c>
      <c r="EK37">
        <f>BM38-Table2[[#This Row],[2F2 - PDB 3 - WH Truck &amp; Battery Charging]]</f>
        <v>0</v>
      </c>
      <c r="EL37">
        <f>(CK38-Table2[[#This Row],[PDB - 11 Truck Charging]])*1000</f>
        <v>0</v>
      </c>
      <c r="EM37">
        <f>P38-Table2[[#This Row],[5F3 Admin Area]]</f>
        <v>0</v>
      </c>
      <c r="EN37">
        <f>AH38-Table2[[#This Row],[2F5 Main Gate-1 Piller -1]]</f>
        <v>0</v>
      </c>
      <c r="EO37">
        <f>CW38-Table2[[#This Row],[6F2 Ground Floor AC]]</f>
        <v>0</v>
      </c>
      <c r="EP37">
        <f>CX38-Table2[[#This Row],[6F3 ACBD -1 (First floor AC)]]</f>
        <v>0</v>
      </c>
      <c r="EQ37">
        <f>CY38-Table2[[#This Row],[6F4 ACBD - 2 (Second &amp; Third floor AC)]]</f>
        <v>0</v>
      </c>
      <c r="ER37">
        <f>(BC38-Table2[[#This Row],[4F Old BMC cooling Unit]])</f>
        <v>0</v>
      </c>
      <c r="ES37">
        <f>BO38-Table2[[#This Row],[2F4 - Old BMC]]</f>
        <v>0</v>
      </c>
      <c r="ET37">
        <f>Y38-Table2[[#This Row],[14F2 New CK]]</f>
        <v>0</v>
      </c>
      <c r="EU37">
        <f>(CL38-Table2[[#This Row],[OLD Ck Panel-1]])*1000</f>
        <v>0</v>
      </c>
      <c r="EV37">
        <f>CM38-Table2[[#This Row],[2F4 Old CK Blast (Blue star)]]</f>
        <v>0</v>
      </c>
      <c r="EW37">
        <f>CN38-Table2[[#This Row],[3F6 Old CK Blast (Carrier)]]</f>
        <v>0</v>
      </c>
      <c r="EX37">
        <f>(CO38-Table2[[#This Row],[Old CK Panel -2]])*1000</f>
        <v>0</v>
      </c>
      <c r="EY37">
        <f>N38-Table2[[#This Row],[4F1 Main UPS 1/C -1]]</f>
        <v>0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0</v>
      </c>
      <c r="FC37">
        <f>BW38-Table2[[#This Row],[7F3 CLC Power Panel]]</f>
        <v>0</v>
      </c>
      <c r="FD37">
        <f>(CI38-Table2[[#This Row],[PDB - 17 CLC Section ]])*1000</f>
        <v>0</v>
      </c>
      <c r="FE37">
        <f>(W38-Table2[[#This Row],[13F3 Water &amp; Lift Old CK]])*1000</f>
        <v>0</v>
      </c>
      <c r="FF37">
        <f>AA38-Table2[[#This Row],[15F2 New ETP Panel]]</f>
        <v>0</v>
      </c>
      <c r="FG37">
        <f>AL38-Table2[[#This Row],[3F4 Old ETP Panel]]</f>
        <v>0</v>
      </c>
      <c r="FH37">
        <f>AF38-Table2[[#This Row],[2F1 RO Plant]]</f>
        <v>0</v>
      </c>
      <c r="FI37">
        <f>AK38-Table2[[#This Row],[3F3 Fire Hydrant Panel]]</f>
        <v>0</v>
      </c>
      <c r="FJ37">
        <f>R38-Table2[[#This Row],[7F1 Freon System Panel]]</f>
        <v>0</v>
      </c>
      <c r="FK37">
        <f>(AE38-Table2[[#This Row],[21F1 Refrigeration Ammonia]])*1000</f>
        <v>0</v>
      </c>
      <c r="FL37">
        <f>(AG38-Table2[[#This Row],[2F3 Air Compressor]])*1000</f>
        <v>0</v>
      </c>
      <c r="FM37">
        <f>(AX38-Table2[[#This Row],[Solar Reading Panel II]])*1000</f>
        <v>0</v>
      </c>
      <c r="FN37">
        <f>AI38-Table2[[#This Row],[3F1 Maintenance Workshop]]</f>
        <v>0</v>
      </c>
      <c r="FO37">
        <f>BD38-Table2[[#This Row],[4F B2B unit ]]</f>
        <v>0</v>
      </c>
      <c r="FP37">
        <f>BL38-Table2[[#This Row],[2F1 - PDB 6 - Bread, B2B section]]</f>
        <v>0</v>
      </c>
      <c r="FQ37">
        <f>(CG38-Table2[[#This Row],[9F5 - PDB 14 - Bread Lift]])</f>
        <v>0</v>
      </c>
      <c r="FR37">
        <f>CJ38-Table2[[#This Row],[PDB - 16 Bread Section]]</f>
        <v>0</v>
      </c>
      <c r="FS37">
        <f>BU38-Table2[[#This Row],[7F1 Donut Production area]]</f>
        <v>0</v>
      </c>
      <c r="FT37">
        <f>CB38-Table2[[#This Row],[8F5 Donut Ban Bary]]</f>
        <v>0</v>
      </c>
      <c r="FU37">
        <f>CF38-Table2[[#This Row],[9F4 - PDB 13 - Donut Sink Geyser area]]</f>
        <v>0</v>
      </c>
      <c r="FV37">
        <f>BV38-Table2[[#This Row],[7F2 Flour Silo]]</f>
        <v>0</v>
      </c>
      <c r="FW37">
        <f>BY38-Table2[[#This Row],[8F2 ACPDB - 3 SILO Ventilation]]</f>
        <v>0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27" activePane="bottomLeft" state="frozen"/>
      <selection pane="bottomLeft" activeCell="S6" sqref="S6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/>
      <c r="I36" s="34">
        <v>725348.1</v>
      </c>
      <c r="J36" s="34">
        <v>1454752</v>
      </c>
      <c r="L36" s="46">
        <f t="shared" si="3"/>
        <v>-414431.1</v>
      </c>
      <c r="M36" s="46">
        <f t="shared" si="3"/>
        <v>0</v>
      </c>
      <c r="N36" s="46">
        <f t="shared" si="3"/>
        <v>-49879.4</v>
      </c>
      <c r="O36" s="46">
        <f t="shared" si="3"/>
        <v>-372468.2</v>
      </c>
      <c r="P36" s="46">
        <f t="shared" si="3"/>
        <v>-249991.9</v>
      </c>
      <c r="Q36" s="46">
        <f t="shared" si="3"/>
        <v>-533806.9</v>
      </c>
      <c r="R36" s="46">
        <f t="shared" si="3"/>
        <v>0</v>
      </c>
      <c r="S36" s="46">
        <f t="shared" si="3"/>
        <v>-725348.1</v>
      </c>
      <c r="T36" s="46">
        <f t="shared" si="3"/>
        <v>-1454752</v>
      </c>
      <c r="U36" s="47">
        <f t="shared" si="4"/>
        <v>-948238</v>
      </c>
      <c r="V36" s="47">
        <f t="shared" si="4"/>
        <v>0</v>
      </c>
      <c r="W36" s="47">
        <f t="shared" si="4"/>
        <v>-775227.5</v>
      </c>
      <c r="X36" s="47">
        <f t="shared" si="2"/>
        <v>-2077212.1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4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4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2026-07-27T04:18:06Z</dcterms:modified>
</cp:coreProperties>
</file>