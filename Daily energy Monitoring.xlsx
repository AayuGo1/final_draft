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61" i="2" l="1"/>
  <c r="FZ61" i="2"/>
  <c r="FY61" i="2"/>
  <c r="FX61" i="2"/>
  <c r="FW61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GA60" i="2"/>
  <c r="FZ60" i="2"/>
  <c r="FY60" i="2"/>
  <c r="FX60" i="2"/>
  <c r="FW60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GA59" i="2"/>
  <c r="FZ59" i="2"/>
  <c r="FY59" i="2"/>
  <c r="FX59" i="2"/>
  <c r="FW59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GA58" i="2"/>
  <c r="FZ58" i="2"/>
  <c r="FY58" i="2"/>
  <c r="FX58" i="2"/>
  <c r="FW58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GA57" i="2"/>
  <c r="FZ57" i="2"/>
  <c r="FY57" i="2"/>
  <c r="FX57" i="2"/>
  <c r="FW57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GA56" i="2"/>
  <c r="FZ56" i="2"/>
  <c r="FY56" i="2"/>
  <c r="FX56" i="2"/>
  <c r="FW56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GA55" i="2"/>
  <c r="FZ55" i="2"/>
  <c r="FY55" i="2"/>
  <c r="FX55" i="2"/>
  <c r="FW55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GA54" i="2"/>
  <c r="FZ54" i="2"/>
  <c r="FY54" i="2"/>
  <c r="FX54" i="2"/>
  <c r="FW54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GA52" i="2"/>
  <c r="FZ52" i="2"/>
  <c r="FY52" i="2"/>
  <c r="FX52" i="2"/>
  <c r="FW52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GA51" i="2"/>
  <c r="FZ51" i="2"/>
  <c r="FY51" i="2"/>
  <c r="FX51" i="2"/>
  <c r="FW51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V55" i="3" s="1"/>
  <c r="L55" i="3"/>
  <c r="U55" i="3" s="1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X58" i="3" l="1"/>
  <c r="V58" i="3"/>
  <c r="V57" i="3"/>
  <c r="U56" i="3"/>
  <c r="W55" i="3"/>
  <c r="W54" i="3"/>
  <c r="V54" i="3"/>
  <c r="U54" i="3"/>
  <c r="X53" i="3"/>
  <c r="U52" i="3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<sst xmlns="http://schemas.openxmlformats.org/spreadsheetml/2006/main" count="686" uniqueCount="291">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</sst>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1"/>
  <sheetViews>
    <sheetView tabSelected="1" workbookViewId="0">
      <pane xSplit="1" ySplit="2" topLeftCell="DG40" activePane="bottomRight" state="frozen"/>
      <selection pane="topRight" activeCell="B1" sqref="B1"/>
      <selection pane="bottomLeft" activeCell="A3" sqref="A3"/>
      <selection pane="bottomRight" activeCell="DG50" sqref="DG50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>
        <f>BZ35-Table2[[#This Row],[8F3 ACPDB - 4 WH Dock air curtain]]</f>
        <v>-5.7590000000054715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114324.12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114326.76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7.2880000000004657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25760.000000000218</v>
      </c>
      <c r="DJ42">
        <f>(DA43-Table2[[#This Row],[PNG Meter (Outside)]])*2.936</f>
        <v>28.567279999998718</v>
      </c>
      <c r="DK42">
        <f>(DB43-Table2[[#This Row],[PNG Meter (Inside)]])*2.936</f>
        <v>369.0375839999665</v>
      </c>
      <c r="DL42">
        <f>(BH43-Table2[[#This Row],[3F Dough cooler - 2 ]])*1000</f>
        <v>435.99999999997863</v>
      </c>
      <c r="DM42">
        <f>(BI43-Table2[[#This Row],[3F Dough Cooler- 1]])*1000</f>
        <v>471.99999999997999</v>
      </c>
      <c r="DN42">
        <f>(BJ43-Table2[[#This Row],[4F Dough Production cooling Unit]])*1000</f>
        <v>55.999999999999162</v>
      </c>
      <c r="DO42">
        <f>(BQ43-Table2[[#This Row],[3F2 - PDB 3 - Dough Production Area]])*1000</f>
        <v>231.9999999999709</v>
      </c>
      <c r="DP42">
        <f>(BR43-Table2[[#This Row],[3F3 - PDB 4 - Dough Area]])*1000</f>
        <v>131.99999999997658</v>
      </c>
      <c r="DQ42">
        <f>AC43-Table2[[#This Row],[16F1 Tray washer Panel for Light]]</f>
        <v>702.23999999975786</v>
      </c>
      <c r="DR42">
        <f>CQ43-Table2[[#This Row],[2F1 Tray Washer - 1]]</f>
        <v>1463.3599999998696</v>
      </c>
      <c r="DS42">
        <f>CS43-Table2[[#This Row],[2F5 Destacker]]</f>
        <v>252.15999999997439</v>
      </c>
      <c r="DT42">
        <f>CU43-Table2[[#This Row],[5F1 Metering (TW-2)]]</f>
        <v>208.21999999997206</v>
      </c>
      <c r="DU42">
        <f>CV43-Table2[[#This Row],[6F1 Pre soaker Tray washer]]</f>
        <v>6.3999999983934686E-3</v>
      </c>
      <c r="DV42">
        <f>CZ43-Table2[[#This Row],[6F5 Vent tray Storage]]</f>
        <v>48.847999999998137</v>
      </c>
      <c r="DW42">
        <f>I43-Table2[[#This Row],[Popeyes Meter ]]</f>
        <v>36.640000000000327</v>
      </c>
      <c r="DX42">
        <f>AZ43-Table2[[#This Row],[2F WH Chiller, Segregation Area]]</f>
        <v>0</v>
      </c>
      <c r="DY42">
        <f>BA43-Table2[[#This Row],[3F1 AC Unit WH dock cooling - 2 Nos]]</f>
        <v>18</v>
      </c>
      <c r="DZ42">
        <f>BB43-Table2[[#This Row],[3F2 AC Unit WH dock cooling - 3 Nos]]</f>
        <v>3.5000000000003695E-2</v>
      </c>
      <c r="EA42">
        <f>(BK43-Table2[[#This Row],[5F WH Perishable]])*1000</f>
        <v>278.99999999999636</v>
      </c>
      <c r="EB42">
        <f>BN43-Table2[[#This Row],[2F3 - PDB 9 - WH Dock Leveler Door ]]</f>
        <v>1.677599999999984</v>
      </c>
      <c r="EC42">
        <f>BP43-Table2[[#This Row],[3F1 - PDB 5 - WH HSD]]</f>
        <v>125.2160000000149</v>
      </c>
      <c r="ED42">
        <f>BX43-Table2[[#This Row],[8F1 WH Dock AHU - Ventilation]]</f>
        <v>2288.2399999999907</v>
      </c>
      <c r="EE42">
        <f>BZ43-Table2[[#This Row],[8F3 ACPDB - 4 WH Dock air curtain]]</f>
        <v>3.3040000000037253</v>
      </c>
      <c r="EF42">
        <f>CA43-Table2[[#This Row],[8F4 WH Light]]</f>
        <v>3.9999999989959178E-4</v>
      </c>
      <c r="EG42">
        <f>CC43-Table2[[#This Row],[9F1 - PDB 10 - WH Dock door &amp; Office]]</f>
        <v>90.544000000023516</v>
      </c>
      <c r="EH42">
        <f>CD43-Table2[[#This Row],[9F2 - PDB 11 - WH flycatchers]]</f>
        <v>204.22399999998743</v>
      </c>
      <c r="EI42">
        <f>CE43-Table2[[#This Row],[9F3 - PDB 12 - Other items]]</f>
        <v>0</v>
      </c>
      <c r="EJ42">
        <f>CR43-Table2[[#This Row],[2F3 - PDB 1 - Dock 1 to 4 ]]</f>
        <v>55.495999999984633</v>
      </c>
      <c r="EK42">
        <f>BM43-Table2[[#This Row],[2F2 - PDB 3 - WH Truck &amp; Battery Charging]]</f>
        <v>339.67999999999302</v>
      </c>
      <c r="EL42">
        <f>(CK43-Table2[[#This Row],[PDB - 11 Truck Charging]])*1000</f>
        <v>51.999999999992497</v>
      </c>
      <c r="EM42">
        <f>P43-Table2[[#This Row],[5F3 Admin Area]]</f>
        <v>347.00800000003073</v>
      </c>
      <c r="EN42">
        <f>AH43-Table2[[#This Row],[2F5 Main Gate-1 Piller -1]]</f>
        <v>78.392000000021653</v>
      </c>
      <c r="EO42">
        <f>CW43-Table2[[#This Row],[6F2 Ground Floor AC]]</f>
        <v>18.899199999999837</v>
      </c>
      <c r="EP42">
        <f>CX43-Table2[[#This Row],[6F3 ACBD -1 (First floor AC)]]</f>
        <v>0</v>
      </c>
      <c r="EQ42">
        <f>CY43-Table2[[#This Row],[6F4 ACBD - 2 (Second &amp; Third floor AC)]]</f>
        <v>118.32000000000698</v>
      </c>
      <c r="ER42">
        <f>(BC43-Table2[[#This Row],[4F Old BMC cooling Unit]])</f>
        <v>0</v>
      </c>
      <c r="ES42">
        <f>BO43-Table2[[#This Row],[2F4 - Old BMC]]</f>
        <v>3.9487999999983003</v>
      </c>
      <c r="ET42">
        <f>Y43-Table2[[#This Row],[14F2 New CK]]</f>
        <v>1431.1999999999534</v>
      </c>
      <c r="EU42">
        <f>(CL43-Table2[[#This Row],[OLD Ck Panel-1]])*1000</f>
        <v>683.99999999996908</v>
      </c>
      <c r="EV42">
        <f>CM43-Table2[[#This Row],[2F4 Old CK Blast (Blue star)]]</f>
        <v>0</v>
      </c>
      <c r="EW42">
        <f>CN43-Table2[[#This Row],[3F6 Old CK Blast (Carrier)]]</f>
        <v>555.5</v>
      </c>
      <c r="EX42">
        <f>(CO43-Table2[[#This Row],[Old CK Panel -2]])*1000</f>
        <v>782.99999999990177</v>
      </c>
      <c r="EY42">
        <f>N43-Table2[[#This Row],[4F1 Main UPS 1/C -1]]</f>
        <v>940.31999999983236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33.000000000001251</v>
      </c>
      <c r="FC42">
        <f>BW43-Table2[[#This Row],[7F3 CLC Power Panel]]</f>
        <v>315.32800000009593</v>
      </c>
      <c r="FD42">
        <f>(CI43-Table2[[#This Row],[PDB - 17 CLC Section ]])*1000</f>
        <v>212.99999999999386</v>
      </c>
      <c r="FE42">
        <f>(W43-Table2[[#This Row],[13F3 Water &amp; Lift Old CK]])*1000</f>
        <v>927.00000000013461</v>
      </c>
      <c r="FF42">
        <f>AA43-Table2[[#This Row],[15F2 New ETP Panel]]</f>
        <v>264.57600000000093</v>
      </c>
      <c r="FG42">
        <f>AL43-Table2[[#This Row],[3F4 Old ETP Panel]]</f>
        <v>66.912000000011176</v>
      </c>
      <c r="FH42">
        <f>AF43-Table2[[#This Row],[2F1 RO Plant]]</f>
        <v>562.23999999999069</v>
      </c>
      <c r="FI42">
        <f>AK43-Table2[[#This Row],[3F3 Fire Hydrant Panel]]</f>
        <v>10.440000000002328</v>
      </c>
      <c r="FJ42">
        <f>R43-Table2[[#This Row],[7F1 Freon System Panel]]</f>
        <v>5639.0400000000373</v>
      </c>
      <c r="FK42">
        <f>(AE43-Table2[[#This Row],[21F1 Refrigeration Ammonia]])*1000</f>
        <v>6089.5999999993364</v>
      </c>
      <c r="FL42">
        <f>(AG43-Table2[[#This Row],[2F3 Air Compressor]])*1000</f>
        <v>1231.9999999999709</v>
      </c>
      <c r="FM42">
        <f>(AX43-Table2[[#This Row],[Solar Reading Panel II]])*1000</f>
        <v>883.00000000072032</v>
      </c>
      <c r="FN42">
        <f>AI43-Table2[[#This Row],[3F1 Maintenance Workshop]]</f>
        <v>4.3600000000005821</v>
      </c>
      <c r="FO42">
        <f>BD43-Table2[[#This Row],[4F B2B unit ]]</f>
        <v>56.479999999981374</v>
      </c>
      <c r="FP42">
        <f>BL43-Table2[[#This Row],[2F1 - PDB 6 - Bread, B2B section]]</f>
        <v>163.80160000000615</v>
      </c>
      <c r="FQ42">
        <f>(CG43-Table2[[#This Row],[9F5 - PDB 14 - Bread Lift]])</f>
        <v>-324719.3504</v>
      </c>
      <c r="FR42">
        <f>CJ43-Table2[[#This Row],[PDB - 16 Bread Section]]</f>
        <v>9.9999999999909051E-2</v>
      </c>
      <c r="FS42">
        <f>BU43-Table2[[#This Row],[7F1 Donut Production area]]</f>
        <v>200.76799999992363</v>
      </c>
      <c r="FT42">
        <f>CB43-Table2[[#This Row],[8F5 Donut Ban Bary]]</f>
        <v>41.01600000000326</v>
      </c>
      <c r="FU42">
        <f>CF43-Table2[[#This Row],[9F4 - PDB 13 - Donut Sink Geyser area]]</f>
        <v>28.175999999977648</v>
      </c>
      <c r="FV42">
        <f>BV43-Table2[[#This Row],[7F2 Flour Silo]]</f>
        <v>507.11999999999534</v>
      </c>
      <c r="FW42">
        <f>BY43-Table2[[#This Row],[8F2 ACPDB - 3 SILO Ventilation]]</f>
        <v>47.919999999983702</v>
      </c>
      <c r="FX42">
        <f>J43-Table2[[#This Row],[DG 1010KVA Running Hours]]</f>
        <v>0.1999999999998181</v>
      </c>
      <c r="FY42">
        <f>K43-Table2[[#This Row],[DG 1010 KVA Meter Reading]]</f>
        <v>78</v>
      </c>
      <c r="FZ42">
        <f>L43-Table2[[#This Row],[GG 1010 KVA Running Hours]]</f>
        <v>0</v>
      </c>
      <c r="GA42">
        <f>M43-Table2[[#This Row],[GG 1010 KVA Meter Reading]]</f>
        <v>3.0000000000001137E-2</v>
      </c>
    </row>
    <row r="43" spans="1:183" x14ac:dyDescent="0.35">
      <c r="A43" s="1">
        <v>53</v>
      </c>
      <c r="B43" s="2">
        <v>46241.401805555557</v>
      </c>
      <c r="C43" s="2">
        <v>46241.444965277777</v>
      </c>
      <c r="D43" s="1" t="s">
        <v>111</v>
      </c>
      <c r="E43" s="1"/>
      <c r="F43" s="1"/>
      <c r="G43" s="3">
        <v>46241</v>
      </c>
      <c r="H43" s="1" t="s">
        <v>186</v>
      </c>
      <c r="I43" s="6">
        <v>6892.7920000000004</v>
      </c>
      <c r="J43" s="6">
        <v>4274.8</v>
      </c>
      <c r="K43" s="6">
        <v>1777100</v>
      </c>
      <c r="L43" s="6">
        <v>454</v>
      </c>
      <c r="M43" s="6">
        <v>191.28</v>
      </c>
      <c r="N43" s="6">
        <v>1871567.68</v>
      </c>
      <c r="O43" s="6">
        <v>4604417.5999999996</v>
      </c>
      <c r="P43" s="6">
        <v>647064.70400000003</v>
      </c>
      <c r="Q43" s="6">
        <v>8099036.7999999998</v>
      </c>
      <c r="R43" s="6">
        <v>5557907.2000000002</v>
      </c>
      <c r="S43" s="6">
        <v>7373492.4800000004</v>
      </c>
      <c r="T43" s="6">
        <v>43240868.734999999</v>
      </c>
      <c r="U43" s="6">
        <v>2107465.44</v>
      </c>
      <c r="V43" s="6">
        <v>5121930.88</v>
      </c>
      <c r="W43" s="6">
        <v>1594.4507000000001</v>
      </c>
      <c r="X43" s="6">
        <v>774810.56</v>
      </c>
      <c r="Y43" s="6">
        <v>1097424.48</v>
      </c>
      <c r="Z43" s="6">
        <v>2777.8894</v>
      </c>
      <c r="AA43" s="6">
        <v>669592.44799999997</v>
      </c>
      <c r="AB43" s="6">
        <v>421319.07199999999</v>
      </c>
      <c r="AC43" s="6">
        <v>2141569.2799999998</v>
      </c>
      <c r="AD43" s="6">
        <v>4076326.523</v>
      </c>
      <c r="AE43" s="6">
        <v>12828.6312</v>
      </c>
      <c r="AF43" s="6">
        <v>877184.51199999999</v>
      </c>
      <c r="AG43" s="6">
        <v>1402.624</v>
      </c>
      <c r="AH43" s="6">
        <v>133746.78400000001</v>
      </c>
      <c r="AI43" s="6">
        <v>14641.830400000001</v>
      </c>
      <c r="AJ43" s="6">
        <v>145374.52799999999</v>
      </c>
      <c r="AK43" s="6">
        <v>105284.12</v>
      </c>
      <c r="AL43" s="6">
        <v>330834.94400000002</v>
      </c>
      <c r="AM43" s="6">
        <v>993.42700000000002</v>
      </c>
      <c r="AN43" s="6">
        <v>337</v>
      </c>
      <c r="AO43" s="6">
        <v>7.7</v>
      </c>
      <c r="AP43" s="6">
        <v>487903</v>
      </c>
      <c r="AQ43" s="6">
        <v>42349</v>
      </c>
      <c r="AR43" s="6">
        <v>41804</v>
      </c>
      <c r="AS43" s="6">
        <v>32390</v>
      </c>
      <c r="AT43" s="6">
        <v>22106</v>
      </c>
      <c r="AU43" s="6">
        <v>15719</v>
      </c>
      <c r="AV43" s="6">
        <v>6479</v>
      </c>
      <c r="AW43" s="6">
        <v>20.946397999999999</v>
      </c>
      <c r="AX43" s="6">
        <v>7246.6090000000004</v>
      </c>
      <c r="AY43" s="6">
        <v>679.48599999999999</v>
      </c>
      <c r="AZ43" s="6">
        <v>20.788</v>
      </c>
      <c r="BA43" s="6">
        <v>10460</v>
      </c>
      <c r="BB43" s="6">
        <v>44.954000000000001</v>
      </c>
      <c r="BC43" s="6">
        <v>113989.152</v>
      </c>
      <c r="BD43" s="6">
        <v>276187.424</v>
      </c>
      <c r="BE43" s="6">
        <v>3730.5796</v>
      </c>
      <c r="BF43" s="6">
        <v>1712.0419999999999</v>
      </c>
      <c r="BG43" s="6">
        <v>75.153000000000006</v>
      </c>
      <c r="BH43" s="6">
        <v>366.084</v>
      </c>
      <c r="BI43" s="6">
        <v>917.226</v>
      </c>
      <c r="BJ43" s="6">
        <v>14.856</v>
      </c>
      <c r="BK43" s="6">
        <v>565.36900000000003</v>
      </c>
      <c r="BL43" s="6">
        <v>73468.390400000004</v>
      </c>
      <c r="BM43" s="6">
        <v>311112.32000000001</v>
      </c>
      <c r="BN43" s="6">
        <v>7200.0616</v>
      </c>
      <c r="BO43" s="6">
        <v>53582.688000000002</v>
      </c>
      <c r="BP43" s="6">
        <v>314832.64000000001</v>
      </c>
      <c r="BQ43" s="6">
        <v>326.28899999999999</v>
      </c>
      <c r="BR43" s="6">
        <v>181.71199999999999</v>
      </c>
      <c r="BS43" s="6">
        <v>1016634.1</v>
      </c>
      <c r="BT43" s="6">
        <v>1400620.737</v>
      </c>
      <c r="BU43" s="6">
        <v>630159.29599999997</v>
      </c>
      <c r="BV43" s="6">
        <v>1025048.16</v>
      </c>
      <c r="BW43" s="6">
        <v>569841.98400000005</v>
      </c>
      <c r="BX43" s="6">
        <v>1007787.84</v>
      </c>
      <c r="BY43" s="6">
        <v>157989.50399999999</v>
      </c>
      <c r="BZ43" s="6">
        <v>114382.74400000001</v>
      </c>
      <c r="CA43" s="6">
        <v>1244.3390999999999</v>
      </c>
      <c r="CB43" s="6">
        <v>108925.928</v>
      </c>
      <c r="CC43" s="6">
        <v>151370.91200000001</v>
      </c>
      <c r="CD43" s="6">
        <v>447568.44799999997</v>
      </c>
      <c r="CE43" s="6">
        <v>49125.260799999996</v>
      </c>
      <c r="CF43" s="6">
        <v>156071.35999999999</v>
      </c>
      <c r="CG43" s="6">
        <v>36088.8128</v>
      </c>
      <c r="CH43" s="6">
        <v>2385.8710000000001</v>
      </c>
      <c r="CI43" s="6">
        <v>215.31899999999999</v>
      </c>
      <c r="CJ43" s="6">
        <v>1191.5999999999999</v>
      </c>
      <c r="CK43" s="6">
        <v>78.358999999999995</v>
      </c>
      <c r="CL43" s="6">
        <v>736.34199999999998</v>
      </c>
      <c r="CM43" s="6">
        <v>551.4</v>
      </c>
      <c r="CN43" s="6">
        <v>46846.3</v>
      </c>
      <c r="CO43" s="6">
        <v>1655.2809999999999</v>
      </c>
      <c r="CP43" s="6">
        <v>295074.49099999998</v>
      </c>
      <c r="CQ43" s="6">
        <v>3691032</v>
      </c>
      <c r="CR43" s="6">
        <v>131604.28</v>
      </c>
      <c r="CS43" s="6">
        <v>515973.728</v>
      </c>
      <c r="CT43" s="6">
        <v>2946102.2859999998</v>
      </c>
      <c r="CU43" s="6">
        <v>300053.62699999998</v>
      </c>
      <c r="CV43" s="6">
        <v>30139.727999999999</v>
      </c>
      <c r="CW43" s="6">
        <v>63015.897599999997</v>
      </c>
      <c r="CX43" s="6">
        <v>33466.092799999999</v>
      </c>
      <c r="CY43" s="6">
        <v>168611.05600000001</v>
      </c>
      <c r="CZ43" s="6">
        <v>218311.008</v>
      </c>
      <c r="DA43" s="6">
        <v>19132.689999999999</v>
      </c>
      <c r="DB43" s="6">
        <v>150782.07399999999</v>
      </c>
      <c r="DC43" s="6">
        <v>3061.24</v>
      </c>
      <c r="DD43" s="6">
        <v>3061.11</v>
      </c>
      <c r="DE43" s="6">
        <v>3088.84</v>
      </c>
      <c r="DF43" s="6">
        <v>0.97399999999999998</v>
      </c>
      <c r="DG43" s="1" t="s">
        <v>280</v>
      </c>
      <c r="DH43" s="4">
        <f>Table2[[#This Row],[Date]]</f>
        <v>46241</v>
      </c>
      <c r="DI43">
        <f>(DD44-Table2[[#This Row],[MWH Total]])*4000</f>
        <v>26559.999999999491</v>
      </c>
      <c r="DJ43">
        <f>(DA44-Table2[[#This Row],[PNG Meter (Outside)]])*2.936</f>
        <v>16.676480000000854</v>
      </c>
      <c r="DK43">
        <f>(DB44-Table2[[#This Row],[PNG Meter (Inside)]])*2.936</f>
        <v>438.60904000004103</v>
      </c>
      <c r="DL43">
        <f>(BH44-Table2[[#This Row],[3F Dough cooler - 2 ]])*1000</f>
        <v>445.99999999996953</v>
      </c>
      <c r="DM43">
        <f>(BI44-Table2[[#This Row],[3F Dough Cooler- 1]])*1000</f>
        <v>481.9999999999709</v>
      </c>
      <c r="DN43">
        <f>(BJ44-Table2[[#This Row],[4F Dough Production cooling Unit]])*1000</f>
        <v>57.000000000000384</v>
      </c>
      <c r="DO43">
        <f>(BQ44-Table2[[#This Row],[3F2 - PDB 3 - Dough Production Area]])*1000</f>
        <v>197.00000000000273</v>
      </c>
      <c r="DP43">
        <f>(BR44-Table2[[#This Row],[3F3 - PDB 4 - Dough Area]])*1000</f>
        <v>116.00000000001387</v>
      </c>
      <c r="DQ43">
        <f>AC44-Table2[[#This Row],[16F1 Tray washer Panel for Light]]</f>
        <v>745.44000000040978</v>
      </c>
      <c r="DR43">
        <f>CQ44-Table2[[#This Row],[2F1 Tray Washer - 1]]</f>
        <v>1303.3599999998696</v>
      </c>
      <c r="DS43">
        <f>CS44-Table2[[#This Row],[2F5 Destacker]]</f>
        <v>254.7839999999851</v>
      </c>
      <c r="DT43">
        <f>CU44-Table2[[#This Row],[5F1 Metering (TW-2)]]</f>
        <v>224.56800000002841</v>
      </c>
      <c r="DU43">
        <f>CV44-Table2[[#This Row],[6F1 Pre soaker Tray washer]]</f>
        <v>0</v>
      </c>
      <c r="DV43">
        <f>CZ44-Table2[[#This Row],[6F5 Vent tray Storage]]</f>
        <v>60.063999999983935</v>
      </c>
      <c r="DW43">
        <f>I44-Table2[[#This Row],[Popeyes Meter ]]</f>
        <v>39.489999999999782</v>
      </c>
      <c r="DX43">
        <f>AZ44-Table2[[#This Row],[2F WH Chiller, Segregation Area]]</f>
        <v>0</v>
      </c>
      <c r="DY43">
        <f>BA44-Table2[[#This Row],[3F1 AC Unit WH dock cooling - 2 Nos]]</f>
        <v>20</v>
      </c>
      <c r="DZ43">
        <f>BB44-Table2[[#This Row],[3F2 AC Unit WH dock cooling - 3 Nos]]</f>
        <v>3.6000000000001364E-2</v>
      </c>
      <c r="EA43">
        <f>(BK44-Table2[[#This Row],[5F WH Perishable]])*1000</f>
        <v>278.99999999999636</v>
      </c>
      <c r="EB43">
        <f>BN44-Table2[[#This Row],[2F3 - PDB 9 - WH Dock Leveler Door ]]</f>
        <v>4.1791999999995824</v>
      </c>
      <c r="EC43">
        <f>BP44-Table2[[#This Row],[3F1 - PDB 5 - WH HSD]]</f>
        <v>105.69599999999627</v>
      </c>
      <c r="ED43">
        <f>BX44-Table2[[#This Row],[8F1 WH Dock AHU - Ventilation]]</f>
        <v>2313.359999999986</v>
      </c>
      <c r="EE43">
        <f>BZ44-Table2[[#This Row],[8F3 ACPDB - 4 WH Dock air curtain]]</f>
        <v>19.639999999999418</v>
      </c>
      <c r="EF43">
        <f>CA44-Table2[[#This Row],[8F4 WH Light]]</f>
        <v>0</v>
      </c>
      <c r="EG43">
        <f>CC44-Table2[[#This Row],[9F1 - PDB 10 - WH Dock door &amp; Office]]</f>
        <v>60.543999999994412</v>
      </c>
      <c r="EH43">
        <f>CD44-Table2[[#This Row],[9F2 - PDB 11 - WH flycatchers]]</f>
        <v>103.26400000002468</v>
      </c>
      <c r="EI43">
        <f>CE44-Table2[[#This Row],[9F3 - PDB 12 - Other items]]</f>
        <v>0.76160000000527361</v>
      </c>
      <c r="EJ43">
        <f>CR44-Table2[[#This Row],[2F3 - PDB 1 - Dock 1 to 4 ]]</f>
        <v>58.880000000004657</v>
      </c>
      <c r="EK43">
        <f>BM44-Table2[[#This Row],[2F2 - PDB 3 - WH Truck &amp; Battery Charging]]</f>
        <v>227.8399999999674</v>
      </c>
      <c r="EL43">
        <f>(CK44-Table2[[#This Row],[PDB - 11 Truck Charging]])*1000</f>
        <v>17.000000000010118</v>
      </c>
      <c r="EM43">
        <f>P44-Table2[[#This Row],[5F3 Admin Area]]</f>
        <v>367.48800000001211</v>
      </c>
      <c r="EN43">
        <f>AH44-Table2[[#This Row],[2F5 Main Gate-1 Piller -1]]</f>
        <v>78.639999999984866</v>
      </c>
      <c r="EO43">
        <f>CW44-Table2[[#This Row],[6F2 Ground Floor AC]]</f>
        <v>23.987200000003213</v>
      </c>
      <c r="EP43">
        <f>CX44-Table2[[#This Row],[6F3 ACBD -1 (First floor AC)]]</f>
        <v>0</v>
      </c>
      <c r="EQ43">
        <f>CY44-Table2[[#This Row],[6F4 ACBD - 2 (Second &amp; Third floor AC)]]</f>
        <v>115.2960000000021</v>
      </c>
      <c r="ER43">
        <f>(BC44-Table2[[#This Row],[4F Old BMC cooling Unit]])</f>
        <v>0</v>
      </c>
      <c r="ES43">
        <f>BO44-Table2[[#This Row],[2F4 - Old BMC]]</f>
        <v>4.7583999999988009</v>
      </c>
      <c r="ET43">
        <f>Y44-Table2[[#This Row],[14F2 New CK]]</f>
        <v>1413.3600000001024</v>
      </c>
      <c r="EU43">
        <f>(CL44-Table2[[#This Row],[OLD Ck Panel-1]])*1000</f>
        <v>682.00000000001637</v>
      </c>
      <c r="EV43">
        <f>CM44-Table2[[#This Row],[2F4 Old CK Blast (Blue star)]]</f>
        <v>0</v>
      </c>
      <c r="EW43">
        <f>CN44-Table2[[#This Row],[3F6 Old CK Blast (Carrier)]]</f>
        <v>567</v>
      </c>
      <c r="EX43">
        <f>(CO44-Table2[[#This Row],[Old CK Panel -2]])*1000</f>
        <v>899.0000000001146</v>
      </c>
      <c r="EY43">
        <f>N44-Table2[[#This Row],[4F1 Main UPS 1/C -1]]</f>
        <v>967.19999999995343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33.999999999991815</v>
      </c>
      <c r="FC43">
        <f>BW44-Table2[[#This Row],[7F3 CLC Power Panel]]</f>
        <v>267.07199999992736</v>
      </c>
      <c r="FD43">
        <f>(CI44-Table2[[#This Row],[PDB - 17 CLC Section ]])*1000</f>
        <v>168.00000000000637</v>
      </c>
      <c r="FE43">
        <f>(W44-Table2[[#This Row],[13F3 Water &amp; Lift Old CK]])*1000</f>
        <v>919.99999999984539</v>
      </c>
      <c r="FF43">
        <f>AA44-Table2[[#This Row],[15F2 New ETP Panel]]</f>
        <v>273.92000000004191</v>
      </c>
      <c r="FG43">
        <f>AL44-Table2[[#This Row],[3F4 Old ETP Panel]]</f>
        <v>74.048000000009779</v>
      </c>
      <c r="FH43">
        <f>AF44-Table2[[#This Row],[2F1 RO Plant]]</f>
        <v>571.32799999997951</v>
      </c>
      <c r="FI43">
        <f>AK44-Table2[[#This Row],[3F3 Fire Hydrant Panel]]</f>
        <v>10.680000000007567</v>
      </c>
      <c r="FJ43">
        <f>R44-Table2[[#This Row],[7F1 Freon System Panel]]</f>
        <v>6190.7199999997392</v>
      </c>
      <c r="FK43">
        <f>(AE44-Table2[[#This Row],[21F1 Refrigeration Ammonia]])*1000</f>
        <v>5926.4000000002852</v>
      </c>
      <c r="FL43">
        <f>(AG44-Table2[[#This Row],[2F3 Air Compressor]])*1000</f>
        <v>1249.0000000000236</v>
      </c>
      <c r="FM43">
        <f>(AX44-Table2[[#This Row],[Solar Reading Panel II]])*1000</f>
        <v>944.99999999970896</v>
      </c>
      <c r="FN43">
        <f>AI44-Table2[[#This Row],[3F1 Maintenance Workshop]]</f>
        <v>5.3663999999989755</v>
      </c>
      <c r="FO43">
        <f>BD44-Table2[[#This Row],[4F B2B unit ]]</f>
        <v>61.887999999977183</v>
      </c>
      <c r="FP43">
        <f>BL44-Table2[[#This Row],[2F1 - PDB 6 - Bread, B2B section]]</f>
        <v>234.30399999998917</v>
      </c>
      <c r="FQ43">
        <f>(CG44-Table2[[#This Row],[9F5 - PDB 14 - Bread Lift]])</f>
        <v>0.55679999999847496</v>
      </c>
      <c r="FR43">
        <f>CJ44-Table2[[#This Row],[PDB - 16 Bread Section]]</f>
        <v>0</v>
      </c>
      <c r="FS43">
        <f>BU44-Table2[[#This Row],[7F1 Donut Production area]]</f>
        <v>186.4320000000298</v>
      </c>
      <c r="FT43">
        <f>CB44-Table2[[#This Row],[8F5 Donut Ban Bary]]</f>
        <v>52.495999999999185</v>
      </c>
      <c r="FU43">
        <f>CF44-Table2[[#This Row],[9F4 - PDB 13 - Donut Sink Geyser area]]</f>
        <v>21.600000000005821</v>
      </c>
      <c r="FV43">
        <f>BV44-Table2[[#This Row],[7F2 Flour Silo]]</f>
        <v>679.67999999993481</v>
      </c>
      <c r="FW43">
        <f>BY44-Table2[[#This Row],[8F2 ACPDB - 3 SILO Ventilation]]</f>
        <v>43.808000000019092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>
        <v>54</v>
      </c>
      <c r="B44" s="2">
        <v>46242.392696759256</v>
      </c>
      <c r="C44" s="2">
        <v>46242.434050925927</v>
      </c>
      <c r="D44" s="1" t="s">
        <v>111</v>
      </c>
      <c r="E44" s="1"/>
      <c r="F44" s="1"/>
      <c r="G44" s="3">
        <v>46242</v>
      </c>
      <c r="H44" s="1" t="s">
        <v>186</v>
      </c>
      <c r="I44" s="6">
        <v>6932.2820000000002</v>
      </c>
      <c r="J44" s="6">
        <v>4274.8</v>
      </c>
      <c r="K44" s="6">
        <v>1777100</v>
      </c>
      <c r="L44" s="6">
        <v>454</v>
      </c>
      <c r="M44" s="6">
        <v>191.28</v>
      </c>
      <c r="N44" s="6">
        <v>1872534.88</v>
      </c>
      <c r="O44" s="6">
        <v>4606378.5599999996</v>
      </c>
      <c r="P44" s="6">
        <v>647432.19200000004</v>
      </c>
      <c r="Q44" s="6">
        <v>8101157.1200000001</v>
      </c>
      <c r="R44" s="6">
        <v>5564097.9199999999</v>
      </c>
      <c r="S44" s="6">
        <v>7376673.9199999999</v>
      </c>
      <c r="T44" s="6">
        <v>42809081.963</v>
      </c>
      <c r="U44" s="6">
        <v>2108467.2000000002</v>
      </c>
      <c r="V44" s="6">
        <v>5123766.4000000004</v>
      </c>
      <c r="W44" s="6">
        <v>1595.3706999999999</v>
      </c>
      <c r="X44" s="6">
        <v>775034.304</v>
      </c>
      <c r="Y44" s="6">
        <v>1098837.8400000001</v>
      </c>
      <c r="Z44" s="6">
        <v>2777.8894</v>
      </c>
      <c r="AA44" s="6">
        <v>669866.36800000002</v>
      </c>
      <c r="AB44" s="6">
        <v>421329.85600000003</v>
      </c>
      <c r="AC44" s="6">
        <v>2142314.7200000002</v>
      </c>
      <c r="AD44" s="6">
        <v>2689039.625</v>
      </c>
      <c r="AE44" s="6">
        <v>12834.5576</v>
      </c>
      <c r="AF44" s="6">
        <v>877755.84</v>
      </c>
      <c r="AG44" s="6">
        <v>1403.873</v>
      </c>
      <c r="AH44" s="6">
        <v>133825.424</v>
      </c>
      <c r="AI44" s="6">
        <v>14647.1968</v>
      </c>
      <c r="AJ44" s="6">
        <v>145375.264</v>
      </c>
      <c r="AK44" s="6">
        <v>105294.8</v>
      </c>
      <c r="AL44" s="6">
        <v>330908.99200000003</v>
      </c>
      <c r="AM44" s="6">
        <v>994.10799999999995</v>
      </c>
      <c r="AN44" s="6">
        <v>166.1</v>
      </c>
      <c r="AO44" s="6">
        <v>6.7</v>
      </c>
      <c r="AP44" s="6">
        <v>498254</v>
      </c>
      <c r="AQ44" s="6">
        <v>42366</v>
      </c>
      <c r="AR44" s="6">
        <v>41821</v>
      </c>
      <c r="AS44" s="6">
        <v>32390</v>
      </c>
      <c r="AT44" s="6">
        <v>22106</v>
      </c>
      <c r="AU44" s="6">
        <v>15742</v>
      </c>
      <c r="AV44" s="6">
        <v>6493</v>
      </c>
      <c r="AW44" s="6">
        <v>20.952145999999999</v>
      </c>
      <c r="AX44" s="6">
        <v>7247.5540000000001</v>
      </c>
      <c r="AY44" s="6">
        <v>679.60320000000002</v>
      </c>
      <c r="AZ44" s="6">
        <v>20.788</v>
      </c>
      <c r="BA44" s="6">
        <v>10480</v>
      </c>
      <c r="BB44" s="6">
        <v>44.99</v>
      </c>
      <c r="BC44" s="6">
        <v>113989.152</v>
      </c>
      <c r="BD44" s="6">
        <v>276249.31199999998</v>
      </c>
      <c r="BE44" s="6">
        <v>3731.93</v>
      </c>
      <c r="BF44" s="6">
        <v>1712.0419999999999</v>
      </c>
      <c r="BG44" s="6">
        <v>75.186999999999998</v>
      </c>
      <c r="BH44" s="6">
        <v>366.53</v>
      </c>
      <c r="BI44" s="6">
        <v>917.70799999999997</v>
      </c>
      <c r="BJ44" s="6">
        <v>14.913</v>
      </c>
      <c r="BK44" s="6">
        <v>565.64800000000002</v>
      </c>
      <c r="BL44" s="6">
        <v>73702.694399999993</v>
      </c>
      <c r="BM44" s="6">
        <v>311340.15999999997</v>
      </c>
      <c r="BN44" s="6">
        <v>7204.2407999999996</v>
      </c>
      <c r="BO44" s="6">
        <v>53587.446400000001</v>
      </c>
      <c r="BP44" s="6">
        <v>314938.33600000001</v>
      </c>
      <c r="BQ44" s="6">
        <v>326.48599999999999</v>
      </c>
      <c r="BR44" s="6">
        <v>181.828</v>
      </c>
      <c r="BS44" s="6">
        <v>1017610.986</v>
      </c>
      <c r="BT44" s="6">
        <v>1400620.74</v>
      </c>
      <c r="BU44" s="6">
        <v>630345.728</v>
      </c>
      <c r="BV44" s="6">
        <v>1025727.84</v>
      </c>
      <c r="BW44" s="6">
        <v>570109.05599999998</v>
      </c>
      <c r="BX44" s="6">
        <v>1010101.2</v>
      </c>
      <c r="BY44" s="6">
        <v>158033.31200000001</v>
      </c>
      <c r="BZ44" s="6">
        <v>114402.38400000001</v>
      </c>
      <c r="CA44" s="6">
        <v>1244.3390999999999</v>
      </c>
      <c r="CB44" s="6">
        <v>108978.424</v>
      </c>
      <c r="CC44" s="6">
        <v>151431.45600000001</v>
      </c>
      <c r="CD44" s="6">
        <v>447671.712</v>
      </c>
      <c r="CE44" s="6">
        <v>49126.022400000002</v>
      </c>
      <c r="CF44" s="6">
        <v>156092.96</v>
      </c>
      <c r="CG44" s="6">
        <v>36089.369599999998</v>
      </c>
      <c r="CH44" s="6">
        <v>2385.8710000000001</v>
      </c>
      <c r="CI44" s="6">
        <v>215.48699999999999</v>
      </c>
      <c r="CJ44" s="6">
        <v>1191.5999999999999</v>
      </c>
      <c r="CK44" s="6">
        <v>78.376000000000005</v>
      </c>
      <c r="CL44" s="6">
        <v>737.024</v>
      </c>
      <c r="CM44" s="6">
        <v>551.4</v>
      </c>
      <c r="CN44" s="6">
        <v>47413.3</v>
      </c>
      <c r="CO44" s="6">
        <v>1656.18</v>
      </c>
      <c r="CP44" s="6">
        <v>295220.83100000001</v>
      </c>
      <c r="CQ44" s="6">
        <v>3692335.36</v>
      </c>
      <c r="CR44" s="6">
        <v>131663.16</v>
      </c>
      <c r="CS44" s="6">
        <v>516228.51199999999</v>
      </c>
      <c r="CT44" s="6">
        <v>2949332.5189999999</v>
      </c>
      <c r="CU44" s="6">
        <v>300278.19500000001</v>
      </c>
      <c r="CV44" s="6">
        <v>30139.727999999999</v>
      </c>
      <c r="CW44" s="6">
        <v>63039.8848</v>
      </c>
      <c r="CX44" s="6">
        <v>33466.092799999999</v>
      </c>
      <c r="CY44" s="6">
        <v>168726.35200000001</v>
      </c>
      <c r="CZ44" s="6">
        <v>218371.07199999999</v>
      </c>
      <c r="DA44" s="6">
        <v>19138.37</v>
      </c>
      <c r="DB44" s="6">
        <v>150931.46400000001</v>
      </c>
      <c r="DC44" s="6">
        <v>3067.84</v>
      </c>
      <c r="DD44" s="6">
        <v>3067.75</v>
      </c>
      <c r="DE44" s="6">
        <v>3095.79</v>
      </c>
      <c r="DF44" s="6">
        <v>0.97499999999999998</v>
      </c>
      <c r="DG44" s="1" t="s">
        <v>281</v>
      </c>
      <c r="DH44" s="4">
        <f>Table2[[#This Row],[Date]]</f>
        <v>46242</v>
      </c>
      <c r="DI44">
        <f>(DD45-Table2[[#This Row],[MWH Total]])*4000</f>
        <v>26600.000000000364</v>
      </c>
      <c r="DJ44">
        <f>(DA45-Table2[[#This Row],[PNG Meter (Outside)]])*2.936</f>
        <v>144.56864000000471</v>
      </c>
      <c r="DK44">
        <f>(DB45-Table2[[#This Row],[PNG Meter (Inside)]])*2.936</f>
        <v>169.42481600001639</v>
      </c>
      <c r="DL44">
        <f>(BH45-Table2[[#This Row],[3F Dough cooler - 2 ]])*1000</f>
        <v>299.00000000003502</v>
      </c>
      <c r="DM44">
        <f>(BI45-Table2[[#This Row],[3F Dough Cooler- 1]])*1000</f>
        <v>1330.0000000000409</v>
      </c>
      <c r="DN44">
        <f>(BJ45-Table2[[#This Row],[4F Dough Production cooling Unit]])*1000</f>
        <v>38.999999999999702</v>
      </c>
      <c r="DO44">
        <f>(BQ45-Table2[[#This Row],[3F2 - PDB 3 - Dough Production Area]])*1000</f>
        <v>163.00000000001091</v>
      </c>
      <c r="DP44">
        <f>(BR45-Table2[[#This Row],[3F3 - PDB 4 - Dough Area]])*1000</f>
        <v>85.999999999984311</v>
      </c>
      <c r="DQ44">
        <f>AC45-Table2[[#This Row],[16F1 Tray washer Panel for Light]]</f>
        <v>580</v>
      </c>
      <c r="DR44">
        <f>CQ45-Table2[[#This Row],[2F1 Tray Washer - 1]]</f>
        <v>1074.5600000000559</v>
      </c>
      <c r="DS44">
        <f>CS45-Table2[[#This Row],[2F5 Destacker]]</f>
        <v>173.28000000002794</v>
      </c>
      <c r="DT44">
        <f>CU45-Table2[[#This Row],[5F1 Metering (TW-2)]]</f>
        <v>165.63400000002002</v>
      </c>
      <c r="DU44">
        <f>CV45-Table2[[#This Row],[6F1 Pre soaker Tray washer]]</f>
        <v>8.9599999999336433E-2</v>
      </c>
      <c r="DV44">
        <f>CZ45-Table2[[#This Row],[6F5 Vent tray Storage]]</f>
        <v>56.352000000013504</v>
      </c>
      <c r="DW44">
        <f>I45-Table2[[#This Row],[Popeyes Meter ]]</f>
        <v>25.069999999999709</v>
      </c>
      <c r="DX44">
        <f>AZ45-Table2[[#This Row],[2F WH Chiller, Segregation Area]]</f>
        <v>0</v>
      </c>
      <c r="DY44">
        <f>BA45-Table2[[#This Row],[3F1 AC Unit WH dock cooling - 2 Nos]]</f>
        <v>15</v>
      </c>
      <c r="DZ44">
        <f>BB45-Table2[[#This Row],[3F2 AC Unit WH dock cooling - 3 Nos]]</f>
        <v>3.1999999999996476E-2</v>
      </c>
      <c r="EA44">
        <f>(BK45-Table2[[#This Row],[5F WH Perishable]])*1000</f>
        <v>197.99999999997908</v>
      </c>
      <c r="EB44">
        <f>BN45-Table2[[#This Row],[2F3 - PDB 9 - WH Dock Leveler Door ]]</f>
        <v>4.8088000000007014</v>
      </c>
      <c r="EC44">
        <f>BP45-Table2[[#This Row],[3F1 - PDB 5 - WH HSD]]</f>
        <v>99.135999999998603</v>
      </c>
      <c r="ED44">
        <f>BX45-Table2[[#This Row],[8F1 WH Dock AHU - Ventilation]]</f>
        <v>1757.2000000000698</v>
      </c>
      <c r="EE44">
        <f>BZ45-Table2[[#This Row],[8F3 ACPDB - 4 WH Dock air curtain]]</f>
        <v>24.255999999993946</v>
      </c>
      <c r="EF44">
        <f>CA45-Table2[[#This Row],[8F4 WH Light]]</f>
        <v>1.4300000000048385E-2</v>
      </c>
      <c r="EG44">
        <f>CC45-Table2[[#This Row],[9F1 - PDB 10 - WH Dock door &amp; Office]]</f>
        <v>88.111999999993714</v>
      </c>
      <c r="EH44">
        <f>CD45-Table2[[#This Row],[9F2 - PDB 11 - WH flycatchers]]</f>
        <v>202.7839999999851</v>
      </c>
      <c r="EI44">
        <f>CE45-Table2[[#This Row],[9F3 - PDB 12 - Other items]]</f>
        <v>1.254399999997986</v>
      </c>
      <c r="EJ44">
        <f>CR45-Table2[[#This Row],[2F3 - PDB 1 - Dock 1 to 4 ]]</f>
        <v>49.448000000003958</v>
      </c>
      <c r="EK44">
        <f>BM45-Table2[[#This Row],[2F2 - PDB 3 - WH Truck &amp; Battery Charging]]</f>
        <v>316.22400000004563</v>
      </c>
      <c r="EL44">
        <f>(CK45-Table2[[#This Row],[PDB - 11 Truck Charging]])*1000</f>
        <v>58.999999999997499</v>
      </c>
      <c r="EM44">
        <f>P45-Table2[[#This Row],[5F3 Admin Area]]</f>
        <v>303.80799999996088</v>
      </c>
      <c r="EN44">
        <f>AH45-Table2[[#This Row],[2F5 Main Gate-1 Piller -1]]</f>
        <v>87.791999999986729</v>
      </c>
      <c r="EO44">
        <f>CW45-Table2[[#This Row],[6F2 Ground Floor AC]]</f>
        <v>14.763200000001234</v>
      </c>
      <c r="EP44">
        <f>CX45-Table2[[#This Row],[6F3 ACBD -1 (First floor AC)]]</f>
        <v>0</v>
      </c>
      <c r="EQ44">
        <f>CY45-Table2[[#This Row],[6F4 ACBD - 2 (Second &amp; Third floor AC)]]</f>
        <v>158.60799999997835</v>
      </c>
      <c r="ER44">
        <f>(BC45-Table2[[#This Row],[4F Old BMC cooling Unit]])</f>
        <v>0</v>
      </c>
      <c r="ES44">
        <f>BO45-Table2[[#This Row],[2F4 - Old BMC]]</f>
        <v>1.6863999999986845</v>
      </c>
      <c r="ET44">
        <f>Y45-Table2[[#This Row],[14F2 New CK]]</f>
        <v>1005.5200000000186</v>
      </c>
      <c r="EU44">
        <f>(CL45-Table2[[#This Row],[OLD Ck Panel-1]])*1000</f>
        <v>524.99999999997726</v>
      </c>
      <c r="EV44">
        <f>CM45-Table2[[#This Row],[2F4 Old CK Blast (Blue star)]]</f>
        <v>0</v>
      </c>
      <c r="EW44">
        <f>CN45-Table2[[#This Row],[3F6 Old CK Blast (Carrier)]]</f>
        <v>437.39999999999418</v>
      </c>
      <c r="EX44">
        <f>(CO45-Table2[[#This Row],[Old CK Panel -2]])*1000</f>
        <v>581.99999999987995</v>
      </c>
      <c r="EY44">
        <f>N45-Table2[[#This Row],[4F1 Main UPS 1/C -1]]</f>
        <v>800.32000000006519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22.999999999996135</v>
      </c>
      <c r="FC44">
        <f>BW45-Table2[[#This Row],[7F3 CLC Power Panel]]</f>
        <v>181.63199999998324</v>
      </c>
      <c r="FD44">
        <f>(CI45-Table2[[#This Row],[PDB - 17 CLC Section ]])*1000</f>
        <v>99.999999999994316</v>
      </c>
      <c r="FE44">
        <f>(W45-Table2[[#This Row],[13F3 Water &amp; Lift Old CK]])*1000</f>
        <v>451.90000000002328</v>
      </c>
      <c r="FF44">
        <f>AA45-Table2[[#This Row],[15F2 New ETP Panel]]</f>
        <v>208.31999999994878</v>
      </c>
      <c r="FG44">
        <f>AL45-Table2[[#This Row],[3F4 Old ETP Panel]]</f>
        <v>54.399999999965075</v>
      </c>
      <c r="FH44">
        <f>AF45-Table2[[#This Row],[2F1 RO Plant]]</f>
        <v>461.11999999999534</v>
      </c>
      <c r="FI44">
        <f>AK45-Table2[[#This Row],[3F3 Fire Hydrant Panel]]</f>
        <v>9.0559999999968568</v>
      </c>
      <c r="FJ44">
        <f>R45-Table2[[#This Row],[7F1 Freon System Panel]]</f>
        <v>5023.3600000003353</v>
      </c>
      <c r="FK44">
        <f>(AE45-Table2[[#This Row],[21F1 Refrigeration Ammonia]])*1000</f>
        <v>5398.4000000000378</v>
      </c>
      <c r="FL44">
        <f>(AG45-Table2[[#This Row],[2F3 Air Compressor]])*1000</f>
        <v>1313.9999999998508</v>
      </c>
      <c r="FM44">
        <f>(AX45-Table2[[#This Row],[Solar Reading Panel II]])*1000</f>
        <v>2052.9999999998836</v>
      </c>
      <c r="FN44">
        <f>AI45-Table2[[#This Row],[3F1 Maintenance Workshop]]</f>
        <v>4.4320000000006985</v>
      </c>
      <c r="FO44">
        <f>BD45-Table2[[#This Row],[4F B2B unit ]]</f>
        <v>25.664000000047963</v>
      </c>
      <c r="FP44">
        <f>BL45-Table2[[#This Row],[2F1 - PDB 6 - Bread, B2B section]]</f>
        <v>92.87039999999979</v>
      </c>
      <c r="FQ44">
        <f>(CG45-Table2[[#This Row],[9F5 - PDB 14 - Bread Lift]])</f>
        <v>0.25600000000122236</v>
      </c>
      <c r="FR44">
        <f>CJ45-Table2[[#This Row],[PDB - 16 Bread Section]]</f>
        <v>0</v>
      </c>
      <c r="FS44">
        <f>BU45-Table2[[#This Row],[7F1 Donut Production area]]</f>
        <v>197.11999999999534</v>
      </c>
      <c r="FT44">
        <f>CB45-Table2[[#This Row],[8F5 Donut Ban Bary]]</f>
        <v>21.19199999999546</v>
      </c>
      <c r="FU44">
        <f>CF45-Table2[[#This Row],[9F4 - PDB 13 - Donut Sink Geyser area]]</f>
        <v>16.912000000011176</v>
      </c>
      <c r="FV44">
        <f>BV45-Table2[[#This Row],[7F2 Flour Silo]]</f>
        <v>381.76000000000931</v>
      </c>
      <c r="FW44">
        <f>BY45-Table2[[#This Row],[8F2 ACPDB - 3 SILO Ventilation]]</f>
        <v>32.335999999981141</v>
      </c>
      <c r="FX44">
        <f>J45-Table2[[#This Row],[DG 1010KVA Running Hours]]</f>
        <v>0.8999999999996362</v>
      </c>
      <c r="FY44">
        <f>K45-Table2[[#This Row],[DG 1010 KVA Meter Reading]]</f>
        <v>284</v>
      </c>
      <c r="FZ44">
        <f>L45-Table2[[#This Row],[GG 1010 KVA Running Hours]]</f>
        <v>1</v>
      </c>
      <c r="GA44">
        <f>M45-Table2[[#This Row],[GG 1010 KVA Meter Reading]]</f>
        <v>0.43000000000000682</v>
      </c>
    </row>
    <row r="45" spans="1:183" x14ac:dyDescent="0.35">
      <c r="A45" s="1">
        <v>55</v>
      </c>
      <c r="B45" s="2">
        <v>46244.410185185188</v>
      </c>
      <c r="C45" s="2">
        <v>46244.429814814815</v>
      </c>
      <c r="D45" s="1" t="s">
        <v>111</v>
      </c>
      <c r="E45" s="1"/>
      <c r="F45" s="1"/>
      <c r="G45" s="3">
        <v>46243</v>
      </c>
      <c r="H45" s="1" t="s">
        <v>186</v>
      </c>
      <c r="I45" s="6">
        <v>6957.3519999999999</v>
      </c>
      <c r="J45" s="6">
        <v>4275.7</v>
      </c>
      <c r="K45" s="6">
        <v>1777384</v>
      </c>
      <c r="L45" s="6">
        <v>455</v>
      </c>
      <c r="M45" s="6">
        <v>191.71</v>
      </c>
      <c r="N45" s="6">
        <v>1873335.2</v>
      </c>
      <c r="O45" s="6">
        <v>4607967.3600000003</v>
      </c>
      <c r="P45" s="6">
        <v>647736</v>
      </c>
      <c r="Q45" s="6">
        <v>8103832.96</v>
      </c>
      <c r="R45" s="6">
        <v>5569121.2800000003</v>
      </c>
      <c r="S45" s="6">
        <v>7379379.8399999999</v>
      </c>
      <c r="T45" s="6">
        <v>42819190.401000001</v>
      </c>
      <c r="U45" s="6">
        <v>2109366.08</v>
      </c>
      <c r="V45" s="6">
        <v>5125147.5199999996</v>
      </c>
      <c r="W45" s="6">
        <v>1595.8226</v>
      </c>
      <c r="X45" s="6">
        <v>775219.45600000001</v>
      </c>
      <c r="Y45" s="6">
        <v>1099843.3600000001</v>
      </c>
      <c r="Z45" s="6">
        <v>2777.8894</v>
      </c>
      <c r="AA45" s="6">
        <v>670074.68799999997</v>
      </c>
      <c r="AB45" s="6">
        <v>421339.64799999999</v>
      </c>
      <c r="AC45" s="6">
        <v>2142894.7200000002</v>
      </c>
      <c r="AD45" s="6">
        <v>2696476.36</v>
      </c>
      <c r="AE45" s="6">
        <v>12839.956</v>
      </c>
      <c r="AF45" s="6">
        <v>878216.96</v>
      </c>
      <c r="AG45" s="6">
        <v>1405.1869999999999</v>
      </c>
      <c r="AH45" s="6">
        <v>133913.21599999999</v>
      </c>
      <c r="AI45" s="6">
        <v>14651.6288</v>
      </c>
      <c r="AJ45" s="6">
        <v>145376.448</v>
      </c>
      <c r="AK45" s="6">
        <v>105303.856</v>
      </c>
      <c r="AL45" s="6">
        <v>330963.39199999999</v>
      </c>
      <c r="AM45" s="6">
        <v>994.55100000000004</v>
      </c>
      <c r="AN45" s="6">
        <v>330.5</v>
      </c>
      <c r="AO45" s="6">
        <v>7.7</v>
      </c>
      <c r="AP45" s="6">
        <v>506434</v>
      </c>
      <c r="AQ45" s="6">
        <v>42377</v>
      </c>
      <c r="AR45" s="6">
        <v>41833</v>
      </c>
      <c r="AS45" s="6">
        <v>32390</v>
      </c>
      <c r="AT45" s="6">
        <v>22105</v>
      </c>
      <c r="AU45" s="6">
        <v>15761</v>
      </c>
      <c r="AV45" s="6">
        <v>6506</v>
      </c>
      <c r="AW45" s="6">
        <v>20.957314</v>
      </c>
      <c r="AX45" s="6">
        <v>7249.607</v>
      </c>
      <c r="AY45" s="6">
        <v>679.69856000000004</v>
      </c>
      <c r="AZ45" s="6">
        <v>20.788</v>
      </c>
      <c r="BA45" s="6">
        <v>10495</v>
      </c>
      <c r="BB45" s="6">
        <v>45.021999999999998</v>
      </c>
      <c r="BC45" s="6">
        <v>113989.152</v>
      </c>
      <c r="BD45" s="6">
        <v>276274.97600000002</v>
      </c>
      <c r="BE45" s="6">
        <v>3732.8663999999999</v>
      </c>
      <c r="BF45" s="6">
        <v>1712.0419999999999</v>
      </c>
      <c r="BG45" s="6">
        <v>75.209999999999994</v>
      </c>
      <c r="BH45" s="6">
        <v>366.82900000000001</v>
      </c>
      <c r="BI45" s="6">
        <v>919.03800000000001</v>
      </c>
      <c r="BJ45" s="6">
        <v>14.952</v>
      </c>
      <c r="BK45" s="6">
        <v>565.846</v>
      </c>
      <c r="BL45" s="6">
        <v>73795.564799999993</v>
      </c>
      <c r="BM45" s="6">
        <v>311656.38400000002</v>
      </c>
      <c r="BN45" s="6">
        <v>7209.0496000000003</v>
      </c>
      <c r="BO45" s="6">
        <v>53589.132799999999</v>
      </c>
      <c r="BP45" s="6">
        <v>315037.47200000001</v>
      </c>
      <c r="BQ45" s="6">
        <v>326.649</v>
      </c>
      <c r="BR45" s="6">
        <v>181.91399999999999</v>
      </c>
      <c r="BS45" s="6">
        <v>1018424.356</v>
      </c>
      <c r="BT45" s="6">
        <v>1400620.952</v>
      </c>
      <c r="BU45" s="6">
        <v>630542.848</v>
      </c>
      <c r="BV45" s="6">
        <v>1026109.6</v>
      </c>
      <c r="BW45" s="6">
        <v>570290.68799999997</v>
      </c>
      <c r="BX45" s="6">
        <v>1011858.4</v>
      </c>
      <c r="BY45" s="6">
        <v>158065.64799999999</v>
      </c>
      <c r="BZ45" s="6">
        <v>114426.64</v>
      </c>
      <c r="CA45" s="6">
        <v>1244.3534</v>
      </c>
      <c r="CB45" s="6">
        <v>108999.61599999999</v>
      </c>
      <c r="CC45" s="6">
        <v>151519.568</v>
      </c>
      <c r="CD45" s="6">
        <v>447874.49599999998</v>
      </c>
      <c r="CE45" s="6">
        <v>49127.2768</v>
      </c>
      <c r="CF45" s="6">
        <v>156109.872</v>
      </c>
      <c r="CG45" s="6">
        <v>36089.625599999999</v>
      </c>
      <c r="CH45" s="6">
        <v>2385.8710000000001</v>
      </c>
      <c r="CI45" s="6">
        <v>215.58699999999999</v>
      </c>
      <c r="CJ45" s="6">
        <v>1191.5999999999999</v>
      </c>
      <c r="CK45" s="6">
        <v>78.435000000000002</v>
      </c>
      <c r="CL45" s="6">
        <v>737.54899999999998</v>
      </c>
      <c r="CM45" s="6">
        <v>551.4</v>
      </c>
      <c r="CN45" s="6">
        <v>47850.7</v>
      </c>
      <c r="CO45" s="6">
        <v>1656.7619999999999</v>
      </c>
      <c r="CP45" s="6">
        <v>295304.64500000002</v>
      </c>
      <c r="CQ45" s="6">
        <v>3693409.92</v>
      </c>
      <c r="CR45" s="6">
        <v>131712.60800000001</v>
      </c>
      <c r="CS45" s="6">
        <v>516401.79200000002</v>
      </c>
      <c r="CT45" s="6">
        <v>2951827.2209999999</v>
      </c>
      <c r="CU45" s="6">
        <v>300443.82900000003</v>
      </c>
      <c r="CV45" s="6">
        <v>30139.817599999998</v>
      </c>
      <c r="CW45" s="6">
        <v>63054.648000000001</v>
      </c>
      <c r="CX45" s="6">
        <v>33466.092799999999</v>
      </c>
      <c r="CY45" s="6">
        <v>168884.96</v>
      </c>
      <c r="CZ45" s="6">
        <v>218427.424</v>
      </c>
      <c r="DA45" s="6">
        <v>19187.61</v>
      </c>
      <c r="DB45" s="6">
        <v>150989.17000000001</v>
      </c>
      <c r="DC45" s="6">
        <v>3074.53</v>
      </c>
      <c r="DD45" s="6">
        <v>3074.4</v>
      </c>
      <c r="DE45" s="6">
        <v>3102.6</v>
      </c>
      <c r="DF45" s="6">
        <v>0.97799999999999998</v>
      </c>
      <c r="DG45" s="1" t="s">
        <v>257</v>
      </c>
      <c r="DH45" s="4">
        <f>Table2[[#This Row],[Date]]</f>
        <v>46243</v>
      </c>
      <c r="DI45">
        <f>(DD46-Table2[[#This Row],[MWH Total]])*4000</f>
        <v>21079.999999999927</v>
      </c>
      <c r="DJ45">
        <f>(DA46-Table2[[#This Row],[PNG Meter (Outside)]])*2.936</f>
        <v>38.872639999994021</v>
      </c>
      <c r="DK45">
        <f>(DB46-Table2[[#This Row],[PNG Meter (Inside)]])*2.936</f>
        <v>286.69452799996037</v>
      </c>
      <c r="DL45">
        <f>(BH46-Table2[[#This Row],[3F Dough cooler - 2 ]])*1000</f>
        <v>562.00000000001182</v>
      </c>
      <c r="DM45" s="1">
        <f>(BI46-Table2[[#This Row],[3F Dough Cooler- 1]])*1000</f>
        <v>606.9999999999709</v>
      </c>
      <c r="DN45">
        <f>(BJ46-Table2[[#This Row],[4F Dough Production cooling Unit]])*1000</f>
        <v>87.99999999999919</v>
      </c>
      <c r="DO45">
        <f>(BQ46-Table2[[#This Row],[3F2 - PDB 3 - Dough Production Area]])*1000</f>
        <v>283.00000000001546</v>
      </c>
      <c r="DP45">
        <f>(BR46-Table2[[#This Row],[3F3 - PDB 4 - Dough Area]])*1000</f>
        <v>160.00000000002501</v>
      </c>
      <c r="DQ45">
        <f>AC46-Table2[[#This Row],[16F1 Tray washer Panel for Light]]</f>
        <v>843.52000000001863</v>
      </c>
      <c r="DR45">
        <f>CQ46-Table2[[#This Row],[2F1 Tray Washer - 1]]</f>
        <v>1680.6400000001304</v>
      </c>
      <c r="DS45">
        <f>CS46-Table2[[#This Row],[2F5 Destacker]]</f>
        <v>381.63199999998324</v>
      </c>
      <c r="DT45">
        <f>CU46-Table2[[#This Row],[5F1 Metering (TW-2)]]</f>
        <v>305.75</v>
      </c>
      <c r="DU45">
        <f>CV46-Table2[[#This Row],[6F1 Pre soaker Tray washer]]</f>
        <v>5.5520000000033178</v>
      </c>
      <c r="DV45">
        <f>CZ46-Table2[[#This Row],[6F5 Vent tray Storage]]</f>
        <v>84.336000000010245</v>
      </c>
      <c r="DW45">
        <f>I46-Table2[[#This Row],[Popeyes Meter ]]</f>
        <v>16.75</v>
      </c>
      <c r="DX45">
        <f>AZ46-Table2[[#This Row],[2F WH Chiller, Segregation Area]]</f>
        <v>0</v>
      </c>
      <c r="DY45">
        <f>BA46-Table2[[#This Row],[3F1 AC Unit WH dock cooling - 2 Nos]]</f>
        <v>19</v>
      </c>
      <c r="DZ45">
        <f>BB46-Table2[[#This Row],[3F2 AC Unit WH dock cooling - 3 Nos]]</f>
        <v>5.4000000000002046E-2</v>
      </c>
      <c r="EA45">
        <f>(BK46-Table2[[#This Row],[5F WH Perishable]])*1000</f>
        <v>355.99999999999454</v>
      </c>
      <c r="EB45">
        <f>BN46-Table2[[#This Row],[2F3 - PDB 9 - WH Dock Leveler Door ]]</f>
        <v>2.8368000000000393</v>
      </c>
      <c r="EC45">
        <f>BP46-Table2[[#This Row],[3F1 - PDB 5 - WH HSD]]</f>
        <v>127.90399999998044</v>
      </c>
      <c r="ED45">
        <f>BX46-Table2[[#This Row],[8F1 WH Dock AHU - Ventilation]]</f>
        <v>2954.5599999999395</v>
      </c>
      <c r="EE45">
        <f>BZ46-Table2[[#This Row],[8F3 ACPDB - 4 WH Dock air curtain]]</f>
        <v>37.528000000005704</v>
      </c>
      <c r="EF45">
        <f>CA46-Table2[[#This Row],[8F4 WH Light]]</f>
        <v>7.3999999999614374E-3</v>
      </c>
      <c r="EG45">
        <f>CC46-Table2[[#This Row],[9F1 - PDB 10 - WH Dock door &amp; Office]]</f>
        <v>183.82399999999325</v>
      </c>
      <c r="EH45">
        <f>CD46-Table2[[#This Row],[9F2 - PDB 11 - WH flycatchers]]</f>
        <v>149.53600000002189</v>
      </c>
      <c r="EI45">
        <f>CE46-Table2[[#This Row],[9F3 - PDB 12 - Other items]]</f>
        <v>5.1200000001699664E-2</v>
      </c>
      <c r="EJ45">
        <f>CR46-Table2[[#This Row],[2F3 - PDB 1 - Dock 1 to 4 ]]</f>
        <v>106.45600000000559</v>
      </c>
      <c r="EK45">
        <f>BM46-Table2[[#This Row],[2F2 - PDB 3 - WH Truck &amp; Battery Charging]]</f>
        <v>460.63999999995576</v>
      </c>
      <c r="EL45">
        <f>(CK46-Table2[[#This Row],[PDB - 11 Truck Charging]])*1000</f>
        <v>42.000000000001592</v>
      </c>
      <c r="EM45">
        <f>P46-Table2[[#This Row],[5F3 Admin Area]]</f>
        <v>452.80000000004657</v>
      </c>
      <c r="EN45">
        <f>AH46-Table2[[#This Row],[2F5 Main Gate-1 Piller -1]]</f>
        <v>141.36000000001513</v>
      </c>
      <c r="EO45">
        <f>CW46-Table2[[#This Row],[6F2 Ground Floor AC]]</f>
        <v>31.995199999997567</v>
      </c>
      <c r="EP45">
        <f>CX46-Table2[[#This Row],[6F3 ACBD -1 (First floor AC)]]</f>
        <v>0</v>
      </c>
      <c r="EQ45">
        <f>CY46-Table2[[#This Row],[6F4 ACBD - 2 (Second &amp; Third floor AC)]]</f>
        <v>54.975999999995111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590.39999999990687</v>
      </c>
      <c r="EU45">
        <f>(CL46-Table2[[#This Row],[OLD Ck Panel-1]])*1000</f>
        <v>431.00000000004002</v>
      </c>
      <c r="EV45">
        <f>CM46-Table2[[#This Row],[2F4 Old CK Blast (Blue star)]]</f>
        <v>0</v>
      </c>
      <c r="EW45">
        <f>CN46-Table2[[#This Row],[3F6 Old CK Blast (Carrier)]]</f>
        <v>315.40000000000146</v>
      </c>
      <c r="EX45">
        <f>(CO46-Table2[[#This Row],[Old CK Panel -2]])*1000</f>
        <v>854.00000000004184</v>
      </c>
      <c r="EY45">
        <f>N46-Table2[[#This Row],[4F1 Main UPS 1/C -1]]</f>
        <v>1087.1999999999534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39.000000000001478</v>
      </c>
      <c r="FC45">
        <f>BW46-Table2[[#This Row],[7F3 CLC Power Panel]]</f>
        <v>183.87200000009034</v>
      </c>
      <c r="FD45">
        <f>(CI46-Table2[[#This Row],[PDB - 17 CLC Section ]])*1000</f>
        <v>134.00000000001455</v>
      </c>
      <c r="FE45">
        <f>(W46-Table2[[#This Row],[13F3 Water &amp; Lift Old CK]])*1000</f>
        <v>860.00000000012733</v>
      </c>
      <c r="FF45">
        <f>AA46-Table2[[#This Row],[15F2 New ETP Panel]]</f>
        <v>296.89600000006612</v>
      </c>
      <c r="FG45">
        <f>AL46-Table2[[#This Row],[3F4 Old ETP Panel]]</f>
        <v>91.296000000031199</v>
      </c>
      <c r="FH45">
        <f>AF46-Table2[[#This Row],[2F1 RO Plant]]</f>
        <v>666.11200000008103</v>
      </c>
      <c r="FI45">
        <f>AK46-Table2[[#This Row],[3F3 Fire Hydrant Panel]]</f>
        <v>12.063999999998487</v>
      </c>
      <c r="FJ45">
        <f>R46-Table2[[#This Row],[7F1 Freon System Panel]]</f>
        <v>6405.7599999997765</v>
      </c>
      <c r="FK45">
        <f>(AE46-Table2[[#This Row],[21F1 Refrigeration Ammonia]])*1000</f>
        <v>7897.6000000002387</v>
      </c>
      <c r="FL45">
        <f>(AG46-Table2[[#This Row],[2F3 Air Compressor]])*1000</f>
        <v>1831.000000000131</v>
      </c>
      <c r="FM45">
        <f>(AX46-Table2[[#This Row],[Solar Reading Panel II]])*1000</f>
        <v>4386.9999999997162</v>
      </c>
      <c r="FN45">
        <f>AI46-Table2[[#This Row],[3F1 Maintenance Workshop]]</f>
        <v>8.7151999999987311</v>
      </c>
      <c r="FO45">
        <f>BD46-Table2[[#This Row],[4F B2B unit ]]</f>
        <v>81.759999999951106</v>
      </c>
      <c r="FP45">
        <f>BL46-Table2[[#This Row],[2F1 - PDB 6 - Bread, B2B section]]</f>
        <v>107.13600000001315</v>
      </c>
      <c r="FQ45">
        <f>(CG46-Table2[[#This Row],[9F5 - PDB 14 - Bread Lift]])</f>
        <v>0.40320000000065193</v>
      </c>
      <c r="FR45">
        <f>CJ46-Table2[[#This Row],[PDB - 16 Bread Section]]</f>
        <v>0</v>
      </c>
      <c r="FS45">
        <f>BU46-Table2[[#This Row],[7F1 Donut Production area]]</f>
        <v>239.35999999998603</v>
      </c>
      <c r="FT45">
        <f>CB46-Table2[[#This Row],[8F5 Donut Ban Bary]]</f>
        <v>76.264000000010128</v>
      </c>
      <c r="FU45">
        <f>CF46-Table2[[#This Row],[9F4 - PDB 13 - Donut Sink Geyser area]]</f>
        <v>29.456000000005588</v>
      </c>
      <c r="FV45">
        <f>BV46-Table2[[#This Row],[7F2 Flour Silo]]</f>
        <v>560.56000000005588</v>
      </c>
      <c r="FW45">
        <f>BY46-Table2[[#This Row],[8F2 ACPDB - 3 SILO Ventilation]]</f>
        <v>55.312000000005355</v>
      </c>
      <c r="FX45">
        <f>J46-Table2[[#This Row],[DG 1010KVA Running Hours]]</f>
        <v>0.6000000000003638</v>
      </c>
      <c r="FY45">
        <f>K46-Table2[[#This Row],[DG 1010 KVA Meter Reading]]</f>
        <v>186</v>
      </c>
      <c r="FZ45">
        <f>L46-Table2[[#This Row],[GG 1010 KVA Running Hours]]</f>
        <v>1</v>
      </c>
      <c r="GA45">
        <f>M46-Table2[[#This Row],[GG 1010 KVA Meter Reading]]</f>
        <v>9.9999999999994316E-2</v>
      </c>
    </row>
    <row r="46" spans="1:183" x14ac:dyDescent="0.35">
      <c r="A46" s="1">
        <v>56</v>
      </c>
      <c r="B46" s="2">
        <v>46244.429965277777</v>
      </c>
      <c r="C46" s="2">
        <v>46244.471388888887</v>
      </c>
      <c r="D46" s="1" t="s">
        <v>111</v>
      </c>
      <c r="E46" s="1"/>
      <c r="F46" s="1"/>
      <c r="G46" s="3">
        <v>46244</v>
      </c>
      <c r="H46" s="1" t="s">
        <v>186</v>
      </c>
      <c r="I46" s="6">
        <v>6974.1019999999999</v>
      </c>
      <c r="J46" s="6">
        <v>4276.3</v>
      </c>
      <c r="K46" s="6">
        <v>1777570</v>
      </c>
      <c r="L46" s="6">
        <v>456</v>
      </c>
      <c r="M46" s="6">
        <v>191.81</v>
      </c>
      <c r="N46" s="6">
        <v>1874422.4</v>
      </c>
      <c r="O46" s="6">
        <v>4610370.88</v>
      </c>
      <c r="P46" s="6">
        <v>648188.80000000005</v>
      </c>
      <c r="Q46" s="6">
        <v>8107994.2400000002</v>
      </c>
      <c r="R46" s="6">
        <v>5575527.04</v>
      </c>
      <c r="S46" s="6">
        <v>7383014.4000000004</v>
      </c>
      <c r="T46" s="6">
        <v>43280612.443999998</v>
      </c>
      <c r="U46" s="6">
        <v>2110534.56</v>
      </c>
      <c r="V46" s="6">
        <v>5127328.6399999997</v>
      </c>
      <c r="W46" s="6">
        <v>1596.6826000000001</v>
      </c>
      <c r="X46" s="6">
        <v>775510.72</v>
      </c>
      <c r="Y46" s="6">
        <v>1100433.76</v>
      </c>
      <c r="Z46" s="6">
        <v>2777.8894</v>
      </c>
      <c r="AA46" s="6">
        <v>670371.58400000003</v>
      </c>
      <c r="AB46" s="6">
        <v>421352.51199999999</v>
      </c>
      <c r="AC46" s="6">
        <v>2143738.2400000002</v>
      </c>
      <c r="AD46" s="6">
        <v>4114204.2519999999</v>
      </c>
      <c r="AE46" s="6">
        <v>12847.8536</v>
      </c>
      <c r="AF46" s="6">
        <v>878883.07200000004</v>
      </c>
      <c r="AG46" s="6">
        <v>1407.018</v>
      </c>
      <c r="AH46" s="6">
        <v>134054.576</v>
      </c>
      <c r="AI46" s="6">
        <v>14660.343999999999</v>
      </c>
      <c r="AJ46" s="6">
        <v>145379.696</v>
      </c>
      <c r="AK46" s="6">
        <v>105315.92</v>
      </c>
      <c r="AL46" s="6">
        <v>331054.68800000002</v>
      </c>
      <c r="AM46" s="6">
        <v>995.30200000000002</v>
      </c>
      <c r="AN46" s="6">
        <v>316</v>
      </c>
      <c r="AO46" s="6">
        <v>7.2</v>
      </c>
      <c r="AP46" s="6">
        <v>518980</v>
      </c>
      <c r="AQ46" s="6">
        <v>42407</v>
      </c>
      <c r="AR46" s="6">
        <v>41862</v>
      </c>
      <c r="AS46" s="6">
        <v>32390</v>
      </c>
      <c r="AT46" s="6">
        <v>22106</v>
      </c>
      <c r="AU46" s="6">
        <v>15790</v>
      </c>
      <c r="AV46" s="6">
        <v>6522</v>
      </c>
      <c r="AW46" s="6">
        <v>20.965074000000001</v>
      </c>
      <c r="AX46" s="6">
        <v>7253.9939999999997</v>
      </c>
      <c r="AY46" s="6">
        <v>679.84208000000001</v>
      </c>
      <c r="AZ46" s="6">
        <v>20.788</v>
      </c>
      <c r="BA46" s="6">
        <v>10514</v>
      </c>
      <c r="BB46" s="6">
        <v>45.076000000000001</v>
      </c>
      <c r="BC46" s="6">
        <v>113989.152</v>
      </c>
      <c r="BD46" s="6">
        <v>276356.73599999998</v>
      </c>
      <c r="BE46" s="6">
        <v>3734.5868</v>
      </c>
      <c r="BF46" s="6">
        <v>1712.0419999999999</v>
      </c>
      <c r="BG46" s="6">
        <v>75.248999999999995</v>
      </c>
      <c r="BH46" s="6">
        <v>367.39100000000002</v>
      </c>
      <c r="BI46" s="6">
        <v>919.64499999999998</v>
      </c>
      <c r="BJ46" s="6">
        <v>15.04</v>
      </c>
      <c r="BK46" s="6">
        <v>566.202</v>
      </c>
      <c r="BL46" s="6">
        <v>73902.700800000006</v>
      </c>
      <c r="BM46" s="6">
        <v>312117.02399999998</v>
      </c>
      <c r="BN46" s="6">
        <v>7211.8864000000003</v>
      </c>
      <c r="BO46" s="6">
        <v>53589.132799999999</v>
      </c>
      <c r="BP46" s="6">
        <v>315165.37599999999</v>
      </c>
      <c r="BQ46" s="6">
        <v>326.93200000000002</v>
      </c>
      <c r="BR46" s="6">
        <v>182.07400000000001</v>
      </c>
      <c r="BS46" s="6">
        <v>1019630.561</v>
      </c>
      <c r="BT46" s="6">
        <v>1400621.537</v>
      </c>
      <c r="BU46" s="6">
        <v>630782.20799999998</v>
      </c>
      <c r="BV46" s="6">
        <v>1026670.16</v>
      </c>
      <c r="BW46" s="6">
        <v>570474.56000000006</v>
      </c>
      <c r="BX46" s="6">
        <v>1014812.96</v>
      </c>
      <c r="BY46" s="6">
        <v>158120.95999999999</v>
      </c>
      <c r="BZ46" s="6">
        <v>114464.16800000001</v>
      </c>
      <c r="CA46" s="6">
        <v>1244.3607999999999</v>
      </c>
      <c r="CB46" s="6">
        <v>109075.88</v>
      </c>
      <c r="CC46" s="6">
        <v>151703.39199999999</v>
      </c>
      <c r="CD46" s="6">
        <v>448024.03200000001</v>
      </c>
      <c r="CE46" s="6">
        <v>49127.328000000001</v>
      </c>
      <c r="CF46" s="6">
        <v>156139.32800000001</v>
      </c>
      <c r="CG46" s="6">
        <v>36090.0288</v>
      </c>
      <c r="CH46" s="6">
        <v>2385.8710000000001</v>
      </c>
      <c r="CI46" s="6">
        <v>215.721</v>
      </c>
      <c r="CJ46" s="6">
        <v>1191.5999999999999</v>
      </c>
      <c r="CK46" s="6">
        <v>78.477000000000004</v>
      </c>
      <c r="CL46" s="6">
        <v>737.98</v>
      </c>
      <c r="CM46" s="6">
        <v>551.4</v>
      </c>
      <c r="CN46" s="6">
        <v>48166.1</v>
      </c>
      <c r="CO46" s="6">
        <v>1657.616</v>
      </c>
      <c r="CP46" s="6">
        <v>295451.30900000001</v>
      </c>
      <c r="CQ46" s="6">
        <v>3695090.56</v>
      </c>
      <c r="CR46" s="6">
        <v>131819.06400000001</v>
      </c>
      <c r="CS46" s="6">
        <v>516783.424</v>
      </c>
      <c r="CT46" s="6">
        <v>2955800.4539999999</v>
      </c>
      <c r="CU46" s="6">
        <v>300749.57900000003</v>
      </c>
      <c r="CV46" s="6">
        <v>30145.369600000002</v>
      </c>
      <c r="CW46" s="6">
        <v>63086.643199999999</v>
      </c>
      <c r="CX46" s="6">
        <v>33466.092799999999</v>
      </c>
      <c r="CY46" s="6">
        <v>168939.93599999999</v>
      </c>
      <c r="CZ46" s="6">
        <v>218511.76</v>
      </c>
      <c r="DA46" s="6">
        <v>19200.849999999999</v>
      </c>
      <c r="DB46" s="6">
        <v>151086.818</v>
      </c>
      <c r="DC46" s="6">
        <v>3079.8</v>
      </c>
      <c r="DD46" s="6">
        <v>3079.67</v>
      </c>
      <c r="DE46" s="6">
        <v>3108.02</v>
      </c>
      <c r="DF46" s="6">
        <v>0.98899999999999999</v>
      </c>
      <c r="DG46" s="1" t="s">
        <v>282</v>
      </c>
      <c r="DH46" s="4">
        <f>Table2[[#This Row],[Date]]</f>
        <v>46244</v>
      </c>
      <c r="DI46">
        <f>(DD47-Table2[[#This Row],[MWH Total]])*4000</f>
        <v>26719.999999999345</v>
      </c>
      <c r="DJ46">
        <f>(DA47-Table2[[#This Row],[PNG Meter (Outside)]])*2.936</f>
        <v>8.7786400000046996</v>
      </c>
      <c r="DK46">
        <f>(DB47-Table2[[#This Row],[PNG Meter (Inside)]])*2.936</f>
        <v>321.49200000000002</v>
      </c>
      <c r="DL46">
        <f>(BH47-Table2[[#This Row],[3F Dough cooler - 2 ]])*1000</f>
        <v>430.99999999998317</v>
      </c>
      <c r="DM46">
        <f>(BI47-Table2[[#This Row],[3F Dough Cooler- 1]])*1000</f>
        <v>273.00000000002456</v>
      </c>
      <c r="DN46">
        <f>(BJ47-Table2[[#This Row],[4F Dough Production cooling Unit]])*1000</f>
        <v>57.000000000000384</v>
      </c>
      <c r="DO46">
        <f>(BQ47-Table2[[#This Row],[3F2 - PDB 3 - Dough Production Area]])*1000</f>
        <v>276.99999999998681</v>
      </c>
      <c r="DP46">
        <f>(BR47-Table2[[#This Row],[3F3 - PDB 4 - Dough Area]])*1000</f>
        <v>155.99999999997749</v>
      </c>
      <c r="DQ46">
        <f>AC47-Table2[[#This Row],[16F1 Tray washer Panel for Light]]</f>
        <v>677.27999999979511</v>
      </c>
      <c r="DR46">
        <f>CQ47-Table2[[#This Row],[2F1 Tray Washer - 1]]</f>
        <v>1414.0800000000745</v>
      </c>
      <c r="DS46">
        <f>CS47-Table2[[#This Row],[2F5 Destacker]]</f>
        <v>248.60800000000745</v>
      </c>
      <c r="DT46">
        <f>CU47-Table2[[#This Row],[5F1 Metering (TW-2)]]</f>
        <v>400.29399999999441</v>
      </c>
      <c r="DU46">
        <f>CV47-Table2[[#This Row],[6F1 Pre soaker Tray washer]]</f>
        <v>31.555199999998877</v>
      </c>
      <c r="DV46">
        <f>CZ47-Table2[[#This Row],[6F5 Vent tray Storage]]</f>
        <v>76.207999999984168</v>
      </c>
      <c r="DW46">
        <f>I47-Table2[[#This Row],[Popeyes Meter ]]</f>
        <v>60.110000000000582</v>
      </c>
      <c r="DX46">
        <f>AZ47-Table2[[#This Row],[2F WH Chiller, Segregation Area]]</f>
        <v>0</v>
      </c>
      <c r="DY46">
        <f>BA47-Table2[[#This Row],[3F1 AC Unit WH dock cooling - 2 Nos]]</f>
        <v>27</v>
      </c>
      <c r="DZ46">
        <f>BB47-Table2[[#This Row],[3F2 AC Unit WH dock cooling - 3 Nos]]</f>
        <v>4.8999999999999488E-2</v>
      </c>
      <c r="EA46">
        <f>(BK47-Table2[[#This Row],[5F WH Perishable]])*1000</f>
        <v>282.00000000003911</v>
      </c>
      <c r="EB46">
        <f>BN47-Table2[[#This Row],[2F3 - PDB 9 - WH Dock Leveler Door ]]</f>
        <v>2.2263999999995576</v>
      </c>
      <c r="EC46">
        <f>BP47-Table2[[#This Row],[3F1 - PDB 5 - WH HSD]]</f>
        <v>99.232000000018161</v>
      </c>
      <c r="ED46">
        <f>BX47-Table2[[#This Row],[8F1 WH Dock AHU - Ventilation]]</f>
        <v>2274.3200000000652</v>
      </c>
      <c r="EE46">
        <f>BZ47-Table2[[#This Row],[8F3 ACPDB - 4 WH Dock air curtain]]</f>
        <v>29.255999999993946</v>
      </c>
      <c r="EF46">
        <f>CA47-Table2[[#This Row],[8F4 WH Light]]</f>
        <v>0</v>
      </c>
      <c r="EG46">
        <f>CC47-Table2[[#This Row],[9F1 - PDB 10 - WH Dock door &amp; Office]]</f>
        <v>132.68799999999464</v>
      </c>
      <c r="EH46">
        <f>CD47-Table2[[#This Row],[9F2 - PDB 11 - WH flycatchers]]</f>
        <v>216.76799999998184</v>
      </c>
      <c r="EI46">
        <f>CE47-Table2[[#This Row],[9F3 - PDB 12 - Other items]]</f>
        <v>4.438399999999092</v>
      </c>
      <c r="EJ46">
        <f>CR47-Table2[[#This Row],[2F3 - PDB 1 - Dock 1 to 4 ]]</f>
        <v>66.015999999974156</v>
      </c>
      <c r="EK46">
        <f>BM47-Table2[[#This Row],[2F2 - PDB 3 - WH Truck &amp; Battery Charging]]</f>
        <v>351.93600000004517</v>
      </c>
      <c r="EL46">
        <f>(CK47-Table2[[#This Row],[PDB - 11 Truck Charging]])*1000</f>
        <v>46.999999999997044</v>
      </c>
      <c r="EM46">
        <f>P47-Table2[[#This Row],[5F3 Admin Area]]</f>
        <v>387.07199999992736</v>
      </c>
      <c r="EN46">
        <f>AH47-Table2[[#This Row],[2F5 Main Gate-1 Piller -1]]</f>
        <v>111.01600000000326</v>
      </c>
      <c r="EO46">
        <f>CW47-Table2[[#This Row],[6F2 Ground Floor AC]]</f>
        <v>29.024000000004889</v>
      </c>
      <c r="EP46">
        <f>CX47-Table2[[#This Row],[6F3 ACBD -1 (First floor AC)]]</f>
        <v>0</v>
      </c>
      <c r="EQ46">
        <f>CY47-Table2[[#This Row],[6F4 ACBD - 2 (Second &amp; Third floor AC)]]</f>
        <v>137.45600000000559</v>
      </c>
      <c r="ER46">
        <f>(BC47-Table2[[#This Row],[4F Old BMC cooling Unit]])</f>
        <v>0.84799999999813735</v>
      </c>
      <c r="ES46">
        <f>BO47-Table2[[#This Row],[2F4 - Old BMC]]</f>
        <v>0</v>
      </c>
      <c r="ET46">
        <f>Y47-Table2[[#This Row],[14F2 New CK]]</f>
        <v>1559.5200000000186</v>
      </c>
      <c r="EU46">
        <f>(CL47-Table2[[#This Row],[OLD Ck Panel-1]])*1000</f>
        <v>658.99999999999181</v>
      </c>
      <c r="EV46">
        <f>CM47-Table2[[#This Row],[2F4 Old CK Blast (Blue star)]]</f>
        <v>0</v>
      </c>
      <c r="EW46">
        <f>CN47-Table2[[#This Row],[3F6 Old CK Blast (Carrier)]]</f>
        <v>535.5</v>
      </c>
      <c r="EX46">
        <f>(CO47-Table2[[#This Row],[Old CK Panel -2]])*1000</f>
        <v>1066.0000000000309</v>
      </c>
      <c r="EY46">
        <f>N47-Table2[[#This Row],[4F1 Main UPS 1/C -1]]</f>
        <v>924.80000000004657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34.000000000006025</v>
      </c>
      <c r="FC46">
        <f>BW47-Table2[[#This Row],[7F3 CLC Power Panel]]</f>
        <v>217.08799999998882</v>
      </c>
      <c r="FD46">
        <f>(CI47-Table2[[#This Row],[PDB - 17 CLC Section ]])*1000</f>
        <v>157.99999999998704</v>
      </c>
      <c r="FE46">
        <f>(W47-Table2[[#This Row],[13F3 Water &amp; Lift Old CK]])*1000</f>
        <v>573.49999999996726</v>
      </c>
      <c r="FF46">
        <f>AA47-Table2[[#This Row],[15F2 New ETP Panel]]</f>
        <v>258.30400000000373</v>
      </c>
      <c r="FG46">
        <f>AL47-Table2[[#This Row],[3F4 Old ETP Panel]]</f>
        <v>71.743999999947846</v>
      </c>
      <c r="FH46">
        <f>AF47-Table2[[#This Row],[2F1 RO Plant]]</f>
        <v>591.80799999996088</v>
      </c>
      <c r="FI46">
        <f>AK47-Table2[[#This Row],[3F3 Fire Hydrant Panel]]</f>
        <v>10.263999999995576</v>
      </c>
      <c r="FJ46">
        <f>R47-Table2[[#This Row],[7F1 Freon System Panel]]</f>
        <v>5464.320000000298</v>
      </c>
      <c r="FK46">
        <f>(AE47-Table2[[#This Row],[21F1 Refrigeration Ammonia]])*1000</f>
        <v>7925.600000000486</v>
      </c>
      <c r="FL46">
        <f>(AG47-Table2[[#This Row],[2F3 Air Compressor]])*1000</f>
        <v>1280.9999999999491</v>
      </c>
      <c r="FM46">
        <f>(AX47-Table2[[#This Row],[Solar Reading Panel II]])*1000</f>
        <v>1703.0000000004293</v>
      </c>
      <c r="FN46">
        <f>AI47-Table2[[#This Row],[3F1 Maintenance Workshop]]</f>
        <v>6.7648000000008324</v>
      </c>
      <c r="FO46">
        <f>BD47-Table2[[#This Row],[4F B2B unit ]]</f>
        <v>37.024000000033993</v>
      </c>
      <c r="FP46">
        <f>BL47-Table2[[#This Row],[2F1 - PDB 6 - Bread, B2B section]]</f>
        <v>174.29119999999239</v>
      </c>
      <c r="FQ46">
        <f>(CG47-Table2[[#This Row],[9F5 - PDB 14 - Bread Lift]])</f>
        <v>0.355199999998149</v>
      </c>
      <c r="FR46">
        <f>CJ47-Table2[[#This Row],[PDB - 16 Bread Section]]</f>
        <v>0</v>
      </c>
      <c r="FS46">
        <f>BU47-Table2[[#This Row],[7F1 Donut Production area]]</f>
        <v>233.92000000004191</v>
      </c>
      <c r="FT46">
        <f>CB47-Table2[[#This Row],[8F5 Donut Ban Bary]]</f>
        <v>48.855999999999767</v>
      </c>
      <c r="FU46">
        <f>CF47-Table2[[#This Row],[9F4 - PDB 13 - Donut Sink Geyser area]]</f>
        <v>25.423999999999069</v>
      </c>
      <c r="FV46">
        <f>BV47-Table2[[#This Row],[7F2 Flour Silo]]</f>
        <v>463.35999999998603</v>
      </c>
      <c r="FW46">
        <f>BY47-Table2[[#This Row],[8F2 ACPDB - 3 SILO Ventilation]]</f>
        <v>42.543999999994412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>
        <v>57</v>
      </c>
      <c r="B47" s="2">
        <v>46245.406956018516</v>
      </c>
      <c r="C47" s="2">
        <v>46245.445868055554</v>
      </c>
      <c r="D47" s="1" t="s">
        <v>111</v>
      </c>
      <c r="E47" s="1"/>
      <c r="F47" s="1"/>
      <c r="G47" s="3">
        <v>46245</v>
      </c>
      <c r="H47" s="1" t="s">
        <v>186</v>
      </c>
      <c r="I47" s="6">
        <v>7034.2120000000004</v>
      </c>
      <c r="J47" s="6">
        <v>4276.3</v>
      </c>
      <c r="K47" s="6">
        <v>1777570</v>
      </c>
      <c r="L47" s="6">
        <v>456</v>
      </c>
      <c r="M47" s="6">
        <v>191.81</v>
      </c>
      <c r="N47" s="6">
        <v>1875347.2</v>
      </c>
      <c r="O47" s="6">
        <v>4612337.5999999996</v>
      </c>
      <c r="P47" s="6">
        <v>648575.87199999997</v>
      </c>
      <c r="Q47" s="6">
        <v>8110879.3600000003</v>
      </c>
      <c r="R47" s="6">
        <v>5580991.3600000003</v>
      </c>
      <c r="S47" s="6">
        <v>7386571.5199999996</v>
      </c>
      <c r="T47" s="6">
        <v>43294685.538999997</v>
      </c>
      <c r="U47" s="6">
        <v>2111687.52</v>
      </c>
      <c r="V47" s="6">
        <v>5129127.3600000003</v>
      </c>
      <c r="W47" s="6">
        <v>1597.2561000000001</v>
      </c>
      <c r="X47" s="6">
        <v>775913.66399999999</v>
      </c>
      <c r="Y47" s="6">
        <v>1101993.28</v>
      </c>
      <c r="Z47" s="6">
        <v>2777.8894</v>
      </c>
      <c r="AA47" s="6">
        <v>670629.88800000004</v>
      </c>
      <c r="AB47" s="6">
        <v>421364.09600000002</v>
      </c>
      <c r="AC47" s="6">
        <v>2144415.52</v>
      </c>
      <c r="AD47" s="6">
        <v>4130104.4389999998</v>
      </c>
      <c r="AE47" s="6">
        <v>12855.779200000001</v>
      </c>
      <c r="AF47" s="6">
        <v>879474.88</v>
      </c>
      <c r="AG47" s="6">
        <v>1408.299</v>
      </c>
      <c r="AH47" s="6">
        <v>134165.592</v>
      </c>
      <c r="AI47" s="6">
        <v>14667.1088</v>
      </c>
      <c r="AJ47" s="6">
        <v>145380.03200000001</v>
      </c>
      <c r="AK47" s="6">
        <v>105326.18399999999</v>
      </c>
      <c r="AL47" s="6">
        <v>331126.43199999997</v>
      </c>
      <c r="AM47" s="6">
        <v>995.93600000000004</v>
      </c>
      <c r="AN47" s="6">
        <v>284.8</v>
      </c>
      <c r="AO47" s="6">
        <v>7</v>
      </c>
      <c r="AP47" s="6">
        <v>529181</v>
      </c>
      <c r="AQ47" s="6">
        <v>42430</v>
      </c>
      <c r="AR47" s="6">
        <v>41885</v>
      </c>
      <c r="AS47" s="6">
        <v>32390</v>
      </c>
      <c r="AT47" s="6">
        <v>22106</v>
      </c>
      <c r="AU47" s="6">
        <v>15813</v>
      </c>
      <c r="AV47" s="6">
        <v>6534</v>
      </c>
      <c r="AW47" s="6">
        <v>20.972818</v>
      </c>
      <c r="AX47" s="6">
        <v>7255.6970000000001</v>
      </c>
      <c r="AY47" s="6">
        <v>680.00152000000003</v>
      </c>
      <c r="AZ47" s="6">
        <v>20.788</v>
      </c>
      <c r="BA47" s="6">
        <v>10541</v>
      </c>
      <c r="BB47" s="6">
        <v>45.125</v>
      </c>
      <c r="BC47" s="6">
        <v>113990</v>
      </c>
      <c r="BD47" s="6">
        <v>276393.76</v>
      </c>
      <c r="BE47" s="6">
        <v>3735.9088000000002</v>
      </c>
      <c r="BF47" s="6">
        <v>1712.0419999999999</v>
      </c>
      <c r="BG47" s="6">
        <v>75.283000000000001</v>
      </c>
      <c r="BH47" s="6">
        <v>367.822</v>
      </c>
      <c r="BI47" s="6">
        <v>919.91800000000001</v>
      </c>
      <c r="BJ47" s="6">
        <v>15.097</v>
      </c>
      <c r="BK47" s="6">
        <v>566.48400000000004</v>
      </c>
      <c r="BL47" s="6">
        <v>74076.991999999998</v>
      </c>
      <c r="BM47" s="6">
        <v>312468.96000000002</v>
      </c>
      <c r="BN47" s="6">
        <v>7214.1127999999999</v>
      </c>
      <c r="BO47" s="6">
        <v>53589.132799999999</v>
      </c>
      <c r="BP47" s="6">
        <v>315264.60800000001</v>
      </c>
      <c r="BQ47" s="6">
        <v>327.209</v>
      </c>
      <c r="BR47" s="6">
        <v>182.23</v>
      </c>
      <c r="BS47" s="6">
        <v>1020775.7169999999</v>
      </c>
      <c r="BT47" s="6">
        <v>1400621.5379999999</v>
      </c>
      <c r="BU47" s="6">
        <v>631016.12800000003</v>
      </c>
      <c r="BV47" s="6">
        <v>1027133.52</v>
      </c>
      <c r="BW47" s="6">
        <v>570691.64800000004</v>
      </c>
      <c r="BX47" s="6">
        <v>1017087.28</v>
      </c>
      <c r="BY47" s="6">
        <v>158163.50399999999</v>
      </c>
      <c r="BZ47" s="6">
        <v>114493.424</v>
      </c>
      <c r="CA47" s="6">
        <v>1244.3607999999999</v>
      </c>
      <c r="CB47" s="6">
        <v>109124.736</v>
      </c>
      <c r="CC47" s="6">
        <v>151836.07999999999</v>
      </c>
      <c r="CD47" s="6">
        <v>448240.8</v>
      </c>
      <c r="CE47" s="6">
        <v>49131.7664</v>
      </c>
      <c r="CF47" s="6">
        <v>156164.75200000001</v>
      </c>
      <c r="CG47" s="6">
        <v>36090.383999999998</v>
      </c>
      <c r="CH47" s="6">
        <v>2385.8710000000001</v>
      </c>
      <c r="CI47" s="6">
        <v>215.87899999999999</v>
      </c>
      <c r="CJ47" s="6">
        <v>1191.5999999999999</v>
      </c>
      <c r="CK47" s="6">
        <v>78.524000000000001</v>
      </c>
      <c r="CL47" s="6">
        <v>738.63900000000001</v>
      </c>
      <c r="CM47" s="6">
        <v>551.4</v>
      </c>
      <c r="CN47" s="6">
        <v>48701.599999999999</v>
      </c>
      <c r="CO47" s="6">
        <v>1658.682</v>
      </c>
      <c r="CP47" s="6">
        <v>295663.57299999997</v>
      </c>
      <c r="CQ47" s="6">
        <v>3696504.64</v>
      </c>
      <c r="CR47" s="6">
        <v>131885.07999999999</v>
      </c>
      <c r="CS47" s="6">
        <v>517032.03200000001</v>
      </c>
      <c r="CT47" s="6">
        <v>2959431.3459999999</v>
      </c>
      <c r="CU47" s="6">
        <v>301149.87300000002</v>
      </c>
      <c r="CV47" s="6">
        <v>30176.924800000001</v>
      </c>
      <c r="CW47" s="6">
        <v>63115.667200000004</v>
      </c>
      <c r="CX47" s="6">
        <v>33466.092799999999</v>
      </c>
      <c r="CY47" s="6">
        <v>169077.39199999999</v>
      </c>
      <c r="CZ47" s="6">
        <v>218587.96799999999</v>
      </c>
      <c r="DA47" s="6">
        <v>19203.84</v>
      </c>
      <c r="DB47" s="6">
        <v>151196.318</v>
      </c>
      <c r="DC47" s="6">
        <v>3086.48</v>
      </c>
      <c r="DD47" s="6">
        <v>3086.35</v>
      </c>
      <c r="DE47" s="6">
        <v>3114.91</v>
      </c>
      <c r="DF47" s="6">
        <v>0.97899999999999998</v>
      </c>
      <c r="DG47" s="1" t="s">
        <v>283</v>
      </c>
      <c r="DH47" s="4">
        <f>Table2[[#This Row],[Date]]</f>
        <v>46245</v>
      </c>
      <c r="DI47">
        <f>(DD48-Table2[[#This Row],[MWH Total]])*4000</f>
        <v>28680.000000000291</v>
      </c>
      <c r="DJ47">
        <f>(DA48-Table2[[#This Row],[PNG Meter (Outside)]])*2.936</f>
        <v>9.5713599999953001</v>
      </c>
      <c r="DK47">
        <f>(DB48-Table2[[#This Row],[PNG Meter (Inside)]])*2.936</f>
        <v>413.26255200003624</v>
      </c>
      <c r="DL47">
        <f>(BH48-Table2[[#This Row],[3F Dough cooler - 2 ]])*1000</f>
        <v>449.00000000001228</v>
      </c>
      <c r="DM47">
        <f>(BI48-Table2[[#This Row],[3F Dough Cooler- 1]])*1000</f>
        <v>-317.00000000000728</v>
      </c>
      <c r="DN47">
        <f>(BJ48-Table2[[#This Row],[4F Dough Production cooling Unit]])*1000</f>
        <v>54.00000000000027</v>
      </c>
      <c r="DO47">
        <f>(BQ48-Table2[[#This Row],[3F2 - PDB 3 - Dough Production Area]])*1000</f>
        <v>264.00000000001</v>
      </c>
      <c r="DP47">
        <f>(BR48-Table2[[#This Row],[3F3 - PDB 4 - Dough Area]])*1000</f>
        <v>159.00000000002024</v>
      </c>
      <c r="DQ47">
        <f>AC48-Table2[[#This Row],[16F1 Tray washer Panel for Light]]</f>
        <v>674.72000000020489</v>
      </c>
      <c r="DR47">
        <f>CQ48-Table2[[#This Row],[2F1 Tray Washer - 1]]</f>
        <v>1389.4399999999441</v>
      </c>
      <c r="DS47">
        <f>CS48-Table2[[#This Row],[2F5 Destacker]]</f>
        <v>364.99199999996927</v>
      </c>
      <c r="DT47">
        <f>CU48-Table2[[#This Row],[5F1 Metering (TW-2)]]</f>
        <v>284.91899999999441</v>
      </c>
      <c r="DU47">
        <f>CV48-Table2[[#This Row],[6F1 Pre soaker Tray washer]]</f>
        <v>3.0527999999976601</v>
      </c>
      <c r="DV47">
        <f>CZ48-Table2[[#This Row],[6F5 Vent tray Storage]]</f>
        <v>82.096000000019558</v>
      </c>
      <c r="DW47">
        <f>I48-Table2[[#This Row],[Popeyes Meter ]]</f>
        <v>15.149999999999636</v>
      </c>
      <c r="DX47">
        <f>AZ48-Table2[[#This Row],[2F WH Chiller, Segregation Area]]</f>
        <v>0</v>
      </c>
      <c r="DY47" s="1">
        <f>BA48-Table2[[#This Row],[3F1 AC Unit WH dock cooling - 2 Nos]]</f>
        <v>29</v>
      </c>
      <c r="DZ47">
        <f>BB48-Table2[[#This Row],[3F2 AC Unit WH dock cooling - 3 Nos]]</f>
        <v>4.2999999999999261E-2</v>
      </c>
      <c r="EA47">
        <f>(BK48-Table2[[#This Row],[5F WH Perishable]])*1000</f>
        <v>288.00000000001091</v>
      </c>
      <c r="EB47">
        <f>BN48-Table2[[#This Row],[2F3 - PDB 9 - WH Dock Leveler Door ]]</f>
        <v>2.2615999999998166</v>
      </c>
      <c r="EC47">
        <f>BP48-Table2[[#This Row],[3F1 - PDB 5 - WH HSD]]</f>
        <v>108.96000000002095</v>
      </c>
      <c r="ED47">
        <f>BX48-Table2[[#This Row],[8F1 WH Dock AHU - Ventilation]]</f>
        <v>2325.1999999999534</v>
      </c>
      <c r="EE47">
        <f>BZ48-Table2[[#This Row],[8F3 ACPDB - 4 WH Dock air curtain]]</f>
        <v>28.872000000003027</v>
      </c>
      <c r="EF47">
        <f>CA48-Table2[[#This Row],[8F4 WH Light]]</f>
        <v>0</v>
      </c>
      <c r="EG47">
        <f>CC48-Table2[[#This Row],[9F1 - PDB 10 - WH Dock door &amp; Office]]</f>
        <v>141.61600000000908</v>
      </c>
      <c r="EH47">
        <f>CD48-Table2[[#This Row],[9F2 - PDB 11 - WH flycatchers]]</f>
        <v>189.24800000002142</v>
      </c>
      <c r="EI47">
        <f>CE48-Table2[[#This Row],[9F3 - PDB 12 - Other items]]</f>
        <v>1.5904000000009546</v>
      </c>
      <c r="EJ47">
        <f>CR48-Table2[[#This Row],[2F3 - PDB 1 - Dock 1 to 4 ]]</f>
        <v>59.312000000005355</v>
      </c>
      <c r="EK47">
        <f>BM48-Table2[[#This Row],[2F2 - PDB 3 - WH Truck &amp; Battery Charging]]</f>
        <v>585.63199999998324</v>
      </c>
      <c r="EL47">
        <f>(CK48-Table2[[#This Row],[PDB - 11 Truck Charging]])*1000</f>
        <v>28.999999999996362</v>
      </c>
      <c r="EM47">
        <f>P48-Table2[[#This Row],[5F3 Admin Area]]</f>
        <v>370.56000000005588</v>
      </c>
      <c r="EN47">
        <f>AH48-Table2[[#This Row],[2F5 Main Gate-1 Piller -1]]</f>
        <v>108.67999999999302</v>
      </c>
      <c r="EO47">
        <f>CW48-Table2[[#This Row],[6F2 Ground Floor AC]]</f>
        <v>32.627199999995355</v>
      </c>
      <c r="EP47">
        <f>CX48-Table2[[#This Row],[6F3 ACBD -1 (First floor AC)]]</f>
        <v>0</v>
      </c>
      <c r="EQ47">
        <f>CY48-Table2[[#This Row],[6F4 ACBD - 2 (Second &amp; Third floor AC)]]</f>
        <v>127.26399999999558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1219.3599999998696</v>
      </c>
      <c r="EU47">
        <f>(CL48-Table2[[#This Row],[OLD Ck Panel-1]])*1000</f>
        <v>644.99999999998181</v>
      </c>
      <c r="EV47">
        <f>CM48-Table2[[#This Row],[2F4 Old CK Blast (Blue star)]]</f>
        <v>0</v>
      </c>
      <c r="EW47">
        <f>CN48-Table2[[#This Row],[3F6 Old CK Blast (Carrier)]]</f>
        <v>580.80000000000291</v>
      </c>
      <c r="EX47">
        <f>(CO48-Table2[[#This Row],[Old CK Panel -2]])*1000</f>
        <v>966.99999999987085</v>
      </c>
      <c r="EY47">
        <f>N48-Table2[[#This Row],[4F1 Main UPS 1/C -1]]</f>
        <v>967.36000000010245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33.999999999991815</v>
      </c>
      <c r="FC47">
        <f>BW48-Table2[[#This Row],[7F3 CLC Power Panel]]</f>
        <v>284.92799999995623</v>
      </c>
      <c r="FD47">
        <f>(CI48-Table2[[#This Row],[PDB - 17 CLC Section ]])*1000</f>
        <v>183.9999999999975</v>
      </c>
      <c r="FE47">
        <f>(W48-Table2[[#This Row],[13F3 Water &amp; Lift Old CK]])*1000</f>
        <v>610.79999999992651</v>
      </c>
      <c r="FF47">
        <f>AA48-Table2[[#This Row],[15F2 New ETP Panel]]</f>
        <v>282.6239999999525</v>
      </c>
      <c r="FG47">
        <f>AL48-Table2[[#This Row],[3F4 Old ETP Panel]]</f>
        <v>58.432000000029802</v>
      </c>
      <c r="FH47">
        <f>AF48-Table2[[#This Row],[2F1 RO Plant]]</f>
        <v>630.71999999997206</v>
      </c>
      <c r="FI47">
        <f>AK48-Table2[[#This Row],[3F3 Fire Hydrant Panel]]</f>
        <v>8.3680000000022119</v>
      </c>
      <c r="FJ47">
        <f>R48-Table2[[#This Row],[7F1 Freon System Panel]]</f>
        <v>5614.0800000000745</v>
      </c>
      <c r="FK47">
        <f>(AE48-Table2[[#This Row],[21F1 Refrigeration Ammonia]])*1000</f>
        <v>7937.5999999992928</v>
      </c>
      <c r="FL47">
        <f>(AG48-Table2[[#This Row],[2F3 Air Compressor]])*1000</f>
        <v>1357.9999999999472</v>
      </c>
      <c r="FM47">
        <f>(AX48-Table2[[#This Row],[Solar Reading Panel II]])*1000</f>
        <v>1823.0000000003201</v>
      </c>
      <c r="FN47">
        <f>AI48-Table2[[#This Row],[3F1 Maintenance Workshop]]</f>
        <v>4.5807999999997264</v>
      </c>
      <c r="FO47">
        <f>BD48-Table2[[#This Row],[4F B2B unit ]]</f>
        <v>79.232000000018161</v>
      </c>
      <c r="FP47">
        <f>BL48-Table2[[#This Row],[2F1 - PDB 6 - Bread, B2B section]]</f>
        <v>301.03040000000328</v>
      </c>
      <c r="FQ47">
        <f>(CG48-Table2[[#This Row],[9F5 - PDB 14 - Bread Lift]])</f>
        <v>0.45120000000315486</v>
      </c>
      <c r="FR47">
        <f>CJ48-Table2[[#This Row],[PDB - 16 Bread Section]]</f>
        <v>0</v>
      </c>
      <c r="FS47">
        <f>BU48-Table2[[#This Row],[7F1 Donut Production area]]</f>
        <v>187.19999999995343</v>
      </c>
      <c r="FT47">
        <f>CB48-Table2[[#This Row],[8F5 Donut Ban Bary]]</f>
        <v>43.063999999998487</v>
      </c>
      <c r="FU47">
        <f>CF48-Table2[[#This Row],[9F4 - PDB 13 - Donut Sink Geyser area]]</f>
        <v>17.135999999998603</v>
      </c>
      <c r="FV47">
        <f>BV48-Table2[[#This Row],[7F2 Flour Silo]]</f>
        <v>707.43999999994412</v>
      </c>
      <c r="FW47">
        <f>BY48-Table2[[#This Row],[8F2 ACPDB - 3 SILO Ventilation]]</f>
        <v>43.216000000014901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>
        <v>58</v>
      </c>
      <c r="B48" s="2">
        <v>46246.402407407404</v>
      </c>
      <c r="C48" s="2">
        <v>46246.444722222222</v>
      </c>
      <c r="D48" s="1" t="s">
        <v>111</v>
      </c>
      <c r="E48" s="1"/>
      <c r="F48" s="1"/>
      <c r="G48" s="3">
        <v>46246</v>
      </c>
      <c r="H48" s="1" t="s">
        <v>186</v>
      </c>
      <c r="I48" s="6">
        <v>7049.3620000000001</v>
      </c>
      <c r="J48" s="6">
        <v>4276.3</v>
      </c>
      <c r="K48" s="6">
        <v>1777570</v>
      </c>
      <c r="L48" s="6">
        <v>456</v>
      </c>
      <c r="M48" s="6">
        <v>191.81</v>
      </c>
      <c r="N48" s="6">
        <v>1876314.56</v>
      </c>
      <c r="O48" s="6">
        <v>4614384</v>
      </c>
      <c r="P48" s="6">
        <v>648946.43200000003</v>
      </c>
      <c r="Q48" s="6">
        <v>8113030.4000000004</v>
      </c>
      <c r="R48" s="6">
        <v>5586605.4400000004</v>
      </c>
      <c r="S48" s="6">
        <v>7390101.1200000001</v>
      </c>
      <c r="T48" s="6">
        <v>43309149.952</v>
      </c>
      <c r="U48" s="6">
        <v>2113273.2799999998</v>
      </c>
      <c r="V48" s="6">
        <v>5130938.88</v>
      </c>
      <c r="W48" s="6">
        <v>1597.8669</v>
      </c>
      <c r="X48" s="6">
        <v>776199.36</v>
      </c>
      <c r="Y48" s="6">
        <v>1103212.6399999999</v>
      </c>
      <c r="Z48" s="6">
        <v>2777.8894</v>
      </c>
      <c r="AA48" s="6">
        <v>670912.51199999999</v>
      </c>
      <c r="AB48" s="6">
        <v>421376.06400000001</v>
      </c>
      <c r="AC48" s="6">
        <v>2145090.2400000002</v>
      </c>
      <c r="AD48" s="6">
        <v>4145955.2209999999</v>
      </c>
      <c r="AE48" s="6">
        <v>12863.7168</v>
      </c>
      <c r="AF48" s="6">
        <v>880105.6</v>
      </c>
      <c r="AG48" s="6">
        <v>1409.6569999999999</v>
      </c>
      <c r="AH48" s="6">
        <v>134274.272</v>
      </c>
      <c r="AI48" s="6">
        <v>14671.6896</v>
      </c>
      <c r="AJ48" s="6">
        <v>145380.03200000001</v>
      </c>
      <c r="AK48" s="6">
        <v>105334.552</v>
      </c>
      <c r="AL48" s="6">
        <v>331184.864</v>
      </c>
      <c r="AM48" s="6">
        <v>996.60799999999995</v>
      </c>
      <c r="AN48" s="6">
        <v>312.3</v>
      </c>
      <c r="AO48" s="6">
        <v>7.1</v>
      </c>
      <c r="AP48" s="6">
        <v>540361</v>
      </c>
      <c r="AQ48" s="6">
        <v>42454</v>
      </c>
      <c r="AR48" s="6">
        <v>41909</v>
      </c>
      <c r="AS48" s="6">
        <v>32390</v>
      </c>
      <c r="AT48" s="6">
        <v>22106</v>
      </c>
      <c r="AU48" s="6">
        <v>15837</v>
      </c>
      <c r="AV48" s="6">
        <v>6549</v>
      </c>
      <c r="AW48" s="6">
        <v>20.980551999999999</v>
      </c>
      <c r="AX48" s="6">
        <v>7257.52</v>
      </c>
      <c r="AY48" s="6">
        <v>680.17376000000002</v>
      </c>
      <c r="AZ48" s="6">
        <v>20.788</v>
      </c>
      <c r="BA48" s="6">
        <v>10570</v>
      </c>
      <c r="BB48" s="6">
        <v>45.167999999999999</v>
      </c>
      <c r="BC48" s="6">
        <v>113990</v>
      </c>
      <c r="BD48" s="6">
        <v>276472.99200000003</v>
      </c>
      <c r="BE48" s="6">
        <v>3737.2636000000002</v>
      </c>
      <c r="BF48" s="6">
        <v>1712.0419999999999</v>
      </c>
      <c r="BG48" s="6">
        <v>75.316999999999993</v>
      </c>
      <c r="BH48" s="6">
        <v>368.27100000000002</v>
      </c>
      <c r="BI48" s="6">
        <v>919.601</v>
      </c>
      <c r="BJ48" s="6">
        <v>15.151</v>
      </c>
      <c r="BK48" s="6">
        <v>566.77200000000005</v>
      </c>
      <c r="BL48" s="6">
        <v>74378.022400000002</v>
      </c>
      <c r="BM48" s="6">
        <v>313054.592</v>
      </c>
      <c r="BN48" s="6">
        <v>7216.3743999999997</v>
      </c>
      <c r="BO48" s="6">
        <v>53589.132799999999</v>
      </c>
      <c r="BP48" s="6">
        <v>315373.56800000003</v>
      </c>
      <c r="BQ48" s="6">
        <v>327.47300000000001</v>
      </c>
      <c r="BR48" s="6">
        <v>182.38900000000001</v>
      </c>
      <c r="BS48" s="6">
        <v>1022338.2610000001</v>
      </c>
      <c r="BT48" s="6">
        <v>1400621.5390000001</v>
      </c>
      <c r="BU48" s="6">
        <v>631203.32799999998</v>
      </c>
      <c r="BV48" s="6">
        <v>1027840.96</v>
      </c>
      <c r="BW48" s="6">
        <v>570976.576</v>
      </c>
      <c r="BX48" s="6">
        <v>1019412.48</v>
      </c>
      <c r="BY48" s="6">
        <v>158206.72</v>
      </c>
      <c r="BZ48" s="6">
        <v>114522.296</v>
      </c>
      <c r="CA48" s="6">
        <v>1244.3607999999999</v>
      </c>
      <c r="CB48" s="6">
        <v>109167.8</v>
      </c>
      <c r="CC48" s="6">
        <v>151977.696</v>
      </c>
      <c r="CD48" s="6">
        <v>448430.04800000001</v>
      </c>
      <c r="CE48" s="6">
        <v>49133.356800000001</v>
      </c>
      <c r="CF48" s="6">
        <v>156181.88800000001</v>
      </c>
      <c r="CG48" s="6">
        <v>36090.835200000001</v>
      </c>
      <c r="CH48" s="6">
        <v>2385.8710000000001</v>
      </c>
      <c r="CI48" s="6">
        <v>216.06299999999999</v>
      </c>
      <c r="CJ48" s="6">
        <v>1191.5999999999999</v>
      </c>
      <c r="CK48" s="6">
        <v>78.552999999999997</v>
      </c>
      <c r="CL48" s="6">
        <v>739.28399999999999</v>
      </c>
      <c r="CM48" s="6">
        <v>551.4</v>
      </c>
      <c r="CN48" s="6">
        <v>49282.400000000001</v>
      </c>
      <c r="CO48" s="6">
        <v>1659.6489999999999</v>
      </c>
      <c r="CP48" s="6">
        <v>295862.09600000002</v>
      </c>
      <c r="CQ48" s="6">
        <v>3697894.08</v>
      </c>
      <c r="CR48" s="6">
        <v>131944.39199999999</v>
      </c>
      <c r="CS48" s="6">
        <v>517397.02399999998</v>
      </c>
      <c r="CT48" s="6">
        <v>2963027.2</v>
      </c>
      <c r="CU48" s="6">
        <v>301434.79200000002</v>
      </c>
      <c r="CV48" s="6">
        <v>30179.977599999998</v>
      </c>
      <c r="CW48" s="6">
        <v>63148.294399999999</v>
      </c>
      <c r="CX48" s="6">
        <v>33466.092799999999</v>
      </c>
      <c r="CY48" s="6">
        <v>169204.65599999999</v>
      </c>
      <c r="CZ48" s="6">
        <v>218670.06400000001</v>
      </c>
      <c r="DA48" s="6">
        <v>19207.099999999999</v>
      </c>
      <c r="DB48" s="6">
        <v>151337.07500000001</v>
      </c>
      <c r="DC48" s="6">
        <v>3093.65</v>
      </c>
      <c r="DD48" s="6">
        <v>3093.52</v>
      </c>
      <c r="DE48" s="6">
        <v>3122.28</v>
      </c>
      <c r="DF48" s="6">
        <v>0.98899999999999999</v>
      </c>
      <c r="DG48" s="1" t="s">
        <v>242</v>
      </c>
      <c r="DH48" s="4">
        <f>Table2[[#This Row],[Date]]</f>
        <v>46246</v>
      </c>
      <c r="DI48">
        <f>(DD49-Table2[[#This Row],[MWH Total]])*4000</f>
        <v>27680.000000000291</v>
      </c>
      <c r="DJ48">
        <f>(DA49-Table2[[#This Row],[PNG Meter (Outside)]])*2.936</f>
        <v>11.479759999999573</v>
      </c>
      <c r="DK48">
        <f>(DB49-Table2[[#This Row],[PNG Meter (Inside)]])*2.936</f>
        <v>427.45517599995827</v>
      </c>
      <c r="DL48">
        <f>(BH49-Table2[[#This Row],[3F Dough cooler - 2 ]])*1000</f>
        <v>449.99999999998863</v>
      </c>
      <c r="DM48">
        <f>(BI49-Table2[[#This Row],[3F Dough Cooler- 1]])*1000</f>
        <v>485.99999999999</v>
      </c>
      <c r="DN48">
        <f>(BJ49-Table2[[#This Row],[4F Dough Production cooling Unit]])*1000</f>
        <v>60.999999999999943</v>
      </c>
      <c r="DO48">
        <f>(BQ49-Table2[[#This Row],[3F2 - PDB 3 - Dough Production Area]])*1000</f>
        <v>293.99999999998272</v>
      </c>
      <c r="DP48">
        <f>(BR49-Table2[[#This Row],[3F3 - PDB 4 - Dough Area]])*1000</f>
        <v>170.99999999999227</v>
      </c>
      <c r="DQ48">
        <f>AC49-Table2[[#This Row],[16F1 Tray washer Panel for Light]]</f>
        <v>659.1999999997206</v>
      </c>
      <c r="DR48">
        <f>CQ49-Table2[[#This Row],[2F1 Tray Washer - 1]]</f>
        <v>1405.7599999997765</v>
      </c>
      <c r="DS48">
        <f>CS49-Table2[[#This Row],[2F5 Destacker]]</f>
        <v>382.4320000000298</v>
      </c>
      <c r="DT48">
        <f>CU49-Table2[[#This Row],[5F1 Metering (TW-2)]]</f>
        <v>289.1809999999823</v>
      </c>
      <c r="DU48">
        <f>CV49-Table2[[#This Row],[6F1 Pre soaker Tray washer]]</f>
        <v>3.6832000000031258</v>
      </c>
      <c r="DV48">
        <f>CZ49-Table2[[#This Row],[6F5 Vent tray Storage]]</f>
        <v>68.511999999987893</v>
      </c>
      <c r="DW48">
        <f>I49-Table2[[#This Row],[Popeyes Meter ]]</f>
        <v>58.109999999999673</v>
      </c>
      <c r="DX48">
        <f>AZ49-Table2[[#This Row],[2F WH Chiller, Segregation Area]]</f>
        <v>0</v>
      </c>
      <c r="DY48">
        <f>BA49-Table2[[#This Row],[3F1 AC Unit WH dock cooling - 2 Nos]]</f>
        <v>21</v>
      </c>
      <c r="DZ48">
        <f>BB49-Table2[[#This Row],[3F2 AC Unit WH dock cooling - 3 Nos]]</f>
        <v>4.5999999999999375E-2</v>
      </c>
      <c r="EA48">
        <f>(BK49-Table2[[#This Row],[5F WH Perishable]])*1000</f>
        <v>289.99999999996362</v>
      </c>
      <c r="EB48">
        <f>BN49-Table2[[#This Row],[2F3 - PDB 9 - WH Dock Leveler Door ]]</f>
        <v>2.3304000000007363</v>
      </c>
      <c r="EC48">
        <f>BP49-Table2[[#This Row],[3F1 - PDB 5 - WH HSD]]</f>
        <v>83.391999999992549</v>
      </c>
      <c r="ED48">
        <f>BX49-Table2[[#This Row],[8F1 WH Dock AHU - Ventilation]]</f>
        <v>2319.6800000000512</v>
      </c>
      <c r="EE48">
        <f>BZ49-Table2[[#This Row],[8F3 ACPDB - 4 WH Dock air curtain]]</f>
        <v>37.423999999999069</v>
      </c>
      <c r="EF48">
        <f>CA49-Table2[[#This Row],[8F4 WH Light]]</f>
        <v>0</v>
      </c>
      <c r="EG48">
        <f>CC49-Table2[[#This Row],[9F1 - PDB 10 - WH Dock door &amp; Office]]</f>
        <v>101.90400000000955</v>
      </c>
      <c r="EH48">
        <f>CD49-Table2[[#This Row],[9F2 - PDB 11 - WH flycatchers]]</f>
        <v>214.27199999999721</v>
      </c>
      <c r="EI48">
        <f>CE49-Table2[[#This Row],[9F3 - PDB 12 - Other items]]</f>
        <v>1.4752000000007683</v>
      </c>
      <c r="EJ48">
        <f>CR49-Table2[[#This Row],[2F3 - PDB 1 - Dock 1 to 4 ]]</f>
        <v>63.296000000002095</v>
      </c>
      <c r="EK48">
        <f>BM49-Table2[[#This Row],[2F2 - PDB 3 - WH Truck &amp; Battery Charging]]</f>
        <v>582.20799999998417</v>
      </c>
      <c r="EL48">
        <f>(CK49-Table2[[#This Row],[PDB - 11 Truck Charging]])*1000</f>
        <v>28.000000000005798</v>
      </c>
      <c r="EM48">
        <f>P49-Table2[[#This Row],[5F3 Admin Area]]</f>
        <v>389.43999999994412</v>
      </c>
      <c r="EN48">
        <f>AH49-Table2[[#This Row],[2F5 Main Gate-1 Piller -1]]</f>
        <v>115.95199999999022</v>
      </c>
      <c r="EO48">
        <f>CW49-Table2[[#This Row],[6F2 Ground Floor AC]]</f>
        <v>32.480000000003201</v>
      </c>
      <c r="EP48">
        <f>CX49-Table2[[#This Row],[6F3 ACBD -1 (First floor AC)]]</f>
        <v>0</v>
      </c>
      <c r="EQ48">
        <f>CY49-Table2[[#This Row],[6F4 ACBD - 2 (Second &amp; Third floor AC)]]</f>
        <v>144.01600000000326</v>
      </c>
      <c r="ER48">
        <f>(BC49-Table2[[#This Row],[4F Old BMC cooling Unit]])</f>
        <v>17.639999999999418</v>
      </c>
      <c r="ES48">
        <f>BO49-Table2[[#This Row],[2F4 - Old BMC]]</f>
        <v>0</v>
      </c>
      <c r="ET48">
        <f>Y49-Table2[[#This Row],[14F2 New CK]]</f>
        <v>1604.3200000000652</v>
      </c>
      <c r="EU48">
        <f>(CL49-Table2[[#This Row],[OLD Ck Panel-1]])*1000</f>
        <v>662.00000000003456</v>
      </c>
      <c r="EV48">
        <f>CM49-Table2[[#This Row],[2F4 Old CK Blast (Blue star)]]</f>
        <v>0</v>
      </c>
      <c r="EW48">
        <f>CN49-Table2[[#This Row],[3F6 Old CK Blast (Carrier)]]</f>
        <v>598.29999999999563</v>
      </c>
      <c r="EX48">
        <f>(CO49-Table2[[#This Row],[Old CK Panel -2]])*1000</f>
        <v>933.0000000002201</v>
      </c>
      <c r="EY48">
        <f>N49-Table2[[#This Row],[4F1 Main UPS 1/C -1]]</f>
        <v>993.76000000000931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35.0000000000108</v>
      </c>
      <c r="FC48">
        <f>BW49-Table2[[#This Row],[7F3 CLC Power Panel]]</f>
        <v>221.50399999995716</v>
      </c>
      <c r="FD48">
        <f>(CI49-Table2[[#This Row],[PDB - 17 CLC Section ]])*1000</f>
        <v>142.00000000002433</v>
      </c>
      <c r="FE48">
        <f>(W49-Table2[[#This Row],[13F3 Water &amp; Lift Old CK]])*1000</f>
        <v>1305.2999999999884</v>
      </c>
      <c r="FF48">
        <f>AA49-Table2[[#This Row],[15F2 New ETP Panel]]</f>
        <v>267.90399999998044</v>
      </c>
      <c r="FG48">
        <f>AL49-Table2[[#This Row],[3F4 Old ETP Panel]]</f>
        <v>77.567999999970198</v>
      </c>
      <c r="FH48">
        <f>AF49-Table2[[#This Row],[2F1 RO Plant]]</f>
        <v>586.23999999999069</v>
      </c>
      <c r="FI48">
        <f>AK49-Table2[[#This Row],[3F3 Fire Hydrant Panel]]</f>
        <v>8.9199999999982538</v>
      </c>
      <c r="FJ48">
        <f>R49-Table2[[#This Row],[7F1 Freon System Panel]]</f>
        <v>6083.839999999851</v>
      </c>
      <c r="FK48">
        <f>(AE49-Table2[[#This Row],[21F1 Refrigeration Ammonia]])*1000</f>
        <v>8442.3999999999069</v>
      </c>
      <c r="FL48">
        <f>(AG49-Table2[[#This Row],[2F3 Air Compressor]])*1000</f>
        <v>1365.0000000000091</v>
      </c>
      <c r="FM48">
        <f>(AX49-Table2[[#This Row],[Solar Reading Panel II]])*1000</f>
        <v>3509.0000000000146</v>
      </c>
      <c r="FN48">
        <f>AI49-Table2[[#This Row],[3F1 Maintenance Workshop]]</f>
        <v>6.8256000000001222</v>
      </c>
      <c r="FO48">
        <f>BD49-Table2[[#This Row],[4F B2B unit ]]</f>
        <v>69.087999999988824</v>
      </c>
      <c r="FP48">
        <f>BL49-Table2[[#This Row],[2F1 - PDB 6 - Bread, B2B section]]</f>
        <v>283.88479999999981</v>
      </c>
      <c r="FQ48">
        <f>(CG49-Table2[[#This Row],[9F5 - PDB 14 - Bread Lift]])</f>
        <v>0.85119999999733409</v>
      </c>
      <c r="FR48">
        <f>CJ49-Table2[[#This Row],[PDB - 16 Bread Section]]</f>
        <v>0</v>
      </c>
      <c r="FS48">
        <f>BU49-Table2[[#This Row],[7F1 Donut Production area]]</f>
        <v>243.8399999999674</v>
      </c>
      <c r="FT48">
        <f>CB49-Table2[[#This Row],[8F5 Donut Ban Bary]]</f>
        <v>49</v>
      </c>
      <c r="FU48">
        <f>CF49-Table2[[#This Row],[9F4 - PDB 13 - Donut Sink Geyser area]]</f>
        <v>16.335999999981141</v>
      </c>
      <c r="FV48">
        <f>BV49-Table2[[#This Row],[7F2 Flour Silo]]</f>
        <v>848.96000000007916</v>
      </c>
      <c r="FW48">
        <f>BY49-Table2[[#This Row],[8F2 ACPDB - 3 SILO Ventilation]]</f>
        <v>43.056000000011409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>
        <v>59</v>
      </c>
      <c r="B49" s="2">
        <v>46247.399456018517</v>
      </c>
      <c r="C49" s="2">
        <v>46247.44321759259</v>
      </c>
      <c r="D49" s="1" t="s">
        <v>111</v>
      </c>
      <c r="E49" s="1"/>
      <c r="F49" s="1"/>
      <c r="G49" s="3">
        <v>46247</v>
      </c>
      <c r="H49" s="1" t="s">
        <v>186</v>
      </c>
      <c r="I49" s="6">
        <v>7107.4719999999998</v>
      </c>
      <c r="J49" s="6">
        <v>4276.3</v>
      </c>
      <c r="K49" s="6">
        <v>1777570</v>
      </c>
      <c r="L49" s="6">
        <v>456</v>
      </c>
      <c r="M49" s="6">
        <v>191.81</v>
      </c>
      <c r="N49" s="6">
        <v>1877308.32</v>
      </c>
      <c r="O49" s="6">
        <v>4616450.88</v>
      </c>
      <c r="P49" s="6">
        <v>649335.87199999997</v>
      </c>
      <c r="Q49" s="6">
        <v>8116683.5199999996</v>
      </c>
      <c r="R49" s="6">
        <v>5592689.2800000003</v>
      </c>
      <c r="S49" s="6">
        <v>7393642.2400000002</v>
      </c>
      <c r="T49" s="6">
        <v>43322384.799000002</v>
      </c>
      <c r="U49" s="6">
        <v>2114831.52</v>
      </c>
      <c r="V49" s="6">
        <v>5132800.96</v>
      </c>
      <c r="W49" s="6">
        <v>1599.1722</v>
      </c>
      <c r="X49" s="6">
        <v>776488.70400000003</v>
      </c>
      <c r="Y49" s="6">
        <v>1104816.96</v>
      </c>
      <c r="Z49" s="6">
        <v>2777.8894</v>
      </c>
      <c r="AA49" s="6">
        <v>671180.41599999997</v>
      </c>
      <c r="AB49" s="6">
        <v>421389.02399999998</v>
      </c>
      <c r="AC49" s="6">
        <v>2145749.44</v>
      </c>
      <c r="AD49" s="6">
        <v>4162481.2949999999</v>
      </c>
      <c r="AE49" s="6">
        <v>12872.1592</v>
      </c>
      <c r="AF49" s="6">
        <v>880691.84</v>
      </c>
      <c r="AG49" s="6">
        <v>1411.0219999999999</v>
      </c>
      <c r="AH49" s="6">
        <v>134390.22399999999</v>
      </c>
      <c r="AI49" s="6">
        <v>14678.5152</v>
      </c>
      <c r="AJ49" s="6">
        <v>145380.03200000001</v>
      </c>
      <c r="AK49" s="6">
        <v>105343.47199999999</v>
      </c>
      <c r="AL49" s="6">
        <v>331262.43199999997</v>
      </c>
      <c r="AM49" s="6">
        <v>997.38800000000003</v>
      </c>
      <c r="AN49" s="6">
        <v>225.8</v>
      </c>
      <c r="AO49" s="6">
        <v>7</v>
      </c>
      <c r="AP49" s="6">
        <v>551625</v>
      </c>
      <c r="AQ49" s="6">
        <v>42478</v>
      </c>
      <c r="AR49" s="6">
        <v>41933</v>
      </c>
      <c r="AS49" s="6">
        <v>32390</v>
      </c>
      <c r="AT49" s="6">
        <v>22106</v>
      </c>
      <c r="AU49" s="6">
        <v>15861</v>
      </c>
      <c r="AV49" s="6">
        <v>6563</v>
      </c>
      <c r="AW49" s="6">
        <v>20.988786000000001</v>
      </c>
      <c r="AX49" s="6">
        <v>7261.0290000000005</v>
      </c>
      <c r="AY49" s="6">
        <v>680.33911999999998</v>
      </c>
      <c r="AZ49" s="6">
        <v>20.788</v>
      </c>
      <c r="BA49" s="6">
        <v>10591</v>
      </c>
      <c r="BB49" s="6">
        <v>45.213999999999999</v>
      </c>
      <c r="BC49" s="6">
        <v>114007.64</v>
      </c>
      <c r="BD49" s="6">
        <v>276542.08000000002</v>
      </c>
      <c r="BE49" s="6">
        <v>3738.6419999999998</v>
      </c>
      <c r="BF49" s="6">
        <v>1712.0419999999999</v>
      </c>
      <c r="BG49" s="6">
        <v>75.352000000000004</v>
      </c>
      <c r="BH49" s="6">
        <v>368.721</v>
      </c>
      <c r="BI49" s="6">
        <v>920.08699999999999</v>
      </c>
      <c r="BJ49" s="6">
        <v>15.212</v>
      </c>
      <c r="BK49" s="6">
        <v>567.06200000000001</v>
      </c>
      <c r="BL49" s="6">
        <v>74661.907200000001</v>
      </c>
      <c r="BM49" s="6">
        <v>313636.8</v>
      </c>
      <c r="BN49" s="6">
        <v>7218.7048000000004</v>
      </c>
      <c r="BO49" s="6">
        <v>53589.132799999999</v>
      </c>
      <c r="BP49" s="6">
        <v>315456.96000000002</v>
      </c>
      <c r="BQ49" s="6">
        <v>327.767</v>
      </c>
      <c r="BR49" s="6">
        <v>182.56</v>
      </c>
      <c r="BS49" s="6">
        <v>1023887.942</v>
      </c>
      <c r="BT49" s="6">
        <v>1400621.5390000001</v>
      </c>
      <c r="BU49" s="6">
        <v>631447.16799999995</v>
      </c>
      <c r="BV49" s="6">
        <v>1028689.92</v>
      </c>
      <c r="BW49" s="6">
        <v>571198.07999999996</v>
      </c>
      <c r="BX49" s="6">
        <v>1021732.16</v>
      </c>
      <c r="BY49" s="6">
        <v>158249.77600000001</v>
      </c>
      <c r="BZ49" s="6">
        <v>114559.72</v>
      </c>
      <c r="CA49" s="6">
        <v>1244.3607999999999</v>
      </c>
      <c r="CB49" s="6">
        <v>109216.8</v>
      </c>
      <c r="CC49" s="6">
        <v>152079.6</v>
      </c>
      <c r="CD49" s="6">
        <v>448644.32</v>
      </c>
      <c r="CE49" s="6">
        <v>49134.832000000002</v>
      </c>
      <c r="CF49" s="6">
        <v>156198.22399999999</v>
      </c>
      <c r="CG49" s="6">
        <v>36091.686399999999</v>
      </c>
      <c r="CH49" s="6">
        <v>2385.8710000000001</v>
      </c>
      <c r="CI49" s="6">
        <v>216.20500000000001</v>
      </c>
      <c r="CJ49" s="6">
        <v>1191.5999999999999</v>
      </c>
      <c r="CK49" s="6">
        <v>78.581000000000003</v>
      </c>
      <c r="CL49" s="6">
        <v>739.94600000000003</v>
      </c>
      <c r="CM49" s="6">
        <v>551.4</v>
      </c>
      <c r="CN49" s="6">
        <v>49880.7</v>
      </c>
      <c r="CO49" s="6">
        <v>1660.5820000000001</v>
      </c>
      <c r="CP49" s="6">
        <v>296061.45400000003</v>
      </c>
      <c r="CQ49" s="6">
        <v>3699299.84</v>
      </c>
      <c r="CR49" s="6">
        <v>132007.68799999999</v>
      </c>
      <c r="CS49" s="6">
        <v>517779.45600000001</v>
      </c>
      <c r="CT49" s="6">
        <v>2966631.73</v>
      </c>
      <c r="CU49" s="6">
        <v>301723.973</v>
      </c>
      <c r="CV49" s="6">
        <v>30183.660800000001</v>
      </c>
      <c r="CW49" s="6">
        <v>63180.774400000002</v>
      </c>
      <c r="CX49" s="6">
        <v>33466.092799999999</v>
      </c>
      <c r="CY49" s="6">
        <v>169348.67199999999</v>
      </c>
      <c r="CZ49" s="6">
        <v>218738.576</v>
      </c>
      <c r="DA49" s="6">
        <v>19211.009999999998</v>
      </c>
      <c r="DB49" s="6">
        <v>151482.666</v>
      </c>
      <c r="DC49" s="6">
        <v>3100.57</v>
      </c>
      <c r="DD49" s="6">
        <v>3100.44</v>
      </c>
      <c r="DE49" s="6">
        <v>3129.34</v>
      </c>
      <c r="DF49" s="6">
        <v>0.98099999999999998</v>
      </c>
      <c r="DG49" s="1" t="s">
        <v>189</v>
      </c>
      <c r="DH49" s="4">
        <f>Table2[[#This Row],[Date]]</f>
        <v>46247</v>
      </c>
      <c r="DI49">
        <f>(DD50-Table2[[#This Row],[MWH Total]])*4000</f>
        <v>29119.999999998981</v>
      </c>
      <c r="DJ49">
        <f>(DA50-Table2[[#This Row],[PNG Meter (Outside)]])*2.936</f>
        <v>6.7528000000085449</v>
      </c>
      <c r="DK49">
        <f>(DB50-Table2[[#This Row],[PNG Meter (Inside)]])*2.936</f>
        <v>461.1017360000198</v>
      </c>
      <c r="DL49">
        <f>(BH50-Table2[[#This Row],[3F Dough cooler - 2 ]])*1000</f>
        <v>440.99999999997408</v>
      </c>
      <c r="DM49">
        <f>(BI50-Table2[[#This Row],[3F Dough Cooler- 1]])*1000</f>
        <v>475.99999999999909</v>
      </c>
      <c r="DN49">
        <f>(BJ50-Table2[[#This Row],[4F Dough Production cooling Unit]])*1000</f>
        <v>59.000000000001052</v>
      </c>
      <c r="DO49">
        <f>(BQ50-Table2[[#This Row],[3F2 - PDB 3 - Dough Production Area]])*1000</f>
        <v>302.99999999999727</v>
      </c>
      <c r="DP49">
        <f>(BR50-Table2[[#This Row],[3F3 - PDB 4 - Dough Area]])*1000</f>
        <v>169.00000000001114</v>
      </c>
      <c r="DQ49">
        <f>AC50-Table2[[#This Row],[16F1 Tray washer Panel for Light]]</f>
        <v>637.60000000009313</v>
      </c>
      <c r="DR49">
        <f>CQ50-Table2[[#This Row],[2F1 Tray Washer - 1]]</f>
        <v>1327.0400000000373</v>
      </c>
      <c r="DS49">
        <f>CS50-Table2[[#This Row],[2F5 Destacker]]</f>
        <v>334.88000000000466</v>
      </c>
      <c r="DT49">
        <f>CU50-Table2[[#This Row],[5F1 Metering (TW-2)]]</f>
        <v>308.90700000000652</v>
      </c>
      <c r="DU49">
        <f>CV50-Table2[[#This Row],[6F1 Pre soaker Tray washer]]</f>
        <v>3.6831999999994878</v>
      </c>
      <c r="DV49">
        <f>CZ50-Table2[[#This Row],[6F5 Vent tray Storage]]</f>
        <v>104.63999999998487</v>
      </c>
      <c r="DW49">
        <f>I50-Table2[[#This Row],[Popeyes Meter ]]</f>
        <v>37.680000000000291</v>
      </c>
      <c r="DX49">
        <f>AZ50-Table2[[#This Row],[2F WH Chiller, Segregation Area]]</f>
        <v>0</v>
      </c>
      <c r="DY49">
        <f>BA50-Table2[[#This Row],[3F1 AC Unit WH dock cooling - 2 Nos]]</f>
        <v>28</v>
      </c>
      <c r="DZ49">
        <f>BB50-Table2[[#This Row],[3F2 AC Unit WH dock cooling - 3 Nos]]</f>
        <v>3.6000000000001364E-2</v>
      </c>
      <c r="EA49">
        <f>(BK50-Table2[[#This Row],[5F WH Perishable]])*1000</f>
        <v>230.99999999999454</v>
      </c>
      <c r="EB49">
        <f>BN50-Table2[[#This Row],[2F3 - PDB 9 - WH Dock Leveler Door ]]</f>
        <v>4.9183999999995649</v>
      </c>
      <c r="EC49">
        <f>BP50-Table2[[#This Row],[3F1 - PDB 5 - WH HSD]]</f>
        <v>91.807999999960884</v>
      </c>
      <c r="ED49">
        <f>BX50-Table2[[#This Row],[8F1 WH Dock AHU - Ventilation]]</f>
        <v>2271.1199999999953</v>
      </c>
      <c r="EE49">
        <f>BZ50-Table2[[#This Row],[8F3 ACPDB - 4 WH Dock air curtain]]</f>
        <v>38.263999999995576</v>
      </c>
      <c r="EF49">
        <f>CA50-Table2[[#This Row],[8F4 WH Light]]</f>
        <v>0</v>
      </c>
      <c r="EG49">
        <f>CC50-Table2[[#This Row],[9F1 - PDB 10 - WH Dock door &amp; Office]]</f>
        <v>144.14400000000023</v>
      </c>
      <c r="EH49">
        <f>CD50-Table2[[#This Row],[9F2 - PDB 11 - WH flycatchers]]</f>
        <v>295.03999999997905</v>
      </c>
      <c r="EI49">
        <f>CE50-Table2[[#This Row],[9F3 - PDB 12 - Other items]]</f>
        <v>1.5103999999992084</v>
      </c>
      <c r="EJ49">
        <f>CR50-Table2[[#This Row],[2F3 - PDB 1 - Dock 1 to 4 ]]</f>
        <v>63.391999999992549</v>
      </c>
      <c r="EK49">
        <f>BM50-Table2[[#This Row],[2F2 - PDB 3 - WH Truck &amp; Battery Charging]]</f>
        <v>488.03200000000652</v>
      </c>
      <c r="EL49">
        <f>(CK50-Table2[[#This Row],[PDB - 11 Truck Charging]])*1000</f>
        <v>51.000000000001933</v>
      </c>
      <c r="EM49">
        <f>P50-Table2[[#This Row],[5F3 Admin Area]]</f>
        <v>381.50400000007357</v>
      </c>
      <c r="EN49">
        <f>AH50-Table2[[#This Row],[2F5 Main Gate-1 Piller -1]]</f>
        <v>116.60800000000745</v>
      </c>
      <c r="EO49">
        <f>CW50-Table2[[#This Row],[6F2 Ground Floor AC]]</f>
        <v>32.089599999999336</v>
      </c>
      <c r="EP49">
        <f>CX50-Table2[[#This Row],[6F3 ACBD -1 (First floor AC)]]</f>
        <v>0.29439999999885913</v>
      </c>
      <c r="EQ49">
        <f>CY50-Table2[[#This Row],[6F4 ACBD - 2 (Second &amp; Third floor AC)]]</f>
        <v>127.10400000002119</v>
      </c>
      <c r="ER49">
        <f>(BC50-Table2[[#This Row],[4F Old BMC cooling Unit]])</f>
        <v>8.7200000000011642</v>
      </c>
      <c r="ES49">
        <f>BO50-Table2[[#This Row],[2F4 - Old BMC]]</f>
        <v>0</v>
      </c>
      <c r="ET49">
        <f>Y50-Table2[[#This Row],[14F2 New CK]]</f>
        <v>1480.160000000149</v>
      </c>
      <c r="EU49">
        <f>(CL50-Table2[[#This Row],[OLD Ck Panel-1]])*1000</f>
        <v>688.99999999996453</v>
      </c>
      <c r="EV49">
        <f>CM50-Table2[[#This Row],[2F4 Old CK Blast (Blue star)]]</f>
        <v>0</v>
      </c>
      <c r="EW49">
        <f>CN50-Table2[[#This Row],[3F6 Old CK Blast (Carrier)]]</f>
        <v>587.80000000000291</v>
      </c>
      <c r="EX49">
        <f>(CO50-Table2[[#This Row],[Old CK Panel -2]])*1000</f>
        <v>1247.9999999998199</v>
      </c>
      <c r="EY49">
        <f>N50-Table2[[#This Row],[4F1 Main UPS 1/C -1]]</f>
        <v>980.47999999998137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33.999999999991815</v>
      </c>
      <c r="FC49">
        <f>BW50-Table2[[#This Row],[7F3 CLC Power Panel]]</f>
        <v>201.47200000006706</v>
      </c>
      <c r="FD49">
        <f>(CI50-Table2[[#This Row],[PDB - 17 CLC Section ]])*1000</f>
        <v>121.99999999998568</v>
      </c>
      <c r="FE49">
        <f>(W50-Table2[[#This Row],[13F3 Water &amp; Lift Old CK]])*1000</f>
        <v>721.99999999997999</v>
      </c>
      <c r="FF49">
        <f>AA50-Table2[[#This Row],[15F2 New ETP Panel]]</f>
        <v>282.04800000006799</v>
      </c>
      <c r="FG49">
        <f>AL50-Table2[[#This Row],[3F4 Old ETP Panel]]</f>
        <v>82.336000000010245</v>
      </c>
      <c r="FH49">
        <f>AF50-Table2[[#This Row],[2F1 RO Plant]]</f>
        <v>613.56800000008661</v>
      </c>
      <c r="FI49">
        <f>AK50-Table2[[#This Row],[3F3 Fire Hydrant Panel]]</f>
        <v>8.1440000000002328</v>
      </c>
      <c r="FJ49">
        <f>R50-Table2[[#This Row],[7F1 Freon System Panel]]</f>
        <v>6405.1200000001118</v>
      </c>
      <c r="FK49">
        <f>(AE50-Table2[[#This Row],[21F1 Refrigeration Ammonia]])*1000</f>
        <v>7978.3999999999651</v>
      </c>
      <c r="FL49">
        <f>(AG50-Table2[[#This Row],[2F3 Air Compressor]])*1000</f>
        <v>1305.0000000000637</v>
      </c>
      <c r="FM49">
        <f>(AX50-Table2[[#This Row],[Solar Reading Panel II]])*1000</f>
        <v>2444.999999999709</v>
      </c>
      <c r="FN49">
        <f>AI50-Table2[[#This Row],[3F1 Maintenance Workshop]]</f>
        <v>5.5951999999997497</v>
      </c>
      <c r="FO49">
        <f>BD50-Table2[[#This Row],[4F B2B unit ]]</f>
        <v>70.271999999997206</v>
      </c>
      <c r="FP49">
        <f>BL50-Table2[[#This Row],[2F1 - PDB 6 - Bread, B2B section]]</f>
        <v>172.84479999999166</v>
      </c>
      <c r="FQ49">
        <f>(CG50-Table2[[#This Row],[9F5 - PDB 14 - Bread Lift]])</f>
        <v>0.77760000000125729</v>
      </c>
      <c r="FR49">
        <f>CJ50-Table2[[#This Row],[PDB - 16 Bread Section]]</f>
        <v>0</v>
      </c>
      <c r="FS49">
        <f>BU50-Table2[[#This Row],[7F1 Donut Production area]]</f>
        <v>255.16800000006333</v>
      </c>
      <c r="FT49">
        <f>CB50-Table2[[#This Row],[8F5 Donut Ban Bary]]</f>
        <v>41.335999999995693</v>
      </c>
      <c r="FU49">
        <f>CF50-Table2[[#This Row],[9F4 - PDB 13 - Donut Sink Geyser area]]</f>
        <v>15.6480000000156</v>
      </c>
      <c r="FV49">
        <f>BV50-Table2[[#This Row],[7F2 Flour Silo]]</f>
        <v>649.11999999999534</v>
      </c>
      <c r="FW49">
        <f>BY50-Table2[[#This Row],[8F2 ACPDB - 3 SILO Ventilation]]</f>
        <v>42.047999999980675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>
        <v>60</v>
      </c>
      <c r="B50" s="2">
        <v>46248.386030092595</v>
      </c>
      <c r="C50" s="2">
        <v>46248.424907407411</v>
      </c>
      <c r="D50" s="1" t="s">
        <v>111</v>
      </c>
      <c r="E50" s="1"/>
      <c r="F50" s="1"/>
      <c r="G50" s="3">
        <v>46248</v>
      </c>
      <c r="H50" s="1" t="s">
        <v>186</v>
      </c>
      <c r="I50" s="6">
        <v>7145.152</v>
      </c>
      <c r="J50" s="6">
        <v>4276.3</v>
      </c>
      <c r="K50" s="6">
        <v>1777570</v>
      </c>
      <c r="L50" s="6">
        <v>456</v>
      </c>
      <c r="M50" s="6">
        <v>191.81</v>
      </c>
      <c r="N50" s="6">
        <v>1878288.8</v>
      </c>
      <c r="O50" s="6">
        <v>4618479.3600000003</v>
      </c>
      <c r="P50" s="6">
        <v>649717.37600000005</v>
      </c>
      <c r="Q50" s="6">
        <v>8119676.7999999998</v>
      </c>
      <c r="R50" s="6">
        <v>5599094.4000000004</v>
      </c>
      <c r="S50" s="6">
        <v>7397333.7599999998</v>
      </c>
      <c r="T50" s="6">
        <v>43336913.052000001</v>
      </c>
      <c r="U50" s="6">
        <v>2116179.6800000002</v>
      </c>
      <c r="V50" s="6">
        <v>5134526.4000000004</v>
      </c>
      <c r="W50" s="6">
        <v>1599.8942</v>
      </c>
      <c r="X50" s="6">
        <v>776801.66399999999</v>
      </c>
      <c r="Y50" s="6">
        <v>1106297.1200000001</v>
      </c>
      <c r="Z50" s="6">
        <v>2777.8894</v>
      </c>
      <c r="AA50" s="6">
        <v>671462.46400000004</v>
      </c>
      <c r="AB50" s="6">
        <v>421399.84</v>
      </c>
      <c r="AC50" s="6">
        <v>2146387.04</v>
      </c>
      <c r="AD50" s="6">
        <v>2754882.2749999999</v>
      </c>
      <c r="AE50" s="6">
        <v>12880.1376</v>
      </c>
      <c r="AF50" s="6">
        <v>881305.40800000005</v>
      </c>
      <c r="AG50" s="6">
        <v>1412.327</v>
      </c>
      <c r="AH50" s="6">
        <v>134506.83199999999</v>
      </c>
      <c r="AI50" s="6">
        <v>14684.1104</v>
      </c>
      <c r="AJ50" s="6">
        <v>145380.03200000001</v>
      </c>
      <c r="AK50" s="6">
        <v>105351.61599999999</v>
      </c>
      <c r="AL50" s="6">
        <v>331344.76799999998</v>
      </c>
      <c r="AM50" s="6">
        <v>998.053</v>
      </c>
      <c r="AN50" s="6">
        <v>297.39999999999998</v>
      </c>
      <c r="AO50" s="6">
        <v>7.6</v>
      </c>
      <c r="AP50" s="6">
        <v>562126</v>
      </c>
      <c r="AQ50" s="6">
        <v>42501</v>
      </c>
      <c r="AR50" s="6">
        <v>41957</v>
      </c>
      <c r="AS50" s="6">
        <v>32390</v>
      </c>
      <c r="AT50" s="6">
        <v>22106</v>
      </c>
      <c r="AU50" s="6">
        <v>15885</v>
      </c>
      <c r="AV50" s="6">
        <v>6577</v>
      </c>
      <c r="AW50" s="6">
        <v>20.996562000000001</v>
      </c>
      <c r="AX50" s="6">
        <v>7263.4740000000002</v>
      </c>
      <c r="AY50" s="6">
        <v>680.50984000000005</v>
      </c>
      <c r="AZ50" s="6">
        <v>20.788</v>
      </c>
      <c r="BA50" s="6">
        <v>10619</v>
      </c>
      <c r="BB50" s="6">
        <v>45.25</v>
      </c>
      <c r="BC50" s="6">
        <v>114016.36</v>
      </c>
      <c r="BD50" s="6">
        <v>276612.35200000001</v>
      </c>
      <c r="BE50" s="6">
        <v>3739.9276</v>
      </c>
      <c r="BF50" s="6">
        <v>1712.0419999999999</v>
      </c>
      <c r="BG50" s="6">
        <v>75.385999999999996</v>
      </c>
      <c r="BH50" s="6">
        <v>369.16199999999998</v>
      </c>
      <c r="BI50" s="6">
        <v>920.56299999999999</v>
      </c>
      <c r="BJ50" s="6">
        <v>15.271000000000001</v>
      </c>
      <c r="BK50" s="6">
        <v>567.29300000000001</v>
      </c>
      <c r="BL50" s="6">
        <v>74834.751999999993</v>
      </c>
      <c r="BM50" s="6">
        <v>314124.83199999999</v>
      </c>
      <c r="BN50" s="6">
        <v>7223.6232</v>
      </c>
      <c r="BO50" s="6">
        <v>53589.132799999999</v>
      </c>
      <c r="BP50" s="6">
        <v>315548.76799999998</v>
      </c>
      <c r="BQ50" s="6">
        <v>328.07</v>
      </c>
      <c r="BR50" s="6">
        <v>182.72900000000001</v>
      </c>
      <c r="BS50" s="6">
        <v>1025214.759</v>
      </c>
      <c r="BT50" s="6">
        <v>1400621.54</v>
      </c>
      <c r="BU50" s="6">
        <v>631702.33600000001</v>
      </c>
      <c r="BV50" s="6">
        <v>1029339.04</v>
      </c>
      <c r="BW50" s="6">
        <v>571399.55200000003</v>
      </c>
      <c r="BX50" s="6">
        <v>1024003.28</v>
      </c>
      <c r="BY50" s="6">
        <v>158291.82399999999</v>
      </c>
      <c r="BZ50" s="6">
        <v>114597.984</v>
      </c>
      <c r="CA50" s="6">
        <v>1244.3607999999999</v>
      </c>
      <c r="CB50" s="6">
        <v>109258.136</v>
      </c>
      <c r="CC50" s="6">
        <v>152223.74400000001</v>
      </c>
      <c r="CD50" s="6">
        <v>448939.36</v>
      </c>
      <c r="CE50" s="6">
        <v>49136.342400000001</v>
      </c>
      <c r="CF50" s="6">
        <v>156213.872</v>
      </c>
      <c r="CG50" s="6">
        <v>36092.464</v>
      </c>
      <c r="CH50" s="6">
        <v>2385.8710000000001</v>
      </c>
      <c r="CI50" s="6">
        <v>216.327</v>
      </c>
      <c r="CJ50" s="6">
        <v>1191.5999999999999</v>
      </c>
      <c r="CK50" s="6">
        <v>78.632000000000005</v>
      </c>
      <c r="CL50" s="6">
        <v>740.63499999999999</v>
      </c>
      <c r="CM50" s="6">
        <v>551.4</v>
      </c>
      <c r="CN50" s="6">
        <v>50468.5</v>
      </c>
      <c r="CO50" s="6">
        <v>1661.83</v>
      </c>
      <c r="CP50" s="6">
        <v>296251.69699999999</v>
      </c>
      <c r="CQ50" s="6">
        <v>3700626.88</v>
      </c>
      <c r="CR50" s="6">
        <v>132071.07999999999</v>
      </c>
      <c r="CS50" s="6">
        <v>518114.33600000001</v>
      </c>
      <c r="CT50" s="6">
        <v>2970397.6090000002</v>
      </c>
      <c r="CU50" s="6">
        <v>302032.88</v>
      </c>
      <c r="CV50" s="6">
        <v>30187.344000000001</v>
      </c>
      <c r="CW50" s="6">
        <v>63212.864000000001</v>
      </c>
      <c r="CX50" s="6">
        <v>33466.387199999997</v>
      </c>
      <c r="CY50" s="6">
        <v>169475.77600000001</v>
      </c>
      <c r="CZ50" s="6">
        <v>218843.21599999999</v>
      </c>
      <c r="DA50" s="6">
        <v>19213.310000000001</v>
      </c>
      <c r="DB50" s="6">
        <v>151639.717</v>
      </c>
      <c r="DC50" s="6">
        <v>3107.85</v>
      </c>
      <c r="DD50" s="6">
        <v>3107.72</v>
      </c>
      <c r="DE50" s="6">
        <v>3136.82</v>
      </c>
      <c r="DF50" s="6">
        <v>0.98699999999999999</v>
      </c>
      <c r="DG50" s="1" t="s">
        <v>246</v>
      </c>
      <c r="DH50" s="4">
        <f>Table2[[#This Row],[Date]]</f>
        <v>46248</v>
      </c>
      <c r="DI50">
        <f>(DD51-Table2[[#This Row],[MWH Total]])*4000</f>
        <v>-12430880</v>
      </c>
      <c r="DJ50">
        <f>(DA51-Table2[[#This Row],[PNG Meter (Outside)]])*2.936</f>
        <v>-56410.278160000002</v>
      </c>
      <c r="DK50">
        <f>(DB51-Table2[[#This Row],[PNG Meter (Inside)]])*2.936</f>
        <v>-445214.20911200001</v>
      </c>
      <c r="DL50">
        <f>(BH51-Table2[[#This Row],[3F Dough cooler - 2 ]])*1000</f>
        <v>-369162</v>
      </c>
      <c r="DM50">
        <f>(BI51-Table2[[#This Row],[3F Dough Cooler- 1]])*1000</f>
        <v>-920563</v>
      </c>
      <c r="DN50">
        <f>(BJ51-Table2[[#This Row],[4F Dough Production cooling Unit]])*1000</f>
        <v>-15271</v>
      </c>
      <c r="DO50">
        <f>(BQ51-Table2[[#This Row],[3F2 - PDB 3 - Dough Production Area]])*1000</f>
        <v>-328070</v>
      </c>
      <c r="DP50">
        <f>(BR51-Table2[[#This Row],[3F3 - PDB 4 - Dough Area]])*1000</f>
        <v>-182729</v>
      </c>
      <c r="DQ50">
        <f>AC51-Table2[[#This Row],[16F1 Tray washer Panel for Light]]</f>
        <v>-2146387.04</v>
      </c>
      <c r="DR50">
        <f>CQ51-Table2[[#This Row],[2F1 Tray Washer - 1]]</f>
        <v>-3700626.88</v>
      </c>
      <c r="DS50">
        <f>CS51-Table2[[#This Row],[2F5 Destacker]]</f>
        <v>-518114.33600000001</v>
      </c>
      <c r="DT50">
        <f>CU51-Table2[[#This Row],[5F1 Metering (TW-2)]]</f>
        <v>-302032.88</v>
      </c>
      <c r="DU50">
        <f>CV51-Table2[[#This Row],[6F1 Pre soaker Tray washer]]</f>
        <v>-30187.344000000001</v>
      </c>
      <c r="DV50">
        <f>CZ51-Table2[[#This Row],[6F5 Vent tray Storage]]</f>
        <v>-218843.21599999999</v>
      </c>
      <c r="DW50">
        <f>I51-Table2[[#This Row],[Popeyes Meter ]]</f>
        <v>-7145.152</v>
      </c>
      <c r="DX50">
        <f>AZ51-Table2[[#This Row],[2F WH Chiller, Segregation Area]]</f>
        <v>-20.788</v>
      </c>
      <c r="DY50">
        <f>BA51-Table2[[#This Row],[3F1 AC Unit WH dock cooling - 2 Nos]]</f>
        <v>-10619</v>
      </c>
      <c r="DZ50">
        <f>BB51-Table2[[#This Row],[3F2 AC Unit WH dock cooling - 3 Nos]]</f>
        <v>-45.25</v>
      </c>
      <c r="EA50">
        <f>(BK51-Table2[[#This Row],[5F WH Perishable]])*1000</f>
        <v>-567293</v>
      </c>
      <c r="EB50">
        <f>BN51-Table2[[#This Row],[2F3 - PDB 9 - WH Dock Leveler Door ]]</f>
        <v>-7223.6232</v>
      </c>
      <c r="EC50">
        <f>BP51-Table2[[#This Row],[3F1 - PDB 5 - WH HSD]]</f>
        <v>-315548.76799999998</v>
      </c>
      <c r="ED50">
        <f>BX51-Table2[[#This Row],[8F1 WH Dock AHU - Ventilation]]</f>
        <v>-1024003.28</v>
      </c>
      <c r="EE50">
        <f>BZ51-Table2[[#This Row],[8F3 ACPDB - 4 WH Dock air curtain]]</f>
        <v>-114597.984</v>
      </c>
      <c r="EF50">
        <f>CA51-Table2[[#This Row],[8F4 WH Light]]</f>
        <v>-1244.3607999999999</v>
      </c>
      <c r="EG50">
        <f>CC51-Table2[[#This Row],[9F1 - PDB 10 - WH Dock door &amp; Office]]</f>
        <v>-152223.74400000001</v>
      </c>
      <c r="EH50">
        <f>CD51-Table2[[#This Row],[9F2 - PDB 11 - WH flycatchers]]</f>
        <v>-448939.36</v>
      </c>
      <c r="EI50">
        <f>CE51-Table2[[#This Row],[9F3 - PDB 12 - Other items]]</f>
        <v>-49136.342400000001</v>
      </c>
      <c r="EJ50">
        <f>CR51-Table2[[#This Row],[2F3 - PDB 1 - Dock 1 to 4 ]]</f>
        <v>-132071.07999999999</v>
      </c>
      <c r="EK50">
        <f>BM51-Table2[[#This Row],[2F2 - PDB 3 - WH Truck &amp; Battery Charging]]</f>
        <v>-314124.83199999999</v>
      </c>
      <c r="EL50">
        <f>(CK51-Table2[[#This Row],[PDB - 11 Truck Charging]])*1000</f>
        <v>-78632</v>
      </c>
      <c r="EM50">
        <f>P51-Table2[[#This Row],[5F3 Admin Area]]</f>
        <v>-649717.37600000005</v>
      </c>
      <c r="EN50">
        <f>AH51-Table2[[#This Row],[2F5 Main Gate-1 Piller -1]]</f>
        <v>-134506.83199999999</v>
      </c>
      <c r="EO50">
        <f>CW51-Table2[[#This Row],[6F2 Ground Floor AC]]</f>
        <v>-63212.864000000001</v>
      </c>
      <c r="EP50">
        <f>CX51-Table2[[#This Row],[6F3 ACBD -1 (First floor AC)]]</f>
        <v>-33466.387199999997</v>
      </c>
      <c r="EQ50">
        <f>CY51-Table2[[#This Row],[6F4 ACBD - 2 (Second &amp; Third floor AC)]]</f>
        <v>-169475.77600000001</v>
      </c>
      <c r="ER50">
        <f>(BC51-Table2[[#This Row],[4F Old BMC cooling Unit]])</f>
        <v>-114016.36</v>
      </c>
      <c r="ES50">
        <f>BO51-Table2[[#This Row],[2F4 - Old BMC]]</f>
        <v>-53589.132799999999</v>
      </c>
      <c r="ET50">
        <f>Y51-Table2[[#This Row],[14F2 New CK]]</f>
        <v>-1106297.1200000001</v>
      </c>
      <c r="EU50">
        <f>(CL51-Table2[[#This Row],[OLD Ck Panel-1]])*1000</f>
        <v>-740635</v>
      </c>
      <c r="EV50">
        <f>CM51-Table2[[#This Row],[2F4 Old CK Blast (Blue star)]]</f>
        <v>-551.4</v>
      </c>
      <c r="EW50">
        <f>CN51-Table2[[#This Row],[3F6 Old CK Blast (Carrier)]]</f>
        <v>-50468.5</v>
      </c>
      <c r="EX50">
        <f>(CO51-Table2[[#This Row],[Old CK Panel -2]])*1000</f>
        <v>-1661830</v>
      </c>
      <c r="EY50">
        <f>N51-Table2[[#This Row],[4F1 Main UPS 1/C -1]]</f>
        <v>-1878288.8</v>
      </c>
      <c r="EZ50">
        <f>Z51-Table2[[#This Row],[15F1 Main UPS Panel - I/C - 2]]</f>
        <v>-2777.8894</v>
      </c>
      <c r="FA50">
        <f>BF51-Table2[[#This Row],[2F CLC -1 AC unit - 2]]</f>
        <v>-1712.0419999999999</v>
      </c>
      <c r="FB50">
        <f>(BG51-Table2[[#This Row],[2F CLC Anti room]])*1000</f>
        <v>-75386</v>
      </c>
      <c r="FC50">
        <f>BW51-Table2[[#This Row],[7F3 CLC Power Panel]]</f>
        <v>-571399.55200000003</v>
      </c>
      <c r="FD50">
        <f>(CI51-Table2[[#This Row],[PDB - 17 CLC Section ]])*1000</f>
        <v>-216327</v>
      </c>
      <c r="FE50">
        <f>(W51-Table2[[#This Row],[13F3 Water &amp; Lift Old CK]])*1000</f>
        <v>-1599894.2</v>
      </c>
      <c r="FF50">
        <f>AA51-Table2[[#This Row],[15F2 New ETP Panel]]</f>
        <v>-671462.46400000004</v>
      </c>
      <c r="FG50">
        <f>AL51-Table2[[#This Row],[3F4 Old ETP Panel]]</f>
        <v>-331344.76799999998</v>
      </c>
      <c r="FH50">
        <f>AF51-Table2[[#This Row],[2F1 RO Plant]]</f>
        <v>-881305.40800000005</v>
      </c>
      <c r="FI50">
        <f>AK51-Table2[[#This Row],[3F3 Fire Hydrant Panel]]</f>
        <v>-105351.61599999999</v>
      </c>
      <c r="FJ50">
        <f>R51-Table2[[#This Row],[7F1 Freon System Panel]]</f>
        <v>-5599094.4000000004</v>
      </c>
      <c r="FK50">
        <f>(AE51-Table2[[#This Row],[21F1 Refrigeration Ammonia]])*1000</f>
        <v>-12880137.6</v>
      </c>
      <c r="FL50">
        <f>(AG51-Table2[[#This Row],[2F3 Air Compressor]])*1000</f>
        <v>-1412327</v>
      </c>
      <c r="FM50">
        <f>(AX51-Table2[[#This Row],[Solar Reading Panel II]])*1000</f>
        <v>-7263474</v>
      </c>
      <c r="FN50">
        <f>AI51-Table2[[#This Row],[3F1 Maintenance Workshop]]</f>
        <v>-14684.1104</v>
      </c>
      <c r="FO50">
        <f>BD51-Table2[[#This Row],[4F B2B unit ]]</f>
        <v>-276612.35200000001</v>
      </c>
      <c r="FP50">
        <f>BL51-Table2[[#This Row],[2F1 - PDB 6 - Bread, B2B section]]</f>
        <v>-74834.751999999993</v>
      </c>
      <c r="FQ50">
        <f>(CG51-Table2[[#This Row],[9F5 - PDB 14 - Bread Lift]])</f>
        <v>-36092.464</v>
      </c>
      <c r="FR50">
        <f>CJ51-Table2[[#This Row],[PDB - 16 Bread Section]]</f>
        <v>-1191.5999999999999</v>
      </c>
      <c r="FS50">
        <f>BU51-Table2[[#This Row],[7F1 Donut Production area]]</f>
        <v>-631702.33600000001</v>
      </c>
      <c r="FT50">
        <f>CB51-Table2[[#This Row],[8F5 Donut Ban Bary]]</f>
        <v>-109258.136</v>
      </c>
      <c r="FU50">
        <f>CF51-Table2[[#This Row],[9F4 - PDB 13 - Donut Sink Geyser area]]</f>
        <v>-156213.872</v>
      </c>
      <c r="FV50">
        <f>BV51-Table2[[#This Row],[7F2 Flour Silo]]</f>
        <v>-1029339.04</v>
      </c>
      <c r="FW50">
        <f>BY51-Table2[[#This Row],[8F2 ACPDB - 3 SILO Ventilation]]</f>
        <v>-158291.82399999999</v>
      </c>
      <c r="FX50">
        <f>J51-Table2[[#This Row],[DG 1010KVA Running Hours]]</f>
        <v>-4276.3</v>
      </c>
      <c r="FY50">
        <f>K51-Table2[[#This Row],[DG 1010 KVA Meter Reading]]</f>
        <v>-1777570</v>
      </c>
      <c r="FZ50">
        <f>L51-Table2[[#This Row],[GG 1010 KVA Running Hours]]</f>
        <v>-456</v>
      </c>
      <c r="GA50">
        <f>M51-Table2[[#This Row],[GG 1010 KVA Meter Reading]]</f>
        <v>-191.81</v>
      </c>
    </row>
    <row r="51" spans="1:183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>
        <f>Table2[[#This Row],[Date]]</f>
        <v>0</v>
      </c>
      <c r="DI51">
        <f>(DD52-Table2[[#This Row],[MWH Total]])*4000</f>
        <v>0</v>
      </c>
      <c r="DJ51">
        <f>(DA52-Table2[[#This Row],[PNG Meter (Outside)]])*2.936</f>
        <v>0</v>
      </c>
      <c r="DK51">
        <f>(DB52-Table2[[#This Row],[PNG Meter (Inside)]])*2.936</f>
        <v>0</v>
      </c>
      <c r="DL51">
        <f>(BH52-Table2[[#This Row],[3F Dough cooler - 2 ]])*1000</f>
        <v>0</v>
      </c>
      <c r="DM51">
        <f>(BI52-Table2[[#This Row],[3F Dough Cooler- 1]])*1000</f>
        <v>0</v>
      </c>
      <c r="DN51">
        <f>(BJ52-Table2[[#This Row],[4F Dough Production cooling Unit]])*1000</f>
        <v>0</v>
      </c>
      <c r="DO51">
        <f>(BQ52-Table2[[#This Row],[3F2 - PDB 3 - Dough Production Area]])*1000</f>
        <v>0</v>
      </c>
      <c r="DP51">
        <f>(BR52-Table2[[#This Row],[3F3 - PDB 4 - Dough Area]])*1000</f>
        <v>0</v>
      </c>
      <c r="DQ51">
        <f>AC52-Table2[[#This Row],[16F1 Tray washer Panel for Light]]</f>
        <v>0</v>
      </c>
      <c r="DR51">
        <f>CQ52-Table2[[#This Row],[2F1 Tray Washer - 1]]</f>
        <v>0</v>
      </c>
      <c r="DS51">
        <f>CS52-Table2[[#This Row],[2F5 Destacker]]</f>
        <v>0</v>
      </c>
      <c r="DT51">
        <f>CU52-Table2[[#This Row],[5F1 Metering (TW-2)]]</f>
        <v>0</v>
      </c>
      <c r="DU51">
        <f>CV52-Table2[[#This Row],[6F1 Pre soaker Tray washer]]</f>
        <v>0</v>
      </c>
      <c r="DV51">
        <f>CZ52-Table2[[#This Row],[6F5 Vent tray Storage]]</f>
        <v>0</v>
      </c>
      <c r="DW51">
        <f>I52-Table2[[#This Row],[Popeyes Meter ]]</f>
        <v>0</v>
      </c>
      <c r="DX51">
        <f>AZ52-Table2[[#This Row],[2F WH Chiller, Segregation Area]]</f>
        <v>0</v>
      </c>
      <c r="DY51">
        <f>BA52-Table2[[#This Row],[3F1 AC Unit WH dock cooling - 2 Nos]]</f>
        <v>0</v>
      </c>
      <c r="DZ51">
        <f>BB52-Table2[[#This Row],[3F2 AC Unit WH dock cooling - 3 Nos]]</f>
        <v>0</v>
      </c>
      <c r="EA51">
        <f>(BK52-Table2[[#This Row],[5F WH Perishable]])*1000</f>
        <v>0</v>
      </c>
      <c r="EB51">
        <f>BN52-Table2[[#This Row],[2F3 - PDB 9 - WH Dock Leveler Door ]]</f>
        <v>0</v>
      </c>
      <c r="EC51">
        <f>BP52-Table2[[#This Row],[3F1 - PDB 5 - WH HSD]]</f>
        <v>0</v>
      </c>
      <c r="ED51">
        <f>BX52-Table2[[#This Row],[8F1 WH Dock AHU - Ventilation]]</f>
        <v>0</v>
      </c>
      <c r="EE51">
        <f>BZ52-Table2[[#This Row],[8F3 ACPDB - 4 WH Dock air curtain]]</f>
        <v>0</v>
      </c>
      <c r="EF51">
        <f>CA52-Table2[[#This Row],[8F4 WH Light]]</f>
        <v>0</v>
      </c>
      <c r="EG51">
        <f>CC52-Table2[[#This Row],[9F1 - PDB 10 - WH Dock door &amp; Office]]</f>
        <v>0</v>
      </c>
      <c r="EH51">
        <f>CD52-Table2[[#This Row],[9F2 - PDB 11 - WH flycatchers]]</f>
        <v>0</v>
      </c>
      <c r="EI51">
        <f>CE52-Table2[[#This Row],[9F3 - PDB 12 - Other items]]</f>
        <v>0</v>
      </c>
      <c r="EJ51">
        <f>CR52-Table2[[#This Row],[2F3 - PDB 1 - Dock 1 to 4 ]]</f>
        <v>0</v>
      </c>
      <c r="EK51">
        <f>BM52-Table2[[#This Row],[2F2 - PDB 3 - WH Truck &amp; Battery Charging]]</f>
        <v>0</v>
      </c>
      <c r="EL51">
        <f>(CK52-Table2[[#This Row],[PDB - 11 Truck Charging]])*1000</f>
        <v>0</v>
      </c>
      <c r="EM51">
        <f>P52-Table2[[#This Row],[5F3 Admin Area]]</f>
        <v>0</v>
      </c>
      <c r="EN51">
        <f>AH52-Table2[[#This Row],[2F5 Main Gate-1 Piller -1]]</f>
        <v>0</v>
      </c>
      <c r="EO51">
        <f>CW52-Table2[[#This Row],[6F2 Ground Floor AC]]</f>
        <v>0</v>
      </c>
      <c r="EP51">
        <f>CX52-Table2[[#This Row],[6F3 ACBD -1 (First floor AC)]]</f>
        <v>0</v>
      </c>
      <c r="EQ51">
        <f>CY52-Table2[[#This Row],[6F4 ACBD - 2 (Second &amp; Third floor AC)]]</f>
        <v>0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0</v>
      </c>
      <c r="EU51">
        <f>(CL52-Table2[[#This Row],[OLD Ck Panel-1]])*1000</f>
        <v>0</v>
      </c>
      <c r="EV51">
        <f>CM52-Table2[[#This Row],[2F4 Old CK Blast (Blue star)]]</f>
        <v>0</v>
      </c>
      <c r="EW51">
        <f>CN52-Table2[[#This Row],[3F6 Old CK Blast (Carrier)]]</f>
        <v>0</v>
      </c>
      <c r="EX51">
        <f>(CO52-Table2[[#This Row],[Old CK Panel -2]])*1000</f>
        <v>0</v>
      </c>
      <c r="EY51">
        <f>N52-Table2[[#This Row],[4F1 Main UPS 1/C -1]]</f>
        <v>0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0</v>
      </c>
      <c r="FC51">
        <f>BW52-Table2[[#This Row],[7F3 CLC Power Panel]]</f>
        <v>0</v>
      </c>
      <c r="FD51">
        <f>(CI52-Table2[[#This Row],[PDB - 17 CLC Section ]])*1000</f>
        <v>0</v>
      </c>
      <c r="FE51">
        <f>(W52-Table2[[#This Row],[13F3 Water &amp; Lift Old CK]])*1000</f>
        <v>0</v>
      </c>
      <c r="FF51">
        <f>AA52-Table2[[#This Row],[15F2 New ETP Panel]]</f>
        <v>0</v>
      </c>
      <c r="FG51">
        <f>AL52-Table2[[#This Row],[3F4 Old ETP Panel]]</f>
        <v>0</v>
      </c>
      <c r="FH51">
        <f>AF52-Table2[[#This Row],[2F1 RO Plant]]</f>
        <v>0</v>
      </c>
      <c r="FI51">
        <f>AK52-Table2[[#This Row],[3F3 Fire Hydrant Panel]]</f>
        <v>0</v>
      </c>
      <c r="FJ51">
        <f>R52-Table2[[#This Row],[7F1 Freon System Panel]]</f>
        <v>0</v>
      </c>
      <c r="FK51">
        <f>(AE52-Table2[[#This Row],[21F1 Refrigeration Ammonia]])*1000</f>
        <v>0</v>
      </c>
      <c r="FL51">
        <f>(AG52-Table2[[#This Row],[2F3 Air Compressor]])*1000</f>
        <v>0</v>
      </c>
      <c r="FM51">
        <f>(AX52-Table2[[#This Row],[Solar Reading Panel II]])*1000</f>
        <v>0</v>
      </c>
      <c r="FN51">
        <f>AI52-Table2[[#This Row],[3F1 Maintenance Workshop]]</f>
        <v>0</v>
      </c>
      <c r="FO51">
        <f>BD52-Table2[[#This Row],[4F B2B unit ]]</f>
        <v>0</v>
      </c>
      <c r="FP51">
        <f>BL52-Table2[[#This Row],[2F1 - PDB 6 - Bread, B2B section]]</f>
        <v>0</v>
      </c>
      <c r="FQ51">
        <f>(CG52-Table2[[#This Row],[9F5 - PDB 14 - Bread Lift]])</f>
        <v>0</v>
      </c>
      <c r="FR51">
        <f>CJ52-Table2[[#This Row],[PDB - 16 Bread Section]]</f>
        <v>0</v>
      </c>
      <c r="FS51">
        <f>BU52-Table2[[#This Row],[7F1 Donut Production area]]</f>
        <v>0</v>
      </c>
      <c r="FT51">
        <f>CB52-Table2[[#This Row],[8F5 Donut Ban Bary]]</f>
        <v>0</v>
      </c>
      <c r="FU51">
        <f>CF52-Table2[[#This Row],[9F4 - PDB 13 - Donut Sink Geyser area]]</f>
        <v>0</v>
      </c>
      <c r="FV51">
        <f>BV52-Table2[[#This Row],[7F2 Flour Silo]]</f>
        <v>0</v>
      </c>
      <c r="FW51">
        <f>BY52-Table2[[#This Row],[8F2 ACPDB - 3 SILO Ventilation]]</f>
        <v>0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DH52" s="4" t="e">
        <f>Table2[[#This Row],[Date]]</f>
        <v>#VALUE!</v>
      </c>
      <c r="DI52" t="e">
        <f>(DD53-Table2[[#This Row],[MWH Total]])*4000</f>
        <v>#VALUE!</v>
      </c>
      <c r="DJ52" t="e">
        <f>(DA53-Table2[[#This Row],[PNG Meter (Outside)]])*2.936</f>
        <v>#VALUE!</v>
      </c>
      <c r="DK52" t="e">
        <f>(DB53-Table2[[#This Row],[PNG Meter (Inside)]])*2.936</f>
        <v>#VALUE!</v>
      </c>
      <c r="DL52" t="e">
        <f>(BH53-Table2[[#This Row],[3F Dough cooler - 2 ]])*1000</f>
        <v>#VALUE!</v>
      </c>
      <c r="DM52" t="e">
        <f>(BI53-Table2[[#This Row],[3F Dough Cooler- 1]])*1000</f>
        <v>#VALUE!</v>
      </c>
      <c r="DN52" t="e">
        <f>(BJ53-Table2[[#This Row],[4F Dough Production cooling Unit]])*1000</f>
        <v>#VALUE!</v>
      </c>
      <c r="DO52" t="e">
        <f>(BQ53-Table2[[#This Row],[3F2 - PDB 3 - Dough Production Area]])*1000</f>
        <v>#VALUE!</v>
      </c>
      <c r="DP52" t="e">
        <f>(BR53-Table2[[#This Row],[3F3 - PDB 4 - Dough Area]])*1000</f>
        <v>#VALUE!</v>
      </c>
      <c r="DQ52" t="e">
        <f>AC53-Table2[[#This Row],[16F1 Tray washer Panel for Light]]</f>
        <v>#VALUE!</v>
      </c>
      <c r="DR52" t="e">
        <f>CQ53-Table2[[#This Row],[2F1 Tray Washer - 1]]</f>
        <v>#VALUE!</v>
      </c>
      <c r="DS52" t="e">
        <f>CS53-Table2[[#This Row],[2F5 Destacker]]</f>
        <v>#VALUE!</v>
      </c>
      <c r="DT52" t="e">
        <f>CU53-Table2[[#This Row],[5F1 Metering (TW-2)]]</f>
        <v>#VALUE!</v>
      </c>
      <c r="DU52" t="e">
        <f>CV53-Table2[[#This Row],[6F1 Pre soaker Tray washer]]</f>
        <v>#VALUE!</v>
      </c>
      <c r="DV52" t="e">
        <f>CZ53-Table2[[#This Row],[6F5 Vent tray Storage]]</f>
        <v>#VALUE!</v>
      </c>
      <c r="DW52" t="e">
        <f>I53-Table2[[#This Row],[Popeyes Meter ]]</f>
        <v>#VALUE!</v>
      </c>
      <c r="DX52" t="e">
        <f>AZ53-Table2[[#This Row],[2F WH Chiller, Segregation Area]]</f>
        <v>#VALUE!</v>
      </c>
      <c r="DY52" t="e">
        <f>BA53-Table2[[#This Row],[3F1 AC Unit WH dock cooling - 2 Nos]]</f>
        <v>#VALUE!</v>
      </c>
      <c r="DZ52" t="e">
        <f>BB53-Table2[[#This Row],[3F2 AC Unit WH dock cooling - 3 Nos]]</f>
        <v>#VALUE!</v>
      </c>
      <c r="EA52" t="e">
        <f>(BK53-Table2[[#This Row],[5F WH Perishable]])*1000</f>
        <v>#VALUE!</v>
      </c>
      <c r="EB52" t="e">
        <f>BN53-Table2[[#This Row],[2F3 - PDB 9 - WH Dock Leveler Door ]]</f>
        <v>#VALUE!</v>
      </c>
      <c r="EC52" t="e">
        <f>BP53-Table2[[#This Row],[3F1 - PDB 5 - WH HSD]]</f>
        <v>#VALUE!</v>
      </c>
      <c r="ED52" t="e">
        <f>BX53-Table2[[#This Row],[8F1 WH Dock AHU - Ventilation]]</f>
        <v>#VALUE!</v>
      </c>
      <c r="EE52" t="e">
        <f>BZ53-Table2[[#This Row],[8F3 ACPDB - 4 WH Dock air curtain]]</f>
        <v>#VALUE!</v>
      </c>
      <c r="EF52" t="e">
        <f>CA53-Table2[[#This Row],[8F4 WH Light]]</f>
        <v>#VALUE!</v>
      </c>
      <c r="EG52" t="e">
        <f>CC53-Table2[[#This Row],[9F1 - PDB 10 - WH Dock door &amp; Office]]</f>
        <v>#VALUE!</v>
      </c>
      <c r="EH52" t="e">
        <f>CD53-Table2[[#This Row],[9F2 - PDB 11 - WH flycatchers]]</f>
        <v>#VALUE!</v>
      </c>
      <c r="EI52" t="e">
        <f>CE53-Table2[[#This Row],[9F3 - PDB 12 - Other items]]</f>
        <v>#VALUE!</v>
      </c>
      <c r="EJ52" t="e">
        <f>CR53-Table2[[#This Row],[2F3 - PDB 1 - Dock 1 to 4 ]]</f>
        <v>#VALUE!</v>
      </c>
      <c r="EK52" t="e">
        <f>BM53-Table2[[#This Row],[2F2 - PDB 3 - WH Truck &amp; Battery Charging]]</f>
        <v>#VALUE!</v>
      </c>
      <c r="EL52" t="e">
        <f>(CK53-Table2[[#This Row],[PDB - 11 Truck Charging]])*1000</f>
        <v>#VALUE!</v>
      </c>
      <c r="EM52" t="e">
        <f>P53-Table2[[#This Row],[5F3 Admin Area]]</f>
        <v>#VALUE!</v>
      </c>
      <c r="EN52" t="e">
        <f>AH53-Table2[[#This Row],[2F5 Main Gate-1 Piller -1]]</f>
        <v>#VALUE!</v>
      </c>
      <c r="EO52" t="e">
        <f>CW53-Table2[[#This Row],[6F2 Ground Floor AC]]</f>
        <v>#VALUE!</v>
      </c>
      <c r="EP52" t="e">
        <f>CX53-Table2[[#This Row],[6F3 ACBD -1 (First floor AC)]]</f>
        <v>#VALUE!</v>
      </c>
      <c r="EQ52" t="e">
        <f>CY53-Table2[[#This Row],[6F4 ACBD - 2 (Second &amp; Third floor AC)]]</f>
        <v>#VALUE!</v>
      </c>
      <c r="ER52" t="e">
        <f>(BC53-Table2[[#This Row],[4F Old BMC cooling Unit]])</f>
        <v>#VALUE!</v>
      </c>
      <c r="ES52" t="e">
        <f>BO53-Table2[[#This Row],[2F4 - Old BMC]]</f>
        <v>#VALUE!</v>
      </c>
      <c r="ET52" t="e">
        <f>Y53-Table2[[#This Row],[14F2 New CK]]</f>
        <v>#VALUE!</v>
      </c>
      <c r="EU52" t="e">
        <f>(CL53-Table2[[#This Row],[OLD Ck Panel-1]])*1000</f>
        <v>#VALUE!</v>
      </c>
      <c r="EV52" t="e">
        <f>CM53-Table2[[#This Row],[2F4 Old CK Blast (Blue star)]]</f>
        <v>#VALUE!</v>
      </c>
      <c r="EW52" t="e">
        <f>CN53-Table2[[#This Row],[3F6 Old CK Blast (Carrier)]]</f>
        <v>#VALUE!</v>
      </c>
      <c r="EX52" t="e">
        <f>(CO53-Table2[[#This Row],[Old CK Panel -2]])*1000</f>
        <v>#VALUE!</v>
      </c>
      <c r="EY52" t="e">
        <f>N53-Table2[[#This Row],[4F1 Main UPS 1/C -1]]</f>
        <v>#VALUE!</v>
      </c>
      <c r="EZ52" t="e">
        <f>Z53-Table2[[#This Row],[15F1 Main UPS Panel - I/C - 2]]</f>
        <v>#VALUE!</v>
      </c>
      <c r="FA52" t="e">
        <f>BF53-Table2[[#This Row],[2F CLC -1 AC unit - 2]]</f>
        <v>#VALUE!</v>
      </c>
      <c r="FB52" t="e">
        <f>(BG53-Table2[[#This Row],[2F CLC Anti room]])*1000</f>
        <v>#VALUE!</v>
      </c>
      <c r="FC52" t="e">
        <f>BW53-Table2[[#This Row],[7F3 CLC Power Panel]]</f>
        <v>#VALUE!</v>
      </c>
      <c r="FD52" t="e">
        <f>(CI53-Table2[[#This Row],[PDB - 17 CLC Section ]])*1000</f>
        <v>#VALUE!</v>
      </c>
      <c r="FE52" t="e">
        <f>(W53-Table2[[#This Row],[13F3 Water &amp; Lift Old CK]])*1000</f>
        <v>#VALUE!</v>
      </c>
      <c r="FF52" t="e">
        <f>AA53-Table2[[#This Row],[15F2 New ETP Panel]]</f>
        <v>#VALUE!</v>
      </c>
      <c r="FG52" t="e">
        <f>AL53-Table2[[#This Row],[3F4 Old ETP Panel]]</f>
        <v>#VALUE!</v>
      </c>
      <c r="FH52" t="e">
        <f>AF53-Table2[[#This Row],[2F1 RO Plant]]</f>
        <v>#VALUE!</v>
      </c>
      <c r="FI52" t="e">
        <f>AK53-Table2[[#This Row],[3F3 Fire Hydrant Panel]]</f>
        <v>#VALUE!</v>
      </c>
      <c r="FJ52" t="e">
        <f>R53-Table2[[#This Row],[7F1 Freon System Panel]]</f>
        <v>#VALUE!</v>
      </c>
      <c r="FK52" t="e">
        <f>(AE53-Table2[[#This Row],[21F1 Refrigeration Ammonia]])*1000</f>
        <v>#VALUE!</v>
      </c>
      <c r="FL52" t="e">
        <f>(AG53-Table2[[#This Row],[2F3 Air Compressor]])*1000</f>
        <v>#VALUE!</v>
      </c>
      <c r="FM52" t="e">
        <f>(AX53-Table2[[#This Row],[Solar Reading Panel II]])*1000</f>
        <v>#VALUE!</v>
      </c>
      <c r="FN52" t="e">
        <f>AI53-Table2[[#This Row],[3F1 Maintenance Workshop]]</f>
        <v>#VALUE!</v>
      </c>
      <c r="FO52" t="e">
        <f>BD53-Table2[[#This Row],[4F B2B unit ]]</f>
        <v>#VALUE!</v>
      </c>
      <c r="FP52" t="e">
        <f>BL53-Table2[[#This Row],[2F1 - PDB 6 - Bread, B2B section]]</f>
        <v>#VALUE!</v>
      </c>
      <c r="FQ52" t="e">
        <f>(CG53-Table2[[#This Row],[9F5 - PDB 14 - Bread Lift]])</f>
        <v>#VALUE!</v>
      </c>
      <c r="FR52" t="e">
        <f>CJ53-Table2[[#This Row],[PDB - 16 Bread Section]]</f>
        <v>#VALUE!</v>
      </c>
      <c r="FS52" t="e">
        <f>BU53-Table2[[#This Row],[7F1 Donut Production area]]</f>
        <v>#VALUE!</v>
      </c>
      <c r="FT52" t="e">
        <f>CB53-Table2[[#This Row],[8F5 Donut Ban Bary]]</f>
        <v>#VALUE!</v>
      </c>
      <c r="FU52" t="e">
        <f>CF53-Table2[[#This Row],[9F4 - PDB 13 - Donut Sink Geyser area]]</f>
        <v>#VALUE!</v>
      </c>
      <c r="FV52" t="e">
        <f>BV53-Table2[[#This Row],[7F2 Flour Silo]]</f>
        <v>#VALUE!</v>
      </c>
      <c r="FW52" t="e">
        <f>BY53-Table2[[#This Row],[8F2 ACPDB - 3 SILO Ventilation]]</f>
        <v>#VALUE!</v>
      </c>
      <c r="FX52" t="e">
        <f>J53-Table2[[#This Row],[DG 1010KVA Running Hours]]</f>
        <v>#VALUE!</v>
      </c>
      <c r="FY52" t="e">
        <f>K53-Table2[[#This Row],[DG 1010 KVA Meter Reading]]</f>
        <v>#VALUE!</v>
      </c>
      <c r="FZ52" t="e">
        <f>L53-Table2[[#This Row],[GG 1010 KVA Running Hours]]</f>
        <v>#VALUE!</v>
      </c>
      <c r="GA52" t="e">
        <f>M53-Table2[[#This Row],[GG 1010 KVA Meter Reading]]</f>
        <v>#VALUE!</v>
      </c>
    </row>
    <row r="53" spans="1:183" x14ac:dyDescent="0.35">
      <c r="DH53" s="4" t="e">
        <f>Table2[[#This Row],[Date]]</f>
        <v>#VALUE!</v>
      </c>
      <c r="DI53" t="e">
        <f>(DD54-Table2[[#This Row],[MWH Total]])*4000</f>
        <v>#VALUE!</v>
      </c>
      <c r="DJ53" t="e">
        <f>(DA54-Table2[[#This Row],[PNG Meter (Outside)]])*2.936</f>
        <v>#VALUE!</v>
      </c>
      <c r="DK53" t="e">
        <f>(DB54-Table2[[#This Row],[PNG Meter (Inside)]])*2.936</f>
        <v>#VALUE!</v>
      </c>
      <c r="DL53" t="e">
        <f>(BH54-Table2[[#This Row],[3F Dough cooler - 2 ]])*1000</f>
        <v>#VALUE!</v>
      </c>
      <c r="DM53" t="e">
        <f>(BI54-Table2[[#This Row],[3F Dough Cooler- 1]])*1000</f>
        <v>#VALUE!</v>
      </c>
      <c r="DN53" t="e">
        <f>(BJ54-Table2[[#This Row],[4F Dough Production cooling Unit]])*1000</f>
        <v>#VALUE!</v>
      </c>
      <c r="DO53" t="e">
        <f>(BQ54-Table2[[#This Row],[3F2 - PDB 3 - Dough Production Area]])*1000</f>
        <v>#VALUE!</v>
      </c>
      <c r="DP53" t="e">
        <f>(BR54-Table2[[#This Row],[3F3 - PDB 4 - Dough Area]])*1000</f>
        <v>#VALUE!</v>
      </c>
      <c r="DQ53" t="e">
        <f>AC54-Table2[[#This Row],[16F1 Tray washer Panel for Light]]</f>
        <v>#VALUE!</v>
      </c>
      <c r="DR53" t="e">
        <f>CQ54-Table2[[#This Row],[2F1 Tray Washer - 1]]</f>
        <v>#VALUE!</v>
      </c>
      <c r="DS53" t="e">
        <f>CS54-Table2[[#This Row],[2F5 Destacker]]</f>
        <v>#VALUE!</v>
      </c>
      <c r="DT53" t="e">
        <f>CU54-Table2[[#This Row],[5F1 Metering (TW-2)]]</f>
        <v>#VALUE!</v>
      </c>
      <c r="DU53" t="e">
        <f>CV54-Table2[[#This Row],[6F1 Pre soaker Tray washer]]</f>
        <v>#VALUE!</v>
      </c>
      <c r="DV53" t="e">
        <f>CZ54-Table2[[#This Row],[6F5 Vent tray Storage]]</f>
        <v>#VALUE!</v>
      </c>
      <c r="DW53" t="e">
        <f>I54-Table2[[#This Row],[Popeyes Meter ]]</f>
        <v>#VALUE!</v>
      </c>
      <c r="DX53" t="e">
        <f>AZ54-Table2[[#This Row],[2F WH Chiller, Segregation Area]]</f>
        <v>#VALUE!</v>
      </c>
      <c r="DY53" t="e">
        <f>BA54-Table2[[#This Row],[3F1 AC Unit WH dock cooling - 2 Nos]]</f>
        <v>#VALUE!</v>
      </c>
      <c r="DZ53" t="e">
        <f>BB54-Table2[[#This Row],[3F2 AC Unit WH dock cooling - 3 Nos]]</f>
        <v>#VALUE!</v>
      </c>
      <c r="EA53" t="e">
        <f>(BK54-Table2[[#This Row],[5F WH Perishable]])*1000</f>
        <v>#VALUE!</v>
      </c>
      <c r="EB53" t="e">
        <f>BN54-Table2[[#This Row],[2F3 - PDB 9 - WH Dock Leveler Door ]]</f>
        <v>#VALUE!</v>
      </c>
      <c r="EC53" t="e">
        <f>BP54-Table2[[#This Row],[3F1 - PDB 5 - WH HSD]]</f>
        <v>#VALUE!</v>
      </c>
      <c r="ED53" t="e">
        <f>BX54-Table2[[#This Row],[8F1 WH Dock AHU - Ventilation]]</f>
        <v>#VALUE!</v>
      </c>
      <c r="EE53" t="e">
        <f>BZ54-Table2[[#This Row],[8F3 ACPDB - 4 WH Dock air curtain]]</f>
        <v>#VALUE!</v>
      </c>
      <c r="EF53" t="e">
        <f>CA54-Table2[[#This Row],[8F4 WH Light]]</f>
        <v>#VALUE!</v>
      </c>
      <c r="EG53" t="e">
        <f>CC54-Table2[[#This Row],[9F1 - PDB 10 - WH Dock door &amp; Office]]</f>
        <v>#VALUE!</v>
      </c>
      <c r="EH53" t="e">
        <f>CD54-Table2[[#This Row],[9F2 - PDB 11 - WH flycatchers]]</f>
        <v>#VALUE!</v>
      </c>
      <c r="EI53" t="e">
        <f>CE54-Table2[[#This Row],[9F3 - PDB 12 - Other items]]</f>
        <v>#VALUE!</v>
      </c>
      <c r="EJ53" t="e">
        <f>CR54-Table2[[#This Row],[2F3 - PDB 1 - Dock 1 to 4 ]]</f>
        <v>#VALUE!</v>
      </c>
      <c r="EK53" t="e">
        <f>BM54-Table2[[#This Row],[2F2 - PDB 3 - WH Truck &amp; Battery Charging]]</f>
        <v>#VALUE!</v>
      </c>
      <c r="EL53" t="e">
        <f>(CK54-Table2[[#This Row],[PDB - 11 Truck Charging]])*1000</f>
        <v>#VALUE!</v>
      </c>
      <c r="EM53" t="e">
        <f>P54-Table2[[#This Row],[5F3 Admin Area]]</f>
        <v>#VALUE!</v>
      </c>
      <c r="EN53" t="e">
        <f>AH54-Table2[[#This Row],[2F5 Main Gate-1 Piller -1]]</f>
        <v>#VALUE!</v>
      </c>
      <c r="EO53" t="e">
        <f>CW54-Table2[[#This Row],[6F2 Ground Floor AC]]</f>
        <v>#VALUE!</v>
      </c>
      <c r="EP53" t="e">
        <f>CX54-Table2[[#This Row],[6F3 ACBD -1 (First floor AC)]]</f>
        <v>#VALUE!</v>
      </c>
      <c r="EQ53" t="e">
        <f>CY54-Table2[[#This Row],[6F4 ACBD - 2 (Second &amp; Third floor AC)]]</f>
        <v>#VALUE!</v>
      </c>
      <c r="ER53" t="e">
        <f>(BC54-Table2[[#This Row],[4F Old BMC cooling Unit]])</f>
        <v>#VALUE!</v>
      </c>
      <c r="ES53" t="e">
        <f>BO54-Table2[[#This Row],[2F4 - Old BMC]]</f>
        <v>#VALUE!</v>
      </c>
      <c r="ET53" t="e">
        <f>Y54-Table2[[#This Row],[14F2 New CK]]</f>
        <v>#VALUE!</v>
      </c>
      <c r="EU53" t="e">
        <f>(CL54-Table2[[#This Row],[OLD Ck Panel-1]])*1000</f>
        <v>#VALUE!</v>
      </c>
      <c r="EV53" t="e">
        <f>CM54-Table2[[#This Row],[2F4 Old CK Blast (Blue star)]]</f>
        <v>#VALUE!</v>
      </c>
      <c r="EW53" t="e">
        <f>CN54-Table2[[#This Row],[3F6 Old CK Blast (Carrier)]]</f>
        <v>#VALUE!</v>
      </c>
      <c r="EX53" t="e">
        <f>(CO54-Table2[[#This Row],[Old CK Panel -2]])*1000</f>
        <v>#VALUE!</v>
      </c>
      <c r="EY53" t="e">
        <f>N54-Table2[[#This Row],[4F1 Main UPS 1/C -1]]</f>
        <v>#VALUE!</v>
      </c>
      <c r="EZ53" t="e">
        <f>Z54-Table2[[#This Row],[15F1 Main UPS Panel - I/C - 2]]</f>
        <v>#VALUE!</v>
      </c>
      <c r="FA53" t="e">
        <f>BF54-Table2[[#This Row],[2F CLC -1 AC unit - 2]]</f>
        <v>#VALUE!</v>
      </c>
      <c r="FB53" t="e">
        <f>(BG54-Table2[[#This Row],[2F CLC Anti room]])*1000</f>
        <v>#VALUE!</v>
      </c>
      <c r="FC53" t="e">
        <f>BW54-Table2[[#This Row],[7F3 CLC Power Panel]]</f>
        <v>#VALUE!</v>
      </c>
      <c r="FD53" t="e">
        <f>(CI54-Table2[[#This Row],[PDB - 17 CLC Section ]])*1000</f>
        <v>#VALUE!</v>
      </c>
      <c r="FE53" t="e">
        <f>(W54-Table2[[#This Row],[13F3 Water &amp; Lift Old CK]])*1000</f>
        <v>#VALUE!</v>
      </c>
      <c r="FF53" t="e">
        <f>AA54-Table2[[#This Row],[15F2 New ETP Panel]]</f>
        <v>#VALUE!</v>
      </c>
      <c r="FG53" t="e">
        <f>AL54-Table2[[#This Row],[3F4 Old ETP Panel]]</f>
        <v>#VALUE!</v>
      </c>
      <c r="FH53" t="e">
        <f>AF54-Table2[[#This Row],[2F1 RO Plant]]</f>
        <v>#VALUE!</v>
      </c>
      <c r="FI53" t="e">
        <f>AK54-Table2[[#This Row],[3F3 Fire Hydrant Panel]]</f>
        <v>#VALUE!</v>
      </c>
      <c r="FJ53" t="e">
        <f>R54-Table2[[#This Row],[7F1 Freon System Panel]]</f>
        <v>#VALUE!</v>
      </c>
      <c r="FK53" t="e">
        <f>(AE54-Table2[[#This Row],[21F1 Refrigeration Ammonia]])*1000</f>
        <v>#VALUE!</v>
      </c>
      <c r="FL53" t="e">
        <f>(AG54-Table2[[#This Row],[2F3 Air Compressor]])*1000</f>
        <v>#VALUE!</v>
      </c>
      <c r="FM53" t="e">
        <f>(AX54-Table2[[#This Row],[Solar Reading Panel II]])*1000</f>
        <v>#VALUE!</v>
      </c>
      <c r="FN53" t="e">
        <f>AI54-Table2[[#This Row],[3F1 Maintenance Workshop]]</f>
        <v>#VALUE!</v>
      </c>
      <c r="FO53" t="e">
        <f>BD54-Table2[[#This Row],[4F B2B unit ]]</f>
        <v>#VALUE!</v>
      </c>
      <c r="FP53" t="e">
        <f>BL54-Table2[[#This Row],[2F1 - PDB 6 - Bread, B2B section]]</f>
        <v>#VALUE!</v>
      </c>
      <c r="FQ53" t="e">
        <f>(CG54-Table2[[#This Row],[9F5 - PDB 14 - Bread Lift]])</f>
        <v>#VALUE!</v>
      </c>
      <c r="FR53" t="e">
        <f>CJ54-Table2[[#This Row],[PDB - 16 Bread Section]]</f>
        <v>#VALUE!</v>
      </c>
      <c r="FS53" t="e">
        <f>BU54-Table2[[#This Row],[7F1 Donut Production area]]</f>
        <v>#VALUE!</v>
      </c>
      <c r="FT53" t="e">
        <f>CB54-Table2[[#This Row],[8F5 Donut Ban Bary]]</f>
        <v>#VALUE!</v>
      </c>
      <c r="FU53" t="e">
        <f>CF54-Table2[[#This Row],[9F4 - PDB 13 - Donut Sink Geyser area]]</f>
        <v>#VALUE!</v>
      </c>
      <c r="FV53" t="e">
        <f>BV54-Table2[[#This Row],[7F2 Flour Silo]]</f>
        <v>#VALUE!</v>
      </c>
      <c r="FW53" t="e">
        <f>BY54-Table2[[#This Row],[8F2 ACPDB - 3 SILO Ventilation]]</f>
        <v>#VALUE!</v>
      </c>
      <c r="FX53" t="e">
        <f>J54-Table2[[#This Row],[DG 1010KVA Running Hours]]</f>
        <v>#VALUE!</v>
      </c>
      <c r="FY53" t="e">
        <f>K54-Table2[[#This Row],[DG 1010 KVA Meter Reading]]</f>
        <v>#VALUE!</v>
      </c>
      <c r="FZ53" t="e">
        <f>L54-Table2[[#This Row],[GG 1010 KVA Running Hours]]</f>
        <v>#VALUE!</v>
      </c>
      <c r="GA53" t="e">
        <f>M54-Table2[[#This Row],[GG 1010 KVA Meter Reading]]</f>
        <v>#VALUE!</v>
      </c>
    </row>
    <row r="54" spans="1:183" x14ac:dyDescent="0.35">
      <c r="DH54" s="4" t="e">
        <f>Table2[[#This Row],[Date]]</f>
        <v>#VALUE!</v>
      </c>
      <c r="DI54" t="e">
        <f>(DD55-Table2[[#This Row],[MWH Total]])*4000</f>
        <v>#VALUE!</v>
      </c>
      <c r="DJ54" t="e">
        <f>(DA55-Table2[[#This Row],[PNG Meter (Outside)]])*2.936</f>
        <v>#VALUE!</v>
      </c>
      <c r="DK54" t="e">
        <f>(DB55-Table2[[#This Row],[PNG Meter (Inside)]])*2.936</f>
        <v>#VALUE!</v>
      </c>
      <c r="DL54" t="e">
        <f>(BH55-Table2[[#This Row],[3F Dough cooler - 2 ]])*1000</f>
        <v>#VALUE!</v>
      </c>
      <c r="DM54" t="e">
        <f>(BI55-Table2[[#This Row],[3F Dough Cooler- 1]])*1000</f>
        <v>#VALUE!</v>
      </c>
      <c r="DN54" t="e">
        <f>(BJ55-Table2[[#This Row],[4F Dough Production cooling Unit]])*1000</f>
        <v>#VALUE!</v>
      </c>
      <c r="DO54" t="e">
        <f>(BQ55-Table2[[#This Row],[3F2 - PDB 3 - Dough Production Area]])*1000</f>
        <v>#VALUE!</v>
      </c>
      <c r="DP54" t="e">
        <f>(BR55-Table2[[#This Row],[3F3 - PDB 4 - Dough Area]])*1000</f>
        <v>#VALUE!</v>
      </c>
      <c r="DQ54" t="e">
        <f>AC55-Table2[[#This Row],[16F1 Tray washer Panel for Light]]</f>
        <v>#VALUE!</v>
      </c>
      <c r="DR54" t="e">
        <f>CQ55-Table2[[#This Row],[2F1 Tray Washer - 1]]</f>
        <v>#VALUE!</v>
      </c>
      <c r="DS54" t="e">
        <f>CS55-Table2[[#This Row],[2F5 Destacker]]</f>
        <v>#VALUE!</v>
      </c>
      <c r="DT54" t="e">
        <f>CU55-Table2[[#This Row],[5F1 Metering (TW-2)]]</f>
        <v>#VALUE!</v>
      </c>
      <c r="DU54" t="e">
        <f>CV55-Table2[[#This Row],[6F1 Pre soaker Tray washer]]</f>
        <v>#VALUE!</v>
      </c>
      <c r="DV54" t="e">
        <f>CZ55-Table2[[#This Row],[6F5 Vent tray Storage]]</f>
        <v>#VALUE!</v>
      </c>
      <c r="DW54" t="e">
        <f>I55-Table2[[#This Row],[Popeyes Meter ]]</f>
        <v>#VALUE!</v>
      </c>
      <c r="DX54" t="e">
        <f>AZ55-Table2[[#This Row],[2F WH Chiller, Segregation Area]]</f>
        <v>#VALUE!</v>
      </c>
      <c r="DY54" t="e">
        <f>BA55-Table2[[#This Row],[3F1 AC Unit WH dock cooling - 2 Nos]]</f>
        <v>#VALUE!</v>
      </c>
      <c r="DZ54" t="e">
        <f>BB55-Table2[[#This Row],[3F2 AC Unit WH dock cooling - 3 Nos]]</f>
        <v>#VALUE!</v>
      </c>
      <c r="EA54" t="e">
        <f>(BK55-Table2[[#This Row],[5F WH Perishable]])*1000</f>
        <v>#VALUE!</v>
      </c>
      <c r="EB54" t="e">
        <f>BN55-Table2[[#This Row],[2F3 - PDB 9 - WH Dock Leveler Door ]]</f>
        <v>#VALUE!</v>
      </c>
      <c r="EC54" t="e">
        <f>BP55-Table2[[#This Row],[3F1 - PDB 5 - WH HSD]]</f>
        <v>#VALUE!</v>
      </c>
      <c r="ED54" t="e">
        <f>BX55-Table2[[#This Row],[8F1 WH Dock AHU - Ventilation]]</f>
        <v>#VALUE!</v>
      </c>
      <c r="EE54" t="e">
        <f>BZ55-Table2[[#This Row],[8F3 ACPDB - 4 WH Dock air curtain]]</f>
        <v>#VALUE!</v>
      </c>
      <c r="EF54" t="e">
        <f>CA55-Table2[[#This Row],[8F4 WH Light]]</f>
        <v>#VALUE!</v>
      </c>
      <c r="EG54" t="e">
        <f>CC55-Table2[[#This Row],[9F1 - PDB 10 - WH Dock door &amp; Office]]</f>
        <v>#VALUE!</v>
      </c>
      <c r="EH54" t="e">
        <f>CD55-Table2[[#This Row],[9F2 - PDB 11 - WH flycatchers]]</f>
        <v>#VALUE!</v>
      </c>
      <c r="EI54" t="e">
        <f>CE55-Table2[[#This Row],[9F3 - PDB 12 - Other items]]</f>
        <v>#VALUE!</v>
      </c>
      <c r="EJ54" t="e">
        <f>CR55-Table2[[#This Row],[2F3 - PDB 1 - Dock 1 to 4 ]]</f>
        <v>#VALUE!</v>
      </c>
      <c r="EK54" t="e">
        <f>BM55-Table2[[#This Row],[2F2 - PDB 3 - WH Truck &amp; Battery Charging]]</f>
        <v>#VALUE!</v>
      </c>
      <c r="EL54" t="e">
        <f>(CK55-Table2[[#This Row],[PDB - 11 Truck Charging]])*1000</f>
        <v>#VALUE!</v>
      </c>
      <c r="EM54" t="e">
        <f>P55-Table2[[#This Row],[5F3 Admin Area]]</f>
        <v>#VALUE!</v>
      </c>
      <c r="EN54" t="e">
        <f>AH55-Table2[[#This Row],[2F5 Main Gate-1 Piller -1]]</f>
        <v>#VALUE!</v>
      </c>
      <c r="EO54" t="e">
        <f>CW55-Table2[[#This Row],[6F2 Ground Floor AC]]</f>
        <v>#VALUE!</v>
      </c>
      <c r="EP54" t="e">
        <f>CX55-Table2[[#This Row],[6F3 ACBD -1 (First floor AC)]]</f>
        <v>#VALUE!</v>
      </c>
      <c r="EQ54" t="e">
        <f>CY55-Table2[[#This Row],[6F4 ACBD - 2 (Second &amp; Third floor AC)]]</f>
        <v>#VALUE!</v>
      </c>
      <c r="ER54" t="e">
        <f>(BC55-Table2[[#This Row],[4F Old BMC cooling Unit]])</f>
        <v>#VALUE!</v>
      </c>
      <c r="ES54" t="e">
        <f>BO55-Table2[[#This Row],[2F4 - Old BMC]]</f>
        <v>#VALUE!</v>
      </c>
      <c r="ET54" t="e">
        <f>Y55-Table2[[#This Row],[14F2 New CK]]</f>
        <v>#VALUE!</v>
      </c>
      <c r="EU54" t="e">
        <f>(CL55-Table2[[#This Row],[OLD Ck Panel-1]])*1000</f>
        <v>#VALUE!</v>
      </c>
      <c r="EV54" t="e">
        <f>CM55-Table2[[#This Row],[2F4 Old CK Blast (Blue star)]]</f>
        <v>#VALUE!</v>
      </c>
      <c r="EW54" t="e">
        <f>CN55-Table2[[#This Row],[3F6 Old CK Blast (Carrier)]]</f>
        <v>#VALUE!</v>
      </c>
      <c r="EX54" t="e">
        <f>(CO55-Table2[[#This Row],[Old CK Panel -2]])*1000</f>
        <v>#VALUE!</v>
      </c>
      <c r="EY54" t="e">
        <f>N55-Table2[[#This Row],[4F1 Main UPS 1/C -1]]</f>
        <v>#VALUE!</v>
      </c>
      <c r="EZ54" t="e">
        <f>Z55-Table2[[#This Row],[15F1 Main UPS Panel - I/C - 2]]</f>
        <v>#VALUE!</v>
      </c>
      <c r="FA54" t="e">
        <f>BF55-Table2[[#This Row],[2F CLC -1 AC unit - 2]]</f>
        <v>#VALUE!</v>
      </c>
      <c r="FB54" t="e">
        <f>(BG55-Table2[[#This Row],[2F CLC Anti room]])*1000</f>
        <v>#VALUE!</v>
      </c>
      <c r="FC54" t="e">
        <f>BW55-Table2[[#This Row],[7F3 CLC Power Panel]]</f>
        <v>#VALUE!</v>
      </c>
      <c r="FD54" t="e">
        <f>(CI55-Table2[[#This Row],[PDB - 17 CLC Section ]])*1000</f>
        <v>#VALUE!</v>
      </c>
      <c r="FE54" t="e">
        <f>(W55-Table2[[#This Row],[13F3 Water &amp; Lift Old CK]])*1000</f>
        <v>#VALUE!</v>
      </c>
      <c r="FF54" t="e">
        <f>AA55-Table2[[#This Row],[15F2 New ETP Panel]]</f>
        <v>#VALUE!</v>
      </c>
      <c r="FG54" t="e">
        <f>AL55-Table2[[#This Row],[3F4 Old ETP Panel]]</f>
        <v>#VALUE!</v>
      </c>
      <c r="FH54" t="e">
        <f>AF55-Table2[[#This Row],[2F1 RO Plant]]</f>
        <v>#VALUE!</v>
      </c>
      <c r="FI54" t="e">
        <f>AK55-Table2[[#This Row],[3F3 Fire Hydrant Panel]]</f>
        <v>#VALUE!</v>
      </c>
      <c r="FJ54" t="e">
        <f>R55-Table2[[#This Row],[7F1 Freon System Panel]]</f>
        <v>#VALUE!</v>
      </c>
      <c r="FK54" t="e">
        <f>(AE55-Table2[[#This Row],[21F1 Refrigeration Ammonia]])*1000</f>
        <v>#VALUE!</v>
      </c>
      <c r="FL54" t="e">
        <f>(AG55-Table2[[#This Row],[2F3 Air Compressor]])*1000</f>
        <v>#VALUE!</v>
      </c>
      <c r="FM54" t="e">
        <f>(AX55-Table2[[#This Row],[Solar Reading Panel II]])*1000</f>
        <v>#VALUE!</v>
      </c>
      <c r="FN54" t="e">
        <f>AI55-Table2[[#This Row],[3F1 Maintenance Workshop]]</f>
        <v>#VALUE!</v>
      </c>
      <c r="FO54" t="e">
        <f>BD55-Table2[[#This Row],[4F B2B unit ]]</f>
        <v>#VALUE!</v>
      </c>
      <c r="FP54" t="e">
        <f>BL55-Table2[[#This Row],[2F1 - PDB 6 - Bread, B2B section]]</f>
        <v>#VALUE!</v>
      </c>
      <c r="FQ54" t="e">
        <f>(CG55-Table2[[#This Row],[9F5 - PDB 14 - Bread Lift]])</f>
        <v>#VALUE!</v>
      </c>
      <c r="FR54" t="e">
        <f>CJ55-Table2[[#This Row],[PDB - 16 Bread Section]]</f>
        <v>#VALUE!</v>
      </c>
      <c r="FS54" t="e">
        <f>BU55-Table2[[#This Row],[7F1 Donut Production area]]</f>
        <v>#VALUE!</v>
      </c>
      <c r="FT54" t="e">
        <f>CB55-Table2[[#This Row],[8F5 Donut Ban Bary]]</f>
        <v>#VALUE!</v>
      </c>
      <c r="FU54" t="e">
        <f>CF55-Table2[[#This Row],[9F4 - PDB 13 - Donut Sink Geyser area]]</f>
        <v>#VALUE!</v>
      </c>
      <c r="FV54" t="e">
        <f>BV55-Table2[[#This Row],[7F2 Flour Silo]]</f>
        <v>#VALUE!</v>
      </c>
      <c r="FW54" t="e">
        <f>BY55-Table2[[#This Row],[8F2 ACPDB - 3 SILO Ventilation]]</f>
        <v>#VALUE!</v>
      </c>
      <c r="FX54" t="e">
        <f>J55-Table2[[#This Row],[DG 1010KVA Running Hours]]</f>
        <v>#VALUE!</v>
      </c>
      <c r="FY54" t="e">
        <f>K55-Table2[[#This Row],[DG 1010 KVA Meter Reading]]</f>
        <v>#VALUE!</v>
      </c>
      <c r="FZ54" t="e">
        <f>L55-Table2[[#This Row],[GG 1010 KVA Running Hours]]</f>
        <v>#VALUE!</v>
      </c>
      <c r="GA54" t="e">
        <f>M55-Table2[[#This Row],[GG 1010 KVA Meter Reading]]</f>
        <v>#VALUE!</v>
      </c>
    </row>
    <row r="55" spans="1:183" x14ac:dyDescent="0.35">
      <c r="DH55" s="4" t="e">
        <f>Table2[[#This Row],[Date]]</f>
        <v>#VALUE!</v>
      </c>
      <c r="DI55" t="e">
        <f>(DD56-Table2[[#This Row],[MWH Total]])*4000</f>
        <v>#VALUE!</v>
      </c>
      <c r="DJ55" t="e">
        <f>(DA56-Table2[[#This Row],[PNG Meter (Outside)]])*2.936</f>
        <v>#VALUE!</v>
      </c>
      <c r="DK55" t="e">
        <f>(DB56-Table2[[#This Row],[PNG Meter (Inside)]])*2.936</f>
        <v>#VALUE!</v>
      </c>
      <c r="DL55" t="e">
        <f>(BH56-Table2[[#This Row],[3F Dough cooler - 2 ]])*1000</f>
        <v>#VALUE!</v>
      </c>
      <c r="DM55" t="e">
        <f>(BI56-Table2[[#This Row],[3F Dough Cooler- 1]])*1000</f>
        <v>#VALUE!</v>
      </c>
      <c r="DN55" t="e">
        <f>(BJ56-Table2[[#This Row],[4F Dough Production cooling Unit]])*1000</f>
        <v>#VALUE!</v>
      </c>
      <c r="DO55" t="e">
        <f>(BQ56-Table2[[#This Row],[3F2 - PDB 3 - Dough Production Area]])*1000</f>
        <v>#VALUE!</v>
      </c>
      <c r="DP55" t="e">
        <f>(BR56-Table2[[#This Row],[3F3 - PDB 4 - Dough Area]])*1000</f>
        <v>#VALUE!</v>
      </c>
      <c r="DQ55" t="e">
        <f>AC56-Table2[[#This Row],[16F1 Tray washer Panel for Light]]</f>
        <v>#VALUE!</v>
      </c>
      <c r="DR55" t="e">
        <f>CQ56-Table2[[#This Row],[2F1 Tray Washer - 1]]</f>
        <v>#VALUE!</v>
      </c>
      <c r="DS55" t="e">
        <f>CS56-Table2[[#This Row],[2F5 Destacker]]</f>
        <v>#VALUE!</v>
      </c>
      <c r="DT55" t="e">
        <f>CU56-Table2[[#This Row],[5F1 Metering (TW-2)]]</f>
        <v>#VALUE!</v>
      </c>
      <c r="DU55" t="e">
        <f>CV56-Table2[[#This Row],[6F1 Pre soaker Tray washer]]</f>
        <v>#VALUE!</v>
      </c>
      <c r="DV55" t="e">
        <f>CZ56-Table2[[#This Row],[6F5 Vent tray Storage]]</f>
        <v>#VALUE!</v>
      </c>
      <c r="DW55" t="e">
        <f>I56-Table2[[#This Row],[Popeyes Meter ]]</f>
        <v>#VALUE!</v>
      </c>
      <c r="DX55" t="e">
        <f>AZ56-Table2[[#This Row],[2F WH Chiller, Segregation Area]]</f>
        <v>#VALUE!</v>
      </c>
      <c r="DY55" t="e">
        <f>BA56-Table2[[#This Row],[3F1 AC Unit WH dock cooling - 2 Nos]]</f>
        <v>#VALUE!</v>
      </c>
      <c r="DZ55" t="e">
        <f>BB56-Table2[[#This Row],[3F2 AC Unit WH dock cooling - 3 Nos]]</f>
        <v>#VALUE!</v>
      </c>
      <c r="EA55" t="e">
        <f>(BK56-Table2[[#This Row],[5F WH Perishable]])*1000</f>
        <v>#VALUE!</v>
      </c>
      <c r="EB55" t="e">
        <f>BN56-Table2[[#This Row],[2F3 - PDB 9 - WH Dock Leveler Door ]]</f>
        <v>#VALUE!</v>
      </c>
      <c r="EC55" t="e">
        <f>BP56-Table2[[#This Row],[3F1 - PDB 5 - WH HSD]]</f>
        <v>#VALUE!</v>
      </c>
      <c r="ED55" t="e">
        <f>BX56-Table2[[#This Row],[8F1 WH Dock AHU - Ventilation]]</f>
        <v>#VALUE!</v>
      </c>
      <c r="EE55" t="e">
        <f>BZ56-Table2[[#This Row],[8F3 ACPDB - 4 WH Dock air curtain]]</f>
        <v>#VALUE!</v>
      </c>
      <c r="EF55" t="e">
        <f>CA56-Table2[[#This Row],[8F4 WH Light]]</f>
        <v>#VALUE!</v>
      </c>
      <c r="EG55" t="e">
        <f>CC56-Table2[[#This Row],[9F1 - PDB 10 - WH Dock door &amp; Office]]</f>
        <v>#VALUE!</v>
      </c>
      <c r="EH55" t="e">
        <f>CD56-Table2[[#This Row],[9F2 - PDB 11 - WH flycatchers]]</f>
        <v>#VALUE!</v>
      </c>
      <c r="EI55" t="e">
        <f>CE56-Table2[[#This Row],[9F3 - PDB 12 - Other items]]</f>
        <v>#VALUE!</v>
      </c>
      <c r="EJ55" t="e">
        <f>CR56-Table2[[#This Row],[2F3 - PDB 1 - Dock 1 to 4 ]]</f>
        <v>#VALUE!</v>
      </c>
      <c r="EK55" t="e">
        <f>BM56-Table2[[#This Row],[2F2 - PDB 3 - WH Truck &amp; Battery Charging]]</f>
        <v>#VALUE!</v>
      </c>
      <c r="EL55" t="e">
        <f>(CK56-Table2[[#This Row],[PDB - 11 Truck Charging]])*1000</f>
        <v>#VALUE!</v>
      </c>
      <c r="EM55" t="e">
        <f>P56-Table2[[#This Row],[5F3 Admin Area]]</f>
        <v>#VALUE!</v>
      </c>
      <c r="EN55" t="e">
        <f>AH56-Table2[[#This Row],[2F5 Main Gate-1 Piller -1]]</f>
        <v>#VALUE!</v>
      </c>
      <c r="EO55" t="e">
        <f>CW56-Table2[[#This Row],[6F2 Ground Floor AC]]</f>
        <v>#VALUE!</v>
      </c>
      <c r="EP55" t="e">
        <f>CX56-Table2[[#This Row],[6F3 ACBD -1 (First floor AC)]]</f>
        <v>#VALUE!</v>
      </c>
      <c r="EQ55" t="e">
        <f>CY56-Table2[[#This Row],[6F4 ACBD - 2 (Second &amp; Third floor AC)]]</f>
        <v>#VALUE!</v>
      </c>
      <c r="ER55" t="e">
        <f>(BC56-Table2[[#This Row],[4F Old BMC cooling Unit]])</f>
        <v>#VALUE!</v>
      </c>
      <c r="ES55" t="e">
        <f>BO56-Table2[[#This Row],[2F4 - Old BMC]]</f>
        <v>#VALUE!</v>
      </c>
      <c r="ET55" t="e">
        <f>Y56-Table2[[#This Row],[14F2 New CK]]</f>
        <v>#VALUE!</v>
      </c>
      <c r="EU55" t="e">
        <f>(CL56-Table2[[#This Row],[OLD Ck Panel-1]])*1000</f>
        <v>#VALUE!</v>
      </c>
      <c r="EV55" t="e">
        <f>CM56-Table2[[#This Row],[2F4 Old CK Blast (Blue star)]]</f>
        <v>#VALUE!</v>
      </c>
      <c r="EW55" t="e">
        <f>CN56-Table2[[#This Row],[3F6 Old CK Blast (Carrier)]]</f>
        <v>#VALUE!</v>
      </c>
      <c r="EX55" t="e">
        <f>(CO56-Table2[[#This Row],[Old CK Panel -2]])*1000</f>
        <v>#VALUE!</v>
      </c>
      <c r="EY55" t="e">
        <f>N56-Table2[[#This Row],[4F1 Main UPS 1/C -1]]</f>
        <v>#VALUE!</v>
      </c>
      <c r="EZ55" t="e">
        <f>Z56-Table2[[#This Row],[15F1 Main UPS Panel - I/C - 2]]</f>
        <v>#VALUE!</v>
      </c>
      <c r="FA55" t="e">
        <f>BF56-Table2[[#This Row],[2F CLC -1 AC unit - 2]]</f>
        <v>#VALUE!</v>
      </c>
      <c r="FB55" t="e">
        <f>(BG56-Table2[[#This Row],[2F CLC Anti room]])*1000</f>
        <v>#VALUE!</v>
      </c>
      <c r="FC55" t="e">
        <f>BW56-Table2[[#This Row],[7F3 CLC Power Panel]]</f>
        <v>#VALUE!</v>
      </c>
      <c r="FD55" t="e">
        <f>(CI56-Table2[[#This Row],[PDB - 17 CLC Section ]])*1000</f>
        <v>#VALUE!</v>
      </c>
      <c r="FE55" t="e">
        <f>(W56-Table2[[#This Row],[13F3 Water &amp; Lift Old CK]])*1000</f>
        <v>#VALUE!</v>
      </c>
      <c r="FF55" t="e">
        <f>AA56-Table2[[#This Row],[15F2 New ETP Panel]]</f>
        <v>#VALUE!</v>
      </c>
      <c r="FG55" t="e">
        <f>AL56-Table2[[#This Row],[3F4 Old ETP Panel]]</f>
        <v>#VALUE!</v>
      </c>
      <c r="FH55" t="e">
        <f>AF56-Table2[[#This Row],[2F1 RO Plant]]</f>
        <v>#VALUE!</v>
      </c>
      <c r="FI55" t="e">
        <f>AK56-Table2[[#This Row],[3F3 Fire Hydrant Panel]]</f>
        <v>#VALUE!</v>
      </c>
      <c r="FJ55" t="e">
        <f>R56-Table2[[#This Row],[7F1 Freon System Panel]]</f>
        <v>#VALUE!</v>
      </c>
      <c r="FK55" t="e">
        <f>(AE56-Table2[[#This Row],[21F1 Refrigeration Ammonia]])*1000</f>
        <v>#VALUE!</v>
      </c>
      <c r="FL55" t="e">
        <f>(AG56-Table2[[#This Row],[2F3 Air Compressor]])*1000</f>
        <v>#VALUE!</v>
      </c>
      <c r="FM55" t="e">
        <f>(AX56-Table2[[#This Row],[Solar Reading Panel II]])*1000</f>
        <v>#VALUE!</v>
      </c>
      <c r="FN55" t="e">
        <f>AI56-Table2[[#This Row],[3F1 Maintenance Workshop]]</f>
        <v>#VALUE!</v>
      </c>
      <c r="FO55" t="e">
        <f>BD56-Table2[[#This Row],[4F B2B unit ]]</f>
        <v>#VALUE!</v>
      </c>
      <c r="FP55" t="e">
        <f>BL56-Table2[[#This Row],[2F1 - PDB 6 - Bread, B2B section]]</f>
        <v>#VALUE!</v>
      </c>
      <c r="FQ55" t="e">
        <f>(CG56-Table2[[#This Row],[9F5 - PDB 14 - Bread Lift]])</f>
        <v>#VALUE!</v>
      </c>
      <c r="FR55" t="e">
        <f>CJ56-Table2[[#This Row],[PDB - 16 Bread Section]]</f>
        <v>#VALUE!</v>
      </c>
      <c r="FS55" t="e">
        <f>BU56-Table2[[#This Row],[7F1 Donut Production area]]</f>
        <v>#VALUE!</v>
      </c>
      <c r="FT55" t="e">
        <f>CB56-Table2[[#This Row],[8F5 Donut Ban Bary]]</f>
        <v>#VALUE!</v>
      </c>
      <c r="FU55" t="e">
        <f>CF56-Table2[[#This Row],[9F4 - PDB 13 - Donut Sink Geyser area]]</f>
        <v>#VALUE!</v>
      </c>
      <c r="FV55" t="e">
        <f>BV56-Table2[[#This Row],[7F2 Flour Silo]]</f>
        <v>#VALUE!</v>
      </c>
      <c r="FW55" t="e">
        <f>BY56-Table2[[#This Row],[8F2 ACPDB - 3 SILO Ventilation]]</f>
        <v>#VALUE!</v>
      </c>
      <c r="FX55" t="e">
        <f>J56-Table2[[#This Row],[DG 1010KVA Running Hours]]</f>
        <v>#VALUE!</v>
      </c>
      <c r="FY55" t="e">
        <f>K56-Table2[[#This Row],[DG 1010 KVA Meter Reading]]</f>
        <v>#VALUE!</v>
      </c>
      <c r="FZ55" t="e">
        <f>L56-Table2[[#This Row],[GG 1010 KVA Running Hours]]</f>
        <v>#VALUE!</v>
      </c>
      <c r="GA55" t="e">
        <f>M56-Table2[[#This Row],[GG 1010 KVA Meter Reading]]</f>
        <v>#VALUE!</v>
      </c>
    </row>
    <row r="56" spans="1:183" x14ac:dyDescent="0.35">
      <c r="DH56" s="4" t="e">
        <f>Table2[[#This Row],[Date]]</f>
        <v>#VALUE!</v>
      </c>
      <c r="DI56" t="e">
        <f>(DD57-Table2[[#This Row],[MWH Total]])*4000</f>
        <v>#VALUE!</v>
      </c>
      <c r="DJ56" t="e">
        <f>(DA57-Table2[[#This Row],[PNG Meter (Outside)]])*2.936</f>
        <v>#VALUE!</v>
      </c>
      <c r="DK56" t="e">
        <f>(DB57-Table2[[#This Row],[PNG Meter (Inside)]])*2.936</f>
        <v>#VALUE!</v>
      </c>
      <c r="DL56" t="e">
        <f>(BH57-Table2[[#This Row],[3F Dough cooler - 2 ]])*1000</f>
        <v>#VALUE!</v>
      </c>
      <c r="DM56" t="e">
        <f>(BI57-Table2[[#This Row],[3F Dough Cooler- 1]])*1000</f>
        <v>#VALUE!</v>
      </c>
      <c r="DN56" t="e">
        <f>(BJ57-Table2[[#This Row],[4F Dough Production cooling Unit]])*1000</f>
        <v>#VALUE!</v>
      </c>
      <c r="DO56" t="e">
        <f>(BQ57-Table2[[#This Row],[3F2 - PDB 3 - Dough Production Area]])*1000</f>
        <v>#VALUE!</v>
      </c>
      <c r="DP56" t="e">
        <f>(BR57-Table2[[#This Row],[3F3 - PDB 4 - Dough Area]])*1000</f>
        <v>#VALUE!</v>
      </c>
      <c r="DQ56" t="e">
        <f>AC57-Table2[[#This Row],[16F1 Tray washer Panel for Light]]</f>
        <v>#VALUE!</v>
      </c>
      <c r="DR56" t="e">
        <f>CQ57-Table2[[#This Row],[2F1 Tray Washer - 1]]</f>
        <v>#VALUE!</v>
      </c>
      <c r="DS56" t="e">
        <f>CS57-Table2[[#This Row],[2F5 Destacker]]</f>
        <v>#VALUE!</v>
      </c>
      <c r="DT56" t="e">
        <f>CU57-Table2[[#This Row],[5F1 Metering (TW-2)]]</f>
        <v>#VALUE!</v>
      </c>
      <c r="DU56" t="e">
        <f>CV57-Table2[[#This Row],[6F1 Pre soaker Tray washer]]</f>
        <v>#VALUE!</v>
      </c>
      <c r="DV56" t="e">
        <f>CZ57-Table2[[#This Row],[6F5 Vent tray Storage]]</f>
        <v>#VALUE!</v>
      </c>
      <c r="DW56" t="e">
        <f>I57-Table2[[#This Row],[Popeyes Meter ]]</f>
        <v>#VALUE!</v>
      </c>
      <c r="DX56" t="e">
        <f>AZ57-Table2[[#This Row],[2F WH Chiller, Segregation Area]]</f>
        <v>#VALUE!</v>
      </c>
      <c r="DY56" t="e">
        <f>BA57-Table2[[#This Row],[3F1 AC Unit WH dock cooling - 2 Nos]]</f>
        <v>#VALUE!</v>
      </c>
      <c r="DZ56" t="e">
        <f>BB57-Table2[[#This Row],[3F2 AC Unit WH dock cooling - 3 Nos]]</f>
        <v>#VALUE!</v>
      </c>
      <c r="EA56" t="e">
        <f>(BK57-Table2[[#This Row],[5F WH Perishable]])*1000</f>
        <v>#VALUE!</v>
      </c>
      <c r="EB56" t="e">
        <f>BN57-Table2[[#This Row],[2F3 - PDB 9 - WH Dock Leveler Door ]]</f>
        <v>#VALUE!</v>
      </c>
      <c r="EC56" t="e">
        <f>BP57-Table2[[#This Row],[3F1 - PDB 5 - WH HSD]]</f>
        <v>#VALUE!</v>
      </c>
      <c r="ED56" t="e">
        <f>BX57-Table2[[#This Row],[8F1 WH Dock AHU - Ventilation]]</f>
        <v>#VALUE!</v>
      </c>
      <c r="EE56" t="e">
        <f>BZ57-Table2[[#This Row],[8F3 ACPDB - 4 WH Dock air curtain]]</f>
        <v>#VALUE!</v>
      </c>
      <c r="EF56" t="e">
        <f>CA57-Table2[[#This Row],[8F4 WH Light]]</f>
        <v>#VALUE!</v>
      </c>
      <c r="EG56" t="e">
        <f>CC57-Table2[[#This Row],[9F1 - PDB 10 - WH Dock door &amp; Office]]</f>
        <v>#VALUE!</v>
      </c>
      <c r="EH56" t="e">
        <f>CD57-Table2[[#This Row],[9F2 - PDB 11 - WH flycatchers]]</f>
        <v>#VALUE!</v>
      </c>
      <c r="EI56" t="e">
        <f>CE57-Table2[[#This Row],[9F3 - PDB 12 - Other items]]</f>
        <v>#VALUE!</v>
      </c>
      <c r="EJ56" t="e">
        <f>CR57-Table2[[#This Row],[2F3 - PDB 1 - Dock 1 to 4 ]]</f>
        <v>#VALUE!</v>
      </c>
      <c r="EK56" t="e">
        <f>BM57-Table2[[#This Row],[2F2 - PDB 3 - WH Truck &amp; Battery Charging]]</f>
        <v>#VALUE!</v>
      </c>
      <c r="EL56" t="e">
        <f>(CK57-Table2[[#This Row],[PDB - 11 Truck Charging]])*1000</f>
        <v>#VALUE!</v>
      </c>
      <c r="EM56" t="e">
        <f>P57-Table2[[#This Row],[5F3 Admin Area]]</f>
        <v>#VALUE!</v>
      </c>
      <c r="EN56" t="e">
        <f>AH57-Table2[[#This Row],[2F5 Main Gate-1 Piller -1]]</f>
        <v>#VALUE!</v>
      </c>
      <c r="EO56" t="e">
        <f>CW57-Table2[[#This Row],[6F2 Ground Floor AC]]</f>
        <v>#VALUE!</v>
      </c>
      <c r="EP56" t="e">
        <f>CX57-Table2[[#This Row],[6F3 ACBD -1 (First floor AC)]]</f>
        <v>#VALUE!</v>
      </c>
      <c r="EQ56" t="e">
        <f>CY57-Table2[[#This Row],[6F4 ACBD - 2 (Second &amp; Third floor AC)]]</f>
        <v>#VALUE!</v>
      </c>
      <c r="ER56" t="e">
        <f>(BC57-Table2[[#This Row],[4F Old BMC cooling Unit]])</f>
        <v>#VALUE!</v>
      </c>
      <c r="ES56" t="e">
        <f>BO57-Table2[[#This Row],[2F4 - Old BMC]]</f>
        <v>#VALUE!</v>
      </c>
      <c r="ET56" t="e">
        <f>Y57-Table2[[#This Row],[14F2 New CK]]</f>
        <v>#VALUE!</v>
      </c>
      <c r="EU56" t="e">
        <f>(CL57-Table2[[#This Row],[OLD Ck Panel-1]])*1000</f>
        <v>#VALUE!</v>
      </c>
      <c r="EV56" t="e">
        <f>CM57-Table2[[#This Row],[2F4 Old CK Blast (Blue star)]]</f>
        <v>#VALUE!</v>
      </c>
      <c r="EW56" t="e">
        <f>CN57-Table2[[#This Row],[3F6 Old CK Blast (Carrier)]]</f>
        <v>#VALUE!</v>
      </c>
      <c r="EX56" t="e">
        <f>(CO57-Table2[[#This Row],[Old CK Panel -2]])*1000</f>
        <v>#VALUE!</v>
      </c>
      <c r="EY56" t="e">
        <f>N57-Table2[[#This Row],[4F1 Main UPS 1/C -1]]</f>
        <v>#VALUE!</v>
      </c>
      <c r="EZ56" t="e">
        <f>Z57-Table2[[#This Row],[15F1 Main UPS Panel - I/C - 2]]</f>
        <v>#VALUE!</v>
      </c>
      <c r="FA56" t="e">
        <f>BF57-Table2[[#This Row],[2F CLC -1 AC unit - 2]]</f>
        <v>#VALUE!</v>
      </c>
      <c r="FB56" t="e">
        <f>(BG57-Table2[[#This Row],[2F CLC Anti room]])*1000</f>
        <v>#VALUE!</v>
      </c>
      <c r="FC56" t="e">
        <f>BW57-Table2[[#This Row],[7F3 CLC Power Panel]]</f>
        <v>#VALUE!</v>
      </c>
      <c r="FD56" t="e">
        <f>(CI57-Table2[[#This Row],[PDB - 17 CLC Section ]])*1000</f>
        <v>#VALUE!</v>
      </c>
      <c r="FE56" t="e">
        <f>(W57-Table2[[#This Row],[13F3 Water &amp; Lift Old CK]])*1000</f>
        <v>#VALUE!</v>
      </c>
      <c r="FF56" t="e">
        <f>AA57-Table2[[#This Row],[15F2 New ETP Panel]]</f>
        <v>#VALUE!</v>
      </c>
      <c r="FG56" t="e">
        <f>AL57-Table2[[#This Row],[3F4 Old ETP Panel]]</f>
        <v>#VALUE!</v>
      </c>
      <c r="FH56" t="e">
        <f>AF57-Table2[[#This Row],[2F1 RO Plant]]</f>
        <v>#VALUE!</v>
      </c>
      <c r="FI56" t="e">
        <f>AK57-Table2[[#This Row],[3F3 Fire Hydrant Panel]]</f>
        <v>#VALUE!</v>
      </c>
      <c r="FJ56" t="e">
        <f>R57-Table2[[#This Row],[7F1 Freon System Panel]]</f>
        <v>#VALUE!</v>
      </c>
      <c r="FK56" t="e">
        <f>(AE57-Table2[[#This Row],[21F1 Refrigeration Ammonia]])*1000</f>
        <v>#VALUE!</v>
      </c>
      <c r="FL56" t="e">
        <f>(AG57-Table2[[#This Row],[2F3 Air Compressor]])*1000</f>
        <v>#VALUE!</v>
      </c>
      <c r="FM56" t="e">
        <f>(AX57-Table2[[#This Row],[Solar Reading Panel II]])*1000</f>
        <v>#VALUE!</v>
      </c>
      <c r="FN56" t="e">
        <f>AI57-Table2[[#This Row],[3F1 Maintenance Workshop]]</f>
        <v>#VALUE!</v>
      </c>
      <c r="FO56" t="e">
        <f>BD57-Table2[[#This Row],[4F B2B unit ]]</f>
        <v>#VALUE!</v>
      </c>
      <c r="FP56" t="e">
        <f>BL57-Table2[[#This Row],[2F1 - PDB 6 - Bread, B2B section]]</f>
        <v>#VALUE!</v>
      </c>
      <c r="FQ56" t="e">
        <f>(CG57-Table2[[#This Row],[9F5 - PDB 14 - Bread Lift]])</f>
        <v>#VALUE!</v>
      </c>
      <c r="FR56" t="e">
        <f>CJ57-Table2[[#This Row],[PDB - 16 Bread Section]]</f>
        <v>#VALUE!</v>
      </c>
      <c r="FS56" t="e">
        <f>BU57-Table2[[#This Row],[7F1 Donut Production area]]</f>
        <v>#VALUE!</v>
      </c>
      <c r="FT56" t="e">
        <f>CB57-Table2[[#This Row],[8F5 Donut Ban Bary]]</f>
        <v>#VALUE!</v>
      </c>
      <c r="FU56" t="e">
        <f>CF57-Table2[[#This Row],[9F4 - PDB 13 - Donut Sink Geyser area]]</f>
        <v>#VALUE!</v>
      </c>
      <c r="FV56" t="e">
        <f>BV57-Table2[[#This Row],[7F2 Flour Silo]]</f>
        <v>#VALUE!</v>
      </c>
      <c r="FW56" t="e">
        <f>BY57-Table2[[#This Row],[8F2 ACPDB - 3 SILO Ventilation]]</f>
        <v>#VALUE!</v>
      </c>
      <c r="FX56" t="e">
        <f>J57-Table2[[#This Row],[DG 1010KVA Running Hours]]</f>
        <v>#VALUE!</v>
      </c>
      <c r="FY56" t="e">
        <f>K57-Table2[[#This Row],[DG 1010 KVA Meter Reading]]</f>
        <v>#VALUE!</v>
      </c>
      <c r="FZ56" t="e">
        <f>L57-Table2[[#This Row],[GG 1010 KVA Running Hours]]</f>
        <v>#VALUE!</v>
      </c>
      <c r="GA56" t="e">
        <f>M57-Table2[[#This Row],[GG 1010 KVA Meter Reading]]</f>
        <v>#VALUE!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  <row r="61" spans="1:183" x14ac:dyDescent="0.35">
      <c r="DH61" s="4" t="e">
        <f>Table2[[#This Row],[Date]]</f>
        <v>#VALUE!</v>
      </c>
      <c r="DI61" t="e">
        <f>(DD62-Table2[[#This Row],[MWH Total]])*4000</f>
        <v>#VALUE!</v>
      </c>
      <c r="DJ61" t="e">
        <f>(DA62-Table2[[#This Row],[PNG Meter (Outside)]])*2.936</f>
        <v>#VALUE!</v>
      </c>
      <c r="DK61" t="e">
        <f>(DB62-Table2[[#This Row],[PNG Meter (Inside)]])*2.936</f>
        <v>#VALUE!</v>
      </c>
      <c r="DL61" t="e">
        <f>(BH62-Table2[[#This Row],[3F Dough cooler - 2 ]])*1000</f>
        <v>#VALUE!</v>
      </c>
      <c r="DM61" t="e">
        <f>(BI62-Table2[[#This Row],[3F Dough Cooler- 1]])*1000</f>
        <v>#VALUE!</v>
      </c>
      <c r="DN61" t="e">
        <f>(BJ62-Table2[[#This Row],[4F Dough Production cooling Unit]])*1000</f>
        <v>#VALUE!</v>
      </c>
      <c r="DO61" t="e">
        <f>(BQ62-Table2[[#This Row],[3F2 - PDB 3 - Dough Production Area]])*1000</f>
        <v>#VALUE!</v>
      </c>
      <c r="DP61" t="e">
        <f>(BR62-Table2[[#This Row],[3F3 - PDB 4 - Dough Area]])*1000</f>
        <v>#VALUE!</v>
      </c>
      <c r="DQ61" t="e">
        <f>AC62-Table2[[#This Row],[16F1 Tray washer Panel for Light]]</f>
        <v>#VALUE!</v>
      </c>
      <c r="DR61" t="e">
        <f>CQ62-Table2[[#This Row],[2F1 Tray Washer - 1]]</f>
        <v>#VALUE!</v>
      </c>
      <c r="DS61" t="e">
        <f>CS62-Table2[[#This Row],[2F5 Destacker]]</f>
        <v>#VALUE!</v>
      </c>
      <c r="DT61" t="e">
        <f>CU62-Table2[[#This Row],[5F1 Metering (TW-2)]]</f>
        <v>#VALUE!</v>
      </c>
      <c r="DU61" t="e">
        <f>CV62-Table2[[#This Row],[6F1 Pre soaker Tray washer]]</f>
        <v>#VALUE!</v>
      </c>
      <c r="DV61" t="e">
        <f>CZ62-Table2[[#This Row],[6F5 Vent tray Storage]]</f>
        <v>#VALUE!</v>
      </c>
      <c r="DW61" t="e">
        <f>I62-Table2[[#This Row],[Popeyes Meter ]]</f>
        <v>#VALUE!</v>
      </c>
      <c r="DX61" t="e">
        <f>AZ62-Table2[[#This Row],[2F WH Chiller, Segregation Area]]</f>
        <v>#VALUE!</v>
      </c>
      <c r="DY61" t="e">
        <f>BA62-Table2[[#This Row],[3F1 AC Unit WH dock cooling - 2 Nos]]</f>
        <v>#VALUE!</v>
      </c>
      <c r="DZ61" t="e">
        <f>BB62-Table2[[#This Row],[3F2 AC Unit WH dock cooling - 3 Nos]]</f>
        <v>#VALUE!</v>
      </c>
      <c r="EA61" t="e">
        <f>(BK62-Table2[[#This Row],[5F WH Perishable]])*1000</f>
        <v>#VALUE!</v>
      </c>
      <c r="EB61" t="e">
        <f>BN62-Table2[[#This Row],[2F3 - PDB 9 - WH Dock Leveler Door ]]</f>
        <v>#VALUE!</v>
      </c>
      <c r="EC61" t="e">
        <f>BP62-Table2[[#This Row],[3F1 - PDB 5 - WH HSD]]</f>
        <v>#VALUE!</v>
      </c>
      <c r="ED61" t="e">
        <f>BX62-Table2[[#This Row],[8F1 WH Dock AHU - Ventilation]]</f>
        <v>#VALUE!</v>
      </c>
      <c r="EE61" t="e">
        <f>BZ62-Table2[[#This Row],[8F3 ACPDB - 4 WH Dock air curtain]]</f>
        <v>#VALUE!</v>
      </c>
      <c r="EF61" t="e">
        <f>CA62-Table2[[#This Row],[8F4 WH Light]]</f>
        <v>#VALUE!</v>
      </c>
      <c r="EG61" t="e">
        <f>CC62-Table2[[#This Row],[9F1 - PDB 10 - WH Dock door &amp; Office]]</f>
        <v>#VALUE!</v>
      </c>
      <c r="EH61" t="e">
        <f>CD62-Table2[[#This Row],[9F2 - PDB 11 - WH flycatchers]]</f>
        <v>#VALUE!</v>
      </c>
      <c r="EI61" t="e">
        <f>CE62-Table2[[#This Row],[9F3 - PDB 12 - Other items]]</f>
        <v>#VALUE!</v>
      </c>
      <c r="EJ61" t="e">
        <f>CR62-Table2[[#This Row],[2F3 - PDB 1 - Dock 1 to 4 ]]</f>
        <v>#VALUE!</v>
      </c>
      <c r="EK61" t="e">
        <f>BM62-Table2[[#This Row],[2F2 - PDB 3 - WH Truck &amp; Battery Charging]]</f>
        <v>#VALUE!</v>
      </c>
      <c r="EL61" t="e">
        <f>(CK62-Table2[[#This Row],[PDB - 11 Truck Charging]])*1000</f>
        <v>#VALUE!</v>
      </c>
      <c r="EM61" t="e">
        <f>P62-Table2[[#This Row],[5F3 Admin Area]]</f>
        <v>#VALUE!</v>
      </c>
      <c r="EN61" t="e">
        <f>AH62-Table2[[#This Row],[2F5 Main Gate-1 Piller -1]]</f>
        <v>#VALUE!</v>
      </c>
      <c r="EO61" t="e">
        <f>CW62-Table2[[#This Row],[6F2 Ground Floor AC]]</f>
        <v>#VALUE!</v>
      </c>
      <c r="EP61" t="e">
        <f>CX62-Table2[[#This Row],[6F3 ACBD -1 (First floor AC)]]</f>
        <v>#VALUE!</v>
      </c>
      <c r="EQ61" t="e">
        <f>CY62-Table2[[#This Row],[6F4 ACBD - 2 (Second &amp; Third floor AC)]]</f>
        <v>#VALUE!</v>
      </c>
      <c r="ER61" t="e">
        <f>(BC62-Table2[[#This Row],[4F Old BMC cooling Unit]])</f>
        <v>#VALUE!</v>
      </c>
      <c r="ES61" t="e">
        <f>BO62-Table2[[#This Row],[2F4 - Old BMC]]</f>
        <v>#VALUE!</v>
      </c>
      <c r="ET61" t="e">
        <f>Y62-Table2[[#This Row],[14F2 New CK]]</f>
        <v>#VALUE!</v>
      </c>
      <c r="EU61" t="e">
        <f>(CL62-Table2[[#This Row],[OLD Ck Panel-1]])*1000</f>
        <v>#VALUE!</v>
      </c>
      <c r="EV61" t="e">
        <f>CM62-Table2[[#This Row],[2F4 Old CK Blast (Blue star)]]</f>
        <v>#VALUE!</v>
      </c>
      <c r="EW61" t="e">
        <f>CN62-Table2[[#This Row],[3F6 Old CK Blast (Carrier)]]</f>
        <v>#VALUE!</v>
      </c>
      <c r="EX61" t="e">
        <f>(CO62-Table2[[#This Row],[Old CK Panel -2]])*1000</f>
        <v>#VALUE!</v>
      </c>
      <c r="EY61" t="e">
        <f>N62-Table2[[#This Row],[4F1 Main UPS 1/C -1]]</f>
        <v>#VALUE!</v>
      </c>
      <c r="EZ61" t="e">
        <f>Z62-Table2[[#This Row],[15F1 Main UPS Panel - I/C - 2]]</f>
        <v>#VALUE!</v>
      </c>
      <c r="FA61" t="e">
        <f>BF62-Table2[[#This Row],[2F CLC -1 AC unit - 2]]</f>
        <v>#VALUE!</v>
      </c>
      <c r="FB61" t="e">
        <f>(BG62-Table2[[#This Row],[2F CLC Anti room]])*1000</f>
        <v>#VALUE!</v>
      </c>
      <c r="FC61" t="e">
        <f>BW62-Table2[[#This Row],[7F3 CLC Power Panel]]</f>
        <v>#VALUE!</v>
      </c>
      <c r="FD61" t="e">
        <f>(CI62-Table2[[#This Row],[PDB - 17 CLC Section ]])*1000</f>
        <v>#VALUE!</v>
      </c>
      <c r="FE61" t="e">
        <f>(W62-Table2[[#This Row],[13F3 Water &amp; Lift Old CK]])*1000</f>
        <v>#VALUE!</v>
      </c>
      <c r="FF61" t="e">
        <f>AA62-Table2[[#This Row],[15F2 New ETP Panel]]</f>
        <v>#VALUE!</v>
      </c>
      <c r="FG61" t="e">
        <f>AL62-Table2[[#This Row],[3F4 Old ETP Panel]]</f>
        <v>#VALUE!</v>
      </c>
      <c r="FH61" t="e">
        <f>AF62-Table2[[#This Row],[2F1 RO Plant]]</f>
        <v>#VALUE!</v>
      </c>
      <c r="FI61" t="e">
        <f>AK62-Table2[[#This Row],[3F3 Fire Hydrant Panel]]</f>
        <v>#VALUE!</v>
      </c>
      <c r="FJ61" t="e">
        <f>R62-Table2[[#This Row],[7F1 Freon System Panel]]</f>
        <v>#VALUE!</v>
      </c>
      <c r="FK61" t="e">
        <f>(AE62-Table2[[#This Row],[21F1 Refrigeration Ammonia]])*1000</f>
        <v>#VALUE!</v>
      </c>
      <c r="FL61" t="e">
        <f>(AG62-Table2[[#This Row],[2F3 Air Compressor]])*1000</f>
        <v>#VALUE!</v>
      </c>
      <c r="FM61" t="e">
        <f>(AX62-Table2[[#This Row],[Solar Reading Panel II]])*1000</f>
        <v>#VALUE!</v>
      </c>
      <c r="FN61" t="e">
        <f>AI62-Table2[[#This Row],[3F1 Maintenance Workshop]]</f>
        <v>#VALUE!</v>
      </c>
      <c r="FO61" t="e">
        <f>BD62-Table2[[#This Row],[4F B2B unit ]]</f>
        <v>#VALUE!</v>
      </c>
      <c r="FP61" t="e">
        <f>BL62-Table2[[#This Row],[2F1 - PDB 6 - Bread, B2B section]]</f>
        <v>#VALUE!</v>
      </c>
      <c r="FQ61" t="e">
        <f>(CG62-Table2[[#This Row],[9F5 - PDB 14 - Bread Lift]])</f>
        <v>#VALUE!</v>
      </c>
      <c r="FR61" t="e">
        <f>CJ62-Table2[[#This Row],[PDB - 16 Bread Section]]</f>
        <v>#VALUE!</v>
      </c>
      <c r="FS61" t="e">
        <f>BU62-Table2[[#This Row],[7F1 Donut Production area]]</f>
        <v>#VALUE!</v>
      </c>
      <c r="FT61" t="e">
        <f>CB62-Table2[[#This Row],[8F5 Donut Ban Bary]]</f>
        <v>#VALUE!</v>
      </c>
      <c r="FU61" t="e">
        <f>CF62-Table2[[#This Row],[9F4 - PDB 13 - Donut Sink Geyser area]]</f>
        <v>#VALUE!</v>
      </c>
      <c r="FV61" t="e">
        <f>BV62-Table2[[#This Row],[7F2 Flour Silo]]</f>
        <v>#VALUE!</v>
      </c>
      <c r="FW61" t="e">
        <f>BY62-Table2[[#This Row],[8F2 ACPDB - 3 SILO Ventilation]]</f>
        <v>#VALUE!</v>
      </c>
      <c r="FX61" t="e">
        <f>J62-Table2[[#This Row],[DG 1010KVA Running Hours]]</f>
        <v>#VALUE!</v>
      </c>
      <c r="FY61" t="e">
        <f>K62-Table2[[#This Row],[DG 1010 KVA Meter Reading]]</f>
        <v>#VALUE!</v>
      </c>
      <c r="FZ61" t="e">
        <f>L62-Table2[[#This Row],[GG 1010 KVA Running Hours]]</f>
        <v>#VALUE!</v>
      </c>
      <c r="GA61" t="e">
        <f>M62-Table2[[#This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47" activePane="bottomLeft" state="frozen"/>
      <selection pane="bottomLeft" activeCell="G60" sqref="G6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-219227.1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-306884.39999999997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-526111.49999999988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513.40000000002328</v>
      </c>
      <c r="M52" s="46">
        <f t="shared" si="6"/>
        <v>0</v>
      </c>
      <c r="N52" s="46">
        <f t="shared" si="6"/>
        <v>365</v>
      </c>
      <c r="O52" s="46">
        <f t="shared" si="6"/>
        <v>375.70000000001164</v>
      </c>
      <c r="P52" s="46">
        <f t="shared" si="6"/>
        <v>231.19999999998254</v>
      </c>
      <c r="Q52" s="46">
        <f t="shared" si="6"/>
        <v>742.20000000006985</v>
      </c>
      <c r="R52" s="46">
        <f t="shared" si="6"/>
        <v>0</v>
      </c>
      <c r="S52" s="46">
        <f t="shared" si="6"/>
        <v>1320.8000000000466</v>
      </c>
      <c r="T52" s="46">
        <f t="shared" si="6"/>
        <v>1450</v>
      </c>
      <c r="U52" s="47">
        <f t="shared" si="7"/>
        <v>1255.6000000000931</v>
      </c>
      <c r="V52" s="47">
        <f t="shared" si="7"/>
        <v>0</v>
      </c>
      <c r="W52" s="47">
        <f t="shared" si="7"/>
        <v>1685.8000000000466</v>
      </c>
      <c r="X52" s="47">
        <f t="shared" si="5"/>
        <v>2056.8999999999942</v>
      </c>
    </row>
    <row r="53" spans="1:24" ht="20" customHeight="1" x14ac:dyDescent="0.35">
      <c r="A53" s="29" t="s">
        <v>284</v>
      </c>
      <c r="B53" s="30">
        <v>420515</v>
      </c>
      <c r="C53" s="29" t="s">
        <v>237</v>
      </c>
      <c r="D53" s="31">
        <v>55817.599999999999</v>
      </c>
      <c r="E53" s="31">
        <v>378783.5</v>
      </c>
      <c r="F53" s="31">
        <v>253853.8</v>
      </c>
      <c r="G53" s="31">
        <v>540989.30000000005</v>
      </c>
      <c r="H53" s="29" t="s">
        <v>237</v>
      </c>
      <c r="I53" s="31">
        <v>745531.3</v>
      </c>
      <c r="J53" s="34">
        <v>1482958</v>
      </c>
      <c r="L53" s="46">
        <f t="shared" si="6"/>
        <v>518.5</v>
      </c>
      <c r="M53" s="46">
        <f t="shared" si="6"/>
        <v>0</v>
      </c>
      <c r="N53" s="46">
        <f t="shared" si="6"/>
        <v>371.70000000000437</v>
      </c>
      <c r="O53" s="46">
        <f t="shared" si="6"/>
        <v>375.79999999998836</v>
      </c>
      <c r="P53" s="46">
        <f t="shared" si="6"/>
        <v>231.40000000002328</v>
      </c>
      <c r="Q53" s="46">
        <f t="shared" si="6"/>
        <v>743.89999999990687</v>
      </c>
      <c r="R53" s="46">
        <f t="shared" si="6"/>
        <v>0</v>
      </c>
      <c r="S53" s="46">
        <f t="shared" si="6"/>
        <v>1378.7999999999302</v>
      </c>
      <c r="T53" s="46">
        <f t="shared" si="6"/>
        <v>1552</v>
      </c>
      <c r="U53" s="47">
        <f t="shared" si="7"/>
        <v>1262.3999999999069</v>
      </c>
      <c r="V53" s="47">
        <f t="shared" si="7"/>
        <v>0</v>
      </c>
      <c r="W53" s="47">
        <f t="shared" si="7"/>
        <v>1750.4999999999345</v>
      </c>
      <c r="X53" s="47">
        <f t="shared" si="5"/>
        <v>2159.2000000000116</v>
      </c>
    </row>
    <row r="54" spans="1:24" ht="20" customHeight="1" x14ac:dyDescent="0.35">
      <c r="A54" s="29" t="s">
        <v>285</v>
      </c>
      <c r="B54" s="30">
        <v>421033.5</v>
      </c>
      <c r="C54" s="29">
        <v>222479.8</v>
      </c>
      <c r="D54" s="31">
        <v>56189.3</v>
      </c>
      <c r="E54" s="31">
        <v>379159.3</v>
      </c>
      <c r="F54" s="31">
        <v>254085.2</v>
      </c>
      <c r="G54" s="31">
        <v>541733.19999999995</v>
      </c>
      <c r="H54" s="29">
        <v>310633.90000000002</v>
      </c>
      <c r="I54" s="31">
        <v>746910.1</v>
      </c>
      <c r="J54" s="34">
        <v>1484510</v>
      </c>
      <c r="L54" s="46">
        <f t="shared" si="6"/>
        <v>497.70000000001164</v>
      </c>
      <c r="M54" s="46">
        <f t="shared" si="6"/>
        <v>231.20000000001164</v>
      </c>
      <c r="N54" s="46">
        <f t="shared" si="6"/>
        <v>353.39999999999418</v>
      </c>
      <c r="O54" s="46">
        <f t="shared" si="6"/>
        <v>360</v>
      </c>
      <c r="P54" s="46">
        <f t="shared" si="6"/>
        <v>215.59999999997672</v>
      </c>
      <c r="Q54" s="46">
        <f t="shared" si="6"/>
        <v>622.10000000009313</v>
      </c>
      <c r="R54" s="46">
        <f t="shared" si="6"/>
        <v>142.79999999998836</v>
      </c>
      <c r="S54" s="46">
        <f t="shared" si="6"/>
        <v>1248.9000000000233</v>
      </c>
      <c r="T54" s="46">
        <f t="shared" si="6"/>
        <v>1645</v>
      </c>
      <c r="U54" s="47">
        <f t="shared" si="7"/>
        <v>1119.8000000001048</v>
      </c>
      <c r="V54" s="47">
        <f t="shared" si="7"/>
        <v>374</v>
      </c>
      <c r="W54" s="47">
        <f t="shared" si="7"/>
        <v>1602.3000000000175</v>
      </c>
      <c r="X54" s="47">
        <f t="shared" si="5"/>
        <v>2220.5999999999767</v>
      </c>
    </row>
    <row r="55" spans="1:24" ht="20" customHeight="1" x14ac:dyDescent="0.35">
      <c r="A55" s="29" t="s">
        <v>286</v>
      </c>
      <c r="B55" s="30">
        <v>421531.2</v>
      </c>
      <c r="C55" s="29">
        <v>222711</v>
      </c>
      <c r="D55" s="31">
        <v>56542.7</v>
      </c>
      <c r="E55" s="31">
        <v>379519.3</v>
      </c>
      <c r="F55" s="31">
        <v>254300.79999999999</v>
      </c>
      <c r="G55" s="31">
        <v>542355.30000000005</v>
      </c>
      <c r="H55" s="29">
        <v>310776.7</v>
      </c>
      <c r="I55" s="31">
        <v>748159</v>
      </c>
      <c r="J55" s="34">
        <v>1486155</v>
      </c>
      <c r="L55" s="46">
        <f t="shared" si="6"/>
        <v>469.39999999996508</v>
      </c>
      <c r="M55" s="46">
        <f t="shared" si="6"/>
        <v>201.89999999999418</v>
      </c>
      <c r="N55" s="46">
        <f t="shared" si="6"/>
        <v>349.20000000000437</v>
      </c>
      <c r="O55" s="46">
        <f t="shared" si="6"/>
        <v>283.29999999998836</v>
      </c>
      <c r="P55" s="46">
        <f t="shared" si="6"/>
        <v>216.40000000002328</v>
      </c>
      <c r="Q55" s="46">
        <f t="shared" si="6"/>
        <v>401.09999999997672</v>
      </c>
      <c r="R55" s="46">
        <f t="shared" si="6"/>
        <v>214.79999999998836</v>
      </c>
      <c r="S55" s="46">
        <f t="shared" si="6"/>
        <v>874.5</v>
      </c>
      <c r="T55" s="46">
        <f t="shared" si="6"/>
        <v>1554</v>
      </c>
      <c r="U55" s="47">
        <f t="shared" si="7"/>
        <v>870.49999999994179</v>
      </c>
      <c r="V55" s="47">
        <f t="shared" si="7"/>
        <v>416.69999999998254</v>
      </c>
      <c r="W55" s="47">
        <f t="shared" si="7"/>
        <v>1223.7000000000044</v>
      </c>
      <c r="X55" s="47">
        <f t="shared" si="5"/>
        <v>2053.7000000000116</v>
      </c>
    </row>
    <row r="56" spans="1:24" ht="20" customHeight="1" x14ac:dyDescent="0.35">
      <c r="A56" s="29" t="s">
        <v>287</v>
      </c>
      <c r="B56" s="30">
        <v>422000.6</v>
      </c>
      <c r="C56" s="29">
        <v>222912.9</v>
      </c>
      <c r="D56" s="31">
        <v>56891.9</v>
      </c>
      <c r="E56" s="31">
        <v>379802.6</v>
      </c>
      <c r="F56" s="31">
        <v>254517.2</v>
      </c>
      <c r="G56" s="31">
        <v>542756.4</v>
      </c>
      <c r="H56" s="29">
        <v>310991.5</v>
      </c>
      <c r="I56" s="31">
        <v>749033.5</v>
      </c>
      <c r="J56" s="34">
        <v>1487709</v>
      </c>
      <c r="L56" s="46">
        <f t="shared" si="6"/>
        <v>367.30000000004657</v>
      </c>
      <c r="M56" s="46">
        <f t="shared" si="6"/>
        <v>165.5</v>
      </c>
      <c r="N56" s="46">
        <f t="shared" si="6"/>
        <v>353.79999999999563</v>
      </c>
      <c r="O56" s="46">
        <f t="shared" si="6"/>
        <v>376.10000000003492</v>
      </c>
      <c r="P56" s="46">
        <f t="shared" si="6"/>
        <v>249.89999999999418</v>
      </c>
      <c r="Q56" s="46">
        <f t="shared" si="6"/>
        <v>471.09999999997672</v>
      </c>
      <c r="R56" s="46">
        <f t="shared" si="6"/>
        <v>281.40000000002328</v>
      </c>
      <c r="S56" s="46">
        <f t="shared" si="6"/>
        <v>1087.5999999999767</v>
      </c>
      <c r="T56" s="46">
        <f t="shared" si="6"/>
        <v>1584</v>
      </c>
      <c r="U56" s="47">
        <f t="shared" si="7"/>
        <v>838.40000000002328</v>
      </c>
      <c r="V56" s="47">
        <f t="shared" si="7"/>
        <v>446.90000000002328</v>
      </c>
      <c r="W56" s="47">
        <f t="shared" si="7"/>
        <v>1441.3999999999724</v>
      </c>
      <c r="X56" s="47">
        <f t="shared" si="5"/>
        <v>2210.0000000000291</v>
      </c>
    </row>
    <row r="57" spans="1:24" ht="20" customHeight="1" x14ac:dyDescent="0.35">
      <c r="A57" s="29" t="s">
        <v>288</v>
      </c>
      <c r="B57" s="30">
        <v>422367.9</v>
      </c>
      <c r="C57" s="31">
        <v>223078.39999999999</v>
      </c>
      <c r="D57" s="31">
        <v>57245.7</v>
      </c>
      <c r="E57" s="31">
        <v>380178.7</v>
      </c>
      <c r="F57" s="31">
        <v>254767.1</v>
      </c>
      <c r="G57" s="31">
        <v>543227.5</v>
      </c>
      <c r="H57" s="31">
        <v>311272.90000000002</v>
      </c>
      <c r="I57" s="31">
        <v>750121.1</v>
      </c>
      <c r="J57" s="34">
        <v>1489293</v>
      </c>
      <c r="L57" s="46">
        <f t="shared" si="6"/>
        <v>63</v>
      </c>
      <c r="M57" s="46">
        <f t="shared" si="6"/>
        <v>250.20000000001164</v>
      </c>
      <c r="N57" s="46">
        <f t="shared" si="6"/>
        <v>359.80000000000291</v>
      </c>
      <c r="O57" s="46">
        <f t="shared" si="6"/>
        <v>444.39999999996508</v>
      </c>
      <c r="P57" s="46">
        <f t="shared" si="6"/>
        <v>303.10000000000582</v>
      </c>
      <c r="Q57" s="46">
        <f t="shared" si="6"/>
        <v>49.300000000046566</v>
      </c>
      <c r="R57" s="46">
        <f t="shared" si="6"/>
        <v>391.19999999995343</v>
      </c>
      <c r="S57" s="46">
        <f t="shared" si="6"/>
        <v>1165.5</v>
      </c>
      <c r="T57" s="46">
        <f t="shared" si="6"/>
        <v>1665</v>
      </c>
      <c r="U57" s="47">
        <f t="shared" si="7"/>
        <v>112.30000000004657</v>
      </c>
      <c r="V57" s="47">
        <f t="shared" si="7"/>
        <v>641.39999999996508</v>
      </c>
      <c r="W57" s="47">
        <f t="shared" si="7"/>
        <v>1525.3000000000029</v>
      </c>
      <c r="X57" s="47">
        <f t="shared" si="5"/>
        <v>2412.4999999999709</v>
      </c>
    </row>
    <row r="58" spans="1:24" ht="20" customHeight="1" x14ac:dyDescent="0.35">
      <c r="A58" s="29" t="s">
        <v>289</v>
      </c>
      <c r="B58" s="30">
        <v>422430.9</v>
      </c>
      <c r="C58" s="31">
        <v>223328.6</v>
      </c>
      <c r="D58" s="31">
        <v>57605.5</v>
      </c>
      <c r="E58" s="31">
        <v>380623.1</v>
      </c>
      <c r="F58" s="31">
        <v>255070.2</v>
      </c>
      <c r="G58" s="31">
        <v>543276.80000000005</v>
      </c>
      <c r="H58" s="31">
        <v>311664.09999999998</v>
      </c>
      <c r="I58" s="31">
        <v>751286.6</v>
      </c>
      <c r="J58" s="34">
        <v>1490958</v>
      </c>
      <c r="L58" s="46">
        <f t="shared" si="6"/>
        <v>7.7999999999883585</v>
      </c>
      <c r="M58" s="46">
        <f t="shared" si="6"/>
        <v>429.19999999998254</v>
      </c>
      <c r="N58" s="46">
        <f t="shared" si="6"/>
        <v>376.5</v>
      </c>
      <c r="O58" s="46">
        <f t="shared" si="6"/>
        <v>390.70000000001164</v>
      </c>
      <c r="P58" s="46">
        <f t="shared" si="6"/>
        <v>257.19999999998254</v>
      </c>
      <c r="Q58" s="46">
        <f t="shared" si="6"/>
        <v>15.699999999953434</v>
      </c>
      <c r="R58" s="46">
        <f t="shared" si="6"/>
        <v>819.80000000004657</v>
      </c>
      <c r="S58" s="46">
        <f t="shared" si="6"/>
        <v>1243.0999999999767</v>
      </c>
      <c r="T58" s="46">
        <f t="shared" si="6"/>
        <v>1770</v>
      </c>
      <c r="U58" s="47">
        <f t="shared" si="7"/>
        <v>23.499999999941792</v>
      </c>
      <c r="V58" s="47">
        <f t="shared" si="7"/>
        <v>1249.0000000000291</v>
      </c>
      <c r="W58" s="47">
        <f t="shared" si="7"/>
        <v>1619.5999999999767</v>
      </c>
      <c r="X58" s="47">
        <f t="shared" si="5"/>
        <v>2417.8999999999942</v>
      </c>
    </row>
    <row r="59" spans="1:24" ht="20" customHeight="1" x14ac:dyDescent="0.35">
      <c r="A59" s="29" t="s">
        <v>290</v>
      </c>
      <c r="B59" s="30">
        <v>422438.7</v>
      </c>
      <c r="C59" s="31">
        <v>223757.8</v>
      </c>
      <c r="D59" s="31">
        <v>57982</v>
      </c>
      <c r="E59" s="31">
        <v>381013.8</v>
      </c>
      <c r="F59" s="31">
        <v>255327.4</v>
      </c>
      <c r="G59" s="31">
        <v>543292.5</v>
      </c>
      <c r="H59" s="31">
        <v>312483.90000000002</v>
      </c>
      <c r="I59" s="31">
        <v>752529.7</v>
      </c>
      <c r="J59" s="34">
        <v>1492728</v>
      </c>
      <c r="L59" s="46">
        <f t="shared" si="6"/>
        <v>-422438.7</v>
      </c>
      <c r="M59" s="46">
        <f t="shared" si="6"/>
        <v>-223757.8</v>
      </c>
      <c r="N59" s="46">
        <f t="shared" si="6"/>
        <v>-57982</v>
      </c>
      <c r="O59" s="46">
        <f t="shared" si="6"/>
        <v>-381013.8</v>
      </c>
      <c r="P59" s="46">
        <f t="shared" si="6"/>
        <v>-255327.4</v>
      </c>
      <c r="Q59" s="46">
        <f t="shared" si="6"/>
        <v>-543292.5</v>
      </c>
      <c r="R59" s="46">
        <f t="shared" si="6"/>
        <v>-312483.90000000002</v>
      </c>
      <c r="S59" s="46">
        <f t="shared" si="6"/>
        <v>-752529.7</v>
      </c>
      <c r="T59" s="46">
        <f t="shared" si="6"/>
        <v>-1492728</v>
      </c>
      <c r="U59" s="47">
        <f t="shared" si="7"/>
        <v>-965731.2</v>
      </c>
      <c r="V59" s="47">
        <f t="shared" si="7"/>
        <v>-536241.69999999995</v>
      </c>
      <c r="W59" s="47">
        <f t="shared" si="7"/>
        <v>-810511.7</v>
      </c>
      <c r="X59" s="47">
        <f t="shared" si="5"/>
        <v>-2129069.2000000002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2026-08-18T05:08:35Z</dcterms:modified>
</cp:coreProperties>
</file>