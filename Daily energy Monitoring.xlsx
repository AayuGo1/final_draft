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H25" i="2" l="1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EI19" i="2" l="1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GA24" i="2"/>
  <c r="FZ24" i="2"/>
  <c r="FY24" i="2"/>
  <c r="FX24" i="2"/>
  <c r="GA23" i="2"/>
  <c r="FZ23" i="2"/>
  <c r="FY23" i="2"/>
  <c r="FX23" i="2"/>
  <c r="GA22" i="2"/>
  <c r="FZ22" i="2"/>
  <c r="FY22" i="2"/>
  <c r="FX22" i="2"/>
  <c r="GA21" i="2"/>
  <c r="FZ21" i="2"/>
  <c r="FY21" i="2"/>
  <c r="FX21" i="2"/>
  <c r="GA20" i="2"/>
  <c r="FZ20" i="2"/>
  <c r="FY20" i="2"/>
  <c r="FX20" i="2"/>
  <c r="GA19" i="2"/>
  <c r="FZ19" i="2"/>
  <c r="FY19" i="2"/>
  <c r="FX19" i="2"/>
  <c r="GA18" i="2"/>
  <c r="FZ18" i="2"/>
  <c r="FY18" i="2"/>
  <c r="FX18" i="2"/>
  <c r="GA17" i="2"/>
  <c r="FZ17" i="2"/>
  <c r="FY17" i="2"/>
  <c r="FX17" i="2"/>
  <c r="GA16" i="2" l="1"/>
  <c r="FZ16" i="2"/>
  <c r="FY16" i="2"/>
  <c r="FX16" i="2"/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W70" i="3" s="1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W68" i="3"/>
  <c r="T68" i="3"/>
  <c r="S68" i="3"/>
  <c r="R68" i="3"/>
  <c r="V68" i="3" s="1"/>
  <c r="Q68" i="3"/>
  <c r="U68" i="3" s="1"/>
  <c r="P68" i="3"/>
  <c r="O68" i="3"/>
  <c r="N68" i="3"/>
  <c r="M68" i="3"/>
  <c r="L68" i="3"/>
  <c r="U67" i="3"/>
  <c r="T67" i="3"/>
  <c r="S67" i="3"/>
  <c r="R67" i="3"/>
  <c r="Q67" i="3"/>
  <c r="P67" i="3"/>
  <c r="O67" i="3"/>
  <c r="N67" i="3"/>
  <c r="W67" i="3" s="1"/>
  <c r="M67" i="3"/>
  <c r="V67" i="3" s="1"/>
  <c r="L67" i="3"/>
  <c r="T66" i="3"/>
  <c r="S66" i="3"/>
  <c r="R66" i="3"/>
  <c r="Q66" i="3"/>
  <c r="U66" i="3" s="1"/>
  <c r="P66" i="3"/>
  <c r="O66" i="3"/>
  <c r="N66" i="3"/>
  <c r="M66" i="3"/>
  <c r="L66" i="3"/>
  <c r="T65" i="3"/>
  <c r="S65" i="3"/>
  <c r="R65" i="3"/>
  <c r="Q65" i="3"/>
  <c r="P65" i="3"/>
  <c r="O65" i="3"/>
  <c r="X65" i="3" s="1"/>
  <c r="N65" i="3"/>
  <c r="M65" i="3"/>
  <c r="L65" i="3"/>
  <c r="T64" i="3"/>
  <c r="S64" i="3"/>
  <c r="R64" i="3"/>
  <c r="Q64" i="3"/>
  <c r="P64" i="3"/>
  <c r="O64" i="3"/>
  <c r="N64" i="3"/>
  <c r="W64" i="3" s="1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W62" i="3" s="1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W60" i="3" s="1"/>
  <c r="M60" i="3"/>
  <c r="V60" i="3" s="1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V58" i="3" s="1"/>
  <c r="Q58" i="3"/>
  <c r="P58" i="3"/>
  <c r="O58" i="3"/>
  <c r="X58" i="3" s="1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V57" i="3" s="1"/>
  <c r="L57" i="3"/>
  <c r="T56" i="3"/>
  <c r="S56" i="3"/>
  <c r="R56" i="3"/>
  <c r="Q56" i="3"/>
  <c r="P56" i="3"/>
  <c r="O56" i="3"/>
  <c r="N56" i="3"/>
  <c r="M56" i="3"/>
  <c r="L56" i="3"/>
  <c r="U56" i="3" s="1"/>
  <c r="V55" i="3"/>
  <c r="T55" i="3"/>
  <c r="S55" i="3"/>
  <c r="W55" i="3" s="1"/>
  <c r="R55" i="3"/>
  <c r="Q55" i="3"/>
  <c r="P55" i="3"/>
  <c r="O55" i="3"/>
  <c r="N55" i="3"/>
  <c r="M55" i="3"/>
  <c r="L55" i="3"/>
  <c r="U55" i="3" s="1"/>
  <c r="T54" i="3"/>
  <c r="S54" i="3"/>
  <c r="W54" i="3" s="1"/>
  <c r="R54" i="3"/>
  <c r="V54" i="3" s="1"/>
  <c r="Q54" i="3"/>
  <c r="U54" i="3" s="1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M53" i="3"/>
  <c r="L53" i="3"/>
  <c r="T52" i="3"/>
  <c r="S52" i="3"/>
  <c r="R52" i="3"/>
  <c r="Q52" i="3"/>
  <c r="U52" i="3" s="1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X50" i="3" s="1"/>
  <c r="N50" i="3"/>
  <c r="W50" i="3" s="1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W47" i="3" s="1"/>
  <c r="R47" i="3"/>
  <c r="Q47" i="3"/>
  <c r="P47" i="3"/>
  <c r="O47" i="3"/>
  <c r="X47" i="3" s="1"/>
  <c r="N47" i="3"/>
  <c r="M47" i="3"/>
  <c r="L47" i="3"/>
  <c r="T46" i="3"/>
  <c r="S46" i="3"/>
  <c r="R46" i="3"/>
  <c r="Q46" i="3"/>
  <c r="P46" i="3"/>
  <c r="O46" i="3"/>
  <c r="X46" i="3" s="1"/>
  <c r="N46" i="3"/>
  <c r="W46" i="3" s="1"/>
  <c r="M46" i="3"/>
  <c r="V46" i="3" s="1"/>
  <c r="L46" i="3"/>
  <c r="U46" i="3" s="1"/>
  <c r="T45" i="3"/>
  <c r="S45" i="3"/>
  <c r="R45" i="3"/>
  <c r="Q45" i="3"/>
  <c r="P45" i="3"/>
  <c r="O45" i="3"/>
  <c r="N45" i="3"/>
  <c r="M45" i="3"/>
  <c r="V45" i="3" s="1"/>
  <c r="L45" i="3"/>
  <c r="U45" i="3" s="1"/>
  <c r="V44" i="3"/>
  <c r="U44" i="3"/>
  <c r="T44" i="3"/>
  <c r="S44" i="3"/>
  <c r="W44" i="3" s="1"/>
  <c r="R44" i="3"/>
  <c r="Q44" i="3"/>
  <c r="P44" i="3"/>
  <c r="O44" i="3"/>
  <c r="N44" i="3"/>
  <c r="M44" i="3"/>
  <c r="L44" i="3"/>
  <c r="T43" i="3"/>
  <c r="X43" i="3" s="1"/>
  <c r="S43" i="3"/>
  <c r="W43" i="3" s="1"/>
  <c r="R43" i="3"/>
  <c r="V43" i="3" s="1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R41" i="3"/>
  <c r="Q41" i="3"/>
  <c r="P41" i="3"/>
  <c r="O41" i="3"/>
  <c r="N41" i="3"/>
  <c r="M41" i="3"/>
  <c r="L41" i="3"/>
  <c r="T40" i="3"/>
  <c r="S40" i="3"/>
  <c r="R40" i="3"/>
  <c r="Q40" i="3"/>
  <c r="P40" i="3"/>
  <c r="O40" i="3"/>
  <c r="N40" i="3"/>
  <c r="M40" i="3"/>
  <c r="L40" i="3"/>
  <c r="V39" i="3"/>
  <c r="T39" i="3"/>
  <c r="S39" i="3"/>
  <c r="R39" i="3"/>
  <c r="Q39" i="3"/>
  <c r="P39" i="3"/>
  <c r="O39" i="3"/>
  <c r="N39" i="3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N36" i="3"/>
  <c r="M36" i="3"/>
  <c r="L36" i="3"/>
  <c r="T35" i="3"/>
  <c r="S35" i="3"/>
  <c r="R35" i="3"/>
  <c r="Q35" i="3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V32" i="3" s="1"/>
  <c r="L32" i="3"/>
  <c r="T31" i="3"/>
  <c r="S31" i="3"/>
  <c r="R31" i="3"/>
  <c r="Q31" i="3"/>
  <c r="P31" i="3"/>
  <c r="O31" i="3"/>
  <c r="N31" i="3"/>
  <c r="M31" i="3"/>
  <c r="L31" i="3"/>
  <c r="T30" i="3"/>
  <c r="S30" i="3"/>
  <c r="W30" i="3" s="1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X29" i="3" s="1"/>
  <c r="N29" i="3"/>
  <c r="M29" i="3"/>
  <c r="L29" i="3"/>
  <c r="X28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V26" i="3" s="1"/>
  <c r="L26" i="3"/>
  <c r="T25" i="3"/>
  <c r="S25" i="3"/>
  <c r="R25" i="3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X41" i="3" l="1"/>
  <c r="W41" i="3"/>
  <c r="V40" i="3"/>
  <c r="W40" i="3"/>
  <c r="U40" i="3"/>
  <c r="W39" i="3"/>
  <c r="X39" i="3"/>
  <c r="V36" i="3"/>
  <c r="X36" i="3"/>
  <c r="W36" i="3"/>
  <c r="U36" i="3"/>
  <c r="W35" i="3"/>
  <c r="W33" i="3"/>
  <c r="V33" i="3"/>
  <c r="X33" i="3"/>
  <c r="X35" i="3"/>
  <c r="W34" i="3"/>
  <c r="V30" i="3"/>
  <c r="U31" i="3"/>
  <c r="X31" i="3"/>
  <c r="U29" i="3"/>
  <c r="U30" i="3"/>
  <c r="X30" i="3"/>
  <c r="W28" i="3"/>
  <c r="V27" i="3"/>
  <c r="U27" i="3"/>
  <c r="X27" i="3"/>
  <c r="W27" i="3"/>
  <c r="W26" i="3"/>
  <c r="V25" i="3"/>
  <c r="U26" i="3"/>
  <c r="U25" i="3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3" i="2"/>
  <c r="FZ4" i="2"/>
  <c r="FZ5" i="2"/>
  <c r="FZ6" i="2"/>
  <c r="FZ7" i="2"/>
  <c r="FZ14" i="2"/>
  <c r="FZ15" i="2"/>
  <c r="FZ3" i="2"/>
  <c r="FY4" i="2"/>
  <c r="FY5" i="2"/>
  <c r="FY6" i="2"/>
  <c r="FY7" i="2"/>
  <c r="FY14" i="2"/>
  <c r="FY15" i="2"/>
  <c r="FY3" i="2"/>
  <c r="FX4" i="2"/>
  <c r="FX5" i="2"/>
  <c r="FX6" i="2"/>
  <c r="FX7" i="2"/>
  <c r="FX14" i="2"/>
  <c r="FX15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<sst xmlns="http://schemas.openxmlformats.org/spreadsheetml/2006/main" count="601" uniqueCount="265">
  <si>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</si>
  <si>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</si>
  <si>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</si>
  <si>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</si>
  <si>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</si>
  <si>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</si>
  <si>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</si>
  <si>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</si>
  <si>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</si>
  <si>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</si>
  <si>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</si>
  <si>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</si>
  <si>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</si>
  <si>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</si>
  <si>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</si>
  <si>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</si>
  <si>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</si>
  <si>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</si>
  <si>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</si>
  <si>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</si>
  <si>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</si>
  <si>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</si>
  <si>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</si>
  <si>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</si>
  <si>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</si>
  <si>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</si>
  <si>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</si>
  <si>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</si>
  <si>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</si>
  <si>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</si>
  <si>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</si>
  <si>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</si>
  <si>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</si>
  <si>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</si>
  <si>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</si>
  <si>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</si>
  <si>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</si>
  <si>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</si>
  <si>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</si>
  <si>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</si>
  <si>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</si>
  <si>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</si>
  <si>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</si>
  <si>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</si>
  <si>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</si>
  <si>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</si>
  <si>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</si>
  <si>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</si>
  <si>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</si>
  <si>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</si>
  <si>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</si>
  <si>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</si>
  <si>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</si>
  <si>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</si>
  <si>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</si>
  <si>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</si>
  <si>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</si>
  <si>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</si>
  <si>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</si>
  <si>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</si>
  <si>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</si>
  <si>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</si>
  <si>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</si>
  <si>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</si>
  <si>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</si>
  <si>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</si>
  <si>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</si>
  <si>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</si>
  <si>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</si>
  <si>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</si>
  <si>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</si>
  <si>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</si>
  <si>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</si>
  <si>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</si>
  <si>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</si>
  <si>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</si>
  <si>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</si>
  <si>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</si>
  <si>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</si>
  <si>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</si>
  <si>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</si>
  <si>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</si>
  <si>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</si>
  <si>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</si>
  <si>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</si>
  <si>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</si>
  <si>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</si>
  <si>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</si>
  <si>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</si>
  <si>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</si>
  <si>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</si>
  <si>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</si>
  <si>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</si>
  <si>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</si>
  <si>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</si>
  <si>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</si>
  <si>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</si>
  <si>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</si>
  <si>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</si>
  <si>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</si>
  <si>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</si>
  <si>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</si>
  <si>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</si>
  <si>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</si>
  <si>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</si>
  <si>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</si>
  <si>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</si>
  <si>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</si>
  <si>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</si>
  <si>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</si>
  <si>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</si>
  <si>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</si>
  <si>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</si>
  <si>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</si>
  <si>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</si>
  <si>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</si>
  <si>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</si>
  <si>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</si>
  <si>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</si>
  <si>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</si>
  <si>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</si>
  <si>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</si>
  <si>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</si>
  <si>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</si>
  <si>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</si>
  <si>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</si>
  <si>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</si>
  <si>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</si>
  <si>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</si>
  <si>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</si>
  <si>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</si>
  <si>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</si>
  <si>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</si>
  <si>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</si>
  <si>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</si>
  <si>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</si>
  <si>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</si>
  <si>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</si>
  <si>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</si>
  <si>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</si>
  <si>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</si>
  <si>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</si>
  <si>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</si>
  <si>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</si>
  <si>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</si>
  <si>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</si>
  <si>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</si>
  <si>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</si>
  <si>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</si>
  <si>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</si>
  <si>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</si>
  <si>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</si>
  <si>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</si>
  <si>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</si>
  <si>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</si>
  <si>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</si>
  <si>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</si>
  <si>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</si>
  <si>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</si>
  <si>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</si>
  <si>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</si>
  <si>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</si>
  <si>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</si>
  <si>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</si>
  <si>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</si>
  <si>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</si>
  <si>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</si>
  <si>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</si>
  <si>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</si>
  <si>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</si>
  <si>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</si>
  <si>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</si>
  <si>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</si>
  <si>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</si>
  <si>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</si>
  <si>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</si>
  <si>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</si>
  <si>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</si>
  <si>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</si>
  <si>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</si>
  <si>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</si>
  <si>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</si>
  <si>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</si>
  <si>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</si>
  <si>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</si>
  <si>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</si>
  <si>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</si>
  <si>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</si>
  <si>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</si>
  <si>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</si>
  <si>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</si>
  <si>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</si>
  <si>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</si>
  <si>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</si>
  <si>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</si>
  <si>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</si>
  <si>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</si>
  <si>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</si>
  <si>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</si>
  <si>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</si>
  <si>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</si>
  <si>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</si>
  <si>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</si>
  <si>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</si>
  <si>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</si>
  <si>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</si>
  <si>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</si>
  <si>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</si>
  <si>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</si>
  <si>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</si>
  <si>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</si>
  <si>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</si>
  <si>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</si>
  <si>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</si>
  <si>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</si>
  <si>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</si>
  <si>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</si>
  <si>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</si>
  <si>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</si>
  <si>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</si>
  <si>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</si>
  <si>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</si>
  <si>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</si>
  <si>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</si>
  <si>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</si>
  <si>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</si>
  <si>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</si>
  <si>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</si>
  <si>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</si>
  <si>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</si>
  <si>
    <t>9:46</t>
  </si>
  <si>
    <t>2026/07/11 00.00</t>
  </si>
  <si>
    <t xml:space="preserve">Muhammad Hasnain </t>
  </si>
  <si>
    <t>4:25</t>
  </si>
  <si>
    <t xml:space="preserve">Om prakash </t>
  </si>
  <si>
    <t>5:30</t>
  </si>
  <si>
    <t>2026/07/12 00.00</t>
  </si>
  <si>
    <t>-</t>
  </si>
  <si>
    <t>2026/07/13 00.00</t>
  </si>
  <si>
    <t>2026/07/14 00.00</t>
  </si>
  <si>
    <t>2026/07/15 00.00</t>
  </si>
  <si>
    <t>10:00</t>
  </si>
  <si>
    <t>10:35</t>
  </si>
  <si>
    <t>2026/07/16 00.00</t>
  </si>
  <si>
    <t>2026/07/17 00.00</t>
  </si>
  <si>
    <t>10:34</t>
  </si>
  <si>
    <t>10:11</t>
  </si>
  <si>
    <t>4:45</t>
  </si>
  <si>
    <t>10:55</t>
  </si>
  <si>
    <t>2026/07/18 00.00</t>
  </si>
  <si>
    <t>2026/07/19 00.00</t>
  </si>
  <si>
    <t>2026/07/20 00.00</t>
  </si>
  <si>
    <t>2026/07/21 00.00</t>
  </si>
  <si>
    <t>10:44</t>
  </si>
  <si>
    <t>10:45</t>
  </si>
  <si>
    <t>10:49</t>
  </si>
  <si>
    <t>10:59</t>
  </si>
  <si>
    <t>4:55</t>
  </si>
  <si>
    <t>11:42</t>
  </si>
  <si>
    <t>2026/07/22 00.00</t>
  </si>
  <si>
    <t>2026/07/23 00.00</t>
  </si>
  <si>
    <t>2026/07/24 00.00</t>
  </si>
  <si>
    <t>2026/07/25 00.00</t>
  </si>
  <si>
    <t>2026/07/26 00.00</t>
  </si>
  <si>
    <t>2026/07/27 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</si>
</sst>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8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1" totalsRowShown="0" headerRowDxfId="112" dataDxfId="111">
  <autoFilter ref="A2:DG51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51"/>
  <sheetViews>
    <sheetView tabSelected="1" workbookViewId="0">
      <pane xSplit="1" ySplit="2" topLeftCell="FL24" activePane="bottomRight" state="frozen"/>
      <selection pane="topRight" activeCell="B1" sqref="B1"/>
      <selection pane="bottomLeft" activeCell="A3" sqref="A3"/>
      <selection pane="bottomRight" activeCell="GB31" sqref="GB31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1" t="s">
        <v>141</v>
      </c>
      <c r="DK1" s="62"/>
      <c r="DL1" s="60" t="s">
        <v>131</v>
      </c>
      <c r="DM1" s="60"/>
      <c r="DN1" s="60"/>
      <c r="DO1" s="60"/>
      <c r="DP1" s="60"/>
      <c r="DQ1" s="15" t="s">
        <v>177</v>
      </c>
      <c r="DR1" s="63" t="s">
        <v>116</v>
      </c>
      <c r="DS1" s="63"/>
      <c r="DT1" s="63"/>
      <c r="DU1" s="63"/>
      <c r="DV1" s="64"/>
      <c r="DW1" s="14" t="s">
        <v>114</v>
      </c>
      <c r="DX1" s="60" t="s">
        <v>127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124</v>
      </c>
      <c r="EL1" s="60"/>
      <c r="EM1" s="61" t="s">
        <v>122</v>
      </c>
      <c r="EN1" s="62"/>
      <c r="EO1" s="62"/>
      <c r="EP1" s="62"/>
      <c r="EQ1" s="62"/>
      <c r="ER1" s="60" t="s">
        <v>128</v>
      </c>
      <c r="ES1" s="60"/>
      <c r="ET1" s="15" t="s">
        <v>117</v>
      </c>
      <c r="EU1" s="60" t="s">
        <v>142</v>
      </c>
      <c r="EV1" s="60"/>
      <c r="EW1" s="60"/>
      <c r="EX1" s="60"/>
      <c r="EY1" s="65" t="s">
        <v>138</v>
      </c>
      <c r="EZ1" s="66"/>
      <c r="FA1" s="60" t="s">
        <v>130</v>
      </c>
      <c r="FB1" s="60"/>
      <c r="FC1" s="60"/>
      <c r="FD1" s="60"/>
      <c r="FE1" s="14" t="s">
        <v>140</v>
      </c>
      <c r="FF1" s="60" t="s">
        <v>118</v>
      </c>
      <c r="FG1" s="60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1" t="s">
        <v>132</v>
      </c>
      <c r="FQ1" s="62"/>
      <c r="FR1" s="67"/>
      <c r="FS1" s="61" t="s">
        <v>133</v>
      </c>
      <c r="FT1" s="62"/>
      <c r="FU1" s="67"/>
      <c r="FV1" s="65" t="s">
        <v>134</v>
      </c>
      <c r="FW1" s="66"/>
      <c r="FX1" s="65" t="s">
        <v>143</v>
      </c>
      <c r="FY1" s="66"/>
      <c r="FZ1" s="60" t="s">
        <v>144</v>
      </c>
      <c r="GA1" s="60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25479.999999999563</v>
      </c>
      <c r="DJ15">
        <f>(DA16-Table2[[#This Row],[PNG Meter (Outside)]])*2.936</f>
        <v>12.037600000006409</v>
      </c>
      <c r="DK15">
        <f>(DB16-Table2[[#This Row],[PNG Meter (Inside)]])*2.936</f>
        <v>334.00816800001843</v>
      </c>
      <c r="DL15">
        <f>(BH16-Table2[[#This Row],[3F Dough cooler - 2 ]])*1000</f>
        <v>269.00000000000546</v>
      </c>
      <c r="DM15">
        <f>(BI16-Table2[[#This Row],[3F Dough Cooler- 1]])*1000</f>
        <v>480.99999999999454</v>
      </c>
      <c r="DN15">
        <f>(BJ16-Table2[[#This Row],[4F Dough Production cooling Unit]])*1000</f>
        <v>42.000000000001592</v>
      </c>
      <c r="DO15">
        <f>(BQ16-Table2[[#This Row],[3F2 - PDB 3 - Dough Production Area]])*1000</f>
        <v>194.00000000001683</v>
      </c>
      <c r="DP15">
        <f>(BR16-Table2[[#This Row],[3F3 - PDB 4 - Dough Area]])*1000</f>
        <v>112.99999999999955</v>
      </c>
      <c r="DQ15">
        <f>AC16-Table2[[#This Row],[16F1 Tray washer Panel for Light]]</f>
        <v>742.23999999975786</v>
      </c>
      <c r="DR15">
        <f>CQ16-Table2[[#This Row],[2F1 Tray Washer - 1]]</f>
        <v>1142.7200000002049</v>
      </c>
      <c r="DS15">
        <f>CS16-Table2[[#This Row],[2F5 Destacker]]</f>
        <v>348.51199999998789</v>
      </c>
      <c r="DT15">
        <f>CU16-Table2[[#This Row],[5F1 Metering (TW-2)]]</f>
        <v>223.98200000001816</v>
      </c>
      <c r="DU15">
        <f>CV16-Table2[[#This Row],[6F1 Pre soaker Tray washer]]</f>
        <v>3.2000000028347131E-3</v>
      </c>
      <c r="DV15">
        <f>CZ16-Table2[[#This Row],[6F5 Vent tray Storage]]</f>
        <v>49.152000000001863</v>
      </c>
      <c r="DW15">
        <f>I16-Table2[[#This Row],[Popeyes Meter ]]</f>
        <v>57.130000000000109</v>
      </c>
      <c r="DX15">
        <f>AZ16-Table2[[#This Row],[2F WH Chiller, Segregation Area]]</f>
        <v>0</v>
      </c>
      <c r="DY15">
        <f>BA16-Table2[[#This Row],[3F1 AC Unit WH dock cooling - 2 Nos]]</f>
        <v>20.639999999999418</v>
      </c>
      <c r="DZ15">
        <f>BB16-Table2[[#This Row],[3F2 AC Unit WH dock cooling - 3 Nos]]</f>
        <v>4.4000000000004036E-2</v>
      </c>
      <c r="EA15">
        <f>(BK16-Table2[[#This Row],[5F WH Perishable]])*1000</f>
        <v>315.00000000005457</v>
      </c>
      <c r="EB15">
        <f>BN16-Table2[[#This Row],[2F3 - PDB 9 - WH Dock Leveler Door ]]</f>
        <v>8.1599999999525608E-2</v>
      </c>
      <c r="EC15">
        <f>BP16-Table2[[#This Row],[3F1 - PDB 5 - WH HSD]]</f>
        <v>157.69599999999627</v>
      </c>
      <c r="ED15">
        <f>BX16-Table2[[#This Row],[8F1 WH Dock AHU - Ventilation]]</f>
        <v>2317.0559999999823</v>
      </c>
      <c r="EE15">
        <f>BZ16-Table2[[#This Row],[8F3 ACPDB - 4 WH Dock air curtain]]</f>
        <v>8.2880000000004657</v>
      </c>
      <c r="EF15">
        <f>CA16-Table2[[#This Row],[8F4 WH Light]]</f>
        <v>2.7488999999998214</v>
      </c>
      <c r="EG15">
        <f>CC16-Table2[[#This Row],[9F1 - PDB 10 - WH Dock door &amp; Office]]</f>
        <v>130.76800000001094</v>
      </c>
      <c r="EH15">
        <f>CD16-Table2[[#This Row],[9F2 - PDB 11 - WH flycatchers]]</f>
        <v>163.96799999999348</v>
      </c>
      <c r="EI15">
        <f>CE16-Table2[[#This Row],[9F3 - PDB 12 - Other items]]</f>
        <v>0</v>
      </c>
      <c r="EJ15">
        <f>CR16-Table2[[#This Row],[2F3 - PDB 1 - Dock 1 to 4 ]]</f>
        <v>61.720000000001164</v>
      </c>
      <c r="EK15">
        <f>BM16-Table2[[#This Row],[2F2 - PDB 3 - WH Truck &amp; Battery Charging]]</f>
        <v>464.55200000002515</v>
      </c>
      <c r="EL15">
        <f>(CK16-Table2[[#This Row],[PDB - 11 Truck Charging]])*1000</f>
        <v>51.000000000001933</v>
      </c>
      <c r="EM15">
        <f>P16-Table2[[#This Row],[5F3 Admin Area]]</f>
        <v>367.8080000000773</v>
      </c>
      <c r="EN15">
        <f>AH16-Table2[[#This Row],[2F5 Main Gate-1 Piller -1]]</f>
        <v>128.3920000000071</v>
      </c>
      <c r="EO15">
        <f>CW16-Table2[[#This Row],[6F2 Ground Floor AC]]</f>
        <v>36.691199999993842</v>
      </c>
      <c r="EP15">
        <f>CX16-Table2[[#This Row],[6F3 ACBD -1 (First floor AC)]]</f>
        <v>10.387200000004668</v>
      </c>
      <c r="EQ15">
        <f>CY16-Table2[[#This Row],[6F4 ACBD - 2 (Second &amp; Third floor AC)]]</f>
        <v>89.952000000019325</v>
      </c>
      <c r="ER15">
        <f>(BC16-Table2[[#This Row],[4F Old BMC cooling Unit]])</f>
        <v>0.39199999999254942</v>
      </c>
      <c r="ES15">
        <f>BO16-Table2[[#This Row],[2F4 - Old BMC]]</f>
        <v>4.8384000000005472</v>
      </c>
      <c r="ET15">
        <f>Y16-Table2[[#This Row],[14F2 New CK]]</f>
        <v>1381.6000000000931</v>
      </c>
      <c r="EU15">
        <f>(CL16-Table2[[#This Row],[OLD Ck Panel-1]])*1000</f>
        <v>669.99999999995907</v>
      </c>
      <c r="EV15">
        <f>CM16-Table2[[#This Row],[2F4 Old CK Blast (Blue star)]]</f>
        <v>0</v>
      </c>
      <c r="EW15">
        <f>CN16-Table2[[#This Row],[3F6 Old CK Blast (Carrier)]]</f>
        <v>539</v>
      </c>
      <c r="EX15">
        <f>(CO16-Table2[[#This Row],[Old CK Panel -2]])*1000</f>
        <v>1249.0000000000236</v>
      </c>
      <c r="EY15">
        <f>N16-Table2[[#This Row],[4F1 Main UPS 1/C -1]]</f>
        <v>923.04000000003725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33.000000000001251</v>
      </c>
      <c r="FC15">
        <f>BW16-Table2[[#This Row],[7F3 CLC Power Panel]]</f>
        <v>293.95199999993201</v>
      </c>
      <c r="FD15">
        <f>(CI16-Table2[[#This Row],[PDB - 17 CLC Section ]])*1000</f>
        <v>78.000000000002956</v>
      </c>
      <c r="FE15">
        <f>(W16-Table2[[#This Row],[13F3 Water &amp; Lift Old CK]])*1000</f>
        <v>618.99999999991451</v>
      </c>
      <c r="FF15">
        <f>AA16-Table2[[#This Row],[15F2 New ETP Panel]]</f>
        <v>299.77600000007078</v>
      </c>
      <c r="FG15">
        <f>AL16-Table2[[#This Row],[3F4 Old ETP Panel]]</f>
        <v>64.992000000027474</v>
      </c>
      <c r="FH15">
        <f>AF16-Table2[[#This Row],[2F1 RO Plant]]</f>
        <v>588.03200000000652</v>
      </c>
      <c r="FI15">
        <f>AK16-Table2[[#This Row],[3F3 Fire Hydrant Panel]]</f>
        <v>10.688000000009197</v>
      </c>
      <c r="FJ15">
        <f>R16-Table2[[#This Row],[7F1 Freon System Panel]]</f>
        <v>5824</v>
      </c>
      <c r="FK15">
        <f>(AE16-Table2[[#This Row],[21F1 Refrigeration Ammonia]])*1000</f>
        <v>7119.1999999991822</v>
      </c>
      <c r="FL15">
        <f>(AG16-Table2[[#This Row],[2F3 Air Compressor]])*1000</f>
        <v>1035.0000000000819</v>
      </c>
      <c r="FM15">
        <f>(AX16-Table2[[#This Row],[Solar Reading Panel II]])*1000</f>
        <v>3345.9999999995489</v>
      </c>
      <c r="FN15">
        <f>AI16-Table2[[#This Row],[3F1 Maintenance Workshop]]</f>
        <v>3.6895999999997002</v>
      </c>
      <c r="FO15">
        <f>BD16-Table2[[#This Row],[4F B2B unit ]]</f>
        <v>46.048000000009779</v>
      </c>
      <c r="FP15">
        <f>BL16-Table2[[#This Row],[2F1 - PDB 6 - Bread, B2B section]]</f>
        <v>142.94400000000314</v>
      </c>
      <c r="FQ15">
        <f>(CG16-Table2[[#This Row],[9F5 - PDB 14 - Bread Lift]])</f>
        <v>9.4959999999846332</v>
      </c>
      <c r="FR15">
        <f>CJ16-Table2[[#This Row],[PDB - 16 Bread Section]]</f>
        <v>0.79999999999995453</v>
      </c>
      <c r="FS15">
        <f>BU16-Table2[[#This Row],[7F1 Donut Production area]]</f>
        <v>185.66399999998976</v>
      </c>
      <c r="FT15">
        <f>CB16-Table2[[#This Row],[8F5 Donut Ban Bary]]</f>
        <v>60.927999999999884</v>
      </c>
      <c r="FU15">
        <f>CF16-Table2[[#This Row],[9F4 - PDB 13 - Donut Sink Geyser area]]</f>
        <v>18.880000000004657</v>
      </c>
      <c r="FV15">
        <f>BV16-Table2[[#This Row],[7F2 Flour Silo]]</f>
        <v>531.68000000005122</v>
      </c>
      <c r="FW15">
        <f>BY16-Table2[[#This Row],[8F2 ACPDB - 3 SILO Ventilation]]</f>
        <v>48.176000000006752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24</v>
      </c>
      <c r="B16" s="2">
        <v>46214.366412037001</v>
      </c>
      <c r="C16" s="2">
        <v>46214.407500000001</v>
      </c>
      <c r="D16" s="1" t="s">
        <v>111</v>
      </c>
      <c r="E16" s="1"/>
      <c r="F16" s="1"/>
      <c r="G16" s="3">
        <v>46214</v>
      </c>
      <c r="H16" s="1" t="s">
        <v>186</v>
      </c>
      <c r="I16" s="6">
        <v>5662.9120000000003</v>
      </c>
      <c r="J16" s="6">
        <v>4248.8</v>
      </c>
      <c r="K16" s="6">
        <v>1765872</v>
      </c>
      <c r="L16" s="6">
        <v>430</v>
      </c>
      <c r="M16" s="6">
        <v>179.23</v>
      </c>
      <c r="N16" s="6">
        <v>1847092.96</v>
      </c>
      <c r="O16" s="6">
        <v>4557297.92</v>
      </c>
      <c r="P16" s="6">
        <v>636501.88800000004</v>
      </c>
      <c r="Q16" s="6">
        <v>8022284.7999999998</v>
      </c>
      <c r="R16" s="6">
        <v>5407173.7599999998</v>
      </c>
      <c r="S16" s="6">
        <v>7287534.7199999997</v>
      </c>
      <c r="T16" s="6">
        <v>42485794.450000003</v>
      </c>
      <c r="U16" s="6">
        <v>2073149.12</v>
      </c>
      <c r="V16" s="6">
        <v>5075280.6399999997</v>
      </c>
      <c r="W16" s="6">
        <v>1577.5969</v>
      </c>
      <c r="X16" s="6">
        <v>767335.87199999997</v>
      </c>
      <c r="Y16" s="6">
        <v>1062852.48</v>
      </c>
      <c r="Z16" s="6">
        <v>2777.8894</v>
      </c>
      <c r="AA16" s="6">
        <v>661792.25600000005</v>
      </c>
      <c r="AB16" s="6">
        <v>421022.592</v>
      </c>
      <c r="AC16" s="6">
        <v>2121728.48</v>
      </c>
      <c r="AD16" s="6">
        <v>3729735.3509999998</v>
      </c>
      <c r="AE16" s="6">
        <v>12644.2536</v>
      </c>
      <c r="AF16" s="6">
        <v>862077.88800000004</v>
      </c>
      <c r="AG16" s="6">
        <v>1373.2260000000001</v>
      </c>
      <c r="AH16" s="6">
        <v>130644.872</v>
      </c>
      <c r="AI16" s="6">
        <v>14504.224</v>
      </c>
      <c r="AJ16" s="6">
        <v>145284.864</v>
      </c>
      <c r="AK16" s="6">
        <v>104967.31200000001</v>
      </c>
      <c r="AL16" s="6">
        <v>328836</v>
      </c>
      <c r="AM16" s="6">
        <v>977.58199999999999</v>
      </c>
      <c r="AN16" s="6">
        <v>270.89999999999998</v>
      </c>
      <c r="AO16" s="6">
        <v>7.5</v>
      </c>
      <c r="AP16" s="6">
        <v>231905</v>
      </c>
      <c r="AQ16" s="6">
        <v>42305</v>
      </c>
      <c r="AR16" s="6">
        <v>41760</v>
      </c>
      <c r="AS16" s="6">
        <v>0</v>
      </c>
      <c r="AT16" s="6">
        <v>0</v>
      </c>
      <c r="AU16" s="6">
        <v>15075</v>
      </c>
      <c r="AV16" s="6">
        <v>6042</v>
      </c>
      <c r="AW16" s="6">
        <v>20.767872000000001</v>
      </c>
      <c r="AX16" s="6">
        <v>7178.3119999999999</v>
      </c>
      <c r="AY16" s="6">
        <v>675.77639999999997</v>
      </c>
      <c r="AZ16" s="6">
        <v>20.788</v>
      </c>
      <c r="BA16" s="6">
        <v>9932.0869999999995</v>
      </c>
      <c r="BB16" s="6">
        <v>43.716000000000001</v>
      </c>
      <c r="BC16" s="6">
        <v>113978.89599999999</v>
      </c>
      <c r="BD16" s="6">
        <v>274609.50400000002</v>
      </c>
      <c r="BE16" s="6">
        <v>3696.4391999999998</v>
      </c>
      <c r="BF16" s="6">
        <v>1712.0419999999999</v>
      </c>
      <c r="BG16" s="6">
        <v>74.308000000000007</v>
      </c>
      <c r="BH16" s="6">
        <v>356.29500000000002</v>
      </c>
      <c r="BI16" s="6">
        <v>904.28300000000002</v>
      </c>
      <c r="BJ16" s="6">
        <v>13.553000000000001</v>
      </c>
      <c r="BK16" s="6">
        <v>557.64400000000001</v>
      </c>
      <c r="BL16" s="6">
        <v>68586.092799999999</v>
      </c>
      <c r="BM16" s="6">
        <v>297814.91200000001</v>
      </c>
      <c r="BN16" s="6">
        <v>7139.3639999999996</v>
      </c>
      <c r="BO16" s="6">
        <v>53517.209600000002</v>
      </c>
      <c r="BP16" s="6">
        <v>311415.07199999999</v>
      </c>
      <c r="BQ16" s="6">
        <v>320.5</v>
      </c>
      <c r="BR16" s="6">
        <v>178.61799999999999</v>
      </c>
      <c r="BS16" s="6">
        <v>982965.91299999994</v>
      </c>
      <c r="BT16" s="6">
        <v>1400548.463</v>
      </c>
      <c r="BU16" s="6">
        <v>624219.19999999995</v>
      </c>
      <c r="BV16" s="6">
        <v>1011573.52</v>
      </c>
      <c r="BW16" s="6">
        <v>563276.48</v>
      </c>
      <c r="BX16" s="6">
        <v>944797.18400000001</v>
      </c>
      <c r="BY16" s="6">
        <v>156590.448</v>
      </c>
      <c r="BZ16" s="6">
        <v>114228.24</v>
      </c>
      <c r="CA16" s="6">
        <v>1182.4007999999999</v>
      </c>
      <c r="CB16" s="6">
        <v>107464.36</v>
      </c>
      <c r="CC16" s="6">
        <v>147786.736</v>
      </c>
      <c r="CD16" s="6">
        <v>442244.73599999998</v>
      </c>
      <c r="CE16" s="6">
        <v>49125.260799999996</v>
      </c>
      <c r="CF16" s="6">
        <v>155333.45600000001</v>
      </c>
      <c r="CG16" s="6">
        <v>360770.11040000001</v>
      </c>
      <c r="CH16" s="6">
        <v>2385.8710000000001</v>
      </c>
      <c r="CI16" s="6">
        <v>210.97300000000001</v>
      </c>
      <c r="CJ16" s="6">
        <v>1168.2</v>
      </c>
      <c r="CK16" s="6">
        <v>76.963999999999999</v>
      </c>
      <c r="CL16" s="6">
        <v>721.202</v>
      </c>
      <c r="CM16" s="6">
        <v>551.4</v>
      </c>
      <c r="CN16" s="6">
        <v>35331.4</v>
      </c>
      <c r="CO16" s="6">
        <v>1630.65</v>
      </c>
      <c r="CP16" s="6">
        <v>291035.18400000001</v>
      </c>
      <c r="CQ16" s="6">
        <v>3657913.6</v>
      </c>
      <c r="CR16" s="6">
        <v>129573.88800000001</v>
      </c>
      <c r="CS16" s="6">
        <v>507384.76799999998</v>
      </c>
      <c r="CT16" s="6">
        <v>2858364.2239999999</v>
      </c>
      <c r="CU16" s="6">
        <v>292620.033</v>
      </c>
      <c r="CV16" s="6">
        <v>30124.051200000002</v>
      </c>
      <c r="CW16" s="6">
        <v>62292.825599999996</v>
      </c>
      <c r="CX16" s="6">
        <v>33237.987200000003</v>
      </c>
      <c r="CY16" s="6">
        <v>164939.74400000001</v>
      </c>
      <c r="CZ16" s="6">
        <v>216333.37599999999</v>
      </c>
      <c r="DA16" s="6">
        <v>17769.11</v>
      </c>
      <c r="DB16" s="6">
        <v>147820.101</v>
      </c>
      <c r="DC16" s="6">
        <v>2899.29</v>
      </c>
      <c r="DD16" s="6">
        <v>2899.2</v>
      </c>
      <c r="DE16" s="6">
        <v>2922.67</v>
      </c>
      <c r="DF16" s="6">
        <v>0.998</v>
      </c>
      <c r="DG16" s="1" t="s">
        <v>230</v>
      </c>
      <c r="DH16" s="4">
        <f>Table2[[#This Row],[Date]]</f>
        <v>46214</v>
      </c>
      <c r="DI16">
        <f>(DD17-Table2[[#This Row],[MWH Total]])*4000</f>
        <v>26560.00000000131</v>
      </c>
      <c r="DJ16">
        <f>(DA17-Table2[[#This Row],[PNG Meter (Outside)]])*2.936</f>
        <v>14.768079999996582</v>
      </c>
      <c r="DK16">
        <f>(DB17-Table2[[#This Row],[PNG Meter (Inside)]])*2.936</f>
        <v>170.71078400000067</v>
      </c>
      <c r="DL16">
        <f>(BH17-Table2[[#This Row],[3F Dough cooler - 2 ]])*1000</f>
        <v>180.00000000000682</v>
      </c>
      <c r="DM16">
        <f>(BI17-Table2[[#This Row],[3F Dough Cooler- 1]])*1000</f>
        <v>393.0000000000291</v>
      </c>
      <c r="DN16">
        <f>(BJ17-Table2[[#This Row],[4F Dough Production cooling Unit]])*1000</f>
        <v>33.99999999999892</v>
      </c>
      <c r="DO16">
        <f>(BQ17-Table2[[#This Row],[3F2 - PDB 3 - Dough Production Area]])*1000</f>
        <v>163.00000000001091</v>
      </c>
      <c r="DP16">
        <f>(BR17-Table2[[#This Row],[3F3 - PDB 4 - Dough Area]])*1000</f>
        <v>91.000000000008185</v>
      </c>
      <c r="DQ16">
        <f>AC17-Table2[[#This Row],[16F1 Tray washer Panel for Light]]</f>
        <v>647.52000000001863</v>
      </c>
      <c r="DR16">
        <f>CQ17-Table2[[#This Row],[2F1 Tray Washer - 1]]</f>
        <v>1046.7199999997392</v>
      </c>
      <c r="DS16">
        <f>CS17-Table2[[#This Row],[2F5 Destacker]]</f>
        <v>269.2160000000149</v>
      </c>
      <c r="DT16">
        <f>CU17-Table2[[#This Row],[5F1 Metering (TW-2)]]</f>
        <v>249.36599999997998</v>
      </c>
      <c r="DU16">
        <f>CV17-Table2[[#This Row],[6F1 Pre soaker Tray washer]]</f>
        <v>0</v>
      </c>
      <c r="DV16">
        <f>CZ17-Table2[[#This Row],[6F5 Vent tray Storage]]</f>
        <v>72.01600000000326</v>
      </c>
      <c r="DW16">
        <f>I17-Table2[[#This Row],[Popeyes Meter ]]</f>
        <v>6.5299999999997453</v>
      </c>
      <c r="DX16">
        <f>AZ17-Table2[[#This Row],[2F WH Chiller, Segregation Area]]</f>
        <v>0</v>
      </c>
      <c r="DY16">
        <f>BA17-Table2[[#This Row],[3F1 AC Unit WH dock cooling - 2 Nos]]</f>
        <v>12.260000000000218</v>
      </c>
      <c r="DZ16">
        <f>BB17-Table2[[#This Row],[3F2 AC Unit WH dock cooling - 3 Nos]]</f>
        <v>2.8999999999996362E-2</v>
      </c>
      <c r="EA16">
        <f>(BK17-Table2[[#This Row],[5F WH Perishable]])*1000</f>
        <v>258.0000000000382</v>
      </c>
      <c r="EB16">
        <f>BN17-Table2[[#This Row],[2F3 - PDB 9 - WH Dock Leveler Door ]]</f>
        <v>0.10560000000077707</v>
      </c>
      <c r="EC16">
        <f>BP17-Table2[[#This Row],[3F1 - PDB 5 - WH HSD]]</f>
        <v>127.77600000001257</v>
      </c>
      <c r="ED16">
        <f>BX17-Table2[[#This Row],[8F1 WH Dock AHU - Ventilation]]</f>
        <v>1886.2079999999842</v>
      </c>
      <c r="EE16">
        <f>BZ17-Table2[[#This Row],[8F3 ACPDB - 4 WH Dock air curtain]]</f>
        <v>5.3359999999956926</v>
      </c>
      <c r="EF16">
        <f>CA17-Table2[[#This Row],[8F4 WH Light]]</f>
        <v>2.2535000000000309</v>
      </c>
      <c r="EG16">
        <f>CC17-Table2[[#This Row],[9F1 - PDB 10 - WH Dock door &amp; Office]]</f>
        <v>100.58999999999651</v>
      </c>
      <c r="EH16">
        <f>CD17-Table2[[#This Row],[9F2 - PDB 11 - WH flycatchers]]</f>
        <v>135.11200000002282</v>
      </c>
      <c r="EI16">
        <f>CE17-Table2[[#This Row],[9F3 - PDB 12 - Other items]]</f>
        <v>0</v>
      </c>
      <c r="EJ16">
        <f>CR17-Table2[[#This Row],[2F3 - PDB 1 - Dock 1 to 4 ]]</f>
        <v>49.087999999988824</v>
      </c>
      <c r="EK16">
        <f>BM17-Table2[[#This Row],[2F2 - PDB 3 - WH Truck &amp; Battery Charging]]</f>
        <v>552.73599999997532</v>
      </c>
      <c r="EL16">
        <f>(CK17-Table2[[#This Row],[PDB - 11 Truck Charging]])*1000</f>
        <v>42.000000000001592</v>
      </c>
      <c r="EM16">
        <f>P17-Table2[[#This Row],[5F3 Admin Area]]</f>
        <v>321.15200000000186</v>
      </c>
      <c r="EN16">
        <f>AH17-Table2[[#This Row],[2F5 Main Gate-1 Piller -1]]</f>
        <v>123.46399999999267</v>
      </c>
      <c r="EO16">
        <f>CW17-Table2[[#This Row],[6F2 Ground Floor AC]]</f>
        <v>29.184000000001106</v>
      </c>
      <c r="EP16">
        <f>CX17-Table2[[#This Row],[6F3 ACBD -1 (First floor AC)]]</f>
        <v>8.4543999999950756</v>
      </c>
      <c r="EQ16">
        <f>CY17-Table2[[#This Row],[6F4 ACBD - 2 (Second &amp; Third floor AC)]]</f>
        <v>107.77599999998347</v>
      </c>
      <c r="ER16">
        <f>(BC17-Table2[[#This Row],[4F Old BMC cooling Unit]])</f>
        <v>1.0960000000050059</v>
      </c>
      <c r="ES16">
        <f>BO17-Table2[[#This Row],[2F4 - Old BMC]]</f>
        <v>3.4943999999959487</v>
      </c>
      <c r="ET16">
        <f>Y17-Table2[[#This Row],[14F2 New CK]]</f>
        <v>976.64000000013039</v>
      </c>
      <c r="EU16">
        <f>(CL17-Table2[[#This Row],[OLD Ck Panel-1]])*1000</f>
        <v>525.99999999995362</v>
      </c>
      <c r="EV16">
        <f>CM17-Table2[[#This Row],[2F4 Old CK Blast (Blue star)]]</f>
        <v>0</v>
      </c>
      <c r="EW16">
        <f>CN17-Table2[[#This Row],[3F6 Old CK Blast (Carrier)]]</f>
        <v>418</v>
      </c>
      <c r="EX16">
        <f>(CO17-Table2[[#This Row],[Old CK Panel -2]])*1000</f>
        <v>1015.999999999849</v>
      </c>
      <c r="EY16">
        <f>N17-Table2[[#This Row],[4F1 Main UPS 1/C -1]]</f>
        <v>759.04000000003725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36.999999999991928</v>
      </c>
      <c r="FC16">
        <f>BW17-Table2[[#This Row],[7F3 CLC Power Panel]]</f>
        <v>225.53599999996368</v>
      </c>
      <c r="FD16">
        <f>(CI17-Table2[[#This Row],[PDB - 17 CLC Section ]])*1000</f>
        <v>237.99999999999955</v>
      </c>
      <c r="FE16">
        <f>(W17-Table2[[#This Row],[13F3 Water &amp; Lift Old CK]])*1000</f>
        <v>416.79999999996653</v>
      </c>
      <c r="FF16">
        <f>AA17-Table2[[#This Row],[15F2 New ETP Panel]]</f>
        <v>227.45600000000559</v>
      </c>
      <c r="FG16">
        <f>AL17-Table2[[#This Row],[3F4 Old ETP Panel]]</f>
        <v>64.992000000027474</v>
      </c>
      <c r="FH16">
        <f>AF17-Table2[[#This Row],[2F1 RO Plant]]</f>
        <v>527.35999999998603</v>
      </c>
      <c r="FI16">
        <f>AK17-Table2[[#This Row],[3F3 Fire Hydrant Panel]]</f>
        <v>9.1999999999970896</v>
      </c>
      <c r="FJ16">
        <f>R17-Table2[[#This Row],[7F1 Freon System Panel]]</f>
        <v>4765.6699999999255</v>
      </c>
      <c r="FK16">
        <f>(AE17-Table2[[#This Row],[21F1 Refrigeration Ammonia]])*1000</f>
        <v>6476.0000000005675</v>
      </c>
      <c r="FL16">
        <f>(AG17-Table2[[#This Row],[2F3 Air Compressor]])*1000</f>
        <v>882.99999999981083</v>
      </c>
      <c r="FM16">
        <f>(AX17-Table2[[#This Row],[Solar Reading Panel II]])*1000</f>
        <v>3386.000000000422</v>
      </c>
      <c r="FN16">
        <f>AI17-Table2[[#This Row],[3F1 Maintenance Workshop]]</f>
        <v>3.0480000000006839</v>
      </c>
      <c r="FO16">
        <f>BD17-Table2[[#This Row],[4F B2B unit ]]</f>
        <v>45.823999999964144</v>
      </c>
      <c r="FP16">
        <f>BL17-Table2[[#This Row],[2F1 - PDB 6 - Bread, B2B section]]</f>
        <v>146.5856000000058</v>
      </c>
      <c r="FQ16">
        <f>(CG17-Table2[[#This Row],[9F5 - PDB 14 - Bread Lift]])</f>
        <v>0.12479999999050051</v>
      </c>
      <c r="FR16">
        <f>CJ17-Table2[[#This Row],[PDB - 16 Bread Section]]</f>
        <v>9.9999999999909051E-2</v>
      </c>
      <c r="FS16">
        <f>BU17-Table2[[#This Row],[7F1 Donut Production area]]</f>
        <v>237.50400000007357</v>
      </c>
      <c r="FT16">
        <f>CB17-Table2[[#This Row],[8F5 Donut Ban Bary]]</f>
        <v>38.216000000000349</v>
      </c>
      <c r="FU16">
        <f>CF17-Table2[[#This Row],[9F4 - PDB 13 - Donut Sink Geyser area]]</f>
        <v>62.864000000001397</v>
      </c>
      <c r="FV16">
        <f>BV17-Table2[[#This Row],[7F2 Flour Silo]]</f>
        <v>485.35999999998603</v>
      </c>
      <c r="FW16">
        <f>BY17-Table2[[#This Row],[8F2 ACPDB - 3 SILO Ventilation]]</f>
        <v>61.935999999986961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25</v>
      </c>
      <c r="B17" s="2">
        <v>46215.540104166699</v>
      </c>
      <c r="C17" s="2">
        <v>46215.557500000003</v>
      </c>
      <c r="D17" s="1" t="s">
        <v>111</v>
      </c>
      <c r="E17" s="1"/>
      <c r="F17" s="1"/>
      <c r="G17" s="3">
        <v>46215</v>
      </c>
      <c r="H17" s="1" t="s">
        <v>234</v>
      </c>
      <c r="I17" s="6">
        <v>5669.442</v>
      </c>
      <c r="J17" s="6">
        <v>4248.8</v>
      </c>
      <c r="K17" s="6">
        <v>1765872</v>
      </c>
      <c r="L17" s="6">
        <v>430</v>
      </c>
      <c r="M17" s="6">
        <v>179.23</v>
      </c>
      <c r="N17" s="6">
        <v>1847852</v>
      </c>
      <c r="O17" s="6">
        <v>4558807.3600000003</v>
      </c>
      <c r="P17" s="6">
        <v>636823.04000000004</v>
      </c>
      <c r="Q17" s="6">
        <v>8025429.7599999998</v>
      </c>
      <c r="R17" s="6">
        <v>5411939.4299999997</v>
      </c>
      <c r="S17" s="6">
        <v>7290719.3600000003</v>
      </c>
      <c r="T17" s="6">
        <v>42495914.681999996</v>
      </c>
      <c r="U17" s="6">
        <v>2074404.32</v>
      </c>
      <c r="V17" s="6">
        <v>5076678.4000000004</v>
      </c>
      <c r="W17" s="6">
        <v>1578.0137</v>
      </c>
      <c r="X17" s="6">
        <v>767599.80799999996</v>
      </c>
      <c r="Y17" s="6">
        <v>1063829.1200000001</v>
      </c>
      <c r="Z17" s="6">
        <v>2777.8894</v>
      </c>
      <c r="AA17" s="6">
        <v>662019.71200000006</v>
      </c>
      <c r="AB17" s="6">
        <v>421030.304</v>
      </c>
      <c r="AC17" s="6">
        <v>2122376</v>
      </c>
      <c r="AD17" s="6">
        <v>2456103.7370000002</v>
      </c>
      <c r="AE17" s="6">
        <v>12650.729600000001</v>
      </c>
      <c r="AF17" s="6">
        <v>862605.24800000002</v>
      </c>
      <c r="AG17" s="6">
        <v>1374.1089999999999</v>
      </c>
      <c r="AH17" s="6">
        <v>130768.336</v>
      </c>
      <c r="AI17" s="6">
        <v>14507.272000000001</v>
      </c>
      <c r="AJ17" s="6">
        <v>145286.736</v>
      </c>
      <c r="AK17" s="6">
        <v>104976.512</v>
      </c>
      <c r="AL17" s="6">
        <v>328900.99200000003</v>
      </c>
      <c r="AM17" s="6">
        <v>978.04600000000005</v>
      </c>
      <c r="AN17" s="6">
        <v>254.2</v>
      </c>
      <c r="AO17" s="6">
        <v>7.3</v>
      </c>
      <c r="AP17" s="6">
        <v>239670</v>
      </c>
      <c r="AQ17" s="6">
        <v>42305</v>
      </c>
      <c r="AR17" s="6">
        <v>41760</v>
      </c>
      <c r="AS17" s="6">
        <v>32307</v>
      </c>
      <c r="AT17" s="6">
        <v>22056</v>
      </c>
      <c r="AU17" s="6">
        <v>15095</v>
      </c>
      <c r="AV17" s="6">
        <v>6056</v>
      </c>
      <c r="AW17" s="6">
        <v>20.773959999999999</v>
      </c>
      <c r="AX17" s="6">
        <v>7181.6980000000003</v>
      </c>
      <c r="AY17" s="6">
        <v>675.86288000000002</v>
      </c>
      <c r="AZ17" s="6">
        <v>20.788</v>
      </c>
      <c r="BA17" s="6">
        <v>9944.3469999999998</v>
      </c>
      <c r="BB17" s="6">
        <v>43.744999999999997</v>
      </c>
      <c r="BC17" s="6">
        <v>113979.992</v>
      </c>
      <c r="BD17" s="6">
        <v>274655.32799999998</v>
      </c>
      <c r="BE17" s="6">
        <v>3697.4</v>
      </c>
      <c r="BF17" s="6">
        <v>1712.0419999999999</v>
      </c>
      <c r="BG17" s="6">
        <v>74.344999999999999</v>
      </c>
      <c r="BH17" s="6">
        <v>356.47500000000002</v>
      </c>
      <c r="BI17" s="6">
        <v>904.67600000000004</v>
      </c>
      <c r="BJ17" s="6">
        <v>13.587</v>
      </c>
      <c r="BK17" s="6">
        <v>557.90200000000004</v>
      </c>
      <c r="BL17" s="6">
        <v>68732.678400000004</v>
      </c>
      <c r="BM17" s="6">
        <v>298367.64799999999</v>
      </c>
      <c r="BN17" s="6">
        <v>7139.4696000000004</v>
      </c>
      <c r="BO17" s="6">
        <v>53520.703999999998</v>
      </c>
      <c r="BP17" s="6">
        <v>311542.848</v>
      </c>
      <c r="BQ17" s="6">
        <v>320.66300000000001</v>
      </c>
      <c r="BR17" s="6">
        <v>178.709</v>
      </c>
      <c r="BS17" s="6">
        <v>984144.19900000002</v>
      </c>
      <c r="BT17" s="6">
        <v>1400553.382</v>
      </c>
      <c r="BU17" s="6">
        <v>624456.70400000003</v>
      </c>
      <c r="BV17" s="6">
        <v>1012058.88</v>
      </c>
      <c r="BW17" s="6">
        <v>563502.01599999995</v>
      </c>
      <c r="BX17" s="6">
        <v>946683.39199999999</v>
      </c>
      <c r="BY17" s="6">
        <v>156652.38399999999</v>
      </c>
      <c r="BZ17" s="6">
        <v>114233.576</v>
      </c>
      <c r="CA17" s="6">
        <v>1184.6542999999999</v>
      </c>
      <c r="CB17" s="6">
        <v>107502.576</v>
      </c>
      <c r="CC17" s="6">
        <v>147887.326</v>
      </c>
      <c r="CD17" s="6">
        <v>442379.848</v>
      </c>
      <c r="CE17" s="6">
        <v>49125.260799999996</v>
      </c>
      <c r="CF17" s="6">
        <v>155396.32</v>
      </c>
      <c r="CG17" s="6">
        <v>360770.2352</v>
      </c>
      <c r="CH17" s="6">
        <v>2385.8710000000001</v>
      </c>
      <c r="CI17" s="6">
        <v>211.21100000000001</v>
      </c>
      <c r="CJ17" s="6">
        <v>1168.3</v>
      </c>
      <c r="CK17" s="6">
        <v>77.006</v>
      </c>
      <c r="CL17" s="6">
        <v>721.72799999999995</v>
      </c>
      <c r="CM17" s="6">
        <v>551.4</v>
      </c>
      <c r="CN17" s="6">
        <v>35749.4</v>
      </c>
      <c r="CO17" s="6">
        <v>1631.6659999999999</v>
      </c>
      <c r="CP17" s="6">
        <v>291158.31599999999</v>
      </c>
      <c r="CQ17" s="6">
        <v>3658960.32</v>
      </c>
      <c r="CR17" s="6">
        <v>129622.976</v>
      </c>
      <c r="CS17" s="6">
        <v>507653.984</v>
      </c>
      <c r="CT17" s="6">
        <v>2861400.37</v>
      </c>
      <c r="CU17" s="6">
        <v>292869.39899999998</v>
      </c>
      <c r="CV17" s="6">
        <v>30124.051200000002</v>
      </c>
      <c r="CW17" s="6">
        <v>62322.009599999998</v>
      </c>
      <c r="CX17" s="6">
        <v>33246.441599999998</v>
      </c>
      <c r="CY17" s="6">
        <v>165047.51999999999</v>
      </c>
      <c r="CZ17" s="6">
        <v>216405.39199999999</v>
      </c>
      <c r="DA17" s="6">
        <v>17774.14</v>
      </c>
      <c r="DB17" s="6">
        <v>147878.245</v>
      </c>
      <c r="DC17" s="6">
        <v>2905.94</v>
      </c>
      <c r="DD17" s="6">
        <v>2905.84</v>
      </c>
      <c r="DE17" s="6">
        <v>2929.64</v>
      </c>
      <c r="DF17" s="6">
        <v>0.99299999999999999</v>
      </c>
      <c r="DG17" s="1" t="s">
        <v>176</v>
      </c>
      <c r="DH17" s="4">
        <f>Table2[[#This Row],[Date]]</f>
        <v>46215</v>
      </c>
      <c r="DI17">
        <f>(DD18-Table2[[#This Row],[MWH Total]])*4000</f>
        <v>19760.000000000218</v>
      </c>
      <c r="DJ17">
        <f>(DA18-Table2[[#This Row],[PNG Meter (Outside)]])*2.936</f>
        <v>0.29360000000640868</v>
      </c>
      <c r="DK17">
        <f>(DB18-Table2[[#This Row],[PNG Meter (Inside)]])*2.936</f>
        <v>122.86279200002598</v>
      </c>
      <c r="DL17">
        <f>(BH18-Table2[[#This Row],[3F Dough cooler - 2 ]])*1000</f>
        <v>239.99999999995225</v>
      </c>
      <c r="DM17">
        <f>(BI18-Table2[[#This Row],[3F Dough Cooler- 1]])*1000</f>
        <v>423.99999999997817</v>
      </c>
      <c r="DN17">
        <f>(BJ18-Table2[[#This Row],[4F Dough Production cooling Unit]])*1000</f>
        <v>47.000000000000597</v>
      </c>
      <c r="DO17">
        <f>(BQ18-Table2[[#This Row],[3F2 - PDB 3 - Dough Production Area]])*1000</f>
        <v>158.99999999999181</v>
      </c>
      <c r="DP17">
        <f>(BR18-Table2[[#This Row],[3F3 - PDB 4 - Dough Area]])*1000</f>
        <v>92.999999999989313</v>
      </c>
      <c r="DQ17">
        <f>AC18-Table2[[#This Row],[16F1 Tray washer Panel for Light]]</f>
        <v>716.95999999996275</v>
      </c>
      <c r="DR17">
        <f>CQ18-Table2[[#This Row],[2F1 Tray Washer - 1]]</f>
        <v>1006.4000000003725</v>
      </c>
      <c r="DS17">
        <f>CS18-Table2[[#This Row],[2F5 Destacker]]</f>
        <v>265.18400000000838</v>
      </c>
      <c r="DT17">
        <f>CU18-Table2[[#This Row],[5F1 Metering (TW-2)]]</f>
        <v>215.57800000003772</v>
      </c>
      <c r="DU17">
        <f>CV18-Table2[[#This Row],[6F1 Pre soaker Tray washer]]</f>
        <v>0</v>
      </c>
      <c r="DV17">
        <f>CZ18-Table2[[#This Row],[6F5 Vent tray Storage]]</f>
        <v>11.072000000014668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17.760000000000218</v>
      </c>
      <c r="DZ17">
        <f>BB18-Table2[[#This Row],[3F2 AC Unit WH dock cooling - 3 Nos]]</f>
        <v>4.4000000000004036E-2</v>
      </c>
      <c r="EA17">
        <f>(BK18-Table2[[#This Row],[5F WH Perishable]])*1000</f>
        <v>274.99999999997726</v>
      </c>
      <c r="EB17">
        <f>BN18-Table2[[#This Row],[2F3 - PDB 9 - WH Dock Leveler Door ]]</f>
        <v>0.57119999999940774</v>
      </c>
      <c r="EC17">
        <f>BP18-Table2[[#This Row],[3F1 - PDB 5 - WH HSD]]</f>
        <v>125.02399999997579</v>
      </c>
      <c r="ED17">
        <f>BX18-Table2[[#This Row],[8F1 WH Dock AHU - Ventilation]]</f>
        <v>2179.6140000000596</v>
      </c>
      <c r="EE17">
        <f>BZ18-Table2[[#This Row],[8F3 ACPDB - 4 WH Dock air curtain]]</f>
        <v>4.9599999999918509</v>
      </c>
      <c r="EF17">
        <f>CA18-Table2[[#This Row],[8F4 WH Light]]</f>
        <v>2.6058000000000447</v>
      </c>
      <c r="EG17">
        <f>CC18-Table2[[#This Row],[9F1 - PDB 10 - WH Dock door &amp; Office]]</f>
        <v>147.61799999998766</v>
      </c>
      <c r="EH17">
        <f>CD18-Table2[[#This Row],[9F2 - PDB 11 - WH flycatchers]]</f>
        <v>153.44000000000233</v>
      </c>
      <c r="EI17">
        <f>CE18-Table2[[#This Row],[9F3 - PDB 12 - Other items]]</f>
        <v>0</v>
      </c>
      <c r="EJ17">
        <f>CR18-Table2[[#This Row],[2F3 - PDB 1 - Dock 1 to 4 ]]</f>
        <v>71.264000000010128</v>
      </c>
      <c r="EK17">
        <f>BM18-Table2[[#This Row],[2F2 - PDB 3 - WH Truck &amp; Battery Charging]]</f>
        <v>577.60000000003492</v>
      </c>
      <c r="EL17">
        <f>(CK18-Table2[[#This Row],[PDB - 11 Truck Charging]])*1000</f>
        <v>52.000000000006708</v>
      </c>
      <c r="EM17">
        <f>P18-Table2[[#This Row],[5F3 Admin Area]]</f>
        <v>341.37599999993108</v>
      </c>
      <c r="EN17">
        <f>AH18-Table2[[#This Row],[2F5 Main Gate-1 Piller -1]]</f>
        <v>133.41599999999744</v>
      </c>
      <c r="EO17">
        <f>CW18-Table2[[#This Row],[6F2 Ground Floor AC]]</f>
        <v>33.945599999999104</v>
      </c>
      <c r="EP17">
        <f>CX18-Table2[[#This Row],[6F3 ACBD -1 (First floor AC)]]</f>
        <v>10.393600000003062</v>
      </c>
      <c r="EQ17">
        <f>CY18-Table2[[#This Row],[6F4 ACBD - 2 (Second &amp; Third floor AC)]]</f>
        <v>125.82400000002235</v>
      </c>
      <c r="ER17">
        <f>(BC18-Table2[[#This Row],[4F Old BMC cooling Unit]])</f>
        <v>0</v>
      </c>
      <c r="ES17">
        <f>BO18-Table2[[#This Row],[2F4 - Old BMC]]</f>
        <v>0.66560000000026776</v>
      </c>
      <c r="ET17">
        <f>Y18-Table2[[#This Row],[14F2 New CK]]</f>
        <v>837.03999999980442</v>
      </c>
      <c r="EU17">
        <f>(CL18-Table2[[#This Row],[OLD Ck Panel-1]])*1000</f>
        <v>364.00000000003274</v>
      </c>
      <c r="EV17">
        <f>CM18-Table2[[#This Row],[2F4 Old CK Blast (Blue star)]]</f>
        <v>0</v>
      </c>
      <c r="EW17">
        <f>CN18-Table2[[#This Row],[3F6 Old CK Blast (Carrier)]]</f>
        <v>296.59999999999854</v>
      </c>
      <c r="EX17">
        <f>(CO18-Table2[[#This Row],[Old CK Panel -2]])*1000</f>
        <v>1008.0000000000382</v>
      </c>
      <c r="EY17">
        <f>N18-Table2[[#This Row],[4F1 Main UPS 1/C -1]]</f>
        <v>804.01000000000931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12.000000000000455</v>
      </c>
      <c r="FC17">
        <f>BW18-Table2[[#This Row],[7F3 CLC Power Panel]]</f>
        <v>127.10400000005029</v>
      </c>
      <c r="FD17">
        <f>(CI18-Table2[[#This Row],[PDB - 17 CLC Section ]])*1000</f>
        <v>90.999999999979764</v>
      </c>
      <c r="FE17">
        <f>(W18-Table2[[#This Row],[13F3 Water &amp; Lift Old CK]])*1000</f>
        <v>431.39999999993961</v>
      </c>
      <c r="FF17">
        <f>AA18-Table2[[#This Row],[15F2 New ETP Panel]]</f>
        <v>307.00799999991432</v>
      </c>
      <c r="FG17">
        <f>AL18-Table2[[#This Row],[3F4 Old ETP Panel]]</f>
        <v>74.271999999997206</v>
      </c>
      <c r="FH17">
        <f>AF18-Table2[[#This Row],[2F1 RO Plant]]</f>
        <v>592.06400000001304</v>
      </c>
      <c r="FI17">
        <f>AK18-Table2[[#This Row],[3F3 Fire Hydrant Panel]]</f>
        <v>10.487999999997555</v>
      </c>
      <c r="FJ17">
        <f>R18-Table2[[#This Row],[7F1 Freon System Panel]]</f>
        <v>3916.570000000298</v>
      </c>
      <c r="FK17">
        <f>(AE18-Table2[[#This Row],[21F1 Refrigeration Ammonia]])*1000</f>
        <v>6005.5999999985943</v>
      </c>
      <c r="FL17">
        <f>(AG18-Table2[[#This Row],[2F3 Air Compressor]])*1000</f>
        <v>985.00000000012733</v>
      </c>
      <c r="FM17">
        <f>(AX18-Table2[[#This Row],[Solar Reading Panel II]])*1000</f>
        <v>2692.0000000000073</v>
      </c>
      <c r="FN17">
        <f>AI18-Table2[[#This Row],[3F1 Maintenance Workshop]]</f>
        <v>3.6943999999984953</v>
      </c>
      <c r="FO17">
        <f>BD18-Table2[[#This Row],[4F B2B unit ]]</f>
        <v>43.072000000043772</v>
      </c>
      <c r="FP17">
        <f>BL18-Table2[[#This Row],[2F1 - PDB 6 - Bread, B2B section]]</f>
        <v>134.84799999999814</v>
      </c>
      <c r="FQ17">
        <f>(CG18-Table2[[#This Row],[9F5 - PDB 14 - Bread Lift]])</f>
        <v>0.61759999999776483</v>
      </c>
      <c r="FR17">
        <f>CJ18-Table2[[#This Row],[PDB - 16 Bread Section]]</f>
        <v>1.6000000000001364</v>
      </c>
      <c r="FS17">
        <f>BU18-Table2[[#This Row],[7F1 Donut Production area]]</f>
        <v>196.09600000001956</v>
      </c>
      <c r="FT17">
        <f>CB18-Table2[[#This Row],[8F5 Donut Ban Bary]]</f>
        <v>61.055999999996857</v>
      </c>
      <c r="FU17">
        <f>CF18-Table2[[#This Row],[9F4 - PDB 13 - Donut Sink Geyser area]]</f>
        <v>30.5</v>
      </c>
      <c r="FV17">
        <f>BV18-Table2[[#This Row],[7F2 Flour Silo]]</f>
        <v>338.40000000002328</v>
      </c>
      <c r="FW17">
        <f>BY18-Table2[[#This Row],[8F2 ACPDB - 3 SILO Ventilation]]</f>
        <v>49.63200000001234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26</v>
      </c>
      <c r="B18" s="2">
        <v>46216.386990740699</v>
      </c>
      <c r="C18" s="2">
        <v>46216.404421296298</v>
      </c>
      <c r="D18" s="1" t="s">
        <v>111</v>
      </c>
      <c r="E18" s="1"/>
      <c r="F18" s="1"/>
      <c r="G18" s="3">
        <v>46216</v>
      </c>
      <c r="H18" s="1" t="s">
        <v>232</v>
      </c>
      <c r="I18" s="6">
        <v>5669.442</v>
      </c>
      <c r="J18" s="6">
        <v>4248.8</v>
      </c>
      <c r="K18" s="6">
        <v>1765872</v>
      </c>
      <c r="L18" s="6">
        <v>430</v>
      </c>
      <c r="M18" s="6">
        <v>179.23</v>
      </c>
      <c r="N18" s="6">
        <v>1848656.01</v>
      </c>
      <c r="O18" s="6">
        <v>4560465.9199999999</v>
      </c>
      <c r="P18" s="6">
        <v>637164.41599999997</v>
      </c>
      <c r="Q18" s="6">
        <v>8028682.2400000002</v>
      </c>
      <c r="R18" s="6">
        <v>5415856</v>
      </c>
      <c r="S18" s="6">
        <v>7293668.4800000004</v>
      </c>
      <c r="T18" s="6">
        <v>42504411.512000002</v>
      </c>
      <c r="U18" s="6">
        <v>2075631.2</v>
      </c>
      <c r="V18" s="6">
        <v>5078212.4800000004</v>
      </c>
      <c r="W18" s="6">
        <v>1578.4450999999999</v>
      </c>
      <c r="X18" s="6">
        <v>767816.25600000005</v>
      </c>
      <c r="Y18" s="6">
        <v>1064666.1599999999</v>
      </c>
      <c r="Z18" s="6">
        <v>2777.8894</v>
      </c>
      <c r="AA18" s="6">
        <v>662326.72</v>
      </c>
      <c r="AB18" s="6">
        <v>421039.87199999997</v>
      </c>
      <c r="AC18" s="6">
        <v>2123092.96</v>
      </c>
      <c r="AD18" s="6">
        <v>2464538.9670000002</v>
      </c>
      <c r="AE18" s="6">
        <v>12656.735199999999</v>
      </c>
      <c r="AF18" s="6">
        <v>863197.31200000003</v>
      </c>
      <c r="AG18" s="6">
        <v>1375.0940000000001</v>
      </c>
      <c r="AH18" s="6">
        <v>130901.75199999999</v>
      </c>
      <c r="AI18" s="6">
        <v>14510.966399999999</v>
      </c>
      <c r="AJ18" s="6">
        <v>145291.45600000001</v>
      </c>
      <c r="AK18" s="6">
        <v>104987</v>
      </c>
      <c r="AL18" s="6">
        <v>328975.26400000002</v>
      </c>
      <c r="AM18" s="6">
        <v>978.529</v>
      </c>
      <c r="AN18" s="6">
        <v>272.60000000000002</v>
      </c>
      <c r="AO18" s="6">
        <v>7.6</v>
      </c>
      <c r="AP18" s="6">
        <v>248216</v>
      </c>
      <c r="AQ18" s="6">
        <v>42305</v>
      </c>
      <c r="AR18" s="6">
        <v>41760</v>
      </c>
      <c r="AS18" s="6">
        <v>32307</v>
      </c>
      <c r="AT18" s="6">
        <v>22056</v>
      </c>
      <c r="AU18" s="6">
        <v>15118</v>
      </c>
      <c r="AV18" s="6">
        <v>6072</v>
      </c>
      <c r="AW18" s="6">
        <v>20.779758000000001</v>
      </c>
      <c r="AX18" s="6">
        <v>7184.39</v>
      </c>
      <c r="AY18" s="6">
        <v>675.97511999999995</v>
      </c>
      <c r="AZ18" s="6">
        <v>20.788</v>
      </c>
      <c r="BA18" s="6">
        <v>9962.107</v>
      </c>
      <c r="BB18" s="6">
        <v>43.789000000000001</v>
      </c>
      <c r="BC18" s="6">
        <v>113979.992</v>
      </c>
      <c r="BD18" s="6">
        <v>274698.40000000002</v>
      </c>
      <c r="BE18" s="6">
        <v>3698.4751999999999</v>
      </c>
      <c r="BF18" s="6">
        <v>1712.0419999999999</v>
      </c>
      <c r="BG18" s="6">
        <v>74.356999999999999</v>
      </c>
      <c r="BH18" s="6">
        <v>356.71499999999997</v>
      </c>
      <c r="BI18" s="6">
        <v>905.1</v>
      </c>
      <c r="BJ18" s="6">
        <v>13.634</v>
      </c>
      <c r="BK18" s="6">
        <v>558.17700000000002</v>
      </c>
      <c r="BL18" s="6">
        <v>68867.526400000002</v>
      </c>
      <c r="BM18" s="6">
        <v>298945.24800000002</v>
      </c>
      <c r="BN18" s="6">
        <v>7140.0407999999998</v>
      </c>
      <c r="BO18" s="6">
        <v>53521.369599999998</v>
      </c>
      <c r="BP18" s="6">
        <v>311667.87199999997</v>
      </c>
      <c r="BQ18" s="6">
        <v>320.822</v>
      </c>
      <c r="BR18" s="6">
        <v>178.80199999999999</v>
      </c>
      <c r="BS18" s="6">
        <v>985321.78700000001</v>
      </c>
      <c r="BT18" s="6">
        <v>1400561.1410000001</v>
      </c>
      <c r="BU18" s="6">
        <v>624652.80000000005</v>
      </c>
      <c r="BV18" s="6">
        <v>1012397.28</v>
      </c>
      <c r="BW18" s="6">
        <v>563629.12</v>
      </c>
      <c r="BX18" s="6">
        <v>948863.00600000005</v>
      </c>
      <c r="BY18" s="6">
        <v>156702.016</v>
      </c>
      <c r="BZ18" s="6">
        <v>114238.53599999999</v>
      </c>
      <c r="CA18" s="6">
        <v>1187.2601</v>
      </c>
      <c r="CB18" s="6">
        <v>107563.632</v>
      </c>
      <c r="CC18" s="6">
        <v>148034.94399999999</v>
      </c>
      <c r="CD18" s="6">
        <v>442533.288</v>
      </c>
      <c r="CE18" s="6">
        <v>49125.260799999996</v>
      </c>
      <c r="CF18" s="6">
        <v>155426.82</v>
      </c>
      <c r="CG18" s="6">
        <v>360770.85279999999</v>
      </c>
      <c r="CH18" s="6">
        <v>2385.8710000000001</v>
      </c>
      <c r="CI18" s="6">
        <v>211.30199999999999</v>
      </c>
      <c r="CJ18" s="6">
        <v>1169.9000000000001</v>
      </c>
      <c r="CK18" s="6">
        <v>77.058000000000007</v>
      </c>
      <c r="CL18" s="6">
        <v>722.09199999999998</v>
      </c>
      <c r="CM18" s="6">
        <v>551.4</v>
      </c>
      <c r="CN18" s="6">
        <v>36046</v>
      </c>
      <c r="CO18" s="6">
        <v>1632.674</v>
      </c>
      <c r="CP18" s="6">
        <v>291308.04399999999</v>
      </c>
      <c r="CQ18" s="6">
        <v>3659966.72</v>
      </c>
      <c r="CR18" s="6">
        <v>129694.24</v>
      </c>
      <c r="CS18" s="6">
        <v>507919.16800000001</v>
      </c>
      <c r="CT18" s="6">
        <v>2864375.577</v>
      </c>
      <c r="CU18" s="6">
        <v>293084.97700000001</v>
      </c>
      <c r="CV18" s="6">
        <v>30124.051200000002</v>
      </c>
      <c r="CW18" s="6">
        <v>62355.955199999997</v>
      </c>
      <c r="CX18" s="6">
        <v>33256.835200000001</v>
      </c>
      <c r="CY18" s="6">
        <v>165173.34400000001</v>
      </c>
      <c r="CZ18" s="6">
        <v>216416.46400000001</v>
      </c>
      <c r="DA18" s="6">
        <v>17774.240000000002</v>
      </c>
      <c r="DB18" s="6">
        <v>147920.092</v>
      </c>
      <c r="DC18" s="6">
        <v>2910.91</v>
      </c>
      <c r="DD18" s="6">
        <v>2910.78</v>
      </c>
      <c r="DE18" s="6">
        <v>2934.68</v>
      </c>
      <c r="DF18" s="6">
        <v>0.997</v>
      </c>
      <c r="DG18" s="1" t="s">
        <v>233</v>
      </c>
      <c r="DH18" s="4">
        <f>Table2[[#This Row],[Date]]</f>
        <v>46216</v>
      </c>
      <c r="DI18">
        <f>(DD19-Table2[[#This Row],[MWH Total]])*4000</f>
        <v>25639.999999999418</v>
      </c>
      <c r="DJ18">
        <f>(DA19-Table2[[#This Row],[PNG Meter (Outside)]])*2.936</f>
        <v>17.909599999995727</v>
      </c>
      <c r="DK18">
        <f>(DB19-Table2[[#This Row],[PNG Meter (Inside)]])*2.936</f>
        <v>413.94663999997266</v>
      </c>
      <c r="DL18">
        <f>(BH19-Table2[[#This Row],[3F Dough cooler - 2 ]])*1000</f>
        <v>301.00000000004457</v>
      </c>
      <c r="DM18">
        <f>(BI19-Table2[[#This Row],[3F Dough Cooler- 1]])*1000</f>
        <v>457.99999999996999</v>
      </c>
      <c r="DN18">
        <f>(BJ19-Table2[[#This Row],[4F Dough Production cooling Unit]])*1000</f>
        <v>46.99999999999882</v>
      </c>
      <c r="DO18">
        <f>(BQ19-Table2[[#This Row],[3F2 - PDB 3 - Dough Production Area]])*1000</f>
        <v>177.00000000002092</v>
      </c>
      <c r="DP18">
        <f>(BR19-Table2[[#This Row],[3F3 - PDB 4 - Dough Area]])*1000</f>
        <v>98.000000000013188</v>
      </c>
      <c r="DQ18">
        <f>AC19-Table2[[#This Row],[16F1 Tray washer Panel for Light]]</f>
        <v>757.28000000026077</v>
      </c>
      <c r="DR18">
        <f>CQ19-Table2[[#This Row],[2F1 Tray Washer - 1]]</f>
        <v>1150.7199999997392</v>
      </c>
      <c r="DS18">
        <f>CS19-Table2[[#This Row],[2F5 Destacker]]</f>
        <v>343.61599999997998</v>
      </c>
      <c r="DT18">
        <f>CU19-Table2[[#This Row],[5F1 Metering (TW-2)]]</f>
        <v>274.00500000000466</v>
      </c>
      <c r="DU18">
        <f>CV19-Table2[[#This Row],[6F1 Pre soaker Tray washer]]</f>
        <v>3.1999999991967343E-3</v>
      </c>
      <c r="DV18">
        <f>CZ19-Table2[[#This Row],[6F5 Vent tray Storage]]</f>
        <v>62.959999999991851</v>
      </c>
      <c r="DW18">
        <f>I19-Table2[[#This Row],[Popeyes Meter ]]</f>
        <v>65.819999999999709</v>
      </c>
      <c r="DX18">
        <f>AZ19-Table2[[#This Row],[2F WH Chiller, Segregation Area]]</f>
        <v>0</v>
      </c>
      <c r="DY18">
        <f>BA19-Table2[[#This Row],[3F1 AC Unit WH dock cooling - 2 Nos]]</f>
        <v>19.399999999999636</v>
      </c>
      <c r="DZ18">
        <f>BB19-Table2[[#This Row],[3F2 AC Unit WH dock cooling - 3 Nos]]</f>
        <v>4.399999999999693E-2</v>
      </c>
      <c r="EA18">
        <f>(BK19-Table2[[#This Row],[5F WH Perishable]])*1000</f>
        <v>269.99999999998181</v>
      </c>
      <c r="EB18">
        <f>BN19-Table2[[#This Row],[2F3 - PDB 9 - WH Dock Leveler Door ]]</f>
        <v>2.1040000000002692</v>
      </c>
      <c r="EC18">
        <f>BP19-Table2[[#This Row],[3F1 - PDB 5 - WH HSD]]</f>
        <v>141.95200000004843</v>
      </c>
      <c r="ED18">
        <f>BX19-Table2[[#This Row],[8F1 WH Dock AHU - Ventilation]]</f>
        <v>2204.7859999999637</v>
      </c>
      <c r="EE18">
        <f>BZ19-Table2[[#This Row],[8F3 ACPDB - 4 WH Dock air curtain]]</f>
        <v>1.408000000010361</v>
      </c>
      <c r="EF18">
        <f>CA19-Table2[[#This Row],[8F4 WH Light]]</f>
        <v>2.6209000000001197</v>
      </c>
      <c r="EG18">
        <f>CC19-Table2[[#This Row],[9F1 - PDB 10 - WH Dock door &amp; Office]]</f>
        <v>109.20000000001164</v>
      </c>
      <c r="EH18">
        <f>CD19-Table2[[#This Row],[9F2 - PDB 11 - WH flycatchers]]</f>
        <v>279.73599999997532</v>
      </c>
      <c r="EI18">
        <f>CE19-Table2[[#This Row],[9F3 - PDB 12 - Other items]]</f>
        <v>0</v>
      </c>
      <c r="EJ18">
        <f>CR19-Table2[[#This Row],[2F3 - PDB 1 - Dock 1 to 4 ]]</f>
        <v>89.551999999996042</v>
      </c>
      <c r="EK18">
        <f>BM19-Table2[[#This Row],[2F2 - PDB 3 - WH Truck &amp; Battery Charging]]</f>
        <v>441.08799999998882</v>
      </c>
      <c r="EL18">
        <f>(CK19-Table2[[#This Row],[PDB - 11 Truck Charging]])*1000</f>
        <v>82.999999999998408</v>
      </c>
      <c r="EM18">
        <f>P19-Table2[[#This Row],[5F3 Admin Area]]</f>
        <v>394.70720000006258</v>
      </c>
      <c r="EN18">
        <f>AH19-Table2[[#This Row],[2F5 Main Gate-1 Piller -1]]</f>
        <v>152.55200000001059</v>
      </c>
      <c r="EO18">
        <f>CW19-Table2[[#This Row],[6F2 Ground Floor AC]]</f>
        <v>38.694400000000314</v>
      </c>
      <c r="EP18">
        <f>CX19-Table2[[#This Row],[6F3 ACBD -1 (First floor AC)]]</f>
        <v>11.07839999999851</v>
      </c>
      <c r="EQ18">
        <f>CY19-Table2[[#This Row],[6F4 ACBD - 2 (Second &amp; Third floor AC)]]</f>
        <v>122.20799999998417</v>
      </c>
      <c r="ER18">
        <f>(BC19-Table2[[#This Row],[4F Old BMC cooling Unit]])</f>
        <v>0</v>
      </c>
      <c r="ES18">
        <f>BO19-Table2[[#This Row],[2F4 - Old BMC]]</f>
        <v>2.2976000000053318</v>
      </c>
      <c r="ET18">
        <f>Y19-Table2[[#This Row],[14F2 New CK]]</f>
        <v>1362.7199999999721</v>
      </c>
      <c r="EU18">
        <f>(CL19-Table2[[#This Row],[OLD Ck Panel-1]])*1000</f>
        <v>605.99999999999454</v>
      </c>
      <c r="EV18">
        <f>CM19-Table2[[#This Row],[2F4 Old CK Blast (Blue star)]]</f>
        <v>0</v>
      </c>
      <c r="EW18">
        <f>CN19-Table2[[#This Row],[3F6 Old CK Blast (Carrier)]]</f>
        <v>445</v>
      </c>
      <c r="EX18">
        <f>(CO19-Table2[[#This Row],[Old CK Panel -2]])*1000</f>
        <v>1324.0000000000691</v>
      </c>
      <c r="EY18">
        <f>N19-Table2[[#This Row],[4F1 Main UPS 1/C -1]]</f>
        <v>951.51000000000931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28.000000000005798</v>
      </c>
      <c r="FC18">
        <f>BW19-Table2[[#This Row],[7F3 CLC Power Panel]]</f>
        <v>171.56999999994878</v>
      </c>
      <c r="FD18">
        <f>(CI19-Table2[[#This Row],[PDB - 17 CLC Section ]])*1000</f>
        <v>165.99999999999682</v>
      </c>
      <c r="FE18">
        <f>(W19-Table2[[#This Row],[13F3 Water &amp; Lift Old CK]])*1000</f>
        <v>695.3000000000884</v>
      </c>
      <c r="FF18">
        <f>AA19-Table2[[#This Row],[15F2 New ETP Panel]]</f>
        <v>278.65600000007544</v>
      </c>
      <c r="FG18">
        <f>AL19-Table2[[#This Row],[3F4 Old ETP Panel]]</f>
        <v>87.679999999993015</v>
      </c>
      <c r="FH18">
        <f>AF19-Table2[[#This Row],[2F1 RO Plant]]</f>
        <v>708.79999999993015</v>
      </c>
      <c r="FI18">
        <f>AK19-Table2[[#This Row],[3F3 Fire Hydrant Panel]]</f>
        <v>11.512000000002445</v>
      </c>
      <c r="FJ18">
        <f>R19-Table2[[#This Row],[7F1 Freon System Panel]]</f>
        <v>5772.7999999998137</v>
      </c>
      <c r="FK18">
        <f>(AE19-Table2[[#This Row],[21F1 Refrigeration Ammonia]])*1000</f>
        <v>7317.6000000003114</v>
      </c>
      <c r="FL18">
        <f>(AG19-Table2[[#This Row],[2F3 Air Compressor]])*1000</f>
        <v>1098.9999999999327</v>
      </c>
      <c r="FM18">
        <f>(AX19-Table2[[#This Row],[Solar Reading Panel II]])*1000</f>
        <v>3589.999999999236</v>
      </c>
      <c r="FN18">
        <f>AI19-Table2[[#This Row],[3F1 Maintenance Workshop]]</f>
        <v>3.7936000000008789</v>
      </c>
      <c r="FO18">
        <f>BD19-Table2[[#This Row],[4F B2B unit ]]</f>
        <v>51.103999999992084</v>
      </c>
      <c r="FP18">
        <f>BL19-Table2[[#This Row],[2F1 - PDB 6 - Bread, B2B section]]</f>
        <v>126.78399999999965</v>
      </c>
      <c r="FQ18">
        <f>(CG19-Table2[[#This Row],[9F5 - PDB 14 - Bread Lift]])</f>
        <v>1.324800000002142</v>
      </c>
      <c r="FR18">
        <f>CJ19-Table2[[#This Row],[PDB - 16 Bread Section]]</f>
        <v>0.6999999999998181</v>
      </c>
      <c r="FS18">
        <f>BU19-Table2[[#This Row],[7F1 Donut Production area]]</f>
        <v>242.6239999999525</v>
      </c>
      <c r="FT18">
        <f>CB19-Table2[[#This Row],[8F5 Donut Ban Bary]]</f>
        <v>38.81600000000617</v>
      </c>
      <c r="FU18">
        <f>CF19-Table2[[#This Row],[9F4 - PDB 13 - Donut Sink Geyser area]]</f>
        <v>20.220000000001164</v>
      </c>
      <c r="FV18">
        <f>BV19-Table2[[#This Row],[7F2 Flour Silo]]</f>
        <v>519.67999999993481</v>
      </c>
      <c r="FW18">
        <f>BY19-Table2[[#This Row],[8F2 ACPDB - 3 SILO Ventilation]]</f>
        <v>46.032000000006519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28</v>
      </c>
      <c r="B19" s="2">
        <v>46217.395810185182</v>
      </c>
      <c r="C19" s="2">
        <v>46217.412893518522</v>
      </c>
      <c r="D19" s="1" t="s">
        <v>111</v>
      </c>
      <c r="E19" s="1"/>
      <c r="F19" s="1"/>
      <c r="G19" s="3">
        <v>46217</v>
      </c>
      <c r="H19" s="1" t="s">
        <v>232</v>
      </c>
      <c r="I19" s="6">
        <v>5735.2619999999997</v>
      </c>
      <c r="J19" s="6">
        <v>4248.8</v>
      </c>
      <c r="K19" s="6">
        <v>1765872</v>
      </c>
      <c r="L19" s="6">
        <v>430</v>
      </c>
      <c r="M19" s="6">
        <v>179.23</v>
      </c>
      <c r="N19" s="6">
        <v>1849607.52</v>
      </c>
      <c r="O19" s="6">
        <v>4562367.04</v>
      </c>
      <c r="P19" s="6">
        <v>637559.12320000003</v>
      </c>
      <c r="Q19" s="6">
        <v>8032570.2400000002</v>
      </c>
      <c r="R19" s="6">
        <v>5421628.7999999998</v>
      </c>
      <c r="S19" s="6">
        <v>7297146.2400000002</v>
      </c>
      <c r="T19" s="6">
        <v>42516392.82</v>
      </c>
      <c r="U19" s="6">
        <v>2076836.16</v>
      </c>
      <c r="V19" s="6">
        <v>5079962.88</v>
      </c>
      <c r="W19" s="6">
        <v>1579.1404</v>
      </c>
      <c r="X19" s="6">
        <v>768087.424</v>
      </c>
      <c r="Y19" s="6">
        <v>1066028.8799999999</v>
      </c>
      <c r="Z19" s="6">
        <v>2777.8894</v>
      </c>
      <c r="AA19" s="6">
        <v>662605.37600000005</v>
      </c>
      <c r="AB19" s="6">
        <v>421045.53600000002</v>
      </c>
      <c r="AC19" s="6">
        <v>2123850.2400000002</v>
      </c>
      <c r="AD19" s="6">
        <v>2474336.2259999998</v>
      </c>
      <c r="AE19" s="6">
        <v>12664.052799999999</v>
      </c>
      <c r="AF19" s="6">
        <v>863906.11199999996</v>
      </c>
      <c r="AG19" s="6">
        <v>1376.193</v>
      </c>
      <c r="AH19" s="6">
        <v>131054.304</v>
      </c>
      <c r="AI19" s="6">
        <v>14514.76</v>
      </c>
      <c r="AJ19" s="6">
        <v>145296.448</v>
      </c>
      <c r="AK19" s="6">
        <v>104998.512</v>
      </c>
      <c r="AL19" s="6">
        <v>329062.94400000002</v>
      </c>
      <c r="AM19" s="6">
        <v>979.09799999999996</v>
      </c>
      <c r="AN19" s="6">
        <v>141.4</v>
      </c>
      <c r="AO19" s="6">
        <v>7.1</v>
      </c>
      <c r="AP19" s="6">
        <v>258210</v>
      </c>
      <c r="AQ19" s="6">
        <v>42305</v>
      </c>
      <c r="AR19" s="6">
        <v>41760</v>
      </c>
      <c r="AS19" s="6">
        <v>32307</v>
      </c>
      <c r="AT19" s="6">
        <v>22056</v>
      </c>
      <c r="AU19" s="6">
        <v>15143</v>
      </c>
      <c r="AV19" s="6">
        <v>6090</v>
      </c>
      <c r="AW19" s="6">
        <v>20.78688</v>
      </c>
      <c r="AX19" s="6">
        <v>7187.98</v>
      </c>
      <c r="AY19" s="6">
        <v>676.10352</v>
      </c>
      <c r="AZ19" s="6">
        <v>20.788</v>
      </c>
      <c r="BA19" s="6">
        <v>9981.5069999999996</v>
      </c>
      <c r="BB19" s="6">
        <v>43.832999999999998</v>
      </c>
      <c r="BC19" s="6">
        <v>113979.992</v>
      </c>
      <c r="BD19" s="6">
        <v>274749.50400000002</v>
      </c>
      <c r="BE19" s="6">
        <v>3699.6468</v>
      </c>
      <c r="BF19" s="6">
        <v>1712.0419999999999</v>
      </c>
      <c r="BG19" s="6">
        <v>74.385000000000005</v>
      </c>
      <c r="BH19" s="6">
        <v>357.01600000000002</v>
      </c>
      <c r="BI19" s="6">
        <v>905.55799999999999</v>
      </c>
      <c r="BJ19" s="6">
        <v>13.680999999999999</v>
      </c>
      <c r="BK19" s="6">
        <v>558.447</v>
      </c>
      <c r="BL19" s="6">
        <v>68994.310400000002</v>
      </c>
      <c r="BM19" s="6">
        <v>299386.33600000001</v>
      </c>
      <c r="BN19" s="6">
        <v>7142.1448</v>
      </c>
      <c r="BO19" s="6">
        <v>53523.667200000004</v>
      </c>
      <c r="BP19" s="6">
        <v>311809.82400000002</v>
      </c>
      <c r="BQ19" s="6">
        <v>320.99900000000002</v>
      </c>
      <c r="BR19" s="6">
        <v>178.9</v>
      </c>
      <c r="BS19" s="6">
        <v>986384.11399999994</v>
      </c>
      <c r="BT19" s="6">
        <v>1400562.3870000001</v>
      </c>
      <c r="BU19" s="6">
        <v>624895.424</v>
      </c>
      <c r="BV19" s="6">
        <v>1012916.96</v>
      </c>
      <c r="BW19" s="6">
        <v>563800.68999999994</v>
      </c>
      <c r="BX19" s="6">
        <v>951067.79200000002</v>
      </c>
      <c r="BY19" s="6">
        <v>156748.04800000001</v>
      </c>
      <c r="BZ19" s="6">
        <v>114239.944</v>
      </c>
      <c r="CA19" s="6">
        <v>1189.8810000000001</v>
      </c>
      <c r="CB19" s="6">
        <v>107602.448</v>
      </c>
      <c r="CC19" s="6">
        <v>148144.144</v>
      </c>
      <c r="CD19" s="6">
        <v>442813.02399999998</v>
      </c>
      <c r="CE19" s="6">
        <v>49125.260799999996</v>
      </c>
      <c r="CF19" s="6">
        <v>155447.04000000001</v>
      </c>
      <c r="CG19" s="6">
        <v>360772.1776</v>
      </c>
      <c r="CH19" s="6">
        <v>2385.8710000000001</v>
      </c>
      <c r="CI19" s="6">
        <v>211.46799999999999</v>
      </c>
      <c r="CJ19" s="6">
        <v>1170.5999999999999</v>
      </c>
      <c r="CK19" s="6">
        <v>77.141000000000005</v>
      </c>
      <c r="CL19" s="6">
        <v>722.69799999999998</v>
      </c>
      <c r="CM19" s="6">
        <v>551.4</v>
      </c>
      <c r="CN19" s="6">
        <v>36491</v>
      </c>
      <c r="CO19" s="6">
        <v>1633.998</v>
      </c>
      <c r="CP19" s="6">
        <v>291466.136</v>
      </c>
      <c r="CQ19" s="6">
        <v>3661117.4399999999</v>
      </c>
      <c r="CR19" s="6">
        <v>129783.792</v>
      </c>
      <c r="CS19" s="6">
        <v>508262.78399999999</v>
      </c>
      <c r="CT19" s="6">
        <v>2868009.4309999999</v>
      </c>
      <c r="CU19" s="6">
        <v>293358.98200000002</v>
      </c>
      <c r="CV19" s="6">
        <v>30124.054400000001</v>
      </c>
      <c r="CW19" s="6">
        <v>62394.649599999997</v>
      </c>
      <c r="CX19" s="6">
        <v>33267.9136</v>
      </c>
      <c r="CY19" s="6">
        <v>165295.552</v>
      </c>
      <c r="CZ19" s="6">
        <v>216479.424</v>
      </c>
      <c r="DA19" s="6">
        <v>17780.34</v>
      </c>
      <c r="DB19" s="6">
        <v>148061.08199999999</v>
      </c>
      <c r="DC19" s="6">
        <v>2917.32</v>
      </c>
      <c r="DD19" s="6">
        <v>2917.19</v>
      </c>
      <c r="DE19" s="6">
        <v>2941.28</v>
      </c>
      <c r="DF19" s="6">
        <v>0.98899999999999999</v>
      </c>
      <c r="DG19" s="1" t="s">
        <v>235</v>
      </c>
      <c r="DH19" s="4">
        <f>Table2[[#This Row],[Date]]</f>
        <v>46217</v>
      </c>
      <c r="DI19">
        <f>(DD20-Table2[[#This Row],[MWH Total]])*4000</f>
        <v>25079.999999999927</v>
      </c>
      <c r="DJ19">
        <f>(DA20-Table2[[#This Row],[PNG Meter (Outside)]])*2.936</f>
        <v>17.586640000004699</v>
      </c>
      <c r="DK19">
        <f>(DB20-Table2[[#This Row],[PNG Meter (Inside)]])*2.936</f>
        <v>426.14278400000069</v>
      </c>
      <c r="DL19">
        <f>(BH20-Table2[[#This Row],[3F Dough cooler - 2 ]])*1000</f>
        <v>521.99999999999136</v>
      </c>
      <c r="DM19">
        <f>(BI20-Table2[[#This Row],[3F Dough Cooler- 1]])*1000</f>
        <v>638.00000000003365</v>
      </c>
      <c r="DN19">
        <f>(BJ20-Table2[[#This Row],[4F Dough Production cooling Unit]])*1000</f>
        <v>86.000000000000298</v>
      </c>
      <c r="DO19">
        <f>(BQ20-Table2[[#This Row],[3F2 - PDB 3 - Dough Production Area]])*1000</f>
        <v>312.99999999998818</v>
      </c>
      <c r="DP19">
        <f>(BR20-Table2[[#This Row],[3F3 - PDB 4 - Dough Area]])*1000</f>
        <v>179.00000000000205</v>
      </c>
      <c r="DQ19">
        <f>AC20-Table2[[#This Row],[16F1 Tray washer Panel for Light]]</f>
        <v>827.83999999985099</v>
      </c>
      <c r="DR19">
        <f>CQ20-Table2[[#This Row],[2F1 Tray Washer - 1]]</f>
        <v>1557.7600000002421</v>
      </c>
      <c r="DS19">
        <f>CS20-Table2[[#This Row],[2F5 Destacker]]</f>
        <v>469.2160000000149</v>
      </c>
      <c r="DT19">
        <f>CU20-Table2[[#This Row],[5F1 Metering (TW-2)]]</f>
        <v>404.75500000000466</v>
      </c>
      <c r="DU19">
        <f>CV20-Table2[[#This Row],[6F1 Pre soaker Tray washer]]</f>
        <v>9.5999999975902028E-3</v>
      </c>
      <c r="DV19">
        <f>CZ20-Table2[[#This Row],[6F5 Vent tray Storage]]</f>
        <v>139.34400000001187</v>
      </c>
      <c r="DW19">
        <f>I20-Table2[[#This Row],[Popeyes Meter ]]</f>
        <v>34.75</v>
      </c>
      <c r="DX19">
        <f>AZ20-Table2[[#This Row],[2F WH Chiller, Segregation Area]]</f>
        <v>0</v>
      </c>
      <c r="DY19">
        <f>BA20-Table2[[#This Row],[3F1 AC Unit WH dock cooling - 2 Nos]]</f>
        <v>18.493000000000393</v>
      </c>
      <c r="DZ19">
        <f>BB20-Table2[[#This Row],[3F2 AC Unit WH dock cooling - 3 Nos]]</f>
        <v>6.5000000000004832E-2</v>
      </c>
      <c r="EA19">
        <f>(BK20-Table2[[#This Row],[5F WH Perishable]])*1000</f>
        <v>375.99999999997635</v>
      </c>
      <c r="EB19">
        <f>BN20-Table2[[#This Row],[2F3 - PDB 9 - WH Dock Leveler Door ]]</f>
        <v>8.1055999999998676</v>
      </c>
      <c r="EC19">
        <f>BP20-Table2[[#This Row],[3F1 - PDB 5 - WH HSD]]</f>
        <v>184.60799999994924</v>
      </c>
      <c r="ED19">
        <f>BX20-Table2[[#This Row],[8F1 WH Dock AHU - Ventilation]]</f>
        <v>3062.704000000027</v>
      </c>
      <c r="EE19">
        <f>BZ20-Table2[[#This Row],[8F3 ACPDB - 4 WH Dock air curtain]]</f>
        <v>2.8000000000029104</v>
      </c>
      <c r="EF19">
        <f>CA20-Table2[[#This Row],[8F4 WH Light]]</f>
        <v>3.6182999999998628</v>
      </c>
      <c r="EG19">
        <f>CC20-Table2[[#This Row],[9F1 - PDB 10 - WH Dock door &amp; Office]]</f>
        <v>166.60800000000745</v>
      </c>
      <c r="EH19">
        <f>CD20-Table2[[#This Row],[9F2 - PDB 11 - WH flycatchers]]</f>
        <v>239.71199999999953</v>
      </c>
      <c r="EI19">
        <f>CE20-Table2[[#This Row],[9F3 - PDB 12 - Other items]]</f>
        <v>0</v>
      </c>
      <c r="EJ19">
        <f>CR20-Table2[[#This Row],[2F3 - PDB 1 - Dock 1 to 4 ]]</f>
        <v>92.01600000000326</v>
      </c>
      <c r="EK19">
        <f>BM20-Table2[[#This Row],[2F2 - PDB 3 - WH Truck &amp; Battery Charging]]</f>
        <v>588.51199999998789</v>
      </c>
      <c r="EL19">
        <f>(CK20-Table2[[#This Row],[PDB - 11 Truck Charging]])*1000</f>
        <v>52.999999999997272</v>
      </c>
      <c r="EM19">
        <f>P20-Table2[[#This Row],[5F3 Admin Area]]</f>
        <v>527.02079999994021</v>
      </c>
      <c r="EN19">
        <f>AH20-Table2[[#This Row],[2F5 Main Gate-1 Piller -1]]</f>
        <v>140.48000000001048</v>
      </c>
      <c r="EO19">
        <f>CW20-Table2[[#This Row],[6F2 Ground Floor AC]]</f>
        <v>45.228800000004412</v>
      </c>
      <c r="EP19">
        <f>CX20-Table2[[#This Row],[6F3 ACBD -1 (First floor AC)]]</f>
        <v>23.708800000000338</v>
      </c>
      <c r="EQ19">
        <f>CY20-Table2[[#This Row],[6F4 ACBD - 2 (Second &amp; Third floor AC)]]</f>
        <v>150.9440000000177</v>
      </c>
      <c r="ER19">
        <f>(BC20-Table2[[#This Row],[4F Old BMC cooling Unit]])</f>
        <v>2.5599999999976717</v>
      </c>
      <c r="ES19">
        <f>BO20-Table2[[#This Row],[2F4 - Old BMC]]</f>
        <v>6.7199999997683335E-2</v>
      </c>
      <c r="ET19">
        <f>Y20-Table2[[#This Row],[14F2 New CK]]</f>
        <v>1396.4000000001397</v>
      </c>
      <c r="EU19">
        <f>(CL20-Table2[[#This Row],[OLD Ck Panel-1]])*1000</f>
        <v>849.00000000004638</v>
      </c>
      <c r="EV19">
        <f>CM20-Table2[[#This Row],[2F4 Old CK Blast (Blue star)]]</f>
        <v>0</v>
      </c>
      <c r="EW19">
        <f>CN20-Table2[[#This Row],[3F6 Old CK Blast (Carrier)]]</f>
        <v>682.19999999999709</v>
      </c>
      <c r="EX19">
        <f>(CO20-Table2[[#This Row],[Old CK Panel -2]])*1000</f>
        <v>1178.9999999998599</v>
      </c>
      <c r="EY19">
        <f>N20-Table2[[#This Row],[4F1 Main UPS 1/C -1]]</f>
        <v>1038.0800000000745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46.999999999997044</v>
      </c>
      <c r="FC19">
        <f>BW20-Table2[[#This Row],[7F3 CLC Power Panel]]</f>
        <v>370.57400000002235</v>
      </c>
      <c r="FD19">
        <f>(CI20-Table2[[#This Row],[PDB - 17 CLC Section ]])*1000</f>
        <v>204.00000000000773</v>
      </c>
      <c r="FE19">
        <f>(W20-Table2[[#This Row],[13F3 Water &amp; Lift Old CK]])*1000</f>
        <v>761.70000000001892</v>
      </c>
      <c r="FF19">
        <f>AA20-Table2[[#This Row],[15F2 New ETP Panel]]</f>
        <v>381.5679999999702</v>
      </c>
      <c r="FG19">
        <f>AL20-Table2[[#This Row],[3F4 Old ETP Panel]]</f>
        <v>81.311999999976251</v>
      </c>
      <c r="FH19">
        <f>AF20-Table2[[#This Row],[2F1 RO Plant]]</f>
        <v>706.88000000000466</v>
      </c>
      <c r="FI19">
        <f>AK20-Table2[[#This Row],[3F3 Fire Hydrant Panel]]</f>
        <v>13.576000000000931</v>
      </c>
      <c r="FJ19">
        <f>R20-Table2[[#This Row],[7F1 Freon System Panel]]</f>
        <v>6294.4000000003725</v>
      </c>
      <c r="FK19">
        <f>(AE20-Table2[[#This Row],[21F1 Refrigeration Ammonia]])*1000</f>
        <v>8307.200000001103</v>
      </c>
      <c r="FL19">
        <f>(AG20-Table2[[#This Row],[2F3 Air Compressor]])*1000</f>
        <v>1205.9999999999036</v>
      </c>
      <c r="FM19">
        <f>(AX20-Table2[[#This Row],[Solar Reading Panel II]])*1000</f>
        <v>3438.0000000001019</v>
      </c>
      <c r="FN19">
        <f>AI20-Table2[[#This Row],[3F1 Maintenance Workshop]]</f>
        <v>6.5167999999994208</v>
      </c>
      <c r="FO19">
        <f>BD20-Table2[[#This Row],[4F B2B unit ]]</f>
        <v>79.807999999960884</v>
      </c>
      <c r="FP19">
        <f>BL20-Table2[[#This Row],[2F1 - PDB 6 - Bread, B2B section]]</f>
        <v>177.08160000000498</v>
      </c>
      <c r="FQ19">
        <f>(CG20-Table2[[#This Row],[9F5 - PDB 14 - Bread Lift]])</f>
        <v>6.5167999999830499</v>
      </c>
      <c r="FR19">
        <f>CJ20-Table2[[#This Row],[PDB - 16 Bread Section]]</f>
        <v>1.1000000000001364</v>
      </c>
      <c r="FS19">
        <f>BU20-Table2[[#This Row],[7F1 Donut Production area]]</f>
        <v>344.57600000000093</v>
      </c>
      <c r="FT19">
        <f>CB20-Table2[[#This Row],[8F5 Donut Ban Bary]]</f>
        <v>95.1759999999922</v>
      </c>
      <c r="FU19">
        <f>CF20-Table2[[#This Row],[9F4 - PDB 13 - Donut Sink Geyser area]]</f>
        <v>33.263999999995576</v>
      </c>
      <c r="FV19">
        <f>BV20-Table2[[#This Row],[7F2 Flour Silo]]</f>
        <v>644.56000000005588</v>
      </c>
      <c r="FW19">
        <f>BY20-Table2[[#This Row],[8F2 ACPDB - 3 SILO Ventilation]]</f>
        <v>64.527999999991152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>
        <v>30</v>
      </c>
      <c r="B20" s="2">
        <v>46218.37804398148</v>
      </c>
      <c r="C20" s="2">
        <v>46218.41673611111</v>
      </c>
      <c r="D20" s="1" t="s">
        <v>111</v>
      </c>
      <c r="E20" s="1"/>
      <c r="F20" s="1"/>
      <c r="G20" s="3">
        <v>46218</v>
      </c>
      <c r="H20" s="1" t="s">
        <v>112</v>
      </c>
      <c r="I20" s="6">
        <v>5770.0119999999997</v>
      </c>
      <c r="J20" s="6">
        <v>4248.8</v>
      </c>
      <c r="K20" s="6">
        <v>1765872</v>
      </c>
      <c r="L20" s="6">
        <v>430</v>
      </c>
      <c r="M20" s="6">
        <v>179.23</v>
      </c>
      <c r="N20" s="6">
        <v>1850645.6</v>
      </c>
      <c r="O20" s="6">
        <v>4564365.12</v>
      </c>
      <c r="P20" s="6">
        <v>638086.14399999997</v>
      </c>
      <c r="Q20" s="6">
        <v>8035815.6799999997</v>
      </c>
      <c r="R20" s="6">
        <v>5427923.2000000002</v>
      </c>
      <c r="S20" s="6">
        <v>7301083.5199999996</v>
      </c>
      <c r="T20" s="6">
        <v>42530121.722000003</v>
      </c>
      <c r="U20" s="6">
        <v>2078204.48</v>
      </c>
      <c r="V20" s="6">
        <v>5082080.96</v>
      </c>
      <c r="W20" s="6">
        <v>1579.9021</v>
      </c>
      <c r="X20" s="6">
        <v>768481.79200000002</v>
      </c>
      <c r="Y20" s="6">
        <v>1067425.28</v>
      </c>
      <c r="Z20" s="6">
        <v>2777.8894</v>
      </c>
      <c r="AA20" s="6">
        <v>662986.94400000002</v>
      </c>
      <c r="AB20" s="6">
        <v>421056.51199999999</v>
      </c>
      <c r="AC20" s="6">
        <v>2124678.08</v>
      </c>
      <c r="AD20" s="6">
        <v>3785548.8539999998</v>
      </c>
      <c r="AE20" s="6">
        <v>12672.36</v>
      </c>
      <c r="AF20" s="6">
        <v>864612.99199999997</v>
      </c>
      <c r="AG20" s="6">
        <v>1377.3989999999999</v>
      </c>
      <c r="AH20" s="6">
        <v>131194.78400000001</v>
      </c>
      <c r="AI20" s="6">
        <v>14521.2768</v>
      </c>
      <c r="AJ20" s="6">
        <v>145300.38399999999</v>
      </c>
      <c r="AK20" s="6">
        <v>105012.088</v>
      </c>
      <c r="AL20" s="6">
        <v>329144.25599999999</v>
      </c>
      <c r="AM20" s="6">
        <v>979.93399999999997</v>
      </c>
      <c r="AN20" s="6">
        <v>295.8</v>
      </c>
      <c r="AO20" s="6">
        <v>7.5</v>
      </c>
      <c r="AP20" s="6">
        <v>269319</v>
      </c>
      <c r="AQ20" s="6">
        <v>42305</v>
      </c>
      <c r="AR20" s="6">
        <v>41760</v>
      </c>
      <c r="AS20" s="6">
        <v>0</v>
      </c>
      <c r="AT20" s="6">
        <v>0</v>
      </c>
      <c r="AU20" s="6">
        <v>15171</v>
      </c>
      <c r="AV20" s="6">
        <v>6109</v>
      </c>
      <c r="AW20" s="6">
        <v>20.795058000000001</v>
      </c>
      <c r="AX20" s="6">
        <v>7191.4179999999997</v>
      </c>
      <c r="AY20" s="6">
        <v>676.29664000000002</v>
      </c>
      <c r="AZ20" s="6">
        <v>20.788</v>
      </c>
      <c r="BA20" s="6">
        <v>10000</v>
      </c>
      <c r="BB20" s="6">
        <v>43.898000000000003</v>
      </c>
      <c r="BC20" s="6">
        <v>113982.552</v>
      </c>
      <c r="BD20" s="6">
        <v>274829.31199999998</v>
      </c>
      <c r="BE20" s="6">
        <v>3701.3987999999999</v>
      </c>
      <c r="BF20" s="6">
        <v>1712.0419999999999</v>
      </c>
      <c r="BG20" s="6">
        <v>74.432000000000002</v>
      </c>
      <c r="BH20" s="6">
        <v>357.53800000000001</v>
      </c>
      <c r="BI20" s="6">
        <v>906.19600000000003</v>
      </c>
      <c r="BJ20" s="6">
        <v>13.766999999999999</v>
      </c>
      <c r="BK20" s="6">
        <v>558.82299999999998</v>
      </c>
      <c r="BL20" s="6">
        <v>69171.392000000007</v>
      </c>
      <c r="BM20" s="6">
        <v>299974.848</v>
      </c>
      <c r="BN20" s="6">
        <v>7150.2503999999999</v>
      </c>
      <c r="BO20" s="6">
        <v>53523.734400000001</v>
      </c>
      <c r="BP20" s="6">
        <v>311994.43199999997</v>
      </c>
      <c r="BQ20" s="6">
        <v>321.31200000000001</v>
      </c>
      <c r="BR20" s="6">
        <v>179.07900000000001</v>
      </c>
      <c r="BS20" s="6">
        <v>987944.67099999997</v>
      </c>
      <c r="BT20" s="6">
        <v>1400565.952</v>
      </c>
      <c r="BU20" s="6">
        <v>625240</v>
      </c>
      <c r="BV20" s="6">
        <v>1013561.52</v>
      </c>
      <c r="BW20" s="6">
        <v>564171.26399999997</v>
      </c>
      <c r="BX20" s="6">
        <v>954130.49600000004</v>
      </c>
      <c r="BY20" s="6">
        <v>156812.576</v>
      </c>
      <c r="BZ20" s="6">
        <v>114242.74400000001</v>
      </c>
      <c r="CA20" s="6">
        <v>1193.4992999999999</v>
      </c>
      <c r="CB20" s="6">
        <v>107697.624</v>
      </c>
      <c r="CC20" s="6">
        <v>148310.75200000001</v>
      </c>
      <c r="CD20" s="6">
        <v>443052.73599999998</v>
      </c>
      <c r="CE20" s="6">
        <v>49125.260799999996</v>
      </c>
      <c r="CF20" s="6">
        <v>155480.304</v>
      </c>
      <c r="CG20" s="6">
        <v>360778.69439999998</v>
      </c>
      <c r="CH20" s="6">
        <v>2385.8710000000001</v>
      </c>
      <c r="CI20" s="6">
        <v>211.672</v>
      </c>
      <c r="CJ20" s="6">
        <v>1171.7</v>
      </c>
      <c r="CK20" s="6">
        <v>77.194000000000003</v>
      </c>
      <c r="CL20" s="6">
        <v>723.54700000000003</v>
      </c>
      <c r="CM20" s="6">
        <v>551.4</v>
      </c>
      <c r="CN20" s="6">
        <v>37173.199999999997</v>
      </c>
      <c r="CO20" s="6">
        <v>1635.1769999999999</v>
      </c>
      <c r="CP20" s="6">
        <v>291649.10200000001</v>
      </c>
      <c r="CQ20" s="6">
        <v>3662675.2</v>
      </c>
      <c r="CR20" s="6">
        <v>129875.808</v>
      </c>
      <c r="CS20" s="6">
        <v>508732</v>
      </c>
      <c r="CT20" s="6">
        <v>2872239.66</v>
      </c>
      <c r="CU20" s="6">
        <v>293763.73700000002</v>
      </c>
      <c r="CV20" s="6">
        <v>30124.063999999998</v>
      </c>
      <c r="CW20" s="6">
        <v>62439.878400000001</v>
      </c>
      <c r="CX20" s="6">
        <v>33291.6224</v>
      </c>
      <c r="CY20" s="6">
        <v>165446.49600000001</v>
      </c>
      <c r="CZ20" s="6">
        <v>216618.76800000001</v>
      </c>
      <c r="DA20" s="6">
        <v>17786.330000000002</v>
      </c>
      <c r="DB20" s="6">
        <v>148206.226</v>
      </c>
      <c r="DC20" s="6">
        <v>2923.57</v>
      </c>
      <c r="DD20" s="6">
        <v>2923.46</v>
      </c>
      <c r="DE20" s="6">
        <v>2947.61</v>
      </c>
      <c r="DF20" s="6">
        <v>0.997</v>
      </c>
      <c r="DG20" s="1" t="s">
        <v>241</v>
      </c>
      <c r="DH20" s="4">
        <f>Table2[[#This Row],[Date]]</f>
        <v>46218</v>
      </c>
      <c r="DI20">
        <f>(DD21-Table2[[#This Row],[MWH Total]])*4000</f>
        <v>26479.999999999563</v>
      </c>
      <c r="DJ20">
        <f>(DA21-Table2[[#This Row],[PNG Meter (Outside)]])*2.936</f>
        <v>15.149759999999572</v>
      </c>
      <c r="DK20">
        <f>(DB21-Table2[[#This Row],[PNG Meter (Inside)]])*2.936</f>
        <v>394.26663200003281</v>
      </c>
      <c r="DL20">
        <f>(BH21-Table2[[#This Row],[3F Dough cooler - 2 ]])*1000</f>
        <v>454.99999999998408</v>
      </c>
      <c r="DM20">
        <f>(BI21-Table2[[#This Row],[3F Dough Cooler- 1]])*1000</f>
        <v>496.99999999995725</v>
      </c>
      <c r="DN20">
        <f>(BJ21-Table2[[#This Row],[4F Dough Production cooling Unit]])*1000</f>
        <v>68.000000000001393</v>
      </c>
      <c r="DO20">
        <f>(BQ21-Table2[[#This Row],[3F2 - PDB 3 - Dough Production Area]])*1000</f>
        <v>233.99999999998045</v>
      </c>
      <c r="DP20">
        <f>(BR21-Table2[[#This Row],[3F3 - PDB 4 - Dough Area]])*1000</f>
        <v>132.000000000005</v>
      </c>
      <c r="DQ20">
        <f>AC21-Table2[[#This Row],[16F1 Tray washer Panel for Light]]</f>
        <v>725.91999999992549</v>
      </c>
      <c r="DR20">
        <f>CQ21-Table2[[#This Row],[2F1 Tray Washer - 1]]</f>
        <v>1294.7199999997392</v>
      </c>
      <c r="DS20">
        <f>CS21-Table2[[#This Row],[2F5 Destacker]]</f>
        <v>360.32000000000698</v>
      </c>
      <c r="DT20">
        <f>CU21-Table2[[#This Row],[5F1 Metering (TW-2)]]</f>
        <v>320.16699999995762</v>
      </c>
      <c r="DU20">
        <f>CV21-Table2[[#This Row],[6F1 Pre soaker Tray washer]]</f>
        <v>6.4000000020314474E-3</v>
      </c>
      <c r="DV20">
        <f>CZ21-Table2[[#This Row],[6F5 Vent tray Storage]]</f>
        <v>105.35999999998603</v>
      </c>
      <c r="DW20">
        <f>I21-Table2[[#This Row],[Popeyes Meter ]]</f>
        <v>69.630000000000109</v>
      </c>
      <c r="DX20">
        <f>AZ21-Table2[[#This Row],[2F WH Chiller, Segregation Area]]</f>
        <v>0</v>
      </c>
      <c r="DY20">
        <f>BA21-Table2[[#This Row],[3F1 AC Unit WH dock cooling - 2 Nos]]</f>
        <v>33</v>
      </c>
      <c r="DZ20">
        <f>BB21-Table2[[#This Row],[3F2 AC Unit WH dock cooling - 3 Nos]]</f>
        <v>5.2999999999997272E-2</v>
      </c>
      <c r="EA20">
        <f>(BK21-Table2[[#This Row],[5F WH Perishable]])*1000</f>
        <v>293.00000000000637</v>
      </c>
      <c r="EB20">
        <f>BN21-Table2[[#This Row],[2F3 - PDB 9 - WH Dock Leveler Door ]]</f>
        <v>5.212800000000243</v>
      </c>
      <c r="EC20">
        <f>BP21-Table2[[#This Row],[3F1 - PDB 5 - WH HSD]]</f>
        <v>141.44000000000233</v>
      </c>
      <c r="ED20">
        <f>BX21-Table2[[#This Row],[8F1 WH Dock AHU - Ventilation]]</f>
        <v>2383.1039999999339</v>
      </c>
      <c r="EE20">
        <f>BZ21-Table2[[#This Row],[8F3 ACPDB - 4 WH Dock air curtain]]</f>
        <v>8.4479999999894062</v>
      </c>
      <c r="EF20">
        <f>CA21-Table2[[#This Row],[8F4 WH Light]]</f>
        <v>2.822400000000016</v>
      </c>
      <c r="EG20">
        <f>CC21-Table2[[#This Row],[9F1 - PDB 10 - WH Dock door &amp; Office]]</f>
        <v>149.75999999998021</v>
      </c>
      <c r="EH20">
        <f>CD21-Table2[[#This Row],[9F2 - PDB 11 - WH flycatchers]]</f>
        <v>206.33600000001024</v>
      </c>
      <c r="EI20">
        <f>CE21-Table2[[#This Row],[9F3 - PDB 12 - Other items]]</f>
        <v>0</v>
      </c>
      <c r="EJ20">
        <f>CR21-Table2[[#This Row],[2F3 - PDB 1 - Dock 1 to 4 ]]</f>
        <v>80.927999999999884</v>
      </c>
      <c r="EK20">
        <f>BM21-Table2[[#This Row],[2F2 - PDB 3 - WH Truck &amp; Battery Charging]]</f>
        <v>506.04800000000978</v>
      </c>
      <c r="EL20">
        <f>(CK21-Table2[[#This Row],[PDB - 11 Truck Charging]])*1000</f>
        <v>61.999999999997613</v>
      </c>
      <c r="EM20">
        <f>P21-Table2[[#This Row],[5F3 Admin Area]]</f>
        <v>466.36800000001676</v>
      </c>
      <c r="EN20">
        <f>AH21-Table2[[#This Row],[2F5 Main Gate-1 Piller -1]]</f>
        <v>142.24799999999232</v>
      </c>
      <c r="EO20">
        <f>CW21-Table2[[#This Row],[6F2 Ground Floor AC]]</f>
        <v>37.030399999996007</v>
      </c>
      <c r="EP20">
        <f>CX21-Table2[[#This Row],[6F3 ACBD -1 (First floor AC)]]</f>
        <v>25.616000000001804</v>
      </c>
      <c r="EQ20">
        <f>CY21-Table2[[#This Row],[6F4 ACBD - 2 (Second &amp; Third floor AC)]]</f>
        <v>114.73599999997532</v>
      </c>
      <c r="ER20">
        <f>(BC21-Table2[[#This Row],[4F Old BMC cooling Unit]])</f>
        <v>0</v>
      </c>
      <c r="ES20">
        <f>BO21-Table2[[#This Row],[2F4 - Old BMC]]</f>
        <v>2.6304000000018277</v>
      </c>
      <c r="ET20">
        <f>Y21-Table2[[#This Row],[14F2 New CK]]</f>
        <v>1697.5999999998603</v>
      </c>
      <c r="EU20">
        <f>(CL21-Table2[[#This Row],[OLD Ck Panel-1]])*1000</f>
        <v>760.99999999996726</v>
      </c>
      <c r="EV20">
        <f>CM21-Table2[[#This Row],[2F4 Old CK Blast (Blue star)]]</f>
        <v>0</v>
      </c>
      <c r="EW20">
        <f>CN21-Table2[[#This Row],[3F6 Old CK Blast (Carrier)]]</f>
        <v>618.70000000000437</v>
      </c>
      <c r="EX20">
        <f>(CO21-Table2[[#This Row],[Old CK Panel -2]])*1000</f>
        <v>1316.0000000000309</v>
      </c>
      <c r="EY20">
        <f>N21-Table2[[#This Row],[4F1 Main UPS 1/C -1]]</f>
        <v>936.31999999983236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34.999999999996589</v>
      </c>
      <c r="FC20">
        <f>BW21-Table2[[#This Row],[7F3 CLC Power Panel]]</f>
        <v>244.09600000001956</v>
      </c>
      <c r="FD20">
        <f>(CI21-Table2[[#This Row],[PDB - 17 CLC Section ]])*1000</f>
        <v>152.00000000001523</v>
      </c>
      <c r="FE20">
        <f>(W21-Table2[[#This Row],[13F3 Water &amp; Lift Old CK]])*1000</f>
        <v>571.99999999988904</v>
      </c>
      <c r="FF20">
        <f>AA21-Table2[[#This Row],[15F2 New ETP Panel]]</f>
        <v>281.47199999995064</v>
      </c>
      <c r="FG20">
        <f>AL21-Table2[[#This Row],[3F4 Old ETP Panel]]</f>
        <v>72.799999999988358</v>
      </c>
      <c r="FH20">
        <f>AF21-Table2[[#This Row],[2F1 RO Plant]]</f>
        <v>612.09600000001956</v>
      </c>
      <c r="FI20">
        <f>AK21-Table2[[#This Row],[3F3 Fire Hydrant Panel]]</f>
        <v>11</v>
      </c>
      <c r="FJ20">
        <f>R21-Table2[[#This Row],[7F1 Freon System Panel]]</f>
        <v>6056.3199999993667</v>
      </c>
      <c r="FK20">
        <f>(AE21-Table2[[#This Row],[21F1 Refrigeration Ammonia]])*1000</f>
        <v>7711.1999999997352</v>
      </c>
      <c r="FL20">
        <f>(AG21-Table2[[#This Row],[2F3 Air Compressor]])*1000</f>
        <v>1089.0000000001692</v>
      </c>
      <c r="FM20">
        <f>(AX21-Table2[[#This Row],[Solar Reading Panel II]])*1000</f>
        <v>3230.0000000004729</v>
      </c>
      <c r="FN20">
        <f>AI21-Table2[[#This Row],[3F1 Maintenance Workshop]]</f>
        <v>5.7872000000006665</v>
      </c>
      <c r="FO20">
        <f>BD21-Table2[[#This Row],[4F B2B unit ]]</f>
        <v>78.336000000010245</v>
      </c>
      <c r="FP20">
        <f>BL21-Table2[[#This Row],[2F1 - PDB 6 - Bread, B2B section]]</f>
        <v>114.87359999999171</v>
      </c>
      <c r="FQ20">
        <f>(CG21-Table2[[#This Row],[9F5 - PDB 14 - Bread Lift]])</f>
        <v>1.6112000000430271</v>
      </c>
      <c r="FR20">
        <f>CJ21-Table2[[#This Row],[PDB - 16 Bread Section]]</f>
        <v>1.2999999999999545</v>
      </c>
      <c r="FS20">
        <f>BU21-Table2[[#This Row],[7F1 Donut Production area]]</f>
        <v>272.19200000003912</v>
      </c>
      <c r="FT20">
        <f>CB21-Table2[[#This Row],[8F5 Donut Ban Bary]]</f>
        <v>66.592000000004191</v>
      </c>
      <c r="FU20">
        <f>CF21-Table2[[#This Row],[9F4 - PDB 13 - Donut Sink Geyser area]]</f>
        <v>18.959999999991851</v>
      </c>
      <c r="FV20">
        <f>BV21-Table2[[#This Row],[7F2 Flour Silo]]</f>
        <v>402.71999999997206</v>
      </c>
      <c r="FW20">
        <f>BY21-Table2[[#This Row],[8F2 ACPDB - 3 SILO Ventilation]]</f>
        <v>50.160000000003492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>
        <v>31</v>
      </c>
      <c r="B21" s="2">
        <v>46219.399594907409</v>
      </c>
      <c r="C21" s="2">
        <v>46219.441793981481</v>
      </c>
      <c r="D21" s="1" t="s">
        <v>111</v>
      </c>
      <c r="E21" s="1"/>
      <c r="F21" s="1"/>
      <c r="G21" s="3">
        <v>46219</v>
      </c>
      <c r="H21" s="1" t="s">
        <v>112</v>
      </c>
      <c r="I21" s="6">
        <v>5839.6419999999998</v>
      </c>
      <c r="J21" s="6">
        <v>4248.8</v>
      </c>
      <c r="K21" s="6">
        <v>1765872</v>
      </c>
      <c r="L21" s="6">
        <v>430</v>
      </c>
      <c r="M21" s="6">
        <v>179.23</v>
      </c>
      <c r="N21" s="6">
        <v>1851581.92</v>
      </c>
      <c r="O21" s="6">
        <v>4566159.04</v>
      </c>
      <c r="P21" s="6">
        <v>638552.51199999999</v>
      </c>
      <c r="Q21" s="6">
        <v>8038910.0800000001</v>
      </c>
      <c r="R21" s="6">
        <v>5433979.5199999996</v>
      </c>
      <c r="S21" s="6">
        <v>7304863.3600000003</v>
      </c>
      <c r="T21" s="6">
        <v>42974517.693000004</v>
      </c>
      <c r="U21" s="6">
        <v>2079432.96</v>
      </c>
      <c r="V21" s="6">
        <v>5083991.04</v>
      </c>
      <c r="W21" s="6">
        <v>1580.4740999999999</v>
      </c>
      <c r="X21" s="6">
        <v>768801.40800000005</v>
      </c>
      <c r="Y21" s="6">
        <v>1069122.8799999999</v>
      </c>
      <c r="Z21" s="6">
        <v>2777.8894</v>
      </c>
      <c r="AA21" s="6">
        <v>663268.41599999997</v>
      </c>
      <c r="AB21" s="6">
        <v>421068.32</v>
      </c>
      <c r="AC21" s="6">
        <v>2125404</v>
      </c>
      <c r="AD21" s="6">
        <v>3800741.0320000001</v>
      </c>
      <c r="AE21" s="6">
        <v>12680.0712</v>
      </c>
      <c r="AF21" s="6">
        <v>865225.08799999999</v>
      </c>
      <c r="AG21" s="6">
        <v>1378.4880000000001</v>
      </c>
      <c r="AH21" s="6">
        <v>131337.03200000001</v>
      </c>
      <c r="AI21" s="6">
        <v>14527.064</v>
      </c>
      <c r="AJ21" s="6">
        <v>145305.568</v>
      </c>
      <c r="AK21" s="6">
        <v>105023.088</v>
      </c>
      <c r="AL21" s="6">
        <v>329217.05599999998</v>
      </c>
      <c r="AM21" s="6">
        <v>980.46199999999999</v>
      </c>
      <c r="AN21" s="6">
        <v>260.10000000000002</v>
      </c>
      <c r="AO21" s="6">
        <v>7.2</v>
      </c>
      <c r="AP21" s="6">
        <v>279254</v>
      </c>
      <c r="AQ21" s="6">
        <v>42305</v>
      </c>
      <c r="AR21" s="6">
        <v>41760</v>
      </c>
      <c r="AS21" s="6">
        <v>0</v>
      </c>
      <c r="AT21" s="6">
        <v>0</v>
      </c>
      <c r="AU21" s="6">
        <v>15196</v>
      </c>
      <c r="AV21" s="6">
        <v>6127</v>
      </c>
      <c r="AW21" s="6">
        <v>20.802541999999999</v>
      </c>
      <c r="AX21" s="6">
        <v>7194.6480000000001</v>
      </c>
      <c r="AY21" s="6">
        <v>676.46407999999997</v>
      </c>
      <c r="AZ21" s="6">
        <v>20.788</v>
      </c>
      <c r="BA21" s="6">
        <v>10033</v>
      </c>
      <c r="BB21" s="6">
        <v>43.951000000000001</v>
      </c>
      <c r="BC21" s="6">
        <v>113982.552</v>
      </c>
      <c r="BD21" s="6">
        <v>274907.64799999999</v>
      </c>
      <c r="BE21" s="6">
        <v>3702.7995999999998</v>
      </c>
      <c r="BF21" s="6">
        <v>1712.0419999999999</v>
      </c>
      <c r="BG21" s="6">
        <v>74.466999999999999</v>
      </c>
      <c r="BH21" s="6">
        <v>357.99299999999999</v>
      </c>
      <c r="BI21" s="6">
        <v>906.69299999999998</v>
      </c>
      <c r="BJ21" s="6">
        <v>13.835000000000001</v>
      </c>
      <c r="BK21" s="6">
        <v>559.11599999999999</v>
      </c>
      <c r="BL21" s="6">
        <v>69286.265599999999</v>
      </c>
      <c r="BM21" s="6">
        <v>300480.89600000001</v>
      </c>
      <c r="BN21" s="6">
        <v>7155.4632000000001</v>
      </c>
      <c r="BO21" s="6">
        <v>53526.364800000003</v>
      </c>
      <c r="BP21" s="6">
        <v>312135.87199999997</v>
      </c>
      <c r="BQ21" s="6">
        <v>321.54599999999999</v>
      </c>
      <c r="BR21" s="6">
        <v>179.21100000000001</v>
      </c>
      <c r="BS21" s="6">
        <v>989153.23199999996</v>
      </c>
      <c r="BT21" s="6">
        <v>1400567.4350000001</v>
      </c>
      <c r="BU21" s="6">
        <v>625512.19200000004</v>
      </c>
      <c r="BV21" s="6">
        <v>1013964.24</v>
      </c>
      <c r="BW21" s="6">
        <v>564415.36</v>
      </c>
      <c r="BX21" s="6">
        <v>956513.6</v>
      </c>
      <c r="BY21" s="6">
        <v>156862.736</v>
      </c>
      <c r="BZ21" s="6">
        <v>114251.192</v>
      </c>
      <c r="CA21" s="6">
        <v>1196.3217</v>
      </c>
      <c r="CB21" s="6">
        <v>107764.216</v>
      </c>
      <c r="CC21" s="6">
        <v>148460.51199999999</v>
      </c>
      <c r="CD21" s="6">
        <v>443259.07199999999</v>
      </c>
      <c r="CE21" s="6">
        <v>49125.260799999996</v>
      </c>
      <c r="CF21" s="6">
        <v>155499.264</v>
      </c>
      <c r="CG21" s="6">
        <v>360780.30560000002</v>
      </c>
      <c r="CH21" s="6">
        <v>2385.8710000000001</v>
      </c>
      <c r="CI21" s="6">
        <v>211.82400000000001</v>
      </c>
      <c r="CJ21" s="6">
        <v>1173</v>
      </c>
      <c r="CK21" s="6">
        <v>77.256</v>
      </c>
      <c r="CL21" s="6">
        <v>724.30799999999999</v>
      </c>
      <c r="CM21" s="6">
        <v>551.4</v>
      </c>
      <c r="CN21" s="6">
        <v>37791.9</v>
      </c>
      <c r="CO21" s="6">
        <v>1636.4929999999999</v>
      </c>
      <c r="CP21" s="6">
        <v>291787.31199999998</v>
      </c>
      <c r="CQ21" s="6">
        <v>3663969.92</v>
      </c>
      <c r="CR21" s="6">
        <v>129956.736</v>
      </c>
      <c r="CS21" s="6">
        <v>509092.32</v>
      </c>
      <c r="CT21" s="6">
        <v>2876096.4610000001</v>
      </c>
      <c r="CU21" s="6">
        <v>294083.90399999998</v>
      </c>
      <c r="CV21" s="6">
        <v>30124.070400000001</v>
      </c>
      <c r="CW21" s="6">
        <v>62476.908799999997</v>
      </c>
      <c r="CX21" s="6">
        <v>33317.238400000002</v>
      </c>
      <c r="CY21" s="6">
        <v>165561.23199999999</v>
      </c>
      <c r="CZ21" s="6">
        <v>216724.128</v>
      </c>
      <c r="DA21" s="6">
        <v>17791.490000000002</v>
      </c>
      <c r="DB21" s="6">
        <v>148340.51300000001</v>
      </c>
      <c r="DC21" s="6">
        <v>2930.21</v>
      </c>
      <c r="DD21" s="6">
        <v>2930.08</v>
      </c>
      <c r="DE21" s="6">
        <v>2954.3</v>
      </c>
      <c r="DF21" s="6">
        <v>0.996</v>
      </c>
      <c r="DG21" s="1" t="s">
        <v>242</v>
      </c>
      <c r="DH21" s="4">
        <f>Table2[[#This Row],[Date]]</f>
        <v>46219</v>
      </c>
      <c r="DI21">
        <f>(DD22-Table2[[#This Row],[MWH Total]])*4000</f>
        <v>24920.000000000073</v>
      </c>
      <c r="DJ21">
        <f>(DA22-Table2[[#This Row],[PNG Meter (Outside)]])*2.936</f>
        <v>14.122159999993164</v>
      </c>
      <c r="DK21">
        <f>(DB22-Table2[[#This Row],[PNG Meter (Inside)]])*2.936</f>
        <v>364.0405119999952</v>
      </c>
      <c r="DL21">
        <f>(BH22-Table2[[#This Row],[3F Dough cooler - 2 ]])*1000</f>
        <v>444.99999999999318</v>
      </c>
      <c r="DM21">
        <f>(BI22-Table2[[#This Row],[3F Dough Cooler- 1]])*1000</f>
        <v>485.00000000001364</v>
      </c>
      <c r="DN21">
        <f>(BJ22-Table2[[#This Row],[4F Dough Production cooling Unit]])*1000</f>
        <v>46.99999999999882</v>
      </c>
      <c r="DO21">
        <f>(BQ22-Table2[[#This Row],[3F2 - PDB 3 - Dough Production Area]])*1000</f>
        <v>225.00000000002274</v>
      </c>
      <c r="DP21">
        <f>(BR22-Table2[[#This Row],[3F3 - PDB 4 - Dough Area]])*1000</f>
        <v>119.99999999997613</v>
      </c>
      <c r="DQ21">
        <f>AC22-Table2[[#This Row],[16F1 Tray washer Panel for Light]]</f>
        <v>715.04000000003725</v>
      </c>
      <c r="DR21">
        <f>CQ22-Table2[[#This Row],[2F1 Tray Washer - 1]]</f>
        <v>1197.4399999999441</v>
      </c>
      <c r="DS21">
        <f>CS22-Table2[[#This Row],[2F5 Destacker]]</f>
        <v>360.8640000000014</v>
      </c>
      <c r="DT21">
        <f>CU22-Table2[[#This Row],[5F1 Metering (TW-2)]]</f>
        <v>321.37400000001071</v>
      </c>
      <c r="DU21">
        <f>CV22-Table2[[#This Row],[6F1 Pre soaker Tray washer]]</f>
        <v>0</v>
      </c>
      <c r="DV21">
        <f>CZ22-Table2[[#This Row],[6F5 Vent tray Storage]]</f>
        <v>90.224000000016531</v>
      </c>
      <c r="DW21">
        <f>I22-Table2[[#This Row],[Popeyes Meter ]]</f>
        <v>34.980000000000473</v>
      </c>
      <c r="DX21">
        <f>AZ22-Table2[[#This Row],[2F WH Chiller, Segregation Area]]</f>
        <v>0</v>
      </c>
      <c r="DY21" s="1">
        <f>BA22-Table2[[#This Row],[3F1 AC Unit WH dock cooling - 2 Nos]]</f>
        <v>23</v>
      </c>
      <c r="DZ21">
        <f>BB22-Table2[[#This Row],[3F2 AC Unit WH dock cooling - 3 Nos]]</f>
        <v>4.9999999999997158E-2</v>
      </c>
      <c r="EA21">
        <f>(BK22-Table2[[#This Row],[5F WH Perishable]])*1000</f>
        <v>287.00000000003456</v>
      </c>
      <c r="EB21">
        <f>BN22-Table2[[#This Row],[2F3 - PDB 9 - WH Dock Leveler Door ]]</f>
        <v>3.2799999999997453</v>
      </c>
      <c r="EC21">
        <f>BP22-Table2[[#This Row],[3F1 - PDB 5 - WH HSD]]</f>
        <v>138.4320000000298</v>
      </c>
      <c r="ED21">
        <f>BX22-Table2[[#This Row],[8F1 WH Dock AHU - Ventilation]]</f>
        <v>2310.5280000000494</v>
      </c>
      <c r="EE21">
        <f>BZ22-Table2[[#This Row],[8F3 ACPDB - 4 WH Dock air curtain]]</f>
        <v>4.4239999999990687</v>
      </c>
      <c r="EF21">
        <f>CA22-Table2[[#This Row],[8F4 WH Light]]</f>
        <v>2.7462000000000444</v>
      </c>
      <c r="EG21">
        <f>CC22-Table2[[#This Row],[9F1 - PDB 10 - WH Dock door &amp; Office]]</f>
        <v>156.68800000002375</v>
      </c>
      <c r="EH21">
        <f>CD22-Table2[[#This Row],[9F2 - PDB 11 - WH flycatchers]]</f>
        <v>187.87200000003213</v>
      </c>
      <c r="EI21" s="1">
        <f>CE22-Table2[[#This Row],[9F3 - PDB 12 - Other items]]</f>
        <v>0</v>
      </c>
      <c r="EJ21">
        <f>CR22-Table2[[#This Row],[2F3 - PDB 1 - Dock 1 to 4 ]]</f>
        <v>96.871999999988475</v>
      </c>
      <c r="EK21">
        <f>BM22-Table2[[#This Row],[2F2 - PDB 3 - WH Truck &amp; Battery Charging]]</f>
        <v>388.12799999996787</v>
      </c>
      <c r="EL21">
        <f>(CK22-Table2[[#This Row],[PDB - 11 Truck Charging]])*1000</f>
        <v>57.999999999992724</v>
      </c>
      <c r="EM21">
        <f>P22-Table2[[#This Row],[5F3 Admin Area]]</f>
        <v>443.00800000003073</v>
      </c>
      <c r="EN21">
        <f>AH22-Table2[[#This Row],[2F5 Main Gate-1 Piller -1]]</f>
        <v>152.47999999998137</v>
      </c>
      <c r="EO21">
        <f>CW22-Table2[[#This Row],[6F2 Ground Floor AC]]</f>
        <v>35.756800000002841</v>
      </c>
      <c r="EP21">
        <f>CX22-Table2[[#This Row],[6F3 ACBD -1 (First floor AC)]]</f>
        <v>24.90559999999823</v>
      </c>
      <c r="EQ21">
        <f>CY22-Table2[[#This Row],[6F4 ACBD - 2 (Second &amp; Third floor AC)]]</f>
        <v>134.97600000002421</v>
      </c>
      <c r="ER21">
        <f>(BC22-Table2[[#This Row],[4F Old BMC cooling Unit]])</f>
        <v>2.6080000000074506</v>
      </c>
      <c r="ES21">
        <f>BO22-Table2[[#This Row],[2F4 - Old BMC]]</f>
        <v>2.5183999999935622</v>
      </c>
      <c r="ET21">
        <f>Y22-Table2[[#This Row],[14F2 New CK]]</f>
        <v>1154.6400000001304</v>
      </c>
      <c r="EU21">
        <f>(CL22-Table2[[#This Row],[OLD Ck Panel-1]])*1000</f>
        <v>736.99999999996635</v>
      </c>
      <c r="EV21">
        <f>CM22-Table2[[#This Row],[2F4 Old CK Blast (Blue star)]]</f>
        <v>0</v>
      </c>
      <c r="EW21">
        <f>CN22-Table2[[#This Row],[3F6 Old CK Blast (Carrier)]]</f>
        <v>591.79999999999563</v>
      </c>
      <c r="EX21">
        <f>(CO22-Table2[[#This Row],[Old CK Panel -2]])*1000</f>
        <v>1218.0000000000746</v>
      </c>
      <c r="EY21">
        <f>N22-Table2[[#This Row],[4F1 Main UPS 1/C -1]]</f>
        <v>930.56000000005588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34.999999999996589</v>
      </c>
      <c r="FC21">
        <f>BW22-Table2[[#This Row],[7F3 CLC Power Panel]]</f>
        <v>263.87199999997392</v>
      </c>
      <c r="FD21">
        <f>(CI22-Table2[[#This Row],[PDB - 17 CLC Section ]])*1000</f>
        <v>169.99999999998749</v>
      </c>
      <c r="FE21">
        <f>(W22-Table2[[#This Row],[13F3 Water &amp; Lift Old CK]])*1000</f>
        <v>713.00000000019281</v>
      </c>
      <c r="FF21">
        <f>AA22-Table2[[#This Row],[15F2 New ETP Panel]]</f>
        <v>275.96799999999348</v>
      </c>
      <c r="FG21">
        <f>AL22-Table2[[#This Row],[3F4 Old ETP Panel]]</f>
        <v>77.600000000034925</v>
      </c>
      <c r="FH21">
        <f>AF22-Table2[[#This Row],[2F1 RO Plant]]</f>
        <v>663.93599999998696</v>
      </c>
      <c r="FI21">
        <f>AK22-Table2[[#This Row],[3F3 Fire Hydrant Panel]]</f>
        <v>10.759999999994761</v>
      </c>
      <c r="FJ21">
        <f>R22-Table2[[#This Row],[7F1 Freon System Panel]]</f>
        <v>5909.7600000007078</v>
      </c>
      <c r="FK21">
        <f>(AE22-Table2[[#This Row],[21F1 Refrigeration Ammonia]])*1000</f>
        <v>7102.3999999997613</v>
      </c>
      <c r="FL21">
        <f>(AG22-Table2[[#This Row],[2F3 Air Compressor]])*1000</f>
        <v>1048.9999999999782</v>
      </c>
      <c r="FM21">
        <f>(AX22-Table2[[#This Row],[Solar Reading Panel II]])*1000</f>
        <v>3060.9999999996944</v>
      </c>
      <c r="FN21">
        <f>AI22-Table2[[#This Row],[3F1 Maintenance Workshop]]</f>
        <v>7.1231999999999971</v>
      </c>
      <c r="FO21">
        <f>BD22-Table2[[#This Row],[4F B2B unit ]]</f>
        <v>59.135999999998603</v>
      </c>
      <c r="FP21">
        <f>BL22-Table2[[#This Row],[2F1 - PDB 6 - Bread, B2B section]]</f>
        <v>127.70560000000114</v>
      </c>
      <c r="FQ21" s="1">
        <f>(CG22-Table2[[#This Row],[9F5 - PDB 14 - Bread Lift]])</f>
        <v>10.463999998988584</v>
      </c>
      <c r="FR21">
        <f>CJ22-Table2[[#This Row],[PDB - 16 Bread Section]]</f>
        <v>2.7000000000000455</v>
      </c>
      <c r="FS21">
        <f>BU22-Table2[[#This Row],[7F1 Donut Production area]]</f>
        <v>261.11999999999534</v>
      </c>
      <c r="FT21">
        <f>CB22-Table2[[#This Row],[8F5 Donut Ban Bary]]</f>
        <v>71.592000000004191</v>
      </c>
      <c r="FU21">
        <f>CF22-Table2[[#This Row],[9F4 - PDB 13 - Donut Sink Geyser area]]</f>
        <v>33.551999999996042</v>
      </c>
      <c r="FV21">
        <f>BV22-Table2[[#This Row],[7F2 Flour Silo]]</f>
        <v>635.11999999999534</v>
      </c>
      <c r="FW21">
        <f>BY22-Table2[[#This Row],[8F2 ACPDB - 3 SILO Ventilation]]</f>
        <v>48.880000000004657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>
        <v>32</v>
      </c>
      <c r="B22" s="2">
        <v>46220.402141203704</v>
      </c>
      <c r="C22" s="2">
        <v>46220.440358796295</v>
      </c>
      <c r="D22" s="1" t="s">
        <v>111</v>
      </c>
      <c r="E22" s="1"/>
      <c r="F22" s="1"/>
      <c r="G22" s="3">
        <v>46220</v>
      </c>
      <c r="H22" s="1" t="s">
        <v>186</v>
      </c>
      <c r="I22" s="6">
        <v>5874.6220000000003</v>
      </c>
      <c r="J22" s="6">
        <v>4248.8</v>
      </c>
      <c r="K22" s="6">
        <v>1765872</v>
      </c>
      <c r="L22" s="6">
        <v>430</v>
      </c>
      <c r="M22" s="6">
        <v>179.23</v>
      </c>
      <c r="N22" s="6">
        <v>1852512.48</v>
      </c>
      <c r="O22" s="6">
        <v>4567972.4800000004</v>
      </c>
      <c r="P22" s="6">
        <v>638995.52</v>
      </c>
      <c r="Q22" s="6">
        <v>8041970.5599999996</v>
      </c>
      <c r="R22" s="6">
        <v>5439889.2800000003</v>
      </c>
      <c r="S22" s="6">
        <v>7308414.0800000001</v>
      </c>
      <c r="T22" s="6">
        <v>42555457.615999997</v>
      </c>
      <c r="U22" s="6">
        <v>2080538.56</v>
      </c>
      <c r="V22" s="6">
        <v>5085818.8799999999</v>
      </c>
      <c r="W22" s="6">
        <v>1581.1871000000001</v>
      </c>
      <c r="X22" s="6">
        <v>769124.8</v>
      </c>
      <c r="Y22" s="6">
        <v>1070277.52</v>
      </c>
      <c r="Z22" s="6">
        <v>2777.8894</v>
      </c>
      <c r="AA22" s="6">
        <v>663544.38399999996</v>
      </c>
      <c r="AB22" s="6">
        <v>421079.74400000001</v>
      </c>
      <c r="AC22" s="6">
        <v>2126119.04</v>
      </c>
      <c r="AD22" s="6">
        <v>2505682.591</v>
      </c>
      <c r="AE22" s="6">
        <v>12687.1736</v>
      </c>
      <c r="AF22" s="6">
        <v>865889.02399999998</v>
      </c>
      <c r="AG22" s="6">
        <v>1379.537</v>
      </c>
      <c r="AH22" s="6">
        <v>131489.51199999999</v>
      </c>
      <c r="AI22" s="6">
        <v>14534.1872</v>
      </c>
      <c r="AJ22" s="6">
        <v>145310.49600000001</v>
      </c>
      <c r="AK22" s="6">
        <v>105033.848</v>
      </c>
      <c r="AL22" s="6">
        <v>329294.65600000002</v>
      </c>
      <c r="AM22" s="6">
        <v>981.01599999999996</v>
      </c>
      <c r="AN22" s="6">
        <v>274</v>
      </c>
      <c r="AO22" s="6">
        <v>7.8</v>
      </c>
      <c r="AP22" s="6">
        <v>288673</v>
      </c>
      <c r="AQ22" s="6">
        <v>42305</v>
      </c>
      <c r="AR22" s="6">
        <v>41760</v>
      </c>
      <c r="AS22" s="6">
        <v>0</v>
      </c>
      <c r="AT22" s="6">
        <v>0</v>
      </c>
      <c r="AU22" s="6">
        <v>15220</v>
      </c>
      <c r="AV22" s="6">
        <v>6144</v>
      </c>
      <c r="AW22" s="6">
        <v>20.8094</v>
      </c>
      <c r="AX22" s="6">
        <v>7197.7089999999998</v>
      </c>
      <c r="AY22" s="6">
        <v>676.61375999999996</v>
      </c>
      <c r="AZ22" s="6">
        <v>20.788</v>
      </c>
      <c r="BA22" s="6">
        <v>10056</v>
      </c>
      <c r="BB22" s="6">
        <v>44.000999999999998</v>
      </c>
      <c r="BC22" s="6">
        <v>113985.16</v>
      </c>
      <c r="BD22" s="6">
        <v>274966.78399999999</v>
      </c>
      <c r="BE22" s="6">
        <v>3704.1435999999999</v>
      </c>
      <c r="BF22" s="6">
        <v>1712.0419999999999</v>
      </c>
      <c r="BG22" s="6">
        <v>74.501999999999995</v>
      </c>
      <c r="BH22" s="6">
        <v>358.43799999999999</v>
      </c>
      <c r="BI22" s="6">
        <v>907.178</v>
      </c>
      <c r="BJ22" s="6">
        <v>13.882</v>
      </c>
      <c r="BK22" s="6">
        <v>559.40300000000002</v>
      </c>
      <c r="BL22" s="6">
        <v>69413.9712</v>
      </c>
      <c r="BM22" s="6">
        <v>300869.02399999998</v>
      </c>
      <c r="BN22" s="6">
        <v>7158.7431999999999</v>
      </c>
      <c r="BO22" s="6">
        <v>53528.883199999997</v>
      </c>
      <c r="BP22" s="6">
        <v>312274.304</v>
      </c>
      <c r="BQ22" s="6">
        <v>321.77100000000002</v>
      </c>
      <c r="BR22" s="6">
        <v>179.33099999999999</v>
      </c>
      <c r="BS22" s="6">
        <v>990229.255</v>
      </c>
      <c r="BT22" s="6">
        <v>1400570.4920000001</v>
      </c>
      <c r="BU22" s="6">
        <v>625773.31200000003</v>
      </c>
      <c r="BV22" s="6">
        <v>1014599.36</v>
      </c>
      <c r="BW22" s="6">
        <v>564679.23199999996</v>
      </c>
      <c r="BX22" s="6">
        <v>958824.12800000003</v>
      </c>
      <c r="BY22" s="6">
        <v>156911.61600000001</v>
      </c>
      <c r="BZ22" s="6">
        <v>114255.61599999999</v>
      </c>
      <c r="CA22" s="6">
        <v>1199.0679</v>
      </c>
      <c r="CB22" s="6">
        <v>107835.808</v>
      </c>
      <c r="CC22" s="6">
        <v>148617.20000000001</v>
      </c>
      <c r="CD22" s="6">
        <v>443446.94400000002</v>
      </c>
      <c r="CE22" s="6">
        <v>49125.260799999996</v>
      </c>
      <c r="CF22" s="6">
        <v>155532.81599999999</v>
      </c>
      <c r="CG22" s="6">
        <v>360790.76959999901</v>
      </c>
      <c r="CH22" s="6">
        <v>2385.8710000000001</v>
      </c>
      <c r="CI22" s="6">
        <v>211.994</v>
      </c>
      <c r="CJ22" s="6">
        <v>1175.7</v>
      </c>
      <c r="CK22" s="6">
        <v>77.313999999999993</v>
      </c>
      <c r="CL22" s="6">
        <v>725.04499999999996</v>
      </c>
      <c r="CM22" s="6">
        <v>551.4</v>
      </c>
      <c r="CN22" s="6">
        <v>38383.699999999997</v>
      </c>
      <c r="CO22" s="6">
        <v>1637.711</v>
      </c>
      <c r="CP22" s="6">
        <v>291937.24599999998</v>
      </c>
      <c r="CQ22" s="6">
        <v>3665167.36</v>
      </c>
      <c r="CR22" s="6">
        <v>130053.60799999999</v>
      </c>
      <c r="CS22" s="6">
        <v>509453.18400000001</v>
      </c>
      <c r="CT22" s="6">
        <v>2879713.1209999998</v>
      </c>
      <c r="CU22" s="6">
        <v>294405.27799999999</v>
      </c>
      <c r="CV22" s="6">
        <v>30124.070400000001</v>
      </c>
      <c r="CW22" s="6">
        <v>62512.6656</v>
      </c>
      <c r="CX22" s="6">
        <v>33342.144</v>
      </c>
      <c r="CY22" s="6">
        <v>165696.20800000001</v>
      </c>
      <c r="CZ22" s="6">
        <v>216814.35200000001</v>
      </c>
      <c r="DA22" s="6">
        <v>17796.3</v>
      </c>
      <c r="DB22" s="6">
        <v>148464.505</v>
      </c>
      <c r="DC22" s="6">
        <v>2936.44</v>
      </c>
      <c r="DD22" s="6">
        <v>2936.31</v>
      </c>
      <c r="DE22" s="6">
        <v>2960.73</v>
      </c>
      <c r="DF22" s="6">
        <v>0.997</v>
      </c>
      <c r="DG22" s="1" t="s">
        <v>245</v>
      </c>
      <c r="DH22" s="4">
        <f>Table2[[#This Row],[Date]]</f>
        <v>46220</v>
      </c>
      <c r="DI22">
        <f>(DD23-Table2[[#This Row],[MWH Total]])*4000</f>
        <v>25559.999999999491</v>
      </c>
      <c r="DJ22">
        <f>(DA23-Table2[[#This Row],[PNG Meter (Outside)]])*2.936</f>
        <v>78.890319999997004</v>
      </c>
      <c r="DK22">
        <f>(DB23-Table2[[#This Row],[PNG Meter (Inside)]])*2.936</f>
        <v>355.61419200000887</v>
      </c>
      <c r="DL22">
        <f>(BH23-Table2[[#This Row],[3F Dough cooler - 2 ]])*1000</f>
        <v>437.99999999998818</v>
      </c>
      <c r="DM22">
        <f>(BI23-Table2[[#This Row],[3F Dough Cooler- 1]])*1000</f>
        <v>477.9999999999518</v>
      </c>
      <c r="DN22">
        <f>(BJ23-Table2[[#This Row],[4F Dough Production cooling Unit]])*1000</f>
        <v>51.000000000000156</v>
      </c>
      <c r="DO22">
        <f>(BQ23-Table2[[#This Row],[3F2 - PDB 3 - Dough Production Area]])*1000</f>
        <v>229.99999999996135</v>
      </c>
      <c r="DP22">
        <f>(BR23-Table2[[#This Row],[3F3 - PDB 4 - Dough Area]])*1000</f>
        <v>123.00000000001887</v>
      </c>
      <c r="DQ22">
        <f>AC23-Table2[[#This Row],[16F1 Tray washer Panel for Light]]</f>
        <v>721.43999999994412</v>
      </c>
      <c r="DR22">
        <f>CQ23-Table2[[#This Row],[2F1 Tray Washer - 1]]</f>
        <v>1196.4799999999814</v>
      </c>
      <c r="DS22">
        <f>CS23-Table2[[#This Row],[2F5 Destacker]]</f>
        <v>401.82399999996414</v>
      </c>
      <c r="DT22">
        <f>CU23-Table2[[#This Row],[5F1 Metering (TW-2)]]</f>
        <v>329.63099999999395</v>
      </c>
      <c r="DU22">
        <f>CV23-Table2[[#This Row],[6F1 Pre soaker Tray washer]]</f>
        <v>6.3999999983934686E-3</v>
      </c>
      <c r="DV22">
        <f>CZ23-Table2[[#This Row],[6F5 Vent tray Storage]]</f>
        <v>91.663999999989755</v>
      </c>
      <c r="DW22">
        <f>I23-Table2[[#This Row],[Popeyes Meter ]]</f>
        <v>62.769999999999527</v>
      </c>
      <c r="DX22">
        <f>AZ23-Table2[[#This Row],[2F WH Chiller, Segregation Area]]</f>
        <v>0</v>
      </c>
      <c r="DY22">
        <f>BA23-Table2[[#This Row],[3F1 AC Unit WH dock cooling - 2 Nos]]</f>
        <v>23</v>
      </c>
      <c r="DZ22">
        <f>BB23-Table2[[#This Row],[3F2 AC Unit WH dock cooling - 3 Nos]]</f>
        <v>4.8000000000001819E-2</v>
      </c>
      <c r="EA22">
        <f>(BK23-Table2[[#This Row],[5F WH Perishable]])*1000</f>
        <v>281.99999999992542</v>
      </c>
      <c r="EB22">
        <f>BN23-Table2[[#This Row],[2F3 - PDB 9 - WH Dock Leveler Door ]]</f>
        <v>3.633600000000115</v>
      </c>
      <c r="EC22">
        <f>BP23-Table2[[#This Row],[3F1 - PDB 5 - WH HSD]]</f>
        <v>147.03999999997905</v>
      </c>
      <c r="ED22">
        <f>BX23-Table2[[#This Row],[8F1 WH Dock AHU - Ventilation]]</f>
        <v>2292.2239999999292</v>
      </c>
      <c r="EE22">
        <f>BZ23-Table2[[#This Row],[8F3 ACPDB - 4 WH Dock air curtain]]</f>
        <v>4.6240000000107102</v>
      </c>
      <c r="EF22">
        <f>CA23-Table2[[#This Row],[8F4 WH Light]]</f>
        <v>2.7162000000000717</v>
      </c>
      <c r="EG22">
        <f>CC23-Table2[[#This Row],[9F1 - PDB 10 - WH Dock door &amp; Office]]</f>
        <v>164.63999999998487</v>
      </c>
      <c r="EH22">
        <f>CD23-Table2[[#This Row],[9F2 - PDB 11 - WH flycatchers]]</f>
        <v>237.37599999998929</v>
      </c>
      <c r="EI22">
        <f>CE23-Table2[[#This Row],[9F3 - PDB 12 - Other items]]</f>
        <v>0</v>
      </c>
      <c r="EJ22">
        <f>CR23-Table2[[#This Row],[2F3 - PDB 1 - Dock 1 to 4 ]]</f>
        <v>75.240000000005239</v>
      </c>
      <c r="EK22">
        <f>BM23-Table2[[#This Row],[2F2 - PDB 3 - WH Truck &amp; Battery Charging]]</f>
        <v>500.92800000001444</v>
      </c>
      <c r="EL22">
        <f>(CK23-Table2[[#This Row],[PDB - 11 Truck Charging]])*1000</f>
        <v>58.000000000006935</v>
      </c>
      <c r="EM22">
        <f>P23-Table2[[#This Row],[5F3 Admin Area]]</f>
        <v>405.37599999993108</v>
      </c>
      <c r="EN22">
        <f>AH23-Table2[[#This Row],[2F5 Main Gate-1 Piller -1]]</f>
        <v>121.25600000002305</v>
      </c>
      <c r="EO22">
        <f>CW23-Table2[[#This Row],[6F2 Ground Floor AC]]</f>
        <v>31.500800000001618</v>
      </c>
      <c r="EP22">
        <f>CX23-Table2[[#This Row],[6F3 ACBD -1 (First floor AC)]]</f>
        <v>12.918400000002293</v>
      </c>
      <c r="EQ22">
        <f>CY23-Table2[[#This Row],[6F4 ACBD - 2 (Second &amp; Third floor AC)]]</f>
        <v>162.68799999999464</v>
      </c>
      <c r="ER22">
        <f>(BC23-Table2[[#This Row],[4F Old BMC cooling Unit]])</f>
        <v>0.22400000000197906</v>
      </c>
      <c r="ES22">
        <f>BO23-Table2[[#This Row],[2F4 - Old BMC]]</f>
        <v>3.0304000000032829</v>
      </c>
      <c r="ET22">
        <f>Y23-Table2[[#This Row],[14F2 New CK]]</f>
        <v>1462.9599999999627</v>
      </c>
      <c r="EU22">
        <f>(CL23-Table2[[#This Row],[OLD Ck Panel-1]])*1000</f>
        <v>718.00000000007458</v>
      </c>
      <c r="EV22">
        <f>CM23-Table2[[#This Row],[2F4 Old CK Blast (Blue star)]]</f>
        <v>0</v>
      </c>
      <c r="EW22">
        <f>CN23-Table2[[#This Row],[3F6 Old CK Blast (Carrier)]]</f>
        <v>570.20000000000437</v>
      </c>
      <c r="EX22">
        <f>(CO23-Table2[[#This Row],[Old CK Panel -2]])*1000</f>
        <v>1095.0000000000273</v>
      </c>
      <c r="EY22">
        <f>N23-Table2[[#This Row],[4F1 Main UPS 1/C -1]]</f>
        <v>903.19999999995343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34.000000000006025</v>
      </c>
      <c r="FC22">
        <f>BW23-Table2[[#This Row],[7F3 CLC Power Panel]]</f>
        <v>243.26400000008289</v>
      </c>
      <c r="FD22">
        <f>(CI23-Table2[[#This Row],[PDB - 17 CLC Section ]])*1000</f>
        <v>157.00000000001069</v>
      </c>
      <c r="FE22">
        <f>(W23-Table2[[#This Row],[13F3 Water &amp; Lift Old CK]])*1000</f>
        <v>707.40000000000691</v>
      </c>
      <c r="FF22">
        <f>AA23-Table2[[#This Row],[15F2 New ETP Panel]]</f>
        <v>264</v>
      </c>
      <c r="FG22">
        <f>AL23-Table2[[#This Row],[3F4 Old ETP Panel]]</f>
        <v>84.511999999987893</v>
      </c>
      <c r="FH22">
        <f>AF23-Table2[[#This Row],[2F1 RO Plant]]</f>
        <v>622.40000000002328</v>
      </c>
      <c r="FI22">
        <f>AK23-Table2[[#This Row],[3F3 Fire Hydrant Panel]]</f>
        <v>10.559999999997672</v>
      </c>
      <c r="FJ22">
        <f>R23-Table2[[#This Row],[7F1 Freon System Panel]]</f>
        <v>5767.0400000000373</v>
      </c>
      <c r="FK22">
        <f>(AE23-Table2[[#This Row],[21F1 Refrigeration Ammonia]])*1000</f>
        <v>6636.8000000002212</v>
      </c>
      <c r="FL22">
        <f>(AG23-Table2[[#This Row],[2F3 Air Compressor]])*1000</f>
        <v>1049.9999999999545</v>
      </c>
      <c r="FM22">
        <f>(AX23-Table2[[#This Row],[Solar Reading Panel II]])*1000</f>
        <v>1890.0000000003274</v>
      </c>
      <c r="FN22">
        <f>AI23-Table2[[#This Row],[3F1 Maintenance Workshop]]</f>
        <v>5.9231999999992695</v>
      </c>
      <c r="FO22">
        <f>BD23-Table2[[#This Row],[4F B2B unit ]]</f>
        <v>57.92000000004191</v>
      </c>
      <c r="FP22">
        <f>BL23-Table2[[#This Row],[2F1 - PDB 6 - Bread, B2B section]]</f>
        <v>63.897599999996601</v>
      </c>
      <c r="FQ22">
        <f>(CG23-Table2[[#This Row],[9F5 - PDB 14 - Bread Lift]])</f>
        <v>9.6688000009744428</v>
      </c>
      <c r="FR22">
        <f>CJ23-Table2[[#This Row],[PDB - 16 Bread Section]]</f>
        <v>0.70000000000004547</v>
      </c>
      <c r="FS22">
        <f>BU23-Table2[[#This Row],[7F1 Donut Production area]]</f>
        <v>264</v>
      </c>
      <c r="FT22">
        <f>CB23-Table2[[#This Row],[8F5 Donut Ban Bary]]</f>
        <v>60.815999999991618</v>
      </c>
      <c r="FU22">
        <f>CF23-Table2[[#This Row],[9F4 - PDB 13 - Donut Sink Geyser area]]</f>
        <v>22.736000000004424</v>
      </c>
      <c r="FV22">
        <f>BV23-Table2[[#This Row],[7F2 Flour Silo]]</f>
        <v>440.80000000004657</v>
      </c>
      <c r="FW22">
        <f>BY23-Table2[[#This Row],[8F2 ACPDB - 3 SILO Ventilation]]</f>
        <v>47.903999999980442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>
        <v>33</v>
      </c>
      <c r="B23" s="2">
        <v>46221.384212962963</v>
      </c>
      <c r="C23" s="2">
        <v>46221.42454861111</v>
      </c>
      <c r="D23" s="1" t="s">
        <v>111</v>
      </c>
      <c r="E23" s="1"/>
      <c r="F23" s="1"/>
      <c r="G23" s="3">
        <v>46221</v>
      </c>
      <c r="H23" s="1" t="s">
        <v>186</v>
      </c>
      <c r="I23" s="6">
        <v>5937.3919999999998</v>
      </c>
      <c r="J23" s="6">
        <v>4248.8</v>
      </c>
      <c r="K23" s="6">
        <v>1765872</v>
      </c>
      <c r="L23" s="6">
        <v>430</v>
      </c>
      <c r="M23" s="6">
        <v>179.23</v>
      </c>
      <c r="N23" s="6">
        <v>1853415.68</v>
      </c>
      <c r="O23" s="6">
        <v>4569742.08</v>
      </c>
      <c r="P23" s="6">
        <v>639400.89599999995</v>
      </c>
      <c r="Q23" s="6">
        <v>8044670.0800000001</v>
      </c>
      <c r="R23" s="6">
        <v>5445656.3200000003</v>
      </c>
      <c r="S23" s="6">
        <v>7311852.7999999998</v>
      </c>
      <c r="T23" s="6">
        <v>43001661.991999999</v>
      </c>
      <c r="U23" s="6">
        <v>2081671.04</v>
      </c>
      <c r="V23" s="6">
        <v>5087625.92</v>
      </c>
      <c r="W23" s="6">
        <v>1581.8945000000001</v>
      </c>
      <c r="X23" s="6">
        <v>769463.23199999996</v>
      </c>
      <c r="Y23" s="6">
        <v>1071740.48</v>
      </c>
      <c r="Z23" s="6">
        <v>2777.8894</v>
      </c>
      <c r="AA23" s="6">
        <v>663808.38399999996</v>
      </c>
      <c r="AB23" s="6">
        <v>421090.20799999998</v>
      </c>
      <c r="AC23" s="6">
        <v>2126840.48</v>
      </c>
      <c r="AD23" s="6">
        <v>3826843.4419999998</v>
      </c>
      <c r="AE23" s="6">
        <v>12693.8104</v>
      </c>
      <c r="AF23" s="6">
        <v>866511.424</v>
      </c>
      <c r="AG23" s="6">
        <v>1380.587</v>
      </c>
      <c r="AH23" s="6">
        <v>131610.76800000001</v>
      </c>
      <c r="AI23" s="6">
        <v>14540.1104</v>
      </c>
      <c r="AJ23" s="6">
        <v>145314.32</v>
      </c>
      <c r="AK23" s="6">
        <v>105044.408</v>
      </c>
      <c r="AL23" s="6">
        <v>329379.16800000001</v>
      </c>
      <c r="AM23" s="6">
        <v>981.58</v>
      </c>
      <c r="AN23" s="6">
        <v>267.89999999999998</v>
      </c>
      <c r="AO23" s="6">
        <v>7.3</v>
      </c>
      <c r="AP23" s="6">
        <v>298307</v>
      </c>
      <c r="AQ23" s="6">
        <v>42305</v>
      </c>
      <c r="AR23" s="6">
        <v>41760</v>
      </c>
      <c r="AS23" s="6">
        <v>0</v>
      </c>
      <c r="AT23" s="6">
        <v>0</v>
      </c>
      <c r="AU23" s="6">
        <v>15243</v>
      </c>
      <c r="AV23" s="6">
        <v>6161</v>
      </c>
      <c r="AW23" s="6">
        <v>20.815861999999999</v>
      </c>
      <c r="AX23" s="6">
        <v>7199.5990000000002</v>
      </c>
      <c r="AY23" s="6">
        <v>676.76423999999997</v>
      </c>
      <c r="AZ23" s="6">
        <v>20.788</v>
      </c>
      <c r="BA23" s="6">
        <v>10079</v>
      </c>
      <c r="BB23" s="6">
        <v>44.048999999999999</v>
      </c>
      <c r="BC23" s="6">
        <v>113985.38400000001</v>
      </c>
      <c r="BD23" s="6">
        <v>275024.70400000003</v>
      </c>
      <c r="BE23" s="6">
        <v>3705.4748</v>
      </c>
      <c r="BF23" s="6">
        <v>1712.0419999999999</v>
      </c>
      <c r="BG23" s="6">
        <v>74.536000000000001</v>
      </c>
      <c r="BH23" s="6">
        <v>358.87599999999998</v>
      </c>
      <c r="BI23" s="6">
        <v>907.65599999999995</v>
      </c>
      <c r="BJ23" s="6">
        <v>13.933</v>
      </c>
      <c r="BK23" s="6">
        <v>559.68499999999995</v>
      </c>
      <c r="BL23" s="6">
        <v>69477.868799999997</v>
      </c>
      <c r="BM23" s="6">
        <v>301369.95199999999</v>
      </c>
      <c r="BN23" s="6">
        <v>7162.3768</v>
      </c>
      <c r="BO23" s="6">
        <v>53531.9136</v>
      </c>
      <c r="BP23" s="6">
        <v>312421.34399999998</v>
      </c>
      <c r="BQ23" s="6">
        <v>322.00099999999998</v>
      </c>
      <c r="BR23" s="6">
        <v>179.45400000000001</v>
      </c>
      <c r="BS23" s="6">
        <v>991340.29099999997</v>
      </c>
      <c r="BT23" s="6">
        <v>1400574.36</v>
      </c>
      <c r="BU23" s="6">
        <v>626037.31200000003</v>
      </c>
      <c r="BV23" s="6">
        <v>1015040.16</v>
      </c>
      <c r="BW23" s="6">
        <v>564922.49600000004</v>
      </c>
      <c r="BX23" s="6">
        <v>961116.35199999996</v>
      </c>
      <c r="BY23" s="6">
        <v>156959.51999999999</v>
      </c>
      <c r="BZ23" s="6">
        <v>114260.24</v>
      </c>
      <c r="CA23" s="6">
        <v>1201.7841000000001</v>
      </c>
      <c r="CB23" s="6">
        <v>107896.624</v>
      </c>
      <c r="CC23" s="6">
        <v>148781.84</v>
      </c>
      <c r="CD23" s="6">
        <v>443684.32</v>
      </c>
      <c r="CE23" s="6">
        <v>49125.260799999996</v>
      </c>
      <c r="CF23" s="6">
        <v>155555.552</v>
      </c>
      <c r="CG23" s="6">
        <v>360800.43839999998</v>
      </c>
      <c r="CH23" s="6">
        <v>2385.8710000000001</v>
      </c>
      <c r="CI23" s="6">
        <v>212.15100000000001</v>
      </c>
      <c r="CJ23" s="6">
        <v>1176.4000000000001</v>
      </c>
      <c r="CK23" s="6">
        <v>77.372</v>
      </c>
      <c r="CL23" s="6">
        <v>725.76300000000003</v>
      </c>
      <c r="CM23" s="6">
        <v>551.4</v>
      </c>
      <c r="CN23" s="6">
        <v>38953.9</v>
      </c>
      <c r="CO23" s="6">
        <v>1638.806</v>
      </c>
      <c r="CP23" s="6">
        <v>292071.95199999999</v>
      </c>
      <c r="CQ23" s="6">
        <v>3666363.84</v>
      </c>
      <c r="CR23" s="6">
        <v>130128.848</v>
      </c>
      <c r="CS23" s="6">
        <v>509855.00799999997</v>
      </c>
      <c r="CT23" s="6">
        <v>2883227.7769999998</v>
      </c>
      <c r="CU23" s="6">
        <v>294734.90899999999</v>
      </c>
      <c r="CV23" s="6">
        <v>30124.076799999999</v>
      </c>
      <c r="CW23" s="6">
        <v>62544.166400000002</v>
      </c>
      <c r="CX23" s="6">
        <v>33355.062400000003</v>
      </c>
      <c r="CY23" s="6">
        <v>165858.89600000001</v>
      </c>
      <c r="CZ23" s="6">
        <v>216906.016</v>
      </c>
      <c r="DA23" s="6">
        <v>17823.169999999998</v>
      </c>
      <c r="DB23" s="6">
        <v>148585.62700000001</v>
      </c>
      <c r="DC23" s="6">
        <v>2942.81</v>
      </c>
      <c r="DD23" s="6">
        <v>2942.7</v>
      </c>
      <c r="DE23" s="6">
        <v>2967.43</v>
      </c>
      <c r="DF23" s="6">
        <v>0.998</v>
      </c>
      <c r="DG23" s="1" t="s">
        <v>246</v>
      </c>
      <c r="DH23" s="4">
        <f>Table2[[#This Row],[Date]]</f>
        <v>46221</v>
      </c>
      <c r="DI23">
        <f>(DD24-Table2[[#This Row],[MWH Total]])*4000</f>
        <v>26400.000000001455</v>
      </c>
      <c r="DJ23">
        <f>(DA24-Table2[[#This Row],[PNG Meter (Outside)]])*2.936</f>
        <v>9.4539200000034178</v>
      </c>
      <c r="DK23">
        <f>(DB24-Table2[[#This Row],[PNG Meter (Inside)]])*2.936</f>
        <v>179.67732800001161</v>
      </c>
      <c r="DL23">
        <f>(BH24-Table2[[#This Row],[3F Dough cooler - 2 ]])*1000</f>
        <v>326.99999999999818</v>
      </c>
      <c r="DM23">
        <f>(BI24-Table2[[#This Row],[3F Dough Cooler- 1]])*1000</f>
        <v>355.99999999999454</v>
      </c>
      <c r="DN23">
        <f>(BJ24-Table2[[#This Row],[4F Dough Production cooling Unit]])*1000</f>
        <v>22.999999999999687</v>
      </c>
      <c r="DO23">
        <f>(BQ24-Table2[[#This Row],[3F2 - PDB 3 - Dough Production Area]])*1000</f>
        <v>124.00000000002365</v>
      </c>
      <c r="DP23">
        <f>(BR24-Table2[[#This Row],[3F3 - PDB 4 - Dough Area]])*1000</f>
        <v>66.000000000002501</v>
      </c>
      <c r="DQ23">
        <f>AC24-Table2[[#This Row],[16F1 Tray washer Panel for Light]]</f>
        <v>629.60000000009313</v>
      </c>
      <c r="DR23">
        <f>CQ24-Table2[[#This Row],[2F1 Tray Washer - 1]]</f>
        <v>719.36000000033528</v>
      </c>
      <c r="DS23">
        <f>CS24-Table2[[#This Row],[2F5 Destacker]]</f>
        <v>223.26400000002468</v>
      </c>
      <c r="DT23">
        <f>CU24-Table2[[#This Row],[5F1 Metering (TW-2)]]</f>
        <v>198.56300000002375</v>
      </c>
      <c r="DU23">
        <f>CV24-Table2[[#This Row],[6F1 Pre soaker Tray washer]]</f>
        <v>0</v>
      </c>
      <c r="DV23">
        <f>CZ24-Table2[[#This Row],[6F5 Vent tray Storage]]</f>
        <v>31.440000000002328</v>
      </c>
      <c r="DW23">
        <f>I24-Table2[[#This Row],[Popeyes Meter ]]</f>
        <v>14.940000000000509</v>
      </c>
      <c r="DX23">
        <f>AZ24-Table2[[#This Row],[2F WH Chiller, Segregation Area]]</f>
        <v>0</v>
      </c>
      <c r="DY23">
        <f>BA24-Table2[[#This Row],[3F1 AC Unit WH dock cooling - 2 Nos]]</f>
        <v>17</v>
      </c>
      <c r="DZ23">
        <f>BB24-Table2[[#This Row],[3F2 AC Unit WH dock cooling - 3 Nos]]</f>
        <v>4.1000000000003922E-2</v>
      </c>
      <c r="EA23" s="1">
        <f>(BK24-Table2[[#This Row],[5F WH Perishable]])*1000</f>
        <v>312.00000000001182</v>
      </c>
      <c r="EB23">
        <f>BN24-Table2[[#This Row],[2F3 - PDB 9 - WH Dock Leveler Door ]]</f>
        <v>7.5200000000222644E-2</v>
      </c>
      <c r="EC23">
        <f>BP24-Table2[[#This Row],[3F1 - PDB 5 - WH HSD]]</f>
        <v>105.11999999999534</v>
      </c>
      <c r="ED23">
        <f>BX24-Table2[[#This Row],[8F1 WH Dock AHU - Ventilation]]</f>
        <v>1823.1680000000633</v>
      </c>
      <c r="EE23">
        <f>BZ24-Table2[[#This Row],[8F3 ACPDB - 4 WH Dock air curtain]]</f>
        <v>6.4399999999877764</v>
      </c>
      <c r="EF23">
        <f>CA24-Table2[[#This Row],[8F4 WH Light]]</f>
        <v>2.1720000000000255</v>
      </c>
      <c r="EG23">
        <f>CC24-Table2[[#This Row],[9F1 - PDB 10 - WH Dock door &amp; Office]]</f>
        <v>144.54399999999441</v>
      </c>
      <c r="EH23">
        <f>CD24-Table2[[#This Row],[9F2 - PDB 11 - WH flycatchers]]</f>
        <v>166.49599999998463</v>
      </c>
      <c r="EI23">
        <f>CE24-Table2[[#This Row],[9F3 - PDB 12 - Other items]]</f>
        <v>0</v>
      </c>
      <c r="EJ23">
        <f>CR24-Table2[[#This Row],[2F3 - PDB 1 - Dock 1 to 4 ]]</f>
        <v>68.168000000005122</v>
      </c>
      <c r="EK23">
        <f>BM24-Table2[[#This Row],[2F2 - PDB 3 - WH Truck &amp; Battery Charging]]</f>
        <v>602.88000000000466</v>
      </c>
      <c r="EL23">
        <f>(CK24-Table2[[#This Row],[PDB - 11 Truck Charging]])*1000</f>
        <v>61.000000000007049</v>
      </c>
      <c r="EM23">
        <f>P24-Table2[[#This Row],[5F3 Admin Area]]</f>
        <v>359.29600000008941</v>
      </c>
      <c r="EN23">
        <f>AH24-Table2[[#This Row],[2F5 Main Gate-1 Piller -1]]</f>
        <v>123</v>
      </c>
      <c r="EO23">
        <f>CW24-Table2[[#This Row],[6F2 Ground Floor AC]]</f>
        <v>10.675199999997858</v>
      </c>
      <c r="EP23">
        <f>CX24-Table2[[#This Row],[6F3 ACBD -1 (First floor AC)]]</f>
        <v>11.577599999996892</v>
      </c>
      <c r="EQ23">
        <f>CY24-Table2[[#This Row],[6F4 ACBD - 2 (Second &amp; Third floor AC)]]</f>
        <v>129.11999999999534</v>
      </c>
      <c r="ER23">
        <f>(BC24-Table2[[#This Row],[4F Old BMC cooling Unit]])</f>
        <v>3.2239999999874271</v>
      </c>
      <c r="ES23">
        <f>BO24-Table2[[#This Row],[2F4 - Old BMC]]</f>
        <v>0.61439999999856809</v>
      </c>
      <c r="ET23">
        <f>Y24-Table2[[#This Row],[14F2 New CK]]</f>
        <v>1095.7600000000093</v>
      </c>
      <c r="EU23">
        <f>(CL24-Table2[[#This Row],[OLD Ck Panel-1]])*1000</f>
        <v>557.99999999999272</v>
      </c>
      <c r="EV23">
        <f>CM24-Table2[[#This Row],[2F4 Old CK Blast (Blue star)]]</f>
        <v>0</v>
      </c>
      <c r="EW23">
        <f>CN24-Table2[[#This Row],[3F6 Old CK Blast (Carrier)]]</f>
        <v>463.69999999999709</v>
      </c>
      <c r="EX23">
        <f>(CO24-Table2[[#This Row],[Old CK Panel -2]])*1000</f>
        <v>875.99999999997635</v>
      </c>
      <c r="EY23">
        <f>N24-Table2[[#This Row],[4F1 Main UPS 1/C -1]]</f>
        <v>755.04000000003725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28.999999999996362</v>
      </c>
      <c r="FC23">
        <f>BW24-Table2[[#This Row],[7F3 CLC Power Panel]]</f>
        <v>161.79199999989942</v>
      </c>
      <c r="FD23">
        <f>(CI24-Table2[[#This Row],[PDB - 17 CLC Section ]])*1000</f>
        <v>91.999999999984539</v>
      </c>
      <c r="FE23">
        <f>(W24-Table2[[#This Row],[13F3 Water &amp; Lift Old CK]])*1000</f>
        <v>555.59999999991305</v>
      </c>
      <c r="FF23">
        <f>AA24-Table2[[#This Row],[15F2 New ETP Panel]]</f>
        <v>234.49600000004284</v>
      </c>
      <c r="FG23">
        <f>AL24-Table2[[#This Row],[3F4 Old ETP Panel]]</f>
        <v>62.080000000016298</v>
      </c>
      <c r="FH23">
        <f>AF24-Table2[[#This Row],[2F1 RO Plant]]</f>
        <v>462.97600000002421</v>
      </c>
      <c r="FI23">
        <f>AK24-Table2[[#This Row],[3F3 Fire Hydrant Panel]]</f>
        <v>9.0560000000114087</v>
      </c>
      <c r="FJ23">
        <f>R24-Table2[[#This Row],[7F1 Freon System Panel]]</f>
        <v>4809.5999999996275</v>
      </c>
      <c r="FK23">
        <f>(AE24-Table2[[#This Row],[21F1 Refrigeration Ammonia]])*1000</f>
        <v>5526.39999999883</v>
      </c>
      <c r="FL23">
        <f>(AG24-Table2[[#This Row],[2F3 Air Compressor]])*1000</f>
        <v>893.0000000000291</v>
      </c>
      <c r="FM23">
        <f>(AX24-Table2[[#This Row],[Solar Reading Panel II]])*1000</f>
        <v>1890.9999999996217</v>
      </c>
      <c r="FN23">
        <f>AI24-Table2[[#This Row],[3F1 Maintenance Workshop]]</f>
        <v>6.0560000000004948</v>
      </c>
      <c r="FO23">
        <f>BD24-Table2[[#This Row],[4F B2B unit ]]</f>
        <v>24.351999999955297</v>
      </c>
      <c r="FP23">
        <f>BL24-Table2[[#This Row],[2F1 - PDB 6 - Bread, B2B section]]</f>
        <v>12.422900000005029</v>
      </c>
      <c r="FQ23">
        <f>(CG24-Table2[[#This Row],[9F5 - PDB 14 - Bread Lift]])</f>
        <v>0.17919999902369455</v>
      </c>
      <c r="FR23">
        <f>CJ24-Table2[[#This Row],[PDB - 16 Bread Section]]</f>
        <v>0</v>
      </c>
      <c r="FS23">
        <f>BU24-Table2[[#This Row],[7F1 Donut Production area]]</f>
        <v>189.50399999995716</v>
      </c>
      <c r="FT23">
        <f>CB24-Table2[[#This Row],[8F5 Donut Ban Bary]]</f>
        <v>41.911999999996624</v>
      </c>
      <c r="FU23">
        <f>CF24-Table2[[#This Row],[9F4 - PDB 13 - Donut Sink Geyser area]]</f>
        <v>20.288000000000466</v>
      </c>
      <c r="FV23">
        <f>BV24-Table2[[#This Row],[7F2 Flour Silo]]</f>
        <v>338.55999999993946</v>
      </c>
      <c r="FW23">
        <f>BY24-Table2[[#This Row],[8F2 ACPDB - 3 SILO Ventilation]]</f>
        <v>38.208000000013271</v>
      </c>
      <c r="FX23">
        <f>J24-Table2[[#This Row],[DG 1010KVA Running Hours]]</f>
        <v>0.5999999999994543</v>
      </c>
      <c r="FY23">
        <f>K24-Table2[[#This Row],[DG 1010 KVA Meter Reading]]</f>
        <v>204</v>
      </c>
      <c r="FZ23">
        <f>L24-Table2[[#This Row],[GG 1010 KVA Running Hours]]</f>
        <v>1</v>
      </c>
      <c r="GA23">
        <f>M24-Table2[[#This Row],[GG 1010 KVA Meter Reading]]</f>
        <v>0.21999999999999886</v>
      </c>
    </row>
    <row r="24" spans="1:183" x14ac:dyDescent="0.35">
      <c r="A24" s="1">
        <v>34</v>
      </c>
      <c r="B24" s="2">
        <v>46223.385196759256</v>
      </c>
      <c r="C24" s="2">
        <v>46223.410671296297</v>
      </c>
      <c r="D24" s="1" t="s">
        <v>111</v>
      </c>
      <c r="E24" s="1"/>
      <c r="F24" s="1"/>
      <c r="G24" s="3">
        <v>46222</v>
      </c>
      <c r="H24" s="1" t="s">
        <v>186</v>
      </c>
      <c r="I24" s="6">
        <v>5952.3320000000003</v>
      </c>
      <c r="J24" s="6">
        <v>4249.3999999999996</v>
      </c>
      <c r="K24" s="6">
        <v>1766076</v>
      </c>
      <c r="L24" s="6">
        <v>431</v>
      </c>
      <c r="M24" s="6">
        <v>179.45</v>
      </c>
      <c r="N24" s="6">
        <v>1854170.72</v>
      </c>
      <c r="O24" s="6">
        <v>4471224</v>
      </c>
      <c r="P24" s="6">
        <v>639760.19200000004</v>
      </c>
      <c r="Q24" s="6">
        <v>8046089.7999999998</v>
      </c>
      <c r="R24" s="6">
        <v>5450465.9199999999</v>
      </c>
      <c r="S24" s="6">
        <v>7314380.0999999996</v>
      </c>
      <c r="T24" s="6">
        <v>42578695.696999997</v>
      </c>
      <c r="U24" s="6">
        <v>2082679.2</v>
      </c>
      <c r="V24" s="6">
        <v>5089080</v>
      </c>
      <c r="W24" s="6">
        <v>1582.4501</v>
      </c>
      <c r="X24" s="6">
        <v>769678.65599999996</v>
      </c>
      <c r="Y24" s="6">
        <v>1072836.24</v>
      </c>
      <c r="Z24" s="6">
        <v>2777.8894</v>
      </c>
      <c r="AA24" s="6">
        <v>664042.88</v>
      </c>
      <c r="AB24" s="6">
        <v>421099.424</v>
      </c>
      <c r="AC24" s="6">
        <v>2127470.08</v>
      </c>
      <c r="AD24" s="6">
        <v>2520933.1239999998</v>
      </c>
      <c r="AE24" s="6">
        <v>12699.336799999999</v>
      </c>
      <c r="AF24" s="6">
        <v>866974.4</v>
      </c>
      <c r="AG24" s="6">
        <v>1381.48</v>
      </c>
      <c r="AH24" s="6">
        <v>131733.76800000001</v>
      </c>
      <c r="AI24" s="6">
        <v>14546.1664</v>
      </c>
      <c r="AJ24" s="6">
        <v>145319.296</v>
      </c>
      <c r="AK24" s="6">
        <v>105053.46400000001</v>
      </c>
      <c r="AL24" s="6">
        <v>329441.24800000002</v>
      </c>
      <c r="AM24" s="6">
        <v>982.10599999999999</v>
      </c>
      <c r="AN24" s="6">
        <v>251.8</v>
      </c>
      <c r="AO24" s="6">
        <v>7.1</v>
      </c>
      <c r="AP24" s="6">
        <v>306369</v>
      </c>
      <c r="AQ24" s="6">
        <v>42305</v>
      </c>
      <c r="AR24" s="6">
        <v>41760</v>
      </c>
      <c r="AS24" s="6">
        <v>32307</v>
      </c>
      <c r="AT24" s="6">
        <v>22056</v>
      </c>
      <c r="AU24" s="6">
        <v>15286</v>
      </c>
      <c r="AV24" s="6">
        <v>6191</v>
      </c>
      <c r="AW24" s="6">
        <v>20.821148000000001</v>
      </c>
      <c r="AX24" s="6">
        <v>7201.49</v>
      </c>
      <c r="AY24" s="6">
        <v>676.87527999999998</v>
      </c>
      <c r="AZ24" s="6">
        <v>20.788</v>
      </c>
      <c r="BA24" s="6">
        <v>10096</v>
      </c>
      <c r="BB24" s="6">
        <v>44.09</v>
      </c>
      <c r="BC24" s="6">
        <v>113988.60799999999</v>
      </c>
      <c r="BD24" s="6">
        <v>275049.05599999998</v>
      </c>
      <c r="BE24" s="6">
        <v>3786.4659999999999</v>
      </c>
      <c r="BF24" s="6">
        <v>1712.0419999999999</v>
      </c>
      <c r="BG24" s="6">
        <v>74.564999999999998</v>
      </c>
      <c r="BH24" s="6">
        <v>359.20299999999997</v>
      </c>
      <c r="BI24" s="6">
        <v>908.01199999999994</v>
      </c>
      <c r="BJ24" s="6">
        <v>13.956</v>
      </c>
      <c r="BK24" s="6">
        <v>559.99699999999996</v>
      </c>
      <c r="BL24" s="6">
        <v>69490.291700000002</v>
      </c>
      <c r="BM24" s="6">
        <v>301972.83199999999</v>
      </c>
      <c r="BN24" s="6">
        <v>7162.4520000000002</v>
      </c>
      <c r="BO24" s="6">
        <v>53532.527999999998</v>
      </c>
      <c r="BP24" s="6">
        <v>312526.46399999998</v>
      </c>
      <c r="BQ24" s="6">
        <v>322.125</v>
      </c>
      <c r="BR24" s="6">
        <v>179.52</v>
      </c>
      <c r="BS24" s="6">
        <v>992263.85199999996</v>
      </c>
      <c r="BT24" s="6">
        <v>1400576.24</v>
      </c>
      <c r="BU24" s="6">
        <v>626226.81599999999</v>
      </c>
      <c r="BV24" s="6">
        <v>1015378.72</v>
      </c>
      <c r="BW24" s="6">
        <v>565084.28799999994</v>
      </c>
      <c r="BX24" s="6">
        <v>962939.52</v>
      </c>
      <c r="BY24" s="6">
        <v>156997.728</v>
      </c>
      <c r="BZ24" s="6">
        <v>114266.68</v>
      </c>
      <c r="CA24" s="6">
        <v>1203.9561000000001</v>
      </c>
      <c r="CB24" s="6">
        <v>107938.53599999999</v>
      </c>
      <c r="CC24" s="6">
        <v>148926.38399999999</v>
      </c>
      <c r="CD24" s="6">
        <v>443850.81599999999</v>
      </c>
      <c r="CE24" s="6">
        <v>49125.260799999996</v>
      </c>
      <c r="CF24" s="6">
        <v>155575.84</v>
      </c>
      <c r="CG24" s="6">
        <v>360800.61759999901</v>
      </c>
      <c r="CH24" s="6">
        <v>2385.8710000000001</v>
      </c>
      <c r="CI24" s="6">
        <v>212.24299999999999</v>
      </c>
      <c r="CJ24" s="6">
        <v>1176.4000000000001</v>
      </c>
      <c r="CK24" s="6">
        <v>77.433000000000007</v>
      </c>
      <c r="CL24" s="6">
        <v>726.32100000000003</v>
      </c>
      <c r="CM24" s="6">
        <v>551.4</v>
      </c>
      <c r="CN24" s="6">
        <v>39417.599999999999</v>
      </c>
      <c r="CO24" s="6">
        <v>1639.682</v>
      </c>
      <c r="CP24" s="6">
        <v>292179.21799999999</v>
      </c>
      <c r="CQ24" s="6">
        <v>3667083.2</v>
      </c>
      <c r="CR24" s="6">
        <v>130197.016</v>
      </c>
      <c r="CS24" s="6">
        <v>510078.272</v>
      </c>
      <c r="CT24" s="6">
        <v>2885579.2379999999</v>
      </c>
      <c r="CU24" s="6">
        <v>294933.47200000001</v>
      </c>
      <c r="CV24" s="6">
        <v>30124.076799999999</v>
      </c>
      <c r="CW24" s="6">
        <v>62554.8416</v>
      </c>
      <c r="CX24" s="6">
        <v>33366.639999999999</v>
      </c>
      <c r="CY24" s="6">
        <v>165988.016</v>
      </c>
      <c r="CZ24" s="6">
        <v>216937.45600000001</v>
      </c>
      <c r="DA24" s="6">
        <v>17826.39</v>
      </c>
      <c r="DB24" s="6">
        <v>148646.82500000001</v>
      </c>
      <c r="DC24" s="6">
        <v>2949.4</v>
      </c>
      <c r="DD24" s="6">
        <v>2949.3</v>
      </c>
      <c r="DE24" s="6">
        <v>2974.1</v>
      </c>
      <c r="DF24" s="6">
        <v>0.996</v>
      </c>
      <c r="DG24" s="1" t="s">
        <v>247</v>
      </c>
      <c r="DH24" s="4">
        <f>Table2[[#This Row],[Date]]</f>
        <v>46222</v>
      </c>
      <c r="DI24">
        <f>(DD25-Table2[[#This Row],[MWH Total]])*4000</f>
        <v>21119.999999998981</v>
      </c>
      <c r="DJ24">
        <f>(DA25-Table2[[#This Row],[PNG Meter (Outside)]])*2.936</f>
        <v>41.103999999999999</v>
      </c>
      <c r="DK24">
        <f>(DB25-Table2[[#This Row],[PNG Meter (Inside)]])*2.936</f>
        <v>236.70031999998633</v>
      </c>
      <c r="DL24">
        <f>(BH25-Table2[[#This Row],[3F Dough cooler - 2 ]])*1000</f>
        <v>359.00000000003729</v>
      </c>
      <c r="DM24">
        <f>(BI25-Table2[[#This Row],[3F Dough Cooler- 1]])*1000</f>
        <v>588.00000000007913</v>
      </c>
      <c r="DN24">
        <f>(BJ25-Table2[[#This Row],[4F Dough Production cooling Unit]])*1000</f>
        <v>67.000000000000171</v>
      </c>
      <c r="DO24">
        <f>(BQ25-Table2[[#This Row],[3F2 - PDB 3 - Dough Production Area]])*1000</f>
        <v>233.00000000000409</v>
      </c>
      <c r="DP24">
        <f>(BR25-Table2[[#This Row],[3F3 - PDB 4 - Dough Area]])*1000</f>
        <v>123.99999999999523</v>
      </c>
      <c r="DQ24">
        <f>AC25-Table2[[#This Row],[16F1 Tray washer Panel for Light]]</f>
        <v>839.1999999997206</v>
      </c>
      <c r="DR24">
        <f>CQ25-Table2[[#This Row],[2F1 Tray Washer - 1]]</f>
        <v>1493.4399999999441</v>
      </c>
      <c r="DS24">
        <f>CS25-Table2[[#This Row],[2F5 Destacker]]</f>
        <v>385.98399999999674</v>
      </c>
      <c r="DT24">
        <f>CU25-Table2[[#This Row],[5F1 Metering (TW-2)]]</f>
        <v>270.22800000000279</v>
      </c>
      <c r="DU24">
        <f>CV25-Table2[[#This Row],[6F1 Pre soaker Tray washer]]</f>
        <v>0.63680000000022119</v>
      </c>
      <c r="DV24">
        <f>CZ25-Table2[[#This Row],[6F5 Vent tray Storage]]</f>
        <v>39.231999999989057</v>
      </c>
      <c r="DW24">
        <f>I25-Table2[[#This Row],[Popeyes Meter ]]</f>
        <v>14.119999999999891</v>
      </c>
      <c r="DX24">
        <f>AZ25-Table2[[#This Row],[2F WH Chiller, Segregation Area]]</f>
        <v>0</v>
      </c>
      <c r="DY24">
        <f>BA25-Table2[[#This Row],[3F1 AC Unit WH dock cooling - 2 Nos]]</f>
        <v>21</v>
      </c>
      <c r="DZ24">
        <f>BB25-Table2[[#This Row],[3F2 AC Unit WH dock cooling - 3 Nos]]</f>
        <v>4.5999999999999375E-2</v>
      </c>
      <c r="EA24">
        <f>(BK25-Table2[[#This Row],[5F WH Perishable]])*1000</f>
        <v>248.00000000004729</v>
      </c>
      <c r="EB24">
        <f>BN25-Table2[[#This Row],[2F3 - PDB 9 - WH Dock Leveler Door ]]</f>
        <v>1.653599999999642</v>
      </c>
      <c r="EC24">
        <f>BP25-Table2[[#This Row],[3F1 - PDB 5 - WH HSD]]</f>
        <v>170.81600000004983</v>
      </c>
      <c r="ED24">
        <f>BX25-Table2[[#This Row],[8F1 WH Dock AHU - Ventilation]]</f>
        <v>2896.4479999999749</v>
      </c>
      <c r="EE24">
        <f>BZ25-Table2[[#This Row],[8F3 ACPDB - 4 WH Dock air curtain]]</f>
        <v>0.71200000001408625</v>
      </c>
      <c r="EF24">
        <f>CA25-Table2[[#This Row],[8F4 WH Light]]</f>
        <v>3.4420999999999822</v>
      </c>
      <c r="EG24">
        <f>CC25-Table2[[#This Row],[9F1 - PDB 10 - WH Dock door &amp; Office]]</f>
        <v>129.88800000000629</v>
      </c>
      <c r="EH24">
        <f>CD25-Table2[[#This Row],[9F2 - PDB 11 - WH flycatchers]]</f>
        <v>95.456000000005588</v>
      </c>
      <c r="EI24">
        <f>CE25-Table2[[#This Row],[9F3 - PDB 12 - Other items]]</f>
        <v>0</v>
      </c>
      <c r="EJ24">
        <f>CR25-Table2[[#This Row],[2F3 - PDB 1 - Dock 1 to 4 ]]</f>
        <v>89.16799999999057</v>
      </c>
      <c r="EK24">
        <f>BM25-Table2[[#This Row],[2F2 - PDB 3 - WH Truck &amp; Battery Charging]]</f>
        <v>625.50400000001537</v>
      </c>
      <c r="EL24">
        <f>(CK25-Table2[[#This Row],[PDB - 11 Truck Charging]])*1000</f>
        <v>22.999999999996135</v>
      </c>
      <c r="EM24">
        <f>P25-Table2[[#This Row],[5F3 Admin Area]]</f>
        <v>449.47199999995064</v>
      </c>
      <c r="EN24">
        <f>AH25-Table2[[#This Row],[2F5 Main Gate-1 Piller -1]]</f>
        <v>126.26399999999558</v>
      </c>
      <c r="EO24">
        <f>CW25-Table2[[#This Row],[6F2 Ground Floor AC]]</f>
        <v>14.118399999999383</v>
      </c>
      <c r="EP24">
        <f>CX25-Table2[[#This Row],[6F3 ACBD -1 (First floor AC)]]</f>
        <v>8.9919999999983702</v>
      </c>
      <c r="EQ24">
        <f>CY25-Table2[[#This Row],[6F4 ACBD - 2 (Second &amp; Third floor AC)]]</f>
        <v>185.44000000000233</v>
      </c>
      <c r="ER24">
        <f>(BC25-Table2[[#This Row],[4F Old BMC cooling Unit]])</f>
        <v>0</v>
      </c>
      <c r="ES24">
        <f>BO25-Table2[[#This Row],[2F4 - Old BMC]]</f>
        <v>0.22720000000117579</v>
      </c>
      <c r="ET24">
        <f>Y25-Table2[[#This Row],[14F2 New CK]]</f>
        <v>650.15999999991618</v>
      </c>
      <c r="EU24">
        <f>(CL25-Table2[[#This Row],[OLD Ck Panel-1]])*1000</f>
        <v>382.99999999992451</v>
      </c>
      <c r="EV24">
        <f>CM25-Table2[[#This Row],[2F4 Old CK Blast (Blue star)]]</f>
        <v>0</v>
      </c>
      <c r="EW24">
        <f>CN25-Table2[[#This Row],[3F6 Old CK Blast (Carrier)]]</f>
        <v>267.59999999999854</v>
      </c>
      <c r="EX24">
        <f>(CO25-Table2[[#This Row],[Old CK Panel -2]])*1000</f>
        <v>983.9999999999236</v>
      </c>
      <c r="EY24">
        <f>N25-Table2[[#This Row],[4F1 Main UPS 1/C -1]]</f>
        <v>955.84000000008382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25.000000000005684</v>
      </c>
      <c r="FC24">
        <f>BW25-Table2[[#This Row],[7F3 CLC Power Panel]]</f>
        <v>132.54400000011083</v>
      </c>
      <c r="FD24">
        <f>(CI25-Table2[[#This Row],[PDB - 17 CLC Section ]])*1000</f>
        <v>87.000000000017508</v>
      </c>
      <c r="FE24">
        <f>(W25-Table2[[#This Row],[13F3 Water &amp; Lift Old CK]])*1000</f>
        <v>863.39999999995598</v>
      </c>
      <c r="FF24">
        <f>AA25-Table2[[#This Row],[15F2 New ETP Panel]]</f>
        <v>348.73600000003353</v>
      </c>
      <c r="FG24">
        <f>AL25-Table2[[#This Row],[3F4 Old ETP Panel]]</f>
        <v>74.687999999965541</v>
      </c>
      <c r="FH24">
        <f>AF25-Table2[[#This Row],[2F1 RO Plant]]</f>
        <v>638.71999999997206</v>
      </c>
      <c r="FI24">
        <f>AK25-Table2[[#This Row],[3F3 Fire Hydrant Panel]]</f>
        <v>12.719999999986612</v>
      </c>
      <c r="FJ24">
        <f>R25-Table2[[#This Row],[7F1 Freon System Panel]]</f>
        <v>6138.8799999998882</v>
      </c>
      <c r="FK24">
        <f>(AE25-Table2[[#This Row],[21F1 Refrigeration Ammonia]])*1000</f>
        <v>7318.4000000001106</v>
      </c>
      <c r="FL24">
        <f>(AG25-Table2[[#This Row],[2F3 Air Compressor]])*1000</f>
        <v>1204.9999999999272</v>
      </c>
      <c r="FM24">
        <f>(AX25-Table2[[#This Row],[Solar Reading Panel II]])*1000</f>
        <v>1543.999999999869</v>
      </c>
      <c r="FN24">
        <f>AI25-Table2[[#This Row],[3F1 Maintenance Workshop]]</f>
        <v>8.5488000000004831</v>
      </c>
      <c r="FO24">
        <f>BD25-Table2[[#This Row],[4F B2B unit ]]</f>
        <v>35.648000000044703</v>
      </c>
      <c r="FP24">
        <f>BL25-Table2[[#This Row],[2F1 - PDB 6 - Bread, B2B section]]</f>
        <v>89.356299999999464</v>
      </c>
      <c r="FQ24">
        <f>(CG25-Table2[[#This Row],[9F5 - PDB 14 - Bread Lift]])</f>
        <v>8.3200000983197242E-2</v>
      </c>
      <c r="FR24">
        <f>CJ25-Table2[[#This Row],[PDB - 16 Bread Section]]</f>
        <v>0.59999999999990905</v>
      </c>
      <c r="FS24">
        <f>BU25-Table2[[#This Row],[7F1 Donut Production area]]</f>
        <v>195.52000000001863</v>
      </c>
      <c r="FT24">
        <f>CB25-Table2[[#This Row],[8F5 Donut Ban Bary]]</f>
        <v>78.63200000001234</v>
      </c>
      <c r="FU24">
        <f>CF25-Table2[[#This Row],[9F4 - PDB 13 - Donut Sink Geyser area]]</f>
        <v>16.368000000016764</v>
      </c>
      <c r="FV24">
        <f>BV25-Table2[[#This Row],[7F2 Flour Silo]]</f>
        <v>389.68000000005122</v>
      </c>
      <c r="FW24">
        <f>BY25-Table2[[#This Row],[8F2 ACPDB - 3 SILO Ventilation]]</f>
        <v>60.62400000001071</v>
      </c>
      <c r="FX24">
        <f>J25-Table2[[#This Row],[DG 1010KVA Running Hours]]</f>
        <v>0.4000000000005457</v>
      </c>
      <c r="FY24">
        <f>K25-Table2[[#This Row],[DG 1010 KVA Meter Reading]]</f>
        <v>111</v>
      </c>
      <c r="FZ24">
        <f>L25-Table2[[#This Row],[GG 1010 KVA Running Hours]]</f>
        <v>0</v>
      </c>
      <c r="GA24">
        <f>M25-Table2[[#This Row],[GG 1010 KVA Meter Reading]]</f>
        <v>0.12000000000000455</v>
      </c>
    </row>
    <row r="25" spans="1:183" x14ac:dyDescent="0.35">
      <c r="A25" s="1">
        <v>35</v>
      </c>
      <c r="B25" s="2">
        <v>46223.411828703705</v>
      </c>
      <c r="C25" s="2">
        <v>46223.455567129633</v>
      </c>
      <c r="D25" s="1" t="s">
        <v>111</v>
      </c>
      <c r="E25" s="1"/>
      <c r="F25" s="1"/>
      <c r="G25" s="3">
        <v>46223</v>
      </c>
      <c r="H25" s="1" t="s">
        <v>186</v>
      </c>
      <c r="I25" s="6">
        <v>5966.4520000000002</v>
      </c>
      <c r="J25" s="6">
        <v>4249.8</v>
      </c>
      <c r="K25" s="6">
        <v>1766187</v>
      </c>
      <c r="L25" s="6">
        <v>431</v>
      </c>
      <c r="M25" s="6">
        <v>179.57</v>
      </c>
      <c r="N25" s="6">
        <v>1855126.56</v>
      </c>
      <c r="O25" s="6">
        <v>4573196.16</v>
      </c>
      <c r="P25" s="6">
        <v>640209.66399999999</v>
      </c>
      <c r="Q25" s="6">
        <v>8048722.5599999996</v>
      </c>
      <c r="R25" s="6">
        <v>5456604.7999999998</v>
      </c>
      <c r="S25" s="6">
        <v>7317872</v>
      </c>
      <c r="T25" s="6">
        <v>43026103.707000002</v>
      </c>
      <c r="U25" s="6">
        <v>2083947.2</v>
      </c>
      <c r="V25" s="6">
        <v>5091004.4800000004</v>
      </c>
      <c r="W25" s="6">
        <v>1583.3135</v>
      </c>
      <c r="X25" s="6">
        <v>769938.75199999998</v>
      </c>
      <c r="Y25" s="6">
        <v>1073486.3999999999</v>
      </c>
      <c r="Z25" s="6">
        <v>2777.8894</v>
      </c>
      <c r="AA25" s="6">
        <v>664391.61600000004</v>
      </c>
      <c r="AB25" s="6">
        <v>421111.07199999999</v>
      </c>
      <c r="AC25" s="6">
        <v>2128309.2799999998</v>
      </c>
      <c r="AD25" s="6">
        <v>3850793.696</v>
      </c>
      <c r="AE25" s="6">
        <v>12706.655199999999</v>
      </c>
      <c r="AF25" s="6">
        <v>867613.12</v>
      </c>
      <c r="AG25" s="6">
        <v>1382.6849999999999</v>
      </c>
      <c r="AH25" s="6">
        <v>131860.03200000001</v>
      </c>
      <c r="AI25" s="6">
        <v>14554.715200000001</v>
      </c>
      <c r="AJ25" s="6">
        <v>145324.848</v>
      </c>
      <c r="AK25" s="6">
        <v>105066.18399999999</v>
      </c>
      <c r="AL25" s="6">
        <v>329515.93599999999</v>
      </c>
      <c r="AM25" s="6">
        <v>983.125</v>
      </c>
      <c r="AN25" s="6">
        <v>275.60000000000002</v>
      </c>
      <c r="AO25" s="6">
        <v>7.3</v>
      </c>
      <c r="AP25" s="6">
        <v>316902</v>
      </c>
      <c r="AQ25" s="6">
        <v>42305</v>
      </c>
      <c r="AR25" s="6">
        <v>41761</v>
      </c>
      <c r="AS25" s="6">
        <v>32307</v>
      </c>
      <c r="AT25" s="6">
        <v>22056</v>
      </c>
      <c r="AU25" s="6">
        <v>15291</v>
      </c>
      <c r="AV25" s="6">
        <v>6195</v>
      </c>
      <c r="AW25" s="6">
        <v>20.82827</v>
      </c>
      <c r="AX25" s="6">
        <v>7203.0339999999997</v>
      </c>
      <c r="AY25" s="6">
        <v>677.00832000000003</v>
      </c>
      <c r="AZ25" s="6">
        <v>20.788</v>
      </c>
      <c r="BA25" s="6">
        <v>10117</v>
      </c>
      <c r="BB25" s="6">
        <v>44.136000000000003</v>
      </c>
      <c r="BC25" s="6">
        <v>113988.60799999999</v>
      </c>
      <c r="BD25" s="6">
        <v>275084.70400000003</v>
      </c>
      <c r="BE25" s="6">
        <v>3707.9452000000001</v>
      </c>
      <c r="BF25" s="6">
        <v>1712.0419999999999</v>
      </c>
      <c r="BG25" s="6">
        <v>74.59</v>
      </c>
      <c r="BH25" s="6">
        <v>359.56200000000001</v>
      </c>
      <c r="BI25" s="6">
        <v>908.6</v>
      </c>
      <c r="BJ25" s="6">
        <v>14.023</v>
      </c>
      <c r="BK25" s="6">
        <v>560.245</v>
      </c>
      <c r="BL25" s="6">
        <v>69579.648000000001</v>
      </c>
      <c r="BM25" s="6">
        <v>302598.33600000001</v>
      </c>
      <c r="BN25" s="6">
        <v>7164.1055999999999</v>
      </c>
      <c r="BO25" s="6">
        <v>53532.7552</v>
      </c>
      <c r="BP25" s="6">
        <v>312697.28000000003</v>
      </c>
      <c r="BQ25" s="6">
        <v>322.358</v>
      </c>
      <c r="BR25" s="6">
        <v>179.64400000000001</v>
      </c>
      <c r="BS25" s="6">
        <v>993574.60199999996</v>
      </c>
      <c r="BT25" s="6">
        <v>1400591.5689999999</v>
      </c>
      <c r="BU25" s="6">
        <v>626422.33600000001</v>
      </c>
      <c r="BV25" s="6">
        <v>1015768.4</v>
      </c>
      <c r="BW25" s="6">
        <v>565216.83200000005</v>
      </c>
      <c r="BX25" s="6">
        <v>965835.96799999999</v>
      </c>
      <c r="BY25" s="6">
        <v>157058.35200000001</v>
      </c>
      <c r="BZ25" s="6">
        <v>114267.39200000001</v>
      </c>
      <c r="CA25" s="6">
        <v>1207.3982000000001</v>
      </c>
      <c r="CB25" s="6">
        <v>108017.16800000001</v>
      </c>
      <c r="CC25" s="6">
        <v>149056.272</v>
      </c>
      <c r="CD25" s="6">
        <v>443946.272</v>
      </c>
      <c r="CE25" s="6">
        <v>49125.260799999996</v>
      </c>
      <c r="CF25" s="6">
        <v>155592.20800000001</v>
      </c>
      <c r="CG25" s="6">
        <v>360800.70079999999</v>
      </c>
      <c r="CH25" s="6">
        <v>2385.8710000000001</v>
      </c>
      <c r="CI25" s="6">
        <v>212.33</v>
      </c>
      <c r="CJ25" s="6">
        <v>1177</v>
      </c>
      <c r="CK25" s="6">
        <v>77.456000000000003</v>
      </c>
      <c r="CL25" s="6">
        <v>726.70399999999995</v>
      </c>
      <c r="CM25" s="6">
        <v>551.4</v>
      </c>
      <c r="CN25" s="6">
        <v>39685.199999999997</v>
      </c>
      <c r="CO25" s="6">
        <v>1640.6659999999999</v>
      </c>
      <c r="CP25" s="6">
        <v>292376.82299999997</v>
      </c>
      <c r="CQ25" s="6">
        <v>3668576.64</v>
      </c>
      <c r="CR25" s="6">
        <v>130286.18399999999</v>
      </c>
      <c r="CS25" s="6">
        <v>510464.25599999999</v>
      </c>
      <c r="CT25" s="6">
        <v>2889386.41</v>
      </c>
      <c r="CU25" s="6">
        <v>295203.7</v>
      </c>
      <c r="CV25" s="6">
        <v>30124.713599999999</v>
      </c>
      <c r="CW25" s="6">
        <v>62568.959999999999</v>
      </c>
      <c r="CX25" s="6">
        <v>33375.631999999998</v>
      </c>
      <c r="CY25" s="6">
        <v>166173.45600000001</v>
      </c>
      <c r="CZ25" s="6">
        <v>216976.68799999999</v>
      </c>
      <c r="DA25" s="6">
        <v>17840.39</v>
      </c>
      <c r="DB25" s="6">
        <v>148727.44500000001</v>
      </c>
      <c r="DC25" s="6">
        <v>2954.61</v>
      </c>
      <c r="DD25" s="6">
        <v>2954.58</v>
      </c>
      <c r="DE25" s="6">
        <v>2979.4</v>
      </c>
      <c r="DF25" s="6">
        <v>0.99399999999999999</v>
      </c>
      <c r="DG25" s="1" t="s">
        <v>248</v>
      </c>
      <c r="DH25" s="4">
        <f>Table2[[#This Row],[Date]]</f>
        <v>46223</v>
      </c>
      <c r="DI25">
        <f>(DD26-Table2[[#This Row],[MWH Total]])*4000</f>
        <v>20719.999999999345</v>
      </c>
      <c r="DJ25">
        <f>(DA26-Table2[[#This Row],[PNG Meter (Outside)]])*2.936</f>
        <v>641.01688000000513</v>
      </c>
      <c r="DK25">
        <f>(DB26-Table2[[#This Row],[PNG Meter (Inside)]])*2.936</f>
        <v>409.18151199999522</v>
      </c>
      <c r="DL25">
        <f>(BH26-Table2[[#This Row],[3F Dough cooler - 2 ]])*1000</f>
        <v>437.00000000001182</v>
      </c>
      <c r="DM25">
        <f>(BI26-Table2[[#This Row],[3F Dough Cooler- 1]])*1000</f>
        <v>477.9999999999518</v>
      </c>
      <c r="DN25">
        <f>(BJ26-Table2[[#This Row],[4F Dough Production cooling Unit]])*1000</f>
        <v>30.000000000001137</v>
      </c>
      <c r="DO25">
        <f>(BQ26-Table2[[#This Row],[3F2 - PDB 3 - Dough Production Area]])*1000</f>
        <v>129.0000000000191</v>
      </c>
      <c r="DP25">
        <f>(BR26-Table2[[#This Row],[3F3 - PDB 4 - Dough Area]])*1000</f>
        <v>73.000000000007503</v>
      </c>
      <c r="DQ25">
        <f>AC26-Table2[[#This Row],[16F1 Tray washer Panel for Light]]</f>
        <v>700.16000000014901</v>
      </c>
      <c r="DR25">
        <f>CQ26-Table2[[#This Row],[2F1 Tray Washer - 1]]</f>
        <v>942.39999999990687</v>
      </c>
      <c r="DS25">
        <f>CS26-Table2[[#This Row],[2F5 Destacker]]</f>
        <v>252.12800000002608</v>
      </c>
      <c r="DT25">
        <f>CU26-Table2[[#This Row],[5F1 Metering (TW-2)]]</f>
        <v>250.52199999999721</v>
      </c>
      <c r="DU25">
        <f>CV26-Table2[[#This Row],[6F1 Pre soaker Tray washer]]</f>
        <v>6.4000000020314474E-3</v>
      </c>
      <c r="DV25">
        <f>CZ26-Table2[[#This Row],[6F5 Vent tray Storage]]</f>
        <v>67.760000000009313</v>
      </c>
      <c r="DW25">
        <f>I26-Table2[[#This Row],[Popeyes Meter ]]</f>
        <v>57.269999999999527</v>
      </c>
      <c r="DX25">
        <f>AZ26-Table2[[#This Row],[2F WH Chiller, Segregation Area]]</f>
        <v>0</v>
      </c>
      <c r="DY25" s="1">
        <f>BA26-Table2[[#This Row],[3F1 AC Unit WH dock cooling - 2 Nos]]</f>
        <v>18</v>
      </c>
      <c r="DZ25">
        <f>BB26-Table2[[#This Row],[3F2 AC Unit WH dock cooling - 3 Nos]]</f>
        <v>5.1999999999999602E-2</v>
      </c>
      <c r="EA25">
        <f>(BK26-Table2[[#This Row],[5F WH Perishable]])*1000</f>
        <v>279.99999999997272</v>
      </c>
      <c r="EB25">
        <f>BN26-Table2[[#This Row],[2F3 - PDB 9 - WH Dock Leveler Door ]]</f>
        <v>1.6231999999999971</v>
      </c>
      <c r="EC25">
        <f>BP26-Table2[[#This Row],[3F1 - PDB 5 - WH HSD]]</f>
        <v>138.91199999995297</v>
      </c>
      <c r="ED25">
        <f>BX26-Table2[[#This Row],[8F1 WH Dock AHU - Ventilation]]</f>
        <v>2307.1360000000568</v>
      </c>
      <c r="EE25">
        <f>BZ26-Table2[[#This Row],[8F3 ACPDB - 4 WH Dock air curtain]]</f>
        <v>5.0879999999888241</v>
      </c>
      <c r="EF25">
        <f>CA26-Table2[[#This Row],[8F4 WH Light]]</f>
        <v>2.7300999999999931</v>
      </c>
      <c r="EG25">
        <f>CC26-Table2[[#This Row],[9F1 - PDB 10 - WH Dock door &amp; Office]]</f>
        <v>124.89600000000792</v>
      </c>
      <c r="EH25">
        <f>CD26-Table2[[#This Row],[9F2 - PDB 11 - WH flycatchers]]</f>
        <v>120.38400000002002</v>
      </c>
      <c r="EI25">
        <f>CE26-Table2[[#This Row],[9F3 - PDB 12 - Other items]]</f>
        <v>0</v>
      </c>
      <c r="EJ25">
        <f>CR26-Table2[[#This Row],[2F3 - PDB 1 - Dock 1 to 4 ]]</f>
        <v>62.576000000000931</v>
      </c>
      <c r="EK25">
        <f>BM26-Table2[[#This Row],[2F2 - PDB 3 - WH Truck &amp; Battery Charging]]</f>
        <v>469.08799999998882</v>
      </c>
      <c r="EL25">
        <f>(CK26-Table2[[#This Row],[PDB - 11 Truck Charging]])*1000</f>
        <v>33.999999999991815</v>
      </c>
      <c r="EM25">
        <f>P26-Table2[[#This Row],[5F3 Admin Area]]</f>
        <v>389.50399999995716</v>
      </c>
      <c r="EN25">
        <f>AH26-Table2[[#This Row],[2F5 Main Gate-1 Piller -1]]</f>
        <v>101.04799999998068</v>
      </c>
      <c r="EO25">
        <f>CW26-Table2[[#This Row],[6F2 Ground Floor AC]]</f>
        <v>13.734400000001187</v>
      </c>
      <c r="EP25">
        <f>CX26-Table2[[#This Row],[6F3 ACBD -1 (First floor AC)]]</f>
        <v>0</v>
      </c>
      <c r="EQ25">
        <f>CY26-Table2[[#This Row],[6F4 ACBD - 2 (Second &amp; Third floor AC)]]</f>
        <v>145.77599999998347</v>
      </c>
      <c r="ER25">
        <f>(BC26-Table2[[#This Row],[4F Old BMC cooling Unit]])</f>
        <v>0</v>
      </c>
      <c r="ES25">
        <f>BO26-Table2[[#This Row],[2F4 - Old BMC]]</f>
        <v>0.18880000000353903</v>
      </c>
      <c r="ET25">
        <f>Y26-Table2[[#This Row],[14F2 New CK]]</f>
        <v>1472.9600000001956</v>
      </c>
      <c r="EU25">
        <f>(CL26-Table2[[#This Row],[OLD Ck Panel-1]])*1000</f>
        <v>629.0000000000191</v>
      </c>
      <c r="EV25">
        <f>CM26-Table2[[#This Row],[2F4 Old CK Blast (Blue star)]]</f>
        <v>0</v>
      </c>
      <c r="EW25">
        <f>CN26-Table2[[#This Row],[3F6 Old CK Blast (Carrier)]]</f>
        <v>498.40000000000146</v>
      </c>
      <c r="EX25">
        <f>(CO26-Table2[[#This Row],[Old CK Panel -2]])*1000</f>
        <v>764.00000000012369</v>
      </c>
      <c r="EY25">
        <f>N26-Table2[[#This Row],[4F1 Main UPS 1/C -1]]</f>
        <v>889.11999999987893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21.000000000000796</v>
      </c>
      <c r="FC25">
        <f>BW26-Table2[[#This Row],[7F3 CLC Power Panel]]</f>
        <v>242.81599999999162</v>
      </c>
      <c r="FD25">
        <f>(CI26-Table2[[#This Row],[PDB - 17 CLC Section ]])*1000</f>
        <v>151.99999999998681</v>
      </c>
      <c r="FE25">
        <f>(W26-Table2[[#This Row],[13F3 Water &amp; Lift Old CK]])*1000</f>
        <v>810.79999999997199</v>
      </c>
      <c r="FF25">
        <f>AA26-Table2[[#This Row],[15F2 New ETP Panel]]</f>
        <v>386.49599999992643</v>
      </c>
      <c r="FG25">
        <f>AL26-Table2[[#This Row],[3F4 Old ETP Panel]]</f>
        <v>68.288000000000466</v>
      </c>
      <c r="FH25">
        <f>AF26-Table2[[#This Row],[2F1 RO Plant]]</f>
        <v>511.16799999994691</v>
      </c>
      <c r="FI25">
        <f>AK26-Table2[[#This Row],[3F3 Fire Hydrant Panel]]</f>
        <v>10.528000000005704</v>
      </c>
      <c r="FJ25">
        <f>R26-Table2[[#This Row],[7F1 Freon System Panel]]</f>
        <v>5617.9199999999255</v>
      </c>
      <c r="FK25">
        <f>(AE26-Table2[[#This Row],[21F1 Refrigeration Ammonia]])*1000</f>
        <v>6792.0000000012806</v>
      </c>
      <c r="FL25">
        <f>(AG26-Table2[[#This Row],[2F3 Air Compressor]])*1000</f>
        <v>1030.9999999999491</v>
      </c>
      <c r="FM25">
        <f>(AX26-Table2[[#This Row],[Solar Reading Panel II]])*1000</f>
        <v>788.00000000046566</v>
      </c>
      <c r="FN25">
        <f>AI26-Table2[[#This Row],[3F1 Maintenance Workshop]]</f>
        <v>5.7759999999998399</v>
      </c>
      <c r="FO25">
        <f>BD26-Table2[[#This Row],[4F B2B unit ]]</f>
        <v>61.311999999976251</v>
      </c>
      <c r="FP25">
        <f>BL26-Table2[[#This Row],[2F1 - PDB 6 - Bread, B2B section]]</f>
        <v>282.57279999999446</v>
      </c>
      <c r="FQ25">
        <f>(CG26-Table2[[#This Row],[9F5 - PDB 14 - Bread Lift]])</f>
        <v>0.55359999998472631</v>
      </c>
      <c r="FR25">
        <f>CJ26-Table2[[#This Row],[PDB - 16 Bread Section]]</f>
        <v>2.2000000000000455</v>
      </c>
      <c r="FS25">
        <f>BU26-Table2[[#This Row],[7F1 Donut Production area]]</f>
        <v>174.01599999994505</v>
      </c>
      <c r="FT25">
        <f>CB26-Table2[[#This Row],[8F5 Donut Ban Bary]]</f>
        <v>53.919999999998254</v>
      </c>
      <c r="FU25">
        <f>CF26-Table2[[#This Row],[9F4 - PDB 13 - Donut Sink Geyser area]]</f>
        <v>17.903999999980442</v>
      </c>
      <c r="FV25">
        <f>BV26-Table2[[#This Row],[7F2 Flour Silo]]</f>
        <v>515.11999999999534</v>
      </c>
      <c r="FW25">
        <f>BY26-Table2[[#This Row],[8F2 ACPDB - 3 SILO Ventilation]]</f>
        <v>48.36799999998766</v>
      </c>
      <c r="FX25">
        <f>J26-Table2[[#This Row],[DG 1010KVA Running Hours]]</f>
        <v>0.8000000000001819</v>
      </c>
      <c r="FY25">
        <f>K26-Table2[[#This Row],[DG 1010 KVA Meter Reading]]</f>
        <v>382</v>
      </c>
      <c r="FZ25">
        <f>L26-Table2[[#This Row],[GG 1010 KVA Running Hours]]</f>
        <v>1</v>
      </c>
      <c r="GA25">
        <f>M26-Table2[[#This Row],[GG 1010 KVA Meter Reading]]</f>
        <v>0.36000000000001364</v>
      </c>
    </row>
    <row r="26" spans="1:183" x14ac:dyDescent="0.35">
      <c r="A26" s="1">
        <v>36</v>
      </c>
      <c r="B26" s="2">
        <v>46224.403587962966</v>
      </c>
      <c r="C26" s="2">
        <v>46224.447696759256</v>
      </c>
      <c r="D26" s="1" t="s">
        <v>111</v>
      </c>
      <c r="E26" s="1"/>
      <c r="F26" s="1"/>
      <c r="G26" s="3">
        <v>46224</v>
      </c>
      <c r="H26" s="1" t="s">
        <v>186</v>
      </c>
      <c r="I26" s="6">
        <v>6023.7219999999998</v>
      </c>
      <c r="J26" s="6">
        <v>4250.6000000000004</v>
      </c>
      <c r="K26" s="6">
        <v>1766569</v>
      </c>
      <c r="L26" s="6">
        <v>432</v>
      </c>
      <c r="M26" s="6">
        <v>179.93</v>
      </c>
      <c r="N26" s="6">
        <v>1856015.68</v>
      </c>
      <c r="O26" s="6">
        <v>4574826.5599999996</v>
      </c>
      <c r="P26" s="6">
        <v>640599.16799999995</v>
      </c>
      <c r="Q26" s="6">
        <v>8050437.7599999998</v>
      </c>
      <c r="R26" s="6">
        <v>5462222.7199999997</v>
      </c>
      <c r="S26" s="6">
        <v>7320458.8799999999</v>
      </c>
      <c r="T26" s="6">
        <v>42603681.881999999</v>
      </c>
      <c r="U26" s="6">
        <v>2085272.96</v>
      </c>
      <c r="V26" s="6">
        <v>5092740.4800000004</v>
      </c>
      <c r="W26" s="6">
        <v>1584.1242999999999</v>
      </c>
      <c r="X26" s="6">
        <v>770191.424</v>
      </c>
      <c r="Y26" s="6">
        <v>1074959.3600000001</v>
      </c>
      <c r="Z26" s="6">
        <v>2777.8894</v>
      </c>
      <c r="AA26" s="6">
        <v>664778.11199999996</v>
      </c>
      <c r="AB26" s="6">
        <v>421121.31199999998</v>
      </c>
      <c r="AC26" s="6">
        <v>2129009.44</v>
      </c>
      <c r="AD26" s="6">
        <v>2537516.4900000002</v>
      </c>
      <c r="AE26" s="6">
        <v>12713.447200000001</v>
      </c>
      <c r="AF26" s="6">
        <v>868124.28799999994</v>
      </c>
      <c r="AG26" s="6">
        <v>1383.7159999999999</v>
      </c>
      <c r="AH26" s="6">
        <v>131961.07999999999</v>
      </c>
      <c r="AI26" s="6">
        <v>14560.4912</v>
      </c>
      <c r="AJ26" s="6">
        <v>145327.296</v>
      </c>
      <c r="AK26" s="6">
        <v>105076.712</v>
      </c>
      <c r="AL26" s="6">
        <v>329584.22399999999</v>
      </c>
      <c r="AM26" s="6">
        <v>983.673</v>
      </c>
      <c r="AN26" s="6">
        <v>218.4</v>
      </c>
      <c r="AO26" s="6">
        <v>7.6</v>
      </c>
      <c r="AP26" s="6">
        <v>326238</v>
      </c>
      <c r="AQ26" s="6">
        <v>42305</v>
      </c>
      <c r="AR26" s="6">
        <v>41761</v>
      </c>
      <c r="AS26" s="6">
        <v>32307</v>
      </c>
      <c r="AT26" s="6">
        <v>22056</v>
      </c>
      <c r="AU26" s="6">
        <v>15315</v>
      </c>
      <c r="AV26" s="6">
        <v>6211</v>
      </c>
      <c r="AW26" s="6">
        <v>20.834816</v>
      </c>
      <c r="AX26" s="6">
        <v>7203.8220000000001</v>
      </c>
      <c r="AY26" s="6">
        <v>677.15616</v>
      </c>
      <c r="AZ26" s="6">
        <v>20.788</v>
      </c>
      <c r="BA26" s="6">
        <v>10135</v>
      </c>
      <c r="BB26" s="6">
        <v>44.188000000000002</v>
      </c>
      <c r="BC26" s="6">
        <v>113988.60799999999</v>
      </c>
      <c r="BD26" s="6">
        <v>275146.016</v>
      </c>
      <c r="BE26" s="6">
        <v>3709.2356</v>
      </c>
      <c r="BF26" s="6">
        <v>1712.0419999999999</v>
      </c>
      <c r="BG26" s="6">
        <v>74.611000000000004</v>
      </c>
      <c r="BH26" s="6">
        <v>359.99900000000002</v>
      </c>
      <c r="BI26" s="6">
        <v>909.07799999999997</v>
      </c>
      <c r="BJ26" s="6">
        <v>14.053000000000001</v>
      </c>
      <c r="BK26" s="6">
        <v>560.52499999999998</v>
      </c>
      <c r="BL26" s="6">
        <v>69862.220799999996</v>
      </c>
      <c r="BM26" s="6">
        <v>303067.424</v>
      </c>
      <c r="BN26" s="6">
        <v>7165.7287999999999</v>
      </c>
      <c r="BO26" s="6">
        <v>53532.944000000003</v>
      </c>
      <c r="BP26" s="6">
        <v>312836.19199999998</v>
      </c>
      <c r="BQ26" s="6">
        <v>322.48700000000002</v>
      </c>
      <c r="BR26" s="6">
        <v>179.71700000000001</v>
      </c>
      <c r="BS26" s="6">
        <v>994861.04299999995</v>
      </c>
      <c r="BT26" s="6">
        <v>1400592.311</v>
      </c>
      <c r="BU26" s="6">
        <v>626596.35199999996</v>
      </c>
      <c r="BV26" s="6">
        <v>1016283.52</v>
      </c>
      <c r="BW26" s="6">
        <v>565459.64800000004</v>
      </c>
      <c r="BX26" s="6">
        <v>968143.10400000005</v>
      </c>
      <c r="BY26" s="6">
        <v>157106.72</v>
      </c>
      <c r="BZ26" s="6">
        <v>114272.48</v>
      </c>
      <c r="CA26" s="6">
        <v>1210.1283000000001</v>
      </c>
      <c r="CB26" s="6">
        <v>108071.088</v>
      </c>
      <c r="CC26" s="6">
        <v>149181.16800000001</v>
      </c>
      <c r="CD26" s="6">
        <v>444066.65600000002</v>
      </c>
      <c r="CE26" s="6">
        <v>49125.260799999996</v>
      </c>
      <c r="CF26" s="6">
        <v>155610.11199999999</v>
      </c>
      <c r="CG26" s="6">
        <v>360801.25439999998</v>
      </c>
      <c r="CH26" s="6">
        <v>2385.8710000000001</v>
      </c>
      <c r="CI26" s="6">
        <v>212.482</v>
      </c>
      <c r="CJ26" s="6">
        <v>1179.2</v>
      </c>
      <c r="CK26" s="6">
        <v>77.489999999999995</v>
      </c>
      <c r="CL26" s="6">
        <v>727.33299999999997</v>
      </c>
      <c r="CM26" s="6">
        <v>551.4</v>
      </c>
      <c r="CN26" s="6">
        <v>40183.599999999999</v>
      </c>
      <c r="CO26" s="6">
        <v>1641.43</v>
      </c>
      <c r="CP26" s="6">
        <v>292526.87599999999</v>
      </c>
      <c r="CQ26" s="6">
        <v>3669519.04</v>
      </c>
      <c r="CR26" s="6">
        <v>130348.76</v>
      </c>
      <c r="CS26" s="6">
        <v>510716.38400000002</v>
      </c>
      <c r="CT26" s="6">
        <v>2891937.8080000002</v>
      </c>
      <c r="CU26" s="6">
        <v>295454.22200000001</v>
      </c>
      <c r="CV26" s="6">
        <v>30124.720000000001</v>
      </c>
      <c r="CW26" s="6">
        <v>62582.6944</v>
      </c>
      <c r="CX26" s="6">
        <v>33375.631999999998</v>
      </c>
      <c r="CY26" s="6">
        <v>166319.23199999999</v>
      </c>
      <c r="CZ26" s="6">
        <v>217044.448</v>
      </c>
      <c r="DA26" s="6">
        <v>18058.72</v>
      </c>
      <c r="DB26" s="6">
        <v>148866.81200000001</v>
      </c>
      <c r="DC26" s="6">
        <v>2959.82</v>
      </c>
      <c r="DD26" s="6">
        <v>2959.7599999999998</v>
      </c>
      <c r="DE26" s="6">
        <v>2984.8</v>
      </c>
      <c r="DF26" s="6">
        <v>0.99399999999999999</v>
      </c>
      <c r="DG26" s="1" t="s">
        <v>253</v>
      </c>
      <c r="DH26" s="4">
        <f>Table2[[#This Row],[Date]]</f>
        <v>46224</v>
      </c>
      <c r="DI26">
        <f>(DD27-Table2[[#This Row],[MWH Total]])*4000</f>
        <v>10320.000000001528</v>
      </c>
      <c r="DJ26">
        <f>(DA27-Table2[[#This Row],[PNG Meter (Outside)]])*2.936</f>
        <v>2560.6030399999981</v>
      </c>
      <c r="DK26">
        <f>(DB27-Table2[[#This Row],[PNG Meter (Inside)]])*2.936</f>
        <v>404.69530400002117</v>
      </c>
      <c r="DL26">
        <f>(BH27-Table2[[#This Row],[3F Dough cooler - 2 ]])*1000</f>
        <v>412.99999999995407</v>
      </c>
      <c r="DM26">
        <f>(BI27-Table2[[#This Row],[3F Dough Cooler- 1]])*1000</f>
        <v>471.99999999997999</v>
      </c>
      <c r="DN26">
        <f>(BJ27-Table2[[#This Row],[4F Dough Production cooling Unit]])*1000</f>
        <v>35.999999999999588</v>
      </c>
      <c r="DO26">
        <f>(BQ27-Table2[[#This Row],[3F2 - PDB 3 - Dough Production Area]])*1000</f>
        <v>266.99999999999591</v>
      </c>
      <c r="DP26">
        <f>(BR27-Table2[[#This Row],[3F3 - PDB 4 - Dough Area]])*1000</f>
        <v>133.99999999998613</v>
      </c>
      <c r="DQ26">
        <f>AC27-Table2[[#This Row],[16F1 Tray washer Panel for Light]]</f>
        <v>725.28000000026077</v>
      </c>
      <c r="DR26">
        <f>CQ27-Table2[[#This Row],[2F1 Tray Washer - 1]]</f>
        <v>1544.3199999998324</v>
      </c>
      <c r="DS26">
        <f>CS27-Table2[[#This Row],[2F5 Destacker]]</f>
        <v>329.53599999996368</v>
      </c>
      <c r="DT26">
        <f>CU27-Table2[[#This Row],[5F1 Metering (TW-2)]]</f>
        <v>292.65600000001723</v>
      </c>
      <c r="DU26">
        <f>CV27-Table2[[#This Row],[6F1 Pre soaker Tray washer]]</f>
        <v>1.9231999999974505</v>
      </c>
      <c r="DV26">
        <f>CZ27-Table2[[#This Row],[6F5 Vent tray Storage]]</f>
        <v>133.66399999998976</v>
      </c>
      <c r="DW26">
        <f>I27-Table2[[#This Row],[Popeyes Meter ]]</f>
        <v>39</v>
      </c>
      <c r="DX26">
        <f>AZ27-Table2[[#This Row],[2F WH Chiller, Segregation Area]]</f>
        <v>0</v>
      </c>
      <c r="DY26">
        <f>BA27-Table2[[#This Row],[3F1 AC Unit WH dock cooling - 2 Nos]]</f>
        <v>21</v>
      </c>
      <c r="DZ26">
        <f>BB27-Table2[[#This Row],[3F2 AC Unit WH dock cooling - 3 Nos]]</f>
        <v>6.5999999999995396E-2</v>
      </c>
      <c r="EA26">
        <f>(BK27-Table2[[#This Row],[5F WH Perishable]])*1000</f>
        <v>281.00000000006276</v>
      </c>
      <c r="EB26">
        <f>BN27-Table2[[#This Row],[2F3 - PDB 9 - WH Dock Leveler Door ]]</f>
        <v>0.10959999999977299</v>
      </c>
      <c r="EC26">
        <f>BP27-Table2[[#This Row],[3F1 - PDB 5 - WH HSD]]</f>
        <v>128.57600000000093</v>
      </c>
      <c r="ED26">
        <f>BX27-Table2[[#This Row],[8F1 WH Dock AHU - Ventilation]]</f>
        <v>2319.7439999999478</v>
      </c>
      <c r="EE26">
        <f>BZ27-Table2[[#This Row],[8F3 ACPDB - 4 WH Dock air curtain]]</f>
        <v>3.952000000004773</v>
      </c>
      <c r="EF26">
        <f>CA27-Table2[[#This Row],[8F4 WH Light]]</f>
        <v>2.7644000000000233</v>
      </c>
      <c r="EG26">
        <f>CC27-Table2[[#This Row],[9F1 - PDB 10 - WH Dock door &amp; Office]]</f>
        <v>131.87200000000303</v>
      </c>
      <c r="EH26">
        <f>CD27-Table2[[#This Row],[9F2 - PDB 11 - WH flycatchers]]</f>
        <v>83.327999999979511</v>
      </c>
      <c r="EI26">
        <f>CE27-Table2[[#This Row],[9F3 - PDB 12 - Other items]]</f>
        <v>0</v>
      </c>
      <c r="EJ26">
        <f>CR27-Table2[[#This Row],[2F3 - PDB 1 - Dock 1 to 4 ]]</f>
        <v>77.736000000004424</v>
      </c>
      <c r="EK26">
        <f>BM27-Table2[[#This Row],[2F2 - PDB 3 - WH Truck &amp; Battery Charging]]</f>
        <v>380.83199999999488</v>
      </c>
      <c r="EL26">
        <f>(CK27-Table2[[#This Row],[PDB - 11 Truck Charging]])*1000</f>
        <v>19.000000000005457</v>
      </c>
      <c r="EM26">
        <f>P27-Table2[[#This Row],[5F3 Admin Area]]</f>
        <v>364.60800000000745</v>
      </c>
      <c r="EN26">
        <f>AH27-Table2[[#This Row],[2F5 Main Gate-1 Piller -1]]</f>
        <v>99.512000000016997</v>
      </c>
      <c r="EO26">
        <f>CW27-Table2[[#This Row],[6F2 Ground Floor AC]]</f>
        <v>14.604800000000978</v>
      </c>
      <c r="EP26">
        <f>CX27-Table2[[#This Row],[6F3 ACBD -1 (First floor AC)]]</f>
        <v>0</v>
      </c>
      <c r="EQ26">
        <f>CY27-Table2[[#This Row],[6F4 ACBD - 2 (Second &amp; Third floor AC)]]</f>
        <v>112.48000000001048</v>
      </c>
      <c r="ER26">
        <f>(BC27-Table2[[#This Row],[4F Old BMC cooling Unit]])</f>
        <v>0</v>
      </c>
      <c r="ES26">
        <f>BO27-Table2[[#This Row],[2F4 - Old BMC]]</f>
        <v>0</v>
      </c>
      <c r="ET26">
        <f>Y27-Table2[[#This Row],[14F2 New CK]]</f>
        <v>818.79999999981374</v>
      </c>
      <c r="EU26">
        <f>(CL27-Table2[[#This Row],[OLD Ck Panel-1]])*1000</f>
        <v>706.99999999999363</v>
      </c>
      <c r="EV26">
        <f>CM27-Table2[[#This Row],[2F4 Old CK Blast (Blue star)]]</f>
        <v>0</v>
      </c>
      <c r="EW26">
        <f>CN27-Table2[[#This Row],[3F6 Old CK Blast (Carrier)]]</f>
        <v>576.70000000000437</v>
      </c>
      <c r="EX26">
        <f>(CO27-Table2[[#This Row],[Old CK Panel -2]])*1000</f>
        <v>763.99999999989632</v>
      </c>
      <c r="EY26">
        <f>N27-Table2[[#This Row],[4F1 Main UPS 1/C -1]]</f>
        <v>909.28000000002794</v>
      </c>
      <c r="EZ26">
        <f>Z27-Table2[[#This Row],[15F1 Main UPS Panel - I/C - 2]]</f>
        <v>0</v>
      </c>
      <c r="FA26">
        <f>BF27-Table2[[#This Row],[2F CLC -1 AC unit - 2]]</f>
        <v>0</v>
      </c>
      <c r="FB26">
        <f>(BG27-Table2[[#This Row],[2F CLC Anti room]])*1000</f>
        <v>31.999999999996476</v>
      </c>
      <c r="FC26">
        <f>BW27-Table2[[#This Row],[7F3 CLC Power Panel]]</f>
        <v>237.11999999999534</v>
      </c>
      <c r="FD26">
        <f>(CI27-Table2[[#This Row],[PDB - 17 CLC Section ]])*1000</f>
        <v>163.00000000001091</v>
      </c>
      <c r="FE26">
        <f>(W27-Table2[[#This Row],[13F3 Water &amp; Lift Old CK]])*1000</f>
        <v>908.20000000007894</v>
      </c>
      <c r="FF26">
        <f>AA27-Table2[[#This Row],[15F2 New ETP Panel]]</f>
        <v>264.32000000006519</v>
      </c>
      <c r="FG26">
        <f>AL27-Table2[[#This Row],[3F4 Old ETP Panel]]</f>
        <v>78.239999999990687</v>
      </c>
      <c r="FH26">
        <f>AF27-Table2[[#This Row],[2F1 RO Plant]]</f>
        <v>496.64000000001397</v>
      </c>
      <c r="FI26">
        <f>AK27-Table2[[#This Row],[3F3 Fire Hydrant Panel]]</f>
        <v>9.3279999999940628</v>
      </c>
      <c r="FJ26">
        <f>R27-Table2[[#This Row],[7F1 Freon System Panel]]</f>
        <v>5523.839999999851</v>
      </c>
      <c r="FK26">
        <f>(AE27-Table2[[#This Row],[21F1 Refrigeration Ammonia]])*1000</f>
        <v>6810.4000000002998</v>
      </c>
      <c r="FL26">
        <f>(AG27-Table2[[#This Row],[2F3 Air Compressor]])*1000</f>
        <v>1063.0000000001019</v>
      </c>
      <c r="FM26">
        <f>(AX27-Table2[[#This Row],[Solar Reading Panel II]])*1000</f>
        <v>2462.9999999997381</v>
      </c>
      <c r="FN26">
        <f>AI27-Table2[[#This Row],[3F1 Maintenance Workshop]]</f>
        <v>6.6767999999992753</v>
      </c>
      <c r="FO26">
        <f>BD27-Table2[[#This Row],[4F B2B unit ]]</f>
        <v>59.071999999985565</v>
      </c>
      <c r="FP26">
        <f>BL27-Table2[[#This Row],[2F1 - PDB 6 - Bread, B2B section]]</f>
        <v>288.29439999999886</v>
      </c>
      <c r="FQ26">
        <f>(CG27-Table2[[#This Row],[9F5 - PDB 14 - Bread Lift]])</f>
        <v>0.44800000003306195</v>
      </c>
      <c r="FR26">
        <f>CJ27-Table2[[#This Row],[PDB - 16 Bread Section]]</f>
        <v>2.0999999999999091</v>
      </c>
      <c r="FS26">
        <f>BU27-Table2[[#This Row],[7F1 Donut Production area]]</f>
        <v>192.89600000006612</v>
      </c>
      <c r="FT26">
        <f>CB27-Table2[[#This Row],[8F5 Donut Ban Bary]]</f>
        <v>56.095999999990454</v>
      </c>
      <c r="FU26">
        <f>CF27-Table2[[#This Row],[9F4 - PDB 13 - Donut Sink Geyser area]]</f>
        <v>26.080000000016298</v>
      </c>
      <c r="FV26">
        <f>BV27-Table2[[#This Row],[7F2 Flour Silo]]</f>
        <v>524.07999999995809</v>
      </c>
      <c r="FW26">
        <f>BY27-Table2[[#This Row],[8F2 ACPDB - 3 SILO Ventilation]]</f>
        <v>48.543999999994412</v>
      </c>
      <c r="FX26">
        <f>J27-Table2[[#This Row],[DG 1010KVA Running Hours]]</f>
        <v>18.899999999999636</v>
      </c>
      <c r="FY26">
        <f>K27-Table2[[#This Row],[DG 1010 KVA Meter Reading]]</f>
        <v>9421</v>
      </c>
      <c r="FZ26">
        <f>L27-Table2[[#This Row],[GG 1010 KVA Running Hours]]</f>
        <v>19</v>
      </c>
      <c r="GA26">
        <f>M27-Table2[[#This Row],[GG 1010 KVA Meter Reading]]</f>
        <v>10.060000000000002</v>
      </c>
    </row>
    <row r="27" spans="1:183" x14ac:dyDescent="0.35">
      <c r="A27" s="1">
        <v>37</v>
      </c>
      <c r="B27" s="2">
        <v>46225.408182870371</v>
      </c>
      <c r="C27" s="2">
        <v>46225.448009259257</v>
      </c>
      <c r="D27" s="1" t="s">
        <v>111</v>
      </c>
      <c r="E27" s="1"/>
      <c r="F27" s="1"/>
      <c r="G27" s="3">
        <v>46225</v>
      </c>
      <c r="H27" s="1" t="s">
        <v>186</v>
      </c>
      <c r="I27" s="6">
        <v>6062.7219999999998</v>
      </c>
      <c r="J27" s="6">
        <v>4269.5</v>
      </c>
      <c r="K27" s="6">
        <v>1775990</v>
      </c>
      <c r="L27" s="6">
        <v>451</v>
      </c>
      <c r="M27" s="6">
        <v>189.99</v>
      </c>
      <c r="N27" s="6">
        <v>1856924.96</v>
      </c>
      <c r="O27" s="6">
        <v>4576525.12</v>
      </c>
      <c r="P27" s="6">
        <v>640963.77599999995</v>
      </c>
      <c r="Q27" s="6">
        <v>8053201.2800000003</v>
      </c>
      <c r="R27" s="6">
        <v>5467746.5599999996</v>
      </c>
      <c r="S27" s="6">
        <v>7323850.8799999999</v>
      </c>
      <c r="T27" s="6">
        <v>43041740.270999998</v>
      </c>
      <c r="U27" s="6">
        <v>2086699.84</v>
      </c>
      <c r="V27" s="6">
        <v>5094490.88</v>
      </c>
      <c r="W27" s="6">
        <v>1585.0325</v>
      </c>
      <c r="X27" s="6">
        <v>770486.4</v>
      </c>
      <c r="Y27" s="6">
        <v>1075778.1599999999</v>
      </c>
      <c r="Z27" s="6">
        <v>2777.8894</v>
      </c>
      <c r="AA27" s="6">
        <v>665042.43200000003</v>
      </c>
      <c r="AB27" s="6">
        <v>421133.85600000003</v>
      </c>
      <c r="AC27" s="6">
        <v>2129734.7200000002</v>
      </c>
      <c r="AD27" s="6">
        <v>3866614.0329999998</v>
      </c>
      <c r="AE27" s="6">
        <v>12720.257600000001</v>
      </c>
      <c r="AF27" s="6">
        <v>868620.92799999996</v>
      </c>
      <c r="AG27" s="6">
        <v>1384.779</v>
      </c>
      <c r="AH27" s="6">
        <v>132060.592</v>
      </c>
      <c r="AI27" s="6">
        <v>14567.168</v>
      </c>
      <c r="AJ27" s="6">
        <v>145329.92000000001</v>
      </c>
      <c r="AK27" s="6">
        <v>105086.04</v>
      </c>
      <c r="AL27" s="6">
        <v>329662.46399999998</v>
      </c>
      <c r="AM27" s="6">
        <v>984.23800000000006</v>
      </c>
      <c r="AN27" s="6">
        <v>190.1</v>
      </c>
      <c r="AO27" s="6">
        <v>6.7</v>
      </c>
      <c r="AP27" s="6">
        <v>335945</v>
      </c>
      <c r="AQ27" s="6">
        <v>42305</v>
      </c>
      <c r="AR27" s="6">
        <v>41761</v>
      </c>
      <c r="AS27" s="6">
        <v>32307</v>
      </c>
      <c r="AT27" s="6">
        <v>22056</v>
      </c>
      <c r="AU27" s="6">
        <v>15338</v>
      </c>
      <c r="AV27" s="6">
        <v>6229</v>
      </c>
      <c r="AW27" s="6">
        <v>20.841381999999999</v>
      </c>
      <c r="AX27" s="6">
        <v>7206.2849999999999</v>
      </c>
      <c r="AY27" s="6">
        <v>677.32511999999997</v>
      </c>
      <c r="AZ27" s="6">
        <v>20.788</v>
      </c>
      <c r="BA27" s="6">
        <v>10156</v>
      </c>
      <c r="BB27" s="6">
        <v>44.253999999999998</v>
      </c>
      <c r="BC27" s="6">
        <v>113988.60799999999</v>
      </c>
      <c r="BD27" s="6">
        <v>275205.08799999999</v>
      </c>
      <c r="BE27" s="6">
        <v>3710.5036</v>
      </c>
      <c r="BF27" s="6">
        <v>1712.0419999999999</v>
      </c>
      <c r="BG27" s="6">
        <v>74.643000000000001</v>
      </c>
      <c r="BH27" s="6">
        <v>360.41199999999998</v>
      </c>
      <c r="BI27" s="6">
        <v>909.55</v>
      </c>
      <c r="BJ27" s="6">
        <v>14.089</v>
      </c>
      <c r="BK27" s="6">
        <v>560.80600000000004</v>
      </c>
      <c r="BL27" s="6">
        <v>70150.515199999994</v>
      </c>
      <c r="BM27" s="6">
        <v>303448.25599999999</v>
      </c>
      <c r="BN27" s="6">
        <v>7165.8383999999996</v>
      </c>
      <c r="BO27" s="6">
        <v>53532.944000000003</v>
      </c>
      <c r="BP27" s="6">
        <v>312964.76799999998</v>
      </c>
      <c r="BQ27" s="6">
        <v>322.75400000000002</v>
      </c>
      <c r="BR27" s="6">
        <v>179.851</v>
      </c>
      <c r="BS27" s="6">
        <v>996266.46699999995</v>
      </c>
      <c r="BT27" s="6">
        <v>1400596.375</v>
      </c>
      <c r="BU27" s="6">
        <v>626789.24800000002</v>
      </c>
      <c r="BV27" s="6">
        <v>1016807.6</v>
      </c>
      <c r="BW27" s="6">
        <v>565696.76800000004</v>
      </c>
      <c r="BX27" s="6">
        <v>970462.848</v>
      </c>
      <c r="BY27" s="6">
        <v>157155.264</v>
      </c>
      <c r="BZ27" s="6">
        <v>114276.432</v>
      </c>
      <c r="CA27" s="6">
        <v>1212.8927000000001</v>
      </c>
      <c r="CB27" s="6">
        <v>108127.18399999999</v>
      </c>
      <c r="CC27" s="6">
        <v>149313.04</v>
      </c>
      <c r="CD27" s="6">
        <v>444149.984</v>
      </c>
      <c r="CE27" s="6">
        <v>49125.260799999996</v>
      </c>
      <c r="CF27" s="6">
        <v>155636.19200000001</v>
      </c>
      <c r="CG27" s="6">
        <v>360801.70240000001</v>
      </c>
      <c r="CH27" s="6">
        <v>2385.8710000000001</v>
      </c>
      <c r="CI27" s="6">
        <v>212.64500000000001</v>
      </c>
      <c r="CJ27" s="6">
        <v>1181.3</v>
      </c>
      <c r="CK27" s="6">
        <v>77.509</v>
      </c>
      <c r="CL27" s="6">
        <v>728.04</v>
      </c>
      <c r="CM27" s="6">
        <v>551.4</v>
      </c>
      <c r="CN27" s="6">
        <v>40760.300000000003</v>
      </c>
      <c r="CO27" s="6">
        <v>1642.194</v>
      </c>
      <c r="CP27" s="6">
        <v>292682.03200000001</v>
      </c>
      <c r="CQ27" s="6">
        <v>3671063.36</v>
      </c>
      <c r="CR27" s="6">
        <v>130426.496</v>
      </c>
      <c r="CS27" s="6">
        <v>511045.92</v>
      </c>
      <c r="CT27" s="6">
        <v>2895488.9419999998</v>
      </c>
      <c r="CU27" s="6">
        <v>295746.87800000003</v>
      </c>
      <c r="CV27" s="6">
        <v>30126.643199999999</v>
      </c>
      <c r="CW27" s="6">
        <v>62597.299200000001</v>
      </c>
      <c r="CX27" s="6">
        <v>33375.631999999998</v>
      </c>
      <c r="CY27" s="6">
        <v>166431.712</v>
      </c>
      <c r="CZ27" s="6">
        <v>217178.11199999999</v>
      </c>
      <c r="DA27" s="6">
        <v>18930.86</v>
      </c>
      <c r="DB27" s="6">
        <v>149004.65100000001</v>
      </c>
      <c r="DC27" s="6">
        <v>2962.47</v>
      </c>
      <c r="DD27" s="6">
        <v>2962.34</v>
      </c>
      <c r="DE27" s="6">
        <v>2987.22</v>
      </c>
      <c r="DF27" s="6">
        <v>0.99299999999999999</v>
      </c>
      <c r="DG27" s="1" t="s">
        <v>254</v>
      </c>
      <c r="DH27" s="4">
        <f>Table2[[#This Row],[Date]]</f>
        <v>46225</v>
      </c>
      <c r="DI27">
        <f>(DD28-Table2[[#This Row],[MWH Total]])*4000</f>
        <v>25799.999999999272</v>
      </c>
      <c r="DJ27">
        <f>(DA28-Table2[[#This Row],[PNG Meter (Outside)]])*2.936</f>
        <v>17.410480000000852</v>
      </c>
      <c r="DK27">
        <f>(DB28-Table2[[#This Row],[PNG Meter (Inside)]])*2.936</f>
        <v>430.71119999994875</v>
      </c>
      <c r="DL27">
        <f>(BH28-Table2[[#This Row],[3F Dough cooler - 2 ]])*1000</f>
        <v>266.00000000001955</v>
      </c>
      <c r="DM27">
        <f>(BI28-Table2[[#This Row],[3F Dough Cooler- 1]])*1000</f>
        <v>488.00000000005639</v>
      </c>
      <c r="DN27">
        <f>(BJ28-Table2[[#This Row],[4F Dough Production cooling Unit]])*1000</f>
        <v>36.999999999999034</v>
      </c>
      <c r="DO27">
        <f>(BQ28-Table2[[#This Row],[3F2 - PDB 3 - Dough Production Area]])*1000</f>
        <v>233.99999999998045</v>
      </c>
      <c r="DP27">
        <f>(BR28-Table2[[#This Row],[3F3 - PDB 4 - Dough Area]])*1000</f>
        <v>125</v>
      </c>
      <c r="DQ27">
        <f>AC28-Table2[[#This Row],[16F1 Tray washer Panel for Light]]</f>
        <v>738.71999999973923</v>
      </c>
      <c r="DR27">
        <f>CQ28-Table2[[#This Row],[2F1 Tray Washer - 1]]</f>
        <v>1429.1200000001118</v>
      </c>
      <c r="DS27">
        <f>CS28-Table2[[#This Row],[2F5 Destacker]]</f>
        <v>375.87200000003213</v>
      </c>
      <c r="DT27">
        <f>CU28-Table2[[#This Row],[5F1 Metering (TW-2)]]</f>
        <v>256.83899999997811</v>
      </c>
      <c r="DU27">
        <f>CV28-Table2[[#This Row],[6F1 Pre soaker Tray washer]]</f>
        <v>0</v>
      </c>
      <c r="DV27">
        <f>CZ28-Table2[[#This Row],[6F5 Vent tray Storage]]</f>
        <v>66.784000000014203</v>
      </c>
      <c r="DW27">
        <f>I28-Table2[[#This Row],[Popeyes Meter ]]</f>
        <v>76.030000000000655</v>
      </c>
      <c r="DX27">
        <f>AZ28-Table2[[#This Row],[2F WH Chiller, Segregation Area]]</f>
        <v>0</v>
      </c>
      <c r="DY27">
        <f>BA28-Table2[[#This Row],[3F1 AC Unit WH dock cooling - 2 Nos]]</f>
        <v>15</v>
      </c>
      <c r="DZ27">
        <f>BB28-Table2[[#This Row],[3F2 AC Unit WH dock cooling - 3 Nos]]</f>
        <v>4.700000000000415E-2</v>
      </c>
      <c r="EA27">
        <f>(BK28-Table2[[#This Row],[5F WH Perishable]])*1000</f>
        <v>290.99999999993997</v>
      </c>
      <c r="EB27">
        <f>BN28-Table2[[#This Row],[2F3 - PDB 9 - WH Dock Leveler Door ]]</f>
        <v>2.7120000000004438</v>
      </c>
      <c r="EC27">
        <f>BP28-Table2[[#This Row],[3F1 - PDB 5 - WH HSD]]</f>
        <v>133.98399999999674</v>
      </c>
      <c r="ED27">
        <f>BX28-Table2[[#This Row],[8F1 WH Dock AHU - Ventilation]]</f>
        <v>2348.6720000000205</v>
      </c>
      <c r="EE27">
        <f>BZ28-Table2[[#This Row],[8F3 ACPDB - 4 WH Dock air curtain]]</f>
        <v>8.5519999999960419</v>
      </c>
      <c r="EF27">
        <f>CA28-Table2[[#This Row],[8F4 WH Light]]</f>
        <v>2.7920999999998912</v>
      </c>
      <c r="EG27">
        <f>CC28-Table2[[#This Row],[9F1 - PDB 10 - WH Dock door &amp; Office]]</f>
        <v>141.03999999997905</v>
      </c>
      <c r="EH27">
        <f>CD28-Table2[[#This Row],[9F2 - PDB 11 - WH flycatchers]]</f>
        <v>242.49599999998463</v>
      </c>
      <c r="EI27">
        <f>CE28-Table2[[#This Row],[9F3 - PDB 12 - Other items]]</f>
        <v>0</v>
      </c>
      <c r="EJ27">
        <f>CR28-Table2[[#This Row],[2F3 - PDB 1 - Dock 1 to 4 ]]</f>
        <v>78.847999999998137</v>
      </c>
      <c r="EK27">
        <f>BM28-Table2[[#This Row],[2F2 - PDB 3 - WH Truck &amp; Battery Charging]]</f>
        <v>562.62400000001071</v>
      </c>
      <c r="EL27">
        <f>(CK28-Table2[[#This Row],[PDB - 11 Truck Charging]])*1000</f>
        <v>54.99999999999261</v>
      </c>
      <c r="EM27">
        <f>P28-Table2[[#This Row],[5F3 Admin Area]]</f>
        <v>374.52800000004936</v>
      </c>
      <c r="EN27">
        <f>AH28-Table2[[#This Row],[2F5 Main Gate-1 Piller -1]]</f>
        <v>101.24799999999232</v>
      </c>
      <c r="EO27">
        <f>CW28-Table2[[#This Row],[6F2 Ground Floor AC]]</f>
        <v>13.465599999995902</v>
      </c>
      <c r="EP27">
        <f>CX28-Table2[[#This Row],[6F3 ACBD -1 (First floor AC)]]</f>
        <v>11.625599999999395</v>
      </c>
      <c r="EQ27">
        <f>CY28-Table2[[#This Row],[6F4 ACBD - 2 (Second &amp; Third floor AC)]]</f>
        <v>144.30400000000373</v>
      </c>
      <c r="ER27">
        <f>(BC28-Table2[[#This Row],[4F Old BMC cooling Unit]])</f>
        <v>0</v>
      </c>
      <c r="ES27">
        <f>BO28-Table2[[#This Row],[2F4 - Old BMC]]</f>
        <v>0.68479999999544816</v>
      </c>
      <c r="ET27">
        <f>Y28-Table2[[#This Row],[14F2 New CK]]</f>
        <v>1585.6800000001676</v>
      </c>
      <c r="EU27">
        <f>(CL28-Table2[[#This Row],[OLD Ck Panel-1]])*1000</f>
        <v>744.00000000002819</v>
      </c>
      <c r="EV27">
        <f>CM28-Table2[[#This Row],[2F4 Old CK Blast (Blue star)]]</f>
        <v>0</v>
      </c>
      <c r="EW27">
        <f>CN28-Table2[[#This Row],[3F6 Old CK Blast (Carrier)]]</f>
        <v>602.79999999999563</v>
      </c>
      <c r="EX27">
        <f>(CO28-Table2[[#This Row],[Old CK Panel -2]])*1000</f>
        <v>948.00000000009277</v>
      </c>
      <c r="EY27">
        <f>N28-Table2[[#This Row],[4F1 Main UPS 1/C -1]]</f>
        <v>936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34.000000000006025</v>
      </c>
      <c r="FC27">
        <f>BW28-Table2[[#This Row],[7F3 CLC Power Panel]]</f>
        <v>246.27199999999721</v>
      </c>
      <c r="FD27">
        <f>(CI28-Table2[[#This Row],[PDB - 17 CLC Section ]])*1000</f>
        <v>156.99999999998226</v>
      </c>
      <c r="FE27">
        <f>(W28-Table2[[#This Row],[13F3 Water &amp; Lift Old CK]])*1000</f>
        <v>559.19999999991887</v>
      </c>
      <c r="FF27">
        <f>AA28-Table2[[#This Row],[15F2 New ETP Panel]]</f>
        <v>266.11199999996461</v>
      </c>
      <c r="FG27">
        <f>AL28-Table2[[#This Row],[3F4 Old ETP Panel]]</f>
        <v>76.352000000013504</v>
      </c>
      <c r="FH27">
        <f>AF28-Table2[[#This Row],[2F1 RO Plant]]</f>
        <v>548.03200000000652</v>
      </c>
      <c r="FI27">
        <f>AK28-Table2[[#This Row],[3F3 Fire Hydrant Panel]]</f>
        <v>10.81600000000617</v>
      </c>
      <c r="FJ27">
        <f>R28-Table2[[#This Row],[7F1 Freon System Panel]]</f>
        <v>5591.6800000006333</v>
      </c>
      <c r="FK27">
        <f>(AE28-Table2[[#This Row],[21F1 Refrigeration Ammonia]])*1000</f>
        <v>7198.3999999993102</v>
      </c>
      <c r="FL27">
        <f>(AG28-Table2[[#This Row],[2F3 Air Compressor]])*1000</f>
        <v>955.99999999990359</v>
      </c>
      <c r="FM27">
        <f>(AX28-Table2[[#This Row],[Solar Reading Panel II]])*1000</f>
        <v>3235.9999999998763</v>
      </c>
      <c r="FN27">
        <f>AI28-Table2[[#This Row],[3F1 Maintenance Workshop]]</f>
        <v>5.1679999999996653</v>
      </c>
      <c r="FO27">
        <f>BD28-Table2[[#This Row],[4F B2B unit ]]</f>
        <v>63.584000000031665</v>
      </c>
      <c r="FP27">
        <f>BL28-Table2[[#This Row],[2F1 - PDB 6 - Bread, B2B section]]</f>
        <v>287.07200000000012</v>
      </c>
      <c r="FQ27">
        <f>(CG28-Table2[[#This Row],[9F5 - PDB 14 - Bread Lift]])</f>
        <v>0.57919999997830018</v>
      </c>
      <c r="FR27">
        <f>CJ28-Table2[[#This Row],[PDB - 16 Bread Section]]</f>
        <v>2.2000000000000455</v>
      </c>
      <c r="FS27">
        <f>BU28-Table2[[#This Row],[7F1 Donut Production area]]</f>
        <v>186.81599999999162</v>
      </c>
      <c r="FT27">
        <f>CB28-Table2[[#This Row],[8F5 Donut Ban Bary]]</f>
        <v>42.576000000000931</v>
      </c>
      <c r="FU27">
        <f>CF28-Table2[[#This Row],[9F4 - PDB 13 - Donut Sink Geyser area]]</f>
        <v>15.327999999979511</v>
      </c>
      <c r="FV27">
        <f>BV28-Table2[[#This Row],[7F2 Flour Silo]]</f>
        <v>678.64000000001397</v>
      </c>
      <c r="FW27">
        <f>BY28-Table2[[#This Row],[8F2 ACPDB - 3 SILO Ventilation]]</f>
        <v>49.279999999998836</v>
      </c>
      <c r="FX27">
        <f>J28-Table2[[#This Row],[DG 1010KVA Running Hours]]</f>
        <v>0</v>
      </c>
      <c r="FY27">
        <f>K28-Table2[[#This Row],[DG 1010 KVA Meter Reading]]</f>
        <v>0</v>
      </c>
      <c r="FZ27">
        <f>L28-Table2[[#This Row],[GG 1010 KVA Running Hours]]</f>
        <v>0</v>
      </c>
      <c r="GA27">
        <f>M28-Table2[[#This Row],[GG 1010 KVA Meter Reading]]</f>
        <v>0</v>
      </c>
    </row>
    <row r="28" spans="1:183" x14ac:dyDescent="0.35">
      <c r="A28" s="1">
        <v>38</v>
      </c>
      <c r="B28" s="2">
        <v>46226.410520833335</v>
      </c>
      <c r="C28" s="2">
        <v>46226.451249999998</v>
      </c>
      <c r="D28" s="1" t="s">
        <v>111</v>
      </c>
      <c r="E28" s="1"/>
      <c r="F28" s="1"/>
      <c r="G28" s="3">
        <v>46226</v>
      </c>
      <c r="H28" s="1" t="s">
        <v>186</v>
      </c>
      <c r="I28" s="6">
        <v>6138.7520000000004</v>
      </c>
      <c r="J28" s="6">
        <v>4269.5</v>
      </c>
      <c r="K28" s="6">
        <v>1775990</v>
      </c>
      <c r="L28" s="6">
        <v>451</v>
      </c>
      <c r="M28" s="6">
        <v>189.99</v>
      </c>
      <c r="N28" s="6">
        <v>1857860.96</v>
      </c>
      <c r="O28" s="6">
        <v>4578096.96</v>
      </c>
      <c r="P28" s="6">
        <v>641338.304</v>
      </c>
      <c r="Q28" s="6">
        <v>8056686.7199999997</v>
      </c>
      <c r="R28" s="6">
        <v>5473338.2400000002</v>
      </c>
      <c r="S28" s="6">
        <v>7327437.4400000004</v>
      </c>
      <c r="T28" s="6">
        <v>43053680.520999998</v>
      </c>
      <c r="U28" s="6">
        <v>2088284.8</v>
      </c>
      <c r="V28" s="6">
        <v>5096125.12</v>
      </c>
      <c r="W28" s="6">
        <v>1585.5916999999999</v>
      </c>
      <c r="X28" s="6">
        <v>770744.576</v>
      </c>
      <c r="Y28" s="6">
        <v>1077363.8400000001</v>
      </c>
      <c r="Z28" s="6">
        <v>2777.8894</v>
      </c>
      <c r="AA28" s="6">
        <v>665308.54399999999</v>
      </c>
      <c r="AB28" s="6">
        <v>421144.35200000001</v>
      </c>
      <c r="AC28" s="6">
        <v>2130473.44</v>
      </c>
      <c r="AD28" s="6">
        <v>3880644.6150000002</v>
      </c>
      <c r="AE28" s="6">
        <v>12727.456</v>
      </c>
      <c r="AF28" s="6">
        <v>869168.96</v>
      </c>
      <c r="AG28" s="6">
        <v>1385.7349999999999</v>
      </c>
      <c r="AH28" s="6">
        <v>132161.84</v>
      </c>
      <c r="AI28" s="6">
        <v>14572.335999999999</v>
      </c>
      <c r="AJ28" s="6">
        <v>145332.304</v>
      </c>
      <c r="AK28" s="6">
        <v>105096.856</v>
      </c>
      <c r="AL28" s="6">
        <v>329738.81599999999</v>
      </c>
      <c r="AM28" s="6">
        <v>984.78099999999995</v>
      </c>
      <c r="AN28" s="6">
        <v>192.2</v>
      </c>
      <c r="AO28" s="6">
        <v>7.1</v>
      </c>
      <c r="AP28" s="6">
        <v>343750</v>
      </c>
      <c r="AQ28" s="6">
        <v>42305</v>
      </c>
      <c r="AR28" s="6">
        <v>41761</v>
      </c>
      <c r="AS28" s="6">
        <v>32307</v>
      </c>
      <c r="AT28" s="6">
        <v>22056</v>
      </c>
      <c r="AU28" s="6">
        <v>15362</v>
      </c>
      <c r="AV28" s="6">
        <v>6243</v>
      </c>
      <c r="AW28" s="6">
        <v>20.84836</v>
      </c>
      <c r="AX28" s="6">
        <v>7209.5209999999997</v>
      </c>
      <c r="AY28" s="6">
        <v>677.44880000000001</v>
      </c>
      <c r="AZ28" s="6">
        <v>20.788</v>
      </c>
      <c r="BA28" s="6">
        <v>10171</v>
      </c>
      <c r="BB28" s="6">
        <v>44.301000000000002</v>
      </c>
      <c r="BC28" s="6">
        <v>113988.60799999999</v>
      </c>
      <c r="BD28" s="6">
        <v>275268.67200000002</v>
      </c>
      <c r="BE28" s="6">
        <v>3711.68</v>
      </c>
      <c r="BF28" s="6">
        <v>1712.0419999999999</v>
      </c>
      <c r="BG28" s="6">
        <v>74.677000000000007</v>
      </c>
      <c r="BH28" s="6">
        <v>360.678</v>
      </c>
      <c r="BI28" s="6">
        <v>910.03800000000001</v>
      </c>
      <c r="BJ28" s="6">
        <v>14.125999999999999</v>
      </c>
      <c r="BK28" s="6">
        <v>561.09699999999998</v>
      </c>
      <c r="BL28" s="6">
        <v>70437.587199999994</v>
      </c>
      <c r="BM28" s="6">
        <v>304010.88</v>
      </c>
      <c r="BN28" s="6">
        <v>7168.5504000000001</v>
      </c>
      <c r="BO28" s="6">
        <v>53533.628799999999</v>
      </c>
      <c r="BP28" s="6">
        <v>313098.75199999998</v>
      </c>
      <c r="BQ28" s="6">
        <v>322.988</v>
      </c>
      <c r="BR28" s="6">
        <v>179.976</v>
      </c>
      <c r="BS28" s="6">
        <v>997813.48899999994</v>
      </c>
      <c r="BT28" s="6">
        <v>1400596.9040000001</v>
      </c>
      <c r="BU28" s="6">
        <v>626976.06400000001</v>
      </c>
      <c r="BV28" s="6">
        <v>1017486.24</v>
      </c>
      <c r="BW28" s="6">
        <v>565943.04000000004</v>
      </c>
      <c r="BX28" s="6">
        <v>972811.52</v>
      </c>
      <c r="BY28" s="6">
        <v>157204.54399999999</v>
      </c>
      <c r="BZ28" s="6">
        <v>114284.984</v>
      </c>
      <c r="CA28" s="6">
        <v>1215.6848</v>
      </c>
      <c r="CB28" s="6">
        <v>108169.76</v>
      </c>
      <c r="CC28" s="6">
        <v>149454.07999999999</v>
      </c>
      <c r="CD28" s="6">
        <v>444392.48</v>
      </c>
      <c r="CE28" s="6">
        <v>49125.260799999996</v>
      </c>
      <c r="CF28" s="6">
        <v>155651.51999999999</v>
      </c>
      <c r="CG28" s="6">
        <v>360802.28159999999</v>
      </c>
      <c r="CH28" s="6">
        <v>2385.8710000000001</v>
      </c>
      <c r="CI28" s="6">
        <v>212.80199999999999</v>
      </c>
      <c r="CJ28" s="6">
        <v>1183.5</v>
      </c>
      <c r="CK28" s="6">
        <v>77.563999999999993</v>
      </c>
      <c r="CL28" s="6">
        <v>728.78399999999999</v>
      </c>
      <c r="CM28" s="6">
        <v>551.4</v>
      </c>
      <c r="CN28" s="6">
        <v>41363.1</v>
      </c>
      <c r="CO28" s="6">
        <v>1643.1420000000001</v>
      </c>
      <c r="CP28" s="6">
        <v>292847.21999999997</v>
      </c>
      <c r="CQ28" s="6">
        <v>3672492.48</v>
      </c>
      <c r="CR28" s="6">
        <v>130505.344</v>
      </c>
      <c r="CS28" s="6">
        <v>511421.79200000002</v>
      </c>
      <c r="CT28" s="6">
        <v>2899131.85</v>
      </c>
      <c r="CU28" s="6">
        <v>296003.717</v>
      </c>
      <c r="CV28" s="6">
        <v>30126.643199999999</v>
      </c>
      <c r="CW28" s="6">
        <v>62610.764799999997</v>
      </c>
      <c r="CX28" s="6">
        <v>33387.257599999997</v>
      </c>
      <c r="CY28" s="6">
        <v>166576.016</v>
      </c>
      <c r="CZ28" s="6">
        <v>217244.89600000001</v>
      </c>
      <c r="DA28" s="6">
        <v>18936.79</v>
      </c>
      <c r="DB28" s="6">
        <v>149151.351</v>
      </c>
      <c r="DC28" s="6">
        <v>2968.92</v>
      </c>
      <c r="DD28" s="6">
        <v>2968.79</v>
      </c>
      <c r="DE28" s="6">
        <v>2993.72</v>
      </c>
      <c r="DF28" s="6">
        <v>0.998</v>
      </c>
      <c r="DG28" s="1" t="s">
        <v>255</v>
      </c>
      <c r="DH28" s="4">
        <f>Table2[[#This Row],[Date]]</f>
        <v>46226</v>
      </c>
      <c r="DI28">
        <f>(DD29-Table2[[#This Row],[MWH Total]])*4000</f>
        <v>25680.000000000291</v>
      </c>
      <c r="DJ28">
        <f>(DA29-Table2[[#This Row],[PNG Meter (Outside)]])*2.936</f>
        <v>14.474480000000854</v>
      </c>
      <c r="DK28">
        <f>(DB29-Table2[[#This Row],[PNG Meter (Inside)]])*2.936</f>
        <v>357.58424800001501</v>
      </c>
      <c r="DL28">
        <f>(BH29-Table2[[#This Row],[3F Dough cooler - 2 ]])*1000</f>
        <v>240.99999999998545</v>
      </c>
      <c r="DM28">
        <f>(BI29-Table2[[#This Row],[3F Dough Cooler- 1]])*1000</f>
        <v>490.99999999998545</v>
      </c>
      <c r="DN28">
        <f>(BJ29-Table2[[#This Row],[4F Dough Production cooling Unit]])*1000</f>
        <v>41.000000000000369</v>
      </c>
      <c r="DO28">
        <f>(BQ29-Table2[[#This Row],[3F2 - PDB 3 - Dough Production Area]])*1000</f>
        <v>233.00000000000409</v>
      </c>
      <c r="DP28">
        <f>(BR29-Table2[[#This Row],[3F3 - PDB 4 - Dough Area]])*1000</f>
        <v>122.99999999999045</v>
      </c>
      <c r="DQ28">
        <f>AC29-Table2[[#This Row],[16F1 Tray washer Panel for Light]]</f>
        <v>730.87999999988824</v>
      </c>
      <c r="DR28">
        <f>CQ29-Table2[[#This Row],[2F1 Tray Washer - 1]]</f>
        <v>1319.0400000000373</v>
      </c>
      <c r="DS28">
        <f>CS29-Table2[[#This Row],[2F5 Destacker]]</f>
        <v>354.7839999999851</v>
      </c>
      <c r="DT28">
        <f>CU29-Table2[[#This Row],[5F1 Metering (TW-2)]]</f>
        <v>346.72299999999814</v>
      </c>
      <c r="DU28">
        <f>CV29-Table2[[#This Row],[6F1 Pre soaker Tray washer]]</f>
        <v>2.6112000000030093</v>
      </c>
      <c r="DV28">
        <f>CZ29-Table2[[#This Row],[6F5 Vent tray Storage]]</f>
        <v>68.432000000000698</v>
      </c>
      <c r="DW28">
        <f>I29-Table2[[#This Row],[Popeyes Meter ]]</f>
        <v>54.899999999999636</v>
      </c>
      <c r="DX28">
        <f>AZ29-Table2[[#This Row],[2F WH Chiller, Segregation Area]]</f>
        <v>0</v>
      </c>
      <c r="DY28" s="1">
        <f>BA29-Table2[[#This Row],[3F1 AC Unit WH dock cooling - 2 Nos]]</f>
        <v>16</v>
      </c>
      <c r="DZ28">
        <f>BB29-Table2[[#This Row],[3F2 AC Unit WH dock cooling - 3 Nos]]</f>
        <v>4.9999999999997158E-2</v>
      </c>
      <c r="EA28">
        <f>(BK29-Table2[[#This Row],[5F WH Perishable]])*1000</f>
        <v>292.00000000003001</v>
      </c>
      <c r="EB28">
        <f>BN29-Table2[[#This Row],[2F3 - PDB 9 - WH Dock Leveler Door ]]</f>
        <v>2.5671999999995023</v>
      </c>
      <c r="EC28">
        <f>BP29-Table2[[#This Row],[3F1 - PDB 5 - WH HSD]]</f>
        <v>101.98399999999674</v>
      </c>
      <c r="ED28">
        <f>BX29-Table2[[#This Row],[8F1 WH Dock AHU - Ventilation]]</f>
        <v>2321.7280000000028</v>
      </c>
      <c r="EE28">
        <f>BZ29-Table2[[#This Row],[8F3 ACPDB - 4 WH Dock air curtain]]</f>
        <v>16.480000000010477</v>
      </c>
      <c r="EF28">
        <f>CA29-Table2[[#This Row],[8F4 WH Light]]</f>
        <v>2.8036999999999352</v>
      </c>
      <c r="EG28">
        <f>CC29-Table2[[#This Row],[9F1 - PDB 10 - WH Dock door &amp; Office]]</f>
        <v>115.32800000000861</v>
      </c>
      <c r="EH28">
        <f>CD29-Table2[[#This Row],[9F2 - PDB 11 - WH flycatchers]]</f>
        <v>262.91200000001118</v>
      </c>
      <c r="EI28">
        <f>CE29-Table2[[#This Row],[9F3 - PDB 12 - Other items]]</f>
        <v>0</v>
      </c>
      <c r="EJ28">
        <f>CR29-Table2[[#This Row],[2F3 - PDB 1 - Dock 1 to 4 ]]</f>
        <v>78.376000000003842</v>
      </c>
      <c r="EK28">
        <f>BM29-Table2[[#This Row],[2F2 - PDB 3 - WH Truck &amp; Battery Charging]]</f>
        <v>543.10399999999208</v>
      </c>
      <c r="EL28">
        <f>(CK29-Table2[[#This Row],[PDB - 11 Truck Charging]])*1000</f>
        <v>53.000000000011482</v>
      </c>
      <c r="EM28">
        <f>P29-Table2[[#This Row],[5F3 Admin Area]]</f>
        <v>369.72800000000279</v>
      </c>
      <c r="EN28">
        <f>AH29-Table2[[#This Row],[2F5 Main Gate-1 Piller -1]]</f>
        <v>110.63200000001234</v>
      </c>
      <c r="EO28">
        <f>CW29-Table2[[#This Row],[6F2 Ground Floor AC]]</f>
        <v>24.531200000004901</v>
      </c>
      <c r="EP28">
        <f>CX29-Table2[[#This Row],[6F3 ACBD -1 (First floor AC)]]</f>
        <v>17.116800000003423</v>
      </c>
      <c r="EQ28">
        <f>CY29-Table2[[#This Row],[6F4 ACBD - 2 (Second &amp; Third floor AC)]]</f>
        <v>196.67199999999139</v>
      </c>
      <c r="ER28">
        <f>(BC29-Table2[[#This Row],[4F Old BMC cooling Unit]])</f>
        <v>0</v>
      </c>
      <c r="ES28">
        <f>BO29-Table2[[#This Row],[2F4 - Old BMC]]</f>
        <v>3.6160000000018044</v>
      </c>
      <c r="ET28">
        <f>Y29-Table2[[#This Row],[14F2 New CK]]</f>
        <v>1469.4399999999441</v>
      </c>
      <c r="EU28">
        <f>(CL29-Table2[[#This Row],[OLD Ck Panel-1]])*1000</f>
        <v>733.00000000006094</v>
      </c>
      <c r="EV28">
        <f>CM29-Table2[[#This Row],[2F4 Old CK Blast (Blue star)]]</f>
        <v>0</v>
      </c>
      <c r="EW28">
        <f>CN29-Table2[[#This Row],[3F6 Old CK Blast (Carrier)]]</f>
        <v>581.90000000000146</v>
      </c>
      <c r="EX28">
        <f>(CO29-Table2[[#This Row],[Old CK Panel -2]])*1000</f>
        <v>1230.9999999999945</v>
      </c>
      <c r="EY28">
        <f>N29-Table2[[#This Row],[4F1 Main UPS 1/C -1]]</f>
        <v>950.56000000005588</v>
      </c>
      <c r="EZ28">
        <f>Z29-Table2[[#This Row],[15F1 Main UPS Panel - I/C - 2]]</f>
        <v>0</v>
      </c>
      <c r="FA28">
        <f>BF29-Table2[[#This Row],[2F CLC -1 AC unit - 2]]</f>
        <v>0</v>
      </c>
      <c r="FB28">
        <f>(BG29-Table2[[#This Row],[2F CLC Anti room]])*1000</f>
        <v>34.999999999996589</v>
      </c>
      <c r="FC28">
        <f>BW29-Table2[[#This Row],[7F3 CLC Power Panel]]</f>
        <v>240.83199999993667</v>
      </c>
      <c r="FD28">
        <f>(CI29-Table2[[#This Row],[PDB - 17 CLC Section ]])*1000</f>
        <v>162.00000000000614</v>
      </c>
      <c r="FE28">
        <f>(W29-Table2[[#This Row],[13F3 Water &amp; Lift Old CK]])*1000</f>
        <v>593.80000000010114</v>
      </c>
      <c r="FF28">
        <f>AA29-Table2[[#This Row],[15F2 New ETP Panel]]</f>
        <v>258.4320000000298</v>
      </c>
      <c r="FG28">
        <f>AL29-Table2[[#This Row],[3F4 Old ETP Panel]]</f>
        <v>76.543999999994412</v>
      </c>
      <c r="FH28">
        <f>AF29-Table2[[#This Row],[2F1 RO Plant]]</f>
        <v>532.80000000004657</v>
      </c>
      <c r="FI28">
        <f>AK29-Table2[[#This Row],[3F3 Fire Hydrant Panel]]</f>
        <v>10.695999999996275</v>
      </c>
      <c r="FJ28">
        <f>R29-Table2[[#This Row],[7F1 Freon System Panel]]</f>
        <v>5872</v>
      </c>
      <c r="FK28">
        <f>(AE29-Table2[[#This Row],[21F1 Refrigeration Ammonia]])*1000</f>
        <v>6911.2000000004628</v>
      </c>
      <c r="FL28">
        <f>(AG29-Table2[[#This Row],[2F3 Air Compressor]])*1000</f>
        <v>1007.0000000000618</v>
      </c>
      <c r="FM28">
        <f>(AX29-Table2[[#This Row],[Solar Reading Panel II]])*1000</f>
        <v>2889.0000000001237</v>
      </c>
      <c r="FN28">
        <f>AI29-Table2[[#This Row],[3F1 Maintenance Workshop]]</f>
        <v>6.4240000000008877</v>
      </c>
      <c r="FO28">
        <f>BD29-Table2[[#This Row],[4F B2B unit ]]</f>
        <v>69.023999999975786</v>
      </c>
      <c r="FP28">
        <f>BL29-Table2[[#This Row],[2F1 - PDB 6 - Bread, B2B section]]</f>
        <v>279.32160000001022</v>
      </c>
      <c r="FQ28">
        <f>(CG29-Table2[[#This Row],[9F5 - PDB 14 - Bread Lift]])</f>
        <v>0.51199999998789281</v>
      </c>
      <c r="FR28">
        <f>CJ29-Table2[[#This Row],[PDB - 16 Bread Section]]</f>
        <v>2.2999999999999545</v>
      </c>
      <c r="FS28">
        <f>BU29-Table2[[#This Row],[7F1 Donut Production area]]</f>
        <v>213.11999999999534</v>
      </c>
      <c r="FT28">
        <f>CB29-Table2[[#This Row],[8F5 Donut Ban Bary]]</f>
        <v>63.160000000003492</v>
      </c>
      <c r="FU28">
        <f>CF29-Table2[[#This Row],[9F4 - PDB 13 - Donut Sink Geyser area]]</f>
        <v>15.440000000002328</v>
      </c>
      <c r="FV28">
        <f>BV29-Table2[[#This Row],[7F2 Flour Silo]]</f>
        <v>264.1600000000326</v>
      </c>
      <c r="FW28">
        <f>BY29-Table2[[#This Row],[8F2 ACPDB - 3 SILO Ventilation]]</f>
        <v>49.312000000005355</v>
      </c>
      <c r="FX28">
        <f>J29-Table2[[#This Row],[DG 1010KVA Running Hours]]</f>
        <v>0</v>
      </c>
      <c r="FY28">
        <f>K29-Table2[[#This Row],[DG 1010 KVA Meter Reading]]</f>
        <v>0</v>
      </c>
      <c r="FZ28">
        <f>L29-Table2[[#This Row],[GG 1010 KVA Running Hours]]</f>
        <v>0</v>
      </c>
      <c r="GA28">
        <f>M29-Table2[[#This Row],[GG 1010 KVA Meter Reading]]</f>
        <v>0</v>
      </c>
    </row>
    <row r="29" spans="1:183" x14ac:dyDescent="0.35">
      <c r="A29" s="1">
        <v>39</v>
      </c>
      <c r="B29" s="2">
        <v>46227.412708333337</v>
      </c>
      <c r="C29" s="2">
        <v>46227.458124999997</v>
      </c>
      <c r="D29" s="1" t="s">
        <v>111</v>
      </c>
      <c r="E29" s="1"/>
      <c r="F29" s="1"/>
      <c r="G29" s="3">
        <v>46227</v>
      </c>
      <c r="H29" s="1" t="s">
        <v>186</v>
      </c>
      <c r="I29" s="6">
        <v>6193.652</v>
      </c>
      <c r="J29" s="6">
        <v>4269.5</v>
      </c>
      <c r="K29" s="6">
        <v>1775990</v>
      </c>
      <c r="L29" s="6">
        <v>451</v>
      </c>
      <c r="M29" s="6">
        <v>189.99</v>
      </c>
      <c r="N29" s="6">
        <v>1858811.52</v>
      </c>
      <c r="O29" s="6">
        <v>4579729.92</v>
      </c>
      <c r="P29" s="6">
        <v>641708.03200000001</v>
      </c>
      <c r="Q29" s="6">
        <v>8059734.4000000004</v>
      </c>
      <c r="R29" s="6">
        <v>5479210.2400000002</v>
      </c>
      <c r="S29" s="6">
        <v>7331094.4000000004</v>
      </c>
      <c r="T29" s="6">
        <v>43066022.715999998</v>
      </c>
      <c r="U29" s="6">
        <v>2089742.88</v>
      </c>
      <c r="V29" s="6">
        <v>5097704.96</v>
      </c>
      <c r="W29" s="6">
        <v>1586.1855</v>
      </c>
      <c r="X29" s="6">
        <v>771085.696</v>
      </c>
      <c r="Y29" s="6">
        <v>1078833.28</v>
      </c>
      <c r="Z29" s="6">
        <v>2777.8894</v>
      </c>
      <c r="AA29" s="6">
        <v>665566.97600000002</v>
      </c>
      <c r="AB29" s="6">
        <v>421154.72</v>
      </c>
      <c r="AC29" s="6">
        <v>2131204.3199999998</v>
      </c>
      <c r="AD29" s="6">
        <v>3893897.1579999998</v>
      </c>
      <c r="AE29" s="6">
        <v>12734.367200000001</v>
      </c>
      <c r="AF29" s="6">
        <v>869701.76</v>
      </c>
      <c r="AG29" s="6">
        <v>1386.742</v>
      </c>
      <c r="AH29" s="6">
        <v>132272.47200000001</v>
      </c>
      <c r="AI29" s="6">
        <v>14578.76</v>
      </c>
      <c r="AJ29" s="6">
        <v>145334.91200000001</v>
      </c>
      <c r="AK29" s="6">
        <v>105107.552</v>
      </c>
      <c r="AL29" s="6">
        <v>329815.36</v>
      </c>
      <c r="AM29" s="6">
        <v>985.327</v>
      </c>
      <c r="AN29" s="6">
        <v>282.3</v>
      </c>
      <c r="AO29" s="6">
        <v>7.6</v>
      </c>
      <c r="AP29" s="6">
        <v>352475</v>
      </c>
      <c r="AQ29" s="6">
        <v>42305</v>
      </c>
      <c r="AR29" s="6">
        <v>41761</v>
      </c>
      <c r="AS29" s="6">
        <v>32307</v>
      </c>
      <c r="AT29" s="6">
        <v>22056</v>
      </c>
      <c r="AU29" s="6">
        <v>15386</v>
      </c>
      <c r="AV29" s="6">
        <v>6259</v>
      </c>
      <c r="AW29" s="6">
        <v>20.855056000000001</v>
      </c>
      <c r="AX29" s="6">
        <v>7212.41</v>
      </c>
      <c r="AY29" s="6">
        <v>677.58352000000002</v>
      </c>
      <c r="AZ29" s="6">
        <v>20.788</v>
      </c>
      <c r="BA29" s="6">
        <v>10187</v>
      </c>
      <c r="BB29" s="6">
        <v>44.350999999999999</v>
      </c>
      <c r="BC29" s="6">
        <v>113988.60799999999</v>
      </c>
      <c r="BD29" s="6">
        <v>275337.696</v>
      </c>
      <c r="BE29" s="6">
        <v>3712.8488000000002</v>
      </c>
      <c r="BF29" s="6">
        <v>1712.0419999999999</v>
      </c>
      <c r="BG29" s="6">
        <v>74.712000000000003</v>
      </c>
      <c r="BH29" s="6">
        <v>360.91899999999998</v>
      </c>
      <c r="BI29" s="6">
        <v>910.529</v>
      </c>
      <c r="BJ29" s="6">
        <v>14.167</v>
      </c>
      <c r="BK29" s="6">
        <v>561.38900000000001</v>
      </c>
      <c r="BL29" s="6">
        <v>70716.908800000005</v>
      </c>
      <c r="BM29" s="6">
        <v>304553.984</v>
      </c>
      <c r="BN29" s="6">
        <v>7171.1175999999996</v>
      </c>
      <c r="BO29" s="6">
        <v>53537.2448</v>
      </c>
      <c r="BP29" s="6">
        <v>313200.73599999998</v>
      </c>
      <c r="BQ29" s="6">
        <v>323.221</v>
      </c>
      <c r="BR29" s="6">
        <v>180.09899999999999</v>
      </c>
      <c r="BS29" s="6">
        <v>999263.18500000006</v>
      </c>
      <c r="BT29" s="6">
        <v>1400599.6059999999</v>
      </c>
      <c r="BU29" s="6">
        <v>627189.18400000001</v>
      </c>
      <c r="BV29" s="6">
        <v>1017750.4</v>
      </c>
      <c r="BW29" s="6">
        <v>566183.87199999997</v>
      </c>
      <c r="BX29" s="6">
        <v>975133.24800000002</v>
      </c>
      <c r="BY29" s="6">
        <v>157253.856</v>
      </c>
      <c r="BZ29" s="6">
        <v>114301.46400000001</v>
      </c>
      <c r="CA29" s="6">
        <v>1218.4884999999999</v>
      </c>
      <c r="CB29" s="6">
        <v>108232.92</v>
      </c>
      <c r="CC29" s="6">
        <v>149569.408</v>
      </c>
      <c r="CD29" s="6">
        <v>444655.39199999999</v>
      </c>
      <c r="CE29" s="6">
        <v>49125.260799999996</v>
      </c>
      <c r="CF29" s="6">
        <v>155666.96</v>
      </c>
      <c r="CG29" s="6">
        <v>360802.79359999998</v>
      </c>
      <c r="CH29" s="6">
        <v>2385.8710000000001</v>
      </c>
      <c r="CI29" s="6">
        <v>212.964</v>
      </c>
      <c r="CJ29" s="6">
        <v>1185.8</v>
      </c>
      <c r="CK29" s="6">
        <v>77.617000000000004</v>
      </c>
      <c r="CL29" s="6">
        <v>729.51700000000005</v>
      </c>
      <c r="CM29" s="6">
        <v>551.4</v>
      </c>
      <c r="CN29" s="6">
        <v>41945</v>
      </c>
      <c r="CO29" s="6">
        <v>1644.373</v>
      </c>
      <c r="CP29" s="6">
        <v>293012.94900000002</v>
      </c>
      <c r="CQ29" s="6">
        <v>3673811.52</v>
      </c>
      <c r="CR29" s="6">
        <v>130583.72</v>
      </c>
      <c r="CS29" s="6">
        <v>511776.576</v>
      </c>
      <c r="CT29" s="6">
        <v>2902908.6129999999</v>
      </c>
      <c r="CU29" s="6">
        <v>296350.44</v>
      </c>
      <c r="CV29" s="6">
        <v>30129.254400000002</v>
      </c>
      <c r="CW29" s="6">
        <v>62635.296000000002</v>
      </c>
      <c r="CX29" s="6">
        <v>33404.374400000001</v>
      </c>
      <c r="CY29" s="6">
        <v>166772.68799999999</v>
      </c>
      <c r="CZ29" s="6">
        <v>217313.32800000001</v>
      </c>
      <c r="DA29" s="6">
        <v>18941.72</v>
      </c>
      <c r="DB29" s="6">
        <v>149273.144</v>
      </c>
      <c r="DC29" s="6">
        <v>2975.34</v>
      </c>
      <c r="DD29" s="6">
        <v>2975.21</v>
      </c>
      <c r="DE29" s="6">
        <v>3000.21</v>
      </c>
      <c r="DF29" s="6">
        <v>0.996</v>
      </c>
      <c r="DG29" s="1" t="s">
        <v>256</v>
      </c>
      <c r="DH29" s="4">
        <f>Table2[[#This Row],[Date]]</f>
        <v>46227</v>
      </c>
      <c r="DI29">
        <f>(DD30-Table2[[#This Row],[MWH Total]])*4000</f>
        <v>25360.000000000582</v>
      </c>
      <c r="DJ29">
        <f>(DA30-Table2[[#This Row],[PNG Meter (Outside)]])*2.936</f>
        <v>7.0463999999935911</v>
      </c>
      <c r="DK29">
        <f>(DB30-Table2[[#This Row],[PNG Meter (Inside)]])*2.936</f>
        <v>280.84895200001915</v>
      </c>
      <c r="DL29">
        <f>(BH30-Table2[[#This Row],[3F Dough cooler - 2 ]])*1000</f>
        <v>161.00000000000136</v>
      </c>
      <c r="DM29">
        <f>(BI30-Table2[[#This Row],[3F Dough Cooler- 1]])*1000</f>
        <v>337.99999999996544</v>
      </c>
      <c r="DN29">
        <f>(BJ30-Table2[[#This Row],[4F Dough Production cooling Unit]])*1000</f>
        <v>13.999999999999346</v>
      </c>
      <c r="DO29">
        <f>(BQ30-Table2[[#This Row],[3F2 - PDB 3 - Dough Production Area]])*1000</f>
        <v>120.00000000000455</v>
      </c>
      <c r="DP29">
        <f>(BR30-Table2[[#This Row],[3F3 - PDB 4 - Dough Area]])*1000</f>
        <v>64.000000000021373</v>
      </c>
      <c r="DQ29">
        <f>AC30-Table2[[#This Row],[16F1 Tray washer Panel for Light]]</f>
        <v>622.72000000020489</v>
      </c>
      <c r="DR29">
        <f>CQ30-Table2[[#This Row],[2F1 Tray Washer - 1]]</f>
        <v>616</v>
      </c>
      <c r="DS29">
        <f>CS30-Table2[[#This Row],[2F5 Destacker]]</f>
        <v>173.40799999999581</v>
      </c>
      <c r="DT29">
        <f>CU30-Table2[[#This Row],[5F1 Metering (TW-2)]]</f>
        <v>239.92200000002049</v>
      </c>
      <c r="DU29">
        <f>CV30-Table2[[#This Row],[6F1 Pre soaker Tray washer]]</f>
        <v>3.1999999991967343E-3</v>
      </c>
      <c r="DV29">
        <f>CZ30-Table2[[#This Row],[6F5 Vent tray Storage]]</f>
        <v>76.304000000003725</v>
      </c>
      <c r="DW29">
        <f>I30-Table2[[#This Row],[Popeyes Meter ]]</f>
        <v>57.159999999999854</v>
      </c>
      <c r="DX29">
        <f>AZ30-Table2[[#This Row],[2F WH Chiller, Segregation Area]]</f>
        <v>0</v>
      </c>
      <c r="DY29">
        <f>BA30-Table2[[#This Row],[3F1 AC Unit WH dock cooling - 2 Nos]]</f>
        <v>14</v>
      </c>
      <c r="DZ29">
        <f>BB30-Table2[[#This Row],[3F2 AC Unit WH dock cooling - 3 Nos]]</f>
        <v>3.5000000000003695E-2</v>
      </c>
      <c r="EA29">
        <f>(BK30-Table2[[#This Row],[5F WH Perishable]])*1000</f>
        <v>202.99999999997453</v>
      </c>
      <c r="EB29">
        <f>BN30-Table2[[#This Row],[2F3 - PDB 9 - WH Dock Leveler Door ]]</f>
        <v>0.36560000000008586</v>
      </c>
      <c r="EC29">
        <f>BP30-Table2[[#This Row],[3F1 - PDB 5 - WH HSD]]</f>
        <v>81.792000000015832</v>
      </c>
      <c r="ED29">
        <f>BX30-Table2[[#This Row],[8F1 WH Dock AHU - Ventilation]]</f>
        <v>1668.1520000000019</v>
      </c>
      <c r="EE29">
        <f>BZ30-Table2[[#This Row],[8F3 ACPDB - 4 WH Dock air curtain]]</f>
        <v>6.5119999999878928</v>
      </c>
      <c r="EF29">
        <f>CA30-Table2[[#This Row],[8F4 WH Light]]</f>
        <v>1.9457999999999629</v>
      </c>
      <c r="EG29">
        <f>CC30-Table2[[#This Row],[9F1 - PDB 10 - WH Dock door &amp; Office]]</f>
        <v>120.46400000000722</v>
      </c>
      <c r="EH29">
        <f>CD30-Table2[[#This Row],[9F2 - PDB 11 - WH flycatchers]]</f>
        <v>182.23999999999069</v>
      </c>
      <c r="EI29">
        <f>CE30-Table2[[#This Row],[9F3 - PDB 12 - Other items]]</f>
        <v>0</v>
      </c>
      <c r="EJ29">
        <f>CR30-Table2[[#This Row],[2F3 - PDB 1 - Dock 1 to 4 ]]</f>
        <v>41.19199999999546</v>
      </c>
      <c r="EK29">
        <f>BM30-Table2[[#This Row],[2F2 - PDB 3 - WH Truck &amp; Battery Charging]]</f>
        <v>481.72800000000279</v>
      </c>
      <c r="EL29">
        <f>(CK30-Table2[[#This Row],[PDB - 11 Truck Charging]])*1000</f>
        <v>45.000000000001705</v>
      </c>
      <c r="EM29">
        <f>P30-Table2[[#This Row],[5F3 Admin Area]]</f>
        <v>304.12800000002608</v>
      </c>
      <c r="EN29">
        <f>AH30-Table2[[#This Row],[2F5 Main Gate-1 Piller -1]]</f>
        <v>85.872000000003027</v>
      </c>
      <c r="EO29">
        <f>CW30-Table2[[#This Row],[6F2 Ground Floor AC]]</f>
        <v>22.124799999997776</v>
      </c>
      <c r="EP29">
        <f>CX30-Table2[[#This Row],[6F3 ACBD -1 (First floor AC)]]</f>
        <v>10.976000000002387</v>
      </c>
      <c r="EQ29">
        <f>CY30-Table2[[#This Row],[6F4 ACBD - 2 (Second &amp; Third floor AC)]]</f>
        <v>107.82399999999325</v>
      </c>
      <c r="ER29">
        <f>(BC30-Table2[[#This Row],[4F Old BMC cooling Unit]])</f>
        <v>0</v>
      </c>
      <c r="ES29">
        <f>BO30-Table2[[#This Row],[2F4 - Old BMC]]</f>
        <v>2.4864000000015949</v>
      </c>
      <c r="ET29">
        <f>Y30-Table2[[#This Row],[14F2 New CK]]</f>
        <v>1392.5600000000559</v>
      </c>
      <c r="EU29">
        <f>(CL30-Table2[[#This Row],[OLD Ck Panel-1]])*1000</f>
        <v>500</v>
      </c>
      <c r="EV29">
        <f>CM30-Table2[[#This Row],[2F4 Old CK Blast (Blue star)]]</f>
        <v>0</v>
      </c>
      <c r="EW29">
        <f>CN30-Table2[[#This Row],[3F6 Old CK Blast (Carrier)]]</f>
        <v>391</v>
      </c>
      <c r="EX29">
        <f>(CO30-Table2[[#This Row],[Old CK Panel -2]])*1000</f>
        <v>887.99999999991996</v>
      </c>
      <c r="EY29">
        <f>N30-Table2[[#This Row],[4F1 Main UPS 1/C -1]]</f>
        <v>797.91999999992549</v>
      </c>
      <c r="EZ29">
        <f>Z30-Table2[[#This Row],[15F1 Main UPS Panel - I/C - 2]]</f>
        <v>0</v>
      </c>
      <c r="FA29">
        <f>BF30-Table2[[#This Row],[2F CLC -1 AC unit - 2]]</f>
        <v>0</v>
      </c>
      <c r="FB29">
        <f>(BG30-Table2[[#This Row],[2F CLC Anti room]])*1000</f>
        <v>22.999999999996135</v>
      </c>
      <c r="FC29">
        <f>BW30-Table2[[#This Row],[7F3 CLC Power Panel]]</f>
        <v>222.27199999999721</v>
      </c>
      <c r="FD29">
        <f>(CI30-Table2[[#This Row],[PDB - 17 CLC Section ]])*1000</f>
        <v>147.99999999999613</v>
      </c>
      <c r="FE29">
        <f>(W30-Table2[[#This Row],[13F3 Water &amp; Lift Old CK]])*1000</f>
        <v>571.59999999998945</v>
      </c>
      <c r="FF29">
        <f>AA30-Table2[[#This Row],[15F2 New ETP Panel]]</f>
        <v>230.91200000001118</v>
      </c>
      <c r="FG29">
        <f>AL30-Table2[[#This Row],[3F4 Old ETP Panel]]</f>
        <v>57.720000000030268</v>
      </c>
      <c r="FH29">
        <f>AF30-Table2[[#This Row],[2F1 RO Plant]]</f>
        <v>419.07099999999627</v>
      </c>
      <c r="FI29">
        <f>AK30-Table2[[#This Row],[3F3 Fire Hydrant Panel]]</f>
        <v>8.7200000000011642</v>
      </c>
      <c r="FJ29">
        <f>R30-Table2[[#This Row],[7F1 Freon System Panel]]</f>
        <v>4254.0800000000745</v>
      </c>
      <c r="FK29">
        <f>(AE30-Table2[[#This Row],[21F1 Refrigeration Ammonia]])*1000</f>
        <v>5377.5999999998021</v>
      </c>
      <c r="FL29">
        <f>(AG30-Table2[[#This Row],[2F3 Air Compressor]])*1000</f>
        <v>863.00000000005639</v>
      </c>
      <c r="FM29">
        <f>(AX30-Table2[[#This Row],[Solar Reading Panel II]])*1000</f>
        <v>1867.0000000001892</v>
      </c>
      <c r="FN29">
        <f>AI30-Table2[[#This Row],[3F1 Maintenance Workshop]]</f>
        <v>3.3392000000003463</v>
      </c>
      <c r="FO29">
        <f>BD30-Table2[[#This Row],[4F B2B unit ]]</f>
        <v>36.416000000026543</v>
      </c>
      <c r="FP29">
        <f>BL30-Table2[[#This Row],[2F1 - PDB 6 - Bread, B2B section]]</f>
        <v>159.34079999999085</v>
      </c>
      <c r="FQ29">
        <f>(CG30-Table2[[#This Row],[9F5 - PDB 14 - Bread Lift]])</f>
        <v>0.30080000002635643</v>
      </c>
      <c r="FR29">
        <f>CJ30-Table2[[#This Row],[PDB - 16 Bread Section]]</f>
        <v>0.60000000000013642</v>
      </c>
      <c r="FS29">
        <f>BU30-Table2[[#This Row],[7F1 Donut Production area]]</f>
        <v>168.64000000001397</v>
      </c>
      <c r="FT29">
        <f>CB30-Table2[[#This Row],[8F5 Donut Ban Bary]]</f>
        <v>29.304000000003725</v>
      </c>
      <c r="FU29">
        <f>CF30-Table2[[#This Row],[9F4 - PDB 13 - Donut Sink Geyser area]]</f>
        <v>10.192000000010012</v>
      </c>
      <c r="FV29">
        <f>BV30-Table2[[#This Row],[7F2 Flour Silo]]</f>
        <v>182.88000000000466</v>
      </c>
      <c r="FW29">
        <f>BY30-Table2[[#This Row],[8F2 ACPDB - 3 SILO Ventilation]]</f>
        <v>33.98399999999674</v>
      </c>
      <c r="FX29">
        <f>J30-Table2[[#This Row],[DG 1010KVA Running Hours]]</f>
        <v>0</v>
      </c>
      <c r="FY29">
        <f>K30-Table2[[#This Row],[DG 1010 KVA Meter Reading]]</f>
        <v>0</v>
      </c>
      <c r="FZ29">
        <f>L30-Table2[[#This Row],[GG 1010 KVA Running Hours]]</f>
        <v>0</v>
      </c>
      <c r="GA29">
        <f>M30-Table2[[#This Row],[GG 1010 KVA Meter Reading]]</f>
        <v>0</v>
      </c>
    </row>
    <row r="30" spans="1:183" x14ac:dyDescent="0.35">
      <c r="A30" s="1">
        <v>40</v>
      </c>
      <c r="B30" s="2">
        <v>46228.374560185184</v>
      </c>
      <c r="C30" s="2">
        <v>46228.392372685186</v>
      </c>
      <c r="D30" s="1" t="s">
        <v>111</v>
      </c>
      <c r="E30" s="1"/>
      <c r="F30" s="1"/>
      <c r="G30" s="3">
        <v>46228</v>
      </c>
      <c r="H30" s="1" t="s">
        <v>186</v>
      </c>
      <c r="I30" s="6">
        <v>6250.8119999999999</v>
      </c>
      <c r="J30" s="6">
        <v>4269.5</v>
      </c>
      <c r="K30" s="6">
        <v>1775990</v>
      </c>
      <c r="L30" s="6">
        <v>451</v>
      </c>
      <c r="M30" s="6">
        <v>189.99</v>
      </c>
      <c r="N30" s="6">
        <v>1859609.44</v>
      </c>
      <c r="O30" s="6">
        <v>4571079.04</v>
      </c>
      <c r="P30" s="6">
        <v>642012.16000000003</v>
      </c>
      <c r="Q30" s="6">
        <v>8062229.7599999998</v>
      </c>
      <c r="R30" s="6">
        <v>5483464.3200000003</v>
      </c>
      <c r="S30" s="6">
        <v>7333733.7599999998</v>
      </c>
      <c r="T30" s="6">
        <v>42641304.476000004</v>
      </c>
      <c r="U30" s="6">
        <v>2090951.6799999999</v>
      </c>
      <c r="V30" s="6">
        <v>5098956.16</v>
      </c>
      <c r="W30" s="6">
        <v>1586.7571</v>
      </c>
      <c r="X30" s="6">
        <v>771376.25600000005</v>
      </c>
      <c r="Y30" s="6">
        <v>1080225.8400000001</v>
      </c>
      <c r="Z30" s="6">
        <v>2777.8894</v>
      </c>
      <c r="AA30" s="6">
        <v>665797.88800000004</v>
      </c>
      <c r="AB30" s="6">
        <v>421161.28</v>
      </c>
      <c r="AC30" s="6">
        <v>2131827.04</v>
      </c>
      <c r="AD30" s="6">
        <v>2565671.5010000002</v>
      </c>
      <c r="AE30" s="6">
        <v>12739.7448</v>
      </c>
      <c r="AF30" s="6">
        <v>870120.83100000001</v>
      </c>
      <c r="AG30" s="6">
        <v>1387.605</v>
      </c>
      <c r="AH30" s="6">
        <v>132358.34400000001</v>
      </c>
      <c r="AI30" s="6">
        <v>14582.099200000001</v>
      </c>
      <c r="AJ30" s="6">
        <v>145336.976</v>
      </c>
      <c r="AK30" s="6">
        <v>105116.272</v>
      </c>
      <c r="AL30" s="6">
        <v>329873.08</v>
      </c>
      <c r="AM30" s="6">
        <v>985.80700000000002</v>
      </c>
      <c r="AN30" s="6">
        <v>253</v>
      </c>
      <c r="AO30" s="6">
        <v>7.8</v>
      </c>
      <c r="AP30" s="6">
        <v>360036</v>
      </c>
      <c r="AQ30" s="6">
        <v>42305</v>
      </c>
      <c r="AR30" s="6">
        <v>41761</v>
      </c>
      <c r="AS30" s="6">
        <v>32307</v>
      </c>
      <c r="AT30" s="6">
        <v>22056</v>
      </c>
      <c r="AU30" s="6">
        <v>15405</v>
      </c>
      <c r="AV30" s="6">
        <v>6272</v>
      </c>
      <c r="AW30" s="6">
        <v>20.860119999999998</v>
      </c>
      <c r="AX30" s="6">
        <v>7214.277</v>
      </c>
      <c r="AY30" s="6">
        <v>677.68104000000005</v>
      </c>
      <c r="AZ30" s="6">
        <v>20.788</v>
      </c>
      <c r="BA30" s="6">
        <v>10201</v>
      </c>
      <c r="BB30" s="6">
        <v>44.386000000000003</v>
      </c>
      <c r="BC30" s="6">
        <v>113988.60799999999</v>
      </c>
      <c r="BD30" s="6">
        <v>275374.11200000002</v>
      </c>
      <c r="BE30" s="6">
        <v>3713.6307999999999</v>
      </c>
      <c r="BF30" s="6">
        <v>1712.0419999999999</v>
      </c>
      <c r="BG30" s="6">
        <v>74.734999999999999</v>
      </c>
      <c r="BH30" s="6">
        <v>361.08</v>
      </c>
      <c r="BI30" s="6">
        <v>910.86699999999996</v>
      </c>
      <c r="BJ30" s="6">
        <v>14.180999999999999</v>
      </c>
      <c r="BK30" s="6">
        <v>561.59199999999998</v>
      </c>
      <c r="BL30" s="6">
        <v>70876.249599999996</v>
      </c>
      <c r="BM30" s="6">
        <v>305035.712</v>
      </c>
      <c r="BN30" s="6">
        <v>7171.4831999999997</v>
      </c>
      <c r="BO30" s="6">
        <v>53539.731200000002</v>
      </c>
      <c r="BP30" s="6">
        <v>313282.52799999999</v>
      </c>
      <c r="BQ30" s="6">
        <v>323.34100000000001</v>
      </c>
      <c r="BR30" s="6">
        <v>180.16300000000001</v>
      </c>
      <c r="BS30" s="6">
        <v>1000270.384</v>
      </c>
      <c r="BT30" s="6">
        <v>1400600.8929999999</v>
      </c>
      <c r="BU30" s="6">
        <v>627357.82400000002</v>
      </c>
      <c r="BV30" s="6">
        <v>1017933.28</v>
      </c>
      <c r="BW30" s="6">
        <v>566406.14399999997</v>
      </c>
      <c r="BX30" s="6">
        <v>976801.4</v>
      </c>
      <c r="BY30" s="6">
        <v>157287.84</v>
      </c>
      <c r="BZ30" s="6">
        <v>114307.976</v>
      </c>
      <c r="CA30" s="6">
        <v>1220.4342999999999</v>
      </c>
      <c r="CB30" s="6">
        <v>108262.224</v>
      </c>
      <c r="CC30" s="6">
        <v>149689.872</v>
      </c>
      <c r="CD30" s="6">
        <v>444837.63199999998</v>
      </c>
      <c r="CE30" s="6">
        <v>49125.260799999996</v>
      </c>
      <c r="CF30" s="6">
        <v>155677.152</v>
      </c>
      <c r="CG30" s="6">
        <v>360803.0944</v>
      </c>
      <c r="CH30" s="6">
        <v>2385.8710000000001</v>
      </c>
      <c r="CI30" s="6">
        <v>213.11199999999999</v>
      </c>
      <c r="CJ30" s="6">
        <v>1186.4000000000001</v>
      </c>
      <c r="CK30" s="6">
        <v>77.662000000000006</v>
      </c>
      <c r="CL30" s="6">
        <v>730.01700000000005</v>
      </c>
      <c r="CM30" s="6">
        <v>551.4</v>
      </c>
      <c r="CN30" s="6">
        <v>42336</v>
      </c>
      <c r="CO30" s="6">
        <v>1645.261</v>
      </c>
      <c r="CP30" s="6">
        <v>293116.43400000001</v>
      </c>
      <c r="CQ30" s="6">
        <v>3674427.52</v>
      </c>
      <c r="CR30" s="6">
        <v>130624.912</v>
      </c>
      <c r="CS30" s="6">
        <v>511949.984</v>
      </c>
      <c r="CT30" s="6">
        <v>2904958.1179999998</v>
      </c>
      <c r="CU30" s="6">
        <v>296590.36200000002</v>
      </c>
      <c r="CV30" s="6">
        <v>30129.257600000001</v>
      </c>
      <c r="CW30" s="6">
        <v>62657.4208</v>
      </c>
      <c r="CX30" s="6">
        <v>33415.350400000003</v>
      </c>
      <c r="CY30" s="6">
        <v>166880.51199999999</v>
      </c>
      <c r="CZ30" s="6">
        <v>217389.63200000001</v>
      </c>
      <c r="DA30" s="6">
        <v>18944.12</v>
      </c>
      <c r="DB30" s="6">
        <v>149368.80100000001</v>
      </c>
      <c r="DC30" s="6">
        <v>2981.68</v>
      </c>
      <c r="DD30" s="6">
        <v>2981.55</v>
      </c>
      <c r="DE30" s="6">
        <v>3006.6</v>
      </c>
      <c r="DF30" s="6">
        <v>0.99299999999999999</v>
      </c>
      <c r="DG30" s="1" t="s">
        <v>176</v>
      </c>
      <c r="DH30" s="4">
        <f>Table2[[#This Row],[Date]]</f>
        <v>46228</v>
      </c>
      <c r="DI30">
        <f>(DD31-Table2[[#This Row],[MWH Total]])*4000</f>
        <v>22559.999999999491</v>
      </c>
      <c r="DJ30">
        <f>(DA31-Table2[[#This Row],[PNG Meter (Outside)]])*2.936</f>
        <v>91.77936000000598</v>
      </c>
      <c r="DK30">
        <f>(DB31-Table2[[#This Row],[PNG Meter (Inside)]])*2.936</f>
        <v>251.65336799996717</v>
      </c>
      <c r="DL30">
        <f>(BH31-Table2[[#This Row],[3F Dough cooler - 2 ]])*1000</f>
        <v>298.00000000000182</v>
      </c>
      <c r="DM30">
        <f>(BI31-Table2[[#This Row],[3F Dough Cooler- 1]])*1000</f>
        <v>444.00000000007367</v>
      </c>
      <c r="DN30">
        <f>(BJ31-Table2[[#This Row],[4F Dough Production cooling Unit]])*1000</f>
        <v>39.000000000001478</v>
      </c>
      <c r="DO30">
        <f>(BQ31-Table2[[#This Row],[3F2 - PDB 3 - Dough Production Area]])*1000</f>
        <v>202.99999999997453</v>
      </c>
      <c r="DP30">
        <f>(BR31-Table2[[#This Row],[3F3 - PDB 4 - Dough Area]])*1000</f>
        <v>97.999999999984766</v>
      </c>
      <c r="DQ30">
        <f>AC31-Table2[[#This Row],[16F1 Tray washer Panel for Light]]</f>
        <v>745.27999999979511</v>
      </c>
      <c r="DR30">
        <f>CQ31-Table2[[#This Row],[2F1 Tray Washer - 1]]</f>
        <v>958.08000000007451</v>
      </c>
      <c r="DS30">
        <f>CS31-Table2[[#This Row],[2F5 Destacker]]</f>
        <v>281.47200000000885</v>
      </c>
      <c r="DT30">
        <f>CU31-Table2[[#This Row],[5F1 Metering (TW-2)]]</f>
        <v>309.83299999998417</v>
      </c>
      <c r="DU30">
        <f>CV31-Table2[[#This Row],[6F1 Pre soaker Tray washer]]</f>
        <v>0</v>
      </c>
      <c r="DV30">
        <f>CZ31-Table2[[#This Row],[6F5 Vent tray Storage]]</f>
        <v>70.99199999999837</v>
      </c>
      <c r="DW30">
        <f>I31-Table2[[#This Row],[Popeyes Meter ]]</f>
        <v>35.159999999999854</v>
      </c>
      <c r="DX30">
        <f>AZ31-Table2[[#This Row],[2F WH Chiller, Segregation Area]]</f>
        <v>0</v>
      </c>
      <c r="DY30">
        <f>BA31-Table2[[#This Row],[3F1 AC Unit WH dock cooling - 2 Nos]]</f>
        <v>22</v>
      </c>
      <c r="DZ30">
        <f>BB31-Table2[[#This Row],[3F2 AC Unit WH dock cooling - 3 Nos]]</f>
        <v>3.9999999999999147E-2</v>
      </c>
      <c r="EA30">
        <f>(BK31-Table2[[#This Row],[5F WH Perishable]])*1000</f>
        <v>264.00000000001</v>
      </c>
      <c r="EB30">
        <f>BN31-Table2[[#This Row],[2F3 - PDB 9 - WH Dock Leveler Door ]]</f>
        <v>0.47680000000036671</v>
      </c>
      <c r="EC30">
        <f>BP31-Table2[[#This Row],[3F1 - PDB 5 - WH HSD]]</f>
        <v>119.3520000000135</v>
      </c>
      <c r="ED30">
        <f>BX31-Table2[[#This Row],[8F1 WH Dock AHU - Ventilation]]</f>
        <v>2212.935999999987</v>
      </c>
      <c r="EE30">
        <f>BZ31-Table2[[#This Row],[8F3 ACPDB - 4 WH Dock air curtain]]</f>
        <v>10.135999999998603</v>
      </c>
      <c r="EF30">
        <f>CA31-Table2[[#This Row],[8F4 WH Light]]</f>
        <v>2.5803000000000793</v>
      </c>
      <c r="EG30">
        <f>CC31-Table2[[#This Row],[9F1 - PDB 10 - WH Dock door &amp; Office]]</f>
        <v>116.79000000000815</v>
      </c>
      <c r="EH30">
        <f>CD31-Table2[[#This Row],[9F2 - PDB 11 - WH flycatchers]]</f>
        <v>215.28800000000047</v>
      </c>
      <c r="EI30">
        <f>CE31-Table2[[#This Row],[9F3 - PDB 12 - Other items]]</f>
        <v>0</v>
      </c>
      <c r="EJ30">
        <f>CR31-Table2[[#This Row],[2F3 - PDB 1 - Dock 1 to 4 ]]</f>
        <v>67.328000000008615</v>
      </c>
      <c r="EK30">
        <f>BM31-Table2[[#This Row],[2F2 - PDB 3 - WH Truck &amp; Battery Charging]]</f>
        <v>499.23200000001816</v>
      </c>
      <c r="EL30">
        <f>(CK31-Table2[[#This Row],[PDB - 11 Truck Charging]])*1000</f>
        <v>52.999999999997272</v>
      </c>
      <c r="EM30">
        <f>P31-Table2[[#This Row],[5F3 Admin Area]]</f>
        <v>367.42399999999907</v>
      </c>
      <c r="EN30">
        <f>AH31-Table2[[#This Row],[2F5 Main Gate-1 Piller -1]]</f>
        <v>102.55999999999767</v>
      </c>
      <c r="EO30">
        <f>CW31-Table2[[#This Row],[6F2 Ground Floor AC]]</f>
        <v>29.849199999996927</v>
      </c>
      <c r="EP30">
        <f>CX31-Table2[[#This Row],[6F3 ACBD -1 (First floor AC)]]</f>
        <v>15.049599999998463</v>
      </c>
      <c r="EQ30">
        <f>CY31-Table2[[#This Row],[6F4 ACBD - 2 (Second &amp; Third floor AC)]]</f>
        <v>165.12000000002445</v>
      </c>
      <c r="ER30">
        <f>(BC31-Table2[[#This Row],[4F Old BMC cooling Unit]])</f>
        <v>0</v>
      </c>
      <c r="ES30">
        <f>BO31-Table2[[#This Row],[2F4 - Old BMC]]</f>
        <v>2.9919999999983702</v>
      </c>
      <c r="ET30">
        <f>Y31-Table2[[#This Row],[14F2 New CK]]</f>
        <v>1298.1599999999162</v>
      </c>
      <c r="EU30">
        <f>(CL31-Table2[[#This Row],[OLD Ck Panel-1]])*1000</f>
        <v>750</v>
      </c>
      <c r="EV30">
        <f>CM31-Table2[[#This Row],[2F4 Old CK Blast (Blue star)]]</f>
        <v>0</v>
      </c>
      <c r="EW30">
        <f>CN31-Table2[[#This Row],[3F6 Old CK Blast (Carrier)]]</f>
        <v>613.40000000000146</v>
      </c>
      <c r="EX30">
        <f>(CO31-Table2[[#This Row],[Old CK Panel -2]])*1000</f>
        <v>973.9999999999327</v>
      </c>
      <c r="EY30">
        <f>N31-Table2[[#This Row],[4F1 Main UPS 1/C -1]]</f>
        <v>871.02000000001863</v>
      </c>
      <c r="EZ30">
        <f>Z31-Table2[[#This Row],[15F1 Main UPS Panel - I/C - 2]]</f>
        <v>0</v>
      </c>
      <c r="FA30">
        <f>BF31-Table2[[#This Row],[2F CLC -1 AC unit - 2]]</f>
        <v>0</v>
      </c>
      <c r="FB30">
        <f>(BG31-Table2[[#This Row],[2F CLC Anti room]])*1000</f>
        <v>37.999999999996703</v>
      </c>
      <c r="FC30">
        <f>BW31-Table2[[#This Row],[7F3 CLC Power Panel]]</f>
        <v>270.98400000005495</v>
      </c>
      <c r="FD30">
        <f>(CI31-Table2[[#This Row],[PDB - 17 CLC Section ]])*1000</f>
        <v>155.00000000000114</v>
      </c>
      <c r="FE30">
        <f>(W31-Table2[[#This Row],[13F3 Water &amp; Lift Old CK]])*1000</f>
        <v>903.70000000007167</v>
      </c>
      <c r="FF30">
        <f>AA31-Table2[[#This Row],[15F2 New ETP Panel]]</f>
        <v>257.34399999992456</v>
      </c>
      <c r="FG30">
        <f>AL31-Table2[[#This Row],[3F4 Old ETP Panel]]</f>
        <v>66.599999999976717</v>
      </c>
      <c r="FH30">
        <f>AF31-Table2[[#This Row],[2F1 RO Plant]]</f>
        <v>475.8410000000149</v>
      </c>
      <c r="FI30">
        <f>AK31-Table2[[#This Row],[3F3 Fire Hydrant Panel]]</f>
        <v>8.6560000000026776</v>
      </c>
      <c r="FJ30">
        <f>R31-Table2[[#This Row],[7F1 Freon System Panel]]</f>
        <v>4695.9199999999255</v>
      </c>
      <c r="FK30">
        <f>(AE31-Table2[[#This Row],[21F1 Refrigeration Ammonia]])*1000</f>
        <v>6625.5999999993946</v>
      </c>
      <c r="FL30">
        <f>(AG31-Table2[[#This Row],[2F3 Air Compressor]])*1000</f>
        <v>1009.0000000000146</v>
      </c>
      <c r="FM30">
        <f>(AX31-Table2[[#This Row],[Solar Reading Panel II]])*1000</f>
        <v>3336.0000000002401</v>
      </c>
      <c r="FN30">
        <f>AI31-Table2[[#This Row],[3F1 Maintenance Workshop]]</f>
        <v>3.5936000000001513</v>
      </c>
      <c r="FO30">
        <f>BD31-Table2[[#This Row],[4F B2B unit ]]</f>
        <v>68.857999999949243</v>
      </c>
      <c r="FP30">
        <f>BL31-Table2[[#This Row],[2F1 - PDB 6 - Bread, B2B section]]</f>
        <v>237.55200000001059</v>
      </c>
      <c r="FQ30">
        <f>(CG31-Table2[[#This Row],[9F5 - PDB 14 - Bread Lift]])</f>
        <v>0.35840000002644956</v>
      </c>
      <c r="FR30">
        <f>CJ31-Table2[[#This Row],[PDB - 16 Bread Section]]</f>
        <v>1.5999999999999091</v>
      </c>
      <c r="FS30">
        <f>BU31-Table2[[#This Row],[7F1 Donut Production area]]</f>
        <v>231.48800000001211</v>
      </c>
      <c r="FT30">
        <f>CB31-Table2[[#This Row],[8F5 Donut Ban Bary]]</f>
        <v>51.576000000000931</v>
      </c>
      <c r="FU30">
        <f>CF31-Table2[[#This Row],[9F4 - PDB 13 - Donut Sink Geyser area]]</f>
        <v>48.964000000007218</v>
      </c>
      <c r="FV30">
        <f>BV31-Table2[[#This Row],[7F2 Flour Silo]]</f>
        <v>559.52000000001863</v>
      </c>
      <c r="FW30">
        <f>BY31-Table2[[#This Row],[8F2 ACPDB - 3 SILO Ventilation]]</f>
        <v>60.839999999996508</v>
      </c>
      <c r="FX30">
        <f>J31-Table2[[#This Row],[DG 1010KVA Running Hours]]</f>
        <v>0</v>
      </c>
      <c r="FY30">
        <f>K31-Table2[[#This Row],[DG 1010 KVA Meter Reading]]</f>
        <v>0</v>
      </c>
      <c r="FZ30">
        <f>L31-Table2[[#This Row],[GG 1010 KVA Running Hours]]</f>
        <v>0</v>
      </c>
      <c r="GA30">
        <f>M31-Table2[[#This Row],[GG 1010 KVA Meter Reading]]</f>
        <v>0.26999999999998181</v>
      </c>
    </row>
    <row r="31" spans="1:183" x14ac:dyDescent="0.35">
      <c r="A31" s="1">
        <v>41</v>
      </c>
      <c r="B31" s="2">
        <v>46230.434108796297</v>
      </c>
      <c r="C31" s="2">
        <v>46230.450925925928</v>
      </c>
      <c r="D31" s="1" t="s">
        <v>111</v>
      </c>
      <c r="E31" s="1"/>
      <c r="F31" s="1"/>
      <c r="G31" s="3">
        <v>46229</v>
      </c>
      <c r="H31" s="1" t="s">
        <v>186</v>
      </c>
      <c r="I31" s="6">
        <v>6285.9719999999998</v>
      </c>
      <c r="J31" s="6">
        <v>4269.5</v>
      </c>
      <c r="K31" s="6">
        <v>1775990</v>
      </c>
      <c r="L31" s="6">
        <v>451</v>
      </c>
      <c r="M31" s="6">
        <v>190.26</v>
      </c>
      <c r="N31" s="6">
        <v>1860480.46</v>
      </c>
      <c r="O31" s="6">
        <v>4582647.3600000003</v>
      </c>
      <c r="P31" s="6">
        <v>642379.58400000003</v>
      </c>
      <c r="Q31" s="6">
        <v>8065779.8399999999</v>
      </c>
      <c r="R31" s="6">
        <v>5488160.2400000002</v>
      </c>
      <c r="S31" s="6">
        <v>7336551.04</v>
      </c>
      <c r="T31" s="6">
        <v>42651135.502999999</v>
      </c>
      <c r="U31" s="6">
        <v>2092268.32</v>
      </c>
      <c r="V31" s="6">
        <v>5100582.4000000004</v>
      </c>
      <c r="W31" s="6">
        <v>1587.6608000000001</v>
      </c>
      <c r="X31" s="6">
        <v>771686.33600000001</v>
      </c>
      <c r="Y31" s="6">
        <v>1081524</v>
      </c>
      <c r="Z31" s="6">
        <v>2777.8894</v>
      </c>
      <c r="AA31" s="6">
        <v>666055.23199999996</v>
      </c>
      <c r="AB31" s="6">
        <v>421171.10399999999</v>
      </c>
      <c r="AC31" s="6">
        <v>2132572.3199999998</v>
      </c>
      <c r="AD31" s="6">
        <v>2573950.719</v>
      </c>
      <c r="AE31" s="6">
        <v>12746.3704</v>
      </c>
      <c r="AF31" s="6">
        <v>870596.67200000002</v>
      </c>
      <c r="AG31" s="6">
        <v>1388.614</v>
      </c>
      <c r="AH31" s="6">
        <v>132460.90400000001</v>
      </c>
      <c r="AI31" s="6">
        <v>14585.692800000001</v>
      </c>
      <c r="AJ31" s="6">
        <v>145340.304</v>
      </c>
      <c r="AK31" s="6">
        <v>105124.928</v>
      </c>
      <c r="AL31" s="6">
        <v>329939.68</v>
      </c>
      <c r="AM31" s="6">
        <v>986.32899999999995</v>
      </c>
      <c r="AN31" s="6">
        <v>145.69999999999999</v>
      </c>
      <c r="AO31" s="6">
        <v>6.9</v>
      </c>
      <c r="AP31" s="6">
        <v>368732</v>
      </c>
      <c r="AQ31" s="6">
        <v>42305</v>
      </c>
      <c r="AR31" s="6">
        <v>41761</v>
      </c>
      <c r="AS31" s="6">
        <v>32307</v>
      </c>
      <c r="AT31" s="6">
        <v>22056</v>
      </c>
      <c r="AU31" s="6">
        <v>15428</v>
      </c>
      <c r="AV31" s="6">
        <v>6288</v>
      </c>
      <c r="AW31" s="6">
        <v>20.866512</v>
      </c>
      <c r="AX31" s="6">
        <v>7217.6130000000003</v>
      </c>
      <c r="AY31" s="6">
        <v>677.82863999999995</v>
      </c>
      <c r="AZ31" s="6">
        <v>20.788</v>
      </c>
      <c r="BA31" s="6">
        <v>10223</v>
      </c>
      <c r="BB31" s="6">
        <v>44.426000000000002</v>
      </c>
      <c r="BC31" s="6">
        <v>113988.60799999999</v>
      </c>
      <c r="BD31" s="6">
        <v>275442.96999999997</v>
      </c>
      <c r="BE31" s="6">
        <v>3714.7651999999998</v>
      </c>
      <c r="BF31" s="6">
        <v>1712.0419999999999</v>
      </c>
      <c r="BG31" s="6">
        <v>74.772999999999996</v>
      </c>
      <c r="BH31" s="6">
        <v>361.37799999999999</v>
      </c>
      <c r="BI31" s="6">
        <v>911.31100000000004</v>
      </c>
      <c r="BJ31" s="6">
        <v>14.22</v>
      </c>
      <c r="BK31" s="6">
        <v>561.85599999999999</v>
      </c>
      <c r="BL31" s="6">
        <v>71113.801600000006</v>
      </c>
      <c r="BM31" s="6">
        <v>305534.94400000002</v>
      </c>
      <c r="BN31" s="6">
        <v>7171.96</v>
      </c>
      <c r="BO31" s="6">
        <v>53542.7232</v>
      </c>
      <c r="BP31" s="6">
        <v>313401.88</v>
      </c>
      <c r="BQ31" s="6">
        <v>323.54399999999998</v>
      </c>
      <c r="BR31" s="6">
        <v>180.261</v>
      </c>
      <c r="BS31" s="6">
        <v>1001585.048</v>
      </c>
      <c r="BT31" s="6">
        <v>1400602.5460000001</v>
      </c>
      <c r="BU31" s="6">
        <v>627589.31200000003</v>
      </c>
      <c r="BV31" s="6">
        <v>1018492.8</v>
      </c>
      <c r="BW31" s="6">
        <v>566677.12800000003</v>
      </c>
      <c r="BX31" s="6">
        <v>979014.33600000001</v>
      </c>
      <c r="BY31" s="6">
        <v>157348.68</v>
      </c>
      <c r="BZ31" s="6">
        <v>114318.11199999999</v>
      </c>
      <c r="CA31" s="6">
        <v>1223.0146</v>
      </c>
      <c r="CB31" s="6">
        <v>108313.8</v>
      </c>
      <c r="CC31" s="6">
        <v>149806.66200000001</v>
      </c>
      <c r="CD31" s="6">
        <v>445052.92</v>
      </c>
      <c r="CE31" s="6">
        <v>49125.260799999996</v>
      </c>
      <c r="CF31" s="6">
        <v>155726.11600000001</v>
      </c>
      <c r="CG31" s="6">
        <v>360803.45280000003</v>
      </c>
      <c r="CH31" s="6">
        <v>2385.8710000000001</v>
      </c>
      <c r="CI31" s="6">
        <v>213.267</v>
      </c>
      <c r="CJ31" s="6">
        <v>1188</v>
      </c>
      <c r="CK31" s="6">
        <v>77.715000000000003</v>
      </c>
      <c r="CL31" s="6">
        <v>730.76700000000005</v>
      </c>
      <c r="CM31" s="6">
        <v>551.4</v>
      </c>
      <c r="CN31" s="6">
        <v>42949.4</v>
      </c>
      <c r="CO31" s="6">
        <v>1646.2349999999999</v>
      </c>
      <c r="CP31" s="6">
        <v>293245.66399999999</v>
      </c>
      <c r="CQ31" s="6">
        <v>3675385.6</v>
      </c>
      <c r="CR31" s="6">
        <v>130692.24</v>
      </c>
      <c r="CS31" s="6">
        <v>512231.45600000001</v>
      </c>
      <c r="CT31" s="6">
        <v>2907769.9550000001</v>
      </c>
      <c r="CU31" s="6">
        <v>296900.19500000001</v>
      </c>
      <c r="CV31" s="6">
        <v>30129.257600000001</v>
      </c>
      <c r="CW31" s="6">
        <v>62687.27</v>
      </c>
      <c r="CX31" s="6">
        <v>33430.400000000001</v>
      </c>
      <c r="CY31" s="6">
        <v>167045.63200000001</v>
      </c>
      <c r="CZ31" s="6">
        <v>217460.62400000001</v>
      </c>
      <c r="DA31" s="6">
        <v>18975.38</v>
      </c>
      <c r="DB31" s="6">
        <v>149454.514</v>
      </c>
      <c r="DC31" s="6">
        <v>2987.32</v>
      </c>
      <c r="DD31" s="6">
        <v>2987.19</v>
      </c>
      <c r="DE31" s="6">
        <v>3012.29</v>
      </c>
      <c r="DF31" s="6">
        <v>0.997</v>
      </c>
      <c r="DG31" s="1" t="s">
        <v>257</v>
      </c>
      <c r="DH31" s="4">
        <f>Table2[[#This Row],[Date]]</f>
        <v>46229</v>
      </c>
      <c r="DI31">
        <f>(DD32-Table2[[#This Row],[MWH Total]])*4000</f>
        <v>19319.999999999709</v>
      </c>
      <c r="DJ31">
        <f>(DA32-Table2[[#This Row],[PNG Meter (Outside)]])*2.936</f>
        <v>30.916079999996583</v>
      </c>
      <c r="DK31">
        <f>(DB32-Table2[[#This Row],[PNG Meter (Inside)]])*2.936</f>
        <v>290.91649600003007</v>
      </c>
      <c r="DL31">
        <f>(BH32-Table2[[#This Row],[3F Dough cooler - 2 ]])*1000</f>
        <v>516.00000000001955</v>
      </c>
      <c r="DM31">
        <f>(BI32-Table2[[#This Row],[3F Dough Cooler- 1]])*1000</f>
        <v>641.99999999993906</v>
      </c>
      <c r="DN31">
        <f>(BJ32-Table2[[#This Row],[4F Dough Production cooling Unit]])*1000</f>
        <v>56.999999999998607</v>
      </c>
      <c r="DO31">
        <f>(BQ32-Table2[[#This Row],[3F2 - PDB 3 - Dough Production Area]])*1000</f>
        <v>282.00000000003911</v>
      </c>
      <c r="DP31">
        <f>(BR32-Table2[[#This Row],[3F3 - PDB 4 - Dough Area]])*1000</f>
        <v>146.99999999999136</v>
      </c>
      <c r="DQ31">
        <f>AC32-Table2[[#This Row],[16F1 Tray washer Panel for Light]]</f>
        <v>877.92000000039116</v>
      </c>
      <c r="DR31">
        <f>CQ32-Table2[[#This Row],[2F1 Tray Washer - 1]]</f>
        <v>1498.2399999997579</v>
      </c>
      <c r="DS31">
        <f>CS32-Table2[[#This Row],[2F5 Destacker]]</f>
        <v>457.44000000000233</v>
      </c>
      <c r="DT31">
        <f>CU32-Table2[[#This Row],[5F1 Metering (TW-2)]]</f>
        <v>252.30499999999302</v>
      </c>
      <c r="DU31">
        <f>CV32-Table2[[#This Row],[6F1 Pre soaker Tray washer]]</f>
        <v>0</v>
      </c>
      <c r="DV31">
        <f>CZ32-Table2[[#This Row],[6F5 Vent tray Storage]]</f>
        <v>32.304000000003725</v>
      </c>
      <c r="DW31">
        <f>I32-Table2[[#This Row],[Popeyes Meter ]]</f>
        <v>31.960000000000036</v>
      </c>
      <c r="DX31">
        <f>AZ32-Table2[[#This Row],[2F WH Chiller, Segregation Area]]</f>
        <v>0</v>
      </c>
      <c r="DY31">
        <f>BA32-Table2[[#This Row],[3F1 AC Unit WH dock cooling - 2 Nos]]</f>
        <v>21</v>
      </c>
      <c r="DZ31">
        <f>BB32-Table2[[#This Row],[3F2 AC Unit WH dock cooling - 3 Nos]]</f>
        <v>5.3999999999994941E-2</v>
      </c>
      <c r="EA31">
        <f>(BK32-Table2[[#This Row],[5F WH Perishable]])*1000</f>
        <v>382.00000000006185</v>
      </c>
      <c r="EB31">
        <f>BN32-Table2[[#This Row],[2F3 - PDB 9 - WH Dock Leveler Door ]]</f>
        <v>1.7031999999999243</v>
      </c>
      <c r="EC31">
        <f>BP32-Table2[[#This Row],[3F1 - PDB 5 - WH HSD]]</f>
        <v>129.7039999999688</v>
      </c>
      <c r="ED31">
        <f>BX32-Table2[[#This Row],[8F1 WH Dock AHU - Ventilation]]</f>
        <v>3269.951999999932</v>
      </c>
      <c r="EE31" s="1">
        <f>BZ32-Table2[[#This Row],[8F3 ACPDB - 4 WH Dock air curtain]]</f>
        <v>3</v>
      </c>
      <c r="EF31">
        <f>CA32-Table2[[#This Row],[8F4 WH Light]]</f>
        <v>3.8351000000000113</v>
      </c>
      <c r="EG31">
        <f>CC32-Table2[[#This Row],[9F1 - PDB 10 - WH Dock door &amp; Office]]</f>
        <v>199.88199999998324</v>
      </c>
      <c r="EH31">
        <f>CD32-Table2[[#This Row],[9F2 - PDB 11 - WH flycatchers]]</f>
        <v>199.36800000001676</v>
      </c>
      <c r="EI31">
        <f>CE32-Table2[[#This Row],[9F3 - PDB 12 - Other items]]</f>
        <v>0</v>
      </c>
      <c r="EJ31">
        <f>CR32-Table2[[#This Row],[2F3 - PDB 1 - Dock 1 to 4 ]]</f>
        <v>113.15999999998894</v>
      </c>
      <c r="EK31">
        <f>BM32-Table2[[#This Row],[2F2 - PDB 3 - WH Truck &amp; Battery Charging]]</f>
        <v>482.81599999999162</v>
      </c>
      <c r="EL31">
        <f>(CK32-Table2[[#This Row],[PDB - 11 Truck Charging]])*1000</f>
        <v>36.000000000001364</v>
      </c>
      <c r="EM31">
        <f>P32-Table2[[#This Row],[5F3 Admin Area]]</f>
        <v>403.26399999996647</v>
      </c>
      <c r="EN31">
        <f>AH32-Table2[[#This Row],[2F5 Main Gate-1 Piller -1]]</f>
        <v>142.72000000000116</v>
      </c>
      <c r="EO31">
        <f>CW32-Table2[[#This Row],[6F2 Ground Floor AC]]</f>
        <v>31.507600000004459</v>
      </c>
      <c r="EP31">
        <f>CX32-Table2[[#This Row],[6F3 ACBD -1 (First floor AC)]]</f>
        <v>0.57600000000093132</v>
      </c>
      <c r="EQ31">
        <f>CY32-Table2[[#This Row],[6F4 ACBD - 2 (Second &amp; Third floor AC)]]</f>
        <v>157.03999999997905</v>
      </c>
      <c r="ER31">
        <f>(BC32-Table2[[#This Row],[4F Old BMC cooling Unit]])</f>
        <v>0.54400000000896398</v>
      </c>
      <c r="ES31">
        <f>BO32-Table2[[#This Row],[2F4 - Old BMC]]</f>
        <v>4.6111999999993714</v>
      </c>
      <c r="ET31">
        <f>Y32-Table2[[#This Row],[14F2 New CK]]</f>
        <v>799.76000000000931</v>
      </c>
      <c r="EU31">
        <f>(CL32-Table2[[#This Row],[OLD Ck Panel-1]])*1000</f>
        <v>445.99999999991269</v>
      </c>
      <c r="EV31">
        <f>CM32-Table2[[#This Row],[2F4 Old CK Blast (Blue star)]]</f>
        <v>0</v>
      </c>
      <c r="EW31">
        <f>CN32-Table2[[#This Row],[3F6 Old CK Blast (Carrier)]]</f>
        <v>316.69999999999709</v>
      </c>
      <c r="EX31">
        <f>(CO32-Table2[[#This Row],[Old CK Panel -2]])*1000</f>
        <v>553.00000000011096</v>
      </c>
      <c r="EY31">
        <f>N32-Table2[[#This Row],[4F1 Main UPS 1/C -1]]</f>
        <v>1043.2199999999721</v>
      </c>
      <c r="EZ31">
        <f>Z32-Table2[[#This Row],[15F1 Main UPS Panel - I/C - 2]]</f>
        <v>0</v>
      </c>
      <c r="FA31">
        <f>BF32-Table2[[#This Row],[2F CLC -1 AC unit - 2]]</f>
        <v>0</v>
      </c>
      <c r="FB31">
        <f>(BG32-Table2[[#This Row],[2F CLC Anti room]])*1000</f>
        <v>23.000000000010346</v>
      </c>
      <c r="FC31">
        <f>BW32-Table2[[#This Row],[7F3 CLC Power Panel]]</f>
        <v>249.01599999994505</v>
      </c>
      <c r="FD31">
        <f>(CI32-Table2[[#This Row],[PDB - 17 CLC Section ]])*1000</f>
        <v>182.00000000001637</v>
      </c>
      <c r="FE31">
        <f>(W32-Table2[[#This Row],[13F3 Water &amp; Lift Old CK]])*1000</f>
        <v>584.99999999980901</v>
      </c>
      <c r="FF31">
        <f>AA32-Table2[[#This Row],[15F2 New ETP Panel]]</f>
        <v>299.77600000007078</v>
      </c>
      <c r="FG31">
        <f>AL32-Table2[[#This Row],[3F4 Old ETP Panel]]</f>
        <v>109.79200000001583</v>
      </c>
      <c r="FH31">
        <f>AF32-Table2[[#This Row],[2F1 RO Plant]]</f>
        <v>619.90399999998044</v>
      </c>
      <c r="FI31">
        <f>AK32-Table2[[#This Row],[3F3 Fire Hydrant Panel]]</f>
        <v>9.5840000000025611</v>
      </c>
      <c r="FJ31">
        <f>R32-Table2[[#This Row],[7F1 Freon System Panel]]</f>
        <v>5367.4399999994785</v>
      </c>
      <c r="FK31">
        <f>(AE32-Table2[[#This Row],[21F1 Refrigeration Ammonia]])*1000</f>
        <v>7434.400000000096</v>
      </c>
      <c r="FL31">
        <f>(AG32-Table2[[#This Row],[2F3 Air Compressor]])*1000</f>
        <v>1293.999999999869</v>
      </c>
      <c r="FM31">
        <f>(AX32-Table2[[#This Row],[Solar Reading Panel II]])*1000</f>
        <v>3956.9999999994252</v>
      </c>
      <c r="FN31">
        <f>AI32-Table2[[#This Row],[3F1 Maintenance Workshop]]</f>
        <v>6.5839999999989232</v>
      </c>
      <c r="FO31">
        <f>BD32-Table2[[#This Row],[4F B2B unit ]]</f>
        <v>51.814000000013039</v>
      </c>
      <c r="FP31">
        <f>BL32-Table2[[#This Row],[2F1 - PDB 6 - Bread, B2B section]]</f>
        <v>253.66079999999783</v>
      </c>
      <c r="FQ31">
        <f>(CG32-Table2[[#This Row],[9F5 - PDB 14 - Bread Lift]])</f>
        <v>0.33599999995203689</v>
      </c>
      <c r="FR31">
        <f>CJ32-Table2[[#This Row],[PDB - 16 Bread Section]]</f>
        <v>0.70000000000004547</v>
      </c>
      <c r="FS31">
        <f>BU32-Table2[[#This Row],[7F1 Donut Production area]]</f>
        <v>245.37599999993108</v>
      </c>
      <c r="FT31">
        <f>CB32-Table2[[#This Row],[8F5 Donut Ban Bary]]</f>
        <v>80.864000000001397</v>
      </c>
      <c r="FU31">
        <f>CF32-Table2[[#This Row],[9F4 - PDB 13 - Donut Sink Geyser area]]</f>
        <v>55.419999999983702</v>
      </c>
      <c r="FV31">
        <f>BV32-Table2[[#This Row],[7F2 Flour Silo]]</f>
        <v>616.55999999993946</v>
      </c>
      <c r="FW31">
        <f>BY32-Table2[[#This Row],[8F2 ACPDB - 3 SILO Ventilation]]</f>
        <v>76.376000000018394</v>
      </c>
      <c r="FX31">
        <f>J32-Table2[[#This Row],[DG 1010KVA Running Hours]]</f>
        <v>2.1999999999998181</v>
      </c>
      <c r="FY31">
        <f>K32-Table2[[#This Row],[DG 1010 KVA Meter Reading]]</f>
        <v>43</v>
      </c>
      <c r="FZ31">
        <f>L32-Table2[[#This Row],[GG 1010 KVA Running Hours]]</f>
        <v>1</v>
      </c>
      <c r="GA31">
        <f>M32-Table2[[#This Row],[GG 1010 KVA Meter Reading]]</f>
        <v>4.0000000000020464E-2</v>
      </c>
    </row>
    <row r="32" spans="1:183" x14ac:dyDescent="0.35">
      <c r="A32" s="1">
        <v>42</v>
      </c>
      <c r="B32" s="2">
        <v>46230.45103009259</v>
      </c>
      <c r="C32" s="2">
        <v>46230.487754629627</v>
      </c>
      <c r="D32" s="1" t="s">
        <v>111</v>
      </c>
      <c r="E32" s="1"/>
      <c r="F32" s="1"/>
      <c r="G32" s="3">
        <v>46230</v>
      </c>
      <c r="H32" s="1" t="s">
        <v>186</v>
      </c>
      <c r="I32" s="6">
        <v>6317.9319999999998</v>
      </c>
      <c r="J32" s="6">
        <v>4271.7</v>
      </c>
      <c r="K32" s="6">
        <v>1776033</v>
      </c>
      <c r="L32" s="6">
        <v>452</v>
      </c>
      <c r="M32" s="6">
        <v>190.3</v>
      </c>
      <c r="N32" s="6">
        <v>1861523.68</v>
      </c>
      <c r="O32" s="6">
        <v>4584682.5599999996</v>
      </c>
      <c r="P32" s="6">
        <v>642782.848</v>
      </c>
      <c r="Q32" s="6">
        <v>8069486.7199999997</v>
      </c>
      <c r="R32" s="6">
        <v>5493527.6799999997</v>
      </c>
      <c r="S32" s="6">
        <v>7339404.7999999998</v>
      </c>
      <c r="T32" s="6">
        <v>42661847.906999998</v>
      </c>
      <c r="U32" s="6">
        <v>2093596.16</v>
      </c>
      <c r="V32" s="6">
        <v>5102653.4400000004</v>
      </c>
      <c r="W32" s="6">
        <v>1588.2457999999999</v>
      </c>
      <c r="X32" s="6">
        <v>771897.6</v>
      </c>
      <c r="Y32" s="6">
        <v>1082323.76</v>
      </c>
      <c r="Z32" s="6">
        <v>2777.8894</v>
      </c>
      <c r="AA32" s="6">
        <v>666355.00800000003</v>
      </c>
      <c r="AB32" s="6">
        <v>421183.36</v>
      </c>
      <c r="AC32" s="6">
        <v>2133450.2400000002</v>
      </c>
      <c r="AD32" s="6">
        <v>3930971.344</v>
      </c>
      <c r="AE32" s="6">
        <v>12753.8048</v>
      </c>
      <c r="AF32" s="6">
        <v>871216.576</v>
      </c>
      <c r="AG32" s="6">
        <v>1389.9079999999999</v>
      </c>
      <c r="AH32" s="6">
        <v>132603.62400000001</v>
      </c>
      <c r="AI32" s="6">
        <v>14592.2768</v>
      </c>
      <c r="AJ32" s="6">
        <v>145342.83199999999</v>
      </c>
      <c r="AK32" s="6">
        <v>105134.512</v>
      </c>
      <c r="AL32" s="6">
        <v>330049.47200000001</v>
      </c>
      <c r="AM32" s="6">
        <v>987.02200000000005</v>
      </c>
      <c r="AN32" s="6">
        <v>147.30000000000001</v>
      </c>
      <c r="AO32" s="6">
        <v>6.8</v>
      </c>
      <c r="AP32" s="6">
        <v>380129</v>
      </c>
      <c r="AQ32" s="6">
        <v>42307</v>
      </c>
      <c r="AR32" s="6">
        <v>41763</v>
      </c>
      <c r="AS32" s="6">
        <v>32307</v>
      </c>
      <c r="AT32" s="6">
        <v>22057</v>
      </c>
      <c r="AU32" s="6">
        <v>15457</v>
      </c>
      <c r="AV32" s="6">
        <v>6309</v>
      </c>
      <c r="AW32" s="6">
        <v>20.87388</v>
      </c>
      <c r="AX32" s="6">
        <v>7221.57</v>
      </c>
      <c r="AY32" s="6">
        <v>677.95504000000005</v>
      </c>
      <c r="AZ32" s="6">
        <v>20.788</v>
      </c>
      <c r="BA32" s="6">
        <v>10244</v>
      </c>
      <c r="BB32" s="6">
        <v>44.48</v>
      </c>
      <c r="BC32" s="6">
        <v>113989.152</v>
      </c>
      <c r="BD32" s="6">
        <v>275494.78399999999</v>
      </c>
      <c r="BE32" s="6">
        <v>3716.4571999999998</v>
      </c>
      <c r="BF32" s="6">
        <v>1712.0419999999999</v>
      </c>
      <c r="BG32" s="6">
        <v>74.796000000000006</v>
      </c>
      <c r="BH32" s="6">
        <v>361.89400000000001</v>
      </c>
      <c r="BI32" s="6">
        <v>911.95299999999997</v>
      </c>
      <c r="BJ32" s="6">
        <v>14.276999999999999</v>
      </c>
      <c r="BK32" s="6">
        <v>562.23800000000006</v>
      </c>
      <c r="BL32" s="6">
        <v>71367.462400000004</v>
      </c>
      <c r="BM32" s="6">
        <v>306017.76</v>
      </c>
      <c r="BN32" s="6">
        <v>7173.6632</v>
      </c>
      <c r="BO32" s="6">
        <v>53547.3344</v>
      </c>
      <c r="BP32" s="6">
        <v>313531.58399999997</v>
      </c>
      <c r="BQ32" s="6">
        <v>323.82600000000002</v>
      </c>
      <c r="BR32" s="6">
        <v>180.40799999999999</v>
      </c>
      <c r="BS32" s="6">
        <v>1003038.1949999999</v>
      </c>
      <c r="BT32" s="6">
        <v>1400616.574</v>
      </c>
      <c r="BU32" s="6">
        <v>627834.68799999997</v>
      </c>
      <c r="BV32" s="6">
        <v>1019109.36</v>
      </c>
      <c r="BW32" s="6">
        <v>566926.14399999997</v>
      </c>
      <c r="BX32" s="6">
        <v>982284.28799999994</v>
      </c>
      <c r="BY32" s="6">
        <v>157425.05600000001</v>
      </c>
      <c r="BZ32" s="6">
        <v>114321.11199999999</v>
      </c>
      <c r="CA32" s="6">
        <v>1226.8497</v>
      </c>
      <c r="CB32" s="6">
        <v>108394.664</v>
      </c>
      <c r="CC32" s="6">
        <v>150006.54399999999</v>
      </c>
      <c r="CD32" s="6">
        <v>445252.288</v>
      </c>
      <c r="CE32" s="6">
        <v>49125.260799999996</v>
      </c>
      <c r="CF32" s="6">
        <v>155781.53599999999</v>
      </c>
      <c r="CG32" s="6">
        <v>360803.78879999998</v>
      </c>
      <c r="CH32" s="6">
        <v>2385.8710000000001</v>
      </c>
      <c r="CI32" s="6">
        <v>213.44900000000001</v>
      </c>
      <c r="CJ32" s="6">
        <v>1188.7</v>
      </c>
      <c r="CK32" s="6">
        <v>77.751000000000005</v>
      </c>
      <c r="CL32" s="6">
        <v>731.21299999999997</v>
      </c>
      <c r="CM32" s="6">
        <v>551.4</v>
      </c>
      <c r="CN32" s="6">
        <v>43266.1</v>
      </c>
      <c r="CO32" s="6">
        <v>1646.788</v>
      </c>
      <c r="CP32" s="6">
        <v>293451.663</v>
      </c>
      <c r="CQ32" s="6">
        <v>3676883.84</v>
      </c>
      <c r="CR32" s="6">
        <v>130805.4</v>
      </c>
      <c r="CS32" s="6">
        <v>512688.89600000001</v>
      </c>
      <c r="CT32" s="6">
        <v>2911329.9</v>
      </c>
      <c r="CU32" s="6">
        <v>297152.5</v>
      </c>
      <c r="CV32" s="6">
        <v>30129.257600000001</v>
      </c>
      <c r="CW32" s="6">
        <v>62718.777600000001</v>
      </c>
      <c r="CX32" s="6">
        <v>33430.976000000002</v>
      </c>
      <c r="CY32" s="6">
        <v>167202.67199999999</v>
      </c>
      <c r="CZ32" s="6">
        <v>217492.92800000001</v>
      </c>
      <c r="DA32" s="6">
        <v>18985.91</v>
      </c>
      <c r="DB32" s="6">
        <v>149553.60000000001</v>
      </c>
      <c r="DC32" s="6">
        <v>2992.14</v>
      </c>
      <c r="DD32" s="6">
        <v>2992.02</v>
      </c>
      <c r="DE32" s="6">
        <v>3017.14</v>
      </c>
      <c r="DF32" s="6">
        <v>0.998</v>
      </c>
      <c r="DG32" s="1" t="s">
        <v>258</v>
      </c>
      <c r="DH32" s="4">
        <f>Table2[[#This Row],[Date]]</f>
        <v>46230</v>
      </c>
      <c r="DI32">
        <f>(DD33-Table2[[#This Row],[MWH Total]])*4000</f>
        <v>-11968080</v>
      </c>
      <c r="DJ32">
        <f>(DA33-Table2[[#This Row],[PNG Meter (Outside)]])*2.936</f>
        <v>-55742.631759999997</v>
      </c>
      <c r="DK32">
        <f>(DB33-Table2[[#This Row],[PNG Meter (Inside)]])*2.936</f>
        <v>-439089.36960000003</v>
      </c>
      <c r="DL32">
        <f>(BH33-Table2[[#This Row],[3F Dough cooler - 2 ]])*1000</f>
        <v>-361894</v>
      </c>
      <c r="DM32">
        <f>(BI33-Table2[[#This Row],[3F Dough Cooler- 1]])*1000</f>
        <v>-911953</v>
      </c>
      <c r="DN32">
        <f>(BJ33-Table2[[#This Row],[4F Dough Production cooling Unit]])*1000</f>
        <v>-14277</v>
      </c>
      <c r="DO32">
        <f>(BQ33-Table2[[#This Row],[3F2 - PDB 3 - Dough Production Area]])*1000</f>
        <v>-323826</v>
      </c>
      <c r="DP32">
        <f>(BR33-Table2[[#This Row],[3F3 - PDB 4 - Dough Area]])*1000</f>
        <v>-180408</v>
      </c>
      <c r="DQ32">
        <f>AC33-Table2[[#This Row],[16F1 Tray washer Panel for Light]]</f>
        <v>-2133450.2400000002</v>
      </c>
      <c r="DR32">
        <f>CQ33-Table2[[#This Row],[2F1 Tray Washer - 1]]</f>
        <v>-3676883.84</v>
      </c>
      <c r="DS32">
        <f>CS33-Table2[[#This Row],[2F5 Destacker]]</f>
        <v>-512688.89600000001</v>
      </c>
      <c r="DT32">
        <f>CU33-Table2[[#This Row],[5F1 Metering (TW-2)]]</f>
        <v>-297152.5</v>
      </c>
      <c r="DU32">
        <f>CV33-Table2[[#This Row],[6F1 Pre soaker Tray washer]]</f>
        <v>-30129.257600000001</v>
      </c>
      <c r="DV32">
        <f>CZ33-Table2[[#This Row],[6F5 Vent tray Storage]]</f>
        <v>-217492.92800000001</v>
      </c>
      <c r="DW32">
        <f>I33-Table2[[#This Row],[Popeyes Meter ]]</f>
        <v>-6317.9319999999998</v>
      </c>
      <c r="DX32">
        <f>AZ33-Table2[[#This Row],[2F WH Chiller, Segregation Area]]</f>
        <v>-20.788</v>
      </c>
      <c r="DY32">
        <f>BA33-Table2[[#This Row],[3F1 AC Unit WH dock cooling - 2 Nos]]</f>
        <v>-10244</v>
      </c>
      <c r="DZ32">
        <f>BB33-Table2[[#This Row],[3F2 AC Unit WH dock cooling - 3 Nos]]</f>
        <v>-44.48</v>
      </c>
      <c r="EA32">
        <f>(BK33-Table2[[#This Row],[5F WH Perishable]])*1000</f>
        <v>-562238</v>
      </c>
      <c r="EB32">
        <f>BN33-Table2[[#This Row],[2F3 - PDB 9 - WH Dock Leveler Door ]]</f>
        <v>-7173.6632</v>
      </c>
      <c r="EC32">
        <f>BP33-Table2[[#This Row],[3F1 - PDB 5 - WH HSD]]</f>
        <v>-313531.58399999997</v>
      </c>
      <c r="ED32">
        <f>BX33-Table2[[#This Row],[8F1 WH Dock AHU - Ventilation]]</f>
        <v>-982284.28799999994</v>
      </c>
      <c r="EE32">
        <f>BZ33-Table2[[#This Row],[8F3 ACPDB - 4 WH Dock air curtain]]</f>
        <v>-114321.11199999999</v>
      </c>
      <c r="EF32">
        <f>CA33-Table2[[#This Row],[8F4 WH Light]]</f>
        <v>-1226.8497</v>
      </c>
      <c r="EG32">
        <f>CC33-Table2[[#This Row],[9F1 - PDB 10 - WH Dock door &amp; Office]]</f>
        <v>-150006.54399999999</v>
      </c>
      <c r="EH32">
        <f>CD33-Table2[[#This Row],[9F2 - PDB 11 - WH flycatchers]]</f>
        <v>-445252.288</v>
      </c>
      <c r="EI32">
        <f>CE33-Table2[[#This Row],[9F3 - PDB 12 - Other items]]</f>
        <v>-49125.260799999996</v>
      </c>
      <c r="EJ32">
        <f>CR33-Table2[[#This Row],[2F3 - PDB 1 - Dock 1 to 4 ]]</f>
        <v>-130805.4</v>
      </c>
      <c r="EK32">
        <f>BM33-Table2[[#This Row],[2F2 - PDB 3 - WH Truck &amp; Battery Charging]]</f>
        <v>-306017.76</v>
      </c>
      <c r="EL32">
        <f>(CK33-Table2[[#This Row],[PDB - 11 Truck Charging]])*1000</f>
        <v>-77751</v>
      </c>
      <c r="EM32">
        <f>P33-Table2[[#This Row],[5F3 Admin Area]]</f>
        <v>-642782.848</v>
      </c>
      <c r="EN32">
        <f>AH33-Table2[[#This Row],[2F5 Main Gate-1 Piller -1]]</f>
        <v>-132603.62400000001</v>
      </c>
      <c r="EO32">
        <f>CW33-Table2[[#This Row],[6F2 Ground Floor AC]]</f>
        <v>-62718.777600000001</v>
      </c>
      <c r="EP32">
        <f>CX33-Table2[[#This Row],[6F3 ACBD -1 (First floor AC)]]</f>
        <v>-33430.976000000002</v>
      </c>
      <c r="EQ32">
        <f>CY33-Table2[[#This Row],[6F4 ACBD - 2 (Second &amp; Third floor AC)]]</f>
        <v>-167202.67199999999</v>
      </c>
      <c r="ER32">
        <f>(BC33-Table2[[#This Row],[4F Old BMC cooling Unit]])</f>
        <v>-113989.152</v>
      </c>
      <c r="ES32">
        <f>BO33-Table2[[#This Row],[2F4 - Old BMC]]</f>
        <v>-53547.3344</v>
      </c>
      <c r="ET32">
        <f>Y33-Table2[[#This Row],[14F2 New CK]]</f>
        <v>-1082323.76</v>
      </c>
      <c r="EU32">
        <f>(CL33-Table2[[#This Row],[OLD Ck Panel-1]])*1000</f>
        <v>-731213</v>
      </c>
      <c r="EV32">
        <f>CM33-Table2[[#This Row],[2F4 Old CK Blast (Blue star)]]</f>
        <v>-551.4</v>
      </c>
      <c r="EW32">
        <f>CN33-Table2[[#This Row],[3F6 Old CK Blast (Carrier)]]</f>
        <v>-43266.1</v>
      </c>
      <c r="EX32">
        <f>(CO33-Table2[[#This Row],[Old CK Panel -2]])*1000</f>
        <v>-1646788</v>
      </c>
      <c r="EY32">
        <f>N33-Table2[[#This Row],[4F1 Main UPS 1/C -1]]</f>
        <v>-1861523.68</v>
      </c>
      <c r="EZ32">
        <f>Z33-Table2[[#This Row],[15F1 Main UPS Panel - I/C - 2]]</f>
        <v>-2777.8894</v>
      </c>
      <c r="FA32">
        <f>BF33-Table2[[#This Row],[2F CLC -1 AC unit - 2]]</f>
        <v>-1712.0419999999999</v>
      </c>
      <c r="FB32">
        <f>(BG33-Table2[[#This Row],[2F CLC Anti room]])*1000</f>
        <v>-74796</v>
      </c>
      <c r="FC32">
        <f>BW33-Table2[[#This Row],[7F3 CLC Power Panel]]</f>
        <v>-566926.14399999997</v>
      </c>
      <c r="FD32">
        <f>(CI33-Table2[[#This Row],[PDB - 17 CLC Section ]])*1000</f>
        <v>-213449</v>
      </c>
      <c r="FE32">
        <f>(W33-Table2[[#This Row],[13F3 Water &amp; Lift Old CK]])*1000</f>
        <v>-1588245.7999999998</v>
      </c>
      <c r="FF32">
        <f>AA33-Table2[[#This Row],[15F2 New ETP Panel]]</f>
        <v>-666355.00800000003</v>
      </c>
      <c r="FG32">
        <f>AL33-Table2[[#This Row],[3F4 Old ETP Panel]]</f>
        <v>-330049.47200000001</v>
      </c>
      <c r="FH32">
        <f>AF33-Table2[[#This Row],[2F1 RO Plant]]</f>
        <v>-871216.576</v>
      </c>
      <c r="FI32">
        <f>AK33-Table2[[#This Row],[3F3 Fire Hydrant Panel]]</f>
        <v>-105134.512</v>
      </c>
      <c r="FJ32">
        <f>R33-Table2[[#This Row],[7F1 Freon System Panel]]</f>
        <v>-5493527.6799999997</v>
      </c>
      <c r="FK32">
        <f>(AE33-Table2[[#This Row],[21F1 Refrigeration Ammonia]])*1000</f>
        <v>-12753804.800000001</v>
      </c>
      <c r="FL32">
        <f>(AG33-Table2[[#This Row],[2F3 Air Compressor]])*1000</f>
        <v>-1389908</v>
      </c>
      <c r="FM32">
        <f>(AX33-Table2[[#This Row],[Solar Reading Panel II]])*1000</f>
        <v>-7221570</v>
      </c>
      <c r="FN32">
        <f>AI33-Table2[[#This Row],[3F1 Maintenance Workshop]]</f>
        <v>-14592.2768</v>
      </c>
      <c r="FO32">
        <f>BD33-Table2[[#This Row],[4F B2B unit ]]</f>
        <v>-275494.78399999999</v>
      </c>
      <c r="FP32">
        <f>BL33-Table2[[#This Row],[2F1 - PDB 6 - Bread, B2B section]]</f>
        <v>-71367.462400000004</v>
      </c>
      <c r="FQ32">
        <f>(CG33-Table2[[#This Row],[9F5 - PDB 14 - Bread Lift]])</f>
        <v>-360803.78879999998</v>
      </c>
      <c r="FR32">
        <f>CJ33-Table2[[#This Row],[PDB - 16 Bread Section]]</f>
        <v>-1188.7</v>
      </c>
      <c r="FS32">
        <f>BU33-Table2[[#This Row],[7F1 Donut Production area]]</f>
        <v>-627834.68799999997</v>
      </c>
      <c r="FT32">
        <f>CB33-Table2[[#This Row],[8F5 Donut Ban Bary]]</f>
        <v>-108394.664</v>
      </c>
      <c r="FU32">
        <f>CF33-Table2[[#This Row],[9F4 - PDB 13 - Donut Sink Geyser area]]</f>
        <v>-155781.53599999999</v>
      </c>
      <c r="FV32">
        <f>BV33-Table2[[#This Row],[7F2 Flour Silo]]</f>
        <v>-1019109.36</v>
      </c>
      <c r="FW32">
        <f>BY33-Table2[[#This Row],[8F2 ACPDB - 3 SILO Ventilation]]</f>
        <v>-157425.05600000001</v>
      </c>
      <c r="FX32">
        <f>J33-Table2[[#This Row],[DG 1010KVA Running Hours]]</f>
        <v>-4271.7</v>
      </c>
      <c r="FY32">
        <f>K33-Table2[[#This Row],[DG 1010 KVA Meter Reading]]</f>
        <v>-1776033</v>
      </c>
      <c r="FZ32">
        <f>L33-Table2[[#This Row],[GG 1010 KVA Running Hours]]</f>
        <v>-452</v>
      </c>
      <c r="GA32">
        <f>M33-Table2[[#This Row],[GG 1010 KVA Meter Reading]]</f>
        <v>-190.3</v>
      </c>
    </row>
    <row r="33" spans="1:183" x14ac:dyDescent="0.35">
      <c r="A33" s="1"/>
      <c r="B33" s="2"/>
      <c r="C33" s="2"/>
      <c r="D33" s="1"/>
      <c r="E33" s="1"/>
      <c r="F33" s="1"/>
      <c r="G33" s="3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4">
        <f>Table2[[#This Row],[Date]]</f>
        <v>0</v>
      </c>
      <c r="DI33">
        <f>(DD34-Table2[[#This Row],[MWH Total]])*4000</f>
        <v>0</v>
      </c>
      <c r="DJ33">
        <f>(DA34-Table2[[#This Row],[PNG Meter (Outside)]])*2.936</f>
        <v>0</v>
      </c>
      <c r="DK33">
        <f>(DB34-Table2[[#This Row],[PNG Meter (Inside)]])*2.936</f>
        <v>0</v>
      </c>
      <c r="DL33">
        <f>(BH34-Table2[[#This Row],[3F Dough cooler - 2 ]])*1000</f>
        <v>0</v>
      </c>
      <c r="DM33">
        <f>(BI34-Table2[[#This Row],[3F Dough Cooler- 1]])*1000</f>
        <v>0</v>
      </c>
      <c r="DN33">
        <f>(BJ34-Table2[[#This Row],[4F Dough Production cooling Unit]])*1000</f>
        <v>0</v>
      </c>
      <c r="DO33">
        <f>(BQ34-Table2[[#This Row],[3F2 - PDB 3 - Dough Production Area]])*1000</f>
        <v>0</v>
      </c>
      <c r="DP33">
        <f>(BR34-Table2[[#This Row],[3F3 - PDB 4 - Dough Area]])*1000</f>
        <v>0</v>
      </c>
      <c r="DQ33">
        <f>AC34-Table2[[#This Row],[16F1 Tray washer Panel for Light]]</f>
        <v>0</v>
      </c>
      <c r="DR33">
        <f>CQ34-Table2[[#This Row],[2F1 Tray Washer - 1]]</f>
        <v>0</v>
      </c>
      <c r="DS33">
        <f>CS34-Table2[[#This Row],[2F5 Destacker]]</f>
        <v>0</v>
      </c>
      <c r="DT33">
        <f>CU34-Table2[[#This Row],[5F1 Metering (TW-2)]]</f>
        <v>0</v>
      </c>
      <c r="DU33">
        <f>CV34-Table2[[#This Row],[6F1 Pre soaker Tray washer]]</f>
        <v>0</v>
      </c>
      <c r="DV33">
        <f>CZ34-Table2[[#This Row],[6F5 Vent tray Storage]]</f>
        <v>0</v>
      </c>
      <c r="DW33">
        <f>I34-Table2[[#This Row],[Popeyes Meter ]]</f>
        <v>0</v>
      </c>
      <c r="DX33">
        <f>AZ34-Table2[[#This Row],[2F WH Chiller, Segregation Area]]</f>
        <v>0</v>
      </c>
      <c r="DY33">
        <f>BA34-Table2[[#This Row],[3F1 AC Unit WH dock cooling - 2 Nos]]</f>
        <v>0</v>
      </c>
      <c r="DZ33">
        <f>BB34-Table2[[#This Row],[3F2 AC Unit WH dock cooling - 3 Nos]]</f>
        <v>0</v>
      </c>
      <c r="EA33">
        <f>(BK34-Table2[[#This Row],[5F WH Perishable]])*1000</f>
        <v>0</v>
      </c>
      <c r="EB33">
        <f>BN34-Table2[[#This Row],[2F3 - PDB 9 - WH Dock Leveler Door ]]</f>
        <v>0</v>
      </c>
      <c r="EC33">
        <f>BP34-Table2[[#This Row],[3F1 - PDB 5 - WH HSD]]</f>
        <v>0</v>
      </c>
      <c r="ED33">
        <f>BX34-Table2[[#This Row],[8F1 WH Dock AHU - Ventilation]]</f>
        <v>0</v>
      </c>
      <c r="EE33">
        <f>BZ34-Table2[[#This Row],[8F3 ACPDB - 4 WH Dock air curtain]]</f>
        <v>0</v>
      </c>
      <c r="EF33">
        <f>CA34-Table2[[#This Row],[8F4 WH Light]]</f>
        <v>0</v>
      </c>
      <c r="EG33">
        <f>CC34-Table2[[#This Row],[9F1 - PDB 10 - WH Dock door &amp; Office]]</f>
        <v>0</v>
      </c>
      <c r="EH33">
        <f>CD34-Table2[[#This Row],[9F2 - PDB 11 - WH flycatchers]]</f>
        <v>0</v>
      </c>
      <c r="EI33">
        <f>CE34-Table2[[#This Row],[9F3 - PDB 12 - Other items]]</f>
        <v>0</v>
      </c>
      <c r="EJ33">
        <f>CR34-Table2[[#This Row],[2F3 - PDB 1 - Dock 1 to 4 ]]</f>
        <v>0</v>
      </c>
      <c r="EK33">
        <f>BM34-Table2[[#This Row],[2F2 - PDB 3 - WH Truck &amp; Battery Charging]]</f>
        <v>0</v>
      </c>
      <c r="EL33">
        <f>(CK34-Table2[[#This Row],[PDB - 11 Truck Charging]])*1000</f>
        <v>0</v>
      </c>
      <c r="EM33">
        <f>P34-Table2[[#This Row],[5F3 Admin Area]]</f>
        <v>0</v>
      </c>
      <c r="EN33">
        <f>AH34-Table2[[#This Row],[2F5 Main Gate-1 Piller -1]]</f>
        <v>0</v>
      </c>
      <c r="EO33">
        <f>CW34-Table2[[#This Row],[6F2 Ground Floor AC]]</f>
        <v>0</v>
      </c>
      <c r="EP33">
        <f>CX34-Table2[[#This Row],[6F3 ACBD -1 (First floor AC)]]</f>
        <v>0</v>
      </c>
      <c r="EQ33">
        <f>CY34-Table2[[#This Row],[6F4 ACBD - 2 (Second &amp; Third floor AC)]]</f>
        <v>0</v>
      </c>
      <c r="ER33">
        <f>(BC34-Table2[[#This Row],[4F Old BMC cooling Unit]])</f>
        <v>0</v>
      </c>
      <c r="ES33">
        <f>BO34-Table2[[#This Row],[2F4 - Old BMC]]</f>
        <v>0</v>
      </c>
      <c r="ET33">
        <f>Y34-Table2[[#This Row],[14F2 New CK]]</f>
        <v>0</v>
      </c>
      <c r="EU33">
        <f>(CL34-Table2[[#This Row],[OLD Ck Panel-1]])*1000</f>
        <v>0</v>
      </c>
      <c r="EV33">
        <f>CM34-Table2[[#This Row],[2F4 Old CK Blast (Blue star)]]</f>
        <v>0</v>
      </c>
      <c r="EW33">
        <f>CN34-Table2[[#This Row],[3F6 Old CK Blast (Carrier)]]</f>
        <v>0</v>
      </c>
      <c r="EX33">
        <f>(CO34-Table2[[#This Row],[Old CK Panel -2]])*1000</f>
        <v>0</v>
      </c>
      <c r="EY33">
        <f>N34-Table2[[#This Row],[4F1 Main UPS 1/C -1]]</f>
        <v>0</v>
      </c>
      <c r="EZ33">
        <f>Z34-Table2[[#This Row],[15F1 Main UPS Panel - I/C - 2]]</f>
        <v>0</v>
      </c>
      <c r="FA33">
        <f>BF34-Table2[[#This Row],[2F CLC -1 AC unit - 2]]</f>
        <v>0</v>
      </c>
      <c r="FB33">
        <f>(BG34-Table2[[#This Row],[2F CLC Anti room]])*1000</f>
        <v>0</v>
      </c>
      <c r="FC33">
        <f>BW34-Table2[[#This Row],[7F3 CLC Power Panel]]</f>
        <v>0</v>
      </c>
      <c r="FD33">
        <f>(CI34-Table2[[#This Row],[PDB - 17 CLC Section ]])*1000</f>
        <v>0</v>
      </c>
      <c r="FE33">
        <f>(W34-Table2[[#This Row],[13F3 Water &amp; Lift Old CK]])*1000</f>
        <v>0</v>
      </c>
      <c r="FF33">
        <f>AA34-Table2[[#This Row],[15F2 New ETP Panel]]</f>
        <v>0</v>
      </c>
      <c r="FG33">
        <f>AL34-Table2[[#This Row],[3F4 Old ETP Panel]]</f>
        <v>0</v>
      </c>
      <c r="FH33">
        <f>AF34-Table2[[#This Row],[2F1 RO Plant]]</f>
        <v>0</v>
      </c>
      <c r="FI33">
        <f>AK34-Table2[[#This Row],[3F3 Fire Hydrant Panel]]</f>
        <v>0</v>
      </c>
      <c r="FJ33">
        <f>R34-Table2[[#This Row],[7F1 Freon System Panel]]</f>
        <v>0</v>
      </c>
      <c r="FK33">
        <f>(AE34-Table2[[#This Row],[21F1 Refrigeration Ammonia]])*1000</f>
        <v>0</v>
      </c>
      <c r="FL33">
        <f>(AG34-Table2[[#This Row],[2F3 Air Compressor]])*1000</f>
        <v>0</v>
      </c>
      <c r="FM33">
        <f>(AX34-Table2[[#This Row],[Solar Reading Panel II]])*1000</f>
        <v>0</v>
      </c>
      <c r="FN33">
        <f>AI34-Table2[[#This Row],[3F1 Maintenance Workshop]]</f>
        <v>0</v>
      </c>
      <c r="FO33">
        <f>BD34-Table2[[#This Row],[4F B2B unit ]]</f>
        <v>0</v>
      </c>
      <c r="FP33">
        <f>BL34-Table2[[#This Row],[2F1 - PDB 6 - Bread, B2B section]]</f>
        <v>0</v>
      </c>
      <c r="FQ33">
        <f>(CG34-Table2[[#This Row],[9F5 - PDB 14 - Bread Lift]])</f>
        <v>0</v>
      </c>
      <c r="FR33">
        <f>CJ34-Table2[[#This Row],[PDB - 16 Bread Section]]</f>
        <v>0</v>
      </c>
      <c r="FS33">
        <f>BU34-Table2[[#This Row],[7F1 Donut Production area]]</f>
        <v>0</v>
      </c>
      <c r="FT33">
        <f>CB34-Table2[[#This Row],[8F5 Donut Ban Bary]]</f>
        <v>0</v>
      </c>
      <c r="FU33">
        <f>CF34-Table2[[#This Row],[9F4 - PDB 13 - Donut Sink Geyser area]]</f>
        <v>0</v>
      </c>
      <c r="FV33">
        <f>BV34-Table2[[#This Row],[7F2 Flour Silo]]</f>
        <v>0</v>
      </c>
      <c r="FW33">
        <f>BY34-Table2[[#This Row],[8F2 ACPDB - 3 SILO Ventilation]]</f>
        <v>0</v>
      </c>
      <c r="FX33">
        <f>J34-Table2[[#This Row],[DG 1010KVA Running Hours]]</f>
        <v>0</v>
      </c>
      <c r="FY33">
        <f>K34-Table2[[#This Row],[DG 1010 KVA Meter Reading]]</f>
        <v>0</v>
      </c>
      <c r="FZ33">
        <f>L34-Table2[[#This Row],[GG 1010 KVA Running Hours]]</f>
        <v>0</v>
      </c>
      <c r="GA33">
        <f>M34-Table2[[#This Row],[GG 1010 KVA Meter Reading]]</f>
        <v>0</v>
      </c>
    </row>
    <row r="34" spans="1:183" x14ac:dyDescent="0.35">
      <c r="A34" s="1"/>
      <c r="B34" s="2"/>
      <c r="C34" s="2"/>
      <c r="D34" s="1"/>
      <c r="E34" s="1"/>
      <c r="F34" s="1"/>
      <c r="G34" s="3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4">
        <f>Table2[[#This Row],[Date]]</f>
        <v>0</v>
      </c>
      <c r="DI34">
        <f>(DD35-Table2[[#This Row],[MWH Total]])*4000</f>
        <v>0</v>
      </c>
      <c r="DJ34">
        <f>(DA35-Table2[[#This Row],[PNG Meter (Outside)]])*2.936</f>
        <v>0</v>
      </c>
      <c r="DK34">
        <f>(DB35-Table2[[#This Row],[PNG Meter (Inside)]])*2.936</f>
        <v>0</v>
      </c>
      <c r="DL34">
        <f>(BH35-Table2[[#This Row],[3F Dough cooler - 2 ]])*1000</f>
        <v>0</v>
      </c>
      <c r="DM34">
        <f>(BI35-Table2[[#This Row],[3F Dough Cooler- 1]])*1000</f>
        <v>0</v>
      </c>
      <c r="DN34">
        <f>(BJ35-Table2[[#This Row],[4F Dough Production cooling Unit]])*1000</f>
        <v>0</v>
      </c>
      <c r="DO34">
        <f>(BQ35-Table2[[#This Row],[3F2 - PDB 3 - Dough Production Area]])*1000</f>
        <v>0</v>
      </c>
      <c r="DP34">
        <f>(BR35-Table2[[#This Row],[3F3 - PDB 4 - Dough Area]])*1000</f>
        <v>0</v>
      </c>
      <c r="DQ34">
        <f>AC35-Table2[[#This Row],[16F1 Tray washer Panel for Light]]</f>
        <v>0</v>
      </c>
      <c r="DR34">
        <f>CQ35-Table2[[#This Row],[2F1 Tray Washer - 1]]</f>
        <v>0</v>
      </c>
      <c r="DS34">
        <f>CS35-Table2[[#This Row],[2F5 Destacker]]</f>
        <v>0</v>
      </c>
      <c r="DT34">
        <f>CU35-Table2[[#This Row],[5F1 Metering (TW-2)]]</f>
        <v>0</v>
      </c>
      <c r="DU34">
        <f>CV35-Table2[[#This Row],[6F1 Pre soaker Tray washer]]</f>
        <v>0</v>
      </c>
      <c r="DV34">
        <f>CZ35-Table2[[#This Row],[6F5 Vent tray Storage]]</f>
        <v>0</v>
      </c>
      <c r="DW34">
        <f>I35-Table2[[#This Row],[Popeyes Meter ]]</f>
        <v>0</v>
      </c>
      <c r="DX34">
        <f>AZ35-Table2[[#This Row],[2F WH Chiller, Segregation Area]]</f>
        <v>0</v>
      </c>
      <c r="DY34">
        <f>BA35-Table2[[#This Row],[3F1 AC Unit WH dock cooling - 2 Nos]]</f>
        <v>0</v>
      </c>
      <c r="DZ34">
        <f>BB35-Table2[[#This Row],[3F2 AC Unit WH dock cooling - 3 Nos]]</f>
        <v>0</v>
      </c>
      <c r="EA34">
        <f>(BK35-Table2[[#This Row],[5F WH Perishable]])*1000</f>
        <v>0</v>
      </c>
      <c r="EB34">
        <f>BN35-Table2[[#This Row],[2F3 - PDB 9 - WH Dock Leveler Door ]]</f>
        <v>0</v>
      </c>
      <c r="EC34">
        <f>BP35-Table2[[#This Row],[3F1 - PDB 5 - WH HSD]]</f>
        <v>0</v>
      </c>
      <c r="ED34">
        <f>BX35-Table2[[#This Row],[8F1 WH Dock AHU - Ventilation]]</f>
        <v>0</v>
      </c>
      <c r="EE34">
        <f>BZ35-Table2[[#This Row],[8F3 ACPDB - 4 WH Dock air curtain]]</f>
        <v>0</v>
      </c>
      <c r="EF34">
        <f>CA35-Table2[[#This Row],[8F4 WH Light]]</f>
        <v>0</v>
      </c>
      <c r="EG34">
        <f>CC35-Table2[[#This Row],[9F1 - PDB 10 - WH Dock door &amp; Office]]</f>
        <v>0</v>
      </c>
      <c r="EH34">
        <f>CD35-Table2[[#This Row],[9F2 - PDB 11 - WH flycatchers]]</f>
        <v>0</v>
      </c>
      <c r="EI34">
        <f>CE35-Table2[[#This Row],[9F3 - PDB 12 - Other items]]</f>
        <v>0</v>
      </c>
      <c r="EJ34">
        <f>CR35-Table2[[#This Row],[2F3 - PDB 1 - Dock 1 to 4 ]]</f>
        <v>0</v>
      </c>
      <c r="EK34">
        <f>BM35-Table2[[#This Row],[2F2 - PDB 3 - WH Truck &amp; Battery Charging]]</f>
        <v>0</v>
      </c>
      <c r="EL34">
        <f>(CK35-Table2[[#This Row],[PDB - 11 Truck Charging]])*1000</f>
        <v>0</v>
      </c>
      <c r="EM34">
        <f>P35-Table2[[#This Row],[5F3 Admin Area]]</f>
        <v>0</v>
      </c>
      <c r="EN34">
        <f>AH35-Table2[[#This Row],[2F5 Main Gate-1 Piller -1]]</f>
        <v>0</v>
      </c>
      <c r="EO34">
        <f>CW35-Table2[[#This Row],[6F2 Ground Floor AC]]</f>
        <v>0</v>
      </c>
      <c r="EP34">
        <f>CX35-Table2[[#This Row],[6F3 ACBD -1 (First floor AC)]]</f>
        <v>0</v>
      </c>
      <c r="EQ34">
        <f>CY35-Table2[[#This Row],[6F4 ACBD - 2 (Second &amp; Third floor AC)]]</f>
        <v>0</v>
      </c>
      <c r="ER34">
        <f>(BC35-Table2[[#This Row],[4F Old BMC cooling Unit]])</f>
        <v>0</v>
      </c>
      <c r="ES34">
        <f>BO35-Table2[[#This Row],[2F4 - Old BMC]]</f>
        <v>0</v>
      </c>
      <c r="ET34">
        <f>Y35-Table2[[#This Row],[14F2 New CK]]</f>
        <v>0</v>
      </c>
      <c r="EU34">
        <f>(CL35-Table2[[#This Row],[OLD Ck Panel-1]])*1000</f>
        <v>0</v>
      </c>
      <c r="EV34">
        <f>CM35-Table2[[#This Row],[2F4 Old CK Blast (Blue star)]]</f>
        <v>0</v>
      </c>
      <c r="EW34">
        <f>CN35-Table2[[#This Row],[3F6 Old CK Blast (Carrier)]]</f>
        <v>0</v>
      </c>
      <c r="EX34">
        <f>(CO35-Table2[[#This Row],[Old CK Panel -2]])*1000</f>
        <v>0</v>
      </c>
      <c r="EY34">
        <f>N35-Table2[[#This Row],[4F1 Main UPS 1/C -1]]</f>
        <v>0</v>
      </c>
      <c r="EZ34">
        <f>Z35-Table2[[#This Row],[15F1 Main UPS Panel - I/C - 2]]</f>
        <v>0</v>
      </c>
      <c r="FA34">
        <f>BF35-Table2[[#This Row],[2F CLC -1 AC unit - 2]]</f>
        <v>0</v>
      </c>
      <c r="FB34">
        <f>(BG35-Table2[[#This Row],[2F CLC Anti room]])*1000</f>
        <v>0</v>
      </c>
      <c r="FC34">
        <f>BW35-Table2[[#This Row],[7F3 CLC Power Panel]]</f>
        <v>0</v>
      </c>
      <c r="FD34">
        <f>(CI35-Table2[[#This Row],[PDB - 17 CLC Section ]])*1000</f>
        <v>0</v>
      </c>
      <c r="FE34">
        <f>(W35-Table2[[#This Row],[13F3 Water &amp; Lift Old CK]])*1000</f>
        <v>0</v>
      </c>
      <c r="FF34">
        <f>AA35-Table2[[#This Row],[15F2 New ETP Panel]]</f>
        <v>0</v>
      </c>
      <c r="FG34">
        <f>AL35-Table2[[#This Row],[3F4 Old ETP Panel]]</f>
        <v>0</v>
      </c>
      <c r="FH34">
        <f>AF35-Table2[[#This Row],[2F1 RO Plant]]</f>
        <v>0</v>
      </c>
      <c r="FI34">
        <f>AK35-Table2[[#This Row],[3F3 Fire Hydrant Panel]]</f>
        <v>0</v>
      </c>
      <c r="FJ34">
        <f>R35-Table2[[#This Row],[7F1 Freon System Panel]]</f>
        <v>0</v>
      </c>
      <c r="FK34">
        <f>(AE35-Table2[[#This Row],[21F1 Refrigeration Ammonia]])*1000</f>
        <v>0</v>
      </c>
      <c r="FL34">
        <f>(AG35-Table2[[#This Row],[2F3 Air Compressor]])*1000</f>
        <v>0</v>
      </c>
      <c r="FM34">
        <f>(AX35-Table2[[#This Row],[Solar Reading Panel II]])*1000</f>
        <v>0</v>
      </c>
      <c r="FN34">
        <f>AI35-Table2[[#This Row],[3F1 Maintenance Workshop]]</f>
        <v>0</v>
      </c>
      <c r="FO34">
        <f>BD35-Table2[[#This Row],[4F B2B unit ]]</f>
        <v>0</v>
      </c>
      <c r="FP34">
        <f>BL35-Table2[[#This Row],[2F1 - PDB 6 - Bread, B2B section]]</f>
        <v>0</v>
      </c>
      <c r="FQ34">
        <f>(CG35-Table2[[#This Row],[9F5 - PDB 14 - Bread Lift]])</f>
        <v>0</v>
      </c>
      <c r="FR34">
        <f>CJ35-Table2[[#This Row],[PDB - 16 Bread Section]]</f>
        <v>0</v>
      </c>
      <c r="FS34">
        <f>BU35-Table2[[#This Row],[7F1 Donut Production area]]</f>
        <v>0</v>
      </c>
      <c r="FT34">
        <f>CB35-Table2[[#This Row],[8F5 Donut Ban Bary]]</f>
        <v>0</v>
      </c>
      <c r="FU34">
        <f>CF35-Table2[[#This Row],[9F4 - PDB 13 - Donut Sink Geyser area]]</f>
        <v>0</v>
      </c>
      <c r="FV34">
        <f>BV35-Table2[[#This Row],[7F2 Flour Silo]]</f>
        <v>0</v>
      </c>
      <c r="FW34">
        <f>BY35-Table2[[#This Row],[8F2 ACPDB - 3 SILO Ventilation]]</f>
        <v>0</v>
      </c>
      <c r="FX34">
        <f>J35-Table2[[#This Row],[DG 1010KVA Running Hours]]</f>
        <v>0</v>
      </c>
      <c r="FY34">
        <f>K35-Table2[[#This Row],[DG 1010 KVA Meter Reading]]</f>
        <v>0</v>
      </c>
      <c r="FZ34">
        <f>L35-Table2[[#This Row],[GG 1010 KVA Running Hours]]</f>
        <v>0</v>
      </c>
      <c r="GA34">
        <f>M35-Table2[[#This Row],[GG 1010 KVA Meter Reading]]</f>
        <v>0</v>
      </c>
    </row>
    <row r="35" spans="1:183" x14ac:dyDescent="0.35">
      <c r="A35" s="1"/>
      <c r="B35" s="2"/>
      <c r="C35" s="2"/>
      <c r="D35" s="1"/>
      <c r="E35" s="1"/>
      <c r="F35" s="1"/>
      <c r="G35" s="3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4">
        <f>Table2[[#This Row],[Date]]</f>
        <v>0</v>
      </c>
      <c r="DI35">
        <f>(DD36-Table2[[#This Row],[MWH Total]])*4000</f>
        <v>0</v>
      </c>
      <c r="DJ35">
        <f>(DA36-Table2[[#This Row],[PNG Meter (Outside)]])*2.936</f>
        <v>0</v>
      </c>
      <c r="DK35">
        <f>(DB36-Table2[[#This Row],[PNG Meter (Inside)]])*2.936</f>
        <v>0</v>
      </c>
      <c r="DL35">
        <f>(BH36-Table2[[#This Row],[3F Dough cooler - 2 ]])*1000</f>
        <v>0</v>
      </c>
      <c r="DM35">
        <f>(BI36-Table2[[#This Row],[3F Dough Cooler- 1]])*1000</f>
        <v>0</v>
      </c>
      <c r="DN35">
        <f>(BJ36-Table2[[#This Row],[4F Dough Production cooling Unit]])*1000</f>
        <v>0</v>
      </c>
      <c r="DO35">
        <f>(BQ36-Table2[[#This Row],[3F2 - PDB 3 - Dough Production Area]])*1000</f>
        <v>0</v>
      </c>
      <c r="DP35">
        <f>(BR36-Table2[[#This Row],[3F3 - PDB 4 - Dough Area]])*1000</f>
        <v>0</v>
      </c>
      <c r="DQ35">
        <f>AC36-Table2[[#This Row],[16F1 Tray washer Panel for Light]]</f>
        <v>0</v>
      </c>
      <c r="DR35">
        <f>CQ36-Table2[[#This Row],[2F1 Tray Washer - 1]]</f>
        <v>0</v>
      </c>
      <c r="DS35">
        <f>CS36-Table2[[#This Row],[2F5 Destacker]]</f>
        <v>0</v>
      </c>
      <c r="DT35">
        <f>CU36-Table2[[#This Row],[5F1 Metering (TW-2)]]</f>
        <v>0</v>
      </c>
      <c r="DU35">
        <f>CV36-Table2[[#This Row],[6F1 Pre soaker Tray washer]]</f>
        <v>0</v>
      </c>
      <c r="DV35">
        <f>CZ36-Table2[[#This Row],[6F5 Vent tray Storage]]</f>
        <v>0</v>
      </c>
      <c r="DW35">
        <f>I36-Table2[[#This Row],[Popeyes Meter ]]</f>
        <v>0</v>
      </c>
      <c r="DX35">
        <f>AZ36-Table2[[#This Row],[2F WH Chiller, Segregation Area]]</f>
        <v>0</v>
      </c>
      <c r="DY35">
        <f>BA36-Table2[[#This Row],[3F1 AC Unit WH dock cooling - 2 Nos]]</f>
        <v>0</v>
      </c>
      <c r="DZ35">
        <f>BB36-Table2[[#This Row],[3F2 AC Unit WH dock cooling - 3 Nos]]</f>
        <v>0</v>
      </c>
      <c r="EA35">
        <f>(BK36-Table2[[#This Row],[5F WH Perishable]])*1000</f>
        <v>0</v>
      </c>
      <c r="EB35">
        <f>BN36-Table2[[#This Row],[2F3 - PDB 9 - WH Dock Leveler Door ]]</f>
        <v>0</v>
      </c>
      <c r="EC35">
        <f>BP36-Table2[[#This Row],[3F1 - PDB 5 - WH HSD]]</f>
        <v>0</v>
      </c>
      <c r="ED35">
        <f>BX36-Table2[[#This Row],[8F1 WH Dock AHU - Ventilation]]</f>
        <v>0</v>
      </c>
      <c r="EE35">
        <f>BZ36-Table2[[#This Row],[8F3 ACPDB - 4 WH Dock air curtain]]</f>
        <v>0</v>
      </c>
      <c r="EF35">
        <f>CA36-Table2[[#This Row],[8F4 WH Light]]</f>
        <v>0</v>
      </c>
      <c r="EG35">
        <f>CC36-Table2[[#This Row],[9F1 - PDB 10 - WH Dock door &amp; Office]]</f>
        <v>0</v>
      </c>
      <c r="EH35">
        <f>CD36-Table2[[#This Row],[9F2 - PDB 11 - WH flycatchers]]</f>
        <v>0</v>
      </c>
      <c r="EI35">
        <f>CE36-Table2[[#This Row],[9F3 - PDB 12 - Other items]]</f>
        <v>0</v>
      </c>
      <c r="EJ35">
        <f>CR36-Table2[[#This Row],[2F3 - PDB 1 - Dock 1 to 4 ]]</f>
        <v>0</v>
      </c>
      <c r="EK35">
        <f>BM36-Table2[[#This Row],[2F2 - PDB 3 - WH Truck &amp; Battery Charging]]</f>
        <v>0</v>
      </c>
      <c r="EL35">
        <f>(CK36-Table2[[#This Row],[PDB - 11 Truck Charging]])*1000</f>
        <v>0</v>
      </c>
      <c r="EM35">
        <f>P36-Table2[[#This Row],[5F3 Admin Area]]</f>
        <v>0</v>
      </c>
      <c r="EN35">
        <f>AH36-Table2[[#This Row],[2F5 Main Gate-1 Piller -1]]</f>
        <v>0</v>
      </c>
      <c r="EO35">
        <f>CW36-Table2[[#This Row],[6F2 Ground Floor AC]]</f>
        <v>0</v>
      </c>
      <c r="EP35">
        <f>CX36-Table2[[#This Row],[6F3 ACBD -1 (First floor AC)]]</f>
        <v>0</v>
      </c>
      <c r="EQ35">
        <f>CY36-Table2[[#This Row],[6F4 ACBD - 2 (Second &amp; Third floor AC)]]</f>
        <v>0</v>
      </c>
      <c r="ER35">
        <f>(BC36-Table2[[#This Row],[4F Old BMC cooling Unit]])</f>
        <v>0</v>
      </c>
      <c r="ES35">
        <f>BO36-Table2[[#This Row],[2F4 - Old BMC]]</f>
        <v>0</v>
      </c>
      <c r="ET35">
        <f>Y36-Table2[[#This Row],[14F2 New CK]]</f>
        <v>0</v>
      </c>
      <c r="EU35">
        <f>(CL36-Table2[[#This Row],[OLD Ck Panel-1]])*1000</f>
        <v>0</v>
      </c>
      <c r="EV35">
        <f>CM36-Table2[[#This Row],[2F4 Old CK Blast (Blue star)]]</f>
        <v>0</v>
      </c>
      <c r="EW35">
        <f>CN36-Table2[[#This Row],[3F6 Old CK Blast (Carrier)]]</f>
        <v>0</v>
      </c>
      <c r="EX35">
        <f>(CO36-Table2[[#This Row],[Old CK Panel -2]])*1000</f>
        <v>0</v>
      </c>
      <c r="EY35">
        <f>N36-Table2[[#This Row],[4F1 Main UPS 1/C -1]]</f>
        <v>0</v>
      </c>
      <c r="EZ35">
        <f>Z36-Table2[[#This Row],[15F1 Main UPS Panel - I/C - 2]]</f>
        <v>0</v>
      </c>
      <c r="FA35">
        <f>BF36-Table2[[#This Row],[2F CLC -1 AC unit - 2]]</f>
        <v>0</v>
      </c>
      <c r="FB35">
        <f>(BG36-Table2[[#This Row],[2F CLC Anti room]])*1000</f>
        <v>0</v>
      </c>
      <c r="FC35">
        <f>BW36-Table2[[#This Row],[7F3 CLC Power Panel]]</f>
        <v>0</v>
      </c>
      <c r="FD35">
        <f>(CI36-Table2[[#This Row],[PDB - 17 CLC Section ]])*1000</f>
        <v>0</v>
      </c>
      <c r="FE35">
        <f>(W36-Table2[[#This Row],[13F3 Water &amp; Lift Old CK]])*1000</f>
        <v>0</v>
      </c>
      <c r="FF35">
        <f>AA36-Table2[[#This Row],[15F2 New ETP Panel]]</f>
        <v>0</v>
      </c>
      <c r="FG35">
        <f>AL36-Table2[[#This Row],[3F4 Old ETP Panel]]</f>
        <v>0</v>
      </c>
      <c r="FH35">
        <f>AF36-Table2[[#This Row],[2F1 RO Plant]]</f>
        <v>0</v>
      </c>
      <c r="FI35">
        <f>AK36-Table2[[#This Row],[3F3 Fire Hydrant Panel]]</f>
        <v>0</v>
      </c>
      <c r="FJ35">
        <f>R36-Table2[[#This Row],[7F1 Freon System Panel]]</f>
        <v>0</v>
      </c>
      <c r="FK35">
        <f>(AE36-Table2[[#This Row],[21F1 Refrigeration Ammonia]])*1000</f>
        <v>0</v>
      </c>
      <c r="FL35">
        <f>(AG36-Table2[[#This Row],[2F3 Air Compressor]])*1000</f>
        <v>0</v>
      </c>
      <c r="FM35">
        <f>(AX36-Table2[[#This Row],[Solar Reading Panel II]])*1000</f>
        <v>0</v>
      </c>
      <c r="FN35">
        <f>AI36-Table2[[#This Row],[3F1 Maintenance Workshop]]</f>
        <v>0</v>
      </c>
      <c r="FO35">
        <f>BD36-Table2[[#This Row],[4F B2B unit ]]</f>
        <v>0</v>
      </c>
      <c r="FP35">
        <f>BL36-Table2[[#This Row],[2F1 - PDB 6 - Bread, B2B section]]</f>
        <v>0</v>
      </c>
      <c r="FQ35">
        <f>(CG36-Table2[[#This Row],[9F5 - PDB 14 - Bread Lift]])</f>
        <v>0</v>
      </c>
      <c r="FR35">
        <f>CJ36-Table2[[#This Row],[PDB - 16 Bread Section]]</f>
        <v>0</v>
      </c>
      <c r="FS35">
        <f>BU36-Table2[[#This Row],[7F1 Donut Production area]]</f>
        <v>0</v>
      </c>
      <c r="FT35">
        <f>CB36-Table2[[#This Row],[8F5 Donut Ban Bary]]</f>
        <v>0</v>
      </c>
      <c r="FU35">
        <f>CF36-Table2[[#This Row],[9F4 - PDB 13 - Donut Sink Geyser area]]</f>
        <v>0</v>
      </c>
      <c r="FV35">
        <f>BV36-Table2[[#This Row],[7F2 Flour Silo]]</f>
        <v>0</v>
      </c>
      <c r="FW35">
        <f>BY36-Table2[[#This Row],[8F2 ACPDB - 3 SILO Ventilation]]</f>
        <v>0</v>
      </c>
      <c r="FX35">
        <f>J36-Table2[[#This Row],[DG 1010KVA Running Hours]]</f>
        <v>0</v>
      </c>
      <c r="FY35">
        <f>K36-Table2[[#This Row],[DG 1010 KVA Meter Reading]]</f>
        <v>0</v>
      </c>
      <c r="FZ35">
        <f>L36-Table2[[#This Row],[GG 1010 KVA Running Hours]]</f>
        <v>0</v>
      </c>
      <c r="GA35">
        <f>M36-Table2[[#This Row],[GG 1010 KVA Meter Reading]]</f>
        <v>0</v>
      </c>
    </row>
    <row r="36" spans="1:183" x14ac:dyDescent="0.35">
      <c r="A36" s="1"/>
      <c r="B36" s="2"/>
      <c r="C36" s="2"/>
      <c r="D36" s="1"/>
      <c r="E36" s="1"/>
      <c r="F36" s="1"/>
      <c r="G36" s="3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4">
        <f>Table2[[#This Row],[Date]]</f>
        <v>0</v>
      </c>
      <c r="DI36">
        <f>(DD37-Table2[[#This Row],[MWH Total]])*4000</f>
        <v>0</v>
      </c>
      <c r="DJ36">
        <f>(DA37-Table2[[#This Row],[PNG Meter (Outside)]])*2.936</f>
        <v>0</v>
      </c>
      <c r="DK36">
        <f>(DB37-Table2[[#This Row],[PNG Meter (Inside)]])*2.936</f>
        <v>0</v>
      </c>
      <c r="DL36">
        <f>(BH37-Table2[[#This Row],[3F Dough cooler - 2 ]])*1000</f>
        <v>0</v>
      </c>
      <c r="DM36">
        <f>(BI37-Table2[[#This Row],[3F Dough Cooler- 1]])*1000</f>
        <v>0</v>
      </c>
      <c r="DN36">
        <f>(BJ37-Table2[[#This Row],[4F Dough Production cooling Unit]])*1000</f>
        <v>0</v>
      </c>
      <c r="DO36">
        <f>(BQ37-Table2[[#This Row],[3F2 - PDB 3 - Dough Production Area]])*1000</f>
        <v>0</v>
      </c>
      <c r="DP36">
        <f>(BR37-Table2[[#This Row],[3F3 - PDB 4 - Dough Area]])*1000</f>
        <v>0</v>
      </c>
      <c r="DQ36">
        <f>AC37-Table2[[#This Row],[16F1 Tray washer Panel for Light]]</f>
        <v>0</v>
      </c>
      <c r="DR36">
        <f>CQ37-Table2[[#This Row],[2F1 Tray Washer - 1]]</f>
        <v>0</v>
      </c>
      <c r="DS36">
        <f>CS37-Table2[[#This Row],[2F5 Destacker]]</f>
        <v>0</v>
      </c>
      <c r="DT36">
        <f>CU37-Table2[[#This Row],[5F1 Metering (TW-2)]]</f>
        <v>0</v>
      </c>
      <c r="DU36">
        <f>CV37-Table2[[#This Row],[6F1 Pre soaker Tray washer]]</f>
        <v>0</v>
      </c>
      <c r="DV36">
        <f>CZ37-Table2[[#This Row],[6F5 Vent tray Storage]]</f>
        <v>0</v>
      </c>
      <c r="DW36">
        <f>I37-Table2[[#This Row],[Popeyes Meter ]]</f>
        <v>0</v>
      </c>
      <c r="DX36">
        <f>AZ37-Table2[[#This Row],[2F WH Chiller, Segregation Area]]</f>
        <v>0</v>
      </c>
      <c r="DY36">
        <f>BA37-Table2[[#This Row],[3F1 AC Unit WH dock cooling - 2 Nos]]</f>
        <v>0</v>
      </c>
      <c r="DZ36">
        <f>BB37-Table2[[#This Row],[3F2 AC Unit WH dock cooling - 3 Nos]]</f>
        <v>0</v>
      </c>
      <c r="EA36">
        <f>(BK37-Table2[[#This Row],[5F WH Perishable]])*1000</f>
        <v>0</v>
      </c>
      <c r="EB36">
        <f>BN37-Table2[[#This Row],[2F3 - PDB 9 - WH Dock Leveler Door ]]</f>
        <v>0</v>
      </c>
      <c r="EC36">
        <f>BP37-Table2[[#This Row],[3F1 - PDB 5 - WH HSD]]</f>
        <v>0</v>
      </c>
      <c r="ED36">
        <f>BX37-Table2[[#This Row],[8F1 WH Dock AHU - Ventilation]]</f>
        <v>0</v>
      </c>
      <c r="EE36">
        <f>BZ37-Table2[[#This Row],[8F3 ACPDB - 4 WH Dock air curtain]]</f>
        <v>0</v>
      </c>
      <c r="EF36">
        <f>CA37-Table2[[#This Row],[8F4 WH Light]]</f>
        <v>0</v>
      </c>
      <c r="EG36">
        <f>CC37-Table2[[#This Row],[9F1 - PDB 10 - WH Dock door &amp; Office]]</f>
        <v>0</v>
      </c>
      <c r="EH36">
        <f>CD37-Table2[[#This Row],[9F2 - PDB 11 - WH flycatchers]]</f>
        <v>0</v>
      </c>
      <c r="EI36">
        <f>CE37-Table2[[#This Row],[9F3 - PDB 12 - Other items]]</f>
        <v>0</v>
      </c>
      <c r="EJ36">
        <f>CR37-Table2[[#This Row],[2F3 - PDB 1 - Dock 1 to 4 ]]</f>
        <v>0</v>
      </c>
      <c r="EK36">
        <f>BM37-Table2[[#This Row],[2F2 - PDB 3 - WH Truck &amp; Battery Charging]]</f>
        <v>0</v>
      </c>
      <c r="EL36">
        <f>(CK37-Table2[[#This Row],[PDB - 11 Truck Charging]])*1000</f>
        <v>0</v>
      </c>
      <c r="EM36">
        <f>P37-Table2[[#This Row],[5F3 Admin Area]]</f>
        <v>0</v>
      </c>
      <c r="EN36">
        <f>AH37-Table2[[#This Row],[2F5 Main Gate-1 Piller -1]]</f>
        <v>0</v>
      </c>
      <c r="EO36">
        <f>CW37-Table2[[#This Row],[6F2 Ground Floor AC]]</f>
        <v>0</v>
      </c>
      <c r="EP36">
        <f>CX37-Table2[[#This Row],[6F3 ACBD -1 (First floor AC)]]</f>
        <v>0</v>
      </c>
      <c r="EQ36">
        <f>CY37-Table2[[#This Row],[6F4 ACBD - 2 (Second &amp; Third floor AC)]]</f>
        <v>0</v>
      </c>
      <c r="ER36">
        <f>(BC37-Table2[[#This Row],[4F Old BMC cooling Unit]])</f>
        <v>0</v>
      </c>
      <c r="ES36">
        <f>BO37-Table2[[#This Row],[2F4 - Old BMC]]</f>
        <v>0</v>
      </c>
      <c r="ET36">
        <f>Y37-Table2[[#This Row],[14F2 New CK]]</f>
        <v>0</v>
      </c>
      <c r="EU36">
        <f>(CL37-Table2[[#This Row],[OLD Ck Panel-1]])*1000</f>
        <v>0</v>
      </c>
      <c r="EV36">
        <f>CM37-Table2[[#This Row],[2F4 Old CK Blast (Blue star)]]</f>
        <v>0</v>
      </c>
      <c r="EW36">
        <f>CN37-Table2[[#This Row],[3F6 Old CK Blast (Carrier)]]</f>
        <v>0</v>
      </c>
      <c r="EX36">
        <f>(CO37-Table2[[#This Row],[Old CK Panel -2]])*1000</f>
        <v>0</v>
      </c>
      <c r="EY36">
        <f>N37-Table2[[#This Row],[4F1 Main UPS 1/C -1]]</f>
        <v>0</v>
      </c>
      <c r="EZ36">
        <f>Z37-Table2[[#This Row],[15F1 Main UPS Panel - I/C - 2]]</f>
        <v>0</v>
      </c>
      <c r="FA36">
        <f>BF37-Table2[[#This Row],[2F CLC -1 AC unit - 2]]</f>
        <v>0</v>
      </c>
      <c r="FB36">
        <f>(BG37-Table2[[#This Row],[2F CLC Anti room]])*1000</f>
        <v>0</v>
      </c>
      <c r="FC36">
        <f>BW37-Table2[[#This Row],[7F3 CLC Power Panel]]</f>
        <v>0</v>
      </c>
      <c r="FD36">
        <f>(CI37-Table2[[#This Row],[PDB - 17 CLC Section ]])*1000</f>
        <v>0</v>
      </c>
      <c r="FE36">
        <f>(W37-Table2[[#This Row],[13F3 Water &amp; Lift Old CK]])*1000</f>
        <v>0</v>
      </c>
      <c r="FF36">
        <f>AA37-Table2[[#This Row],[15F2 New ETP Panel]]</f>
        <v>0</v>
      </c>
      <c r="FG36">
        <f>AL37-Table2[[#This Row],[3F4 Old ETP Panel]]</f>
        <v>0</v>
      </c>
      <c r="FH36">
        <f>AF37-Table2[[#This Row],[2F1 RO Plant]]</f>
        <v>0</v>
      </c>
      <c r="FI36">
        <f>AK37-Table2[[#This Row],[3F3 Fire Hydrant Panel]]</f>
        <v>0</v>
      </c>
      <c r="FJ36">
        <f>R37-Table2[[#This Row],[7F1 Freon System Panel]]</f>
        <v>0</v>
      </c>
      <c r="FK36">
        <f>(AE37-Table2[[#This Row],[21F1 Refrigeration Ammonia]])*1000</f>
        <v>0</v>
      </c>
      <c r="FL36">
        <f>(AG37-Table2[[#This Row],[2F3 Air Compressor]])*1000</f>
        <v>0</v>
      </c>
      <c r="FM36">
        <f>(AX37-Table2[[#This Row],[Solar Reading Panel II]])*1000</f>
        <v>0</v>
      </c>
      <c r="FN36">
        <f>AI37-Table2[[#This Row],[3F1 Maintenance Workshop]]</f>
        <v>0</v>
      </c>
      <c r="FO36">
        <f>BD37-Table2[[#This Row],[4F B2B unit ]]</f>
        <v>0</v>
      </c>
      <c r="FP36">
        <f>BL37-Table2[[#This Row],[2F1 - PDB 6 - Bread, B2B section]]</f>
        <v>0</v>
      </c>
      <c r="FQ36">
        <f>(CG37-Table2[[#This Row],[9F5 - PDB 14 - Bread Lift]])</f>
        <v>0</v>
      </c>
      <c r="FR36">
        <f>CJ37-Table2[[#This Row],[PDB - 16 Bread Section]]</f>
        <v>0</v>
      </c>
      <c r="FS36">
        <f>BU37-Table2[[#This Row],[7F1 Donut Production area]]</f>
        <v>0</v>
      </c>
      <c r="FT36">
        <f>CB37-Table2[[#This Row],[8F5 Donut Ban Bary]]</f>
        <v>0</v>
      </c>
      <c r="FU36">
        <f>CF37-Table2[[#This Row],[9F4 - PDB 13 - Donut Sink Geyser area]]</f>
        <v>0</v>
      </c>
      <c r="FV36">
        <f>BV37-Table2[[#This Row],[7F2 Flour Silo]]</f>
        <v>0</v>
      </c>
      <c r="FW36">
        <f>BY37-Table2[[#This Row],[8F2 ACPDB - 3 SILO Ventilation]]</f>
        <v>0</v>
      </c>
      <c r="FX36">
        <f>J37-Table2[[#This Row],[DG 1010KVA Running Hours]]</f>
        <v>0</v>
      </c>
      <c r="FY36">
        <f>K37-Table2[[#This Row],[DG 1010 KVA Meter Reading]]</f>
        <v>0</v>
      </c>
      <c r="FZ36">
        <f>L37-Table2[[#This Row],[GG 1010 KVA Running Hours]]</f>
        <v>0</v>
      </c>
      <c r="GA36">
        <f>M37-Table2[[#This Row],[GG 1010 KVA Meter Reading]]</f>
        <v>0</v>
      </c>
    </row>
    <row r="37" spans="1:183" x14ac:dyDescent="0.35">
      <c r="A37" s="1"/>
      <c r="B37" s="2"/>
      <c r="C37" s="2"/>
      <c r="D37" s="1"/>
      <c r="E37" s="1"/>
      <c r="F37" s="1"/>
      <c r="G37" s="3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4">
        <f>Table2[[#This Row],[Date]]</f>
        <v>0</v>
      </c>
      <c r="DI37">
        <f>(DD38-Table2[[#This Row],[MWH Total]])*4000</f>
        <v>0</v>
      </c>
      <c r="DJ37">
        <f>(DA38-Table2[[#This Row],[PNG Meter (Outside)]])*2.936</f>
        <v>0</v>
      </c>
      <c r="DK37">
        <f>(DB38-Table2[[#This Row],[PNG Meter (Inside)]])*2.936</f>
        <v>0</v>
      </c>
      <c r="DL37">
        <f>(BH38-Table2[[#This Row],[3F Dough cooler - 2 ]])*1000</f>
        <v>0</v>
      </c>
      <c r="DM37">
        <f>(BI38-Table2[[#This Row],[3F Dough Cooler- 1]])*1000</f>
        <v>0</v>
      </c>
      <c r="DN37">
        <f>(BJ38-Table2[[#This Row],[4F Dough Production cooling Unit]])*1000</f>
        <v>0</v>
      </c>
      <c r="DO37">
        <f>(BQ38-Table2[[#This Row],[3F2 - PDB 3 - Dough Production Area]])*1000</f>
        <v>0</v>
      </c>
      <c r="DP37">
        <f>(BR38-Table2[[#This Row],[3F3 - PDB 4 - Dough Area]])*1000</f>
        <v>0</v>
      </c>
      <c r="DQ37">
        <f>AC38-Table2[[#This Row],[16F1 Tray washer Panel for Light]]</f>
        <v>0</v>
      </c>
      <c r="DR37">
        <f>CQ38-Table2[[#This Row],[2F1 Tray Washer - 1]]</f>
        <v>0</v>
      </c>
      <c r="DS37">
        <f>CS38-Table2[[#This Row],[2F5 Destacker]]</f>
        <v>0</v>
      </c>
      <c r="DT37">
        <f>CU38-Table2[[#This Row],[5F1 Metering (TW-2)]]</f>
        <v>0</v>
      </c>
      <c r="DU37">
        <f>CV38-Table2[[#This Row],[6F1 Pre soaker Tray washer]]</f>
        <v>0</v>
      </c>
      <c r="DV37">
        <f>CZ38-Table2[[#This Row],[6F5 Vent tray Storage]]</f>
        <v>0</v>
      </c>
      <c r="DW37">
        <f>I38-Table2[[#This Row],[Popeyes Meter ]]</f>
        <v>0</v>
      </c>
      <c r="DX37">
        <f>AZ38-Table2[[#This Row],[2F WH Chiller, Segregation Area]]</f>
        <v>0</v>
      </c>
      <c r="DY37">
        <f>BA38-Table2[[#This Row],[3F1 AC Unit WH dock cooling - 2 Nos]]</f>
        <v>0</v>
      </c>
      <c r="DZ37">
        <f>BB38-Table2[[#This Row],[3F2 AC Unit WH dock cooling - 3 Nos]]</f>
        <v>0</v>
      </c>
      <c r="EA37">
        <f>(BK38-Table2[[#This Row],[5F WH Perishable]])*1000</f>
        <v>0</v>
      </c>
      <c r="EB37">
        <f>BN38-Table2[[#This Row],[2F3 - PDB 9 - WH Dock Leveler Door ]]</f>
        <v>0</v>
      </c>
      <c r="EC37">
        <f>BP38-Table2[[#This Row],[3F1 - PDB 5 - WH HSD]]</f>
        <v>0</v>
      </c>
      <c r="ED37">
        <f>BX38-Table2[[#This Row],[8F1 WH Dock AHU - Ventilation]]</f>
        <v>0</v>
      </c>
      <c r="EE37">
        <f>BZ38-Table2[[#This Row],[8F3 ACPDB - 4 WH Dock air curtain]]</f>
        <v>0</v>
      </c>
      <c r="EF37">
        <f>CA38-Table2[[#This Row],[8F4 WH Light]]</f>
        <v>0</v>
      </c>
      <c r="EG37">
        <f>CC38-Table2[[#This Row],[9F1 - PDB 10 - WH Dock door &amp; Office]]</f>
        <v>0</v>
      </c>
      <c r="EH37">
        <f>CD38-Table2[[#This Row],[9F2 - PDB 11 - WH flycatchers]]</f>
        <v>0</v>
      </c>
      <c r="EI37">
        <f>CE38-Table2[[#This Row],[9F3 - PDB 12 - Other items]]</f>
        <v>0</v>
      </c>
      <c r="EJ37">
        <f>CR38-Table2[[#This Row],[2F3 - PDB 1 - Dock 1 to 4 ]]</f>
        <v>0</v>
      </c>
      <c r="EK37">
        <f>BM38-Table2[[#This Row],[2F2 - PDB 3 - WH Truck &amp; Battery Charging]]</f>
        <v>0</v>
      </c>
      <c r="EL37">
        <f>(CK38-Table2[[#This Row],[PDB - 11 Truck Charging]])*1000</f>
        <v>0</v>
      </c>
      <c r="EM37">
        <f>P38-Table2[[#This Row],[5F3 Admin Area]]</f>
        <v>0</v>
      </c>
      <c r="EN37">
        <f>AH38-Table2[[#This Row],[2F5 Main Gate-1 Piller -1]]</f>
        <v>0</v>
      </c>
      <c r="EO37">
        <f>CW38-Table2[[#This Row],[6F2 Ground Floor AC]]</f>
        <v>0</v>
      </c>
      <c r="EP37">
        <f>CX38-Table2[[#This Row],[6F3 ACBD -1 (First floor AC)]]</f>
        <v>0</v>
      </c>
      <c r="EQ37">
        <f>CY38-Table2[[#This Row],[6F4 ACBD - 2 (Second &amp; Third floor AC)]]</f>
        <v>0</v>
      </c>
      <c r="ER37">
        <f>(BC38-Table2[[#This Row],[4F Old BMC cooling Unit]])</f>
        <v>0</v>
      </c>
      <c r="ES37">
        <f>BO38-Table2[[#This Row],[2F4 - Old BMC]]</f>
        <v>0</v>
      </c>
      <c r="ET37">
        <f>Y38-Table2[[#This Row],[14F2 New CK]]</f>
        <v>0</v>
      </c>
      <c r="EU37">
        <f>(CL38-Table2[[#This Row],[OLD Ck Panel-1]])*1000</f>
        <v>0</v>
      </c>
      <c r="EV37">
        <f>CM38-Table2[[#This Row],[2F4 Old CK Blast (Blue star)]]</f>
        <v>0</v>
      </c>
      <c r="EW37">
        <f>CN38-Table2[[#This Row],[3F6 Old CK Blast (Carrier)]]</f>
        <v>0</v>
      </c>
      <c r="EX37">
        <f>(CO38-Table2[[#This Row],[Old CK Panel -2]])*1000</f>
        <v>0</v>
      </c>
      <c r="EY37">
        <f>N38-Table2[[#This Row],[4F1 Main UPS 1/C -1]]</f>
        <v>0</v>
      </c>
      <c r="EZ37">
        <f>Z38-Table2[[#This Row],[15F1 Main UPS Panel - I/C - 2]]</f>
        <v>0</v>
      </c>
      <c r="FA37">
        <f>BF38-Table2[[#This Row],[2F CLC -1 AC unit - 2]]</f>
        <v>0</v>
      </c>
      <c r="FB37">
        <f>(BG38-Table2[[#This Row],[2F CLC Anti room]])*1000</f>
        <v>0</v>
      </c>
      <c r="FC37">
        <f>BW38-Table2[[#This Row],[7F3 CLC Power Panel]]</f>
        <v>0</v>
      </c>
      <c r="FD37">
        <f>(CI38-Table2[[#This Row],[PDB - 17 CLC Section ]])*1000</f>
        <v>0</v>
      </c>
      <c r="FE37">
        <f>(W38-Table2[[#This Row],[13F3 Water &amp; Lift Old CK]])*1000</f>
        <v>0</v>
      </c>
      <c r="FF37">
        <f>AA38-Table2[[#This Row],[15F2 New ETP Panel]]</f>
        <v>0</v>
      </c>
      <c r="FG37">
        <f>AL38-Table2[[#This Row],[3F4 Old ETP Panel]]</f>
        <v>0</v>
      </c>
      <c r="FH37">
        <f>AF38-Table2[[#This Row],[2F1 RO Plant]]</f>
        <v>0</v>
      </c>
      <c r="FI37">
        <f>AK38-Table2[[#This Row],[3F3 Fire Hydrant Panel]]</f>
        <v>0</v>
      </c>
      <c r="FJ37">
        <f>R38-Table2[[#This Row],[7F1 Freon System Panel]]</f>
        <v>0</v>
      </c>
      <c r="FK37">
        <f>(AE38-Table2[[#This Row],[21F1 Refrigeration Ammonia]])*1000</f>
        <v>0</v>
      </c>
      <c r="FL37">
        <f>(AG38-Table2[[#This Row],[2F3 Air Compressor]])*1000</f>
        <v>0</v>
      </c>
      <c r="FM37">
        <f>(AX38-Table2[[#This Row],[Solar Reading Panel II]])*1000</f>
        <v>0</v>
      </c>
      <c r="FN37">
        <f>AI38-Table2[[#This Row],[3F1 Maintenance Workshop]]</f>
        <v>0</v>
      </c>
      <c r="FO37">
        <f>BD38-Table2[[#This Row],[4F B2B unit ]]</f>
        <v>0</v>
      </c>
      <c r="FP37">
        <f>BL38-Table2[[#This Row],[2F1 - PDB 6 - Bread, B2B section]]</f>
        <v>0</v>
      </c>
      <c r="FQ37">
        <f>(CG38-Table2[[#This Row],[9F5 - PDB 14 - Bread Lift]])</f>
        <v>0</v>
      </c>
      <c r="FR37">
        <f>CJ38-Table2[[#This Row],[PDB - 16 Bread Section]]</f>
        <v>0</v>
      </c>
      <c r="FS37">
        <f>BU38-Table2[[#This Row],[7F1 Donut Production area]]</f>
        <v>0</v>
      </c>
      <c r="FT37">
        <f>CB38-Table2[[#This Row],[8F5 Donut Ban Bary]]</f>
        <v>0</v>
      </c>
      <c r="FU37">
        <f>CF38-Table2[[#This Row],[9F4 - PDB 13 - Donut Sink Geyser area]]</f>
        <v>0</v>
      </c>
      <c r="FV37">
        <f>BV38-Table2[[#This Row],[7F2 Flour Silo]]</f>
        <v>0</v>
      </c>
      <c r="FW37">
        <f>BY38-Table2[[#This Row],[8F2 ACPDB - 3 SILO Ventilation]]</f>
        <v>0</v>
      </c>
      <c r="FX37">
        <f>J38-Table2[[#This Row],[DG 1010KVA Running Hours]]</f>
        <v>0</v>
      </c>
      <c r="FY37">
        <f>K38-Table2[[#This Row],[DG 1010 KVA Meter Reading]]</f>
        <v>0</v>
      </c>
      <c r="FZ37">
        <f>L38-Table2[[#This Row],[GG 1010 KVA Running Hours]]</f>
        <v>0</v>
      </c>
      <c r="GA37">
        <f>M38-Table2[[#This Row],[GG 1010 KVA Meter Reading]]</f>
        <v>0</v>
      </c>
    </row>
    <row r="38" spans="1:183" x14ac:dyDescent="0.35">
      <c r="A38" s="1"/>
      <c r="B38" s="2"/>
      <c r="C38" s="2"/>
      <c r="D38" s="1"/>
      <c r="E38" s="1"/>
      <c r="F38" s="1"/>
      <c r="G38" s="3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4">
        <f>Table2[[#This Row],[Date]]</f>
        <v>0</v>
      </c>
      <c r="DI38">
        <f>(DD39-Table2[[#This Row],[MWH Total]])*4000</f>
        <v>0</v>
      </c>
      <c r="DJ38">
        <f>(DA39-Table2[[#This Row],[PNG Meter (Outside)]])*2.936</f>
        <v>0</v>
      </c>
      <c r="DK38">
        <f>(DB39-Table2[[#This Row],[PNG Meter (Inside)]])*2.936</f>
        <v>0</v>
      </c>
      <c r="DL38">
        <f>(BH39-Table2[[#This Row],[3F Dough cooler - 2 ]])*1000</f>
        <v>0</v>
      </c>
      <c r="DM38">
        <f>(BI39-Table2[[#This Row],[3F Dough Cooler- 1]])*1000</f>
        <v>0</v>
      </c>
      <c r="DN38">
        <f>(BJ39-Table2[[#This Row],[4F Dough Production cooling Unit]])*1000</f>
        <v>0</v>
      </c>
      <c r="DO38">
        <f>(BQ39-Table2[[#This Row],[3F2 - PDB 3 - Dough Production Area]])*1000</f>
        <v>0</v>
      </c>
      <c r="DP38">
        <f>(BR39-Table2[[#This Row],[3F3 - PDB 4 - Dough Area]])*1000</f>
        <v>0</v>
      </c>
      <c r="DQ38">
        <f>AC39-Table2[[#This Row],[16F1 Tray washer Panel for Light]]</f>
        <v>0</v>
      </c>
      <c r="DR38">
        <f>CQ39-Table2[[#This Row],[2F1 Tray Washer - 1]]</f>
        <v>0</v>
      </c>
      <c r="DS38">
        <f>CS39-Table2[[#This Row],[2F5 Destacker]]</f>
        <v>0</v>
      </c>
      <c r="DT38">
        <f>CU39-Table2[[#This Row],[5F1 Metering (TW-2)]]</f>
        <v>0</v>
      </c>
      <c r="DU38">
        <f>CV39-Table2[[#This Row],[6F1 Pre soaker Tray washer]]</f>
        <v>0</v>
      </c>
      <c r="DV38">
        <f>CZ39-Table2[[#This Row],[6F5 Vent tray Storage]]</f>
        <v>0</v>
      </c>
      <c r="DW38">
        <f>I39-Table2[[#This Row],[Popeyes Meter ]]</f>
        <v>0</v>
      </c>
      <c r="DX38">
        <f>AZ39-Table2[[#This Row],[2F WH Chiller, Segregation Area]]</f>
        <v>0</v>
      </c>
      <c r="DY38">
        <f>BA39-Table2[[#This Row],[3F1 AC Unit WH dock cooling - 2 Nos]]</f>
        <v>0</v>
      </c>
      <c r="DZ38">
        <f>BB39-Table2[[#This Row],[3F2 AC Unit WH dock cooling - 3 Nos]]</f>
        <v>0</v>
      </c>
      <c r="EA38">
        <f>(BK39-Table2[[#This Row],[5F WH Perishable]])*1000</f>
        <v>0</v>
      </c>
      <c r="EB38">
        <f>BN39-Table2[[#This Row],[2F3 - PDB 9 - WH Dock Leveler Door ]]</f>
        <v>0</v>
      </c>
      <c r="EC38">
        <f>BP39-Table2[[#This Row],[3F1 - PDB 5 - WH HSD]]</f>
        <v>0</v>
      </c>
      <c r="ED38">
        <f>BX39-Table2[[#This Row],[8F1 WH Dock AHU - Ventilation]]</f>
        <v>0</v>
      </c>
      <c r="EE38">
        <f>BZ39-Table2[[#This Row],[8F3 ACPDB - 4 WH Dock air curtain]]</f>
        <v>0</v>
      </c>
      <c r="EF38">
        <f>CA39-Table2[[#This Row],[8F4 WH Light]]</f>
        <v>0</v>
      </c>
      <c r="EG38">
        <f>CC39-Table2[[#This Row],[9F1 - PDB 10 - WH Dock door &amp; Office]]</f>
        <v>0</v>
      </c>
      <c r="EH38">
        <f>CD39-Table2[[#This Row],[9F2 - PDB 11 - WH flycatchers]]</f>
        <v>0</v>
      </c>
      <c r="EI38">
        <f>CE39-Table2[[#This Row],[9F3 - PDB 12 - Other items]]</f>
        <v>0</v>
      </c>
      <c r="EJ38">
        <f>CR39-Table2[[#This Row],[2F3 - PDB 1 - Dock 1 to 4 ]]</f>
        <v>0</v>
      </c>
      <c r="EK38">
        <f>BM39-Table2[[#This Row],[2F2 - PDB 3 - WH Truck &amp; Battery Charging]]</f>
        <v>0</v>
      </c>
      <c r="EL38">
        <f>(CK39-Table2[[#This Row],[PDB - 11 Truck Charging]])*1000</f>
        <v>0</v>
      </c>
      <c r="EM38">
        <f>P39-Table2[[#This Row],[5F3 Admin Area]]</f>
        <v>0</v>
      </c>
      <c r="EN38">
        <f>AH39-Table2[[#This Row],[2F5 Main Gate-1 Piller -1]]</f>
        <v>0</v>
      </c>
      <c r="EO38">
        <f>CW39-Table2[[#This Row],[6F2 Ground Floor AC]]</f>
        <v>0</v>
      </c>
      <c r="EP38">
        <f>CX39-Table2[[#This Row],[6F3 ACBD -1 (First floor AC)]]</f>
        <v>0</v>
      </c>
      <c r="EQ38">
        <f>CY39-Table2[[#This Row],[6F4 ACBD - 2 (Second &amp; Third floor AC)]]</f>
        <v>0</v>
      </c>
      <c r="ER38">
        <f>(BC39-Table2[[#This Row],[4F Old BMC cooling Unit]])</f>
        <v>0</v>
      </c>
      <c r="ES38">
        <f>BO39-Table2[[#This Row],[2F4 - Old BMC]]</f>
        <v>0</v>
      </c>
      <c r="ET38">
        <f>Y39-Table2[[#This Row],[14F2 New CK]]</f>
        <v>0</v>
      </c>
      <c r="EU38">
        <f>(CL39-Table2[[#This Row],[OLD Ck Panel-1]])*1000</f>
        <v>0</v>
      </c>
      <c r="EV38">
        <f>CM39-Table2[[#This Row],[2F4 Old CK Blast (Blue star)]]</f>
        <v>0</v>
      </c>
      <c r="EW38">
        <f>CN39-Table2[[#This Row],[3F6 Old CK Blast (Carrier)]]</f>
        <v>0</v>
      </c>
      <c r="EX38">
        <f>(CO39-Table2[[#This Row],[Old CK Panel -2]])*1000</f>
        <v>0</v>
      </c>
      <c r="EY38">
        <f>N39-Table2[[#This Row],[4F1 Main UPS 1/C -1]]</f>
        <v>0</v>
      </c>
      <c r="EZ38">
        <f>Z39-Table2[[#This Row],[15F1 Main UPS Panel - I/C - 2]]</f>
        <v>0</v>
      </c>
      <c r="FA38">
        <f>BF39-Table2[[#This Row],[2F CLC -1 AC unit - 2]]</f>
        <v>0</v>
      </c>
      <c r="FB38">
        <f>(BG39-Table2[[#This Row],[2F CLC Anti room]])*1000</f>
        <v>0</v>
      </c>
      <c r="FC38">
        <f>BW39-Table2[[#This Row],[7F3 CLC Power Panel]]</f>
        <v>0</v>
      </c>
      <c r="FD38">
        <f>(CI39-Table2[[#This Row],[PDB - 17 CLC Section ]])*1000</f>
        <v>0</v>
      </c>
      <c r="FE38">
        <f>(W39-Table2[[#This Row],[13F3 Water &amp; Lift Old CK]])*1000</f>
        <v>0</v>
      </c>
      <c r="FF38">
        <f>AA39-Table2[[#This Row],[15F2 New ETP Panel]]</f>
        <v>0</v>
      </c>
      <c r="FG38">
        <f>AL39-Table2[[#This Row],[3F4 Old ETP Panel]]</f>
        <v>0</v>
      </c>
      <c r="FH38">
        <f>AF39-Table2[[#This Row],[2F1 RO Plant]]</f>
        <v>0</v>
      </c>
      <c r="FI38">
        <f>AK39-Table2[[#This Row],[3F3 Fire Hydrant Panel]]</f>
        <v>0</v>
      </c>
      <c r="FJ38">
        <f>R39-Table2[[#This Row],[7F1 Freon System Panel]]</f>
        <v>0</v>
      </c>
      <c r="FK38">
        <f>(AE39-Table2[[#This Row],[21F1 Refrigeration Ammonia]])*1000</f>
        <v>0</v>
      </c>
      <c r="FL38">
        <f>(AG39-Table2[[#This Row],[2F3 Air Compressor]])*1000</f>
        <v>0</v>
      </c>
      <c r="FM38">
        <f>(AX39-Table2[[#This Row],[Solar Reading Panel II]])*1000</f>
        <v>0</v>
      </c>
      <c r="FN38">
        <f>AI39-Table2[[#This Row],[3F1 Maintenance Workshop]]</f>
        <v>0</v>
      </c>
      <c r="FO38">
        <f>BD39-Table2[[#This Row],[4F B2B unit ]]</f>
        <v>0</v>
      </c>
      <c r="FP38">
        <f>BL39-Table2[[#This Row],[2F1 - PDB 6 - Bread, B2B section]]</f>
        <v>0</v>
      </c>
      <c r="FQ38">
        <f>(CG39-Table2[[#This Row],[9F5 - PDB 14 - Bread Lift]])</f>
        <v>0</v>
      </c>
      <c r="FR38">
        <f>CJ39-Table2[[#This Row],[PDB - 16 Bread Section]]</f>
        <v>0</v>
      </c>
      <c r="FS38">
        <f>BU39-Table2[[#This Row],[7F1 Donut Production area]]</f>
        <v>0</v>
      </c>
      <c r="FT38">
        <f>CB39-Table2[[#This Row],[8F5 Donut Ban Bary]]</f>
        <v>0</v>
      </c>
      <c r="FU38">
        <f>CF39-Table2[[#This Row],[9F4 - PDB 13 - Donut Sink Geyser area]]</f>
        <v>0</v>
      </c>
      <c r="FV38">
        <f>BV39-Table2[[#This Row],[7F2 Flour Silo]]</f>
        <v>0</v>
      </c>
      <c r="FW38">
        <f>BY39-Table2[[#This Row],[8F2 ACPDB - 3 SILO Ventilation]]</f>
        <v>0</v>
      </c>
      <c r="FX38">
        <f>J39-Table2[[#This Row],[DG 1010KVA Running Hours]]</f>
        <v>0</v>
      </c>
      <c r="FY38">
        <f>K39-Table2[[#This Row],[DG 1010 KVA Meter Reading]]</f>
        <v>0</v>
      </c>
      <c r="FZ38">
        <f>L39-Table2[[#This Row],[GG 1010 KVA Running Hours]]</f>
        <v>0</v>
      </c>
      <c r="GA38">
        <f>M39-Table2[[#This Row],[GG 1010 KVA Meter Reading]]</f>
        <v>0</v>
      </c>
    </row>
    <row r="39" spans="1:183" x14ac:dyDescent="0.35">
      <c r="A39" s="1"/>
      <c r="B39" s="2"/>
      <c r="C39" s="2"/>
      <c r="D39" s="1"/>
      <c r="E39" s="1"/>
      <c r="F39" s="1"/>
      <c r="G39" s="3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4">
        <f>Table2[[#This Row],[Date]]</f>
        <v>0</v>
      </c>
      <c r="DI39">
        <f>(DD40-Table2[[#This Row],[MWH Total]])*4000</f>
        <v>0</v>
      </c>
      <c r="DJ39">
        <f>(DA40-Table2[[#This Row],[PNG Meter (Outside)]])*2.936</f>
        <v>0</v>
      </c>
      <c r="DK39">
        <f>(DB40-Table2[[#This Row],[PNG Meter (Inside)]])*2.936</f>
        <v>0</v>
      </c>
      <c r="DL39">
        <f>(BH40-Table2[[#This Row],[3F Dough cooler - 2 ]])*1000</f>
        <v>0</v>
      </c>
      <c r="DM39">
        <f>(BI40-Table2[[#This Row],[3F Dough Cooler- 1]])*1000</f>
        <v>0</v>
      </c>
      <c r="DN39">
        <f>(BJ40-Table2[[#This Row],[4F Dough Production cooling Unit]])*1000</f>
        <v>0</v>
      </c>
      <c r="DO39">
        <f>(BQ40-Table2[[#This Row],[3F2 - PDB 3 - Dough Production Area]])*1000</f>
        <v>0</v>
      </c>
      <c r="DP39">
        <f>(BR40-Table2[[#This Row],[3F3 - PDB 4 - Dough Area]])*1000</f>
        <v>0</v>
      </c>
      <c r="DQ39">
        <f>AC40-Table2[[#This Row],[16F1 Tray washer Panel for Light]]</f>
        <v>0</v>
      </c>
      <c r="DR39">
        <f>CQ40-Table2[[#This Row],[2F1 Tray Washer - 1]]</f>
        <v>0</v>
      </c>
      <c r="DS39">
        <f>CS40-Table2[[#This Row],[2F5 Destacker]]</f>
        <v>0</v>
      </c>
      <c r="DT39">
        <f>CU40-Table2[[#This Row],[5F1 Metering (TW-2)]]</f>
        <v>0</v>
      </c>
      <c r="DU39">
        <f>CV40-Table2[[#This Row],[6F1 Pre soaker Tray washer]]</f>
        <v>0</v>
      </c>
      <c r="DV39">
        <f>CZ40-Table2[[#This Row],[6F5 Vent tray Storage]]</f>
        <v>0</v>
      </c>
      <c r="DW39">
        <f>I40-Table2[[#This Row],[Popeyes Meter ]]</f>
        <v>0</v>
      </c>
      <c r="DX39">
        <f>AZ40-Table2[[#This Row],[2F WH Chiller, Segregation Area]]</f>
        <v>0</v>
      </c>
      <c r="DY39">
        <f>BA40-Table2[[#This Row],[3F1 AC Unit WH dock cooling - 2 Nos]]</f>
        <v>0</v>
      </c>
      <c r="DZ39">
        <f>BB40-Table2[[#This Row],[3F2 AC Unit WH dock cooling - 3 Nos]]</f>
        <v>0</v>
      </c>
      <c r="EA39">
        <f>(BK40-Table2[[#This Row],[5F WH Perishable]])*1000</f>
        <v>0</v>
      </c>
      <c r="EB39">
        <f>BN40-Table2[[#This Row],[2F3 - PDB 9 - WH Dock Leveler Door ]]</f>
        <v>0</v>
      </c>
      <c r="EC39">
        <f>BP40-Table2[[#This Row],[3F1 - PDB 5 - WH HSD]]</f>
        <v>0</v>
      </c>
      <c r="ED39">
        <f>BX40-Table2[[#This Row],[8F1 WH Dock AHU - Ventilation]]</f>
        <v>0</v>
      </c>
      <c r="EE39">
        <f>BZ40-Table2[[#This Row],[8F3 ACPDB - 4 WH Dock air curtain]]</f>
        <v>0</v>
      </c>
      <c r="EF39">
        <f>CA40-Table2[[#This Row],[8F4 WH Light]]</f>
        <v>0</v>
      </c>
      <c r="EG39">
        <f>CC40-Table2[[#This Row],[9F1 - PDB 10 - WH Dock door &amp; Office]]</f>
        <v>0</v>
      </c>
      <c r="EH39">
        <f>CD40-Table2[[#This Row],[9F2 - PDB 11 - WH flycatchers]]</f>
        <v>0</v>
      </c>
      <c r="EI39">
        <f>CE40-Table2[[#This Row],[9F3 - PDB 12 - Other items]]</f>
        <v>0</v>
      </c>
      <c r="EJ39">
        <f>CR40-Table2[[#This Row],[2F3 - PDB 1 - Dock 1 to 4 ]]</f>
        <v>0</v>
      </c>
      <c r="EK39">
        <f>BM40-Table2[[#This Row],[2F2 - PDB 3 - WH Truck &amp; Battery Charging]]</f>
        <v>0</v>
      </c>
      <c r="EL39">
        <f>(CK40-Table2[[#This Row],[PDB - 11 Truck Charging]])*1000</f>
        <v>0</v>
      </c>
      <c r="EM39">
        <f>P40-Table2[[#This Row],[5F3 Admin Area]]</f>
        <v>0</v>
      </c>
      <c r="EN39">
        <f>AH40-Table2[[#This Row],[2F5 Main Gate-1 Piller -1]]</f>
        <v>0</v>
      </c>
      <c r="EO39">
        <f>CW40-Table2[[#This Row],[6F2 Ground Floor AC]]</f>
        <v>0</v>
      </c>
      <c r="EP39">
        <f>CX40-Table2[[#This Row],[6F3 ACBD -1 (First floor AC)]]</f>
        <v>0</v>
      </c>
      <c r="EQ39">
        <f>CY40-Table2[[#This Row],[6F4 ACBD - 2 (Second &amp; Third floor AC)]]</f>
        <v>0</v>
      </c>
      <c r="ER39">
        <f>(BC40-Table2[[#This Row],[4F Old BMC cooling Unit]])</f>
        <v>0</v>
      </c>
      <c r="ES39">
        <f>BO40-Table2[[#This Row],[2F4 - Old BMC]]</f>
        <v>0</v>
      </c>
      <c r="ET39">
        <f>Y40-Table2[[#This Row],[14F2 New CK]]</f>
        <v>0</v>
      </c>
      <c r="EU39">
        <f>(CL40-Table2[[#This Row],[OLD Ck Panel-1]])*1000</f>
        <v>0</v>
      </c>
      <c r="EV39">
        <f>CM40-Table2[[#This Row],[2F4 Old CK Blast (Blue star)]]</f>
        <v>0</v>
      </c>
      <c r="EW39">
        <f>CN40-Table2[[#This Row],[3F6 Old CK Blast (Carrier)]]</f>
        <v>0</v>
      </c>
      <c r="EX39">
        <f>(CO40-Table2[[#This Row],[Old CK Panel -2]])*1000</f>
        <v>0</v>
      </c>
      <c r="EY39">
        <f>N40-Table2[[#This Row],[4F1 Main UPS 1/C -1]]</f>
        <v>0</v>
      </c>
      <c r="EZ39">
        <f>Z40-Table2[[#This Row],[15F1 Main UPS Panel - I/C - 2]]</f>
        <v>0</v>
      </c>
      <c r="FA39">
        <f>BF40-Table2[[#This Row],[2F CLC -1 AC unit - 2]]</f>
        <v>0</v>
      </c>
      <c r="FB39">
        <f>(BG40-Table2[[#This Row],[2F CLC Anti room]])*1000</f>
        <v>0</v>
      </c>
      <c r="FC39">
        <f>BW40-Table2[[#This Row],[7F3 CLC Power Panel]]</f>
        <v>0</v>
      </c>
      <c r="FD39">
        <f>(CI40-Table2[[#This Row],[PDB - 17 CLC Section ]])*1000</f>
        <v>0</v>
      </c>
      <c r="FE39">
        <f>(W40-Table2[[#This Row],[13F3 Water &amp; Lift Old CK]])*1000</f>
        <v>0</v>
      </c>
      <c r="FF39">
        <f>AA40-Table2[[#This Row],[15F2 New ETP Panel]]</f>
        <v>0</v>
      </c>
      <c r="FG39">
        <f>AL40-Table2[[#This Row],[3F4 Old ETP Panel]]</f>
        <v>0</v>
      </c>
      <c r="FH39">
        <f>AF40-Table2[[#This Row],[2F1 RO Plant]]</f>
        <v>0</v>
      </c>
      <c r="FI39">
        <f>AK40-Table2[[#This Row],[3F3 Fire Hydrant Panel]]</f>
        <v>0</v>
      </c>
      <c r="FJ39">
        <f>R40-Table2[[#This Row],[7F1 Freon System Panel]]</f>
        <v>0</v>
      </c>
      <c r="FK39">
        <f>(AE40-Table2[[#This Row],[21F1 Refrigeration Ammonia]])*1000</f>
        <v>0</v>
      </c>
      <c r="FL39">
        <f>(AG40-Table2[[#This Row],[2F3 Air Compressor]])*1000</f>
        <v>0</v>
      </c>
      <c r="FM39">
        <f>(AX40-Table2[[#This Row],[Solar Reading Panel II]])*1000</f>
        <v>0</v>
      </c>
      <c r="FN39">
        <f>AI40-Table2[[#This Row],[3F1 Maintenance Workshop]]</f>
        <v>0</v>
      </c>
      <c r="FO39">
        <f>BD40-Table2[[#This Row],[4F B2B unit ]]</f>
        <v>0</v>
      </c>
      <c r="FP39">
        <f>BL40-Table2[[#This Row],[2F1 - PDB 6 - Bread, B2B section]]</f>
        <v>0</v>
      </c>
      <c r="FQ39">
        <f>(CG40-Table2[[#This Row],[9F5 - PDB 14 - Bread Lift]])</f>
        <v>0</v>
      </c>
      <c r="FR39">
        <f>CJ40-Table2[[#This Row],[PDB - 16 Bread Section]]</f>
        <v>0</v>
      </c>
      <c r="FS39">
        <f>BU40-Table2[[#This Row],[7F1 Donut Production area]]</f>
        <v>0</v>
      </c>
      <c r="FT39">
        <f>CB40-Table2[[#This Row],[8F5 Donut Ban Bary]]</f>
        <v>0</v>
      </c>
      <c r="FU39">
        <f>CF40-Table2[[#This Row],[9F4 - PDB 13 - Donut Sink Geyser area]]</f>
        <v>0</v>
      </c>
      <c r="FV39">
        <f>BV40-Table2[[#This Row],[7F2 Flour Silo]]</f>
        <v>0</v>
      </c>
      <c r="FW39">
        <f>BY40-Table2[[#This Row],[8F2 ACPDB - 3 SILO Ventilation]]</f>
        <v>0</v>
      </c>
      <c r="FX39">
        <f>J40-Table2[[#This Row],[DG 1010KVA Running Hours]]</f>
        <v>0</v>
      </c>
      <c r="FY39">
        <f>K40-Table2[[#This Row],[DG 1010 KVA Meter Reading]]</f>
        <v>0</v>
      </c>
      <c r="FZ39">
        <f>L40-Table2[[#This Row],[GG 1010 KVA Running Hours]]</f>
        <v>0</v>
      </c>
      <c r="GA39">
        <f>M40-Table2[[#This Row],[GG 1010 KVA Meter Reading]]</f>
        <v>0</v>
      </c>
    </row>
    <row r="40" spans="1:183" x14ac:dyDescent="0.35">
      <c r="A40" s="1"/>
      <c r="B40" s="2"/>
      <c r="C40" s="2"/>
      <c r="D40" s="1"/>
      <c r="E40" s="1"/>
      <c r="F40" s="1"/>
      <c r="G40" s="3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4">
        <f>Table2[[#This Row],[Date]]</f>
        <v>0</v>
      </c>
      <c r="DI40">
        <f>(DD41-Table2[[#This Row],[MWH Total]])*4000</f>
        <v>0</v>
      </c>
      <c r="DJ40">
        <f>(DA41-Table2[[#This Row],[PNG Meter (Outside)]])*2.936</f>
        <v>0</v>
      </c>
      <c r="DK40">
        <f>(DB41-Table2[[#This Row],[PNG Meter (Inside)]])*2.936</f>
        <v>0</v>
      </c>
      <c r="DL40">
        <f>(BH41-Table2[[#This Row],[3F Dough cooler - 2 ]])*1000</f>
        <v>0</v>
      </c>
      <c r="DM40">
        <f>(BI41-Table2[[#This Row],[3F Dough Cooler- 1]])*1000</f>
        <v>0</v>
      </c>
      <c r="DN40">
        <f>(BJ41-Table2[[#This Row],[4F Dough Production cooling Unit]])*1000</f>
        <v>0</v>
      </c>
      <c r="DO40">
        <f>(BQ41-Table2[[#This Row],[3F2 - PDB 3 - Dough Production Area]])*1000</f>
        <v>0</v>
      </c>
      <c r="DP40">
        <f>(BR41-Table2[[#This Row],[3F3 - PDB 4 - Dough Area]])*1000</f>
        <v>0</v>
      </c>
      <c r="DQ40">
        <f>AC41-Table2[[#This Row],[16F1 Tray washer Panel for Light]]</f>
        <v>0</v>
      </c>
      <c r="DR40">
        <f>CQ41-Table2[[#This Row],[2F1 Tray Washer - 1]]</f>
        <v>0</v>
      </c>
      <c r="DS40">
        <f>CS41-Table2[[#This Row],[2F5 Destacker]]</f>
        <v>0</v>
      </c>
      <c r="DT40">
        <f>CU41-Table2[[#This Row],[5F1 Metering (TW-2)]]</f>
        <v>0</v>
      </c>
      <c r="DU40">
        <f>CV41-Table2[[#This Row],[6F1 Pre soaker Tray washer]]</f>
        <v>0</v>
      </c>
      <c r="DV40">
        <f>CZ41-Table2[[#This Row],[6F5 Vent tray Storage]]</f>
        <v>0</v>
      </c>
      <c r="DW40">
        <f>I41-Table2[[#This Row],[Popeyes Meter ]]</f>
        <v>0</v>
      </c>
      <c r="DX40">
        <f>AZ41-Table2[[#This Row],[2F WH Chiller, Segregation Area]]</f>
        <v>0</v>
      </c>
      <c r="DY40">
        <f>BA41-Table2[[#This Row],[3F1 AC Unit WH dock cooling - 2 Nos]]</f>
        <v>0</v>
      </c>
      <c r="DZ40">
        <f>BB41-Table2[[#This Row],[3F2 AC Unit WH dock cooling - 3 Nos]]</f>
        <v>0</v>
      </c>
      <c r="EA40">
        <f>(BK41-Table2[[#This Row],[5F WH Perishable]])*1000</f>
        <v>0</v>
      </c>
      <c r="EB40">
        <f>BN41-Table2[[#This Row],[2F3 - PDB 9 - WH Dock Leveler Door ]]</f>
        <v>0</v>
      </c>
      <c r="EC40">
        <f>BP41-Table2[[#This Row],[3F1 - PDB 5 - WH HSD]]</f>
        <v>0</v>
      </c>
      <c r="ED40">
        <f>BX41-Table2[[#This Row],[8F1 WH Dock AHU - Ventilation]]</f>
        <v>0</v>
      </c>
      <c r="EE40">
        <f>BZ41-Table2[[#This Row],[8F3 ACPDB - 4 WH Dock air curtain]]</f>
        <v>0</v>
      </c>
      <c r="EF40">
        <f>CA41-Table2[[#This Row],[8F4 WH Light]]</f>
        <v>0</v>
      </c>
      <c r="EG40">
        <f>CC41-Table2[[#This Row],[9F1 - PDB 10 - WH Dock door &amp; Office]]</f>
        <v>0</v>
      </c>
      <c r="EH40">
        <f>CD41-Table2[[#This Row],[9F2 - PDB 11 - WH flycatchers]]</f>
        <v>0</v>
      </c>
      <c r="EI40">
        <f>CE41-Table2[[#This Row],[9F3 - PDB 12 - Other items]]</f>
        <v>0</v>
      </c>
      <c r="EJ40">
        <f>CR41-Table2[[#This Row],[2F3 - PDB 1 - Dock 1 to 4 ]]</f>
        <v>0</v>
      </c>
      <c r="EK40">
        <f>BM41-Table2[[#This Row],[2F2 - PDB 3 - WH Truck &amp; Battery Charging]]</f>
        <v>0</v>
      </c>
      <c r="EL40">
        <f>(CK41-Table2[[#This Row],[PDB - 11 Truck Charging]])*1000</f>
        <v>0</v>
      </c>
      <c r="EM40">
        <f>P41-Table2[[#This Row],[5F3 Admin Area]]</f>
        <v>0</v>
      </c>
      <c r="EN40">
        <f>AH41-Table2[[#This Row],[2F5 Main Gate-1 Piller -1]]</f>
        <v>0</v>
      </c>
      <c r="EO40">
        <f>CW41-Table2[[#This Row],[6F2 Ground Floor AC]]</f>
        <v>0</v>
      </c>
      <c r="EP40">
        <f>CX41-Table2[[#This Row],[6F3 ACBD -1 (First floor AC)]]</f>
        <v>0</v>
      </c>
      <c r="EQ40">
        <f>CY41-Table2[[#This Row],[6F4 ACBD - 2 (Second &amp; Third floor AC)]]</f>
        <v>0</v>
      </c>
      <c r="ER40">
        <f>(BC41-Table2[[#This Row],[4F Old BMC cooling Unit]])</f>
        <v>0</v>
      </c>
      <c r="ES40">
        <f>BO41-Table2[[#This Row],[2F4 - Old BMC]]</f>
        <v>0</v>
      </c>
      <c r="ET40">
        <f>Y41-Table2[[#This Row],[14F2 New CK]]</f>
        <v>0</v>
      </c>
      <c r="EU40">
        <f>(CL41-Table2[[#This Row],[OLD Ck Panel-1]])*1000</f>
        <v>0</v>
      </c>
      <c r="EV40">
        <f>CM41-Table2[[#This Row],[2F4 Old CK Blast (Blue star)]]</f>
        <v>0</v>
      </c>
      <c r="EW40">
        <f>CN41-Table2[[#This Row],[3F6 Old CK Blast (Carrier)]]</f>
        <v>0</v>
      </c>
      <c r="EX40">
        <f>(CO41-Table2[[#This Row],[Old CK Panel -2]])*1000</f>
        <v>0</v>
      </c>
      <c r="EY40">
        <f>N41-Table2[[#This Row],[4F1 Main UPS 1/C -1]]</f>
        <v>0</v>
      </c>
      <c r="EZ40">
        <f>Z41-Table2[[#This Row],[15F1 Main UPS Panel - I/C - 2]]</f>
        <v>0</v>
      </c>
      <c r="FA40">
        <f>BF41-Table2[[#This Row],[2F CLC -1 AC unit - 2]]</f>
        <v>0</v>
      </c>
      <c r="FB40">
        <f>(BG41-Table2[[#This Row],[2F CLC Anti room]])*1000</f>
        <v>0</v>
      </c>
      <c r="FC40">
        <f>BW41-Table2[[#This Row],[7F3 CLC Power Panel]]</f>
        <v>0</v>
      </c>
      <c r="FD40">
        <f>(CI41-Table2[[#This Row],[PDB - 17 CLC Section ]])*1000</f>
        <v>0</v>
      </c>
      <c r="FE40">
        <f>(W41-Table2[[#This Row],[13F3 Water &amp; Lift Old CK]])*1000</f>
        <v>0</v>
      </c>
      <c r="FF40">
        <f>AA41-Table2[[#This Row],[15F2 New ETP Panel]]</f>
        <v>0</v>
      </c>
      <c r="FG40">
        <f>AL41-Table2[[#This Row],[3F4 Old ETP Panel]]</f>
        <v>0</v>
      </c>
      <c r="FH40">
        <f>AF41-Table2[[#This Row],[2F1 RO Plant]]</f>
        <v>0</v>
      </c>
      <c r="FI40">
        <f>AK41-Table2[[#This Row],[3F3 Fire Hydrant Panel]]</f>
        <v>0</v>
      </c>
      <c r="FJ40">
        <f>R41-Table2[[#This Row],[7F1 Freon System Panel]]</f>
        <v>0</v>
      </c>
      <c r="FK40">
        <f>(AE41-Table2[[#This Row],[21F1 Refrigeration Ammonia]])*1000</f>
        <v>0</v>
      </c>
      <c r="FL40">
        <f>(AG41-Table2[[#This Row],[2F3 Air Compressor]])*1000</f>
        <v>0</v>
      </c>
      <c r="FM40">
        <f>(AX41-Table2[[#This Row],[Solar Reading Panel II]])*1000</f>
        <v>0</v>
      </c>
      <c r="FN40">
        <f>AI41-Table2[[#This Row],[3F1 Maintenance Workshop]]</f>
        <v>0</v>
      </c>
      <c r="FO40">
        <f>BD41-Table2[[#This Row],[4F B2B unit ]]</f>
        <v>0</v>
      </c>
      <c r="FP40">
        <f>BL41-Table2[[#This Row],[2F1 - PDB 6 - Bread, B2B section]]</f>
        <v>0</v>
      </c>
      <c r="FQ40">
        <f>(CG41-Table2[[#This Row],[9F5 - PDB 14 - Bread Lift]])</f>
        <v>0</v>
      </c>
      <c r="FR40">
        <f>CJ41-Table2[[#This Row],[PDB - 16 Bread Section]]</f>
        <v>0</v>
      </c>
      <c r="FS40">
        <f>BU41-Table2[[#This Row],[7F1 Donut Production area]]</f>
        <v>0</v>
      </c>
      <c r="FT40">
        <f>CB41-Table2[[#This Row],[8F5 Donut Ban Bary]]</f>
        <v>0</v>
      </c>
      <c r="FU40">
        <f>CF41-Table2[[#This Row],[9F4 - PDB 13 - Donut Sink Geyser area]]</f>
        <v>0</v>
      </c>
      <c r="FV40">
        <f>BV41-Table2[[#This Row],[7F2 Flour Silo]]</f>
        <v>0</v>
      </c>
      <c r="FW40">
        <f>BY41-Table2[[#This Row],[8F2 ACPDB - 3 SILO Ventilation]]</f>
        <v>0</v>
      </c>
      <c r="FX40">
        <f>J41-Table2[[#This Row],[DG 1010KVA Running Hours]]</f>
        <v>0</v>
      </c>
      <c r="FY40">
        <f>K41-Table2[[#This Row],[DG 1010 KVA Meter Reading]]</f>
        <v>0</v>
      </c>
      <c r="FZ40">
        <f>L41-Table2[[#This Row],[GG 1010 KVA Running Hours]]</f>
        <v>0</v>
      </c>
      <c r="GA40">
        <f>M41-Table2[[#This Row],[GG 1010 KVA Meter Reading]]</f>
        <v>0</v>
      </c>
    </row>
    <row r="41" spans="1:183" x14ac:dyDescent="0.35">
      <c r="A41" s="1"/>
      <c r="B41" s="2"/>
      <c r="C41" s="2"/>
      <c r="D41" s="1"/>
      <c r="E41" s="1"/>
      <c r="F41" s="1"/>
      <c r="G41" s="3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4"/>
    </row>
    <row r="42" spans="1:183" x14ac:dyDescent="0.35">
      <c r="A42" s="1"/>
      <c r="B42" s="2"/>
      <c r="C42" s="2"/>
      <c r="D42" s="1"/>
      <c r="E42" s="1"/>
      <c r="F42" s="1"/>
      <c r="G42" s="3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4"/>
    </row>
    <row r="43" spans="1:183" x14ac:dyDescent="0.35">
      <c r="A43" s="1"/>
      <c r="B43" s="2"/>
      <c r="C43" s="2"/>
      <c r="D43" s="1"/>
      <c r="E43" s="1"/>
      <c r="F43" s="1"/>
      <c r="G43" s="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4"/>
    </row>
    <row r="44" spans="1:183" x14ac:dyDescent="0.35">
      <c r="A44" s="1"/>
      <c r="B44" s="2"/>
      <c r="C44" s="2"/>
      <c r="D44" s="1"/>
      <c r="E44" s="1"/>
      <c r="F44" s="1"/>
      <c r="G44" s="3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4"/>
    </row>
    <row r="45" spans="1:183" x14ac:dyDescent="0.35">
      <c r="A45" s="1"/>
      <c r="B45" s="2"/>
      <c r="C45" s="2"/>
      <c r="D45" s="1"/>
      <c r="E45" s="1"/>
      <c r="F45" s="1"/>
      <c r="G45" s="3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4"/>
    </row>
    <row r="46" spans="1:183" x14ac:dyDescent="0.35">
      <c r="A46" s="1"/>
      <c r="B46" s="2"/>
      <c r="C46" s="2"/>
      <c r="D46" s="1"/>
      <c r="E46" s="1"/>
      <c r="F46" s="1"/>
      <c r="G46" s="3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4"/>
    </row>
    <row r="47" spans="1:183" x14ac:dyDescent="0.35">
      <c r="A47" s="1"/>
      <c r="B47" s="2"/>
      <c r="C47" s="2"/>
      <c r="D47" s="1"/>
      <c r="E47" s="1"/>
      <c r="F47" s="1"/>
      <c r="G47" s="3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4"/>
    </row>
    <row r="48" spans="1:183" x14ac:dyDescent="0.35">
      <c r="A48" s="1"/>
      <c r="B48" s="2"/>
      <c r="C48" s="2"/>
      <c r="D48" s="1"/>
      <c r="E48" s="1"/>
      <c r="F48" s="1"/>
      <c r="G48" s="3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4"/>
    </row>
    <row r="49" spans="1:112" x14ac:dyDescent="0.35">
      <c r="A49" s="1"/>
      <c r="B49" s="2"/>
      <c r="C49" s="2"/>
      <c r="D49" s="1"/>
      <c r="E49" s="1"/>
      <c r="F49" s="1"/>
      <c r="G49" s="3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4"/>
    </row>
    <row r="50" spans="1:112" x14ac:dyDescent="0.35">
      <c r="A50" s="1"/>
      <c r="B50" s="2"/>
      <c r="C50" s="2"/>
      <c r="D50" s="1"/>
      <c r="E50" s="1"/>
      <c r="F50" s="1"/>
      <c r="G50" s="3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4"/>
    </row>
    <row r="51" spans="1:112" x14ac:dyDescent="0.35">
      <c r="A51" s="1"/>
      <c r="B51" s="2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topLeftCell="I1" zoomScale="76" workbookViewId="0">
      <pane ySplit="9" topLeftCell="A35" activePane="bottomLeft" state="frozen"/>
      <selection pane="bottomLeft" activeCell="W41" sqref="W41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11418.100000000035</v>
      </c>
      <c r="M8" s="43">
        <f t="shared" ref="M8:X8" si="0">SUBTOTAL(9,M10:M11152)</f>
        <v>-218938.6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17001.999999999942</v>
      </c>
      <c r="R8" s="43">
        <f t="shared" si="0"/>
        <v>-306669.19999999995</v>
      </c>
      <c r="S8" s="43">
        <f t="shared" si="0"/>
        <v>-702622.9</v>
      </c>
      <c r="T8" s="43">
        <f t="shared" si="0"/>
        <v>-1418815</v>
      </c>
      <c r="U8" s="43">
        <f t="shared" si="0"/>
        <v>28420.099999999977</v>
      </c>
      <c r="V8" s="43">
        <f t="shared" si="0"/>
        <v>-525607.79999999993</v>
      </c>
      <c r="W8" s="43">
        <f t="shared" si="0"/>
        <v>-745656.9</v>
      </c>
      <c r="X8" s="43">
        <f t="shared" si="0"/>
        <v>-2027049.9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506.19999999995343</v>
      </c>
      <c r="M25" s="46">
        <f t="shared" si="1"/>
        <v>0</v>
      </c>
      <c r="N25" s="46">
        <f t="shared" si="1"/>
        <v>369.40000000000146</v>
      </c>
      <c r="O25" s="46">
        <f t="shared" si="1"/>
        <v>377</v>
      </c>
      <c r="P25" s="46">
        <f t="shared" si="1"/>
        <v>232.69999999998254</v>
      </c>
      <c r="Q25" s="46">
        <f t="shared" si="1"/>
        <v>906.90000000002328</v>
      </c>
      <c r="R25" s="46">
        <f t="shared" si="1"/>
        <v>0</v>
      </c>
      <c r="S25" s="46">
        <f t="shared" si="1"/>
        <v>1093.4000000000233</v>
      </c>
      <c r="T25" s="46">
        <f t="shared" si="1"/>
        <v>1470</v>
      </c>
      <c r="U25" s="47">
        <f t="shared" si="4"/>
        <v>1413.0999999999767</v>
      </c>
      <c r="V25" s="47">
        <f t="shared" si="4"/>
        <v>0</v>
      </c>
      <c r="W25" s="47">
        <f t="shared" si="4"/>
        <v>1462.8000000000247</v>
      </c>
      <c r="X25" s="47">
        <f t="shared" si="2"/>
        <v>2079.6999999999825</v>
      </c>
    </row>
    <row r="26" spans="1:24" ht="20" customHeight="1" x14ac:dyDescent="0.35">
      <c r="A26" s="29" t="s">
        <v>231</v>
      </c>
      <c r="B26" s="30">
        <v>409337.59999999998</v>
      </c>
      <c r="C26" s="29" t="s">
        <v>179</v>
      </c>
      <c r="D26" s="31">
        <v>46431.5</v>
      </c>
      <c r="E26" s="31">
        <v>368763.4</v>
      </c>
      <c r="F26" s="31">
        <v>247709.3</v>
      </c>
      <c r="G26" s="31">
        <v>527526</v>
      </c>
      <c r="H26" s="32" t="s">
        <v>179</v>
      </c>
      <c r="I26" s="34">
        <v>714602.4</v>
      </c>
      <c r="J26" s="34">
        <v>1438327</v>
      </c>
      <c r="L26" s="46">
        <f t="shared" si="3"/>
        <v>523.80000000004657</v>
      </c>
      <c r="M26" s="46">
        <f t="shared" si="3"/>
        <v>0</v>
      </c>
      <c r="N26" s="46">
        <f t="shared" si="3"/>
        <v>368.90000000000146</v>
      </c>
      <c r="O26" s="46">
        <f t="shared" si="3"/>
        <v>376.09999999997672</v>
      </c>
      <c r="P26" s="46">
        <f t="shared" si="3"/>
        <v>232.40000000002328</v>
      </c>
      <c r="Q26" s="46">
        <f t="shared" si="3"/>
        <v>995</v>
      </c>
      <c r="R26" s="46">
        <f t="shared" si="3"/>
        <v>0</v>
      </c>
      <c r="S26" s="46">
        <f t="shared" si="3"/>
        <v>879.09999999997672</v>
      </c>
      <c r="T26" s="46">
        <f t="shared" si="3"/>
        <v>1454</v>
      </c>
      <c r="U26" s="47">
        <f t="shared" si="4"/>
        <v>1518.8000000000466</v>
      </c>
      <c r="V26" s="47">
        <f t="shared" si="4"/>
        <v>0</v>
      </c>
      <c r="W26" s="47">
        <f t="shared" si="4"/>
        <v>1247.9999999999782</v>
      </c>
      <c r="X26" s="47">
        <f t="shared" si="2"/>
        <v>2062.5</v>
      </c>
    </row>
    <row r="27" spans="1:24" ht="42.75" customHeight="1" x14ac:dyDescent="0.35">
      <c r="A27" s="37" t="s">
        <v>236</v>
      </c>
      <c r="B27" s="38">
        <v>409861.4</v>
      </c>
      <c r="C27" s="29" t="s">
        <v>179</v>
      </c>
      <c r="D27" s="39">
        <v>46800.4</v>
      </c>
      <c r="E27" s="39">
        <v>369139.5</v>
      </c>
      <c r="F27" s="39">
        <v>247941.7</v>
      </c>
      <c r="G27" s="39">
        <v>528521</v>
      </c>
      <c r="H27" s="40" t="s">
        <v>237</v>
      </c>
      <c r="I27" s="34">
        <v>715481.5</v>
      </c>
      <c r="J27" s="42">
        <v>1439781</v>
      </c>
      <c r="L27" s="46">
        <f t="shared" si="3"/>
        <v>485.09999999997672</v>
      </c>
      <c r="M27" s="46">
        <f t="shared" si="3"/>
        <v>0</v>
      </c>
      <c r="N27" s="46">
        <f t="shared" si="3"/>
        <v>234</v>
      </c>
      <c r="O27" s="46">
        <f t="shared" si="3"/>
        <v>353.09999999997672</v>
      </c>
      <c r="P27" s="46">
        <f t="shared" si="3"/>
        <v>221.29999999998836</v>
      </c>
      <c r="Q27" s="46">
        <f t="shared" si="3"/>
        <v>595.40000000002328</v>
      </c>
      <c r="R27" s="46">
        <f t="shared" si="3"/>
        <v>0</v>
      </c>
      <c r="S27" s="46">
        <f t="shared" si="3"/>
        <v>462.90000000002328</v>
      </c>
      <c r="T27" s="46">
        <f t="shared" si="3"/>
        <v>1401</v>
      </c>
      <c r="U27" s="47">
        <f t="shared" si="4"/>
        <v>1080.5</v>
      </c>
      <c r="V27" s="47">
        <f t="shared" si="4"/>
        <v>0</v>
      </c>
      <c r="W27" s="47">
        <f t="shared" si="4"/>
        <v>696.90000000002328</v>
      </c>
      <c r="X27" s="47">
        <f t="shared" si="2"/>
        <v>1975.3999999999651</v>
      </c>
    </row>
    <row r="28" spans="1:24" ht="20" customHeight="1" x14ac:dyDescent="0.35">
      <c r="A28" s="29" t="s">
        <v>238</v>
      </c>
      <c r="B28" s="30">
        <v>410346.5</v>
      </c>
      <c r="C28" s="29" t="s">
        <v>237</v>
      </c>
      <c r="D28" s="31">
        <v>47034.400000000001</v>
      </c>
      <c r="E28" s="31">
        <v>369492.6</v>
      </c>
      <c r="F28" s="31">
        <v>248163</v>
      </c>
      <c r="G28" s="31">
        <v>529116.4</v>
      </c>
      <c r="H28" s="32" t="s">
        <v>237</v>
      </c>
      <c r="I28" s="34">
        <v>715944.4</v>
      </c>
      <c r="J28" s="34">
        <v>1441182</v>
      </c>
      <c r="L28" s="46">
        <f t="shared" si="3"/>
        <v>507.70000000001164</v>
      </c>
      <c r="M28" s="46">
        <f t="shared" si="3"/>
        <v>0</v>
      </c>
      <c r="N28" s="46">
        <f t="shared" si="3"/>
        <v>256.5</v>
      </c>
      <c r="O28" s="46">
        <f t="shared" si="3"/>
        <v>374.70000000001164</v>
      </c>
      <c r="P28" s="46">
        <f t="shared" si="3"/>
        <v>231.20000000001164</v>
      </c>
      <c r="Q28" s="46">
        <f t="shared" si="3"/>
        <v>750.5</v>
      </c>
      <c r="R28" s="46">
        <f t="shared" si="3"/>
        <v>0</v>
      </c>
      <c r="S28" s="46">
        <f t="shared" si="3"/>
        <v>1008</v>
      </c>
      <c r="T28" s="46">
        <f t="shared" si="3"/>
        <v>1483</v>
      </c>
      <c r="U28" s="47">
        <f t="shared" si="4"/>
        <v>1258.2000000000116</v>
      </c>
      <c r="V28" s="47">
        <f t="shared" si="4"/>
        <v>0</v>
      </c>
      <c r="W28" s="47">
        <f t="shared" si="4"/>
        <v>1264.5</v>
      </c>
      <c r="X28" s="47">
        <f t="shared" si="2"/>
        <v>2088.9000000000233</v>
      </c>
    </row>
    <row r="29" spans="1:24" ht="20" customHeight="1" x14ac:dyDescent="0.35">
      <c r="A29" s="29" t="s">
        <v>239</v>
      </c>
      <c r="B29" s="30">
        <v>410854.2</v>
      </c>
      <c r="C29" s="29" t="s">
        <v>237</v>
      </c>
      <c r="D29" s="31">
        <v>47290.9</v>
      </c>
      <c r="E29" s="31">
        <v>369867.3</v>
      </c>
      <c r="F29" s="31">
        <v>248394.2</v>
      </c>
      <c r="G29" s="31">
        <v>529866.9</v>
      </c>
      <c r="H29" s="32"/>
      <c r="I29" s="34">
        <v>716952.4</v>
      </c>
      <c r="J29" s="34">
        <v>1442665</v>
      </c>
      <c r="L29" s="46">
        <f t="shared" si="3"/>
        <v>517.89999999996508</v>
      </c>
      <c r="M29" s="46">
        <f t="shared" si="3"/>
        <v>0</v>
      </c>
      <c r="N29" s="46">
        <f t="shared" si="3"/>
        <v>391.59999999999854</v>
      </c>
      <c r="O29" s="46">
        <f t="shared" si="3"/>
        <v>374.20000000001164</v>
      </c>
      <c r="P29" s="46">
        <f t="shared" si="3"/>
        <v>231.5</v>
      </c>
      <c r="Q29" s="46">
        <f t="shared" si="3"/>
        <v>636.90000000002328</v>
      </c>
      <c r="R29" s="46">
        <f t="shared" si="3"/>
        <v>0</v>
      </c>
      <c r="S29" s="46">
        <f t="shared" si="3"/>
        <v>1303.5999999999767</v>
      </c>
      <c r="T29" s="46">
        <f t="shared" si="3"/>
        <v>1471</v>
      </c>
      <c r="U29" s="47">
        <f t="shared" si="4"/>
        <v>1154.7999999999884</v>
      </c>
      <c r="V29" s="47">
        <f t="shared" si="4"/>
        <v>0</v>
      </c>
      <c r="W29" s="47">
        <f t="shared" si="4"/>
        <v>1695.1999999999753</v>
      </c>
      <c r="X29" s="47">
        <f t="shared" si="2"/>
        <v>2076.7000000000116</v>
      </c>
    </row>
    <row r="30" spans="1:24" ht="20" customHeight="1" x14ac:dyDescent="0.35">
      <c r="A30" s="29" t="s">
        <v>240</v>
      </c>
      <c r="B30" s="30">
        <v>411372.1</v>
      </c>
      <c r="C30" s="29" t="s">
        <v>237</v>
      </c>
      <c r="D30" s="31">
        <v>47682.5</v>
      </c>
      <c r="E30" s="31">
        <v>370241.5</v>
      </c>
      <c r="F30" s="31">
        <v>248625.7</v>
      </c>
      <c r="G30" s="31">
        <v>530503.80000000005</v>
      </c>
      <c r="H30" s="32"/>
      <c r="I30" s="34">
        <v>718256</v>
      </c>
      <c r="J30" s="34">
        <v>1444136</v>
      </c>
      <c r="L30" s="46">
        <f t="shared" si="3"/>
        <v>501.80000000004657</v>
      </c>
      <c r="M30" s="46">
        <f t="shared" si="3"/>
        <v>0</v>
      </c>
      <c r="N30" s="46">
        <f t="shared" si="3"/>
        <v>388.19999999999709</v>
      </c>
      <c r="O30" s="46">
        <f t="shared" si="3"/>
        <v>374.59999999997672</v>
      </c>
      <c r="P30" s="46">
        <f t="shared" si="3"/>
        <v>231.39999999999418</v>
      </c>
      <c r="Q30" s="46">
        <f t="shared" si="3"/>
        <v>539.69999999995343</v>
      </c>
      <c r="R30" s="46">
        <f t="shared" si="3"/>
        <v>0</v>
      </c>
      <c r="S30" s="46">
        <f t="shared" si="3"/>
        <v>1257.4000000000233</v>
      </c>
      <c r="T30" s="46">
        <f t="shared" si="3"/>
        <v>1686</v>
      </c>
      <c r="U30" s="47">
        <f t="shared" si="4"/>
        <v>1041.5</v>
      </c>
      <c r="V30" s="47">
        <f t="shared" si="4"/>
        <v>0</v>
      </c>
      <c r="W30" s="47">
        <f t="shared" si="4"/>
        <v>1645.6000000000204</v>
      </c>
      <c r="X30" s="47">
        <f t="shared" si="2"/>
        <v>2291.9999999999709</v>
      </c>
    </row>
    <row r="31" spans="1:24" ht="20" customHeight="1" x14ac:dyDescent="0.35">
      <c r="A31" s="29" t="s">
        <v>243</v>
      </c>
      <c r="B31" s="30">
        <v>411873.9</v>
      </c>
      <c r="C31" s="29" t="s">
        <v>237</v>
      </c>
      <c r="D31" s="31">
        <v>48070.7</v>
      </c>
      <c r="E31" s="31">
        <v>370616.1</v>
      </c>
      <c r="F31" s="31">
        <v>248857.1</v>
      </c>
      <c r="G31" s="31">
        <v>531043.5</v>
      </c>
      <c r="H31" s="32" t="s">
        <v>237</v>
      </c>
      <c r="I31" s="34">
        <v>719513.4</v>
      </c>
      <c r="J31" s="34">
        <v>1445822</v>
      </c>
      <c r="L31" s="46">
        <f t="shared" si="3"/>
        <v>510.09999999997672</v>
      </c>
      <c r="M31" s="46">
        <f t="shared" si="3"/>
        <v>0</v>
      </c>
      <c r="N31" s="46">
        <f t="shared" si="3"/>
        <v>378</v>
      </c>
      <c r="O31" s="46">
        <f t="shared" si="3"/>
        <v>374.20000000001164</v>
      </c>
      <c r="P31" s="46">
        <f t="shared" si="3"/>
        <v>231.5</v>
      </c>
      <c r="Q31" s="46">
        <f t="shared" si="3"/>
        <v>594.80000000004657</v>
      </c>
      <c r="R31" s="46">
        <f t="shared" si="3"/>
        <v>0</v>
      </c>
      <c r="S31" s="46">
        <f t="shared" si="3"/>
        <v>1268.5</v>
      </c>
      <c r="T31" s="46">
        <f t="shared" si="3"/>
        <v>1846</v>
      </c>
      <c r="U31" s="47">
        <f t="shared" si="4"/>
        <v>1104.9000000000233</v>
      </c>
      <c r="V31" s="47">
        <f t="shared" si="4"/>
        <v>0</v>
      </c>
      <c r="W31" s="47">
        <f t="shared" si="4"/>
        <v>1646.5</v>
      </c>
      <c r="X31" s="47">
        <f t="shared" si="2"/>
        <v>2451.7000000000116</v>
      </c>
    </row>
    <row r="32" spans="1:24" ht="20" customHeight="1" x14ac:dyDescent="0.35">
      <c r="A32" s="29" t="s">
        <v>244</v>
      </c>
      <c r="B32" s="30">
        <v>412384</v>
      </c>
      <c r="C32" s="29" t="s">
        <v>237</v>
      </c>
      <c r="D32" s="31">
        <v>48448.7</v>
      </c>
      <c r="E32" s="31">
        <v>370990.3</v>
      </c>
      <c r="F32" s="31">
        <v>249088.6</v>
      </c>
      <c r="G32" s="31">
        <v>531638.30000000005</v>
      </c>
      <c r="H32" s="32" t="s">
        <v>237</v>
      </c>
      <c r="I32" s="34">
        <v>720781.9</v>
      </c>
      <c r="J32" s="34">
        <v>1447668</v>
      </c>
      <c r="L32" s="46">
        <f t="shared" si="3"/>
        <v>523.5</v>
      </c>
      <c r="M32" s="46">
        <f t="shared" si="3"/>
        <v>0</v>
      </c>
      <c r="N32" s="46">
        <f t="shared" si="3"/>
        <v>376.20000000000437</v>
      </c>
      <c r="O32" s="46">
        <f t="shared" si="3"/>
        <v>374.40000000002328</v>
      </c>
      <c r="P32" s="46">
        <f t="shared" si="3"/>
        <v>231.60000000000582</v>
      </c>
      <c r="Q32" s="46">
        <f t="shared" si="3"/>
        <v>577.09999999997672</v>
      </c>
      <c r="R32" s="46">
        <f t="shared" si="3"/>
        <v>0</v>
      </c>
      <c r="S32" s="46">
        <f t="shared" si="3"/>
        <v>1218.5</v>
      </c>
      <c r="T32" s="46">
        <f t="shared" si="3"/>
        <v>1849</v>
      </c>
      <c r="U32" s="47">
        <f t="shared" si="4"/>
        <v>1100.5999999999767</v>
      </c>
      <c r="V32" s="47">
        <f t="shared" si="4"/>
        <v>0</v>
      </c>
      <c r="W32" s="47">
        <f t="shared" si="4"/>
        <v>1594.7000000000044</v>
      </c>
      <c r="X32" s="47">
        <f t="shared" si="2"/>
        <v>2455.0000000000291</v>
      </c>
    </row>
    <row r="33" spans="1:24" ht="20" customHeight="1" x14ac:dyDescent="0.35">
      <c r="A33" s="29" t="s">
        <v>249</v>
      </c>
      <c r="B33" s="30">
        <v>412907.5</v>
      </c>
      <c r="C33" s="29" t="s">
        <v>237</v>
      </c>
      <c r="D33" s="31">
        <v>48824.9</v>
      </c>
      <c r="E33" s="31">
        <v>371364.7</v>
      </c>
      <c r="F33" s="31">
        <v>249320.2</v>
      </c>
      <c r="G33" s="31">
        <v>532215.4</v>
      </c>
      <c r="H33" s="32" t="s">
        <v>237</v>
      </c>
      <c r="I33" s="34">
        <v>722000.4</v>
      </c>
      <c r="J33" s="34">
        <v>1449517</v>
      </c>
      <c r="L33" s="46">
        <f t="shared" si="3"/>
        <v>506.79999999998836</v>
      </c>
      <c r="M33" s="46">
        <f t="shared" si="3"/>
        <v>0</v>
      </c>
      <c r="N33" s="46">
        <f t="shared" si="3"/>
        <v>365.09999999999854</v>
      </c>
      <c r="O33" s="46">
        <f t="shared" si="3"/>
        <v>368.59999999997672</v>
      </c>
      <c r="P33" s="46">
        <f t="shared" si="3"/>
        <v>225.59999999997672</v>
      </c>
      <c r="Q33" s="46">
        <f t="shared" si="3"/>
        <v>513.19999999995343</v>
      </c>
      <c r="R33" s="46">
        <f t="shared" si="3"/>
        <v>0</v>
      </c>
      <c r="S33" s="46">
        <f t="shared" si="3"/>
        <v>1273.9000000000233</v>
      </c>
      <c r="T33" s="46">
        <f t="shared" si="3"/>
        <v>1766</v>
      </c>
      <c r="U33" s="47">
        <f t="shared" si="4"/>
        <v>1019.9999999999418</v>
      </c>
      <c r="V33" s="47">
        <f t="shared" si="4"/>
        <v>0</v>
      </c>
      <c r="W33" s="47">
        <f t="shared" si="4"/>
        <v>1639.0000000000218</v>
      </c>
      <c r="X33" s="47">
        <f t="shared" si="2"/>
        <v>2360.1999999999534</v>
      </c>
    </row>
    <row r="34" spans="1:24" ht="20" customHeight="1" x14ac:dyDescent="0.35">
      <c r="A34" s="29" t="s">
        <v>250</v>
      </c>
      <c r="B34" s="30">
        <v>413414.3</v>
      </c>
      <c r="C34" s="29" t="s">
        <v>237</v>
      </c>
      <c r="D34" s="31">
        <v>49190</v>
      </c>
      <c r="E34" s="31">
        <v>371733.3</v>
      </c>
      <c r="F34" s="31">
        <v>249545.8</v>
      </c>
      <c r="G34" s="31">
        <v>532728.6</v>
      </c>
      <c r="H34" s="32" t="s">
        <v>237</v>
      </c>
      <c r="I34" s="34">
        <v>723274.3</v>
      </c>
      <c r="J34" s="34">
        <v>1451283</v>
      </c>
      <c r="L34" s="46">
        <f t="shared" si="3"/>
        <v>493.90000000002328</v>
      </c>
      <c r="M34" s="46">
        <f t="shared" si="3"/>
        <v>0</v>
      </c>
      <c r="N34" s="46">
        <f t="shared" si="3"/>
        <v>323.19999999999709</v>
      </c>
      <c r="O34" s="46">
        <f t="shared" si="3"/>
        <v>368.40000000002328</v>
      </c>
      <c r="P34" s="46">
        <f t="shared" si="3"/>
        <v>224.20000000001164</v>
      </c>
      <c r="Q34" s="46">
        <f t="shared" si="3"/>
        <v>431.90000000002328</v>
      </c>
      <c r="R34" s="46">
        <f t="shared" si="3"/>
        <v>0</v>
      </c>
      <c r="S34" s="46">
        <f t="shared" si="3"/>
        <v>788.19999999995343</v>
      </c>
      <c r="T34" s="46">
        <f t="shared" si="3"/>
        <v>1746</v>
      </c>
      <c r="U34" s="47">
        <f t="shared" si="4"/>
        <v>925.80000000004657</v>
      </c>
      <c r="V34" s="47">
        <f t="shared" si="4"/>
        <v>0</v>
      </c>
      <c r="W34" s="47">
        <f t="shared" si="4"/>
        <v>1111.3999999999505</v>
      </c>
      <c r="X34" s="47">
        <f t="shared" si="2"/>
        <v>2338.6000000000349</v>
      </c>
    </row>
    <row r="35" spans="1:24" ht="20" customHeight="1" x14ac:dyDescent="0.35">
      <c r="A35" s="29" t="s">
        <v>251</v>
      </c>
      <c r="B35" s="30">
        <v>413908.2</v>
      </c>
      <c r="C35" s="29" t="s">
        <v>237</v>
      </c>
      <c r="D35" s="31">
        <v>49513.2</v>
      </c>
      <c r="E35" s="31">
        <v>372101.7</v>
      </c>
      <c r="F35" s="31">
        <v>249770</v>
      </c>
      <c r="G35" s="31">
        <v>533160.5</v>
      </c>
      <c r="H35" s="32" t="s">
        <v>237</v>
      </c>
      <c r="I35" s="34">
        <v>724062.5</v>
      </c>
      <c r="J35" s="34">
        <v>1453029</v>
      </c>
      <c r="L35" s="46">
        <f t="shared" si="3"/>
        <v>522.89999999996508</v>
      </c>
      <c r="M35" s="46">
        <f t="shared" si="3"/>
        <v>0</v>
      </c>
      <c r="N35" s="46">
        <f t="shared" si="3"/>
        <v>366.20000000000437</v>
      </c>
      <c r="O35" s="46">
        <f t="shared" si="3"/>
        <v>366.5</v>
      </c>
      <c r="P35" s="46">
        <f t="shared" si="3"/>
        <v>221.89999999999418</v>
      </c>
      <c r="Q35" s="46">
        <f t="shared" si="3"/>
        <v>646.40000000002328</v>
      </c>
      <c r="R35" s="46">
        <f t="shared" si="3"/>
        <v>0</v>
      </c>
      <c r="S35" s="46">
        <f t="shared" si="3"/>
        <v>1285.5999999999767</v>
      </c>
      <c r="T35" s="46">
        <f t="shared" si="3"/>
        <v>1723</v>
      </c>
      <c r="U35" s="47">
        <f t="shared" si="4"/>
        <v>1169.2999999999884</v>
      </c>
      <c r="V35" s="47">
        <f t="shared" si="4"/>
        <v>0</v>
      </c>
      <c r="W35" s="47">
        <f t="shared" si="4"/>
        <v>1651.7999999999811</v>
      </c>
      <c r="X35" s="47">
        <f t="shared" si="2"/>
        <v>2311.3999999999942</v>
      </c>
    </row>
    <row r="36" spans="1:24" ht="20" customHeight="1" x14ac:dyDescent="0.35">
      <c r="A36" s="29" t="s">
        <v>252</v>
      </c>
      <c r="B36" s="30">
        <v>414431.1</v>
      </c>
      <c r="C36" s="29" t="s">
        <v>237</v>
      </c>
      <c r="D36" s="31">
        <v>49879.4</v>
      </c>
      <c r="E36" s="31">
        <v>372468.2</v>
      </c>
      <c r="F36" s="31">
        <v>249991.9</v>
      </c>
      <c r="G36" s="31">
        <v>533806.9</v>
      </c>
      <c r="H36" s="32" t="s">
        <v>237</v>
      </c>
      <c r="I36" s="34">
        <v>725348.1</v>
      </c>
      <c r="J36" s="34">
        <v>1454752</v>
      </c>
      <c r="L36" s="46">
        <f t="shared" si="3"/>
        <v>511</v>
      </c>
      <c r="M36" s="46">
        <f t="shared" si="3"/>
        <v>0</v>
      </c>
      <c r="N36" s="46">
        <f t="shared" si="3"/>
        <v>317.09999999999854</v>
      </c>
      <c r="O36" s="46">
        <f t="shared" si="3"/>
        <v>354.29999999998836</v>
      </c>
      <c r="P36" s="46">
        <f t="shared" si="3"/>
        <v>213.5</v>
      </c>
      <c r="Q36" s="46">
        <f t="shared" si="3"/>
        <v>577.29999999993015</v>
      </c>
      <c r="R36" s="46">
        <f t="shared" si="3"/>
        <v>0</v>
      </c>
      <c r="S36" s="46">
        <f t="shared" si="3"/>
        <v>1221.9000000000233</v>
      </c>
      <c r="T36" s="46">
        <f t="shared" si="3"/>
        <v>1469</v>
      </c>
      <c r="U36" s="47">
        <f t="shared" si="4"/>
        <v>1088.2999999999302</v>
      </c>
      <c r="V36" s="47">
        <f t="shared" si="4"/>
        <v>0</v>
      </c>
      <c r="W36" s="47">
        <f t="shared" si="4"/>
        <v>1539.0000000000218</v>
      </c>
      <c r="X36" s="47">
        <f t="shared" si="2"/>
        <v>2036.7999999999884</v>
      </c>
    </row>
    <row r="37" spans="1:24" ht="20" customHeight="1" x14ac:dyDescent="0.35">
      <c r="A37" s="29" t="s">
        <v>259</v>
      </c>
      <c r="B37" s="30">
        <v>414942.1</v>
      </c>
      <c r="C37" s="29" t="s">
        <v>237</v>
      </c>
      <c r="D37" s="31">
        <v>50196.5</v>
      </c>
      <c r="E37" s="31">
        <v>372822.5</v>
      </c>
      <c r="F37" s="31">
        <v>250205.4</v>
      </c>
      <c r="G37" s="31">
        <v>534384.19999999995</v>
      </c>
      <c r="H37" s="32" t="s">
        <v>237</v>
      </c>
      <c r="I37" s="34">
        <v>726570</v>
      </c>
      <c r="J37" s="34">
        <v>1456221</v>
      </c>
      <c r="L37" s="46">
        <f t="shared" si="3"/>
        <v>510.60000000003492</v>
      </c>
      <c r="M37" s="46">
        <f t="shared" si="3"/>
        <v>0</v>
      </c>
      <c r="N37" s="46">
        <f t="shared" si="3"/>
        <v>370.30000000000291</v>
      </c>
      <c r="O37" s="46">
        <f t="shared" si="3"/>
        <v>364.90000000002328</v>
      </c>
      <c r="P37" s="46">
        <f t="shared" si="3"/>
        <v>219.89999999999418</v>
      </c>
      <c r="Q37" s="46">
        <f t="shared" si="3"/>
        <v>602.60000000009313</v>
      </c>
      <c r="R37" s="46">
        <f t="shared" si="3"/>
        <v>0</v>
      </c>
      <c r="S37" s="46">
        <f t="shared" si="3"/>
        <v>1281.9000000000233</v>
      </c>
      <c r="T37" s="46">
        <f t="shared" si="3"/>
        <v>1475</v>
      </c>
      <c r="U37" s="47">
        <f t="shared" si="4"/>
        <v>1113.2000000001281</v>
      </c>
      <c r="V37" s="47">
        <f t="shared" si="4"/>
        <v>0</v>
      </c>
      <c r="W37" s="47">
        <f t="shared" si="4"/>
        <v>1652.2000000000262</v>
      </c>
      <c r="X37" s="47">
        <f t="shared" si="2"/>
        <v>2059.8000000000175</v>
      </c>
    </row>
    <row r="38" spans="1:24" ht="20" customHeight="1" x14ac:dyDescent="0.35">
      <c r="A38" s="29" t="s">
        <v>260</v>
      </c>
      <c r="B38" s="30">
        <v>415452.7</v>
      </c>
      <c r="C38" s="29" t="s">
        <v>237</v>
      </c>
      <c r="D38" s="31">
        <v>50566.8</v>
      </c>
      <c r="E38" s="31">
        <v>373187.4</v>
      </c>
      <c r="F38" s="31">
        <v>250425.3</v>
      </c>
      <c r="G38" s="31">
        <v>534986.80000000005</v>
      </c>
      <c r="H38" s="32" t="s">
        <v>237</v>
      </c>
      <c r="I38" s="34">
        <v>727851.9</v>
      </c>
      <c r="J38" s="34">
        <v>1457696</v>
      </c>
      <c r="L38" s="46">
        <f t="shared" si="3"/>
        <v>517.09999999997672</v>
      </c>
      <c r="M38" s="46">
        <f t="shared" si="3"/>
        <v>0</v>
      </c>
      <c r="N38" s="46">
        <f t="shared" si="3"/>
        <v>368.39999999999418</v>
      </c>
      <c r="O38" s="46">
        <f t="shared" si="3"/>
        <v>366.89999999996508</v>
      </c>
      <c r="P38" s="46">
        <f t="shared" si="3"/>
        <v>222.20000000001164</v>
      </c>
      <c r="Q38" s="46">
        <f t="shared" si="3"/>
        <v>615</v>
      </c>
      <c r="R38" s="46">
        <f t="shared" si="3"/>
        <v>0</v>
      </c>
      <c r="S38" s="46">
        <f t="shared" si="3"/>
        <v>1256.1999999999534</v>
      </c>
      <c r="T38" s="46">
        <f t="shared" si="3"/>
        <v>1683</v>
      </c>
      <c r="U38" s="47">
        <f t="shared" si="4"/>
        <v>1132.0999999999767</v>
      </c>
      <c r="V38" s="47">
        <f t="shared" si="4"/>
        <v>0</v>
      </c>
      <c r="W38" s="47">
        <f t="shared" si="4"/>
        <v>1624.5999999999476</v>
      </c>
      <c r="X38" s="47">
        <f t="shared" si="2"/>
        <v>2272.0999999999767</v>
      </c>
    </row>
    <row r="39" spans="1:24" ht="20" customHeight="1" x14ac:dyDescent="0.35">
      <c r="A39" s="29" t="s">
        <v>261</v>
      </c>
      <c r="B39" s="30">
        <v>415969.8</v>
      </c>
      <c r="C39" s="29" t="s">
        <v>237</v>
      </c>
      <c r="D39" s="31">
        <v>50935.199999999997</v>
      </c>
      <c r="E39" s="31">
        <v>373554.3</v>
      </c>
      <c r="F39" s="31">
        <v>250647.5</v>
      </c>
      <c r="G39" s="31">
        <v>535601.80000000005</v>
      </c>
      <c r="H39" s="32" t="s">
        <v>237</v>
      </c>
      <c r="I39" s="34">
        <v>729108.1</v>
      </c>
      <c r="J39" s="34">
        <v>1459379</v>
      </c>
      <c r="L39" s="46">
        <f t="shared" si="3"/>
        <v>371.60000000003492</v>
      </c>
      <c r="M39" s="46">
        <f t="shared" si="3"/>
        <v>0</v>
      </c>
      <c r="N39" s="46">
        <f t="shared" si="3"/>
        <v>376.30000000000291</v>
      </c>
      <c r="O39" s="46">
        <f t="shared" si="3"/>
        <v>376</v>
      </c>
      <c r="P39" s="46">
        <f t="shared" si="3"/>
        <v>232.10000000000582</v>
      </c>
      <c r="Q39" s="46">
        <f t="shared" si="3"/>
        <v>363.89999999990687</v>
      </c>
      <c r="R39" s="46">
        <f t="shared" si="3"/>
        <v>0</v>
      </c>
      <c r="S39" s="46">
        <f t="shared" si="3"/>
        <v>1369.5</v>
      </c>
      <c r="T39" s="46">
        <f t="shared" si="3"/>
        <v>1882</v>
      </c>
      <c r="U39" s="47">
        <f t="shared" si="4"/>
        <v>735.49999999994179</v>
      </c>
      <c r="V39" s="47">
        <f t="shared" si="4"/>
        <v>0</v>
      </c>
      <c r="W39" s="47">
        <f t="shared" si="4"/>
        <v>1745.8000000000029</v>
      </c>
      <c r="X39" s="47">
        <f t="shared" si="2"/>
        <v>2490.1000000000058</v>
      </c>
    </row>
    <row r="40" spans="1:24" ht="20" customHeight="1" x14ac:dyDescent="0.35">
      <c r="A40" s="29" t="s">
        <v>262</v>
      </c>
      <c r="B40" s="30">
        <v>416341.4</v>
      </c>
      <c r="C40" s="29" t="s">
        <v>237</v>
      </c>
      <c r="D40" s="31">
        <v>51311.5</v>
      </c>
      <c r="E40" s="31">
        <v>373930.3</v>
      </c>
      <c r="F40" s="31">
        <v>250879.6</v>
      </c>
      <c r="G40" s="31">
        <v>535965.69999999995</v>
      </c>
      <c r="H40" s="32" t="s">
        <v>237</v>
      </c>
      <c r="I40" s="34">
        <v>730477.6</v>
      </c>
      <c r="J40" s="34">
        <v>1461261</v>
      </c>
      <c r="L40" s="46">
        <f t="shared" si="3"/>
        <v>73.299999999988358</v>
      </c>
      <c r="M40" s="46">
        <f t="shared" si="3"/>
        <v>0</v>
      </c>
      <c r="N40" s="46">
        <f t="shared" si="3"/>
        <v>361.59999999999854</v>
      </c>
      <c r="O40" s="46">
        <f t="shared" si="3"/>
        <v>366.90000000002328</v>
      </c>
      <c r="P40" s="46">
        <f t="shared" si="3"/>
        <v>222.19999999998254</v>
      </c>
      <c r="Q40" s="46">
        <f t="shared" si="3"/>
        <v>19.900000000023283</v>
      </c>
      <c r="R40" s="46">
        <f t="shared" si="3"/>
        <v>0</v>
      </c>
      <c r="S40" s="46">
        <f t="shared" si="3"/>
        <v>1013</v>
      </c>
      <c r="T40" s="46">
        <f t="shared" si="3"/>
        <v>1641</v>
      </c>
      <c r="U40" s="47">
        <f t="shared" si="4"/>
        <v>93.200000000011642</v>
      </c>
      <c r="V40" s="47">
        <f t="shared" si="4"/>
        <v>0</v>
      </c>
      <c r="W40" s="47">
        <f t="shared" si="4"/>
        <v>1374.5999999999985</v>
      </c>
      <c r="X40" s="47">
        <f t="shared" si="2"/>
        <v>2230.1000000000058</v>
      </c>
    </row>
    <row r="41" spans="1:24" ht="20" customHeight="1" x14ac:dyDescent="0.35">
      <c r="A41" s="29" t="s">
        <v>263</v>
      </c>
      <c r="B41" s="30">
        <v>416414.7</v>
      </c>
      <c r="C41" s="29">
        <v>219312.7</v>
      </c>
      <c r="D41" s="31">
        <v>51673.1</v>
      </c>
      <c r="E41" s="31">
        <v>374297.2</v>
      </c>
      <c r="F41" s="31">
        <v>251101.8</v>
      </c>
      <c r="G41" s="31">
        <v>535985.6</v>
      </c>
      <c r="H41" s="32">
        <v>307466.7</v>
      </c>
      <c r="I41" s="34">
        <v>731490.6</v>
      </c>
      <c r="J41" s="34">
        <v>1462902</v>
      </c>
      <c r="L41" s="46">
        <f t="shared" si="3"/>
        <v>0</v>
      </c>
      <c r="M41" s="46">
        <f t="shared" si="3"/>
        <v>408.59999999997672</v>
      </c>
      <c r="N41" s="46">
        <f t="shared" si="3"/>
        <v>178.59999999999854</v>
      </c>
      <c r="O41" s="46">
        <f t="shared" si="3"/>
        <v>355</v>
      </c>
      <c r="P41" s="46">
        <f t="shared" si="3"/>
        <v>216.5</v>
      </c>
      <c r="Q41" s="46">
        <f t="shared" si="3"/>
        <v>0</v>
      </c>
      <c r="R41" s="46">
        <f t="shared" si="3"/>
        <v>522.59999999997672</v>
      </c>
      <c r="S41" s="46">
        <f t="shared" si="3"/>
        <v>554.90000000002328</v>
      </c>
      <c r="T41" s="46">
        <f t="shared" si="3"/>
        <v>1553</v>
      </c>
      <c r="U41" s="47">
        <f t="shared" si="4"/>
        <v>0</v>
      </c>
      <c r="V41" s="47">
        <f t="shared" si="4"/>
        <v>931.19999999995343</v>
      </c>
      <c r="W41" s="47">
        <f t="shared" si="4"/>
        <v>733.50000000002183</v>
      </c>
      <c r="X41" s="47">
        <f t="shared" si="2"/>
        <v>2124.5</v>
      </c>
    </row>
    <row r="42" spans="1:24" ht="20" customHeight="1" x14ac:dyDescent="0.35">
      <c r="A42" s="29" t="s">
        <v>264</v>
      </c>
      <c r="B42" s="30" t="s">
        <v>237</v>
      </c>
      <c r="C42" s="29">
        <v>219721.3</v>
      </c>
      <c r="D42" s="31">
        <v>51851.7</v>
      </c>
      <c r="E42" s="31">
        <v>374652.2</v>
      </c>
      <c r="F42" s="31">
        <v>251318.3</v>
      </c>
      <c r="G42" s="31" t="s">
        <v>237</v>
      </c>
      <c r="H42" s="32">
        <v>307989.3</v>
      </c>
      <c r="I42" s="34">
        <v>732045.5</v>
      </c>
      <c r="J42" s="34">
        <v>1464455</v>
      </c>
      <c r="L42" s="46">
        <f t="shared" si="3"/>
        <v>0</v>
      </c>
      <c r="M42" s="46">
        <f t="shared" si="3"/>
        <v>-219721.3</v>
      </c>
      <c r="N42" s="46">
        <f t="shared" si="3"/>
        <v>-51851.7</v>
      </c>
      <c r="O42" s="46">
        <f t="shared" si="3"/>
        <v>-374652.2</v>
      </c>
      <c r="P42" s="46">
        <f t="shared" si="3"/>
        <v>-251318.3</v>
      </c>
      <c r="Q42" s="46">
        <f t="shared" si="3"/>
        <v>0</v>
      </c>
      <c r="R42" s="46">
        <f t="shared" si="3"/>
        <v>-307989.3</v>
      </c>
      <c r="S42" s="46">
        <f t="shared" si="3"/>
        <v>-732045.5</v>
      </c>
      <c r="T42" s="46">
        <f t="shared" si="3"/>
        <v>-1464455</v>
      </c>
      <c r="U42" s="47">
        <f t="shared" si="4"/>
        <v>0</v>
      </c>
      <c r="V42" s="47">
        <f t="shared" si="4"/>
        <v>-527710.6</v>
      </c>
      <c r="W42" s="47">
        <f t="shared" si="4"/>
        <v>-783897.2</v>
      </c>
      <c r="X42" s="47">
        <f t="shared" ref="X42:X73" si="5">O42+P42+T42</f>
        <v>-2090425.5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4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5"/>
        <v>0</v>
      </c>
    </row>
    <row r="44" spans="1:24" ht="20" customHeight="1" x14ac:dyDescent="0.35">
      <c r="A44" s="29"/>
      <c r="B44" s="30"/>
      <c r="C44" s="29"/>
      <c r="D44" s="31"/>
      <c r="E44" s="31"/>
      <c r="F44" s="31"/>
      <c r="G44" s="31"/>
      <c r="H44" s="32"/>
      <c r="I44" s="34"/>
      <c r="J44" s="34"/>
      <c r="L44" s="46">
        <f t="shared" si="3"/>
        <v>0</v>
      </c>
      <c r="M44" s="46">
        <f t="shared" si="3"/>
        <v>0</v>
      </c>
      <c r="N44" s="46">
        <f t="shared" si="3"/>
        <v>0</v>
      </c>
      <c r="O44" s="46">
        <f t="shared" si="3"/>
        <v>0</v>
      </c>
      <c r="P44" s="46">
        <f t="shared" si="3"/>
        <v>0</v>
      </c>
      <c r="Q44" s="46">
        <f t="shared" si="3"/>
        <v>0</v>
      </c>
      <c r="R44" s="46">
        <f t="shared" si="3"/>
        <v>0</v>
      </c>
      <c r="S44" s="46">
        <f t="shared" si="3"/>
        <v>0</v>
      </c>
      <c r="T44" s="46">
        <f t="shared" si="3"/>
        <v>0</v>
      </c>
      <c r="U44" s="47">
        <f t="shared" si="4"/>
        <v>0</v>
      </c>
      <c r="V44" s="47">
        <f t="shared" si="4"/>
        <v>0</v>
      </c>
      <c r="W44" s="47">
        <f t="shared" si="4"/>
        <v>0</v>
      </c>
      <c r="X44" s="47">
        <f t="shared" si="5"/>
        <v>0</v>
      </c>
    </row>
    <row r="45" spans="1:24" ht="42.75" customHeight="1" x14ac:dyDescent="0.35">
      <c r="A45" s="37"/>
      <c r="B45" s="38"/>
      <c r="C45" s="37"/>
      <c r="D45" s="39"/>
      <c r="E45" s="39"/>
      <c r="F45" s="39"/>
      <c r="G45" s="39"/>
      <c r="H45" s="40"/>
      <c r="I45" s="34"/>
      <c r="J45" s="42"/>
      <c r="L45" s="46">
        <f t="shared" ref="L45:T73" si="6">IFERROR(B46-B45,0)</f>
        <v>0</v>
      </c>
      <c r="M45" s="46">
        <f t="shared" si="6"/>
        <v>0</v>
      </c>
      <c r="N45" s="46">
        <f t="shared" si="6"/>
        <v>0</v>
      </c>
      <c r="O45" s="46">
        <f t="shared" si="6"/>
        <v>0</v>
      </c>
      <c r="P45" s="46">
        <f t="shared" si="6"/>
        <v>0</v>
      </c>
      <c r="Q45" s="46">
        <f t="shared" si="6"/>
        <v>0</v>
      </c>
      <c r="R45" s="46">
        <f t="shared" si="6"/>
        <v>0</v>
      </c>
      <c r="S45" s="46">
        <f t="shared" si="6"/>
        <v>0</v>
      </c>
      <c r="T45" s="46">
        <f t="shared" si="6"/>
        <v>0</v>
      </c>
      <c r="U45" s="47">
        <f t="shared" ref="U45:W108" si="7">L45+Q45</f>
        <v>0</v>
      </c>
      <c r="V45" s="47">
        <f t="shared" si="7"/>
        <v>0</v>
      </c>
      <c r="W45" s="47">
        <f t="shared" si="7"/>
        <v>0</v>
      </c>
      <c r="X45" s="47">
        <f t="shared" si="5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6"/>
        <v>0</v>
      </c>
      <c r="M46" s="46">
        <f t="shared" si="6"/>
        <v>0</v>
      </c>
      <c r="N46" s="46">
        <f t="shared" si="6"/>
        <v>0</v>
      </c>
      <c r="O46" s="46">
        <f t="shared" si="6"/>
        <v>0</v>
      </c>
      <c r="P46" s="46">
        <f t="shared" si="6"/>
        <v>0</v>
      </c>
      <c r="Q46" s="46">
        <f t="shared" si="6"/>
        <v>0</v>
      </c>
      <c r="R46" s="46">
        <f t="shared" si="6"/>
        <v>0</v>
      </c>
      <c r="S46" s="46">
        <f t="shared" si="6"/>
        <v>0</v>
      </c>
      <c r="T46" s="46">
        <f t="shared" si="6"/>
        <v>0</v>
      </c>
      <c r="U46" s="47">
        <f t="shared" si="7"/>
        <v>0</v>
      </c>
      <c r="V46" s="47">
        <f t="shared" si="7"/>
        <v>0</v>
      </c>
      <c r="W46" s="47">
        <f t="shared" si="7"/>
        <v>0</v>
      </c>
      <c r="X46" s="47">
        <f t="shared" si="5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6"/>
        <v>0</v>
      </c>
      <c r="M47" s="46">
        <f t="shared" si="6"/>
        <v>0</v>
      </c>
      <c r="N47" s="46">
        <f t="shared" si="6"/>
        <v>0</v>
      </c>
      <c r="O47" s="46">
        <f t="shared" si="6"/>
        <v>0</v>
      </c>
      <c r="P47" s="46">
        <f t="shared" si="6"/>
        <v>0</v>
      </c>
      <c r="Q47" s="46">
        <f t="shared" si="6"/>
        <v>0</v>
      </c>
      <c r="R47" s="46">
        <f t="shared" si="6"/>
        <v>0</v>
      </c>
      <c r="S47" s="46">
        <f t="shared" si="6"/>
        <v>0</v>
      </c>
      <c r="T47" s="46">
        <f t="shared" si="6"/>
        <v>0</v>
      </c>
      <c r="U47" s="47">
        <f t="shared" si="7"/>
        <v>0</v>
      </c>
      <c r="V47" s="47">
        <f t="shared" si="7"/>
        <v>0</v>
      </c>
      <c r="W47" s="47">
        <f t="shared" si="7"/>
        <v>0</v>
      </c>
      <c r="X47" s="47">
        <f t="shared" si="5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6"/>
        <v>0</v>
      </c>
      <c r="M48" s="46">
        <f t="shared" si="6"/>
        <v>0</v>
      </c>
      <c r="N48" s="46">
        <f t="shared" si="6"/>
        <v>0</v>
      </c>
      <c r="O48" s="46">
        <f t="shared" si="6"/>
        <v>0</v>
      </c>
      <c r="P48" s="46">
        <f t="shared" si="6"/>
        <v>0</v>
      </c>
      <c r="Q48" s="46">
        <f t="shared" si="6"/>
        <v>0</v>
      </c>
      <c r="R48" s="46">
        <f t="shared" si="6"/>
        <v>0</v>
      </c>
      <c r="S48" s="46">
        <f t="shared" si="6"/>
        <v>0</v>
      </c>
      <c r="T48" s="46">
        <f t="shared" si="6"/>
        <v>0</v>
      </c>
      <c r="U48" s="47">
        <f t="shared" si="7"/>
        <v>0</v>
      </c>
      <c r="V48" s="47">
        <f t="shared" si="7"/>
        <v>0</v>
      </c>
      <c r="W48" s="47">
        <f t="shared" si="7"/>
        <v>0</v>
      </c>
      <c r="X48" s="47">
        <f t="shared" si="5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6"/>
        <v>0</v>
      </c>
      <c r="M49" s="46">
        <f t="shared" si="6"/>
        <v>0</v>
      </c>
      <c r="N49" s="46">
        <f t="shared" si="6"/>
        <v>0</v>
      </c>
      <c r="O49" s="46">
        <f t="shared" si="6"/>
        <v>0</v>
      </c>
      <c r="P49" s="46">
        <f t="shared" si="6"/>
        <v>0</v>
      </c>
      <c r="Q49" s="46">
        <f t="shared" si="6"/>
        <v>0</v>
      </c>
      <c r="R49" s="46">
        <f t="shared" si="6"/>
        <v>0</v>
      </c>
      <c r="S49" s="46">
        <f t="shared" si="6"/>
        <v>0</v>
      </c>
      <c r="T49" s="46">
        <f t="shared" si="6"/>
        <v>0</v>
      </c>
      <c r="U49" s="47">
        <f t="shared" si="7"/>
        <v>0</v>
      </c>
      <c r="V49" s="47">
        <f t="shared" si="7"/>
        <v>0</v>
      </c>
      <c r="W49" s="47">
        <f t="shared" si="7"/>
        <v>0</v>
      </c>
      <c r="X49" s="47">
        <f t="shared" si="5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6"/>
        <v>0</v>
      </c>
      <c r="M50" s="46">
        <f t="shared" si="6"/>
        <v>0</v>
      </c>
      <c r="N50" s="46">
        <f t="shared" si="6"/>
        <v>0</v>
      </c>
      <c r="O50" s="46">
        <f t="shared" si="6"/>
        <v>0</v>
      </c>
      <c r="P50" s="46">
        <f t="shared" si="6"/>
        <v>0</v>
      </c>
      <c r="Q50" s="46">
        <f t="shared" si="6"/>
        <v>0</v>
      </c>
      <c r="R50" s="46">
        <f t="shared" si="6"/>
        <v>0</v>
      </c>
      <c r="S50" s="46">
        <f t="shared" si="6"/>
        <v>0</v>
      </c>
      <c r="T50" s="46">
        <f t="shared" si="6"/>
        <v>0</v>
      </c>
      <c r="U50" s="47">
        <f t="shared" si="7"/>
        <v>0</v>
      </c>
      <c r="V50" s="47">
        <f t="shared" si="7"/>
        <v>0</v>
      </c>
      <c r="W50" s="47">
        <f t="shared" si="7"/>
        <v>0</v>
      </c>
      <c r="X50" s="47">
        <f t="shared" si="5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6"/>
        <v>0</v>
      </c>
      <c r="M51" s="46">
        <f t="shared" si="6"/>
        <v>0</v>
      </c>
      <c r="N51" s="46">
        <f t="shared" si="6"/>
        <v>0</v>
      </c>
      <c r="O51" s="46">
        <f t="shared" si="6"/>
        <v>0</v>
      </c>
      <c r="P51" s="46">
        <f t="shared" si="6"/>
        <v>0</v>
      </c>
      <c r="Q51" s="46">
        <f t="shared" si="6"/>
        <v>0</v>
      </c>
      <c r="R51" s="46">
        <f t="shared" si="6"/>
        <v>0</v>
      </c>
      <c r="S51" s="46">
        <f t="shared" si="6"/>
        <v>0</v>
      </c>
      <c r="T51" s="46">
        <f t="shared" si="6"/>
        <v>0</v>
      </c>
      <c r="U51" s="47">
        <f t="shared" si="7"/>
        <v>0</v>
      </c>
      <c r="V51" s="47">
        <f t="shared" si="7"/>
        <v>0</v>
      </c>
      <c r="W51" s="47">
        <f t="shared" si="7"/>
        <v>0</v>
      </c>
      <c r="X51" s="47">
        <f t="shared" si="5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6"/>
        <v>0</v>
      </c>
      <c r="M52" s="46">
        <f t="shared" si="6"/>
        <v>0</v>
      </c>
      <c r="N52" s="46">
        <f t="shared" si="6"/>
        <v>0</v>
      </c>
      <c r="O52" s="46">
        <f t="shared" si="6"/>
        <v>0</v>
      </c>
      <c r="P52" s="46">
        <f t="shared" si="6"/>
        <v>0</v>
      </c>
      <c r="Q52" s="46">
        <f t="shared" si="6"/>
        <v>0</v>
      </c>
      <c r="R52" s="46">
        <f t="shared" si="6"/>
        <v>0</v>
      </c>
      <c r="S52" s="46">
        <f t="shared" si="6"/>
        <v>0</v>
      </c>
      <c r="T52" s="46">
        <f t="shared" si="6"/>
        <v>0</v>
      </c>
      <c r="U52" s="47">
        <f t="shared" si="7"/>
        <v>0</v>
      </c>
      <c r="V52" s="47">
        <f t="shared" si="7"/>
        <v>0</v>
      </c>
      <c r="W52" s="47">
        <f t="shared" si="7"/>
        <v>0</v>
      </c>
      <c r="X52" s="47">
        <f t="shared" si="5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6"/>
        <v>0</v>
      </c>
      <c r="M53" s="46">
        <f t="shared" si="6"/>
        <v>0</v>
      </c>
      <c r="N53" s="46">
        <f t="shared" si="6"/>
        <v>0</v>
      </c>
      <c r="O53" s="46">
        <f t="shared" si="6"/>
        <v>0</v>
      </c>
      <c r="P53" s="46">
        <f t="shared" si="6"/>
        <v>0</v>
      </c>
      <c r="Q53" s="46">
        <f t="shared" si="6"/>
        <v>0</v>
      </c>
      <c r="R53" s="46">
        <f t="shared" si="6"/>
        <v>0</v>
      </c>
      <c r="S53" s="46">
        <f t="shared" si="6"/>
        <v>0</v>
      </c>
      <c r="T53" s="46">
        <f t="shared" si="6"/>
        <v>0</v>
      </c>
      <c r="U53" s="47">
        <f t="shared" si="7"/>
        <v>0</v>
      </c>
      <c r="V53" s="47">
        <f t="shared" si="7"/>
        <v>0</v>
      </c>
      <c r="W53" s="47">
        <f t="shared" si="7"/>
        <v>0</v>
      </c>
      <c r="X53" s="47">
        <f t="shared" si="5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6"/>
        <v>0</v>
      </c>
      <c r="M54" s="46">
        <f t="shared" si="6"/>
        <v>0</v>
      </c>
      <c r="N54" s="46">
        <f t="shared" si="6"/>
        <v>0</v>
      </c>
      <c r="O54" s="46">
        <f t="shared" si="6"/>
        <v>0</v>
      </c>
      <c r="P54" s="46">
        <f t="shared" si="6"/>
        <v>0</v>
      </c>
      <c r="Q54" s="46">
        <f t="shared" si="6"/>
        <v>0</v>
      </c>
      <c r="R54" s="46">
        <f t="shared" si="6"/>
        <v>0</v>
      </c>
      <c r="S54" s="46">
        <f t="shared" si="6"/>
        <v>0</v>
      </c>
      <c r="T54" s="46">
        <f t="shared" si="6"/>
        <v>0</v>
      </c>
      <c r="U54" s="47">
        <f t="shared" si="7"/>
        <v>0</v>
      </c>
      <c r="V54" s="47">
        <f t="shared" si="7"/>
        <v>0</v>
      </c>
      <c r="W54" s="47">
        <f t="shared" si="7"/>
        <v>0</v>
      </c>
      <c r="X54" s="47">
        <f t="shared" si="5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6"/>
        <v>0</v>
      </c>
      <c r="M55" s="46">
        <f t="shared" si="6"/>
        <v>0</v>
      </c>
      <c r="N55" s="46">
        <f t="shared" si="6"/>
        <v>0</v>
      </c>
      <c r="O55" s="46">
        <f t="shared" si="6"/>
        <v>0</v>
      </c>
      <c r="P55" s="46">
        <f t="shared" si="6"/>
        <v>0</v>
      </c>
      <c r="Q55" s="46">
        <f t="shared" si="6"/>
        <v>0</v>
      </c>
      <c r="R55" s="46">
        <f t="shared" si="6"/>
        <v>0</v>
      </c>
      <c r="S55" s="46">
        <f t="shared" si="6"/>
        <v>0</v>
      </c>
      <c r="T55" s="46">
        <f t="shared" si="6"/>
        <v>0</v>
      </c>
      <c r="U55" s="47">
        <f t="shared" si="7"/>
        <v>0</v>
      </c>
      <c r="V55" s="47">
        <f t="shared" si="7"/>
        <v>0</v>
      </c>
      <c r="W55" s="47">
        <f t="shared" si="7"/>
        <v>0</v>
      </c>
      <c r="X55" s="47">
        <f t="shared" si="5"/>
        <v>0</v>
      </c>
    </row>
    <row r="56" spans="1:24" ht="20" customHeight="1" x14ac:dyDescent="0.35">
      <c r="A56" s="29"/>
      <c r="B56" s="30"/>
      <c r="C56" s="29"/>
      <c r="D56" s="31"/>
      <c r="E56" s="31"/>
      <c r="F56" s="31"/>
      <c r="G56" s="31"/>
      <c r="H56" s="29"/>
      <c r="I56" s="31"/>
      <c r="J56" s="34"/>
      <c r="L56" s="46">
        <f t="shared" si="6"/>
        <v>0</v>
      </c>
      <c r="M56" s="46">
        <f t="shared" si="6"/>
        <v>0</v>
      </c>
      <c r="N56" s="46">
        <f t="shared" si="6"/>
        <v>0</v>
      </c>
      <c r="O56" s="46">
        <f t="shared" si="6"/>
        <v>0</v>
      </c>
      <c r="P56" s="46">
        <f t="shared" si="6"/>
        <v>0</v>
      </c>
      <c r="Q56" s="46">
        <f t="shared" si="6"/>
        <v>0</v>
      </c>
      <c r="R56" s="46">
        <f t="shared" si="6"/>
        <v>0</v>
      </c>
      <c r="S56" s="46">
        <f t="shared" si="6"/>
        <v>0</v>
      </c>
      <c r="T56" s="46">
        <f t="shared" si="6"/>
        <v>0</v>
      </c>
      <c r="U56" s="47">
        <f t="shared" si="7"/>
        <v>0</v>
      </c>
      <c r="V56" s="47">
        <f t="shared" si="7"/>
        <v>0</v>
      </c>
      <c r="W56" s="47">
        <f t="shared" si="7"/>
        <v>0</v>
      </c>
      <c r="X56" s="47">
        <f t="shared" si="5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6"/>
        <v>0</v>
      </c>
      <c r="M57" s="46">
        <f t="shared" si="6"/>
        <v>0</v>
      </c>
      <c r="N57" s="46">
        <f t="shared" si="6"/>
        <v>0</v>
      </c>
      <c r="O57" s="46">
        <f t="shared" si="6"/>
        <v>0</v>
      </c>
      <c r="P57" s="46">
        <f t="shared" si="6"/>
        <v>0</v>
      </c>
      <c r="Q57" s="46">
        <f t="shared" si="6"/>
        <v>0</v>
      </c>
      <c r="R57" s="46">
        <f t="shared" si="6"/>
        <v>0</v>
      </c>
      <c r="S57" s="46">
        <f t="shared" si="6"/>
        <v>0</v>
      </c>
      <c r="T57" s="46">
        <f t="shared" si="6"/>
        <v>0</v>
      </c>
      <c r="U57" s="47">
        <f t="shared" si="7"/>
        <v>0</v>
      </c>
      <c r="V57" s="47">
        <f t="shared" si="7"/>
        <v>0</v>
      </c>
      <c r="W57" s="47">
        <f t="shared" si="7"/>
        <v>0</v>
      </c>
      <c r="X57" s="47">
        <f t="shared" si="5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6"/>
        <v>0</v>
      </c>
      <c r="M58" s="46">
        <f t="shared" si="6"/>
        <v>0</v>
      </c>
      <c r="N58" s="46">
        <f t="shared" si="6"/>
        <v>0</v>
      </c>
      <c r="O58" s="46">
        <f t="shared" si="6"/>
        <v>0</v>
      </c>
      <c r="P58" s="46">
        <f t="shared" si="6"/>
        <v>0</v>
      </c>
      <c r="Q58" s="46">
        <f t="shared" si="6"/>
        <v>0</v>
      </c>
      <c r="R58" s="46">
        <f t="shared" si="6"/>
        <v>0</v>
      </c>
      <c r="S58" s="46">
        <f t="shared" si="6"/>
        <v>0</v>
      </c>
      <c r="T58" s="46">
        <f t="shared" si="6"/>
        <v>0</v>
      </c>
      <c r="U58" s="47">
        <f t="shared" si="7"/>
        <v>0</v>
      </c>
      <c r="V58" s="47">
        <f t="shared" si="7"/>
        <v>0</v>
      </c>
      <c r="W58" s="47">
        <f t="shared" si="7"/>
        <v>0</v>
      </c>
      <c r="X58" s="47">
        <f t="shared" si="5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6"/>
        <v>0</v>
      </c>
      <c r="M59" s="46">
        <f t="shared" si="6"/>
        <v>0</v>
      </c>
      <c r="N59" s="46">
        <f t="shared" si="6"/>
        <v>0</v>
      </c>
      <c r="O59" s="46">
        <f t="shared" si="6"/>
        <v>0</v>
      </c>
      <c r="P59" s="46">
        <f t="shared" si="6"/>
        <v>0</v>
      </c>
      <c r="Q59" s="46">
        <f t="shared" si="6"/>
        <v>0</v>
      </c>
      <c r="R59" s="46">
        <f t="shared" si="6"/>
        <v>0</v>
      </c>
      <c r="S59" s="46">
        <f t="shared" si="6"/>
        <v>0</v>
      </c>
      <c r="T59" s="46">
        <f t="shared" si="6"/>
        <v>0</v>
      </c>
      <c r="U59" s="47">
        <f t="shared" si="7"/>
        <v>0</v>
      </c>
      <c r="V59" s="47">
        <f t="shared" si="7"/>
        <v>0</v>
      </c>
      <c r="W59" s="47">
        <f t="shared" si="7"/>
        <v>0</v>
      </c>
      <c r="X59" s="47">
        <f t="shared" si="5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6"/>
        <v>0</v>
      </c>
      <c r="M60" s="46">
        <f t="shared" si="6"/>
        <v>0</v>
      </c>
      <c r="N60" s="46">
        <f t="shared" si="6"/>
        <v>0</v>
      </c>
      <c r="O60" s="46">
        <f t="shared" si="6"/>
        <v>0</v>
      </c>
      <c r="P60" s="46">
        <f t="shared" si="6"/>
        <v>0</v>
      </c>
      <c r="Q60" s="46">
        <f t="shared" si="6"/>
        <v>0</v>
      </c>
      <c r="R60" s="46">
        <f t="shared" si="6"/>
        <v>0</v>
      </c>
      <c r="S60" s="46">
        <f t="shared" si="6"/>
        <v>0</v>
      </c>
      <c r="T60" s="46">
        <f t="shared" si="6"/>
        <v>0</v>
      </c>
      <c r="U60" s="47">
        <f t="shared" si="7"/>
        <v>0</v>
      </c>
      <c r="V60" s="47">
        <f t="shared" si="7"/>
        <v>0</v>
      </c>
      <c r="W60" s="47">
        <f t="shared" si="7"/>
        <v>0</v>
      </c>
      <c r="X60" s="47">
        <f t="shared" si="5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6"/>
        <v>0</v>
      </c>
      <c r="M61" s="46">
        <f t="shared" si="6"/>
        <v>0</v>
      </c>
      <c r="N61" s="46">
        <f t="shared" si="6"/>
        <v>0</v>
      </c>
      <c r="O61" s="46">
        <f t="shared" si="6"/>
        <v>0</v>
      </c>
      <c r="P61" s="46">
        <f t="shared" si="6"/>
        <v>0</v>
      </c>
      <c r="Q61" s="46">
        <f t="shared" si="6"/>
        <v>0</v>
      </c>
      <c r="R61" s="46">
        <f t="shared" si="6"/>
        <v>0</v>
      </c>
      <c r="S61" s="46">
        <f t="shared" si="6"/>
        <v>0</v>
      </c>
      <c r="T61" s="46">
        <f t="shared" si="6"/>
        <v>0</v>
      </c>
      <c r="U61" s="47">
        <f t="shared" si="7"/>
        <v>0</v>
      </c>
      <c r="V61" s="47">
        <f t="shared" si="7"/>
        <v>0</v>
      </c>
      <c r="W61" s="47">
        <f t="shared" si="7"/>
        <v>0</v>
      </c>
      <c r="X61" s="47">
        <f t="shared" si="5"/>
        <v>0</v>
      </c>
    </row>
    <row r="62" spans="1:24" ht="20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6"/>
        <v>0</v>
      </c>
      <c r="M62" s="46">
        <f t="shared" si="6"/>
        <v>0</v>
      </c>
      <c r="N62" s="46">
        <f t="shared" si="6"/>
        <v>0</v>
      </c>
      <c r="O62" s="46">
        <f t="shared" si="6"/>
        <v>0</v>
      </c>
      <c r="P62" s="46">
        <f t="shared" si="6"/>
        <v>0</v>
      </c>
      <c r="Q62" s="46">
        <f t="shared" si="6"/>
        <v>0</v>
      </c>
      <c r="R62" s="46">
        <f t="shared" si="6"/>
        <v>0</v>
      </c>
      <c r="S62" s="46">
        <f t="shared" si="6"/>
        <v>0</v>
      </c>
      <c r="T62" s="46">
        <f t="shared" si="6"/>
        <v>0</v>
      </c>
      <c r="U62" s="47">
        <f t="shared" si="7"/>
        <v>0</v>
      </c>
      <c r="V62" s="47">
        <f t="shared" si="7"/>
        <v>0</v>
      </c>
      <c r="W62" s="47">
        <f t="shared" si="7"/>
        <v>0</v>
      </c>
      <c r="X62" s="47">
        <f t="shared" si="5"/>
        <v>0</v>
      </c>
    </row>
    <row r="63" spans="1:24" ht="16.75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6"/>
        <v>0</v>
      </c>
      <c r="M63" s="46">
        <f t="shared" si="6"/>
        <v>0</v>
      </c>
      <c r="N63" s="46">
        <f t="shared" si="6"/>
        <v>0</v>
      </c>
      <c r="O63" s="46">
        <f t="shared" si="6"/>
        <v>0</v>
      </c>
      <c r="P63" s="46">
        <f t="shared" si="6"/>
        <v>0</v>
      </c>
      <c r="Q63" s="46">
        <f t="shared" si="6"/>
        <v>0</v>
      </c>
      <c r="R63" s="46">
        <f t="shared" si="6"/>
        <v>0</v>
      </c>
      <c r="S63" s="46">
        <f t="shared" si="6"/>
        <v>0</v>
      </c>
      <c r="T63" s="46">
        <f t="shared" si="6"/>
        <v>0</v>
      </c>
      <c r="U63" s="47">
        <f t="shared" si="7"/>
        <v>0</v>
      </c>
      <c r="V63" s="47">
        <f t="shared" si="7"/>
        <v>0</v>
      </c>
      <c r="W63" s="47">
        <f t="shared" si="7"/>
        <v>0</v>
      </c>
      <c r="X63" s="47">
        <f t="shared" si="5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6"/>
        <v>0</v>
      </c>
      <c r="M64" s="46">
        <f t="shared" si="6"/>
        <v>0</v>
      </c>
      <c r="N64" s="46">
        <f t="shared" si="6"/>
        <v>0</v>
      </c>
      <c r="O64" s="46">
        <f t="shared" si="6"/>
        <v>0</v>
      </c>
      <c r="P64" s="46">
        <f t="shared" si="6"/>
        <v>0</v>
      </c>
      <c r="Q64" s="46">
        <f t="shared" si="6"/>
        <v>0</v>
      </c>
      <c r="R64" s="46">
        <f t="shared" si="6"/>
        <v>0</v>
      </c>
      <c r="S64" s="46">
        <f t="shared" si="6"/>
        <v>0</v>
      </c>
      <c r="T64" s="46">
        <f t="shared" si="6"/>
        <v>0</v>
      </c>
      <c r="U64" s="47">
        <f t="shared" si="7"/>
        <v>0</v>
      </c>
      <c r="V64" s="47">
        <f t="shared" si="7"/>
        <v>0</v>
      </c>
      <c r="W64" s="47">
        <f t="shared" si="7"/>
        <v>0</v>
      </c>
      <c r="X64" s="47">
        <f t="shared" si="5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6"/>
        <v>0</v>
      </c>
      <c r="M65" s="46">
        <f t="shared" si="6"/>
        <v>0</v>
      </c>
      <c r="N65" s="46">
        <f t="shared" si="6"/>
        <v>0</v>
      </c>
      <c r="O65" s="46">
        <f t="shared" si="6"/>
        <v>0</v>
      </c>
      <c r="P65" s="46">
        <f t="shared" si="6"/>
        <v>0</v>
      </c>
      <c r="Q65" s="46">
        <f t="shared" si="6"/>
        <v>0</v>
      </c>
      <c r="R65" s="46">
        <f t="shared" si="6"/>
        <v>0</v>
      </c>
      <c r="S65" s="46">
        <f t="shared" si="6"/>
        <v>0</v>
      </c>
      <c r="T65" s="46">
        <f t="shared" si="6"/>
        <v>0</v>
      </c>
      <c r="U65" s="47">
        <f t="shared" si="7"/>
        <v>0</v>
      </c>
      <c r="V65" s="47">
        <f t="shared" si="7"/>
        <v>0</v>
      </c>
      <c r="W65" s="47">
        <f t="shared" si="7"/>
        <v>0</v>
      </c>
      <c r="X65" s="47">
        <f t="shared" si="5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6"/>
        <v>0</v>
      </c>
      <c r="M66" s="46">
        <f t="shared" si="6"/>
        <v>0</v>
      </c>
      <c r="N66" s="46">
        <f t="shared" si="6"/>
        <v>0</v>
      </c>
      <c r="O66" s="46">
        <f t="shared" si="6"/>
        <v>0</v>
      </c>
      <c r="P66" s="46">
        <f t="shared" si="6"/>
        <v>0</v>
      </c>
      <c r="Q66" s="46">
        <f t="shared" si="6"/>
        <v>0</v>
      </c>
      <c r="R66" s="46">
        <f t="shared" si="6"/>
        <v>0</v>
      </c>
      <c r="S66" s="46">
        <f t="shared" si="6"/>
        <v>0</v>
      </c>
      <c r="T66" s="46">
        <f t="shared" si="6"/>
        <v>0</v>
      </c>
      <c r="U66" s="47">
        <f t="shared" si="7"/>
        <v>0</v>
      </c>
      <c r="V66" s="47">
        <f t="shared" si="7"/>
        <v>0</v>
      </c>
      <c r="W66" s="47">
        <f t="shared" si="7"/>
        <v>0</v>
      </c>
      <c r="X66" s="47">
        <f t="shared" si="5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6"/>
        <v>0</v>
      </c>
      <c r="M67" s="46">
        <f t="shared" si="6"/>
        <v>0</v>
      </c>
      <c r="N67" s="46">
        <f t="shared" si="6"/>
        <v>0</v>
      </c>
      <c r="O67" s="46">
        <f t="shared" si="6"/>
        <v>0</v>
      </c>
      <c r="P67" s="46">
        <f t="shared" si="6"/>
        <v>0</v>
      </c>
      <c r="Q67" s="46">
        <f t="shared" si="6"/>
        <v>0</v>
      </c>
      <c r="R67" s="46">
        <f t="shared" si="6"/>
        <v>0</v>
      </c>
      <c r="S67" s="46">
        <f t="shared" si="6"/>
        <v>0</v>
      </c>
      <c r="T67" s="46">
        <f t="shared" si="6"/>
        <v>0</v>
      </c>
      <c r="U67" s="47">
        <f t="shared" si="7"/>
        <v>0</v>
      </c>
      <c r="V67" s="47">
        <f t="shared" si="7"/>
        <v>0</v>
      </c>
      <c r="W67" s="47">
        <f t="shared" si="7"/>
        <v>0</v>
      </c>
      <c r="X67" s="47">
        <f t="shared" si="5"/>
        <v>0</v>
      </c>
    </row>
    <row r="68" spans="1:24" ht="20" customHeight="1" x14ac:dyDescent="0.35">
      <c r="A68" s="29"/>
      <c r="B68" s="30"/>
      <c r="C68" s="31"/>
      <c r="D68" s="31"/>
      <c r="E68" s="31"/>
      <c r="F68" s="31"/>
      <c r="G68" s="31"/>
      <c r="H68" s="31"/>
      <c r="I68" s="31"/>
      <c r="J68" s="34"/>
      <c r="L68" s="46">
        <f t="shared" si="6"/>
        <v>0</v>
      </c>
      <c r="M68" s="46">
        <f t="shared" si="6"/>
        <v>0</v>
      </c>
      <c r="N68" s="46">
        <f t="shared" si="6"/>
        <v>0</v>
      </c>
      <c r="O68" s="46">
        <f t="shared" si="6"/>
        <v>0</v>
      </c>
      <c r="P68" s="46">
        <f t="shared" si="6"/>
        <v>0</v>
      </c>
      <c r="Q68" s="46">
        <f t="shared" si="6"/>
        <v>0</v>
      </c>
      <c r="R68" s="46">
        <f t="shared" si="6"/>
        <v>0</v>
      </c>
      <c r="S68" s="46">
        <f t="shared" si="6"/>
        <v>0</v>
      </c>
      <c r="T68" s="46">
        <f t="shared" si="6"/>
        <v>0</v>
      </c>
      <c r="U68" s="47">
        <f t="shared" si="7"/>
        <v>0</v>
      </c>
      <c r="V68" s="47">
        <f t="shared" si="7"/>
        <v>0</v>
      </c>
      <c r="W68" s="47">
        <f t="shared" si="7"/>
        <v>0</v>
      </c>
      <c r="X68" s="47">
        <f t="shared" si="5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6"/>
        <v>0</v>
      </c>
      <c r="M69" s="46">
        <f t="shared" si="6"/>
        <v>0</v>
      </c>
      <c r="N69" s="46">
        <f t="shared" si="6"/>
        <v>0</v>
      </c>
      <c r="O69" s="46">
        <f t="shared" si="6"/>
        <v>0</v>
      </c>
      <c r="P69" s="46">
        <f t="shared" si="6"/>
        <v>0</v>
      </c>
      <c r="Q69" s="46">
        <f t="shared" si="6"/>
        <v>0</v>
      </c>
      <c r="R69" s="46">
        <f t="shared" si="6"/>
        <v>0</v>
      </c>
      <c r="S69" s="46">
        <f t="shared" si="6"/>
        <v>0</v>
      </c>
      <c r="T69" s="46">
        <f t="shared" si="6"/>
        <v>0</v>
      </c>
      <c r="U69" s="47">
        <f t="shared" si="7"/>
        <v>0</v>
      </c>
      <c r="V69" s="47">
        <f t="shared" si="7"/>
        <v>0</v>
      </c>
      <c r="W69" s="47">
        <f t="shared" si="7"/>
        <v>0</v>
      </c>
      <c r="X69" s="47">
        <f t="shared" si="5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6"/>
        <v>0</v>
      </c>
      <c r="M70" s="46">
        <f t="shared" si="6"/>
        <v>0</v>
      </c>
      <c r="N70" s="46">
        <f t="shared" si="6"/>
        <v>0</v>
      </c>
      <c r="O70" s="46">
        <f t="shared" si="6"/>
        <v>0</v>
      </c>
      <c r="P70" s="46">
        <f t="shared" si="6"/>
        <v>0</v>
      </c>
      <c r="Q70" s="46">
        <f t="shared" si="6"/>
        <v>0</v>
      </c>
      <c r="R70" s="46">
        <f t="shared" si="6"/>
        <v>0</v>
      </c>
      <c r="S70" s="46">
        <f t="shared" si="6"/>
        <v>0</v>
      </c>
      <c r="T70" s="46">
        <f t="shared" si="6"/>
        <v>0</v>
      </c>
      <c r="U70" s="47">
        <f t="shared" si="7"/>
        <v>0</v>
      </c>
      <c r="V70" s="47">
        <f t="shared" si="7"/>
        <v>0</v>
      </c>
      <c r="W70" s="47">
        <f t="shared" si="7"/>
        <v>0</v>
      </c>
      <c r="X70" s="47">
        <f t="shared" si="5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-706087.79999999993</v>
      </c>
      <c r="X8" s="43">
        <f t="shared" si="0"/>
        <v>-1975776.2999999998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" si="10">IFERROR(B40-B39,0)</f>
        <v>0</v>
      </c>
      <c r="M39" s="46">
        <f t="shared" ref="M39" si="11">IFERROR(C40-C39,0)</f>
        <v>0</v>
      </c>
      <c r="N39" s="46">
        <f t="shared" ref="N39" si="12">IFERROR(D40-D39,0)</f>
        <v>289.79999999999563</v>
      </c>
      <c r="O39" s="46">
        <f t="shared" ref="O39" si="13">IFERROR(E40-E39,0)</f>
        <v>358.59999999997672</v>
      </c>
      <c r="P39" s="46">
        <f t="shared" ref="P39" si="14">IFERROR(F40-F39,0)</f>
        <v>250</v>
      </c>
      <c r="Q39" s="46">
        <f t="shared" ref="Q39" si="15">IFERROR(G40-G39,0)</f>
        <v>2.5999999999767169</v>
      </c>
      <c r="R39" s="46">
        <f t="shared" ref="R39" si="16">IFERROR(H40-H39,0)</f>
        <v>17.599999999976717</v>
      </c>
      <c r="S39" s="46">
        <f t="shared" ref="S39" si="17">IFERROR(I40-I39,0)</f>
        <v>1156.5</v>
      </c>
      <c r="T39" s="46">
        <f t="shared" ref="T39" si="18">IFERROR(J40-J39,0)</f>
        <v>1512</v>
      </c>
      <c r="U39" s="47">
        <f t="shared" ref="U39" si="19">L39+Q39</f>
        <v>2.5999999999767169</v>
      </c>
      <c r="V39" s="47">
        <f t="shared" ref="V39" si="20">M39+R39</f>
        <v>17.599999999976717</v>
      </c>
      <c r="W39" s="47">
        <f t="shared" ref="W39" si="21">N39+S39</f>
        <v>1446.2999999999956</v>
      </c>
      <c r="X39" s="47">
        <f t="shared" ref="X39" si="22">O39+P39+T39</f>
        <v>2120.5999999999767</v>
      </c>
    </row>
    <row r="40" spans="1:24" ht="20" customHeight="1" x14ac:dyDescent="0.35">
      <c r="A40" s="59" t="s">
        <v>191</v>
      </c>
      <c r="B40" s="30">
        <v>404509.2</v>
      </c>
      <c r="C40" s="29">
        <v>219206.2</v>
      </c>
      <c r="D40" s="31">
        <v>43674.6</v>
      </c>
      <c r="E40" s="31">
        <v>365187.8</v>
      </c>
      <c r="F40" s="31">
        <v>245371.1</v>
      </c>
      <c r="G40" s="31">
        <v>518453.6</v>
      </c>
      <c r="H40" s="32">
        <v>307050.5</v>
      </c>
      <c r="I40" s="33">
        <v>705882.8</v>
      </c>
      <c r="J40" s="34">
        <v>1425139</v>
      </c>
      <c r="L40" s="46">
        <f t="shared" si="3"/>
        <v>-404509.2</v>
      </c>
      <c r="M40" s="46">
        <f t="shared" si="3"/>
        <v>-219206.2</v>
      </c>
      <c r="N40" s="46">
        <f t="shared" si="3"/>
        <v>-43674.6</v>
      </c>
      <c r="O40" s="46">
        <f t="shared" si="3"/>
        <v>-365187.8</v>
      </c>
      <c r="P40" s="46">
        <f t="shared" si="3"/>
        <v>-245371.1</v>
      </c>
      <c r="Q40" s="46">
        <f t="shared" si="3"/>
        <v>-518453.6</v>
      </c>
      <c r="R40" s="46">
        <f t="shared" si="3"/>
        <v>-307050.5</v>
      </c>
      <c r="S40" s="46">
        <f t="shared" si="3"/>
        <v>-705882.8</v>
      </c>
      <c r="T40" s="46">
        <f t="shared" si="3"/>
        <v>-1425139</v>
      </c>
      <c r="U40" s="47">
        <f t="shared" si="4"/>
        <v>-922962.8</v>
      </c>
      <c r="V40" s="47">
        <f t="shared" si="4"/>
        <v>-526256.69999999995</v>
      </c>
      <c r="W40" s="47">
        <f t="shared" si="4"/>
        <v>-749557.4</v>
      </c>
      <c r="X40" s="47">
        <f t="shared" si="2"/>
        <v>-2035697.9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23">IFERROR(B45-B44,0)</f>
        <v>0</v>
      </c>
      <c r="M44" s="46">
        <f t="shared" si="23"/>
        <v>0</v>
      </c>
      <c r="N44" s="46">
        <f t="shared" si="23"/>
        <v>0</v>
      </c>
      <c r="O44" s="46">
        <f t="shared" si="23"/>
        <v>0</v>
      </c>
      <c r="P44" s="46">
        <f t="shared" si="23"/>
        <v>0</v>
      </c>
      <c r="Q44" s="46">
        <f t="shared" si="23"/>
        <v>0</v>
      </c>
      <c r="R44" s="46">
        <f t="shared" si="23"/>
        <v>0</v>
      </c>
      <c r="S44" s="46">
        <f t="shared" si="23"/>
        <v>0</v>
      </c>
      <c r="T44" s="46">
        <f t="shared" si="23"/>
        <v>0</v>
      </c>
      <c r="U44" s="47">
        <f t="shared" ref="U44:W107" si="24">L44+Q44</f>
        <v>0</v>
      </c>
      <c r="V44" s="47">
        <f t="shared" si="24"/>
        <v>0</v>
      </c>
      <c r="W44" s="47">
        <f t="shared" si="24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23"/>
        <v>0</v>
      </c>
      <c r="M45" s="46">
        <f t="shared" si="23"/>
        <v>0</v>
      </c>
      <c r="N45" s="46">
        <f t="shared" si="23"/>
        <v>0</v>
      </c>
      <c r="O45" s="46">
        <f t="shared" si="23"/>
        <v>0</v>
      </c>
      <c r="P45" s="46">
        <f t="shared" si="23"/>
        <v>0</v>
      </c>
      <c r="Q45" s="46">
        <f t="shared" si="23"/>
        <v>0</v>
      </c>
      <c r="R45" s="46">
        <f t="shared" si="23"/>
        <v>0</v>
      </c>
      <c r="S45" s="46">
        <f t="shared" si="23"/>
        <v>0</v>
      </c>
      <c r="T45" s="46">
        <f t="shared" si="23"/>
        <v>0</v>
      </c>
      <c r="U45" s="47">
        <f t="shared" si="24"/>
        <v>0</v>
      </c>
      <c r="V45" s="47">
        <f t="shared" si="24"/>
        <v>0</v>
      </c>
      <c r="W45" s="47">
        <f t="shared" si="24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23"/>
        <v>0</v>
      </c>
      <c r="M46" s="46">
        <f t="shared" si="23"/>
        <v>0</v>
      </c>
      <c r="N46" s="46">
        <f t="shared" si="23"/>
        <v>0</v>
      </c>
      <c r="O46" s="46">
        <f t="shared" si="23"/>
        <v>0</v>
      </c>
      <c r="P46" s="46">
        <f t="shared" si="23"/>
        <v>0</v>
      </c>
      <c r="Q46" s="46">
        <f t="shared" si="23"/>
        <v>0</v>
      </c>
      <c r="R46" s="46">
        <f t="shared" si="23"/>
        <v>0</v>
      </c>
      <c r="S46" s="46">
        <f t="shared" si="23"/>
        <v>0</v>
      </c>
      <c r="T46" s="46">
        <f t="shared" si="23"/>
        <v>0</v>
      </c>
      <c r="U46" s="47">
        <f t="shared" si="24"/>
        <v>0</v>
      </c>
      <c r="V46" s="47">
        <f t="shared" si="24"/>
        <v>0</v>
      </c>
      <c r="W46" s="47">
        <f t="shared" si="24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23"/>
        <v>0</v>
      </c>
      <c r="M47" s="46">
        <f t="shared" si="23"/>
        <v>0</v>
      </c>
      <c r="N47" s="46">
        <f t="shared" si="23"/>
        <v>0</v>
      </c>
      <c r="O47" s="46">
        <f t="shared" si="23"/>
        <v>0</v>
      </c>
      <c r="P47" s="46">
        <f t="shared" si="23"/>
        <v>0</v>
      </c>
      <c r="Q47" s="46">
        <f t="shared" si="23"/>
        <v>0</v>
      </c>
      <c r="R47" s="46">
        <f t="shared" si="23"/>
        <v>0</v>
      </c>
      <c r="S47" s="46">
        <f t="shared" si="23"/>
        <v>0</v>
      </c>
      <c r="T47" s="46">
        <f t="shared" si="23"/>
        <v>0</v>
      </c>
      <c r="U47" s="47">
        <f t="shared" si="24"/>
        <v>0</v>
      </c>
      <c r="V47" s="47">
        <f t="shared" si="24"/>
        <v>0</v>
      </c>
      <c r="W47" s="47">
        <f t="shared" si="24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23"/>
        <v>0</v>
      </c>
      <c r="M48" s="46">
        <f t="shared" si="23"/>
        <v>0</v>
      </c>
      <c r="N48" s="46">
        <f t="shared" si="23"/>
        <v>0</v>
      </c>
      <c r="O48" s="46">
        <f t="shared" si="23"/>
        <v>0</v>
      </c>
      <c r="P48" s="46">
        <f t="shared" si="23"/>
        <v>0</v>
      </c>
      <c r="Q48" s="46">
        <f t="shared" si="23"/>
        <v>0</v>
      </c>
      <c r="R48" s="46">
        <f t="shared" si="23"/>
        <v>0</v>
      </c>
      <c r="S48" s="46">
        <f t="shared" si="23"/>
        <v>0</v>
      </c>
      <c r="T48" s="46">
        <f t="shared" si="23"/>
        <v>0</v>
      </c>
      <c r="U48" s="47">
        <f t="shared" si="24"/>
        <v>0</v>
      </c>
      <c r="V48" s="47">
        <f t="shared" si="24"/>
        <v>0</v>
      </c>
      <c r="W48" s="47">
        <f t="shared" si="24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23"/>
        <v>0</v>
      </c>
      <c r="M49" s="46">
        <f t="shared" si="23"/>
        <v>0</v>
      </c>
      <c r="N49" s="46">
        <f t="shared" si="23"/>
        <v>0</v>
      </c>
      <c r="O49" s="46">
        <f t="shared" si="23"/>
        <v>0</v>
      </c>
      <c r="P49" s="46">
        <f t="shared" si="23"/>
        <v>0</v>
      </c>
      <c r="Q49" s="46">
        <f t="shared" si="23"/>
        <v>0</v>
      </c>
      <c r="R49" s="46">
        <f t="shared" si="23"/>
        <v>0</v>
      </c>
      <c r="S49" s="46">
        <f t="shared" si="23"/>
        <v>0</v>
      </c>
      <c r="T49" s="46">
        <f t="shared" si="23"/>
        <v>0</v>
      </c>
      <c r="U49" s="47">
        <f t="shared" si="24"/>
        <v>0</v>
      </c>
      <c r="V49" s="47">
        <f t="shared" si="24"/>
        <v>0</v>
      </c>
      <c r="W49" s="47">
        <f t="shared" si="24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23"/>
        <v>0</v>
      </c>
      <c r="M50" s="46">
        <f t="shared" si="23"/>
        <v>0</v>
      </c>
      <c r="N50" s="46">
        <f t="shared" si="23"/>
        <v>0</v>
      </c>
      <c r="O50" s="46">
        <f t="shared" si="23"/>
        <v>0</v>
      </c>
      <c r="P50" s="46">
        <f t="shared" si="23"/>
        <v>0</v>
      </c>
      <c r="Q50" s="46">
        <f t="shared" si="23"/>
        <v>0</v>
      </c>
      <c r="R50" s="46">
        <f t="shared" si="23"/>
        <v>0</v>
      </c>
      <c r="S50" s="46">
        <f t="shared" si="23"/>
        <v>0</v>
      </c>
      <c r="T50" s="46">
        <f t="shared" si="23"/>
        <v>0</v>
      </c>
      <c r="U50" s="47">
        <f t="shared" si="24"/>
        <v>0</v>
      </c>
      <c r="V50" s="47">
        <f t="shared" si="24"/>
        <v>0</v>
      </c>
      <c r="W50" s="47">
        <f t="shared" si="24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23"/>
        <v>0</v>
      </c>
      <c r="M51" s="46">
        <f t="shared" si="23"/>
        <v>0</v>
      </c>
      <c r="N51" s="46">
        <f t="shared" si="23"/>
        <v>0</v>
      </c>
      <c r="O51" s="46">
        <f t="shared" si="23"/>
        <v>0</v>
      </c>
      <c r="P51" s="46">
        <f t="shared" si="23"/>
        <v>0</v>
      </c>
      <c r="Q51" s="46">
        <f t="shared" si="23"/>
        <v>0</v>
      </c>
      <c r="R51" s="46">
        <f t="shared" si="23"/>
        <v>0</v>
      </c>
      <c r="S51" s="46">
        <f t="shared" si="23"/>
        <v>0</v>
      </c>
      <c r="T51" s="46">
        <f t="shared" si="23"/>
        <v>0</v>
      </c>
      <c r="U51" s="47">
        <f t="shared" si="24"/>
        <v>0</v>
      </c>
      <c r="V51" s="47">
        <f t="shared" si="24"/>
        <v>0</v>
      </c>
      <c r="W51" s="47">
        <f t="shared" si="24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23"/>
        <v>0</v>
      </c>
      <c r="M52" s="46">
        <f t="shared" si="23"/>
        <v>0</v>
      </c>
      <c r="N52" s="46">
        <f t="shared" si="23"/>
        <v>0</v>
      </c>
      <c r="O52" s="46">
        <f t="shared" si="23"/>
        <v>0</v>
      </c>
      <c r="P52" s="46">
        <f t="shared" si="23"/>
        <v>0</v>
      </c>
      <c r="Q52" s="46">
        <f t="shared" si="23"/>
        <v>0</v>
      </c>
      <c r="R52" s="46">
        <f t="shared" si="23"/>
        <v>0</v>
      </c>
      <c r="S52" s="46">
        <f t="shared" si="23"/>
        <v>0</v>
      </c>
      <c r="T52" s="46">
        <f t="shared" si="23"/>
        <v>0</v>
      </c>
      <c r="U52" s="47">
        <f t="shared" si="24"/>
        <v>0</v>
      </c>
      <c r="V52" s="47">
        <f t="shared" si="24"/>
        <v>0</v>
      </c>
      <c r="W52" s="47">
        <f t="shared" si="24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23"/>
        <v>0</v>
      </c>
      <c r="M53" s="46">
        <f t="shared" si="23"/>
        <v>0</v>
      </c>
      <c r="N53" s="46">
        <f t="shared" si="23"/>
        <v>0</v>
      </c>
      <c r="O53" s="46">
        <f t="shared" si="23"/>
        <v>0</v>
      </c>
      <c r="P53" s="46">
        <f t="shared" si="23"/>
        <v>0</v>
      </c>
      <c r="Q53" s="46">
        <f t="shared" si="23"/>
        <v>0</v>
      </c>
      <c r="R53" s="46">
        <f t="shared" si="23"/>
        <v>0</v>
      </c>
      <c r="S53" s="46">
        <f t="shared" si="23"/>
        <v>0</v>
      </c>
      <c r="T53" s="46">
        <f t="shared" si="23"/>
        <v>0</v>
      </c>
      <c r="U53" s="47">
        <f t="shared" si="24"/>
        <v>0</v>
      </c>
      <c r="V53" s="47">
        <f t="shared" si="24"/>
        <v>0</v>
      </c>
      <c r="W53" s="47">
        <f t="shared" si="24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23"/>
        <v>0</v>
      </c>
      <c r="M54" s="46">
        <f t="shared" si="23"/>
        <v>0</v>
      </c>
      <c r="N54" s="46">
        <f t="shared" si="23"/>
        <v>0</v>
      </c>
      <c r="O54" s="46">
        <f t="shared" si="23"/>
        <v>0</v>
      </c>
      <c r="P54" s="46">
        <f t="shared" si="23"/>
        <v>0</v>
      </c>
      <c r="Q54" s="46">
        <f t="shared" si="23"/>
        <v>0</v>
      </c>
      <c r="R54" s="46">
        <f t="shared" si="23"/>
        <v>0</v>
      </c>
      <c r="S54" s="46">
        <f t="shared" si="23"/>
        <v>0</v>
      </c>
      <c r="T54" s="46">
        <f t="shared" si="23"/>
        <v>0</v>
      </c>
      <c r="U54" s="47">
        <f t="shared" si="24"/>
        <v>0</v>
      </c>
      <c r="V54" s="47">
        <f t="shared" si="24"/>
        <v>0</v>
      </c>
      <c r="W54" s="47">
        <f t="shared" si="24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23"/>
        <v>0</v>
      </c>
      <c r="M55" s="46">
        <f t="shared" si="23"/>
        <v>0</v>
      </c>
      <c r="N55" s="46">
        <f t="shared" si="23"/>
        <v>0</v>
      </c>
      <c r="O55" s="46">
        <f t="shared" si="23"/>
        <v>0</v>
      </c>
      <c r="P55" s="46">
        <f t="shared" si="23"/>
        <v>0</v>
      </c>
      <c r="Q55" s="46">
        <f t="shared" si="23"/>
        <v>0</v>
      </c>
      <c r="R55" s="46">
        <f t="shared" si="23"/>
        <v>0</v>
      </c>
      <c r="S55" s="46">
        <f t="shared" si="23"/>
        <v>0</v>
      </c>
      <c r="T55" s="46">
        <f t="shared" si="23"/>
        <v>0</v>
      </c>
      <c r="U55" s="47">
        <f t="shared" si="24"/>
        <v>0</v>
      </c>
      <c r="V55" s="47">
        <f t="shared" si="24"/>
        <v>0</v>
      </c>
      <c r="W55" s="47">
        <f t="shared" si="24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23"/>
        <v>0</v>
      </c>
      <c r="M56" s="46">
        <f t="shared" si="23"/>
        <v>0</v>
      </c>
      <c r="N56" s="46">
        <f t="shared" si="23"/>
        <v>0</v>
      </c>
      <c r="O56" s="46">
        <f t="shared" si="23"/>
        <v>0</v>
      </c>
      <c r="P56" s="46">
        <f t="shared" si="23"/>
        <v>0</v>
      </c>
      <c r="Q56" s="46">
        <f t="shared" si="23"/>
        <v>0</v>
      </c>
      <c r="R56" s="46">
        <f t="shared" si="23"/>
        <v>0</v>
      </c>
      <c r="S56" s="46">
        <f t="shared" si="23"/>
        <v>0</v>
      </c>
      <c r="T56" s="46">
        <f t="shared" si="23"/>
        <v>0</v>
      </c>
      <c r="U56" s="47">
        <f t="shared" si="24"/>
        <v>0</v>
      </c>
      <c r="V56" s="47">
        <f t="shared" si="24"/>
        <v>0</v>
      </c>
      <c r="W56" s="47">
        <f t="shared" si="24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23"/>
        <v>0</v>
      </c>
      <c r="M57" s="46">
        <f t="shared" si="23"/>
        <v>0</v>
      </c>
      <c r="N57" s="46">
        <f t="shared" si="23"/>
        <v>0</v>
      </c>
      <c r="O57" s="46">
        <f t="shared" si="23"/>
        <v>0</v>
      </c>
      <c r="P57" s="46">
        <f t="shared" si="23"/>
        <v>0</v>
      </c>
      <c r="Q57" s="46">
        <f t="shared" si="23"/>
        <v>0</v>
      </c>
      <c r="R57" s="46">
        <f t="shared" si="23"/>
        <v>0</v>
      </c>
      <c r="S57" s="46">
        <f t="shared" si="23"/>
        <v>0</v>
      </c>
      <c r="T57" s="46">
        <f t="shared" si="23"/>
        <v>0</v>
      </c>
      <c r="U57" s="47">
        <f t="shared" si="24"/>
        <v>0</v>
      </c>
      <c r="V57" s="47">
        <f t="shared" si="24"/>
        <v>0</v>
      </c>
      <c r="W57" s="47">
        <f t="shared" si="24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23"/>
        <v>0</v>
      </c>
      <c r="M58" s="46">
        <f t="shared" si="23"/>
        <v>0</v>
      </c>
      <c r="N58" s="46">
        <f t="shared" si="23"/>
        <v>0</v>
      </c>
      <c r="O58" s="46">
        <f t="shared" si="23"/>
        <v>0</v>
      </c>
      <c r="P58" s="46">
        <f t="shared" si="23"/>
        <v>0</v>
      </c>
      <c r="Q58" s="46">
        <f t="shared" si="23"/>
        <v>0</v>
      </c>
      <c r="R58" s="46">
        <f t="shared" si="23"/>
        <v>0</v>
      </c>
      <c r="S58" s="46">
        <f t="shared" si="23"/>
        <v>0</v>
      </c>
      <c r="T58" s="46">
        <f t="shared" si="23"/>
        <v>0</v>
      </c>
      <c r="U58" s="47">
        <f t="shared" si="24"/>
        <v>0</v>
      </c>
      <c r="V58" s="47">
        <f t="shared" si="24"/>
        <v>0</v>
      </c>
      <c r="W58" s="47">
        <f t="shared" si="24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23"/>
        <v>0</v>
      </c>
      <c r="M59" s="46">
        <f t="shared" si="23"/>
        <v>0</v>
      </c>
      <c r="N59" s="46">
        <f t="shared" si="23"/>
        <v>0</v>
      </c>
      <c r="O59" s="46">
        <f t="shared" si="23"/>
        <v>0</v>
      </c>
      <c r="P59" s="46">
        <f t="shared" si="23"/>
        <v>0</v>
      </c>
      <c r="Q59" s="46">
        <f t="shared" si="23"/>
        <v>0</v>
      </c>
      <c r="R59" s="46">
        <f t="shared" si="23"/>
        <v>0</v>
      </c>
      <c r="S59" s="46">
        <f t="shared" si="23"/>
        <v>0</v>
      </c>
      <c r="T59" s="46">
        <f t="shared" si="23"/>
        <v>0</v>
      </c>
      <c r="U59" s="47">
        <f t="shared" si="24"/>
        <v>0</v>
      </c>
      <c r="V59" s="47">
        <f t="shared" si="24"/>
        <v>0</v>
      </c>
      <c r="W59" s="47">
        <f t="shared" si="24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23"/>
        <v>0</v>
      </c>
      <c r="M60" s="46">
        <f t="shared" si="23"/>
        <v>0</v>
      </c>
      <c r="N60" s="46">
        <f t="shared" si="23"/>
        <v>0</v>
      </c>
      <c r="O60" s="46">
        <f t="shared" si="23"/>
        <v>0</v>
      </c>
      <c r="P60" s="46">
        <f t="shared" si="23"/>
        <v>0</v>
      </c>
      <c r="Q60" s="46">
        <f t="shared" si="23"/>
        <v>0</v>
      </c>
      <c r="R60" s="46">
        <f t="shared" si="23"/>
        <v>0</v>
      </c>
      <c r="S60" s="46">
        <f t="shared" si="23"/>
        <v>0</v>
      </c>
      <c r="T60" s="46">
        <f t="shared" si="23"/>
        <v>0</v>
      </c>
      <c r="U60" s="47">
        <f t="shared" si="24"/>
        <v>0</v>
      </c>
      <c r="V60" s="47">
        <f t="shared" si="24"/>
        <v>0</v>
      </c>
      <c r="W60" s="47">
        <f t="shared" si="24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23"/>
        <v>0</v>
      </c>
      <c r="M61" s="46">
        <f t="shared" si="23"/>
        <v>0</v>
      </c>
      <c r="N61" s="46">
        <f t="shared" si="23"/>
        <v>0</v>
      </c>
      <c r="O61" s="46">
        <f t="shared" si="23"/>
        <v>0</v>
      </c>
      <c r="P61" s="46">
        <f t="shared" si="23"/>
        <v>0</v>
      </c>
      <c r="Q61" s="46">
        <f t="shared" si="23"/>
        <v>0</v>
      </c>
      <c r="R61" s="46">
        <f t="shared" si="23"/>
        <v>0</v>
      </c>
      <c r="S61" s="46">
        <f t="shared" si="23"/>
        <v>0</v>
      </c>
      <c r="T61" s="46">
        <f t="shared" si="23"/>
        <v>0</v>
      </c>
      <c r="U61" s="47">
        <f t="shared" si="24"/>
        <v>0</v>
      </c>
      <c r="V61" s="47">
        <f t="shared" si="24"/>
        <v>0</v>
      </c>
      <c r="W61" s="47">
        <f t="shared" si="24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23"/>
        <v>0</v>
      </c>
      <c r="M62" s="46">
        <f t="shared" si="23"/>
        <v>0</v>
      </c>
      <c r="N62" s="46">
        <f t="shared" si="23"/>
        <v>0</v>
      </c>
      <c r="O62" s="46">
        <f t="shared" si="23"/>
        <v>0</v>
      </c>
      <c r="P62" s="46">
        <f t="shared" si="23"/>
        <v>0</v>
      </c>
      <c r="Q62" s="46">
        <f t="shared" si="23"/>
        <v>0</v>
      </c>
      <c r="R62" s="46">
        <f t="shared" si="23"/>
        <v>0</v>
      </c>
      <c r="S62" s="46">
        <f t="shared" si="23"/>
        <v>0</v>
      </c>
      <c r="T62" s="46">
        <f t="shared" si="23"/>
        <v>0</v>
      </c>
      <c r="U62" s="47">
        <f t="shared" si="24"/>
        <v>0</v>
      </c>
      <c r="V62" s="47">
        <f t="shared" si="24"/>
        <v>0</v>
      </c>
      <c r="W62" s="47">
        <f t="shared" si="24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23"/>
        <v>0</v>
      </c>
      <c r="M63" s="46">
        <f t="shared" si="23"/>
        <v>0</v>
      </c>
      <c r="N63" s="46">
        <f t="shared" si="23"/>
        <v>0</v>
      </c>
      <c r="O63" s="46">
        <f t="shared" si="23"/>
        <v>0</v>
      </c>
      <c r="P63" s="46">
        <f t="shared" si="23"/>
        <v>0</v>
      </c>
      <c r="Q63" s="46">
        <f t="shared" si="23"/>
        <v>0</v>
      </c>
      <c r="R63" s="46">
        <f t="shared" si="23"/>
        <v>0</v>
      </c>
      <c r="S63" s="46">
        <f t="shared" si="23"/>
        <v>0</v>
      </c>
      <c r="T63" s="46">
        <f t="shared" si="23"/>
        <v>0</v>
      </c>
      <c r="U63" s="47">
        <f t="shared" si="24"/>
        <v>0</v>
      </c>
      <c r="V63" s="47">
        <f t="shared" si="24"/>
        <v>0</v>
      </c>
      <c r="W63" s="47">
        <f t="shared" si="24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23"/>
        <v>0</v>
      </c>
      <c r="M64" s="46">
        <f t="shared" si="23"/>
        <v>0</v>
      </c>
      <c r="N64" s="46">
        <f t="shared" si="23"/>
        <v>0</v>
      </c>
      <c r="O64" s="46">
        <f t="shared" si="23"/>
        <v>0</v>
      </c>
      <c r="P64" s="46">
        <f t="shared" si="23"/>
        <v>0</v>
      </c>
      <c r="Q64" s="46">
        <f t="shared" si="23"/>
        <v>0</v>
      </c>
      <c r="R64" s="46">
        <f t="shared" si="23"/>
        <v>0</v>
      </c>
      <c r="S64" s="46">
        <f t="shared" si="23"/>
        <v>0</v>
      </c>
      <c r="T64" s="46">
        <f t="shared" si="23"/>
        <v>0</v>
      </c>
      <c r="U64" s="47">
        <f t="shared" si="24"/>
        <v>0</v>
      </c>
      <c r="V64" s="47">
        <f t="shared" si="24"/>
        <v>0</v>
      </c>
      <c r="W64" s="47">
        <f t="shared" si="24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23"/>
        <v>0</v>
      </c>
      <c r="M65" s="46">
        <f t="shared" si="23"/>
        <v>0</v>
      </c>
      <c r="N65" s="46">
        <f t="shared" si="23"/>
        <v>0</v>
      </c>
      <c r="O65" s="46">
        <f t="shared" si="23"/>
        <v>0</v>
      </c>
      <c r="P65" s="46">
        <f t="shared" si="23"/>
        <v>0</v>
      </c>
      <c r="Q65" s="46">
        <f t="shared" si="23"/>
        <v>0</v>
      </c>
      <c r="R65" s="46">
        <f t="shared" si="23"/>
        <v>0</v>
      </c>
      <c r="S65" s="46">
        <f t="shared" si="23"/>
        <v>0</v>
      </c>
      <c r="T65" s="46">
        <f t="shared" si="23"/>
        <v>0</v>
      </c>
      <c r="U65" s="47">
        <f t="shared" si="24"/>
        <v>0</v>
      </c>
      <c r="V65" s="47">
        <f t="shared" si="24"/>
        <v>0</v>
      </c>
      <c r="W65" s="47">
        <f t="shared" si="24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23"/>
        <v>0</v>
      </c>
      <c r="M66" s="46">
        <f t="shared" si="23"/>
        <v>0</v>
      </c>
      <c r="N66" s="46">
        <f t="shared" si="23"/>
        <v>0</v>
      </c>
      <c r="O66" s="46">
        <f t="shared" si="23"/>
        <v>0</v>
      </c>
      <c r="P66" s="46">
        <f t="shared" si="23"/>
        <v>0</v>
      </c>
      <c r="Q66" s="46">
        <f t="shared" si="23"/>
        <v>0</v>
      </c>
      <c r="R66" s="46">
        <f t="shared" si="23"/>
        <v>0</v>
      </c>
      <c r="S66" s="46">
        <f t="shared" si="23"/>
        <v>0</v>
      </c>
      <c r="T66" s="46">
        <f t="shared" si="23"/>
        <v>0</v>
      </c>
      <c r="U66" s="47">
        <f t="shared" si="24"/>
        <v>0</v>
      </c>
      <c r="V66" s="47">
        <f t="shared" si="24"/>
        <v>0</v>
      </c>
      <c r="W66" s="47">
        <f t="shared" si="24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23"/>
        <v>0</v>
      </c>
      <c r="M67" s="46">
        <f t="shared" si="23"/>
        <v>0</v>
      </c>
      <c r="N67" s="46">
        <f t="shared" si="23"/>
        <v>0</v>
      </c>
      <c r="O67" s="46">
        <f t="shared" si="23"/>
        <v>0</v>
      </c>
      <c r="P67" s="46">
        <f t="shared" si="23"/>
        <v>0</v>
      </c>
      <c r="Q67" s="46">
        <f t="shared" si="23"/>
        <v>0</v>
      </c>
      <c r="R67" s="46">
        <f t="shared" si="23"/>
        <v>0</v>
      </c>
      <c r="S67" s="46">
        <f t="shared" si="23"/>
        <v>0</v>
      </c>
      <c r="T67" s="46">
        <f t="shared" si="23"/>
        <v>0</v>
      </c>
      <c r="U67" s="47">
        <f t="shared" si="24"/>
        <v>0</v>
      </c>
      <c r="V67" s="47">
        <f t="shared" si="24"/>
        <v>0</v>
      </c>
      <c r="W67" s="47">
        <f t="shared" si="24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23"/>
        <v>0</v>
      </c>
      <c r="M68" s="46">
        <f t="shared" si="23"/>
        <v>0</v>
      </c>
      <c r="N68" s="46">
        <f t="shared" si="23"/>
        <v>0</v>
      </c>
      <c r="O68" s="46">
        <f t="shared" si="23"/>
        <v>0</v>
      </c>
      <c r="P68" s="46">
        <f t="shared" si="23"/>
        <v>0</v>
      </c>
      <c r="Q68" s="46">
        <f t="shared" si="23"/>
        <v>0</v>
      </c>
      <c r="R68" s="46">
        <f t="shared" si="23"/>
        <v>0</v>
      </c>
      <c r="S68" s="46">
        <f t="shared" si="23"/>
        <v>0</v>
      </c>
      <c r="T68" s="46">
        <f t="shared" si="23"/>
        <v>0</v>
      </c>
      <c r="U68" s="47">
        <f t="shared" si="24"/>
        <v>0</v>
      </c>
      <c r="V68" s="47">
        <f t="shared" si="24"/>
        <v>0</v>
      </c>
      <c r="W68" s="47">
        <f t="shared" si="24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23"/>
        <v>0</v>
      </c>
      <c r="M69" s="46">
        <f t="shared" si="23"/>
        <v>0</v>
      </c>
      <c r="N69" s="46">
        <f t="shared" si="23"/>
        <v>0</v>
      </c>
      <c r="O69" s="46">
        <f t="shared" si="23"/>
        <v>0</v>
      </c>
      <c r="P69" s="46">
        <f t="shared" si="23"/>
        <v>0</v>
      </c>
      <c r="Q69" s="46">
        <f t="shared" si="23"/>
        <v>0</v>
      </c>
      <c r="R69" s="46">
        <f t="shared" si="23"/>
        <v>0</v>
      </c>
      <c r="S69" s="46">
        <f t="shared" si="23"/>
        <v>0</v>
      </c>
      <c r="T69" s="46">
        <f t="shared" si="23"/>
        <v>0</v>
      </c>
      <c r="U69" s="47">
        <f t="shared" si="24"/>
        <v>0</v>
      </c>
      <c r="V69" s="47">
        <f t="shared" si="24"/>
        <v>0</v>
      </c>
      <c r="W69" s="47">
        <f t="shared" si="24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23"/>
        <v>0</v>
      </c>
      <c r="M70" s="46">
        <f t="shared" si="23"/>
        <v>0</v>
      </c>
      <c r="N70" s="46">
        <f t="shared" si="23"/>
        <v>0</v>
      </c>
      <c r="O70" s="46">
        <f t="shared" si="23"/>
        <v>0</v>
      </c>
      <c r="P70" s="46">
        <f t="shared" si="23"/>
        <v>0</v>
      </c>
      <c r="Q70" s="46">
        <f t="shared" si="23"/>
        <v>0</v>
      </c>
      <c r="R70" s="46">
        <f t="shared" si="23"/>
        <v>0</v>
      </c>
      <c r="S70" s="46">
        <f t="shared" si="23"/>
        <v>0</v>
      </c>
      <c r="T70" s="46">
        <f t="shared" si="23"/>
        <v>0</v>
      </c>
      <c r="U70" s="47">
        <f t="shared" si="24"/>
        <v>0</v>
      </c>
      <c r="V70" s="47">
        <f t="shared" si="24"/>
        <v>0</v>
      </c>
      <c r="W70" s="47">
        <f t="shared" si="24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23"/>
        <v>0</v>
      </c>
      <c r="M71" s="46">
        <f t="shared" si="23"/>
        <v>0</v>
      </c>
      <c r="N71" s="46">
        <f t="shared" si="23"/>
        <v>0</v>
      </c>
      <c r="O71" s="46">
        <f t="shared" si="23"/>
        <v>0</v>
      </c>
      <c r="P71" s="46">
        <f t="shared" si="23"/>
        <v>0</v>
      </c>
      <c r="Q71" s="46">
        <f t="shared" si="23"/>
        <v>0</v>
      </c>
      <c r="R71" s="46">
        <f t="shared" si="23"/>
        <v>0</v>
      </c>
      <c r="S71" s="46">
        <f t="shared" si="23"/>
        <v>0</v>
      </c>
      <c r="T71" s="46">
        <f t="shared" si="23"/>
        <v>0</v>
      </c>
      <c r="U71" s="47">
        <f t="shared" si="24"/>
        <v>0</v>
      </c>
      <c r="V71" s="47">
        <f t="shared" si="24"/>
        <v>0</v>
      </c>
      <c r="W71" s="47">
        <f t="shared" si="24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23"/>
        <v>0</v>
      </c>
      <c r="M72" s="46">
        <f t="shared" si="23"/>
        <v>0</v>
      </c>
      <c r="N72" s="46">
        <f t="shared" si="23"/>
        <v>0</v>
      </c>
      <c r="O72" s="46">
        <f t="shared" ref="O72:T114" si="25">IFERROR(E73-E72,0)</f>
        <v>0</v>
      </c>
      <c r="P72" s="46">
        <f t="shared" si="25"/>
        <v>0</v>
      </c>
      <c r="Q72" s="46">
        <f t="shared" si="25"/>
        <v>0</v>
      </c>
      <c r="R72" s="46">
        <f t="shared" si="25"/>
        <v>0</v>
      </c>
      <c r="S72" s="46">
        <f t="shared" si="25"/>
        <v>0</v>
      </c>
      <c r="T72" s="46">
        <f t="shared" si="25"/>
        <v>0</v>
      </c>
      <c r="U72" s="47">
        <f t="shared" si="24"/>
        <v>0</v>
      </c>
      <c r="V72" s="47">
        <f t="shared" si="24"/>
        <v>0</v>
      </c>
      <c r="W72" s="47">
        <f t="shared" si="24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26">IFERROR(B74-B73,0)</f>
        <v>0</v>
      </c>
      <c r="M73" s="46">
        <f t="shared" si="26"/>
        <v>0</v>
      </c>
      <c r="N73" s="46">
        <f t="shared" si="26"/>
        <v>0</v>
      </c>
      <c r="O73" s="46">
        <f t="shared" si="25"/>
        <v>0</v>
      </c>
      <c r="P73" s="46">
        <f t="shared" si="25"/>
        <v>0</v>
      </c>
      <c r="Q73" s="46">
        <f t="shared" si="25"/>
        <v>0</v>
      </c>
      <c r="R73" s="46">
        <f t="shared" si="25"/>
        <v>0</v>
      </c>
      <c r="S73" s="46">
        <f t="shared" si="25"/>
        <v>0</v>
      </c>
      <c r="T73" s="46">
        <f t="shared" si="25"/>
        <v>0</v>
      </c>
      <c r="U73" s="47">
        <f t="shared" si="24"/>
        <v>0</v>
      </c>
      <c r="V73" s="47">
        <f t="shared" si="24"/>
        <v>0</v>
      </c>
      <c r="W73" s="47">
        <f t="shared" si="24"/>
        <v>0</v>
      </c>
      <c r="X73" s="47">
        <f t="shared" ref="X73:X136" si="27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26"/>
        <v>0</v>
      </c>
      <c r="M74" s="46">
        <f t="shared" si="26"/>
        <v>0</v>
      </c>
      <c r="N74" s="46">
        <f t="shared" si="26"/>
        <v>0</v>
      </c>
      <c r="O74" s="46">
        <f t="shared" si="25"/>
        <v>0</v>
      </c>
      <c r="P74" s="46">
        <f t="shared" si="25"/>
        <v>0</v>
      </c>
      <c r="Q74" s="46">
        <f t="shared" si="25"/>
        <v>0</v>
      </c>
      <c r="R74" s="46">
        <f t="shared" si="25"/>
        <v>0</v>
      </c>
      <c r="S74" s="46">
        <f t="shared" si="25"/>
        <v>0</v>
      </c>
      <c r="T74" s="46">
        <f t="shared" si="25"/>
        <v>0</v>
      </c>
      <c r="U74" s="47">
        <f t="shared" si="24"/>
        <v>0</v>
      </c>
      <c r="V74" s="47">
        <f t="shared" si="24"/>
        <v>0</v>
      </c>
      <c r="W74" s="47">
        <f t="shared" si="24"/>
        <v>0</v>
      </c>
      <c r="X74" s="47">
        <f t="shared" si="27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26"/>
        <v>0</v>
      </c>
      <c r="M75" s="46">
        <f t="shared" si="26"/>
        <v>0</v>
      </c>
      <c r="N75" s="46">
        <f t="shared" si="26"/>
        <v>0</v>
      </c>
      <c r="O75" s="46">
        <f t="shared" si="25"/>
        <v>0</v>
      </c>
      <c r="P75" s="46">
        <f t="shared" si="25"/>
        <v>0</v>
      </c>
      <c r="Q75" s="46">
        <f t="shared" si="25"/>
        <v>0</v>
      </c>
      <c r="R75" s="46">
        <f t="shared" si="25"/>
        <v>0</v>
      </c>
      <c r="S75" s="46">
        <f t="shared" si="25"/>
        <v>0</v>
      </c>
      <c r="T75" s="46">
        <f t="shared" si="25"/>
        <v>0</v>
      </c>
      <c r="U75" s="47">
        <f t="shared" si="24"/>
        <v>0</v>
      </c>
      <c r="V75" s="47">
        <f t="shared" si="24"/>
        <v>0</v>
      </c>
      <c r="W75" s="47">
        <f t="shared" si="24"/>
        <v>0</v>
      </c>
      <c r="X75" s="47">
        <f t="shared" si="27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26"/>
        <v>0</v>
      </c>
      <c r="M76" s="46">
        <f t="shared" si="26"/>
        <v>0</v>
      </c>
      <c r="N76" s="46">
        <f t="shared" si="26"/>
        <v>0</v>
      </c>
      <c r="O76" s="46">
        <f t="shared" si="25"/>
        <v>0</v>
      </c>
      <c r="P76" s="46">
        <f t="shared" si="25"/>
        <v>0</v>
      </c>
      <c r="Q76" s="46">
        <f t="shared" si="25"/>
        <v>0</v>
      </c>
      <c r="R76" s="46">
        <f t="shared" si="25"/>
        <v>0</v>
      </c>
      <c r="S76" s="46">
        <f t="shared" si="25"/>
        <v>0</v>
      </c>
      <c r="T76" s="46">
        <f t="shared" si="25"/>
        <v>0</v>
      </c>
      <c r="U76" s="47">
        <f t="shared" si="24"/>
        <v>0</v>
      </c>
      <c r="V76" s="47">
        <f t="shared" si="24"/>
        <v>0</v>
      </c>
      <c r="W76" s="47">
        <f t="shared" si="24"/>
        <v>0</v>
      </c>
      <c r="X76" s="47">
        <f t="shared" si="27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26"/>
        <v>0</v>
      </c>
      <c r="M77" s="46">
        <f t="shared" si="26"/>
        <v>0</v>
      </c>
      <c r="N77" s="46">
        <f t="shared" si="26"/>
        <v>0</v>
      </c>
      <c r="O77" s="46">
        <f t="shared" si="25"/>
        <v>0</v>
      </c>
      <c r="P77" s="46">
        <f t="shared" si="25"/>
        <v>0</v>
      </c>
      <c r="Q77" s="46">
        <f t="shared" si="25"/>
        <v>0</v>
      </c>
      <c r="R77" s="46">
        <f t="shared" si="25"/>
        <v>0</v>
      </c>
      <c r="S77" s="46">
        <f t="shared" si="25"/>
        <v>0</v>
      </c>
      <c r="T77" s="46">
        <f t="shared" si="25"/>
        <v>0</v>
      </c>
      <c r="U77" s="47">
        <f t="shared" si="24"/>
        <v>0</v>
      </c>
      <c r="V77" s="47">
        <f t="shared" si="24"/>
        <v>0</v>
      </c>
      <c r="W77" s="47">
        <f t="shared" si="24"/>
        <v>0</v>
      </c>
      <c r="X77" s="47">
        <f t="shared" si="27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26"/>
        <v>0</v>
      </c>
      <c r="M78" s="46">
        <f t="shared" si="26"/>
        <v>0</v>
      </c>
      <c r="N78" s="46">
        <f t="shared" si="26"/>
        <v>0</v>
      </c>
      <c r="O78" s="46">
        <f t="shared" si="25"/>
        <v>0</v>
      </c>
      <c r="P78" s="46">
        <f t="shared" si="25"/>
        <v>0</v>
      </c>
      <c r="Q78" s="46">
        <f t="shared" si="25"/>
        <v>0</v>
      </c>
      <c r="R78" s="46">
        <f t="shared" si="25"/>
        <v>0</v>
      </c>
      <c r="S78" s="46">
        <f t="shared" si="25"/>
        <v>0</v>
      </c>
      <c r="T78" s="46">
        <f t="shared" si="25"/>
        <v>0</v>
      </c>
      <c r="U78" s="47">
        <f t="shared" si="24"/>
        <v>0</v>
      </c>
      <c r="V78" s="47">
        <f t="shared" si="24"/>
        <v>0</v>
      </c>
      <c r="W78" s="47">
        <f t="shared" si="24"/>
        <v>0</v>
      </c>
      <c r="X78" s="47">
        <f t="shared" si="27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26"/>
        <v>0</v>
      </c>
      <c r="M79" s="46">
        <f t="shared" si="26"/>
        <v>0</v>
      </c>
      <c r="N79" s="46">
        <f t="shared" si="26"/>
        <v>0</v>
      </c>
      <c r="O79" s="46">
        <f t="shared" si="25"/>
        <v>0</v>
      </c>
      <c r="P79" s="46">
        <f t="shared" si="25"/>
        <v>0</v>
      </c>
      <c r="Q79" s="46">
        <f t="shared" si="25"/>
        <v>0</v>
      </c>
      <c r="R79" s="46">
        <f t="shared" si="25"/>
        <v>0</v>
      </c>
      <c r="S79" s="46">
        <f t="shared" si="25"/>
        <v>0</v>
      </c>
      <c r="T79" s="46">
        <f t="shared" si="25"/>
        <v>0</v>
      </c>
      <c r="U79" s="47">
        <f t="shared" si="24"/>
        <v>0</v>
      </c>
      <c r="V79" s="47">
        <f t="shared" si="24"/>
        <v>0</v>
      </c>
      <c r="W79" s="47">
        <f t="shared" si="24"/>
        <v>0</v>
      </c>
      <c r="X79" s="47">
        <f t="shared" si="27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26"/>
        <v>0</v>
      </c>
      <c r="M80" s="46">
        <f t="shared" si="26"/>
        <v>0</v>
      </c>
      <c r="N80" s="46">
        <f t="shared" si="26"/>
        <v>0</v>
      </c>
      <c r="O80" s="46">
        <f t="shared" si="25"/>
        <v>0</v>
      </c>
      <c r="P80" s="46">
        <f t="shared" si="25"/>
        <v>0</v>
      </c>
      <c r="Q80" s="46">
        <f t="shared" si="25"/>
        <v>0</v>
      </c>
      <c r="R80" s="46">
        <f t="shared" si="25"/>
        <v>0</v>
      </c>
      <c r="S80" s="46">
        <f t="shared" si="25"/>
        <v>0</v>
      </c>
      <c r="T80" s="46">
        <f t="shared" si="25"/>
        <v>0</v>
      </c>
      <c r="U80" s="47">
        <f t="shared" si="24"/>
        <v>0</v>
      </c>
      <c r="V80" s="47">
        <f t="shared" si="24"/>
        <v>0</v>
      </c>
      <c r="W80" s="47">
        <f t="shared" si="24"/>
        <v>0</v>
      </c>
      <c r="X80" s="47">
        <f t="shared" si="27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26"/>
        <v>0</v>
      </c>
      <c r="M81" s="46">
        <f t="shared" si="26"/>
        <v>0</v>
      </c>
      <c r="N81" s="46">
        <f t="shared" si="26"/>
        <v>0</v>
      </c>
      <c r="O81" s="46">
        <f t="shared" si="25"/>
        <v>0</v>
      </c>
      <c r="P81" s="46">
        <f t="shared" si="25"/>
        <v>0</v>
      </c>
      <c r="Q81" s="46">
        <f t="shared" si="25"/>
        <v>0</v>
      </c>
      <c r="R81" s="46">
        <f t="shared" si="25"/>
        <v>0</v>
      </c>
      <c r="S81" s="46">
        <f t="shared" si="25"/>
        <v>0</v>
      </c>
      <c r="T81" s="46">
        <f t="shared" si="25"/>
        <v>0</v>
      </c>
      <c r="U81" s="47">
        <f t="shared" si="24"/>
        <v>0</v>
      </c>
      <c r="V81" s="47">
        <f t="shared" si="24"/>
        <v>0</v>
      </c>
      <c r="W81" s="47">
        <f t="shared" si="24"/>
        <v>0</v>
      </c>
      <c r="X81" s="47">
        <f t="shared" si="27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26"/>
        <v>0</v>
      </c>
      <c r="M82" s="46">
        <f t="shared" si="26"/>
        <v>0</v>
      </c>
      <c r="N82" s="46">
        <f t="shared" si="26"/>
        <v>0</v>
      </c>
      <c r="O82" s="46">
        <f t="shared" si="25"/>
        <v>0</v>
      </c>
      <c r="P82" s="46">
        <f t="shared" si="25"/>
        <v>0</v>
      </c>
      <c r="Q82" s="46">
        <f t="shared" si="25"/>
        <v>0</v>
      </c>
      <c r="R82" s="46">
        <f t="shared" si="25"/>
        <v>0</v>
      </c>
      <c r="S82" s="46">
        <f t="shared" si="25"/>
        <v>0</v>
      </c>
      <c r="T82" s="46">
        <f t="shared" si="25"/>
        <v>0</v>
      </c>
      <c r="U82" s="47">
        <f t="shared" si="24"/>
        <v>0</v>
      </c>
      <c r="V82" s="47">
        <f t="shared" si="24"/>
        <v>0</v>
      </c>
      <c r="W82" s="47">
        <f t="shared" si="24"/>
        <v>0</v>
      </c>
      <c r="X82" s="47">
        <f t="shared" si="27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26"/>
        <v>0</v>
      </c>
      <c r="M83" s="46">
        <f t="shared" si="26"/>
        <v>0</v>
      </c>
      <c r="N83" s="46">
        <f t="shared" si="26"/>
        <v>0</v>
      </c>
      <c r="O83" s="46">
        <f t="shared" si="25"/>
        <v>0</v>
      </c>
      <c r="P83" s="46">
        <f t="shared" si="25"/>
        <v>0</v>
      </c>
      <c r="Q83" s="46">
        <f t="shared" si="25"/>
        <v>0</v>
      </c>
      <c r="R83" s="46">
        <f t="shared" si="25"/>
        <v>0</v>
      </c>
      <c r="S83" s="46">
        <f t="shared" si="25"/>
        <v>0</v>
      </c>
      <c r="T83" s="46">
        <f t="shared" si="25"/>
        <v>0</v>
      </c>
      <c r="U83" s="47">
        <f t="shared" si="24"/>
        <v>0</v>
      </c>
      <c r="V83" s="47">
        <f t="shared" si="24"/>
        <v>0</v>
      </c>
      <c r="W83" s="47">
        <f t="shared" si="24"/>
        <v>0</v>
      </c>
      <c r="X83" s="47">
        <f t="shared" si="27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26"/>
        <v>0</v>
      </c>
      <c r="M84" s="46">
        <f t="shared" si="26"/>
        <v>0</v>
      </c>
      <c r="N84" s="46">
        <f t="shared" si="26"/>
        <v>0</v>
      </c>
      <c r="O84" s="46">
        <f t="shared" si="25"/>
        <v>0</v>
      </c>
      <c r="P84" s="46">
        <f t="shared" si="25"/>
        <v>0</v>
      </c>
      <c r="Q84" s="46">
        <f t="shared" si="25"/>
        <v>0</v>
      </c>
      <c r="R84" s="46">
        <f t="shared" si="25"/>
        <v>0</v>
      </c>
      <c r="S84" s="46">
        <f t="shared" si="25"/>
        <v>0</v>
      </c>
      <c r="T84" s="46">
        <f t="shared" si="25"/>
        <v>0</v>
      </c>
      <c r="U84" s="47">
        <f t="shared" si="24"/>
        <v>0</v>
      </c>
      <c r="V84" s="47">
        <f t="shared" si="24"/>
        <v>0</v>
      </c>
      <c r="W84" s="47">
        <f t="shared" si="24"/>
        <v>0</v>
      </c>
      <c r="X84" s="47">
        <f t="shared" si="27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26"/>
        <v>0</v>
      </c>
      <c r="M85" s="46">
        <f t="shared" si="26"/>
        <v>0</v>
      </c>
      <c r="N85" s="46">
        <f t="shared" si="26"/>
        <v>0</v>
      </c>
      <c r="O85" s="46">
        <f t="shared" si="25"/>
        <v>0</v>
      </c>
      <c r="P85" s="46">
        <f t="shared" si="25"/>
        <v>0</v>
      </c>
      <c r="Q85" s="46">
        <f t="shared" si="25"/>
        <v>0</v>
      </c>
      <c r="R85" s="46">
        <f t="shared" si="25"/>
        <v>0</v>
      </c>
      <c r="S85" s="46">
        <f t="shared" si="25"/>
        <v>0</v>
      </c>
      <c r="T85" s="46">
        <f t="shared" si="25"/>
        <v>0</v>
      </c>
      <c r="U85" s="47">
        <f t="shared" si="24"/>
        <v>0</v>
      </c>
      <c r="V85" s="47">
        <f t="shared" si="24"/>
        <v>0</v>
      </c>
      <c r="W85" s="47">
        <f t="shared" si="24"/>
        <v>0</v>
      </c>
      <c r="X85" s="47">
        <f t="shared" si="27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26"/>
        <v>0</v>
      </c>
      <c r="M86" s="46">
        <f t="shared" si="26"/>
        <v>0</v>
      </c>
      <c r="N86" s="46">
        <f t="shared" si="26"/>
        <v>0</v>
      </c>
      <c r="O86" s="46">
        <f t="shared" si="25"/>
        <v>0</v>
      </c>
      <c r="P86" s="46">
        <f t="shared" si="25"/>
        <v>0</v>
      </c>
      <c r="Q86" s="46">
        <f t="shared" si="25"/>
        <v>0</v>
      </c>
      <c r="R86" s="46">
        <f t="shared" si="25"/>
        <v>0</v>
      </c>
      <c r="S86" s="46">
        <f t="shared" si="25"/>
        <v>0</v>
      </c>
      <c r="T86" s="46">
        <f t="shared" si="25"/>
        <v>0</v>
      </c>
      <c r="U86" s="47">
        <f t="shared" si="24"/>
        <v>0</v>
      </c>
      <c r="V86" s="47">
        <f t="shared" si="24"/>
        <v>0</v>
      </c>
      <c r="W86" s="47">
        <f t="shared" si="24"/>
        <v>0</v>
      </c>
      <c r="X86" s="47">
        <f t="shared" si="27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26"/>
        <v>0</v>
      </c>
      <c r="M87" s="46">
        <f t="shared" si="26"/>
        <v>0</v>
      </c>
      <c r="N87" s="46">
        <f t="shared" si="26"/>
        <v>0</v>
      </c>
      <c r="O87" s="46">
        <f t="shared" si="25"/>
        <v>0</v>
      </c>
      <c r="P87" s="46">
        <f t="shared" si="25"/>
        <v>0</v>
      </c>
      <c r="Q87" s="46">
        <f t="shared" si="25"/>
        <v>0</v>
      </c>
      <c r="R87" s="46">
        <f t="shared" si="25"/>
        <v>0</v>
      </c>
      <c r="S87" s="46">
        <f t="shared" si="25"/>
        <v>0</v>
      </c>
      <c r="T87" s="46">
        <f t="shared" si="25"/>
        <v>0</v>
      </c>
      <c r="U87" s="47">
        <f t="shared" si="24"/>
        <v>0</v>
      </c>
      <c r="V87" s="47">
        <f t="shared" si="24"/>
        <v>0</v>
      </c>
      <c r="W87" s="47">
        <f t="shared" si="24"/>
        <v>0</v>
      </c>
      <c r="X87" s="47">
        <f t="shared" si="27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26"/>
        <v>0</v>
      </c>
      <c r="M88" s="46">
        <f t="shared" si="26"/>
        <v>0</v>
      </c>
      <c r="N88" s="46">
        <f t="shared" si="26"/>
        <v>0</v>
      </c>
      <c r="O88" s="46">
        <f t="shared" si="25"/>
        <v>0</v>
      </c>
      <c r="P88" s="46">
        <f t="shared" si="25"/>
        <v>0</v>
      </c>
      <c r="Q88" s="46">
        <f t="shared" si="25"/>
        <v>0</v>
      </c>
      <c r="R88" s="46">
        <f t="shared" si="25"/>
        <v>0</v>
      </c>
      <c r="S88" s="46">
        <f t="shared" si="25"/>
        <v>0</v>
      </c>
      <c r="T88" s="46">
        <f t="shared" si="25"/>
        <v>0</v>
      </c>
      <c r="U88" s="47">
        <f t="shared" si="24"/>
        <v>0</v>
      </c>
      <c r="V88" s="47">
        <f t="shared" si="24"/>
        <v>0</v>
      </c>
      <c r="W88" s="47">
        <f t="shared" si="24"/>
        <v>0</v>
      </c>
      <c r="X88" s="47">
        <f t="shared" si="27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26"/>
        <v>0</v>
      </c>
      <c r="M89" s="46">
        <f t="shared" si="26"/>
        <v>0</v>
      </c>
      <c r="N89" s="46">
        <f t="shared" si="26"/>
        <v>0</v>
      </c>
      <c r="O89" s="46">
        <f t="shared" si="25"/>
        <v>0</v>
      </c>
      <c r="P89" s="46">
        <f t="shared" si="25"/>
        <v>0</v>
      </c>
      <c r="Q89" s="46">
        <f t="shared" si="25"/>
        <v>0</v>
      </c>
      <c r="R89" s="46">
        <f t="shared" si="25"/>
        <v>0</v>
      </c>
      <c r="S89" s="46">
        <f t="shared" si="25"/>
        <v>0</v>
      </c>
      <c r="T89" s="46">
        <f t="shared" si="25"/>
        <v>0</v>
      </c>
      <c r="U89" s="47">
        <f t="shared" si="24"/>
        <v>0</v>
      </c>
      <c r="V89" s="47">
        <f t="shared" si="24"/>
        <v>0</v>
      </c>
      <c r="W89" s="47">
        <f t="shared" si="24"/>
        <v>0</v>
      </c>
      <c r="X89" s="47">
        <f t="shared" si="27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26"/>
        <v>0</v>
      </c>
      <c r="M90" s="46">
        <f t="shared" si="26"/>
        <v>0</v>
      </c>
      <c r="N90" s="46">
        <f t="shared" si="26"/>
        <v>0</v>
      </c>
      <c r="O90" s="46">
        <f t="shared" si="25"/>
        <v>0</v>
      </c>
      <c r="P90" s="46">
        <f t="shared" si="25"/>
        <v>0</v>
      </c>
      <c r="Q90" s="46">
        <f t="shared" si="25"/>
        <v>0</v>
      </c>
      <c r="R90" s="46">
        <f t="shared" si="25"/>
        <v>0</v>
      </c>
      <c r="S90" s="46">
        <f t="shared" si="25"/>
        <v>0</v>
      </c>
      <c r="T90" s="46">
        <f t="shared" si="25"/>
        <v>0</v>
      </c>
      <c r="U90" s="47">
        <f t="shared" si="24"/>
        <v>0</v>
      </c>
      <c r="V90" s="47">
        <f t="shared" si="24"/>
        <v>0</v>
      </c>
      <c r="W90" s="47">
        <f t="shared" si="24"/>
        <v>0</v>
      </c>
      <c r="X90" s="47">
        <f t="shared" si="27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26"/>
        <v>0</v>
      </c>
      <c r="M91" s="46">
        <f t="shared" si="26"/>
        <v>0</v>
      </c>
      <c r="N91" s="46">
        <f t="shared" si="26"/>
        <v>0</v>
      </c>
      <c r="O91" s="46">
        <f t="shared" si="25"/>
        <v>0</v>
      </c>
      <c r="P91" s="46">
        <f t="shared" si="25"/>
        <v>0</v>
      </c>
      <c r="Q91" s="46">
        <f t="shared" si="25"/>
        <v>0</v>
      </c>
      <c r="R91" s="46">
        <f t="shared" si="25"/>
        <v>0</v>
      </c>
      <c r="S91" s="46">
        <f t="shared" si="25"/>
        <v>0</v>
      </c>
      <c r="T91" s="46">
        <f t="shared" si="25"/>
        <v>0</v>
      </c>
      <c r="U91" s="47">
        <f t="shared" si="24"/>
        <v>0</v>
      </c>
      <c r="V91" s="47">
        <f t="shared" si="24"/>
        <v>0</v>
      </c>
      <c r="W91" s="47">
        <f t="shared" si="24"/>
        <v>0</v>
      </c>
      <c r="X91" s="47">
        <f t="shared" si="27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26"/>
        <v>0</v>
      </c>
      <c r="M92" s="46">
        <f t="shared" si="26"/>
        <v>0</v>
      </c>
      <c r="N92" s="46">
        <f t="shared" si="26"/>
        <v>0</v>
      </c>
      <c r="O92" s="46">
        <f t="shared" si="25"/>
        <v>0</v>
      </c>
      <c r="P92" s="46">
        <f t="shared" si="25"/>
        <v>0</v>
      </c>
      <c r="Q92" s="46">
        <f t="shared" si="25"/>
        <v>0</v>
      </c>
      <c r="R92" s="46">
        <f t="shared" si="25"/>
        <v>0</v>
      </c>
      <c r="S92" s="46">
        <f t="shared" si="25"/>
        <v>0</v>
      </c>
      <c r="T92" s="46">
        <f t="shared" si="25"/>
        <v>0</v>
      </c>
      <c r="U92" s="47">
        <f t="shared" si="24"/>
        <v>0</v>
      </c>
      <c r="V92" s="47">
        <f t="shared" si="24"/>
        <v>0</v>
      </c>
      <c r="W92" s="47">
        <f t="shared" si="24"/>
        <v>0</v>
      </c>
      <c r="X92" s="47">
        <f t="shared" si="27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26"/>
        <v>0</v>
      </c>
      <c r="M93" s="46">
        <f t="shared" si="26"/>
        <v>0</v>
      </c>
      <c r="N93" s="46">
        <f t="shared" si="26"/>
        <v>0</v>
      </c>
      <c r="O93" s="46">
        <f t="shared" si="25"/>
        <v>0</v>
      </c>
      <c r="P93" s="46">
        <f t="shared" si="25"/>
        <v>0</v>
      </c>
      <c r="Q93" s="46">
        <f t="shared" si="25"/>
        <v>0</v>
      </c>
      <c r="R93" s="46">
        <f t="shared" si="25"/>
        <v>0</v>
      </c>
      <c r="S93" s="46">
        <f t="shared" si="25"/>
        <v>0</v>
      </c>
      <c r="T93" s="46">
        <f t="shared" si="25"/>
        <v>0</v>
      </c>
      <c r="U93" s="47">
        <f t="shared" si="24"/>
        <v>0</v>
      </c>
      <c r="V93" s="47">
        <f t="shared" si="24"/>
        <v>0</v>
      </c>
      <c r="W93" s="47">
        <f t="shared" si="24"/>
        <v>0</v>
      </c>
      <c r="X93" s="47">
        <f t="shared" si="27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26"/>
        <v>0</v>
      </c>
      <c r="M94" s="46">
        <f t="shared" si="26"/>
        <v>0</v>
      </c>
      <c r="N94" s="46">
        <f t="shared" si="26"/>
        <v>0</v>
      </c>
      <c r="O94" s="46">
        <f t="shared" si="25"/>
        <v>0</v>
      </c>
      <c r="P94" s="46">
        <f t="shared" si="25"/>
        <v>0</v>
      </c>
      <c r="Q94" s="46">
        <f t="shared" si="25"/>
        <v>0</v>
      </c>
      <c r="R94" s="46">
        <f t="shared" si="25"/>
        <v>0</v>
      </c>
      <c r="S94" s="46">
        <f t="shared" si="25"/>
        <v>0</v>
      </c>
      <c r="T94" s="46">
        <f t="shared" si="25"/>
        <v>0</v>
      </c>
      <c r="U94" s="47">
        <f t="shared" si="24"/>
        <v>0</v>
      </c>
      <c r="V94" s="47">
        <f t="shared" si="24"/>
        <v>0</v>
      </c>
      <c r="W94" s="47">
        <f t="shared" si="24"/>
        <v>0</v>
      </c>
      <c r="X94" s="47">
        <f t="shared" si="27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26"/>
        <v>0</v>
      </c>
      <c r="M95" s="46">
        <f t="shared" si="26"/>
        <v>0</v>
      </c>
      <c r="N95" s="46">
        <f t="shared" si="26"/>
        <v>0</v>
      </c>
      <c r="O95" s="46">
        <f t="shared" si="25"/>
        <v>0</v>
      </c>
      <c r="P95" s="46">
        <f t="shared" si="25"/>
        <v>0</v>
      </c>
      <c r="Q95" s="46">
        <f t="shared" si="25"/>
        <v>0</v>
      </c>
      <c r="R95" s="46">
        <f t="shared" si="25"/>
        <v>0</v>
      </c>
      <c r="S95" s="46">
        <f t="shared" si="25"/>
        <v>0</v>
      </c>
      <c r="T95" s="46">
        <f t="shared" si="25"/>
        <v>0</v>
      </c>
      <c r="U95" s="47">
        <f t="shared" si="24"/>
        <v>0</v>
      </c>
      <c r="V95" s="47">
        <f t="shared" si="24"/>
        <v>0</v>
      </c>
      <c r="W95" s="47">
        <f t="shared" si="24"/>
        <v>0</v>
      </c>
      <c r="X95" s="47">
        <f t="shared" si="27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26"/>
        <v>0</v>
      </c>
      <c r="M96" s="46">
        <f t="shared" si="26"/>
        <v>0</v>
      </c>
      <c r="N96" s="46">
        <f t="shared" si="26"/>
        <v>0</v>
      </c>
      <c r="O96" s="46">
        <f t="shared" si="25"/>
        <v>0</v>
      </c>
      <c r="P96" s="46">
        <f t="shared" si="25"/>
        <v>0</v>
      </c>
      <c r="Q96" s="46">
        <f t="shared" si="25"/>
        <v>0</v>
      </c>
      <c r="R96" s="46">
        <f t="shared" si="25"/>
        <v>0</v>
      </c>
      <c r="S96" s="46">
        <f t="shared" si="25"/>
        <v>0</v>
      </c>
      <c r="T96" s="46">
        <f t="shared" si="25"/>
        <v>0</v>
      </c>
      <c r="U96" s="47">
        <f t="shared" si="24"/>
        <v>0</v>
      </c>
      <c r="V96" s="47">
        <f t="shared" si="24"/>
        <v>0</v>
      </c>
      <c r="W96" s="47">
        <f t="shared" si="24"/>
        <v>0</v>
      </c>
      <c r="X96" s="47">
        <f t="shared" si="27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26"/>
        <v>0</v>
      </c>
      <c r="M97" s="46">
        <f t="shared" si="26"/>
        <v>0</v>
      </c>
      <c r="N97" s="46">
        <f t="shared" si="26"/>
        <v>0</v>
      </c>
      <c r="O97" s="46">
        <f t="shared" si="25"/>
        <v>0</v>
      </c>
      <c r="P97" s="46">
        <f t="shared" si="25"/>
        <v>0</v>
      </c>
      <c r="Q97" s="46">
        <f t="shared" si="25"/>
        <v>0</v>
      </c>
      <c r="R97" s="46">
        <f t="shared" si="25"/>
        <v>0</v>
      </c>
      <c r="S97" s="46">
        <f t="shared" si="25"/>
        <v>0</v>
      </c>
      <c r="T97" s="46">
        <f t="shared" si="25"/>
        <v>0</v>
      </c>
      <c r="U97" s="47">
        <f t="shared" si="24"/>
        <v>0</v>
      </c>
      <c r="V97" s="47">
        <f t="shared" si="24"/>
        <v>0</v>
      </c>
      <c r="W97" s="47">
        <f t="shared" si="24"/>
        <v>0</v>
      </c>
      <c r="X97" s="47">
        <f t="shared" si="27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26"/>
        <v>0</v>
      </c>
      <c r="M98" s="46">
        <f t="shared" si="26"/>
        <v>0</v>
      </c>
      <c r="N98" s="46">
        <f t="shared" si="26"/>
        <v>0</v>
      </c>
      <c r="O98" s="46">
        <f t="shared" si="25"/>
        <v>0</v>
      </c>
      <c r="P98" s="46">
        <f t="shared" si="25"/>
        <v>0</v>
      </c>
      <c r="Q98" s="46">
        <f t="shared" si="25"/>
        <v>0</v>
      </c>
      <c r="R98" s="46">
        <f t="shared" si="25"/>
        <v>0</v>
      </c>
      <c r="S98" s="46">
        <f t="shared" si="25"/>
        <v>0</v>
      </c>
      <c r="T98" s="46">
        <f t="shared" si="25"/>
        <v>0</v>
      </c>
      <c r="U98" s="47">
        <f t="shared" si="24"/>
        <v>0</v>
      </c>
      <c r="V98" s="47">
        <f t="shared" si="24"/>
        <v>0</v>
      </c>
      <c r="W98" s="47">
        <f t="shared" si="24"/>
        <v>0</v>
      </c>
      <c r="X98" s="47">
        <f t="shared" si="27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26"/>
        <v>0</v>
      </c>
      <c r="M99" s="46">
        <f t="shared" si="26"/>
        <v>0</v>
      </c>
      <c r="N99" s="46">
        <f t="shared" si="26"/>
        <v>0</v>
      </c>
      <c r="O99" s="46">
        <f t="shared" si="25"/>
        <v>0</v>
      </c>
      <c r="P99" s="46">
        <f t="shared" si="25"/>
        <v>0</v>
      </c>
      <c r="Q99" s="46">
        <f t="shared" si="25"/>
        <v>0</v>
      </c>
      <c r="R99" s="46">
        <f t="shared" si="25"/>
        <v>0</v>
      </c>
      <c r="S99" s="46">
        <f t="shared" si="25"/>
        <v>0</v>
      </c>
      <c r="T99" s="46">
        <f t="shared" si="25"/>
        <v>0</v>
      </c>
      <c r="U99" s="47">
        <f t="shared" si="24"/>
        <v>0</v>
      </c>
      <c r="V99" s="47">
        <f t="shared" si="24"/>
        <v>0</v>
      </c>
      <c r="W99" s="47">
        <f t="shared" si="24"/>
        <v>0</v>
      </c>
      <c r="X99" s="47">
        <f t="shared" si="27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26"/>
        <v>0</v>
      </c>
      <c r="M100" s="46">
        <f t="shared" si="26"/>
        <v>0</v>
      </c>
      <c r="N100" s="46">
        <f t="shared" si="26"/>
        <v>0</v>
      </c>
      <c r="O100" s="46">
        <f t="shared" si="25"/>
        <v>0</v>
      </c>
      <c r="P100" s="46">
        <f t="shared" si="25"/>
        <v>0</v>
      </c>
      <c r="Q100" s="46">
        <f t="shared" si="25"/>
        <v>0</v>
      </c>
      <c r="R100" s="46">
        <f t="shared" si="25"/>
        <v>0</v>
      </c>
      <c r="S100" s="46">
        <f t="shared" si="25"/>
        <v>0</v>
      </c>
      <c r="T100" s="46">
        <f t="shared" si="25"/>
        <v>0</v>
      </c>
      <c r="U100" s="47">
        <f t="shared" si="24"/>
        <v>0</v>
      </c>
      <c r="V100" s="47">
        <f t="shared" si="24"/>
        <v>0</v>
      </c>
      <c r="W100" s="47">
        <f t="shared" si="24"/>
        <v>0</v>
      </c>
      <c r="X100" s="47">
        <f t="shared" si="27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26"/>
        <v>0</v>
      </c>
      <c r="M101" s="46">
        <f t="shared" si="26"/>
        <v>0</v>
      </c>
      <c r="N101" s="46">
        <f t="shared" si="26"/>
        <v>0</v>
      </c>
      <c r="O101" s="46">
        <f t="shared" si="25"/>
        <v>0</v>
      </c>
      <c r="P101" s="46">
        <f t="shared" si="25"/>
        <v>0</v>
      </c>
      <c r="Q101" s="46">
        <f t="shared" si="25"/>
        <v>0</v>
      </c>
      <c r="R101" s="46">
        <f t="shared" si="25"/>
        <v>0</v>
      </c>
      <c r="S101" s="46">
        <f t="shared" si="25"/>
        <v>0</v>
      </c>
      <c r="T101" s="46">
        <f t="shared" si="25"/>
        <v>0</v>
      </c>
      <c r="U101" s="47">
        <f t="shared" si="24"/>
        <v>0</v>
      </c>
      <c r="V101" s="47">
        <f t="shared" si="24"/>
        <v>0</v>
      </c>
      <c r="W101" s="47">
        <f t="shared" si="24"/>
        <v>0</v>
      </c>
      <c r="X101" s="47">
        <f t="shared" si="27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26"/>
        <v>0</v>
      </c>
      <c r="M102" s="46">
        <f t="shared" si="26"/>
        <v>0</v>
      </c>
      <c r="N102" s="46">
        <f t="shared" si="26"/>
        <v>0</v>
      </c>
      <c r="O102" s="46">
        <f t="shared" si="25"/>
        <v>0</v>
      </c>
      <c r="P102" s="46">
        <f t="shared" si="25"/>
        <v>0</v>
      </c>
      <c r="Q102" s="46">
        <f t="shared" si="25"/>
        <v>0</v>
      </c>
      <c r="R102" s="46">
        <f t="shared" si="25"/>
        <v>0</v>
      </c>
      <c r="S102" s="46">
        <f t="shared" si="25"/>
        <v>0</v>
      </c>
      <c r="T102" s="46">
        <f t="shared" si="25"/>
        <v>0</v>
      </c>
      <c r="U102" s="47">
        <f t="shared" si="24"/>
        <v>0</v>
      </c>
      <c r="V102" s="47">
        <f t="shared" si="24"/>
        <v>0</v>
      </c>
      <c r="W102" s="47">
        <f t="shared" si="24"/>
        <v>0</v>
      </c>
      <c r="X102" s="47">
        <f t="shared" si="27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26"/>
        <v>0</v>
      </c>
      <c r="M103" s="46">
        <f t="shared" si="26"/>
        <v>0</v>
      </c>
      <c r="N103" s="46">
        <f t="shared" si="26"/>
        <v>0</v>
      </c>
      <c r="O103" s="46">
        <f t="shared" si="25"/>
        <v>0</v>
      </c>
      <c r="P103" s="46">
        <f t="shared" si="25"/>
        <v>0</v>
      </c>
      <c r="Q103" s="46">
        <f t="shared" si="25"/>
        <v>0</v>
      </c>
      <c r="R103" s="46">
        <f t="shared" si="25"/>
        <v>0</v>
      </c>
      <c r="S103" s="46">
        <f t="shared" si="25"/>
        <v>0</v>
      </c>
      <c r="T103" s="46">
        <f t="shared" si="25"/>
        <v>0</v>
      </c>
      <c r="U103" s="47">
        <f t="shared" si="24"/>
        <v>0</v>
      </c>
      <c r="V103" s="47">
        <f t="shared" si="24"/>
        <v>0</v>
      </c>
      <c r="W103" s="47">
        <f t="shared" si="24"/>
        <v>0</v>
      </c>
      <c r="X103" s="47">
        <f t="shared" si="27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26"/>
        <v>0</v>
      </c>
      <c r="M104" s="46">
        <f t="shared" si="26"/>
        <v>0</v>
      </c>
      <c r="N104" s="46">
        <f t="shared" si="26"/>
        <v>0</v>
      </c>
      <c r="O104" s="46">
        <f t="shared" si="25"/>
        <v>0</v>
      </c>
      <c r="P104" s="46">
        <f t="shared" si="25"/>
        <v>0</v>
      </c>
      <c r="Q104" s="46">
        <f t="shared" si="25"/>
        <v>0</v>
      </c>
      <c r="R104" s="46">
        <f t="shared" si="25"/>
        <v>0</v>
      </c>
      <c r="S104" s="46">
        <f t="shared" si="25"/>
        <v>0</v>
      </c>
      <c r="T104" s="46">
        <f t="shared" si="25"/>
        <v>0</v>
      </c>
      <c r="U104" s="47">
        <f t="shared" si="24"/>
        <v>0</v>
      </c>
      <c r="V104" s="47">
        <f t="shared" si="24"/>
        <v>0</v>
      </c>
      <c r="W104" s="47">
        <f t="shared" si="24"/>
        <v>0</v>
      </c>
      <c r="X104" s="47">
        <f t="shared" si="27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26"/>
        <v>0</v>
      </c>
      <c r="M105" s="46">
        <f t="shared" si="26"/>
        <v>0</v>
      </c>
      <c r="N105" s="46">
        <f t="shared" si="26"/>
        <v>0</v>
      </c>
      <c r="O105" s="46">
        <f t="shared" si="25"/>
        <v>0</v>
      </c>
      <c r="P105" s="46">
        <f t="shared" si="25"/>
        <v>0</v>
      </c>
      <c r="Q105" s="46">
        <f t="shared" si="25"/>
        <v>0</v>
      </c>
      <c r="R105" s="46">
        <f t="shared" si="25"/>
        <v>0</v>
      </c>
      <c r="S105" s="46">
        <f t="shared" si="25"/>
        <v>0</v>
      </c>
      <c r="T105" s="46">
        <f t="shared" si="25"/>
        <v>0</v>
      </c>
      <c r="U105" s="47">
        <f t="shared" si="24"/>
        <v>0</v>
      </c>
      <c r="V105" s="47">
        <f t="shared" si="24"/>
        <v>0</v>
      </c>
      <c r="W105" s="47">
        <f t="shared" si="24"/>
        <v>0</v>
      </c>
      <c r="X105" s="47">
        <f t="shared" si="27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26"/>
        <v>0</v>
      </c>
      <c r="M106" s="46">
        <f t="shared" si="26"/>
        <v>0</v>
      </c>
      <c r="N106" s="46">
        <f t="shared" si="26"/>
        <v>0</v>
      </c>
      <c r="O106" s="46">
        <f t="shared" si="25"/>
        <v>0</v>
      </c>
      <c r="P106" s="46">
        <f t="shared" si="25"/>
        <v>0</v>
      </c>
      <c r="Q106" s="46">
        <f t="shared" si="25"/>
        <v>0</v>
      </c>
      <c r="R106" s="46">
        <f t="shared" si="25"/>
        <v>0</v>
      </c>
      <c r="S106" s="46">
        <f t="shared" si="25"/>
        <v>0</v>
      </c>
      <c r="T106" s="46">
        <f t="shared" si="25"/>
        <v>0</v>
      </c>
      <c r="U106" s="47">
        <f t="shared" si="24"/>
        <v>0</v>
      </c>
      <c r="V106" s="47">
        <f t="shared" si="24"/>
        <v>0</v>
      </c>
      <c r="W106" s="47">
        <f t="shared" si="24"/>
        <v>0</v>
      </c>
      <c r="X106" s="47">
        <f t="shared" si="27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26"/>
        <v>0</v>
      </c>
      <c r="M107" s="46">
        <f t="shared" si="26"/>
        <v>0</v>
      </c>
      <c r="N107" s="46">
        <f t="shared" si="26"/>
        <v>0</v>
      </c>
      <c r="O107" s="46">
        <f t="shared" si="25"/>
        <v>0</v>
      </c>
      <c r="P107" s="46">
        <f t="shared" si="25"/>
        <v>0</v>
      </c>
      <c r="Q107" s="46">
        <f t="shared" si="25"/>
        <v>0</v>
      </c>
      <c r="R107" s="46">
        <f t="shared" si="25"/>
        <v>0</v>
      </c>
      <c r="S107" s="46">
        <f t="shared" si="25"/>
        <v>0</v>
      </c>
      <c r="T107" s="46">
        <f t="shared" si="25"/>
        <v>0</v>
      </c>
      <c r="U107" s="47">
        <f t="shared" si="24"/>
        <v>0</v>
      </c>
      <c r="V107" s="47">
        <f t="shared" si="24"/>
        <v>0</v>
      </c>
      <c r="W107" s="47">
        <f t="shared" si="24"/>
        <v>0</v>
      </c>
      <c r="X107" s="47">
        <f t="shared" si="27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26"/>
        <v>0</v>
      </c>
      <c r="M108" s="46">
        <f t="shared" si="26"/>
        <v>0</v>
      </c>
      <c r="N108" s="46">
        <f t="shared" si="26"/>
        <v>0</v>
      </c>
      <c r="O108" s="46">
        <f t="shared" si="25"/>
        <v>0</v>
      </c>
      <c r="P108" s="46">
        <f t="shared" si="25"/>
        <v>0</v>
      </c>
      <c r="Q108" s="46">
        <f t="shared" si="25"/>
        <v>0</v>
      </c>
      <c r="R108" s="46">
        <f t="shared" si="25"/>
        <v>0</v>
      </c>
      <c r="S108" s="46">
        <f t="shared" si="25"/>
        <v>0</v>
      </c>
      <c r="T108" s="46">
        <f t="shared" si="25"/>
        <v>0</v>
      </c>
      <c r="U108" s="47">
        <f t="shared" ref="U108:W151" si="28">L108+Q108</f>
        <v>0</v>
      </c>
      <c r="V108" s="47">
        <f t="shared" si="28"/>
        <v>0</v>
      </c>
      <c r="W108" s="47">
        <f t="shared" si="28"/>
        <v>0</v>
      </c>
      <c r="X108" s="47">
        <f t="shared" si="27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26"/>
        <v>0</v>
      </c>
      <c r="M109" s="46">
        <f t="shared" si="26"/>
        <v>0</v>
      </c>
      <c r="N109" s="46">
        <f t="shared" si="26"/>
        <v>0</v>
      </c>
      <c r="O109" s="46">
        <f t="shared" si="25"/>
        <v>0</v>
      </c>
      <c r="P109" s="46">
        <f t="shared" si="25"/>
        <v>0</v>
      </c>
      <c r="Q109" s="46">
        <f t="shared" si="25"/>
        <v>0</v>
      </c>
      <c r="R109" s="46">
        <f t="shared" si="25"/>
        <v>0</v>
      </c>
      <c r="S109" s="46">
        <f t="shared" si="25"/>
        <v>0</v>
      </c>
      <c r="T109" s="46">
        <f t="shared" si="25"/>
        <v>0</v>
      </c>
      <c r="U109" s="47">
        <f t="shared" si="28"/>
        <v>0</v>
      </c>
      <c r="V109" s="47">
        <f t="shared" si="28"/>
        <v>0</v>
      </c>
      <c r="W109" s="47">
        <f t="shared" si="28"/>
        <v>0</v>
      </c>
      <c r="X109" s="47">
        <f t="shared" si="27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26"/>
        <v>0</v>
      </c>
      <c r="M110" s="46">
        <f t="shared" si="26"/>
        <v>0</v>
      </c>
      <c r="N110" s="46">
        <f t="shared" si="26"/>
        <v>0</v>
      </c>
      <c r="O110" s="46">
        <f t="shared" si="25"/>
        <v>0</v>
      </c>
      <c r="P110" s="46">
        <f t="shared" si="25"/>
        <v>0</v>
      </c>
      <c r="Q110" s="46">
        <f t="shared" si="25"/>
        <v>0</v>
      </c>
      <c r="R110" s="46">
        <f t="shared" si="25"/>
        <v>0</v>
      </c>
      <c r="S110" s="46">
        <f t="shared" si="25"/>
        <v>0</v>
      </c>
      <c r="T110" s="46">
        <f t="shared" si="25"/>
        <v>0</v>
      </c>
      <c r="U110" s="47">
        <f t="shared" si="28"/>
        <v>0</v>
      </c>
      <c r="V110" s="47">
        <f t="shared" si="28"/>
        <v>0</v>
      </c>
      <c r="W110" s="47">
        <f t="shared" si="28"/>
        <v>0</v>
      </c>
      <c r="X110" s="47">
        <f t="shared" si="27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26"/>
        <v>0</v>
      </c>
      <c r="M111" s="46">
        <f t="shared" si="26"/>
        <v>0</v>
      </c>
      <c r="N111" s="46">
        <f t="shared" si="26"/>
        <v>0</v>
      </c>
      <c r="O111" s="46">
        <f t="shared" si="25"/>
        <v>0</v>
      </c>
      <c r="P111" s="46">
        <f t="shared" si="25"/>
        <v>0</v>
      </c>
      <c r="Q111" s="46">
        <f t="shared" si="25"/>
        <v>0</v>
      </c>
      <c r="R111" s="46">
        <f t="shared" si="25"/>
        <v>0</v>
      </c>
      <c r="S111" s="46">
        <f t="shared" si="25"/>
        <v>0</v>
      </c>
      <c r="T111" s="46">
        <f t="shared" si="25"/>
        <v>0</v>
      </c>
      <c r="U111" s="47">
        <f t="shared" si="28"/>
        <v>0</v>
      </c>
      <c r="V111" s="47">
        <f t="shared" si="28"/>
        <v>0</v>
      </c>
      <c r="W111" s="47">
        <f t="shared" si="28"/>
        <v>0</v>
      </c>
      <c r="X111" s="47">
        <f t="shared" si="27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26"/>
        <v>0</v>
      </c>
      <c r="M112" s="46">
        <f t="shared" si="26"/>
        <v>0</v>
      </c>
      <c r="N112" s="46">
        <f t="shared" si="26"/>
        <v>0</v>
      </c>
      <c r="O112" s="46">
        <f t="shared" si="25"/>
        <v>0</v>
      </c>
      <c r="P112" s="46">
        <f t="shared" si="25"/>
        <v>0</v>
      </c>
      <c r="Q112" s="46">
        <f t="shared" si="25"/>
        <v>0</v>
      </c>
      <c r="R112" s="46">
        <f t="shared" si="25"/>
        <v>0</v>
      </c>
      <c r="S112" s="46">
        <f t="shared" si="25"/>
        <v>0</v>
      </c>
      <c r="T112" s="46">
        <f t="shared" si="25"/>
        <v>0</v>
      </c>
      <c r="U112" s="47">
        <f t="shared" si="28"/>
        <v>0</v>
      </c>
      <c r="V112" s="47">
        <f t="shared" si="28"/>
        <v>0</v>
      </c>
      <c r="W112" s="47">
        <f t="shared" si="28"/>
        <v>0</v>
      </c>
      <c r="X112" s="47">
        <f t="shared" si="27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26"/>
        <v>0</v>
      </c>
      <c r="M113" s="46">
        <f t="shared" si="26"/>
        <v>0</v>
      </c>
      <c r="N113" s="46">
        <f t="shared" si="26"/>
        <v>0</v>
      </c>
      <c r="O113" s="46">
        <f t="shared" si="25"/>
        <v>0</v>
      </c>
      <c r="P113" s="46">
        <f t="shared" si="25"/>
        <v>0</v>
      </c>
      <c r="Q113" s="46">
        <f t="shared" si="25"/>
        <v>0</v>
      </c>
      <c r="R113" s="46">
        <f t="shared" si="25"/>
        <v>0</v>
      </c>
      <c r="S113" s="46">
        <f t="shared" si="25"/>
        <v>0</v>
      </c>
      <c r="T113" s="46">
        <f t="shared" si="25"/>
        <v>0</v>
      </c>
      <c r="U113" s="47">
        <f t="shared" si="28"/>
        <v>0</v>
      </c>
      <c r="V113" s="47">
        <f t="shared" si="28"/>
        <v>0</v>
      </c>
      <c r="W113" s="47">
        <f t="shared" si="28"/>
        <v>0</v>
      </c>
      <c r="X113" s="47">
        <f t="shared" si="27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26"/>
        <v>0</v>
      </c>
      <c r="M114" s="46">
        <f t="shared" si="26"/>
        <v>0</v>
      </c>
      <c r="N114" s="46">
        <f t="shared" si="26"/>
        <v>0</v>
      </c>
      <c r="O114" s="46">
        <f t="shared" si="25"/>
        <v>0</v>
      </c>
      <c r="P114" s="46">
        <f t="shared" si="25"/>
        <v>0</v>
      </c>
      <c r="Q114" s="46">
        <f t="shared" si="25"/>
        <v>0</v>
      </c>
      <c r="R114" s="46">
        <f t="shared" ref="R114:T151" si="29">IFERROR(H115-H114,0)</f>
        <v>0</v>
      </c>
      <c r="S114" s="46">
        <f t="shared" si="29"/>
        <v>0</v>
      </c>
      <c r="T114" s="46">
        <f t="shared" si="29"/>
        <v>0</v>
      </c>
      <c r="U114" s="47">
        <f t="shared" si="28"/>
        <v>0</v>
      </c>
      <c r="V114" s="47">
        <f t="shared" si="28"/>
        <v>0</v>
      </c>
      <c r="W114" s="47">
        <f t="shared" si="28"/>
        <v>0</v>
      </c>
      <c r="X114" s="47">
        <f t="shared" si="27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26"/>
        <v>0</v>
      </c>
      <c r="M115" s="46">
        <f t="shared" si="26"/>
        <v>0</v>
      </c>
      <c r="N115" s="46">
        <f t="shared" si="26"/>
        <v>0</v>
      </c>
      <c r="O115" s="46">
        <f t="shared" si="26"/>
        <v>0</v>
      </c>
      <c r="P115" s="46">
        <f t="shared" si="26"/>
        <v>0</v>
      </c>
      <c r="Q115" s="46">
        <f t="shared" si="26"/>
        <v>0</v>
      </c>
      <c r="R115" s="46">
        <f t="shared" si="29"/>
        <v>0</v>
      </c>
      <c r="S115" s="46">
        <f t="shared" si="29"/>
        <v>0</v>
      </c>
      <c r="T115" s="46">
        <f t="shared" si="29"/>
        <v>0</v>
      </c>
      <c r="U115" s="47">
        <f t="shared" si="28"/>
        <v>0</v>
      </c>
      <c r="V115" s="47">
        <f t="shared" si="28"/>
        <v>0</v>
      </c>
      <c r="W115" s="47">
        <f t="shared" si="28"/>
        <v>0</v>
      </c>
      <c r="X115" s="47">
        <f t="shared" si="27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26"/>
        <v>0</v>
      </c>
      <c r="M116" s="46">
        <f t="shared" si="26"/>
        <v>0</v>
      </c>
      <c r="N116" s="46">
        <f t="shared" si="26"/>
        <v>0</v>
      </c>
      <c r="O116" s="46">
        <f t="shared" si="26"/>
        <v>0</v>
      </c>
      <c r="P116" s="46">
        <f t="shared" si="26"/>
        <v>0</v>
      </c>
      <c r="Q116" s="46">
        <f t="shared" si="26"/>
        <v>0</v>
      </c>
      <c r="R116" s="46">
        <f t="shared" si="29"/>
        <v>0</v>
      </c>
      <c r="S116" s="46">
        <f t="shared" si="29"/>
        <v>0</v>
      </c>
      <c r="T116" s="46">
        <f t="shared" si="29"/>
        <v>0</v>
      </c>
      <c r="U116" s="47">
        <f t="shared" si="28"/>
        <v>0</v>
      </c>
      <c r="V116" s="47">
        <f t="shared" si="28"/>
        <v>0</v>
      </c>
      <c r="W116" s="47">
        <f t="shared" si="28"/>
        <v>0</v>
      </c>
      <c r="X116" s="47">
        <f t="shared" si="27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26"/>
        <v>0</v>
      </c>
      <c r="M117" s="46">
        <f t="shared" si="26"/>
        <v>0</v>
      </c>
      <c r="N117" s="46">
        <f t="shared" si="26"/>
        <v>0</v>
      </c>
      <c r="O117" s="46">
        <f t="shared" si="26"/>
        <v>0</v>
      </c>
      <c r="P117" s="46">
        <f t="shared" si="26"/>
        <v>0</v>
      </c>
      <c r="Q117" s="46">
        <f t="shared" si="26"/>
        <v>0</v>
      </c>
      <c r="R117" s="46">
        <f t="shared" si="29"/>
        <v>0</v>
      </c>
      <c r="S117" s="46">
        <f t="shared" si="29"/>
        <v>0</v>
      </c>
      <c r="T117" s="46">
        <f t="shared" si="29"/>
        <v>0</v>
      </c>
      <c r="U117" s="47">
        <f t="shared" si="28"/>
        <v>0</v>
      </c>
      <c r="V117" s="47">
        <f t="shared" si="28"/>
        <v>0</v>
      </c>
      <c r="W117" s="47">
        <f t="shared" si="28"/>
        <v>0</v>
      </c>
      <c r="X117" s="47">
        <f t="shared" si="27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26"/>
        <v>0</v>
      </c>
      <c r="M118" s="46">
        <f t="shared" si="26"/>
        <v>0</v>
      </c>
      <c r="N118" s="46">
        <f t="shared" si="26"/>
        <v>0</v>
      </c>
      <c r="O118" s="46">
        <f t="shared" si="26"/>
        <v>0</v>
      </c>
      <c r="P118" s="46">
        <f t="shared" si="26"/>
        <v>0</v>
      </c>
      <c r="Q118" s="46">
        <f t="shared" si="26"/>
        <v>0</v>
      </c>
      <c r="R118" s="46">
        <f t="shared" si="29"/>
        <v>0</v>
      </c>
      <c r="S118" s="46">
        <f t="shared" si="29"/>
        <v>0</v>
      </c>
      <c r="T118" s="46">
        <f t="shared" si="29"/>
        <v>0</v>
      </c>
      <c r="U118" s="47">
        <f t="shared" si="28"/>
        <v>0</v>
      </c>
      <c r="V118" s="47">
        <f t="shared" si="28"/>
        <v>0</v>
      </c>
      <c r="W118" s="47">
        <f t="shared" si="28"/>
        <v>0</v>
      </c>
      <c r="X118" s="47">
        <f t="shared" si="27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26"/>
        <v>0</v>
      </c>
      <c r="M119" s="46">
        <f t="shared" si="26"/>
        <v>0</v>
      </c>
      <c r="N119" s="46">
        <f t="shared" si="26"/>
        <v>0</v>
      </c>
      <c r="O119" s="46">
        <f t="shared" si="26"/>
        <v>0</v>
      </c>
      <c r="P119" s="46">
        <f t="shared" si="26"/>
        <v>0</v>
      </c>
      <c r="Q119" s="46">
        <f t="shared" si="26"/>
        <v>0</v>
      </c>
      <c r="R119" s="46">
        <f t="shared" si="29"/>
        <v>0</v>
      </c>
      <c r="S119" s="46">
        <f t="shared" si="29"/>
        <v>0</v>
      </c>
      <c r="T119" s="46">
        <f t="shared" si="29"/>
        <v>0</v>
      </c>
      <c r="U119" s="47">
        <f t="shared" si="28"/>
        <v>0</v>
      </c>
      <c r="V119" s="47">
        <f t="shared" si="28"/>
        <v>0</v>
      </c>
      <c r="W119" s="47">
        <f t="shared" si="28"/>
        <v>0</v>
      </c>
      <c r="X119" s="47">
        <f t="shared" si="27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26"/>
        <v>0</v>
      </c>
      <c r="M120" s="46">
        <f t="shared" si="26"/>
        <v>0</v>
      </c>
      <c r="N120" s="46">
        <f t="shared" si="26"/>
        <v>0</v>
      </c>
      <c r="O120" s="46">
        <f t="shared" si="26"/>
        <v>0</v>
      </c>
      <c r="P120" s="46">
        <f t="shared" si="26"/>
        <v>0</v>
      </c>
      <c r="Q120" s="46">
        <f t="shared" si="26"/>
        <v>0</v>
      </c>
      <c r="R120" s="46">
        <f t="shared" si="29"/>
        <v>0</v>
      </c>
      <c r="S120" s="46">
        <f t="shared" si="29"/>
        <v>0</v>
      </c>
      <c r="T120" s="46">
        <f t="shared" si="29"/>
        <v>0</v>
      </c>
      <c r="U120" s="47">
        <f t="shared" si="28"/>
        <v>0</v>
      </c>
      <c r="V120" s="47">
        <f t="shared" si="28"/>
        <v>0</v>
      </c>
      <c r="W120" s="47">
        <f t="shared" si="28"/>
        <v>0</v>
      </c>
      <c r="X120" s="47">
        <f t="shared" si="27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26"/>
        <v>0</v>
      </c>
      <c r="M121" s="46">
        <f t="shared" si="26"/>
        <v>0</v>
      </c>
      <c r="N121" s="46">
        <f t="shared" si="26"/>
        <v>0</v>
      </c>
      <c r="O121" s="46">
        <f t="shared" si="26"/>
        <v>0</v>
      </c>
      <c r="P121" s="46">
        <f t="shared" si="26"/>
        <v>0</v>
      </c>
      <c r="Q121" s="46">
        <f t="shared" si="26"/>
        <v>0</v>
      </c>
      <c r="R121" s="46">
        <f t="shared" si="29"/>
        <v>0</v>
      </c>
      <c r="S121" s="46">
        <f t="shared" si="29"/>
        <v>0</v>
      </c>
      <c r="T121" s="46">
        <f t="shared" si="29"/>
        <v>0</v>
      </c>
      <c r="U121" s="47">
        <f t="shared" si="28"/>
        <v>0</v>
      </c>
      <c r="V121" s="47">
        <f t="shared" si="28"/>
        <v>0</v>
      </c>
      <c r="W121" s="47">
        <f t="shared" si="28"/>
        <v>0</v>
      </c>
      <c r="X121" s="47">
        <f t="shared" si="27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26"/>
        <v>0</v>
      </c>
      <c r="M122" s="46">
        <f t="shared" si="26"/>
        <v>0</v>
      </c>
      <c r="N122" s="46">
        <f t="shared" si="26"/>
        <v>0</v>
      </c>
      <c r="O122" s="46">
        <f t="shared" si="26"/>
        <v>0</v>
      </c>
      <c r="P122" s="46">
        <f t="shared" si="26"/>
        <v>0</v>
      </c>
      <c r="Q122" s="46">
        <f t="shared" si="26"/>
        <v>0</v>
      </c>
      <c r="R122" s="46">
        <f t="shared" si="29"/>
        <v>0</v>
      </c>
      <c r="S122" s="46">
        <f t="shared" si="29"/>
        <v>0</v>
      </c>
      <c r="T122" s="46">
        <f t="shared" si="29"/>
        <v>0</v>
      </c>
      <c r="U122" s="47">
        <f t="shared" si="28"/>
        <v>0</v>
      </c>
      <c r="V122" s="47">
        <f t="shared" si="28"/>
        <v>0</v>
      </c>
      <c r="W122" s="47">
        <f t="shared" si="28"/>
        <v>0</v>
      </c>
      <c r="X122" s="47">
        <f t="shared" si="27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26"/>
        <v>0</v>
      </c>
      <c r="M123" s="46">
        <f t="shared" si="26"/>
        <v>0</v>
      </c>
      <c r="N123" s="46">
        <f t="shared" si="26"/>
        <v>0</v>
      </c>
      <c r="O123" s="46">
        <f t="shared" si="26"/>
        <v>0</v>
      </c>
      <c r="P123" s="46">
        <f t="shared" si="26"/>
        <v>0</v>
      </c>
      <c r="Q123" s="46">
        <f t="shared" si="26"/>
        <v>0</v>
      </c>
      <c r="R123" s="46">
        <f t="shared" si="29"/>
        <v>0</v>
      </c>
      <c r="S123" s="46">
        <f t="shared" si="29"/>
        <v>0</v>
      </c>
      <c r="T123" s="46">
        <f t="shared" si="29"/>
        <v>0</v>
      </c>
      <c r="U123" s="47">
        <f t="shared" si="28"/>
        <v>0</v>
      </c>
      <c r="V123" s="47">
        <f t="shared" si="28"/>
        <v>0</v>
      </c>
      <c r="W123" s="47">
        <f t="shared" si="28"/>
        <v>0</v>
      </c>
      <c r="X123" s="47">
        <f t="shared" si="27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26"/>
        <v>0</v>
      </c>
      <c r="M124" s="46">
        <f t="shared" si="26"/>
        <v>0</v>
      </c>
      <c r="N124" s="46">
        <f t="shared" si="26"/>
        <v>0</v>
      </c>
      <c r="O124" s="46">
        <f t="shared" si="26"/>
        <v>0</v>
      </c>
      <c r="P124" s="46">
        <f t="shared" si="26"/>
        <v>0</v>
      </c>
      <c r="Q124" s="46">
        <f t="shared" si="26"/>
        <v>0</v>
      </c>
      <c r="R124" s="46">
        <f t="shared" si="29"/>
        <v>0</v>
      </c>
      <c r="S124" s="46">
        <f t="shared" si="29"/>
        <v>0</v>
      </c>
      <c r="T124" s="46">
        <f t="shared" si="29"/>
        <v>0</v>
      </c>
      <c r="U124" s="47">
        <f t="shared" si="28"/>
        <v>0</v>
      </c>
      <c r="V124" s="47">
        <f t="shared" si="28"/>
        <v>0</v>
      </c>
      <c r="W124" s="47">
        <f t="shared" si="28"/>
        <v>0</v>
      </c>
      <c r="X124" s="47">
        <f t="shared" si="27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26"/>
        <v>0</v>
      </c>
      <c r="M125" s="46">
        <f t="shared" si="26"/>
        <v>0</v>
      </c>
      <c r="N125" s="46">
        <f t="shared" si="26"/>
        <v>0</v>
      </c>
      <c r="O125" s="46">
        <f t="shared" si="26"/>
        <v>0</v>
      </c>
      <c r="P125" s="46">
        <f t="shared" si="26"/>
        <v>0</v>
      </c>
      <c r="Q125" s="46">
        <f t="shared" si="26"/>
        <v>0</v>
      </c>
      <c r="R125" s="46">
        <f t="shared" si="29"/>
        <v>0</v>
      </c>
      <c r="S125" s="46">
        <f t="shared" si="29"/>
        <v>0</v>
      </c>
      <c r="T125" s="46">
        <f t="shared" si="29"/>
        <v>0</v>
      </c>
      <c r="U125" s="47">
        <f t="shared" si="28"/>
        <v>0</v>
      </c>
      <c r="V125" s="47">
        <f t="shared" si="28"/>
        <v>0</v>
      </c>
      <c r="W125" s="47">
        <f t="shared" si="28"/>
        <v>0</v>
      </c>
      <c r="X125" s="47">
        <f t="shared" si="27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26"/>
        <v>0</v>
      </c>
      <c r="M126" s="46">
        <f t="shared" si="26"/>
        <v>0</v>
      </c>
      <c r="N126" s="46">
        <f t="shared" si="26"/>
        <v>0</v>
      </c>
      <c r="O126" s="46">
        <f t="shared" si="26"/>
        <v>0</v>
      </c>
      <c r="P126" s="46">
        <f t="shared" si="26"/>
        <v>0</v>
      </c>
      <c r="Q126" s="46">
        <f t="shared" si="26"/>
        <v>0</v>
      </c>
      <c r="R126" s="46">
        <f t="shared" si="29"/>
        <v>0</v>
      </c>
      <c r="S126" s="46">
        <f t="shared" si="29"/>
        <v>0</v>
      </c>
      <c r="T126" s="46">
        <f t="shared" si="29"/>
        <v>0</v>
      </c>
      <c r="U126" s="47">
        <f t="shared" si="28"/>
        <v>0</v>
      </c>
      <c r="V126" s="47">
        <f t="shared" si="28"/>
        <v>0</v>
      </c>
      <c r="W126" s="47">
        <f t="shared" si="28"/>
        <v>0</v>
      </c>
      <c r="X126" s="47">
        <f t="shared" si="27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26"/>
        <v>0</v>
      </c>
      <c r="M127" s="46">
        <f t="shared" si="26"/>
        <v>0</v>
      </c>
      <c r="N127" s="46">
        <f t="shared" si="26"/>
        <v>0</v>
      </c>
      <c r="O127" s="46">
        <f t="shared" si="26"/>
        <v>0</v>
      </c>
      <c r="P127" s="46">
        <f t="shared" si="26"/>
        <v>0</v>
      </c>
      <c r="Q127" s="46">
        <f t="shared" si="26"/>
        <v>0</v>
      </c>
      <c r="R127" s="46">
        <f t="shared" si="29"/>
        <v>0</v>
      </c>
      <c r="S127" s="46">
        <f t="shared" si="29"/>
        <v>0</v>
      </c>
      <c r="T127" s="46">
        <f t="shared" si="29"/>
        <v>0</v>
      </c>
      <c r="U127" s="47">
        <f t="shared" si="28"/>
        <v>0</v>
      </c>
      <c r="V127" s="47">
        <f t="shared" si="28"/>
        <v>0</v>
      </c>
      <c r="W127" s="47">
        <f t="shared" si="28"/>
        <v>0</v>
      </c>
      <c r="X127" s="47">
        <f t="shared" si="27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26"/>
        <v>0</v>
      </c>
      <c r="M128" s="46">
        <f t="shared" si="26"/>
        <v>0</v>
      </c>
      <c r="N128" s="46">
        <f t="shared" si="26"/>
        <v>0</v>
      </c>
      <c r="O128" s="46">
        <f t="shared" si="26"/>
        <v>0</v>
      </c>
      <c r="P128" s="46">
        <f t="shared" si="26"/>
        <v>0</v>
      </c>
      <c r="Q128" s="46">
        <f t="shared" si="26"/>
        <v>0</v>
      </c>
      <c r="R128" s="46">
        <f t="shared" si="29"/>
        <v>0</v>
      </c>
      <c r="S128" s="46">
        <f t="shared" si="29"/>
        <v>0</v>
      </c>
      <c r="T128" s="46">
        <f t="shared" si="29"/>
        <v>0</v>
      </c>
      <c r="U128" s="47">
        <f t="shared" si="28"/>
        <v>0</v>
      </c>
      <c r="V128" s="47">
        <f t="shared" si="28"/>
        <v>0</v>
      </c>
      <c r="W128" s="47">
        <f t="shared" si="28"/>
        <v>0</v>
      </c>
      <c r="X128" s="47">
        <f t="shared" si="27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26"/>
        <v>0</v>
      </c>
      <c r="M129" s="46">
        <f t="shared" si="26"/>
        <v>0</v>
      </c>
      <c r="N129" s="46">
        <f t="shared" si="26"/>
        <v>0</v>
      </c>
      <c r="O129" s="46">
        <f t="shared" si="26"/>
        <v>0</v>
      </c>
      <c r="P129" s="46">
        <f t="shared" si="26"/>
        <v>0</v>
      </c>
      <c r="Q129" s="46">
        <f t="shared" si="26"/>
        <v>0</v>
      </c>
      <c r="R129" s="46">
        <f t="shared" si="29"/>
        <v>0</v>
      </c>
      <c r="S129" s="46">
        <f t="shared" si="29"/>
        <v>0</v>
      </c>
      <c r="T129" s="46">
        <f t="shared" si="29"/>
        <v>0</v>
      </c>
      <c r="U129" s="47">
        <f t="shared" si="28"/>
        <v>0</v>
      </c>
      <c r="V129" s="47">
        <f t="shared" si="28"/>
        <v>0</v>
      </c>
      <c r="W129" s="47">
        <f t="shared" si="28"/>
        <v>0</v>
      </c>
      <c r="X129" s="47">
        <f t="shared" si="27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26"/>
        <v>0</v>
      </c>
      <c r="M130" s="46">
        <f t="shared" si="26"/>
        <v>0</v>
      </c>
      <c r="N130" s="46">
        <f t="shared" si="26"/>
        <v>0</v>
      </c>
      <c r="O130" s="46">
        <f t="shared" si="26"/>
        <v>0</v>
      </c>
      <c r="P130" s="46">
        <f t="shared" si="26"/>
        <v>0</v>
      </c>
      <c r="Q130" s="46">
        <f t="shared" si="26"/>
        <v>0</v>
      </c>
      <c r="R130" s="46">
        <f t="shared" si="29"/>
        <v>0</v>
      </c>
      <c r="S130" s="46">
        <f t="shared" si="29"/>
        <v>0</v>
      </c>
      <c r="T130" s="46">
        <f t="shared" si="29"/>
        <v>0</v>
      </c>
      <c r="U130" s="47">
        <f t="shared" si="28"/>
        <v>0</v>
      </c>
      <c r="V130" s="47">
        <f t="shared" si="28"/>
        <v>0</v>
      </c>
      <c r="W130" s="47">
        <f t="shared" si="28"/>
        <v>0</v>
      </c>
      <c r="X130" s="47">
        <f t="shared" si="27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26"/>
        <v>0</v>
      </c>
      <c r="M131" s="46">
        <f t="shared" si="26"/>
        <v>0</v>
      </c>
      <c r="N131" s="46">
        <f t="shared" si="26"/>
        <v>0</v>
      </c>
      <c r="O131" s="46">
        <f t="shared" si="26"/>
        <v>0</v>
      </c>
      <c r="P131" s="46">
        <f t="shared" si="26"/>
        <v>0</v>
      </c>
      <c r="Q131" s="46">
        <f t="shared" si="26"/>
        <v>0</v>
      </c>
      <c r="R131" s="46">
        <f t="shared" si="29"/>
        <v>0</v>
      </c>
      <c r="S131" s="46">
        <f t="shared" si="29"/>
        <v>0</v>
      </c>
      <c r="T131" s="46">
        <f t="shared" si="29"/>
        <v>0</v>
      </c>
      <c r="U131" s="47">
        <f t="shared" si="28"/>
        <v>0</v>
      </c>
      <c r="V131" s="47">
        <f t="shared" si="28"/>
        <v>0</v>
      </c>
      <c r="W131" s="47">
        <f t="shared" si="28"/>
        <v>0</v>
      </c>
      <c r="X131" s="47">
        <f t="shared" si="27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26"/>
        <v>0</v>
      </c>
      <c r="M132" s="46">
        <f t="shared" si="26"/>
        <v>0</v>
      </c>
      <c r="N132" s="46">
        <f t="shared" si="26"/>
        <v>0</v>
      </c>
      <c r="O132" s="46">
        <f t="shared" si="26"/>
        <v>0</v>
      </c>
      <c r="P132" s="46">
        <f t="shared" si="26"/>
        <v>0</v>
      </c>
      <c r="Q132" s="46">
        <f t="shared" si="26"/>
        <v>0</v>
      </c>
      <c r="R132" s="46">
        <f t="shared" si="29"/>
        <v>0</v>
      </c>
      <c r="S132" s="46">
        <f t="shared" si="29"/>
        <v>0</v>
      </c>
      <c r="T132" s="46">
        <f t="shared" si="29"/>
        <v>0</v>
      </c>
      <c r="U132" s="47">
        <f t="shared" si="28"/>
        <v>0</v>
      </c>
      <c r="V132" s="47">
        <f t="shared" si="28"/>
        <v>0</v>
      </c>
      <c r="W132" s="47">
        <f t="shared" si="28"/>
        <v>0</v>
      </c>
      <c r="X132" s="47">
        <f t="shared" si="27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26"/>
        <v>0</v>
      </c>
      <c r="M133" s="46">
        <f t="shared" si="26"/>
        <v>0</v>
      </c>
      <c r="N133" s="46">
        <f t="shared" si="26"/>
        <v>0</v>
      </c>
      <c r="O133" s="46">
        <f t="shared" si="26"/>
        <v>0</v>
      </c>
      <c r="P133" s="46">
        <f t="shared" si="26"/>
        <v>0</v>
      </c>
      <c r="Q133" s="46">
        <f t="shared" si="26"/>
        <v>0</v>
      </c>
      <c r="R133" s="46">
        <f t="shared" si="29"/>
        <v>0</v>
      </c>
      <c r="S133" s="46">
        <f t="shared" si="29"/>
        <v>0</v>
      </c>
      <c r="T133" s="46">
        <f t="shared" si="29"/>
        <v>0</v>
      </c>
      <c r="U133" s="47">
        <f t="shared" si="28"/>
        <v>0</v>
      </c>
      <c r="V133" s="47">
        <f t="shared" si="28"/>
        <v>0</v>
      </c>
      <c r="W133" s="47">
        <f t="shared" si="28"/>
        <v>0</v>
      </c>
      <c r="X133" s="47">
        <f t="shared" si="27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26"/>
        <v>0</v>
      </c>
      <c r="M134" s="46">
        <f t="shared" si="26"/>
        <v>0</v>
      </c>
      <c r="N134" s="46">
        <f t="shared" si="26"/>
        <v>0</v>
      </c>
      <c r="O134" s="46">
        <f t="shared" si="26"/>
        <v>0</v>
      </c>
      <c r="P134" s="46">
        <f t="shared" si="26"/>
        <v>0</v>
      </c>
      <c r="Q134" s="46">
        <f t="shared" si="26"/>
        <v>0</v>
      </c>
      <c r="R134" s="46">
        <f t="shared" si="29"/>
        <v>0</v>
      </c>
      <c r="S134" s="46">
        <f t="shared" si="29"/>
        <v>0</v>
      </c>
      <c r="T134" s="46">
        <f t="shared" si="29"/>
        <v>0</v>
      </c>
      <c r="U134" s="47">
        <f t="shared" si="28"/>
        <v>0</v>
      </c>
      <c r="V134" s="47">
        <f t="shared" si="28"/>
        <v>0</v>
      </c>
      <c r="W134" s="47">
        <f t="shared" si="28"/>
        <v>0</v>
      </c>
      <c r="X134" s="47">
        <f t="shared" si="27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26"/>
        <v>0</v>
      </c>
      <c r="M135" s="46">
        <f t="shared" si="26"/>
        <v>0</v>
      </c>
      <c r="N135" s="46">
        <f t="shared" si="26"/>
        <v>0</v>
      </c>
      <c r="O135" s="46">
        <f t="shared" si="26"/>
        <v>0</v>
      </c>
      <c r="P135" s="46">
        <f t="shared" si="26"/>
        <v>0</v>
      </c>
      <c r="Q135" s="46">
        <f t="shared" si="26"/>
        <v>0</v>
      </c>
      <c r="R135" s="46">
        <f t="shared" si="29"/>
        <v>0</v>
      </c>
      <c r="S135" s="46">
        <f t="shared" si="29"/>
        <v>0</v>
      </c>
      <c r="T135" s="46">
        <f t="shared" si="29"/>
        <v>0</v>
      </c>
      <c r="U135" s="47">
        <f t="shared" si="28"/>
        <v>0</v>
      </c>
      <c r="V135" s="47">
        <f t="shared" si="28"/>
        <v>0</v>
      </c>
      <c r="W135" s="47">
        <f t="shared" si="28"/>
        <v>0</v>
      </c>
      <c r="X135" s="47">
        <f t="shared" si="27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26"/>
        <v>0</v>
      </c>
      <c r="M136" s="46">
        <f t="shared" si="26"/>
        <v>0</v>
      </c>
      <c r="N136" s="46">
        <f t="shared" si="26"/>
        <v>0</v>
      </c>
      <c r="O136" s="46">
        <f t="shared" ref="O136:Q151" si="30">IFERROR(E137-E136,0)</f>
        <v>0</v>
      </c>
      <c r="P136" s="46">
        <f t="shared" si="30"/>
        <v>0</v>
      </c>
      <c r="Q136" s="46">
        <f t="shared" si="30"/>
        <v>0</v>
      </c>
      <c r="R136" s="46">
        <f t="shared" si="29"/>
        <v>0</v>
      </c>
      <c r="S136" s="46">
        <f t="shared" si="29"/>
        <v>0</v>
      </c>
      <c r="T136" s="46">
        <f t="shared" si="29"/>
        <v>0</v>
      </c>
      <c r="U136" s="47">
        <f t="shared" si="28"/>
        <v>0</v>
      </c>
      <c r="V136" s="47">
        <f t="shared" si="28"/>
        <v>0</v>
      </c>
      <c r="W136" s="47">
        <f t="shared" si="28"/>
        <v>0</v>
      </c>
      <c r="X136" s="47">
        <f t="shared" si="27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31">IFERROR(B138-B137,0)</f>
        <v>0</v>
      </c>
      <c r="M137" s="46">
        <f t="shared" si="31"/>
        <v>0</v>
      </c>
      <c r="N137" s="46">
        <f t="shared" si="31"/>
        <v>0</v>
      </c>
      <c r="O137" s="46">
        <f t="shared" si="30"/>
        <v>0</v>
      </c>
      <c r="P137" s="46">
        <f t="shared" si="30"/>
        <v>0</v>
      </c>
      <c r="Q137" s="46">
        <f t="shared" si="30"/>
        <v>0</v>
      </c>
      <c r="R137" s="46">
        <f t="shared" si="29"/>
        <v>0</v>
      </c>
      <c r="S137" s="46">
        <f t="shared" si="29"/>
        <v>0</v>
      </c>
      <c r="T137" s="46">
        <f t="shared" si="29"/>
        <v>0</v>
      </c>
      <c r="U137" s="47">
        <f t="shared" si="28"/>
        <v>0</v>
      </c>
      <c r="V137" s="47">
        <f t="shared" si="28"/>
        <v>0</v>
      </c>
      <c r="W137" s="47">
        <f t="shared" si="28"/>
        <v>0</v>
      </c>
      <c r="X137" s="47">
        <f t="shared" ref="X137:X152" si="32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31"/>
        <v>0</v>
      </c>
      <c r="M138" s="46">
        <f t="shared" si="31"/>
        <v>0</v>
      </c>
      <c r="N138" s="46">
        <f t="shared" si="31"/>
        <v>0</v>
      </c>
      <c r="O138" s="46">
        <f t="shared" si="30"/>
        <v>0</v>
      </c>
      <c r="P138" s="46">
        <f t="shared" si="30"/>
        <v>0</v>
      </c>
      <c r="Q138" s="46">
        <f t="shared" si="30"/>
        <v>0</v>
      </c>
      <c r="R138" s="46">
        <f t="shared" si="29"/>
        <v>0</v>
      </c>
      <c r="S138" s="46">
        <f t="shared" si="29"/>
        <v>0</v>
      </c>
      <c r="T138" s="46">
        <f t="shared" si="29"/>
        <v>0</v>
      </c>
      <c r="U138" s="47">
        <f t="shared" si="28"/>
        <v>0</v>
      </c>
      <c r="V138" s="47">
        <f t="shared" si="28"/>
        <v>0</v>
      </c>
      <c r="W138" s="47">
        <f t="shared" si="28"/>
        <v>0</v>
      </c>
      <c r="X138" s="47">
        <f t="shared" si="32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31"/>
        <v>0</v>
      </c>
      <c r="M139" s="46">
        <f t="shared" si="31"/>
        <v>0</v>
      </c>
      <c r="N139" s="46">
        <f t="shared" si="31"/>
        <v>0</v>
      </c>
      <c r="O139" s="46">
        <f t="shared" si="30"/>
        <v>0</v>
      </c>
      <c r="P139" s="46">
        <f t="shared" si="30"/>
        <v>0</v>
      </c>
      <c r="Q139" s="46">
        <f t="shared" si="30"/>
        <v>0</v>
      </c>
      <c r="R139" s="46">
        <f t="shared" si="29"/>
        <v>0</v>
      </c>
      <c r="S139" s="46">
        <f t="shared" si="29"/>
        <v>0</v>
      </c>
      <c r="T139" s="46">
        <f t="shared" si="29"/>
        <v>0</v>
      </c>
      <c r="U139" s="47">
        <f t="shared" si="28"/>
        <v>0</v>
      </c>
      <c r="V139" s="47">
        <f t="shared" si="28"/>
        <v>0</v>
      </c>
      <c r="W139" s="47">
        <f t="shared" si="28"/>
        <v>0</v>
      </c>
      <c r="X139" s="47">
        <f t="shared" si="32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31"/>
        <v>0</v>
      </c>
      <c r="M140" s="46">
        <f t="shared" si="31"/>
        <v>0</v>
      </c>
      <c r="N140" s="46">
        <f t="shared" si="31"/>
        <v>0</v>
      </c>
      <c r="O140" s="46">
        <f t="shared" si="30"/>
        <v>0</v>
      </c>
      <c r="P140" s="46">
        <f t="shared" si="30"/>
        <v>0</v>
      </c>
      <c r="Q140" s="46">
        <f t="shared" si="30"/>
        <v>0</v>
      </c>
      <c r="R140" s="46">
        <f t="shared" si="29"/>
        <v>0</v>
      </c>
      <c r="S140" s="46">
        <f t="shared" si="29"/>
        <v>0</v>
      </c>
      <c r="T140" s="46">
        <f t="shared" si="29"/>
        <v>0</v>
      </c>
      <c r="U140" s="47">
        <f t="shared" si="28"/>
        <v>0</v>
      </c>
      <c r="V140" s="47">
        <f t="shared" si="28"/>
        <v>0</v>
      </c>
      <c r="W140" s="47">
        <f t="shared" si="28"/>
        <v>0</v>
      </c>
      <c r="X140" s="47">
        <f t="shared" si="32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31"/>
        <v>0</v>
      </c>
      <c r="M141" s="46">
        <f t="shared" si="31"/>
        <v>0</v>
      </c>
      <c r="N141" s="46">
        <f t="shared" si="31"/>
        <v>0</v>
      </c>
      <c r="O141" s="46">
        <f t="shared" si="30"/>
        <v>0</v>
      </c>
      <c r="P141" s="46">
        <f t="shared" si="30"/>
        <v>0</v>
      </c>
      <c r="Q141" s="46">
        <f t="shared" si="30"/>
        <v>0</v>
      </c>
      <c r="R141" s="46">
        <f t="shared" si="29"/>
        <v>0</v>
      </c>
      <c r="S141" s="46">
        <f t="shared" si="29"/>
        <v>0</v>
      </c>
      <c r="T141" s="46">
        <f t="shared" si="29"/>
        <v>0</v>
      </c>
      <c r="U141" s="47">
        <f t="shared" si="28"/>
        <v>0</v>
      </c>
      <c r="V141" s="47">
        <f t="shared" si="28"/>
        <v>0</v>
      </c>
      <c r="W141" s="47">
        <f t="shared" si="28"/>
        <v>0</v>
      </c>
      <c r="X141" s="47">
        <f t="shared" si="32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31"/>
        <v>0</v>
      </c>
      <c r="M142" s="46">
        <f t="shared" si="31"/>
        <v>0</v>
      </c>
      <c r="N142" s="46">
        <f t="shared" si="31"/>
        <v>0</v>
      </c>
      <c r="O142" s="46">
        <f t="shared" si="30"/>
        <v>0</v>
      </c>
      <c r="P142" s="46">
        <f t="shared" si="30"/>
        <v>0</v>
      </c>
      <c r="Q142" s="46">
        <f t="shared" si="30"/>
        <v>0</v>
      </c>
      <c r="R142" s="46">
        <f t="shared" si="29"/>
        <v>0</v>
      </c>
      <c r="S142" s="46">
        <f t="shared" si="29"/>
        <v>0</v>
      </c>
      <c r="T142" s="46">
        <f t="shared" si="29"/>
        <v>0</v>
      </c>
      <c r="U142" s="47">
        <f t="shared" si="28"/>
        <v>0</v>
      </c>
      <c r="V142" s="47">
        <f t="shared" si="28"/>
        <v>0</v>
      </c>
      <c r="W142" s="47">
        <f t="shared" si="28"/>
        <v>0</v>
      </c>
      <c r="X142" s="47">
        <f t="shared" si="32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31"/>
        <v>0</v>
      </c>
      <c r="M143" s="46">
        <f t="shared" si="31"/>
        <v>0</v>
      </c>
      <c r="N143" s="46">
        <f t="shared" si="31"/>
        <v>0</v>
      </c>
      <c r="O143" s="46">
        <f t="shared" si="30"/>
        <v>0</v>
      </c>
      <c r="P143" s="46">
        <f t="shared" si="30"/>
        <v>0</v>
      </c>
      <c r="Q143" s="46">
        <f t="shared" si="30"/>
        <v>0</v>
      </c>
      <c r="R143" s="46">
        <f t="shared" si="29"/>
        <v>0</v>
      </c>
      <c r="S143" s="46">
        <f t="shared" si="29"/>
        <v>0</v>
      </c>
      <c r="T143" s="46">
        <f t="shared" si="29"/>
        <v>0</v>
      </c>
      <c r="U143" s="47">
        <f t="shared" si="28"/>
        <v>0</v>
      </c>
      <c r="V143" s="47">
        <f t="shared" si="28"/>
        <v>0</v>
      </c>
      <c r="W143" s="47">
        <f t="shared" si="28"/>
        <v>0</v>
      </c>
      <c r="X143" s="47">
        <f t="shared" si="32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31"/>
        <v>0</v>
      </c>
      <c r="M144" s="46">
        <f t="shared" si="31"/>
        <v>0</v>
      </c>
      <c r="N144" s="46">
        <f t="shared" si="31"/>
        <v>0</v>
      </c>
      <c r="O144" s="46">
        <f t="shared" si="30"/>
        <v>0</v>
      </c>
      <c r="P144" s="46">
        <f t="shared" si="30"/>
        <v>0</v>
      </c>
      <c r="Q144" s="46">
        <f t="shared" si="30"/>
        <v>0</v>
      </c>
      <c r="R144" s="46">
        <f t="shared" si="29"/>
        <v>0</v>
      </c>
      <c r="S144" s="46">
        <f t="shared" si="29"/>
        <v>0</v>
      </c>
      <c r="T144" s="46">
        <f t="shared" si="29"/>
        <v>0</v>
      </c>
      <c r="U144" s="47">
        <f t="shared" si="28"/>
        <v>0</v>
      </c>
      <c r="V144" s="47">
        <f t="shared" si="28"/>
        <v>0</v>
      </c>
      <c r="W144" s="47">
        <f t="shared" si="28"/>
        <v>0</v>
      </c>
      <c r="X144" s="47">
        <f t="shared" si="32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31"/>
        <v>0</v>
      </c>
      <c r="M145" s="46">
        <f t="shared" si="31"/>
        <v>0</v>
      </c>
      <c r="N145" s="46">
        <f t="shared" si="31"/>
        <v>0</v>
      </c>
      <c r="O145" s="46">
        <f t="shared" si="30"/>
        <v>0</v>
      </c>
      <c r="P145" s="46">
        <f t="shared" si="30"/>
        <v>0</v>
      </c>
      <c r="Q145" s="46">
        <f t="shared" si="30"/>
        <v>0</v>
      </c>
      <c r="R145" s="46">
        <f t="shared" si="29"/>
        <v>0</v>
      </c>
      <c r="S145" s="46">
        <f t="shared" si="29"/>
        <v>0</v>
      </c>
      <c r="T145" s="46">
        <f t="shared" si="29"/>
        <v>0</v>
      </c>
      <c r="U145" s="47">
        <f t="shared" si="28"/>
        <v>0</v>
      </c>
      <c r="V145" s="47">
        <f t="shared" si="28"/>
        <v>0</v>
      </c>
      <c r="W145" s="47">
        <f t="shared" si="28"/>
        <v>0</v>
      </c>
      <c r="X145" s="47">
        <f t="shared" si="32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31"/>
        <v>0</v>
      </c>
      <c r="M146" s="46">
        <f t="shared" si="31"/>
        <v>0</v>
      </c>
      <c r="N146" s="46">
        <f t="shared" si="31"/>
        <v>0</v>
      </c>
      <c r="O146" s="46">
        <f t="shared" si="30"/>
        <v>0</v>
      </c>
      <c r="P146" s="46">
        <f t="shared" si="30"/>
        <v>0</v>
      </c>
      <c r="Q146" s="46">
        <f t="shared" si="30"/>
        <v>0</v>
      </c>
      <c r="R146" s="46">
        <f t="shared" si="29"/>
        <v>0</v>
      </c>
      <c r="S146" s="46">
        <f t="shared" si="29"/>
        <v>0</v>
      </c>
      <c r="T146" s="46">
        <f t="shared" si="29"/>
        <v>0</v>
      </c>
      <c r="U146" s="47">
        <f t="shared" si="28"/>
        <v>0</v>
      </c>
      <c r="V146" s="47">
        <f t="shared" si="28"/>
        <v>0</v>
      </c>
      <c r="W146" s="47">
        <f t="shared" si="28"/>
        <v>0</v>
      </c>
      <c r="X146" s="47">
        <f t="shared" si="32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31"/>
        <v>0</v>
      </c>
      <c r="M147" s="46">
        <f t="shared" si="31"/>
        <v>0</v>
      </c>
      <c r="N147" s="46">
        <f t="shared" si="31"/>
        <v>0</v>
      </c>
      <c r="O147" s="46">
        <f t="shared" si="30"/>
        <v>0</v>
      </c>
      <c r="P147" s="46">
        <f t="shared" si="30"/>
        <v>0</v>
      </c>
      <c r="Q147" s="46">
        <f t="shared" si="30"/>
        <v>0</v>
      </c>
      <c r="R147" s="46">
        <f t="shared" si="29"/>
        <v>0</v>
      </c>
      <c r="S147" s="46">
        <f t="shared" si="29"/>
        <v>0</v>
      </c>
      <c r="T147" s="46">
        <f t="shared" si="29"/>
        <v>0</v>
      </c>
      <c r="U147" s="47">
        <f t="shared" si="28"/>
        <v>0</v>
      </c>
      <c r="V147" s="47">
        <f t="shared" si="28"/>
        <v>0</v>
      </c>
      <c r="W147" s="47">
        <f t="shared" si="28"/>
        <v>0</v>
      </c>
      <c r="X147" s="47">
        <f t="shared" si="32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31"/>
        <v>0</v>
      </c>
      <c r="M148" s="46">
        <f t="shared" si="31"/>
        <v>0</v>
      </c>
      <c r="N148" s="46">
        <f t="shared" si="31"/>
        <v>0</v>
      </c>
      <c r="O148" s="46">
        <f t="shared" si="30"/>
        <v>0</v>
      </c>
      <c r="P148" s="46">
        <f t="shared" si="30"/>
        <v>0</v>
      </c>
      <c r="Q148" s="46">
        <f t="shared" si="30"/>
        <v>0</v>
      </c>
      <c r="R148" s="46">
        <f t="shared" si="29"/>
        <v>0</v>
      </c>
      <c r="S148" s="46">
        <f t="shared" si="29"/>
        <v>0</v>
      </c>
      <c r="T148" s="46">
        <f t="shared" si="29"/>
        <v>0</v>
      </c>
      <c r="U148" s="47">
        <f t="shared" si="28"/>
        <v>0</v>
      </c>
      <c r="V148" s="47">
        <f t="shared" si="28"/>
        <v>0</v>
      </c>
      <c r="W148" s="47">
        <f t="shared" si="28"/>
        <v>0</v>
      </c>
      <c r="X148" s="47">
        <f t="shared" si="32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31"/>
        <v>0</v>
      </c>
      <c r="M149" s="46">
        <f t="shared" si="31"/>
        <v>0</v>
      </c>
      <c r="N149" s="46">
        <f t="shared" si="31"/>
        <v>0</v>
      </c>
      <c r="O149" s="46">
        <f t="shared" si="30"/>
        <v>0</v>
      </c>
      <c r="P149" s="46">
        <f t="shared" si="30"/>
        <v>0</v>
      </c>
      <c r="Q149" s="46">
        <f t="shared" si="30"/>
        <v>0</v>
      </c>
      <c r="R149" s="46">
        <f t="shared" si="29"/>
        <v>0</v>
      </c>
      <c r="S149" s="46">
        <f t="shared" si="29"/>
        <v>0</v>
      </c>
      <c r="T149" s="46">
        <f t="shared" si="29"/>
        <v>0</v>
      </c>
      <c r="U149" s="47">
        <f t="shared" si="28"/>
        <v>0</v>
      </c>
      <c r="V149" s="47">
        <f t="shared" si="28"/>
        <v>0</v>
      </c>
      <c r="W149" s="47">
        <f t="shared" si="28"/>
        <v>0</v>
      </c>
      <c r="X149" s="47">
        <f t="shared" si="32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31"/>
        <v>0</v>
      </c>
      <c r="M150" s="46">
        <f t="shared" si="31"/>
        <v>0</v>
      </c>
      <c r="N150" s="46">
        <f t="shared" si="31"/>
        <v>0</v>
      </c>
      <c r="O150" s="46">
        <f t="shared" si="30"/>
        <v>0</v>
      </c>
      <c r="P150" s="46">
        <f t="shared" si="30"/>
        <v>0</v>
      </c>
      <c r="Q150" s="46">
        <f t="shared" si="30"/>
        <v>0</v>
      </c>
      <c r="R150" s="46">
        <f t="shared" si="29"/>
        <v>0</v>
      </c>
      <c r="S150" s="46">
        <f t="shared" si="29"/>
        <v>0</v>
      </c>
      <c r="T150" s="46">
        <f t="shared" si="29"/>
        <v>0</v>
      </c>
      <c r="U150" s="47">
        <f t="shared" si="28"/>
        <v>0</v>
      </c>
      <c r="V150" s="47">
        <f t="shared" si="28"/>
        <v>0</v>
      </c>
      <c r="W150" s="47">
        <f t="shared" si="28"/>
        <v>0</v>
      </c>
      <c r="X150" s="47">
        <f t="shared" si="32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31"/>
        <v>0</v>
      </c>
      <c r="M151" s="46">
        <f t="shared" si="31"/>
        <v>0</v>
      </c>
      <c r="N151" s="46">
        <f t="shared" si="31"/>
        <v>0</v>
      </c>
      <c r="O151" s="46">
        <f t="shared" si="30"/>
        <v>0</v>
      </c>
      <c r="P151" s="46">
        <f t="shared" si="30"/>
        <v>0</v>
      </c>
      <c r="Q151" s="46">
        <f t="shared" si="30"/>
        <v>0</v>
      </c>
      <c r="R151" s="46">
        <f t="shared" si="29"/>
        <v>0</v>
      </c>
      <c r="S151" s="46">
        <f t="shared" si="29"/>
        <v>0</v>
      </c>
      <c r="T151" s="46">
        <f t="shared" si="29"/>
        <v>0</v>
      </c>
      <c r="U151" s="47">
        <f t="shared" si="28"/>
        <v>0</v>
      </c>
      <c r="V151" s="47">
        <f t="shared" si="28"/>
        <v>0</v>
      </c>
      <c r="W151" s="47">
        <f t="shared" si="28"/>
        <v>0</v>
      </c>
      <c r="X151" s="47">
        <f t="shared" si="32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33">L152+Q152</f>
        <v>0</v>
      </c>
      <c r="V152" s="36">
        <f t="shared" si="33"/>
        <v>0</v>
      </c>
      <c r="W152" s="36">
        <f t="shared" si="33"/>
        <v>0</v>
      </c>
      <c r="X152" s="36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2026-07-28T03:58:37Z</dcterms:modified>
</cp:coreProperties>
</file>