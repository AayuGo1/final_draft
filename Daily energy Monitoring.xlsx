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Sept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4" i="2" l="1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F7" i="2"/>
  <c r="DE7" i="2"/>
  <c r="DD7" i="2"/>
  <c r="DC7" i="2"/>
  <c r="I12" i="2"/>
  <c r="DH3" i="2" l="1"/>
  <c r="DJ35" i="2" l="1"/>
  <c r="DJ36" i="2" s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W64" i="3" s="1"/>
  <c r="R64" i="3"/>
  <c r="Q64" i="3"/>
  <c r="P64" i="3"/>
  <c r="O64" i="3"/>
  <c r="N64" i="3"/>
  <c r="M64" i="3"/>
  <c r="L64" i="3"/>
  <c r="U64" i="3" s="1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W61" i="3" s="1"/>
  <c r="M61" i="3"/>
  <c r="L61" i="3"/>
  <c r="U60" i="3"/>
  <c r="T60" i="3"/>
  <c r="S60" i="3"/>
  <c r="R60" i="3"/>
  <c r="V60" i="3" s="1"/>
  <c r="Q60" i="3"/>
  <c r="P60" i="3"/>
  <c r="O60" i="3"/>
  <c r="N60" i="3"/>
  <c r="M60" i="3"/>
  <c r="L60" i="3"/>
  <c r="T59" i="3"/>
  <c r="S59" i="3"/>
  <c r="R59" i="3"/>
  <c r="V59" i="3" s="1"/>
  <c r="Q59" i="3"/>
  <c r="U59" i="3" s="1"/>
  <c r="P59" i="3"/>
  <c r="O59" i="3"/>
  <c r="N59" i="3"/>
  <c r="M59" i="3"/>
  <c r="L59" i="3"/>
  <c r="T58" i="3"/>
  <c r="S58" i="3"/>
  <c r="R58" i="3"/>
  <c r="Q58" i="3"/>
  <c r="P58" i="3"/>
  <c r="O58" i="3"/>
  <c r="X58" i="3" s="1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X56" i="3" s="1"/>
  <c r="N56" i="3"/>
  <c r="M56" i="3"/>
  <c r="L56" i="3"/>
  <c r="T55" i="3"/>
  <c r="S55" i="3"/>
  <c r="R55" i="3"/>
  <c r="Q55" i="3"/>
  <c r="P55" i="3"/>
  <c r="O55" i="3"/>
  <c r="X55" i="3" s="1"/>
  <c r="N55" i="3"/>
  <c r="W55" i="3" s="1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W53" i="3" s="1"/>
  <c r="M53" i="3"/>
  <c r="L53" i="3"/>
  <c r="T52" i="3"/>
  <c r="S52" i="3"/>
  <c r="R52" i="3"/>
  <c r="Q52" i="3"/>
  <c r="P52" i="3"/>
  <c r="O52" i="3"/>
  <c r="N52" i="3"/>
  <c r="W52" i="3" s="1"/>
  <c r="M52" i="3"/>
  <c r="V52" i="3" s="1"/>
  <c r="L52" i="3"/>
  <c r="U51" i="3"/>
  <c r="T51" i="3"/>
  <c r="X51" i="3" s="1"/>
  <c r="S51" i="3"/>
  <c r="R51" i="3"/>
  <c r="Q51" i="3"/>
  <c r="P51" i="3"/>
  <c r="O51" i="3"/>
  <c r="N51" i="3"/>
  <c r="M51" i="3"/>
  <c r="V51" i="3" s="1"/>
  <c r="L51" i="3"/>
  <c r="T50" i="3"/>
  <c r="S50" i="3"/>
  <c r="R50" i="3"/>
  <c r="V50" i="3" s="1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V49" i="3" s="1"/>
  <c r="L49" i="3"/>
  <c r="U49" i="3" s="1"/>
  <c r="T48" i="3"/>
  <c r="S48" i="3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X46" i="3" s="1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X39" i="3" s="1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U36" i="3" s="1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V25" i="3" s="1"/>
  <c r="L25" i="3"/>
  <c r="U25" i="3" s="1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U21" i="3" l="1"/>
  <c r="X24" i="3"/>
  <c r="W37" i="3"/>
  <c r="V40" i="3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<sst xmlns="http://schemas.openxmlformats.org/spreadsheetml/2006/main" count="512" uniqueCount="233">
  <si>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</si>
  <si>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</si>
  <si>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</si>
  <si>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</si>
  <si>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</si>
  <si>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</si>
  <si>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</si>
  <si>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</si>
  <si>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</si>
  <si>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</si>
  <si>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</si>
  <si>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</si>
  <si>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</si>
  <si>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</si>
  <si>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</si>
  <si>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</si>
  <si>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</si>
  <si>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</si>
  <si>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</si>
  <si>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</si>
  <si>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</si>
  <si>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</si>
  <si>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</si>
  <si>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</si>
  <si>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</si>
  <si>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</si>
  <si>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</si>
  <si>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</si>
  <si>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</si>
  <si>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</si>
  <si>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</si>
  <si>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</si>
  <si>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</si>
  <si>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</si>
  <si>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</si>
  <si>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</si>
  <si>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</si>
  <si>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</si>
  <si>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</si>
  <si>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</si>
  <si>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</si>
  <si>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</si>
  <si>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</si>
  <si>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</si>
  <si>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</si>
  <si>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</si>
  <si>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</si>
  <si>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</si>
  <si>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</si>
  <si>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</si>
  <si>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</si>
  <si>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</si>
  <si>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</si>
  <si>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</si>
  <si>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</si>
  <si>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</si>
  <si>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</si>
  <si>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</si>
  <si>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</si>
  <si>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</si>
  <si>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</si>
  <si>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</si>
  <si>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</si>
  <si>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</si>
  <si>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</si>
  <si>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</si>
  <si>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</si>
  <si>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</si>
  <si>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</si>
  <si>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</si>
  <si>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</si>
  <si>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</si>
  <si>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</si>
  <si>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</si>
  <si>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</si>
  <si>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</si>
  <si>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</si>
  <si>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</si>
  <si>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</si>
  <si>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</si>
  <si>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</si>
  <si>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</si>
  <si>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</si>
  <si>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</si>
  <si>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</si>
  <si>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</si>
  <si>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</si>
  <si>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</si>
  <si>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</si>
  <si>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</si>
  <si>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</si>
  <si>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</si>
  <si>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</si>
  <si>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</si>
  <si>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</si>
  <si>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</si>
  <si>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</si>
  <si>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</si>
  <si>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</si>
  <si>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</si>
  <si>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</si>
  <si>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</si>
  <si>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</si>
  <si>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</si>
  <si>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</si>
  <si>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</si>
  <si>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</si>
  <si>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</si>
  <si>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</si>
  <si>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</si>
  <si>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</si>
  <si>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</si>
  <si>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</si>
  <si>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</si>
  <si>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</si>
  <si>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</si>
  <si>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</si>
  <si>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</si>
  <si>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</si>
  <si>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</si>
  <si>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</si>
  <si>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</si>
  <si>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</si>
  <si>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</si>
  <si>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</si>
  <si>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</si>
  <si>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</si>
  <si>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</si>
  <si>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</si>
  <si>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</si>
  <si>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</si>
  <si>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</si>
  <si>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</si>
  <si>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</si>
  <si>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</si>
  <si>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</si>
  <si>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</si>
  <si>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</si>
  <si>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</si>
  <si>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</si>
  <si>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</si>
  <si>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</si>
  <si>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</si>
  <si>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</si>
  <si>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</si>
  <si>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</si>
  <si>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</si>
  <si>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</si>
  <si>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</si>
  <si>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</si>
  <si>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</si>
  <si>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</si>
  <si>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</si>
  <si>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</si>
  <si>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</si>
  <si>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</si>
  <si>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</si>
  <si>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</si>
  <si>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</si>
  <si>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</si>
  <si>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</si>
  <si>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</si>
  <si>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</si>
  <si>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</si>
  <si>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</si>
  <si>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</si>
  <si>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</si>
  <si>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</si>
  <si>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</si>
  <si>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</si>
  <si>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</si>
  <si>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</si>
  <si>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</si>
  <si>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</si>
  <si>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</si>
  <si>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</si>
  <si>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</si>
  <si>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</si>
  <si>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</si>
  <si>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</si>
  <si>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</si>
  <si>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</si>
  <si>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</si>
  <si>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10:38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</si>
  <si>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</si>
  <si>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</si>
  <si>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</si>
  <si>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</si>
  <si>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</si>
  <si>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</si>
  <si>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</si>
  <si>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</si>
  <si>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</si>
  <si>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</si>
  <si>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</si>
  <si>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</si>
  <si>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</si>
  <si>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</si>
  <si>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</si>
  <si>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</si>
  <si>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</si>
  <si>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</si>
  <si>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</si>
  <si>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</si>
  <si>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</si>
  <si>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</si>
  <si>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</si>
  <si>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</si>
  <si>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</si>
  <si>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</si>
  <si>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</si>
  <si>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-</t>
  </si>
  <si>
    <t>10:40</t>
  </si>
  <si>
    <t>10:25</t>
  </si>
  <si>
    <t>10:41</t>
  </si>
  <si>
    <t>Prateek Chamoli</t>
  </si>
  <si>
    <t>10:50</t>
  </si>
  <si>
    <t>10:23</t>
  </si>
  <si>
    <t>10:24</t>
  </si>
  <si>
    <t>10:21</t>
  </si>
  <si>
    <t>10:20</t>
  </si>
  <si>
    <t>4:45</t>
  </si>
  <si>
    <t>9:58</t>
  </si>
  <si>
    <t>10:07</t>
  </si>
  <si>
    <t>10:08</t>
  </si>
  <si>
    <t>10:26</t>
  </si>
  <si>
    <t>5:20</t>
  </si>
  <si>
    <t>10:16</t>
  </si>
  <si>
    <t>10:14</t>
  </si>
  <si>
    <t>10:15</t>
  </si>
  <si>
    <t>9:59</t>
  </si>
  <si>
    <t>3:10</t>
  </si>
  <si>
    <t>10:12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</si>
</sst>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/d/yy\ h:mm:ss"/>
    <numFmt numFmtId="165" formatCode="0.0"/>
    <numFmt numFmtId="166" formatCode="0."/>
    <numFmt numFmtId="168" formatCode="yyyy/mm/dd\ hh:mm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D9E2F3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9E2F3"/>
      </left>
      <right/>
      <top style="thin">
        <color theme="4" tint="0.39997558519241921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73">
    <xf numFmtId="0" fontId="0" fillId="0" borderId="0" xfId="0"/>
    <xf numFmtId="0" fontId="0" fillId="0" borderId="0" xfId="0" applyFill="1"/>
    <xf numFmtId="14" fontId="0" fillId="0" borderId="0" xfId="0" applyNumberFormat="1"/>
    <xf numFmtId="0" fontId="0" fillId="0" borderId="0" xfId="0" applyNumberFormat="1" applyFill="1"/>
    <xf numFmtId="0" fontId="2" fillId="3" borderId="2" xfId="0" applyFont="1" applyFill="1" applyBorder="1" applyAlignment="1">
      <alignment horizontal="center"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164" fontId="0" fillId="0" borderId="0" xfId="0" applyNumberFormat="1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0" fillId="0" borderId="2" xfId="0" applyFill="1" applyBorder="1"/>
    <xf numFmtId="164" fontId="0" fillId="0" borderId="2" xfId="0" applyNumberFormat="1" applyFont="1" applyFill="1" applyBorder="1"/>
    <xf numFmtId="0" fontId="0" fillId="0" borderId="2" xfId="0" applyNumberFormat="1" applyFill="1" applyBorder="1"/>
    <xf numFmtId="0" fontId="0" fillId="0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Font="1" applyFill="1" applyBorder="1" applyAlignment="1">
      <alignment horizontal="center"/>
    </xf>
    <xf numFmtId="14" fontId="0" fillId="0" borderId="14" xfId="0" applyNumberFormat="1" applyFont="1" applyFill="1" applyBorder="1" applyAlignment="1">
      <alignment horizontal="center"/>
    </xf>
    <xf numFmtId="14" fontId="0" fillId="0" borderId="1" xfId="0" applyNumberFormat="1" applyFont="1" applyFill="1" applyBorder="1" applyAlignment="1">
      <alignment horizontal="center"/>
    </xf>
    <xf numFmtId="168" fontId="10" fillId="0" borderId="15" xfId="0" applyNumberFormat="1" applyFont="1" applyFill="1" applyBorder="1" applyAlignment="1">
      <alignment vertical="center"/>
    </xf>
    <xf numFmtId="168" fontId="10" fillId="0" borderId="16" xfId="0" applyNumberFormat="1" applyFont="1" applyFill="1" applyBorder="1" applyAlignment="1">
      <alignment vertical="center"/>
    </xf>
  </cellXfs>
  <cellStyles count="2">
    <cellStyle name="Normal" xfId="0" builtinId="0"/>
    <cellStyle name="Normal 2" xfId="1"/>
  </cellStyles>
  <dxfs count="114"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28" totalsRowShown="0" headerRowDxfId="2" dataDxfId="113" headerRowBorderDxfId="3">
  <autoFilter ref="A2:DG28"/>
  <tableColumns count="111">
    <tableColumn id="1" name="ID" dataDxfId="112"/>
    <tableColumn id="2" name="Start time" dataDxfId="111"/>
    <tableColumn id="3" name="Completion time" dataDxfId="110"/>
    <tableColumn id="4" name="Email" dataDxfId="1"/>
    <tableColumn id="5" name="Name" dataDxfId="109"/>
    <tableColumn id="6" name="Last modified time" dataDxfId="108"/>
    <tableColumn id="7" name="Date" dataDxfId="0"/>
    <tableColumn id="8" name="Name2" dataDxfId="107"/>
    <tableColumn id="9" name="Popeyes Meter " dataDxfId="106"/>
    <tableColumn id="10" name="DG 1010KVA Running Hours" dataDxfId="105"/>
    <tableColumn id="11" name="DG 1010 KVA Meter Reading" dataDxfId="104"/>
    <tableColumn id="12" name="GG 1010 KVA Running Hours" dataDxfId="103"/>
    <tableColumn id="13" name="GG 1010 KVA Meter Reading" dataDxfId="102"/>
    <tableColumn id="14" name="4F1 Main UPS 1/C -1" dataDxfId="101"/>
    <tableColumn id="15" name="5F1 Utility" dataDxfId="100"/>
    <tableColumn id="16" name="5F3 Admin Area" dataDxfId="99"/>
    <tableColumn id="17" name="6F1 Power Panel - 2 (I/C-2 Production Area)" dataDxfId="98"/>
    <tableColumn id="18" name="7F1 Freon System Panel" dataDxfId="97"/>
    <tableColumn id="19" name="7F2 Traywasher Panel - 1A ( + Old Ck)" dataDxfId="96"/>
    <tableColumn id="20" name="8F1 1600KVA Transformer" dataDxfId="95"/>
    <tableColumn id="21" name="13F1 Power Panel - 2  I/C -1 " dataDxfId="94"/>
    <tableColumn id="22" name="13F2 AC Panel I/C -2" dataDxfId="93"/>
    <tableColumn id="23" name="13F3 Water &amp; Lift Old CK" dataDxfId="92"/>
    <tableColumn id="24" name="14F1 Traywasher Panel -1B" dataDxfId="91"/>
    <tableColumn id="25" name="14F2 New CK" dataDxfId="90"/>
    <tableColumn id="26" name="15F1 Main UPS Panel - I/C - 2" dataDxfId="89"/>
    <tableColumn id="27" name="15F2 New ETP Panel" dataDxfId="88"/>
    <tableColumn id="28" name="15F4 Indoor Panel -1" dataDxfId="87"/>
    <tableColumn id="29" name="16F1 Tray washer Panel for Light" dataDxfId="86"/>
    <tableColumn id="30" name="19F1 2500KVA Transformer" dataDxfId="85"/>
    <tableColumn id="31" name="21F1 Refrigeration Ammonia" dataDxfId="84"/>
    <tableColumn id="32" name="2F1 RO Plant" dataDxfId="83"/>
    <tableColumn id="33" name="2F3 Air Compressor" dataDxfId="82"/>
    <tableColumn id="34" name="2F5 Main Gate-1 Piller -1" dataDxfId="81"/>
    <tableColumn id="35" name="3F1 Maintenance Workshop" dataDxfId="80"/>
    <tableColumn id="36" name="3F2 Truck Washing Panel" dataDxfId="79"/>
    <tableColumn id="37" name="3F3 Fire Hydrant Panel" dataDxfId="78"/>
    <tableColumn id="38" name="3F4 Old ETP Panel" dataDxfId="77"/>
    <tableColumn id="39" name="4F1 Incomer -2" dataDxfId="76"/>
    <tableColumn id="40" name="Air Flow" dataDxfId="75"/>
    <tableColumn id="41" name="Pressure" dataDxfId="74"/>
    <tableColumn id="42" name="Air Consumption" dataDxfId="73"/>
    <tableColumn id="43" name="Comp 1 Running Hours" dataDxfId="72"/>
    <tableColumn id="44" name="Comp 1 Running load" dataDxfId="71"/>
    <tableColumn id="45" name="Comp 2 Running Hours" dataDxfId="70"/>
    <tableColumn id="46" name="Comp 2 Running Load" dataDxfId="69"/>
    <tableColumn id="47" name="Comp 3 Running Hours" dataDxfId="68"/>
    <tableColumn id="48" name="Comp 3 Running Load" dataDxfId="67"/>
    <tableColumn id="49" name="1F1 Ammonia Refrigeration Room Panel" dataDxfId="66"/>
    <tableColumn id="50" name="Solar Reading Panel II" dataDxfId="65"/>
    <tableColumn id="51" name="1F1 MCC Indoor-1" dataDxfId="64"/>
    <tableColumn id="52" name="2F WH Chiller, Segregation Area" dataDxfId="63"/>
    <tableColumn id="53" name="3F1 AC Unit WH dock cooling - 2 Nos" dataDxfId="62"/>
    <tableColumn id="54" name="3F2 AC Unit WH dock cooling - 3 Nos" dataDxfId="61"/>
    <tableColumn id="55" name="4F Old BMC cooling Unit" dataDxfId="60"/>
    <tableColumn id="56" name="4F B2B unit " dataDxfId="59"/>
    <tableColumn id="57" name="1F1 MCC Indoor Panel -2 " dataDxfId="58"/>
    <tableColumn id="58" name="2F CLC -1 AC unit - 2" dataDxfId="57"/>
    <tableColumn id="59" name="2F CLC Anti room" dataDxfId="56"/>
    <tableColumn id="60" name="3F Dough cooler - 2 " dataDxfId="55"/>
    <tableColumn id="61" name="3F Dough Cooler- 1" dataDxfId="54"/>
    <tableColumn id="62" name="4F Dough Production cooling Unit" dataDxfId="53"/>
    <tableColumn id="63" name="5F WH Perishable" dataDxfId="52"/>
    <tableColumn id="64" name="2F1 - PDB 6 - Bread, B2B section" dataDxfId="51"/>
    <tableColumn id="65" name="2F2 - PDB 3 - WH Truck &amp; Battery Charging" dataDxfId="50"/>
    <tableColumn id="66" name="2F3 - PDB 9 - WH Dock Leveler Door " dataDxfId="49"/>
    <tableColumn id="67" name="2F4 - Old BMC" dataDxfId="48"/>
    <tableColumn id="68" name="3F1 - PDB 5 - WH HSD" dataDxfId="47"/>
    <tableColumn id="69" name="3F2 - PDB 3 - Dough Production Area" dataDxfId="46"/>
    <tableColumn id="70" name="3F3 - PDB 4 - Dough Area" dataDxfId="45"/>
    <tableColumn id="71" name="4F1 Metering PP2 " dataDxfId="44"/>
    <tableColumn id="72" name="6F1 Metering PP2 " dataDxfId="43"/>
    <tableColumn id="73" name="7F1 Donut Production area" dataDxfId="42"/>
    <tableColumn id="74" name="7F2 Flour Silo" dataDxfId="41"/>
    <tableColumn id="75" name="7F3 CLC Power Panel" dataDxfId="40"/>
    <tableColumn id="76" name="8F1 WH Dock AHU - Ventilation" dataDxfId="39"/>
    <tableColumn id="77" name="8F2 ACPDB - 3 SILO Ventilation" dataDxfId="38"/>
    <tableColumn id="78" name="8F3 ACPDB - 4 WH Dock air curtain" dataDxfId="37"/>
    <tableColumn id="79" name="8F4 WH Light" dataDxfId="36"/>
    <tableColumn id="80" name="8F5 Donut Ban Bary" dataDxfId="35"/>
    <tableColumn id="81" name="9F1 - PDB 10 - WH Dock door &amp; Office" dataDxfId="34"/>
    <tableColumn id="82" name="9F2 - PDB 11 - WH flycatchers" dataDxfId="33"/>
    <tableColumn id="83" name="9F3 - PDB 12 - Other items" dataDxfId="32"/>
    <tableColumn id="84" name="9F4 - PDB 13 - Donut Sink Geyser area" dataDxfId="31"/>
    <tableColumn id="85" name="9F5 - PDB 14 - Bread Lift" dataDxfId="30"/>
    <tableColumn id="86" name="9F6 - PDB 7 - Stagging Area" dataDxfId="29"/>
    <tableColumn id="87" name="PDB - 17 CLC Section " dataDxfId="28"/>
    <tableColumn id="88" name="PDB - 16 Bread Section" dataDxfId="27"/>
    <tableColumn id="89" name="PDB - 11 Truck Charging" dataDxfId="26"/>
    <tableColumn id="90" name="OLD Ck Panel-1" dataDxfId="25"/>
    <tableColumn id="91" name="2F4 Old CK Blast (Blue star)" dataDxfId="24"/>
    <tableColumn id="92" name="3F6 Old CK Blast (Carrier)" dataDxfId="23"/>
    <tableColumn id="93" name="Old CK Panel -2" dataDxfId="22"/>
    <tableColumn id="94" name="Tray Washer light Panel" dataDxfId="21"/>
    <tableColumn id="95" name="2F1 Tray Washer - 1" dataDxfId="20"/>
    <tableColumn id="96" name="2F3 - PDB 1 - Dock 1 to 4 " dataDxfId="19"/>
    <tableColumn id="97" name="2F5 Destacker" dataDxfId="18"/>
    <tableColumn id="98" name="3F1 Metering (TW-1)" dataDxfId="17"/>
    <tableColumn id="99" name="5F1 Metering (TW-2)" dataDxfId="16"/>
    <tableColumn id="100" name="6F1 Pre soaker Tray washer" dataDxfId="15"/>
    <tableColumn id="101" name="6F2 Ground Floor AC" dataDxfId="14"/>
    <tableColumn id="102" name="6F3 ACBD -1 (First floor AC)" dataDxfId="13"/>
    <tableColumn id="103" name="6F4 ACBD - 2 (Second &amp; Third floor AC)" dataDxfId="12"/>
    <tableColumn id="104" name="6F5 Vent tray Storage" dataDxfId="11"/>
    <tableColumn id="105" name="PNG Meter (Outside)" dataDxfId="10"/>
    <tableColumn id="106" name="PNG Meter (Inside)" dataDxfId="9"/>
    <tableColumn id="107" name="MWH Imp" dataDxfId="8"/>
    <tableColumn id="108" name="MWH Total" dataDxfId="7"/>
    <tableColumn id="109" name="MVAH Imp" dataDxfId="6"/>
    <tableColumn id="110" name="Power Factor (PF)" dataDxfId="5"/>
    <tableColumn id="111" name="Timing of Meter reading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37"/>
  <sheetViews>
    <sheetView tabSelected="1" workbookViewId="0">
      <pane xSplit="1" ySplit="2" topLeftCell="AF3" activePane="bottomRight" state="frozen"/>
      <selection pane="topRight" activeCell="B1" sqref="B1"/>
      <selection pane="bottomLeft" activeCell="A3" sqref="A3"/>
      <selection pane="bottomRight" activeCell="C2" sqref="C2"/>
    </sheetView>
  </sheetViews>
  <sheetFormatPr defaultRowHeight="14.5"/>
  <cols>
    <col min="1" max="1" width="5.36328125" customWidth="1"/>
    <col min="2" max="2" width="14.7265625" bestFit="1" customWidth="1"/>
    <col min="3" max="3" width="15.08984375" bestFit="1" customWidth="1"/>
    <col min="4" max="4" width="12.26953125" style="67" customWidth="1"/>
    <col min="5" max="5" width="7.1796875" customWidth="1"/>
    <col min="6" max="6" width="9.90625" customWidth="1"/>
    <col min="7" max="7" width="12.26953125" style="67" customWidth="1"/>
    <col min="8" max="8" width="14.90625" bestFit="1" customWidth="1"/>
    <col min="9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61" customFormat="1" ht="58" customHeight="1">
      <c r="I1" s="53" t="s">
        <v>112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136</v>
      </c>
      <c r="O1" s="53" t="s">
        <v>137</v>
      </c>
      <c r="P1" s="53" t="s">
        <v>120</v>
      </c>
      <c r="Q1" s="62"/>
      <c r="R1" s="53" t="s">
        <v>113</v>
      </c>
      <c r="S1" s="53" t="s">
        <v>114</v>
      </c>
      <c r="T1" s="62"/>
      <c r="U1" s="62"/>
      <c r="V1" s="62"/>
      <c r="W1" s="53" t="s">
        <v>138</v>
      </c>
      <c r="X1" s="53" t="s">
        <v>114</v>
      </c>
      <c r="Y1" s="53" t="s">
        <v>115</v>
      </c>
      <c r="Z1" s="53" t="s">
        <v>136</v>
      </c>
      <c r="AA1" s="53" t="s">
        <v>116</v>
      </c>
      <c r="AB1" s="62"/>
      <c r="AC1" s="53" t="s">
        <v>114</v>
      </c>
      <c r="AD1" s="62"/>
      <c r="AE1" s="53" t="s">
        <v>117</v>
      </c>
      <c r="AF1" s="53" t="s">
        <v>119</v>
      </c>
      <c r="AG1" s="53" t="s">
        <v>118</v>
      </c>
      <c r="AH1" s="53" t="s">
        <v>120</v>
      </c>
      <c r="AI1" s="53" t="s">
        <v>121</v>
      </c>
      <c r="AJ1" s="53" t="s">
        <v>122</v>
      </c>
      <c r="AK1" s="53" t="s">
        <v>123</v>
      </c>
      <c r="AL1" s="53" t="s">
        <v>116</v>
      </c>
      <c r="AM1" s="62"/>
      <c r="AN1" s="63" t="s">
        <v>39</v>
      </c>
      <c r="AO1" s="63" t="s">
        <v>40</v>
      </c>
      <c r="AP1" s="63" t="s">
        <v>41</v>
      </c>
      <c r="AQ1" s="63" t="s">
        <v>42</v>
      </c>
      <c r="AR1" s="63" t="s">
        <v>43</v>
      </c>
      <c r="AS1" s="63" t="s">
        <v>44</v>
      </c>
      <c r="AT1" s="63" t="s">
        <v>45</v>
      </c>
      <c r="AU1" s="63" t="s">
        <v>46</v>
      </c>
      <c r="AV1" s="63" t="s">
        <v>47</v>
      </c>
      <c r="AW1" s="53" t="s">
        <v>117</v>
      </c>
      <c r="AX1" s="53" t="s">
        <v>124</v>
      </c>
      <c r="AY1" s="62"/>
      <c r="AZ1" s="53" t="s">
        <v>125</v>
      </c>
      <c r="BA1" s="53" t="s">
        <v>125</v>
      </c>
      <c r="BB1" s="53" t="s">
        <v>125</v>
      </c>
      <c r="BC1" s="53" t="s">
        <v>126</v>
      </c>
      <c r="BD1" s="53" t="s">
        <v>127</v>
      </c>
      <c r="BE1" s="62"/>
      <c r="BF1" s="53" t="s">
        <v>128</v>
      </c>
      <c r="BG1" s="53" t="s">
        <v>128</v>
      </c>
      <c r="BH1" s="53" t="s">
        <v>129</v>
      </c>
      <c r="BI1" s="53" t="s">
        <v>129</v>
      </c>
      <c r="BJ1" s="53" t="s">
        <v>129</v>
      </c>
      <c r="BK1" s="53" t="s">
        <v>125</v>
      </c>
      <c r="BL1" s="53" t="s">
        <v>130</v>
      </c>
      <c r="BM1" s="53" t="s">
        <v>122</v>
      </c>
      <c r="BN1" s="53" t="s">
        <v>125</v>
      </c>
      <c r="BO1" s="53" t="s">
        <v>126</v>
      </c>
      <c r="BP1" s="53" t="s">
        <v>125</v>
      </c>
      <c r="BQ1" s="53" t="s">
        <v>129</v>
      </c>
      <c r="BR1" s="53" t="s">
        <v>129</v>
      </c>
      <c r="BS1" s="62"/>
      <c r="BT1" s="62"/>
      <c r="BU1" s="53" t="s">
        <v>131</v>
      </c>
      <c r="BV1" s="53" t="s">
        <v>132</v>
      </c>
      <c r="BW1" s="53" t="s">
        <v>128</v>
      </c>
      <c r="BX1" s="53" t="s">
        <v>125</v>
      </c>
      <c r="BY1" s="53" t="s">
        <v>132</v>
      </c>
      <c r="BZ1" s="53" t="s">
        <v>125</v>
      </c>
      <c r="CA1" s="53" t="s">
        <v>125</v>
      </c>
      <c r="CB1" s="53" t="s">
        <v>131</v>
      </c>
      <c r="CC1" s="53" t="s">
        <v>125</v>
      </c>
      <c r="CD1" s="53" t="s">
        <v>125</v>
      </c>
      <c r="CE1" s="53" t="s">
        <v>125</v>
      </c>
      <c r="CF1" s="53" t="s">
        <v>131</v>
      </c>
      <c r="CG1" s="53" t="s">
        <v>130</v>
      </c>
      <c r="CH1" s="53" t="s">
        <v>125</v>
      </c>
      <c r="CI1" s="53" t="s">
        <v>128</v>
      </c>
      <c r="CJ1" s="53" t="s">
        <v>130</v>
      </c>
      <c r="CK1" s="53" t="s">
        <v>122</v>
      </c>
      <c r="CL1" s="53" t="s">
        <v>133</v>
      </c>
      <c r="CM1" s="53" t="s">
        <v>134</v>
      </c>
      <c r="CN1" s="53" t="s">
        <v>134</v>
      </c>
      <c r="CO1" s="53" t="s">
        <v>134</v>
      </c>
      <c r="CP1" s="53" t="s">
        <v>114</v>
      </c>
      <c r="CQ1" s="53" t="s">
        <v>114</v>
      </c>
      <c r="CR1" s="53" t="s">
        <v>125</v>
      </c>
      <c r="CS1" s="53" t="s">
        <v>114</v>
      </c>
      <c r="CT1" s="53" t="s">
        <v>114</v>
      </c>
      <c r="CU1" s="53" t="s">
        <v>114</v>
      </c>
      <c r="CV1" s="53" t="s">
        <v>114</v>
      </c>
      <c r="CW1" s="53" t="s">
        <v>120</v>
      </c>
      <c r="CX1" s="53" t="s">
        <v>120</v>
      </c>
      <c r="CY1" s="53" t="s">
        <v>120</v>
      </c>
      <c r="CZ1" s="53" t="s">
        <v>114</v>
      </c>
      <c r="DA1" s="53" t="s">
        <v>209</v>
      </c>
      <c r="DB1" s="53" t="s">
        <v>210</v>
      </c>
      <c r="DC1" s="62"/>
      <c r="DD1" s="53" t="s">
        <v>135</v>
      </c>
      <c r="DE1" s="62"/>
      <c r="DF1" s="64" t="s">
        <v>109</v>
      </c>
      <c r="DG1" s="62"/>
      <c r="DI1" s="44" t="s">
        <v>135</v>
      </c>
      <c r="DJ1" s="46" t="s">
        <v>139</v>
      </c>
      <c r="DK1" s="47"/>
      <c r="DL1" s="45" t="s">
        <v>129</v>
      </c>
      <c r="DM1" s="45"/>
      <c r="DN1" s="45"/>
      <c r="DO1" s="45"/>
      <c r="DP1" s="45"/>
      <c r="DQ1" s="44" t="s">
        <v>174</v>
      </c>
      <c r="DR1" s="48" t="s">
        <v>114</v>
      </c>
      <c r="DS1" s="48"/>
      <c r="DT1" s="48"/>
      <c r="DU1" s="48"/>
      <c r="DV1" s="49"/>
      <c r="DW1" s="44" t="s">
        <v>112</v>
      </c>
      <c r="DX1" s="45" t="s">
        <v>125</v>
      </c>
      <c r="DY1" s="45"/>
      <c r="DZ1" s="45"/>
      <c r="EA1" s="45"/>
      <c r="EB1" s="45"/>
      <c r="EC1" s="45"/>
      <c r="ED1" s="45"/>
      <c r="EE1" s="45"/>
      <c r="EF1" s="45"/>
      <c r="EG1" s="45"/>
      <c r="EH1" s="45"/>
      <c r="EI1" s="45"/>
      <c r="EJ1" s="45"/>
      <c r="EK1" s="45" t="s">
        <v>122</v>
      </c>
      <c r="EL1" s="45"/>
      <c r="EM1" s="46" t="s">
        <v>120</v>
      </c>
      <c r="EN1" s="47"/>
      <c r="EO1" s="47"/>
      <c r="EP1" s="47"/>
      <c r="EQ1" s="47"/>
      <c r="ER1" s="45" t="s">
        <v>126</v>
      </c>
      <c r="ES1" s="45"/>
      <c r="ET1" s="44" t="s">
        <v>115</v>
      </c>
      <c r="EU1" s="45" t="s">
        <v>140</v>
      </c>
      <c r="EV1" s="45"/>
      <c r="EW1" s="45"/>
      <c r="EX1" s="45"/>
      <c r="EY1" s="50" t="s">
        <v>136</v>
      </c>
      <c r="EZ1" s="51"/>
      <c r="FA1" s="45" t="s">
        <v>128</v>
      </c>
      <c r="FB1" s="45"/>
      <c r="FC1" s="45"/>
      <c r="FD1" s="45"/>
      <c r="FE1" s="44" t="s">
        <v>138</v>
      </c>
      <c r="FF1" s="45" t="s">
        <v>116</v>
      </c>
      <c r="FG1" s="45"/>
      <c r="FH1" s="44" t="s">
        <v>119</v>
      </c>
      <c r="FI1" s="44" t="s">
        <v>123</v>
      </c>
      <c r="FJ1" s="44" t="s">
        <v>113</v>
      </c>
      <c r="FK1" s="44" t="s">
        <v>117</v>
      </c>
      <c r="FL1" s="44" t="s">
        <v>118</v>
      </c>
      <c r="FM1" s="44" t="s">
        <v>124</v>
      </c>
      <c r="FN1" s="44" t="s">
        <v>121</v>
      </c>
      <c r="FO1" s="44" t="s">
        <v>127</v>
      </c>
      <c r="FP1" s="46" t="s">
        <v>130</v>
      </c>
      <c r="FQ1" s="47"/>
      <c r="FR1" s="52"/>
      <c r="FS1" s="46" t="s">
        <v>131</v>
      </c>
      <c r="FT1" s="47"/>
      <c r="FU1" s="52"/>
      <c r="FV1" s="50" t="s">
        <v>132</v>
      </c>
      <c r="FW1" s="51"/>
      <c r="FX1" s="50" t="s">
        <v>141</v>
      </c>
      <c r="FY1" s="51"/>
      <c r="FZ1" s="45" t="s">
        <v>142</v>
      </c>
      <c r="GA1" s="45"/>
    </row>
    <row r="2" spans="1:183" s="58" customFormat="1" ht="87">
      <c r="A2" s="57" t="s">
        <v>0</v>
      </c>
      <c r="B2" s="57" t="s">
        <v>1</v>
      </c>
      <c r="C2" s="57" t="s">
        <v>2</v>
      </c>
      <c r="D2" s="57" t="s">
        <v>3</v>
      </c>
      <c r="E2" s="57" t="s">
        <v>4</v>
      </c>
      <c r="F2" s="57" t="s">
        <v>5</v>
      </c>
      <c r="G2" s="57" t="s">
        <v>6</v>
      </c>
      <c r="H2" s="57" t="s">
        <v>7</v>
      </c>
      <c r="I2" s="57" t="s">
        <v>8</v>
      </c>
      <c r="J2" s="57" t="s">
        <v>9</v>
      </c>
      <c r="K2" s="57" t="s">
        <v>10</v>
      </c>
      <c r="L2" s="57" t="s">
        <v>11</v>
      </c>
      <c r="M2" s="57" t="s">
        <v>12</v>
      </c>
      <c r="N2" s="57" t="s">
        <v>13</v>
      </c>
      <c r="O2" s="57" t="s">
        <v>14</v>
      </c>
      <c r="P2" s="57" t="s">
        <v>15</v>
      </c>
      <c r="Q2" s="57" t="s">
        <v>16</v>
      </c>
      <c r="R2" s="57" t="s">
        <v>17</v>
      </c>
      <c r="S2" s="57" t="s">
        <v>18</v>
      </c>
      <c r="T2" s="57" t="s">
        <v>19</v>
      </c>
      <c r="U2" s="57" t="s">
        <v>20</v>
      </c>
      <c r="V2" s="57" t="s">
        <v>21</v>
      </c>
      <c r="W2" s="57" t="s">
        <v>22</v>
      </c>
      <c r="X2" s="57" t="s">
        <v>23</v>
      </c>
      <c r="Y2" s="57" t="s">
        <v>24</v>
      </c>
      <c r="Z2" s="57" t="s">
        <v>25</v>
      </c>
      <c r="AA2" s="57" t="s">
        <v>26</v>
      </c>
      <c r="AB2" s="57" t="s">
        <v>27</v>
      </c>
      <c r="AC2" s="57" t="s">
        <v>28</v>
      </c>
      <c r="AD2" s="57" t="s">
        <v>29</v>
      </c>
      <c r="AE2" s="57" t="s">
        <v>30</v>
      </c>
      <c r="AF2" s="57" t="s">
        <v>31</v>
      </c>
      <c r="AG2" s="57" t="s">
        <v>32</v>
      </c>
      <c r="AH2" s="57" t="s">
        <v>33</v>
      </c>
      <c r="AI2" s="57" t="s">
        <v>34</v>
      </c>
      <c r="AJ2" s="57" t="s">
        <v>35</v>
      </c>
      <c r="AK2" s="57" t="s">
        <v>36</v>
      </c>
      <c r="AL2" s="57" t="s">
        <v>37</v>
      </c>
      <c r="AM2" s="57" t="s">
        <v>38</v>
      </c>
      <c r="AN2" s="57" t="s">
        <v>39</v>
      </c>
      <c r="AO2" s="57" t="s">
        <v>40</v>
      </c>
      <c r="AP2" s="57" t="s">
        <v>41</v>
      </c>
      <c r="AQ2" s="57" t="s">
        <v>42</v>
      </c>
      <c r="AR2" s="57" t="s">
        <v>43</v>
      </c>
      <c r="AS2" s="57" t="s">
        <v>44</v>
      </c>
      <c r="AT2" s="57" t="s">
        <v>45</v>
      </c>
      <c r="AU2" s="57" t="s">
        <v>46</v>
      </c>
      <c r="AV2" s="57" t="s">
        <v>47</v>
      </c>
      <c r="AW2" s="57" t="s">
        <v>48</v>
      </c>
      <c r="AX2" s="57" t="s">
        <v>49</v>
      </c>
      <c r="AY2" s="57" t="s">
        <v>50</v>
      </c>
      <c r="AZ2" s="57" t="s">
        <v>51</v>
      </c>
      <c r="BA2" s="57" t="s">
        <v>52</v>
      </c>
      <c r="BB2" s="57" t="s">
        <v>53</v>
      </c>
      <c r="BC2" s="57" t="s">
        <v>54</v>
      </c>
      <c r="BD2" s="57" t="s">
        <v>55</v>
      </c>
      <c r="BE2" s="57" t="s">
        <v>56</v>
      </c>
      <c r="BF2" s="57" t="s">
        <v>57</v>
      </c>
      <c r="BG2" s="57" t="s">
        <v>58</v>
      </c>
      <c r="BH2" s="57" t="s">
        <v>59</v>
      </c>
      <c r="BI2" s="57" t="s">
        <v>60</v>
      </c>
      <c r="BJ2" s="57" t="s">
        <v>61</v>
      </c>
      <c r="BK2" s="57" t="s">
        <v>62</v>
      </c>
      <c r="BL2" s="57" t="s">
        <v>63</v>
      </c>
      <c r="BM2" s="57" t="s">
        <v>64</v>
      </c>
      <c r="BN2" s="57" t="s">
        <v>65</v>
      </c>
      <c r="BO2" s="57" t="s">
        <v>66</v>
      </c>
      <c r="BP2" s="57" t="s">
        <v>67</v>
      </c>
      <c r="BQ2" s="57" t="s">
        <v>68</v>
      </c>
      <c r="BR2" s="57" t="s">
        <v>69</v>
      </c>
      <c r="BS2" s="57" t="s">
        <v>70</v>
      </c>
      <c r="BT2" s="57" t="s">
        <v>71</v>
      </c>
      <c r="BU2" s="57" t="s">
        <v>72</v>
      </c>
      <c r="BV2" s="57" t="s">
        <v>73</v>
      </c>
      <c r="BW2" s="57" t="s">
        <v>74</v>
      </c>
      <c r="BX2" s="57" t="s">
        <v>75</v>
      </c>
      <c r="BY2" s="57" t="s">
        <v>76</v>
      </c>
      <c r="BZ2" s="57" t="s">
        <v>77</v>
      </c>
      <c r="CA2" s="57" t="s">
        <v>78</v>
      </c>
      <c r="CB2" s="57" t="s">
        <v>79</v>
      </c>
      <c r="CC2" s="57" t="s">
        <v>80</v>
      </c>
      <c r="CD2" s="57" t="s">
        <v>81</v>
      </c>
      <c r="CE2" s="57" t="s">
        <v>82</v>
      </c>
      <c r="CF2" s="57" t="s">
        <v>83</v>
      </c>
      <c r="CG2" s="57" t="s">
        <v>84</v>
      </c>
      <c r="CH2" s="57" t="s">
        <v>85</v>
      </c>
      <c r="CI2" s="57" t="s">
        <v>86</v>
      </c>
      <c r="CJ2" s="57" t="s">
        <v>87</v>
      </c>
      <c r="CK2" s="57" t="s">
        <v>88</v>
      </c>
      <c r="CL2" s="57" t="s">
        <v>89</v>
      </c>
      <c r="CM2" s="57" t="s">
        <v>90</v>
      </c>
      <c r="CN2" s="57" t="s">
        <v>91</v>
      </c>
      <c r="CO2" s="57" t="s">
        <v>92</v>
      </c>
      <c r="CP2" s="57" t="s">
        <v>93</v>
      </c>
      <c r="CQ2" s="57" t="s">
        <v>94</v>
      </c>
      <c r="CR2" s="57" t="s">
        <v>95</v>
      </c>
      <c r="CS2" s="57" t="s">
        <v>96</v>
      </c>
      <c r="CT2" s="57" t="s">
        <v>97</v>
      </c>
      <c r="CU2" s="57" t="s">
        <v>98</v>
      </c>
      <c r="CV2" s="57" t="s">
        <v>99</v>
      </c>
      <c r="CW2" s="57" t="s">
        <v>100</v>
      </c>
      <c r="CX2" s="57" t="s">
        <v>101</v>
      </c>
      <c r="CY2" s="57" t="s">
        <v>102</v>
      </c>
      <c r="CZ2" s="57" t="s">
        <v>103</v>
      </c>
      <c r="DA2" s="57" t="s">
        <v>104</v>
      </c>
      <c r="DB2" s="57" t="s">
        <v>105</v>
      </c>
      <c r="DC2" s="57" t="s">
        <v>106</v>
      </c>
      <c r="DD2" s="57" t="s">
        <v>107</v>
      </c>
      <c r="DE2" s="57" t="s">
        <v>108</v>
      </c>
      <c r="DF2" s="57" t="s">
        <v>109</v>
      </c>
      <c r="DG2" s="57" t="s">
        <v>110</v>
      </c>
      <c r="DH2" s="58" t="s">
        <v>6</v>
      </c>
      <c r="DI2" s="4" t="s">
        <v>143</v>
      </c>
      <c r="DJ2" s="4" t="s">
        <v>209</v>
      </c>
      <c r="DK2" s="4" t="s">
        <v>210</v>
      </c>
      <c r="DL2" s="4" t="s">
        <v>59</v>
      </c>
      <c r="DM2" s="4" t="s">
        <v>60</v>
      </c>
      <c r="DN2" s="4" t="s">
        <v>61</v>
      </c>
      <c r="DO2" s="4" t="s">
        <v>68</v>
      </c>
      <c r="DP2" s="4" t="s">
        <v>69</v>
      </c>
      <c r="DQ2" s="4" t="s">
        <v>28</v>
      </c>
      <c r="DR2" s="4" t="s">
        <v>94</v>
      </c>
      <c r="DS2" s="4" t="s">
        <v>96</v>
      </c>
      <c r="DT2" s="4" t="s">
        <v>98</v>
      </c>
      <c r="DU2" s="4" t="s">
        <v>99</v>
      </c>
      <c r="DV2" s="4" t="s">
        <v>103</v>
      </c>
      <c r="DW2" s="4" t="s">
        <v>8</v>
      </c>
      <c r="DX2" s="4" t="s">
        <v>51</v>
      </c>
      <c r="DY2" s="4" t="s">
        <v>52</v>
      </c>
      <c r="DZ2" s="4" t="s">
        <v>53</v>
      </c>
      <c r="EA2" s="4" t="s">
        <v>62</v>
      </c>
      <c r="EB2" s="4" t="s">
        <v>65</v>
      </c>
      <c r="EC2" s="4" t="s">
        <v>67</v>
      </c>
      <c r="ED2" s="4" t="s">
        <v>75</v>
      </c>
      <c r="EE2" s="4" t="s">
        <v>77</v>
      </c>
      <c r="EF2" s="4" t="s">
        <v>78</v>
      </c>
      <c r="EG2" s="4" t="s">
        <v>80</v>
      </c>
      <c r="EH2" s="4" t="s">
        <v>81</v>
      </c>
      <c r="EI2" s="4" t="s">
        <v>82</v>
      </c>
      <c r="EJ2" s="4" t="s">
        <v>85</v>
      </c>
      <c r="EK2" s="4" t="s">
        <v>64</v>
      </c>
      <c r="EL2" s="4" t="s">
        <v>88</v>
      </c>
      <c r="EM2" s="4" t="s">
        <v>15</v>
      </c>
      <c r="EN2" s="4" t="s">
        <v>33</v>
      </c>
      <c r="EO2" s="4" t="s">
        <v>100</v>
      </c>
      <c r="EP2" s="4" t="s">
        <v>101</v>
      </c>
      <c r="EQ2" s="4" t="s">
        <v>102</v>
      </c>
      <c r="ER2" s="59" t="s">
        <v>54</v>
      </c>
      <c r="ES2" s="59" t="s">
        <v>66</v>
      </c>
      <c r="ET2" s="59" t="s">
        <v>24</v>
      </c>
      <c r="EU2" s="4" t="s">
        <v>89</v>
      </c>
      <c r="EV2" s="4" t="s">
        <v>90</v>
      </c>
      <c r="EW2" s="4" t="s">
        <v>91</v>
      </c>
      <c r="EX2" s="4" t="s">
        <v>92</v>
      </c>
      <c r="EY2" s="4" t="s">
        <v>13</v>
      </c>
      <c r="EZ2" s="4" t="s">
        <v>25</v>
      </c>
      <c r="FA2" s="4" t="s">
        <v>57</v>
      </c>
      <c r="FB2" s="4" t="s">
        <v>58</v>
      </c>
      <c r="FC2" s="4" t="s">
        <v>74</v>
      </c>
      <c r="FD2" s="4" t="s">
        <v>86</v>
      </c>
      <c r="FE2" s="4" t="s">
        <v>22</v>
      </c>
      <c r="FF2" s="4" t="s">
        <v>26</v>
      </c>
      <c r="FG2" s="4" t="s">
        <v>37</v>
      </c>
      <c r="FH2" s="4" t="s">
        <v>31</v>
      </c>
      <c r="FI2" s="4" t="s">
        <v>36</v>
      </c>
      <c r="FJ2" s="4" t="s">
        <v>17</v>
      </c>
      <c r="FK2" s="4" t="s">
        <v>30</v>
      </c>
      <c r="FL2" s="4" t="s">
        <v>32</v>
      </c>
      <c r="FM2" s="4" t="s">
        <v>49</v>
      </c>
      <c r="FN2" s="4" t="s">
        <v>34</v>
      </c>
      <c r="FO2" s="4" t="s">
        <v>55</v>
      </c>
      <c r="FP2" s="4" t="s">
        <v>63</v>
      </c>
      <c r="FQ2" s="4" t="s">
        <v>84</v>
      </c>
      <c r="FR2" s="4" t="s">
        <v>87</v>
      </c>
      <c r="FS2" s="4" t="s">
        <v>72</v>
      </c>
      <c r="FT2" s="4" t="s">
        <v>79</v>
      </c>
      <c r="FU2" s="4" t="s">
        <v>83</v>
      </c>
      <c r="FV2" s="4" t="s">
        <v>73</v>
      </c>
      <c r="FW2" s="4" t="s">
        <v>76</v>
      </c>
      <c r="FX2" s="60" t="s">
        <v>9</v>
      </c>
      <c r="FY2" s="4" t="s">
        <v>10</v>
      </c>
      <c r="FZ2" s="60" t="s">
        <v>11</v>
      </c>
      <c r="GA2" s="4" t="s">
        <v>12</v>
      </c>
    </row>
    <row r="3" spans="1:183">
      <c r="A3" s="65">
        <v>74</v>
      </c>
      <c r="B3" s="55">
        <v>46266.401180555556</v>
      </c>
      <c r="C3" s="55">
        <v>46266.445717592593</v>
      </c>
      <c r="D3" s="65" t="s">
        <v>111</v>
      </c>
      <c r="E3" s="54"/>
      <c r="F3" s="54"/>
      <c r="G3" s="68">
        <v>46266</v>
      </c>
      <c r="H3" s="54" t="s">
        <v>182</v>
      </c>
      <c r="I3" s="56">
        <v>7875.9219999999996</v>
      </c>
      <c r="J3" s="56">
        <v>4279.8999999999996</v>
      </c>
      <c r="K3" s="56">
        <v>1778909</v>
      </c>
      <c r="L3" s="56">
        <v>459</v>
      </c>
      <c r="M3" s="56">
        <v>193.17</v>
      </c>
      <c r="N3" s="56">
        <v>1895610.72</v>
      </c>
      <c r="O3" s="56">
        <v>4653368.6399999997</v>
      </c>
      <c r="P3" s="56">
        <v>656376</v>
      </c>
      <c r="Q3" s="56">
        <v>8171011.8399999999</v>
      </c>
      <c r="R3" s="56">
        <v>5691420.7999999998</v>
      </c>
      <c r="S3" s="56">
        <v>7463463.6799999997</v>
      </c>
      <c r="T3" s="56">
        <v>43103118.471000001</v>
      </c>
      <c r="U3" s="56">
        <v>2140998.56</v>
      </c>
      <c r="V3" s="56">
        <v>5164066.5599999996</v>
      </c>
      <c r="W3" s="56">
        <v>1611.7611999999999</v>
      </c>
      <c r="X3" s="56">
        <v>781729.728</v>
      </c>
      <c r="Y3" s="56">
        <v>1132458.3999999999</v>
      </c>
      <c r="Z3" s="56">
        <v>2777.8894</v>
      </c>
      <c r="AA3" s="56">
        <v>676460.60800000001</v>
      </c>
      <c r="AB3" s="56">
        <v>421986.24</v>
      </c>
      <c r="AC3" s="56">
        <v>2158844.96</v>
      </c>
      <c r="AD3" s="56">
        <v>2946580.6979999999</v>
      </c>
      <c r="AE3" s="56">
        <v>13012.822399999999</v>
      </c>
      <c r="AF3" s="56">
        <v>891606.20799999998</v>
      </c>
      <c r="AG3" s="56">
        <v>1434.942</v>
      </c>
      <c r="AH3" s="56">
        <v>136652.16</v>
      </c>
      <c r="AI3" s="56">
        <v>14775.712</v>
      </c>
      <c r="AJ3" s="56">
        <v>145406.36799999999</v>
      </c>
      <c r="AK3" s="56">
        <v>105550.03200000001</v>
      </c>
      <c r="AL3" s="56">
        <v>332661.08799999999</v>
      </c>
      <c r="AM3" s="56">
        <v>1009.217</v>
      </c>
      <c r="AN3" s="56">
        <v>336.5</v>
      </c>
      <c r="AO3" s="56">
        <v>7.4</v>
      </c>
      <c r="AP3" s="56">
        <v>745990</v>
      </c>
      <c r="AQ3" s="56">
        <v>42905</v>
      </c>
      <c r="AR3" s="56">
        <v>42359</v>
      </c>
      <c r="AS3" s="56">
        <v>32432</v>
      </c>
      <c r="AT3" s="56">
        <v>22148</v>
      </c>
      <c r="AU3" s="56">
        <v>16271</v>
      </c>
      <c r="AV3" s="56">
        <v>6792</v>
      </c>
      <c r="AW3" s="56">
        <v>21.125209999999999</v>
      </c>
      <c r="AX3" s="56">
        <v>7308.6170000000002</v>
      </c>
      <c r="AY3" s="56">
        <v>683.21119999999996</v>
      </c>
      <c r="AZ3" s="56">
        <v>20.788</v>
      </c>
      <c r="BA3" s="56">
        <v>10.946</v>
      </c>
      <c r="BB3" s="56">
        <v>45.975000000000001</v>
      </c>
      <c r="BC3" s="56">
        <v>114024.568</v>
      </c>
      <c r="BD3" s="56">
        <v>277325.02399999998</v>
      </c>
      <c r="BE3" s="56">
        <v>3761.7532000000001</v>
      </c>
      <c r="BF3" s="56">
        <v>1714.182</v>
      </c>
      <c r="BG3" s="56">
        <v>75.879000000000005</v>
      </c>
      <c r="BH3" s="56">
        <v>375.65300000000002</v>
      </c>
      <c r="BI3" s="56">
        <v>928.96699999999998</v>
      </c>
      <c r="BJ3" s="56">
        <v>16.202000000000002</v>
      </c>
      <c r="BK3" s="56">
        <v>571.81500000000005</v>
      </c>
      <c r="BL3" s="56">
        <v>78041.792000000001</v>
      </c>
      <c r="BM3" s="56">
        <v>324156.64</v>
      </c>
      <c r="BN3" s="56">
        <v>7298.6415999999999</v>
      </c>
      <c r="BO3" s="56">
        <v>53589.132799999999</v>
      </c>
      <c r="BP3" s="56">
        <v>317428.89600000001</v>
      </c>
      <c r="BQ3" s="56">
        <v>332.35500000000002</v>
      </c>
      <c r="BR3" s="56">
        <v>185.292</v>
      </c>
      <c r="BS3" s="56">
        <v>1049769.662</v>
      </c>
      <c r="BT3" s="56">
        <v>1400627.8230000001</v>
      </c>
      <c r="BU3" s="56">
        <v>635138.36800000002</v>
      </c>
      <c r="BV3" s="56">
        <v>1039470.24</v>
      </c>
      <c r="BW3" s="56">
        <v>575563.84</v>
      </c>
      <c r="BX3" s="56">
        <v>1054668.72</v>
      </c>
      <c r="BY3" s="56">
        <v>159118.92800000001</v>
      </c>
      <c r="BZ3" s="56">
        <v>115019.47199999999</v>
      </c>
      <c r="CA3" s="56">
        <v>1244.5895</v>
      </c>
      <c r="CB3" s="56">
        <v>109975.944</v>
      </c>
      <c r="CC3" s="56">
        <v>154155.424</v>
      </c>
      <c r="CD3" s="56">
        <v>452512.73599999998</v>
      </c>
      <c r="CE3" s="56">
        <v>49238.8992</v>
      </c>
      <c r="CF3" s="56">
        <v>156717.39199999999</v>
      </c>
      <c r="CG3" s="56">
        <v>36091.894399999997</v>
      </c>
      <c r="CH3" s="56">
        <v>2385.8710000000001</v>
      </c>
      <c r="CI3" s="56">
        <v>218.96899999999999</v>
      </c>
      <c r="CJ3" s="56">
        <v>1191.5999999999999</v>
      </c>
      <c r="CK3" s="56">
        <v>79.527000000000001</v>
      </c>
      <c r="CL3" s="56">
        <v>750.23400000000004</v>
      </c>
      <c r="CM3" s="56">
        <v>551.4</v>
      </c>
      <c r="CN3" s="56">
        <v>58017.4</v>
      </c>
      <c r="CO3" s="56">
        <v>1685.2570000000001</v>
      </c>
      <c r="CP3" s="56">
        <v>300478.52100000001</v>
      </c>
      <c r="CQ3" s="56">
        <v>3723538.24</v>
      </c>
      <c r="CR3" s="56">
        <v>133088.872</v>
      </c>
      <c r="CS3" s="56">
        <v>523974.52799999999</v>
      </c>
      <c r="CT3" s="56">
        <v>3037817.889</v>
      </c>
      <c r="CU3" s="56">
        <v>306955.23300000001</v>
      </c>
      <c r="CV3" s="56">
        <v>30260.793600000001</v>
      </c>
      <c r="CW3" s="56">
        <v>63537.734400000001</v>
      </c>
      <c r="CX3" s="56">
        <v>33620.387199999997</v>
      </c>
      <c r="CY3" s="56">
        <v>171694.09599999999</v>
      </c>
      <c r="CZ3" s="56">
        <v>220311.67999999999</v>
      </c>
      <c r="DA3" s="56">
        <v>19427.54</v>
      </c>
      <c r="DB3" s="56">
        <v>153259.74400000001</v>
      </c>
      <c r="DC3" s="56">
        <v>3222.93</v>
      </c>
      <c r="DD3" s="56">
        <v>3222.84</v>
      </c>
      <c r="DE3" s="56">
        <v>3252.85</v>
      </c>
      <c r="DF3" s="56">
        <v>0.995</v>
      </c>
      <c r="DG3" s="54" t="s">
        <v>214</v>
      </c>
      <c r="DH3" s="2">
        <f>Table2[[#This Row],[Date]]</f>
        <v>46266</v>
      </c>
      <c r="DI3">
        <f>(DD4-Table2[[#This Row],[MWH Total]])*4000</f>
        <v>25920.000000000073</v>
      </c>
      <c r="DJ3">
        <f>(DA4-Table2[[#This Row],[PNG Meter (Outside)]])*2.936</f>
        <v>75.778159999993164</v>
      </c>
      <c r="DK3">
        <f>(DB4-Table2[[#This Row],[PNG Meter (Inside)]])*2.936</f>
        <v>384.37524800001501</v>
      </c>
      <c r="DL3">
        <f>(BH4-Table2[[#This Row],[3F Dough cooler - 2 ]])*1000</f>
        <v>406.00000000000591</v>
      </c>
      <c r="DM3">
        <f>(BI4-Table2[[#This Row],[3F Dough Cooler- 1]])*1000</f>
        <v>488.00000000005639</v>
      </c>
      <c r="DN3">
        <f>(BJ4-Table2[[#This Row],[4F Dough Production cooling Unit]])*1000</f>
        <v>33.99999999999892</v>
      </c>
      <c r="DO3">
        <f>(BQ4-Table2[[#This Row],[3F2 - PDB 3 - Dough Production Area]])*1000</f>
        <v>185.99999999997863</v>
      </c>
      <c r="DP3">
        <f>(BR4-Table2[[#This Row],[3F3 - PDB 4 - Dough Area]])*1000</f>
        <v>115.00000000000909</v>
      </c>
      <c r="DQ3">
        <f>AC4-Table2[[#This Row],[16F1 Tray washer Panel for Light]]</f>
        <v>720.31999999983236</v>
      </c>
      <c r="DR3">
        <f>CQ4-Table2[[#This Row],[2F1 Tray Washer - 1]]</f>
        <v>1015.3599999998696</v>
      </c>
      <c r="DS3">
        <f>CS4-Table2[[#This Row],[2F5 Destacker]]</f>
        <v>315.42400000005728</v>
      </c>
      <c r="DT3">
        <f>CU4-Table2[[#This Row],[5F1 Metering (TW-2)]]</f>
        <v>282.67499999998836</v>
      </c>
      <c r="DU3">
        <f>CV4-Table2[[#This Row],[6F1 Pre soaker Tray washer]]</f>
        <v>0</v>
      </c>
      <c r="DV3">
        <f>CZ4-Table2[[#This Row],[6F5 Vent tray Storage]]</f>
        <v>112.64000000001397</v>
      </c>
      <c r="DW3">
        <f>I4-Table2[[#This Row],[Popeyes Meter ]]</f>
        <v>38.220000000000255</v>
      </c>
      <c r="DX3">
        <f>AZ4-Table2[[#This Row],[2F WH Chiller, Segregation Area]]</f>
        <v>0</v>
      </c>
      <c r="DY3">
        <f>BA4-Table2[[#This Row],[3F1 AC Unit WH dock cooling - 2 Nos]]</f>
        <v>1.6000000000000014E-2</v>
      </c>
      <c r="DZ3">
        <f>BB4-Table2[[#This Row],[3F2 AC Unit WH dock cooling - 3 Nos]]</f>
        <v>3.6000000000001364E-2</v>
      </c>
      <c r="EA3">
        <f>(BK4-Table2[[#This Row],[5F WH Perishable]])*1000</f>
        <v>284.99999999996817</v>
      </c>
      <c r="EB3">
        <f>BN4-Table2[[#This Row],[2F3 - PDB 9 - WH Dock Leveler Door ]]</f>
        <v>4.2111999999997352</v>
      </c>
      <c r="EC3">
        <f>BP4-Table2[[#This Row],[3F1 - PDB 5 - WH HSD]]</f>
        <v>115.20000000001164</v>
      </c>
      <c r="ED3">
        <f>BX4-Table2[[#This Row],[8F1 WH Dock AHU - Ventilation]]</f>
        <v>1473.2800000000279</v>
      </c>
      <c r="EE3">
        <f>BZ4-Table2[[#This Row],[8F3 ACPDB - 4 WH Dock air curtain]]</f>
        <v>17.760000000009313</v>
      </c>
      <c r="EF3">
        <f>CA4-Table2[[#This Row],[8F4 WH Light]]</f>
        <v>0</v>
      </c>
      <c r="EG3">
        <f>CC4-Table2[[#This Row],[9F1 - PDB 10 - WH Dock door &amp; Office]]</f>
        <v>116.46400000000722</v>
      </c>
      <c r="EH3">
        <f>CD4-Table2[[#This Row],[9F2 - PDB 11 - WH flycatchers]]</f>
        <v>140.8640000000014</v>
      </c>
      <c r="EI3">
        <f>CE4-Table2[[#This Row],[9F3 - PDB 12 - Other items]]</f>
        <v>15.187200000000303</v>
      </c>
      <c r="EJ3">
        <f>CR4-Table2[[#This Row],[2F3 - PDB 1 - Dock 1 to 4 ]]</f>
        <v>60.271999999997206</v>
      </c>
      <c r="EK3">
        <f>BM4-Table2[[#This Row],[2F2 - PDB 3 - WH Truck &amp; Battery Charging]]</f>
        <v>531.16800000000512</v>
      </c>
      <c r="EL3">
        <f>(CK4-Table2[[#This Row],[PDB - 11 Truck Charging]])*1000</f>
        <v>25.999999999996248</v>
      </c>
      <c r="EM3" s="1">
        <f>P4-Table2[[#This Row],[5F3 Admin Area]]</f>
        <v>388.60800000000745</v>
      </c>
      <c r="EN3">
        <f>AH4-Table2[[#This Row],[2F5 Main Gate-1 Piller -1]]</f>
        <v>126.92799999998533</v>
      </c>
      <c r="EO3">
        <f>CW4-Table2[[#This Row],[6F2 Ground Floor AC]]</f>
        <v>16.396800000002258</v>
      </c>
      <c r="EP3">
        <f>CX4-Table2[[#This Row],[6F3 ACBD -1 (First floor AC)]]</f>
        <v>8.9728000000031898</v>
      </c>
      <c r="EQ3">
        <f>CY4-Table2[[#This Row],[6F4 ACBD - 2 (Second &amp; Third floor AC)]]</f>
        <v>119.11999999999534</v>
      </c>
      <c r="ER3">
        <f>(BC4-Table2[[#This Row],[4F Old BMC cooling Unit]])</f>
        <v>2.6640000000043074</v>
      </c>
      <c r="ES3">
        <f>BO4-Table2[[#This Row],[2F4 - Old BMC]]</f>
        <v>0</v>
      </c>
      <c r="ET3">
        <f>Y4-Table2[[#This Row],[14F2 New CK]]</f>
        <v>1330.7200000002049</v>
      </c>
      <c r="EU3">
        <f>(CL4-Table2[[#This Row],[OLD Ck Panel-1]])*1000</f>
        <v>693.99999999995998</v>
      </c>
      <c r="EV3">
        <f>CM4-Table2[[#This Row],[2F4 Old CK Blast (Blue star)]]</f>
        <v>0</v>
      </c>
      <c r="EW3">
        <f>CN4-Table2[[#This Row],[3F6 Old CK Blast (Carrier)]]</f>
        <v>565.09999999999854</v>
      </c>
      <c r="EX3">
        <f>(CO4-Table2[[#This Row],[Old CK Panel -2]])*1000</f>
        <v>1174.9999999999545</v>
      </c>
      <c r="EY3">
        <f>N4-Table2[[#This Row],[4F1 Main UPS 1/C -1]]</f>
        <v>984.47999999998137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237.50400000007357</v>
      </c>
      <c r="FD3">
        <f>(CI4-Table2[[#This Row],[PDB - 17 CLC Section ]])*1000</f>
        <v>151.00000000001046</v>
      </c>
      <c r="FE3">
        <f>(W4-Table2[[#This Row],[13F3 Water &amp; Lift Old CK]])*1000</f>
        <v>821.20000000008986</v>
      </c>
      <c r="FF3">
        <f>AA4-Table2[[#This Row],[15F2 New ETP Panel]]</f>
        <v>293.82400000002235</v>
      </c>
      <c r="FG3">
        <f>AL4-Table2[[#This Row],[3F4 Old ETP Panel]]</f>
        <v>74.495999999984633</v>
      </c>
      <c r="FH3">
        <f>AF4-Table2[[#This Row],[2F1 RO Plant]]</f>
        <v>578.17599999997765</v>
      </c>
      <c r="FI3">
        <f>AK4-Table2[[#This Row],[3F3 Fire Hydrant Panel]]</f>
        <v>10.879999999990105</v>
      </c>
      <c r="FJ3">
        <f>R4-Table2[[#This Row],[7F1 Freon System Panel]]</f>
        <v>5857.9199999999255</v>
      </c>
      <c r="FK3">
        <f>(AE4-Table2[[#This Row],[21F1 Refrigeration Ammonia]])*1000</f>
        <v>7736.0000000007858</v>
      </c>
      <c r="FL3">
        <f>(AG4-Table2[[#This Row],[2F3 Air Compressor]])*1000</f>
        <v>1307.9999999999927</v>
      </c>
      <c r="FM3">
        <f>(AX4-Table2[[#This Row],[Solar Reading Panel II]])*1000</f>
        <v>2756.9999999996071</v>
      </c>
      <c r="FN3">
        <f>AI4-Table2[[#This Row],[3F1 Maintenance Workshop]]</f>
        <v>5.1440000000002328</v>
      </c>
      <c r="FO3">
        <f>BD4-Table2[[#This Row],[4F B2B unit ]]</f>
        <v>67.488000000012107</v>
      </c>
      <c r="FP3">
        <f>BL4-Table2[[#This Row],[2F1 - PDB 6 - Bread, B2B section]]</f>
        <v>240.47999999999593</v>
      </c>
      <c r="FQ3">
        <f>(CG4-Table2[[#This Row],[9F5 - PDB 14 - Bread Lift]])</f>
        <v>6.6848000000027241</v>
      </c>
      <c r="FR3">
        <f>CJ4-Table2[[#This Row],[PDB - 16 Bread Section]]</f>
        <v>0</v>
      </c>
      <c r="FS3">
        <f>BU4-Table2[[#This Row],[7F1 Donut Production area]]</f>
        <v>214.27199999999721</v>
      </c>
      <c r="FT3">
        <f>CB4-Table2[[#This Row],[8F5 Donut Ban Bary]]</f>
        <v>13.407999999995809</v>
      </c>
      <c r="FU3">
        <f>CF4-Table2[[#This Row],[9F4 - PDB 13 - Donut Sink Geyser area]]</f>
        <v>27.520000000018626</v>
      </c>
      <c r="FV3">
        <f>BV4-Table2[[#This Row],[7F2 Flour Silo]]</f>
        <v>543.04000000003725</v>
      </c>
      <c r="FW3">
        <f>BY4-Table2[[#This Row],[8F2 ACPDB - 3 SILO Ventilation]]</f>
        <v>42.655999999988126</v>
      </c>
      <c r="FX3">
        <f>J4-Table2[[#This Row],[DG 1010KVA Running Hours]]</f>
        <v>0.4000000000005457</v>
      </c>
      <c r="FY3">
        <f>K4-Table2[[#This Row],[DG 1010 KVA Meter Reading]]</f>
        <v>186</v>
      </c>
      <c r="FZ3">
        <f>L4-Table2[[#This Row],[GG 1010 KVA Running Hours]]</f>
        <v>1</v>
      </c>
      <c r="GA3">
        <f>M4-Table2[[#This Row],[GG 1010 KVA Meter Reading]]</f>
        <v>0.19000000000002615</v>
      </c>
    </row>
    <row r="4" spans="1:183">
      <c r="A4" s="65">
        <v>75</v>
      </c>
      <c r="B4" s="55">
        <v>46267.412916666668</v>
      </c>
      <c r="C4" s="55">
        <v>46267.45103009259</v>
      </c>
      <c r="D4" s="65" t="s">
        <v>111</v>
      </c>
      <c r="E4" s="54"/>
      <c r="F4" s="54"/>
      <c r="G4" s="68">
        <v>46267</v>
      </c>
      <c r="H4" s="54" t="s">
        <v>182</v>
      </c>
      <c r="I4" s="56">
        <v>7914.1419999999998</v>
      </c>
      <c r="J4" s="56">
        <v>4280.3</v>
      </c>
      <c r="K4" s="56">
        <v>1779095</v>
      </c>
      <c r="L4" s="56">
        <v>460</v>
      </c>
      <c r="M4" s="56">
        <v>193.36</v>
      </c>
      <c r="N4" s="56">
        <v>1896595.2</v>
      </c>
      <c r="O4" s="56">
        <v>4655488.6399999997</v>
      </c>
      <c r="P4" s="56">
        <v>656764.60800000001</v>
      </c>
      <c r="Q4" s="56">
        <v>8173900.1600000001</v>
      </c>
      <c r="R4" s="56">
        <v>5697278.7199999997</v>
      </c>
      <c r="S4" s="56">
        <v>7466610.5599999996</v>
      </c>
      <c r="T4" s="56">
        <v>43568545.185999997</v>
      </c>
      <c r="U4" s="56">
        <v>2142333.44</v>
      </c>
      <c r="V4" s="56">
        <v>5165802.5599999996</v>
      </c>
      <c r="W4" s="56">
        <v>1612.5824</v>
      </c>
      <c r="X4" s="56">
        <v>782013.82400000002</v>
      </c>
      <c r="Y4" s="56">
        <v>1133789.1200000001</v>
      </c>
      <c r="Z4" s="56">
        <v>2777.8894</v>
      </c>
      <c r="AA4" s="56">
        <v>676754.43200000003</v>
      </c>
      <c r="AB4" s="56">
        <v>422039.07199999999</v>
      </c>
      <c r="AC4" s="56">
        <v>2159565.2799999998</v>
      </c>
      <c r="AD4" s="56">
        <v>4455451.2259999998</v>
      </c>
      <c r="AE4" s="56">
        <v>13020.5584</v>
      </c>
      <c r="AF4" s="56">
        <v>892184.38399999996</v>
      </c>
      <c r="AG4" s="56">
        <v>1436.25</v>
      </c>
      <c r="AH4" s="56">
        <v>136779.08799999999</v>
      </c>
      <c r="AI4" s="56">
        <v>14780.856</v>
      </c>
      <c r="AJ4" s="56">
        <v>145407.90400000001</v>
      </c>
      <c r="AK4" s="56">
        <v>105560.912</v>
      </c>
      <c r="AL4" s="56">
        <v>332735.58399999997</v>
      </c>
      <c r="AM4" s="56">
        <v>1009.843</v>
      </c>
      <c r="AN4" s="56">
        <v>310.39999999999998</v>
      </c>
      <c r="AO4" s="56">
        <v>7.5</v>
      </c>
      <c r="AP4" s="56">
        <v>756224</v>
      </c>
      <c r="AQ4" s="56">
        <v>42929</v>
      </c>
      <c r="AR4" s="56">
        <v>42383</v>
      </c>
      <c r="AS4" s="56">
        <v>32432</v>
      </c>
      <c r="AT4" s="56">
        <v>22148</v>
      </c>
      <c r="AU4" s="56">
        <v>16295</v>
      </c>
      <c r="AV4" s="56">
        <v>6804</v>
      </c>
      <c r="AW4" s="56">
        <v>21.132822000000001</v>
      </c>
      <c r="AX4" s="56">
        <v>7311.3739999999998</v>
      </c>
      <c r="AY4" s="56">
        <v>683.35176000000001</v>
      </c>
      <c r="AZ4" s="56">
        <v>20.788</v>
      </c>
      <c r="BA4" s="56">
        <v>10.962</v>
      </c>
      <c r="BB4" s="56">
        <v>46.011000000000003</v>
      </c>
      <c r="BC4" s="56">
        <v>114027.232</v>
      </c>
      <c r="BD4" s="56">
        <v>277392.51199999999</v>
      </c>
      <c r="BE4" s="56">
        <v>3763.0531999999998</v>
      </c>
      <c r="BF4" s="56">
        <v>1714.182</v>
      </c>
      <c r="BG4" s="56">
        <v>75.914000000000001</v>
      </c>
      <c r="BH4" s="56">
        <v>376.05900000000003</v>
      </c>
      <c r="BI4" s="56">
        <v>929.45500000000004</v>
      </c>
      <c r="BJ4" s="56">
        <v>16.236000000000001</v>
      </c>
      <c r="BK4" s="56">
        <v>572.1</v>
      </c>
      <c r="BL4" s="56">
        <v>78282.271999999997</v>
      </c>
      <c r="BM4" s="56">
        <v>324687.80800000002</v>
      </c>
      <c r="BN4" s="56">
        <v>7302.8527999999997</v>
      </c>
      <c r="BO4" s="56">
        <v>53589.132799999999</v>
      </c>
      <c r="BP4" s="56">
        <v>317544.09600000002</v>
      </c>
      <c r="BQ4" s="56">
        <v>332.541</v>
      </c>
      <c r="BR4" s="56">
        <v>185.40700000000001</v>
      </c>
      <c r="BS4" s="56">
        <v>1051084.527</v>
      </c>
      <c r="BT4" s="56">
        <v>1400627.84</v>
      </c>
      <c r="BU4" s="56">
        <v>635352.64</v>
      </c>
      <c r="BV4" s="56">
        <v>1040013.28</v>
      </c>
      <c r="BW4" s="56">
        <v>575801.34400000004</v>
      </c>
      <c r="BX4" s="56">
        <v>1056142</v>
      </c>
      <c r="BY4" s="56">
        <v>159161.584</v>
      </c>
      <c r="BZ4" s="56">
        <v>115037.232</v>
      </c>
      <c r="CA4" s="56">
        <v>1244.5895</v>
      </c>
      <c r="CB4" s="56">
        <v>109989.352</v>
      </c>
      <c r="CC4" s="56">
        <v>154271.88800000001</v>
      </c>
      <c r="CD4" s="56">
        <v>452653.6</v>
      </c>
      <c r="CE4" s="56">
        <v>49254.0864</v>
      </c>
      <c r="CF4" s="56">
        <v>156744.91200000001</v>
      </c>
      <c r="CG4" s="56">
        <v>36098.5792</v>
      </c>
      <c r="CH4" s="56">
        <v>2385.8710000000001</v>
      </c>
      <c r="CI4" s="56">
        <v>219.12</v>
      </c>
      <c r="CJ4" s="56">
        <v>1191.5999999999999</v>
      </c>
      <c r="CK4" s="56">
        <v>79.552999999999997</v>
      </c>
      <c r="CL4" s="56">
        <v>750.928</v>
      </c>
      <c r="CM4" s="56">
        <v>551.4</v>
      </c>
      <c r="CN4" s="56">
        <v>58582.5</v>
      </c>
      <c r="CO4" s="56">
        <v>1686.432</v>
      </c>
      <c r="CP4" s="56">
        <v>300734.364</v>
      </c>
      <c r="CQ4" s="56">
        <v>3724553.6</v>
      </c>
      <c r="CR4" s="56">
        <v>133149.144</v>
      </c>
      <c r="CS4" s="56">
        <v>524289.95200000005</v>
      </c>
      <c r="CT4" s="56">
        <v>3041025.8679999998</v>
      </c>
      <c r="CU4" s="56">
        <v>307237.908</v>
      </c>
      <c r="CV4" s="56">
        <v>30260.793600000001</v>
      </c>
      <c r="CW4" s="56">
        <v>63554.131200000003</v>
      </c>
      <c r="CX4" s="56">
        <v>33629.360000000001</v>
      </c>
      <c r="CY4" s="56">
        <v>171813.21599999999</v>
      </c>
      <c r="CZ4" s="56">
        <v>220424.32000000001</v>
      </c>
      <c r="DA4" s="56">
        <v>19453.349999999999</v>
      </c>
      <c r="DB4" s="56">
        <v>153390.66200000001</v>
      </c>
      <c r="DC4" s="56">
        <v>3229.41</v>
      </c>
      <c r="DD4" s="56">
        <v>3229.32</v>
      </c>
      <c r="DE4" s="56">
        <v>3259.34</v>
      </c>
      <c r="DF4" s="56">
        <v>0.996</v>
      </c>
      <c r="DG4" s="54" t="s">
        <v>216</v>
      </c>
      <c r="DH4" s="2">
        <f>Table2[[#This Row],[Date]]</f>
        <v>46267</v>
      </c>
      <c r="DI4">
        <f>(DD5-Table2[[#This Row],[MWH Total]])*4000</f>
        <v>29559.999999999491</v>
      </c>
      <c r="DJ4">
        <f>(DA5-Table2[[#This Row],[PNG Meter (Outside)]])*2.936</f>
        <v>9.0722400000004271</v>
      </c>
      <c r="DK4">
        <f>(DB5-Table2[[#This Row],[PNG Meter (Inside)]])*2.936</f>
        <v>363.30651199999522</v>
      </c>
      <c r="DL4">
        <f>(BH5-Table2[[#This Row],[3F Dough cooler - 2 ]])*1000</f>
        <v>276.99999999998681</v>
      </c>
      <c r="DM4">
        <f>(BI5-Table2[[#This Row],[3F Dough Cooler- 1]])*1000</f>
        <v>480.99999999999454</v>
      </c>
      <c r="DN4">
        <f>(BJ5-Table2[[#This Row],[4F Dough Production cooling Unit]])*1000</f>
        <v>27.999999999998693</v>
      </c>
      <c r="DO4">
        <f>(BQ5-Table2[[#This Row],[3F2 - PDB 3 - Dough Production Area]])*1000</f>
        <v>238.9999999999759</v>
      </c>
      <c r="DP4">
        <f>(BR5-Table2[[#This Row],[3F3 - PDB 4 - Dough Area]])*1000</f>
        <v>139.99999999998636</v>
      </c>
      <c r="DQ4">
        <f>AC5-Table2[[#This Row],[16F1 Tray washer Panel for Light]]</f>
        <v>676.64000000013039</v>
      </c>
      <c r="DR4">
        <f>CQ5-Table2[[#This Row],[2F1 Tray Washer - 1]]</f>
        <v>1396.4799999999814</v>
      </c>
      <c r="DS4">
        <f>CS5-Table2[[#This Row],[2F5 Destacker]]</f>
        <v>398.23999999999069</v>
      </c>
      <c r="DT4">
        <f>CU5-Table2[[#This Row],[5F1 Metering (TW-2)]]</f>
        <v>299.94199999998091</v>
      </c>
      <c r="DU4">
        <f>CV5-Table2[[#This Row],[6F1 Pre soaker Tray washer]]</f>
        <v>0.41599999999743886</v>
      </c>
      <c r="DV4">
        <f>CZ5-Table2[[#This Row],[6F5 Vent tray Storage]]</f>
        <v>96.448000000003958</v>
      </c>
      <c r="DW4">
        <f>I5-Table2[[#This Row],[Popeyes Meter ]]</f>
        <v>60.930000000000291</v>
      </c>
      <c r="DX4">
        <f>AZ5-Table2[[#This Row],[2F WH Chiller, Segregation Area]]</f>
        <v>0</v>
      </c>
      <c r="DY4">
        <f>BA5-Table2[[#This Row],[3F1 AC Unit WH dock cooling - 2 Nos]]</f>
        <v>1.5000000000000568E-2</v>
      </c>
      <c r="DZ4">
        <f>BB5-Table2[[#This Row],[3F2 AC Unit WH dock cooling - 3 Nos]]</f>
        <v>3.4999999999996589E-2</v>
      </c>
      <c r="EA4">
        <f>(BK5-Table2[[#This Row],[5F WH Perishable]])*1000</f>
        <v>278.99999999999636</v>
      </c>
      <c r="EB4">
        <f>BN5-Table2[[#This Row],[2F3 - PDB 9 - WH Dock Leveler Door ]]</f>
        <v>3.4648000000006505</v>
      </c>
      <c r="EC4">
        <f>BP5-Table2[[#This Row],[3F1 - PDB 5 - WH HSD]]</f>
        <v>115.67999999999302</v>
      </c>
      <c r="ED4">
        <f>BX5-Table2[[#This Row],[8F1 WH Dock AHU - Ventilation]]</f>
        <v>1443.2800000000279</v>
      </c>
      <c r="EE4">
        <f>BZ5-Table2[[#This Row],[8F3 ACPDB - 4 WH Dock air curtain]]</f>
        <v>17.584000000002561</v>
      </c>
      <c r="EF4">
        <f>CA5-Table2[[#This Row],[8F4 WH Light]]</f>
        <v>0</v>
      </c>
      <c r="EG4">
        <f>CC5-Table2[[#This Row],[9F1 - PDB 10 - WH Dock door &amp; Office]]</f>
        <v>87.935999999986961</v>
      </c>
      <c r="EH4">
        <f>CD5-Table2[[#This Row],[9F2 - PDB 11 - WH flycatchers]]</f>
        <v>172.70400000002701</v>
      </c>
      <c r="EI4">
        <f>CE5-Table2[[#This Row],[9F3 - PDB 12 - Other items]]</f>
        <v>4.5984000000025844</v>
      </c>
      <c r="EJ4">
        <f>CR5-Table2[[#This Row],[2F3 - PDB 1 - Dock 1 to 4 ]]</f>
        <v>48.695999999996275</v>
      </c>
      <c r="EK4">
        <f>BM5-Table2[[#This Row],[2F2 - PDB 3 - WH Truck &amp; Battery Charging]]</f>
        <v>389.18400000000838</v>
      </c>
      <c r="EL4">
        <f>(CK5-Table2[[#This Row],[PDB - 11 Truck Charging]])*1000</f>
        <v>39.000000000001478</v>
      </c>
      <c r="EM4" s="1">
        <f>P5-Table2[[#This Row],[5F3 Admin Area]]</f>
        <v>318.01599999994505</v>
      </c>
      <c r="EN4">
        <f>AH5-Table2[[#This Row],[2F5 Main Gate-1 Piller -1]]</f>
        <v>111.00800000000163</v>
      </c>
      <c r="EO4">
        <f>CW5-Table2[[#This Row],[6F2 Ground Floor AC]]</f>
        <v>29.587199999994482</v>
      </c>
      <c r="EP4">
        <f>CX5-Table2[[#This Row],[6F3 ACBD -1 (First floor AC)]]</f>
        <v>8.8479999999981374</v>
      </c>
      <c r="EQ4">
        <f>CY5-Table2[[#This Row],[6F4 ACBD - 2 (Second &amp; Third floor AC)]]</f>
        <v>127.05600000001141</v>
      </c>
      <c r="ER4">
        <f>(BC5-Table2[[#This Row],[4F Old BMC cooling Unit]])</f>
        <v>0</v>
      </c>
      <c r="ES4">
        <f>BO5-Table2[[#This Row],[2F4 - Old BMC]]</f>
        <v>0</v>
      </c>
      <c r="ET4">
        <f>Y5-Table2[[#This Row],[14F2 New CK]]</f>
        <v>1379.1199999998789</v>
      </c>
      <c r="EU4">
        <f>(CL5-Table2[[#This Row],[OLD Ck Panel-1]])*1000</f>
        <v>669.99999999995907</v>
      </c>
      <c r="EV4">
        <f>CM5-Table2[[#This Row],[2F4 Old CK Blast (Blue star)]]</f>
        <v>0</v>
      </c>
      <c r="EW4">
        <f>CN5-Table2[[#This Row],[3F6 Old CK Blast (Carrier)]]</f>
        <v>565.19999999999709</v>
      </c>
      <c r="EX4">
        <f>(CO5-Table2[[#This Row],[Old CK Panel -2]])*1000</f>
        <v>1213.9999999999418</v>
      </c>
      <c r="EY4">
        <f>N5-Table2[[#This Row],[4F1 Main UPS 1/C -1]]</f>
        <v>939.52000000001863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33.999999999991815</v>
      </c>
      <c r="FC4">
        <f>BW5-Table2[[#This Row],[7F3 CLC Power Panel]]</f>
        <v>263.48800000001211</v>
      </c>
      <c r="FD4">
        <f>(CI5-Table2[[#This Row],[PDB - 17 CLC Section ]])*1000</f>
        <v>168.00000000000637</v>
      </c>
      <c r="FE4">
        <f>(W5-Table2[[#This Row],[13F3 Water &amp; Lift Old CK]])*1000</f>
        <v>1178.5999999999603</v>
      </c>
      <c r="FF4">
        <f>AA5-Table2[[#This Row],[15F2 New ETP Panel]]</f>
        <v>299.39199999999255</v>
      </c>
      <c r="FG4">
        <f>AL5-Table2[[#This Row],[3F4 Old ETP Panel]]</f>
        <v>64.704000000027008</v>
      </c>
      <c r="FH4">
        <f>AF5-Table2[[#This Row],[2F1 RO Plant]]</f>
        <v>568.64000000001397</v>
      </c>
      <c r="FI4">
        <f>AK5-Table2[[#This Row],[3F3 Fire Hydrant Panel]]</f>
        <v>10.872000000003027</v>
      </c>
      <c r="FJ4">
        <f>R5-Table2[[#This Row],[7F1 Freon System Panel]]</f>
        <v>5611.5200000004843</v>
      </c>
      <c r="FK4">
        <f>(AE5-Table2[[#This Row],[21F1 Refrigeration Ammonia]])*1000</f>
        <v>7338.4000000005472</v>
      </c>
      <c r="FL4">
        <f>(AG5-Table2[[#This Row],[2F3 Air Compressor]])*1000</f>
        <v>1280.9999999999491</v>
      </c>
      <c r="FM4">
        <f>(AX5-Table2[[#This Row],[Solar Reading Panel II]])*1000</f>
        <v>1631.0000000003129</v>
      </c>
      <c r="FN4">
        <f>AI5-Table2[[#This Row],[3F1 Maintenance Workshop]]</f>
        <v>3.5231999999996333</v>
      </c>
      <c r="FO4">
        <f>BD5-Table2[[#This Row],[4F B2B unit ]]</f>
        <v>64.768000000040047</v>
      </c>
      <c r="FP4">
        <f>BL5-Table2[[#This Row],[2F1 - PDB 6 - Bread, B2B section]]</f>
        <v>216.60800000000745</v>
      </c>
      <c r="FQ4">
        <f>(CG5-Table2[[#This Row],[9F5 - PDB 14 - Bread Lift]])</f>
        <v>0.58239999999932479</v>
      </c>
      <c r="FR4">
        <f>CJ5-Table2[[#This Row],[PDB - 16 Bread Section]]</f>
        <v>0</v>
      </c>
      <c r="FS4">
        <f>BU5-Table2[[#This Row],[7F1 Donut Production area]]</f>
        <v>194.11199999996461</v>
      </c>
      <c r="FT4">
        <f>CB5-Table2[[#This Row],[8F5 Donut Ban Bary]]</f>
        <v>18.711999999999534</v>
      </c>
      <c r="FU4">
        <f>CF5-Table2[[#This Row],[9F4 - PDB 13 - Donut Sink Geyser area]]</f>
        <v>23.951999999990221</v>
      </c>
      <c r="FV4">
        <f>BV5-Table2[[#This Row],[7F2 Flour Silo]]</f>
        <v>558</v>
      </c>
      <c r="FW4">
        <f>BY5-Table2[[#This Row],[8F2 ACPDB - 3 SILO Ventilation]]</f>
        <v>42.048000000009779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>
      <c r="A5" s="65">
        <v>76</v>
      </c>
      <c r="B5" s="55">
        <v>46268.389791666668</v>
      </c>
      <c r="C5" s="55">
        <v>46268.433379629627</v>
      </c>
      <c r="D5" s="65" t="s">
        <v>111</v>
      </c>
      <c r="E5" s="54"/>
      <c r="F5" s="54"/>
      <c r="G5" s="68">
        <v>46268</v>
      </c>
      <c r="H5" s="54" t="s">
        <v>182</v>
      </c>
      <c r="I5" s="56">
        <v>7975.0720000000001</v>
      </c>
      <c r="J5" s="56">
        <v>4280.3</v>
      </c>
      <c r="K5" s="56">
        <v>1779095</v>
      </c>
      <c r="L5" s="56">
        <v>460</v>
      </c>
      <c r="M5" s="56">
        <v>193.36</v>
      </c>
      <c r="N5" s="56">
        <v>1897534.72</v>
      </c>
      <c r="O5" s="56">
        <v>4657411.5199999996</v>
      </c>
      <c r="P5" s="56">
        <v>657082.62399999995</v>
      </c>
      <c r="Q5" s="56">
        <v>8176175.3600000003</v>
      </c>
      <c r="R5" s="56">
        <v>5702890.2400000002</v>
      </c>
      <c r="S5" s="56">
        <v>7470421.7599999998</v>
      </c>
      <c r="T5" s="56">
        <v>43128872.875</v>
      </c>
      <c r="U5" s="56">
        <v>2143581.44</v>
      </c>
      <c r="V5" s="56">
        <v>5167338.88</v>
      </c>
      <c r="W5" s="56">
        <v>1613.761</v>
      </c>
      <c r="X5" s="56">
        <v>782311.55200000003</v>
      </c>
      <c r="Y5" s="56">
        <v>1135168.24</v>
      </c>
      <c r="Z5" s="56">
        <v>2777.8894</v>
      </c>
      <c r="AA5" s="56">
        <v>677053.82400000002</v>
      </c>
      <c r="AB5" s="56">
        <v>422069.02399999998</v>
      </c>
      <c r="AC5" s="56">
        <v>2160241.92</v>
      </c>
      <c r="AD5" s="56">
        <v>2968282.3569999998</v>
      </c>
      <c r="AE5" s="56">
        <v>13027.8968</v>
      </c>
      <c r="AF5" s="56">
        <v>892753.02399999998</v>
      </c>
      <c r="AG5" s="56">
        <v>1437.5309999999999</v>
      </c>
      <c r="AH5" s="56">
        <v>136890.09599999999</v>
      </c>
      <c r="AI5" s="56">
        <v>14784.379199999999</v>
      </c>
      <c r="AJ5" s="56">
        <v>145409.10399999999</v>
      </c>
      <c r="AK5" s="56">
        <v>105571.784</v>
      </c>
      <c r="AL5" s="56">
        <v>332800.288</v>
      </c>
      <c r="AM5" s="56">
        <v>1010.606</v>
      </c>
      <c r="AN5" s="56">
        <v>342</v>
      </c>
      <c r="AO5" s="56">
        <v>7.5</v>
      </c>
      <c r="AP5" s="56">
        <v>766428</v>
      </c>
      <c r="AQ5" s="56">
        <v>42952</v>
      </c>
      <c r="AR5" s="56">
        <v>42407</v>
      </c>
      <c r="AS5" s="56">
        <v>32432</v>
      </c>
      <c r="AT5" s="56">
        <v>22148</v>
      </c>
      <c r="AU5" s="56">
        <v>16318</v>
      </c>
      <c r="AV5" s="56">
        <v>6815</v>
      </c>
      <c r="AW5" s="56">
        <v>21.139982</v>
      </c>
      <c r="AX5" s="56">
        <v>7313.0050000000001</v>
      </c>
      <c r="AY5" s="56">
        <v>683.45111999999995</v>
      </c>
      <c r="AZ5" s="56">
        <v>20.788</v>
      </c>
      <c r="BA5" s="56">
        <v>10.977</v>
      </c>
      <c r="BB5" s="56">
        <v>46.045999999999999</v>
      </c>
      <c r="BC5" s="56">
        <v>114027.232</v>
      </c>
      <c r="BD5" s="56">
        <v>277457.28000000003</v>
      </c>
      <c r="BE5" s="56">
        <v>3764.2204000000002</v>
      </c>
      <c r="BF5" s="56">
        <v>1714.182</v>
      </c>
      <c r="BG5" s="56">
        <v>75.947999999999993</v>
      </c>
      <c r="BH5" s="56">
        <v>376.33600000000001</v>
      </c>
      <c r="BI5" s="56">
        <v>929.93600000000004</v>
      </c>
      <c r="BJ5" s="56">
        <v>16.263999999999999</v>
      </c>
      <c r="BK5" s="56">
        <v>572.37900000000002</v>
      </c>
      <c r="BL5" s="56">
        <v>78498.880000000005</v>
      </c>
      <c r="BM5" s="56">
        <v>325076.99200000003</v>
      </c>
      <c r="BN5" s="56">
        <v>7306.3176000000003</v>
      </c>
      <c r="BO5" s="56">
        <v>53589.132799999999</v>
      </c>
      <c r="BP5" s="56">
        <v>317659.77600000001</v>
      </c>
      <c r="BQ5" s="56">
        <v>332.78</v>
      </c>
      <c r="BR5" s="56">
        <v>185.547</v>
      </c>
      <c r="BS5" s="56">
        <v>1052301.736</v>
      </c>
      <c r="BT5" s="56">
        <v>1400627.84</v>
      </c>
      <c r="BU5" s="56">
        <v>635546.75199999998</v>
      </c>
      <c r="BV5" s="56">
        <v>1040571.28</v>
      </c>
      <c r="BW5" s="56">
        <v>576064.83200000005</v>
      </c>
      <c r="BX5" s="56">
        <v>1057585.28</v>
      </c>
      <c r="BY5" s="56">
        <v>159203.63200000001</v>
      </c>
      <c r="BZ5" s="56">
        <v>115054.81600000001</v>
      </c>
      <c r="CA5" s="56">
        <v>1244.5895</v>
      </c>
      <c r="CB5" s="56">
        <v>110008.064</v>
      </c>
      <c r="CC5" s="56">
        <v>154359.82399999999</v>
      </c>
      <c r="CD5" s="56">
        <v>452826.304</v>
      </c>
      <c r="CE5" s="56">
        <v>49258.684800000003</v>
      </c>
      <c r="CF5" s="56">
        <v>156768.864</v>
      </c>
      <c r="CG5" s="56">
        <v>36099.161599999999</v>
      </c>
      <c r="CH5" s="56">
        <v>2385.8710000000001</v>
      </c>
      <c r="CI5" s="56">
        <v>219.28800000000001</v>
      </c>
      <c r="CJ5" s="56">
        <v>1191.5999999999999</v>
      </c>
      <c r="CK5" s="56">
        <v>79.591999999999999</v>
      </c>
      <c r="CL5" s="56">
        <v>751.59799999999996</v>
      </c>
      <c r="CM5" s="56">
        <v>551.4</v>
      </c>
      <c r="CN5" s="56">
        <v>59147.7</v>
      </c>
      <c r="CO5" s="56">
        <v>1687.646</v>
      </c>
      <c r="CP5" s="56">
        <v>300984.55499999999</v>
      </c>
      <c r="CQ5" s="56">
        <v>3725950.08</v>
      </c>
      <c r="CR5" s="56">
        <v>133197.84</v>
      </c>
      <c r="CS5" s="56">
        <v>524688.19200000004</v>
      </c>
      <c r="CT5" s="56">
        <v>3044938.4270000001</v>
      </c>
      <c r="CU5" s="56">
        <v>307537.84999999998</v>
      </c>
      <c r="CV5" s="56">
        <v>30261.209599999998</v>
      </c>
      <c r="CW5" s="56">
        <v>63583.718399999998</v>
      </c>
      <c r="CX5" s="56">
        <v>33638.207999999999</v>
      </c>
      <c r="CY5" s="56">
        <v>171940.272</v>
      </c>
      <c r="CZ5" s="56">
        <v>220520.76800000001</v>
      </c>
      <c r="DA5" s="56">
        <v>19456.439999999999</v>
      </c>
      <c r="DB5" s="56">
        <v>153514.40400000001</v>
      </c>
      <c r="DC5" s="56">
        <v>3236.82</v>
      </c>
      <c r="DD5" s="56">
        <v>3236.71</v>
      </c>
      <c r="DE5" s="56">
        <v>3266.58</v>
      </c>
      <c r="DF5" s="56">
        <v>0.995</v>
      </c>
      <c r="DG5" s="54" t="s">
        <v>218</v>
      </c>
      <c r="DH5" s="2">
        <f>Table2[[#This Row],[Date]]</f>
        <v>46268</v>
      </c>
      <c r="DI5">
        <f>(DD6-Table2[[#This Row],[MWH Total]])*4000</f>
        <v>25319.999999999709</v>
      </c>
      <c r="DJ5">
        <f>(DA6-Table2[[#This Row],[PNG Meter (Outside)]])*2.936</f>
        <v>69.964880000005124</v>
      </c>
      <c r="DK5">
        <f>(DB6-Table2[[#This Row],[PNG Meter (Inside)]])*2.936</f>
        <v>342.28181599993093</v>
      </c>
      <c r="DL5">
        <f>(BH6-Table2[[#This Row],[3F Dough cooler - 2 ]])*1000</f>
        <v>401.00000000001046</v>
      </c>
      <c r="DM5">
        <f>(BI6-Table2[[#This Row],[3F Dough Cooler- 1]])*1000</f>
        <v>483.9999999999236</v>
      </c>
      <c r="DN5">
        <f>(BJ6-Table2[[#This Row],[4F Dough Production cooling Unit]])*1000</f>
        <v>36.000000000001364</v>
      </c>
      <c r="DO5">
        <f>(BQ6-Table2[[#This Row],[3F2 - PDB 3 - Dough Production Area]])*1000</f>
        <v>269.00000000000546</v>
      </c>
      <c r="DP5">
        <f>(BR6-Table2[[#This Row],[3F3 - PDB 4 - Dough Area]])*1000</f>
        <v>153.99999999999636</v>
      </c>
      <c r="DQ5">
        <f>AC6-Table2[[#This Row],[16F1 Tray washer Panel for Light]]</f>
        <v>692.8000000002794</v>
      </c>
      <c r="DR5">
        <f>CQ6-Table2[[#This Row],[2F1 Tray Washer - 1]]</f>
        <v>1376.9599999999627</v>
      </c>
      <c r="DS5">
        <f>CS6-Table2[[#This Row],[2F5 Destacker]]</f>
        <v>374.75199999997858</v>
      </c>
      <c r="DT5">
        <f>CU6-Table2[[#This Row],[5F1 Metering (TW-2)]]</f>
        <v>277.69100000004983</v>
      </c>
      <c r="DU5">
        <f>CV6-Table2[[#This Row],[6F1 Pre soaker Tray washer]]</f>
        <v>3.5840000000025611</v>
      </c>
      <c r="DV5">
        <f>CZ6-Table2[[#This Row],[6F5 Vent tray Storage]]</f>
        <v>84.047999999980675</v>
      </c>
      <c r="DW5">
        <f>I6-Table2[[#This Row],[Popeyes Meter ]]</f>
        <v>54.909999999999854</v>
      </c>
      <c r="DX5">
        <f>AZ6-Table2[[#This Row],[2F WH Chiller, Segregation Area]]</f>
        <v>0</v>
      </c>
      <c r="DY5">
        <f>BA6-Table2[[#This Row],[3F1 AC Unit WH dock cooling - 2 Nos]]</f>
        <v>1.7999999999998906E-2</v>
      </c>
      <c r="DZ5">
        <f>BB6-Table2[[#This Row],[3F2 AC Unit WH dock cooling - 3 Nos]]</f>
        <v>4.700000000000415E-2</v>
      </c>
      <c r="EA5">
        <f>(BK6-Table2[[#This Row],[5F WH Perishable]])*1000</f>
        <v>283.00000000001546</v>
      </c>
      <c r="EB5">
        <f>BN6-Table2[[#This Row],[2F3 - PDB 9 - WH Dock Leveler Door ]]</f>
        <v>2.9751999999998588</v>
      </c>
      <c r="EC5">
        <f>BP6-Table2[[#This Row],[3F1 - PDB 5 - WH HSD]]</f>
        <v>118.97599999996601</v>
      </c>
      <c r="ED5">
        <f>BX6-Table2[[#This Row],[8F1 WH Dock AHU - Ventilation]]</f>
        <v>1460.8799999998882</v>
      </c>
      <c r="EE5">
        <f>BZ6-Table2[[#This Row],[8F3 ACPDB - 4 WH Dock air curtain]]</f>
        <v>18.879999999990105</v>
      </c>
      <c r="EF5">
        <f>CA6-Table2[[#This Row],[8F4 WH Light]]</f>
        <v>0</v>
      </c>
      <c r="EG5">
        <f>CC6-Table2[[#This Row],[9F1 - PDB 10 - WH Dock door &amp; Office]]</f>
        <v>127.71199999999953</v>
      </c>
      <c r="EH5">
        <f>CD6-Table2[[#This Row],[9F2 - PDB 11 - WH flycatchers]]</f>
        <v>111.71199999999953</v>
      </c>
      <c r="EI5">
        <f>CE6-Table2[[#This Row],[9F3 - PDB 12 - Other items]]</f>
        <v>4.0735999999960768</v>
      </c>
      <c r="EJ5">
        <f>CR6-Table2[[#This Row],[2F3 - PDB 1 - Dock 1 to 4 ]]</f>
        <v>56.584000000002561</v>
      </c>
      <c r="EK5">
        <f>BM6-Table2[[#This Row],[2F2 - PDB 3 - WH Truck &amp; Battery Charging]]</f>
        <v>642.04799999995157</v>
      </c>
      <c r="EL5">
        <f>(CK6-Table2[[#This Row],[PDB - 11 Truck Charging]])*1000</f>
        <v>33.000000000001251</v>
      </c>
      <c r="EM5" s="1">
        <f>P6-Table2[[#This Row],[5F3 Admin Area]]</f>
        <v>393.92000000004191</v>
      </c>
      <c r="EN5">
        <f>AH6-Table2[[#This Row],[2F5 Main Gate-1 Piller -1]]</f>
        <v>114.62400000001071</v>
      </c>
      <c r="EO5">
        <f>CW6-Table2[[#This Row],[6F2 Ground Floor AC]]</f>
        <v>19.916799999999057</v>
      </c>
      <c r="EP5">
        <f>CX6-Table2[[#This Row],[6F3 ACBD -1 (First floor AC)]]</f>
        <v>8.8224000000045635</v>
      </c>
      <c r="EQ5">
        <f>CY6-Table2[[#This Row],[6F4 ACBD - 2 (Second &amp; Third floor AC)]]</f>
        <v>121.5679999999993</v>
      </c>
      <c r="ER5">
        <f>(BC6-Table2[[#This Row],[4F Old BMC cooling Unit]])</f>
        <v>0</v>
      </c>
      <c r="ES5">
        <f>BO6-Table2[[#This Row],[2F4 - Old BMC]]</f>
        <v>0</v>
      </c>
      <c r="ET5">
        <f>Y6-Table2[[#This Row],[14F2 New CK]]</f>
        <v>1690</v>
      </c>
      <c r="EU5">
        <f>(CL6-Table2[[#This Row],[OLD Ck Panel-1]])*1000</f>
        <v>689.00000000007822</v>
      </c>
      <c r="EV5">
        <f>CM6-Table2[[#This Row],[2F4 Old CK Blast (Blue star)]]</f>
        <v>0</v>
      </c>
      <c r="EW5">
        <f>CN6-Table2[[#This Row],[3F6 Old CK Blast (Carrier)]]</f>
        <v>563.80000000000291</v>
      </c>
      <c r="EX5">
        <f>(CO6-Table2[[#This Row],[Old CK Panel -2]])*1000</f>
        <v>1246.0000000000946</v>
      </c>
      <c r="EY5">
        <f>N6-Table2[[#This Row],[4F1 Main UPS 1/C -1]]</f>
        <v>999.36000000010245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35.0000000000108</v>
      </c>
      <c r="FC5">
        <f>BW6-Table2[[#This Row],[7F3 CLC Power Panel]]</f>
        <v>278.9759999999078</v>
      </c>
      <c r="FD5">
        <f>(CI6-Table2[[#This Row],[PDB - 17 CLC Section ]])*1000</f>
        <v>177.99999999999727</v>
      </c>
      <c r="FE5">
        <f>(W6-Table2[[#This Row],[13F3 Water &amp; Lift Old CK]])*1000</f>
        <v>1058.0999999999676</v>
      </c>
      <c r="FF5">
        <f>AA6-Table2[[#This Row],[15F2 New ETP Panel]]</f>
        <v>273.79200000001583</v>
      </c>
      <c r="FG5">
        <f>AL6-Table2[[#This Row],[3F4 Old ETP Panel]]</f>
        <v>71.456000000005588</v>
      </c>
      <c r="FH5">
        <f>AF6-Table2[[#This Row],[2F1 RO Plant]]</f>
        <v>626.11200000008103</v>
      </c>
      <c r="FI5">
        <f>AK6-Table2[[#This Row],[3F3 Fire Hydrant Panel]]</f>
        <v>10.759999999994761</v>
      </c>
      <c r="FJ5">
        <f>R6-Table2[[#This Row],[7F1 Freon System Panel]]</f>
        <v>5582.0800000000745</v>
      </c>
      <c r="FK5">
        <f>(AE6-Table2[[#This Row],[21F1 Refrigeration Ammonia]])*1000</f>
        <v>7868.0000000003929</v>
      </c>
      <c r="FL5">
        <f>(AG6-Table2[[#This Row],[2F3 Air Compressor]])*1000</f>
        <v>1305.0000000000637</v>
      </c>
      <c r="FM5">
        <f>(AX6-Table2[[#This Row],[Solar Reading Panel II]])*1000</f>
        <v>2170.0000000000728</v>
      </c>
      <c r="FN5">
        <f>AI6-Table2[[#This Row],[3F1 Maintenance Workshop]]</f>
        <v>5.7200000000011642</v>
      </c>
      <c r="FO5">
        <f>BD6-Table2[[#This Row],[4F B2B unit ]]</f>
        <v>50.11199999996461</v>
      </c>
      <c r="FP5">
        <f>BL6-Table2[[#This Row],[2F1 - PDB 6 - Bread, B2B section]]</f>
        <v>283.59679999999935</v>
      </c>
      <c r="FQ5">
        <f>(CG6-Table2[[#This Row],[9F5 - PDB 14 - Bread Lift]])</f>
        <v>0.30400000000372529</v>
      </c>
      <c r="FR5">
        <f>CJ6-Table2[[#This Row],[PDB - 16 Bread Section]]</f>
        <v>0</v>
      </c>
      <c r="FS5">
        <f>BU6-Table2[[#This Row],[7F1 Donut Production area]]</f>
        <v>209.2160000000149</v>
      </c>
      <c r="FT5">
        <f>CB6-Table2[[#This Row],[8F5 Donut Ban Bary]]</f>
        <v>15.767999999996391</v>
      </c>
      <c r="FU5">
        <f>CF6-Table2[[#This Row],[9F4 - PDB 13 - Donut Sink Geyser area]]</f>
        <v>24.543999999994412</v>
      </c>
      <c r="FV5">
        <f>BV6-Table2[[#This Row],[7F2 Flour Silo]]</f>
        <v>544.79999999993015</v>
      </c>
      <c r="FW5">
        <f>BY6-Table2[[#This Row],[8F2 ACPDB - 3 SILO Ventilation]]</f>
        <v>42.623999999981606</v>
      </c>
      <c r="FX5">
        <f>J6-Table2[[#This Row],[DG 1010KVA Running Hours]]</f>
        <v>0.3999999999996362</v>
      </c>
      <c r="FY5">
        <f>K6-Table2[[#This Row],[DG 1010 KVA Meter Reading]]</f>
        <v>208</v>
      </c>
      <c r="FZ5">
        <f>L6-Table2[[#This Row],[GG 1010 KVA Running Hours]]</f>
        <v>0</v>
      </c>
      <c r="GA5">
        <f>M6-Table2[[#This Row],[GG 1010 KVA Meter Reading]]</f>
        <v>0.19999999999998863</v>
      </c>
    </row>
    <row r="6" spans="1:183">
      <c r="A6" s="65">
        <v>77</v>
      </c>
      <c r="B6" s="55">
        <v>46269.391562500001</v>
      </c>
      <c r="C6" s="55">
        <v>46269.432210648149</v>
      </c>
      <c r="D6" s="65" t="s">
        <v>111</v>
      </c>
      <c r="E6" s="54"/>
      <c r="F6" s="54"/>
      <c r="G6" s="68">
        <v>46269</v>
      </c>
      <c r="H6" s="54" t="s">
        <v>215</v>
      </c>
      <c r="I6" s="56">
        <v>8029.982</v>
      </c>
      <c r="J6" s="56">
        <v>4280.7</v>
      </c>
      <c r="K6" s="56">
        <v>1779303</v>
      </c>
      <c r="L6" s="56">
        <v>460</v>
      </c>
      <c r="M6" s="56">
        <v>193.56</v>
      </c>
      <c r="N6" s="56">
        <v>1898534.08</v>
      </c>
      <c r="O6" s="56">
        <v>4659409.92</v>
      </c>
      <c r="P6" s="56">
        <v>657476.54399999999</v>
      </c>
      <c r="Q6" s="56">
        <v>8178563.8399999999</v>
      </c>
      <c r="R6" s="56">
        <v>5708472.3200000003</v>
      </c>
      <c r="S6" s="56">
        <v>7474261.7599999998</v>
      </c>
      <c r="T6" s="56">
        <v>43595488.763999999</v>
      </c>
      <c r="U6" s="56">
        <v>2145199.2000000002</v>
      </c>
      <c r="V6" s="56">
        <v>5169062.08</v>
      </c>
      <c r="W6" s="56">
        <v>1614.8190999999999</v>
      </c>
      <c r="X6" s="56">
        <v>782592.89599999995</v>
      </c>
      <c r="Y6" s="56">
        <v>1136858.24</v>
      </c>
      <c r="Z6" s="56">
        <v>2777.8894</v>
      </c>
      <c r="AA6" s="56">
        <v>677327.61600000004</v>
      </c>
      <c r="AB6" s="56">
        <v>422106.24</v>
      </c>
      <c r="AC6" s="56">
        <v>2160934.7200000002</v>
      </c>
      <c r="AD6" s="56">
        <v>4485551.5729999999</v>
      </c>
      <c r="AE6" s="56">
        <v>13035.764800000001</v>
      </c>
      <c r="AF6" s="56">
        <v>893379.13600000006</v>
      </c>
      <c r="AG6" s="56">
        <v>1438.836</v>
      </c>
      <c r="AH6" s="56">
        <v>137004.72</v>
      </c>
      <c r="AI6" s="56">
        <v>14790.099200000001</v>
      </c>
      <c r="AJ6" s="56">
        <v>145410.35200000001</v>
      </c>
      <c r="AK6" s="56">
        <v>105582.54399999999</v>
      </c>
      <c r="AL6" s="56">
        <v>332871.74400000001</v>
      </c>
      <c r="AM6" s="56">
        <v>1011.215</v>
      </c>
      <c r="AN6" s="56">
        <v>291.2</v>
      </c>
      <c r="AO6" s="56">
        <v>7.1</v>
      </c>
      <c r="AP6" s="56">
        <v>776842</v>
      </c>
      <c r="AQ6" s="56">
        <v>42976</v>
      </c>
      <c r="AR6" s="56">
        <v>42431</v>
      </c>
      <c r="AS6" s="56">
        <v>32432</v>
      </c>
      <c r="AT6" s="56">
        <v>22148</v>
      </c>
      <c r="AU6" s="56">
        <v>16342</v>
      </c>
      <c r="AV6" s="56">
        <v>6827</v>
      </c>
      <c r="AW6" s="56">
        <v>21.147644</v>
      </c>
      <c r="AX6" s="56">
        <v>7315.1750000000002</v>
      </c>
      <c r="AY6" s="56">
        <v>683.56831999999997</v>
      </c>
      <c r="AZ6" s="56">
        <v>20.788</v>
      </c>
      <c r="BA6" s="56">
        <v>10.994999999999999</v>
      </c>
      <c r="BB6" s="56">
        <v>46.093000000000004</v>
      </c>
      <c r="BC6" s="56">
        <v>114027.232</v>
      </c>
      <c r="BD6" s="56">
        <v>277507.39199999999</v>
      </c>
      <c r="BE6" s="56">
        <v>3765.5171999999998</v>
      </c>
      <c r="BF6" s="56">
        <v>1714.182</v>
      </c>
      <c r="BG6" s="56">
        <v>75.983000000000004</v>
      </c>
      <c r="BH6" s="56">
        <v>376.73700000000002</v>
      </c>
      <c r="BI6" s="56">
        <v>930.42</v>
      </c>
      <c r="BJ6" s="56">
        <v>16.3</v>
      </c>
      <c r="BK6" s="56">
        <v>572.66200000000003</v>
      </c>
      <c r="BL6" s="56">
        <v>78782.476800000004</v>
      </c>
      <c r="BM6" s="56">
        <v>325719.03999999998</v>
      </c>
      <c r="BN6" s="56">
        <v>7309.2928000000002</v>
      </c>
      <c r="BO6" s="56">
        <v>53589.132799999999</v>
      </c>
      <c r="BP6" s="56">
        <v>317778.75199999998</v>
      </c>
      <c r="BQ6" s="56">
        <v>333.04899999999998</v>
      </c>
      <c r="BR6" s="56">
        <v>185.70099999999999</v>
      </c>
      <c r="BS6" s="56">
        <v>1053914.287</v>
      </c>
      <c r="BT6" s="56">
        <v>1400627.8670000001</v>
      </c>
      <c r="BU6" s="56">
        <v>635755.96799999999</v>
      </c>
      <c r="BV6" s="56">
        <v>1041116.08</v>
      </c>
      <c r="BW6" s="56">
        <v>576343.80799999996</v>
      </c>
      <c r="BX6" s="56">
        <v>1059046.1599999999</v>
      </c>
      <c r="BY6" s="56">
        <v>159246.25599999999</v>
      </c>
      <c r="BZ6" s="56">
        <v>115073.696</v>
      </c>
      <c r="CA6" s="56">
        <v>1244.5895</v>
      </c>
      <c r="CB6" s="56">
        <v>110023.83199999999</v>
      </c>
      <c r="CC6" s="56">
        <v>154487.53599999999</v>
      </c>
      <c r="CD6" s="56">
        <v>452938.016</v>
      </c>
      <c r="CE6" s="56">
        <v>49262.758399999999</v>
      </c>
      <c r="CF6" s="56">
        <v>156793.408</v>
      </c>
      <c r="CG6" s="56">
        <v>36099.465600000003</v>
      </c>
      <c r="CH6" s="56">
        <v>2385.8710000000001</v>
      </c>
      <c r="CI6" s="56">
        <v>219.46600000000001</v>
      </c>
      <c r="CJ6" s="56">
        <v>1191.5999999999999</v>
      </c>
      <c r="CK6" s="56">
        <v>79.625</v>
      </c>
      <c r="CL6" s="56">
        <v>752.28700000000003</v>
      </c>
      <c r="CM6" s="56">
        <v>551.4</v>
      </c>
      <c r="CN6" s="56">
        <v>59711.5</v>
      </c>
      <c r="CO6" s="56">
        <v>1688.8920000000001</v>
      </c>
      <c r="CP6" s="56">
        <v>301220.02500000002</v>
      </c>
      <c r="CQ6" s="56">
        <v>3727327.04</v>
      </c>
      <c r="CR6" s="56">
        <v>133254.424</v>
      </c>
      <c r="CS6" s="56">
        <v>525062.94400000002</v>
      </c>
      <c r="CT6" s="56">
        <v>3048820.7459999998</v>
      </c>
      <c r="CU6" s="56">
        <v>307815.54100000003</v>
      </c>
      <c r="CV6" s="56">
        <v>30264.793600000001</v>
      </c>
      <c r="CW6" s="56">
        <v>63603.635199999997</v>
      </c>
      <c r="CX6" s="56">
        <v>33647.030400000003</v>
      </c>
      <c r="CY6" s="56">
        <v>172061.84</v>
      </c>
      <c r="CZ6" s="56">
        <v>220604.81599999999</v>
      </c>
      <c r="DA6" s="56">
        <v>19480.27</v>
      </c>
      <c r="DB6" s="56">
        <v>153630.98499999999</v>
      </c>
      <c r="DC6" s="56">
        <v>3243.17</v>
      </c>
      <c r="DD6" s="56">
        <v>3243.04</v>
      </c>
      <c r="DE6" s="56">
        <v>3273.09</v>
      </c>
      <c r="DF6" s="56">
        <v>0.995</v>
      </c>
      <c r="DG6" s="54" t="s">
        <v>219</v>
      </c>
      <c r="DH6" s="2">
        <f>Table2[[#This Row],[Date]]</f>
        <v>46269</v>
      </c>
      <c r="DI6">
        <f>(DD7-Table2[[#This Row],[MWH Total]])*4000</f>
        <v>25319.999999999709</v>
      </c>
      <c r="DJ6">
        <f>(DA7-Table2[[#This Row],[PNG Meter (Outside)]])*2.936</f>
        <v>9.3952000000021361</v>
      </c>
      <c r="DK6">
        <f>(DB7-Table2[[#This Row],[PNG Meter (Inside)]])*2.936</f>
        <v>400.03</v>
      </c>
      <c r="DL6">
        <f>(BH7-Table2[[#This Row],[3F Dough cooler - 2 ]])*1000</f>
        <v>209.00000000000318</v>
      </c>
      <c r="DM6">
        <f>(BI7-Table2[[#This Row],[3F Dough Cooler- 1]])*1000</f>
        <v>493.00000000005184</v>
      </c>
      <c r="DN6">
        <f>(BJ7-Table2[[#This Row],[4F Dough Production cooling Unit]])*1000</f>
        <v>44.999999999998153</v>
      </c>
      <c r="DO6">
        <f>(BQ7-Table2[[#This Row],[3F2 - PDB 3 - Dough Production Area]])*1000</f>
        <v>213.00000000002228</v>
      </c>
      <c r="DP6">
        <f>(BR7-Table2[[#This Row],[3F3 - PDB 4 - Dough Area]])*1000</f>
        <v>143.00000000000068</v>
      </c>
      <c r="DQ6">
        <f>AC7-Table2[[#This Row],[16F1 Tray washer Panel for Light]]</f>
        <v>690.71999999973923</v>
      </c>
      <c r="DR6">
        <f>CQ7-Table2[[#This Row],[2F1 Tray Washer - 1]]</f>
        <v>1178.5600000000559</v>
      </c>
      <c r="DS6">
        <f>CS7-Table2[[#This Row],[2F5 Destacker]]</f>
        <v>324.67200000002049</v>
      </c>
      <c r="DT6">
        <f>CU7-Table2[[#This Row],[5F1 Metering (TW-2)]]</f>
        <v>298.3519999999553</v>
      </c>
      <c r="DU6">
        <f>CV7-Table2[[#This Row],[6F1 Pre soaker Tray washer]]</f>
        <v>3.6607999999978347</v>
      </c>
      <c r="DV6">
        <f>CZ7-Table2[[#This Row],[6F5 Vent tray Storage]]</f>
        <v>115.18400000000838</v>
      </c>
      <c r="DW6">
        <f>I7-Table2[[#This Row],[Popeyes Meter ]]</f>
        <v>65.380000000000109</v>
      </c>
      <c r="DX6">
        <f>AZ7-Table2[[#This Row],[2F WH Chiller, Segregation Area]]</f>
        <v>0</v>
      </c>
      <c r="DY6">
        <f>BA7-Table2[[#This Row],[3F1 AC Unit WH dock cooling - 2 Nos]]</f>
        <v>2.1000000000000796E-2</v>
      </c>
      <c r="DZ6">
        <f>BB7-Table2[[#This Row],[3F2 AC Unit WH dock cooling - 3 Nos]]</f>
        <v>3.8999999999994373E-2</v>
      </c>
      <c r="EA6">
        <f>(BK7-Table2[[#This Row],[5F WH Perishable]])*1000</f>
        <v>285.99999999994452</v>
      </c>
      <c r="EB6">
        <f>BN7-Table2[[#This Row],[2F3 - PDB 9 - WH Dock Leveler Door ]]</f>
        <v>6.677599999999984</v>
      </c>
      <c r="EC6">
        <f>BP7-Table2[[#This Row],[3F1 - PDB 5 - WH HSD]]</f>
        <v>117.31200000003446</v>
      </c>
      <c r="ED6">
        <f>BX7-Table2[[#This Row],[8F1 WH Dock AHU - Ventilation]]</f>
        <v>1475.6800000001676</v>
      </c>
      <c r="EE6">
        <f>BZ7-Table2[[#This Row],[8F3 ACPDB - 4 WH Dock air curtain]]</f>
        <v>19.096000000005006</v>
      </c>
      <c r="EF6">
        <f>CA7-Table2[[#This Row],[8F4 WH Light]]</f>
        <v>0</v>
      </c>
      <c r="EG6">
        <f>CC7-Table2[[#This Row],[9F1 - PDB 10 - WH Dock door &amp; Office]]</f>
        <v>89.360000000015134</v>
      </c>
      <c r="EH6">
        <f>CD7-Table2[[#This Row],[9F2 - PDB 11 - WH flycatchers]]</f>
        <v>199.90399999998044</v>
      </c>
      <c r="EI6">
        <f>CE7-Table2[[#This Row],[9F3 - PDB 12 - Other items]]</f>
        <v>4.5728000000017346</v>
      </c>
      <c r="EJ6">
        <f>CR7-Table2[[#This Row],[2F3 - PDB 1 - Dock 1 to 4 ]]</f>
        <v>48.855999999999767</v>
      </c>
      <c r="EK6">
        <f>BM7-Table2[[#This Row],[2F2 - PDB 3 - WH Truck &amp; Battery Charging]]</f>
        <v>738.11200000002282</v>
      </c>
      <c r="EL6">
        <f>(CK7-Table2[[#This Row],[PDB - 11 Truck Charging]])*1000</f>
        <v>37.000000000006139</v>
      </c>
      <c r="EM6" s="1">
        <f>P7-Table2[[#This Row],[5F3 Admin Area]]</f>
        <v>387.8399999999674</v>
      </c>
      <c r="EN6">
        <f>AH7-Table2[[#This Row],[2F5 Main Gate-1 Piller -1]]</f>
        <v>113.39199999999255</v>
      </c>
      <c r="EO6">
        <f>CW7-Table2[[#This Row],[6F2 Ground Floor AC]]</f>
        <v>11.897600000003877</v>
      </c>
      <c r="EP6">
        <f>CX7-Table2[[#This Row],[6F3 ACBD -1 (First floor AC)]]</f>
        <v>8.9503999999942607</v>
      </c>
      <c r="EQ6">
        <f>CY7-Table2[[#This Row],[6F4 ACBD - 2 (Second &amp; Third floor AC)]]</f>
        <v>121.16800000000512</v>
      </c>
      <c r="ER6">
        <f>(BC7-Table2[[#This Row],[4F Old BMC cooling Unit]])</f>
        <v>1.8319999999948777</v>
      </c>
      <c r="ES6">
        <f>BO7-Table2[[#This Row],[2F4 - Old BMC]]</f>
        <v>0</v>
      </c>
      <c r="ET6">
        <f>Y7-Table2[[#This Row],[14F2 New CK]]</f>
        <v>1927.5200000000186</v>
      </c>
      <c r="EU6">
        <f>(CL7-Table2[[#This Row],[OLD Ck Panel-1]])*1000</f>
        <v>693.99999999995998</v>
      </c>
      <c r="EV6">
        <f>CM7-Table2[[#This Row],[2F4 Old CK Blast (Blue star)]]</f>
        <v>0</v>
      </c>
      <c r="EW6">
        <f>CN7-Table2[[#This Row],[3F6 Old CK Blast (Carrier)]]</f>
        <v>573.40000000000146</v>
      </c>
      <c r="EX6">
        <f>(CO7-Table2[[#This Row],[Old CK Panel -2]])*1000</f>
        <v>1230.0000000000182</v>
      </c>
      <c r="EY6">
        <f>N7-Table2[[#This Row],[4F1 Main UPS 1/C -1]]</f>
        <v>985.11999999987893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34.999999999996589</v>
      </c>
      <c r="FC6">
        <f>BW7-Table2[[#This Row],[7F3 CLC Power Panel]]</f>
        <v>251.20000000006985</v>
      </c>
      <c r="FD6">
        <f>(CI7-Table2[[#This Row],[PDB - 17 CLC Section ]])*1000</f>
        <v>149.00000000000091</v>
      </c>
      <c r="FE6">
        <f>(W7-Table2[[#This Row],[13F3 Water &amp; Lift Old CK]])*1000</f>
        <v>1384.8000000000411</v>
      </c>
      <c r="FF6">
        <f>AA7-Table2[[#This Row],[15F2 New ETP Panel]]</f>
        <v>288.89599999994971</v>
      </c>
      <c r="FG6">
        <f>AL7-Table2[[#This Row],[3F4 Old ETP Panel]]</f>
        <v>77.760000000009313</v>
      </c>
      <c r="FH6">
        <f>AF7-Table2[[#This Row],[2F1 RO Plant]]</f>
        <v>575.87199999997392</v>
      </c>
      <c r="FI6">
        <f>AK7-Table2[[#This Row],[3F3 Fire Hydrant Panel]]</f>
        <v>10.768000000010943</v>
      </c>
      <c r="FJ6">
        <f>R7-Table2[[#This Row],[7F1 Freon System Panel]]</f>
        <v>5457.9199999999255</v>
      </c>
      <c r="FK6">
        <f>(AE7-Table2[[#This Row],[21F1 Refrigeration Ammonia]])*1000</f>
        <v>7452.7999999991152</v>
      </c>
      <c r="FL6">
        <f>(AG7-Table2[[#This Row],[2F3 Air Compressor]])*1000</f>
        <v>1298.0000000000018</v>
      </c>
      <c r="FM6">
        <f>(AX7-Table2[[#This Row],[Solar Reading Panel II]])*1000</f>
        <v>1347.9999999999563</v>
      </c>
      <c r="FN6">
        <f>AI7-Table2[[#This Row],[3F1 Maintenance Workshop]]</f>
        <v>3.5983999999989464</v>
      </c>
      <c r="FO6">
        <f>BD7-Table2[[#This Row],[4F B2B unit ]]</f>
        <v>84.223999999987427</v>
      </c>
      <c r="FP6">
        <f>BL7-Table2[[#This Row],[2F1 - PDB 6 - Bread, B2B section]]</f>
        <v>285.63839999999618</v>
      </c>
      <c r="FQ6">
        <f>(CG7-Table2[[#This Row],[9F5 - PDB 14 - Bread Lift]])</f>
        <v>0.5151999999943655</v>
      </c>
      <c r="FR6">
        <f>CJ7-Table2[[#This Row],[PDB - 16 Bread Section]]</f>
        <v>0</v>
      </c>
      <c r="FS6">
        <f>BU7-Table2[[#This Row],[7F1 Donut Production area]]</f>
        <v>167.04000000003725</v>
      </c>
      <c r="FT6">
        <f>CB7-Table2[[#This Row],[8F5 Donut Ban Bary]]</f>
        <v>22.120000000009895</v>
      </c>
      <c r="FU6">
        <f>CF7-Table2[[#This Row],[9F4 - PDB 13 - Donut Sink Geyser area]]</f>
        <v>16.448000000003958</v>
      </c>
      <c r="FV6">
        <f>BV7-Table2[[#This Row],[7F2 Flour Silo]]</f>
        <v>383.52000000001863</v>
      </c>
      <c r="FW6">
        <f>BY7-Table2[[#This Row],[8F2 ACPDB - 3 SILO Ventilation]]</f>
        <v>41.776000000012573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>
      <c r="A7" s="65">
        <v>78</v>
      </c>
      <c r="B7" s="55">
        <v>46270.389664351853</v>
      </c>
      <c r="C7" s="55">
        <v>46270.431273148148</v>
      </c>
      <c r="D7" s="65" t="s">
        <v>111</v>
      </c>
      <c r="E7" s="54"/>
      <c r="F7" s="54"/>
      <c r="G7" s="68">
        <v>46270</v>
      </c>
      <c r="H7" s="54" t="s">
        <v>215</v>
      </c>
      <c r="I7" s="56">
        <v>8095.3620000000001</v>
      </c>
      <c r="J7" s="56">
        <v>4280.7</v>
      </c>
      <c r="K7" s="56">
        <v>1779303</v>
      </c>
      <c r="L7" s="56">
        <v>460</v>
      </c>
      <c r="M7" s="56">
        <v>193.56</v>
      </c>
      <c r="N7" s="56">
        <v>1899519.2</v>
      </c>
      <c r="O7" s="56">
        <v>4661371.5199999996</v>
      </c>
      <c r="P7" s="56">
        <v>657864.38399999996</v>
      </c>
      <c r="Q7" s="56">
        <v>8180900.4800000004</v>
      </c>
      <c r="R7" s="56">
        <v>5713930.2400000002</v>
      </c>
      <c r="S7" s="56">
        <v>7477715.2000000002</v>
      </c>
      <c r="T7" s="56">
        <v>43155309.723999999</v>
      </c>
      <c r="U7" s="56">
        <v>2146871.52</v>
      </c>
      <c r="V7" s="56">
        <v>5170611.5199999996</v>
      </c>
      <c r="W7" s="56">
        <v>1616.2039</v>
      </c>
      <c r="X7" s="56">
        <v>782893.24800000002</v>
      </c>
      <c r="Y7" s="56">
        <v>1138785.76</v>
      </c>
      <c r="Z7" s="56">
        <v>2777.8894</v>
      </c>
      <c r="AA7" s="56">
        <v>677616.51199999999</v>
      </c>
      <c r="AB7" s="56">
        <v>422164.22399999999</v>
      </c>
      <c r="AC7" s="56">
        <v>2161625.44</v>
      </c>
      <c r="AD7" s="56">
        <v>2990526.3080000002</v>
      </c>
      <c r="AE7" s="56">
        <v>13043.2176</v>
      </c>
      <c r="AF7" s="56">
        <v>893955.00800000003</v>
      </c>
      <c r="AG7" s="56">
        <v>1440.134</v>
      </c>
      <c r="AH7" s="56">
        <v>137118.11199999999</v>
      </c>
      <c r="AI7" s="56">
        <v>14793.6976</v>
      </c>
      <c r="AJ7" s="56">
        <v>145411.20000000001</v>
      </c>
      <c r="AK7" s="56">
        <v>105593.31200000001</v>
      </c>
      <c r="AL7" s="56">
        <v>332949.50400000002</v>
      </c>
      <c r="AM7" s="56">
        <v>1011.8579999999999</v>
      </c>
      <c r="AN7" s="56">
        <v>213.1</v>
      </c>
      <c r="AO7" s="56">
        <v>6.7</v>
      </c>
      <c r="AP7" s="56">
        <v>787128</v>
      </c>
      <c r="AQ7" s="56">
        <v>43000</v>
      </c>
      <c r="AR7" s="56">
        <v>42455</v>
      </c>
      <c r="AS7" s="56">
        <v>32432</v>
      </c>
      <c r="AT7" s="56">
        <v>22148</v>
      </c>
      <c r="AU7" s="56">
        <v>16366</v>
      </c>
      <c r="AV7" s="56">
        <v>6839</v>
      </c>
      <c r="AW7" s="56">
        <v>21.154852000000002</v>
      </c>
      <c r="AX7" s="56">
        <v>7316.5230000000001</v>
      </c>
      <c r="AY7" s="56">
        <v>683.71896000000004</v>
      </c>
      <c r="AZ7" s="56">
        <v>20.788</v>
      </c>
      <c r="BA7" s="56">
        <v>11.016</v>
      </c>
      <c r="BB7" s="56">
        <v>46.131999999999998</v>
      </c>
      <c r="BC7" s="56">
        <v>114029.064</v>
      </c>
      <c r="BD7" s="56">
        <v>277591.61599999998</v>
      </c>
      <c r="BE7" s="56">
        <v>3766.6768000000002</v>
      </c>
      <c r="BF7" s="56">
        <v>1714.182</v>
      </c>
      <c r="BG7" s="56">
        <v>76.018000000000001</v>
      </c>
      <c r="BH7" s="56">
        <v>376.94600000000003</v>
      </c>
      <c r="BI7" s="56">
        <v>930.91300000000001</v>
      </c>
      <c r="BJ7" s="56">
        <v>16.344999999999999</v>
      </c>
      <c r="BK7" s="56">
        <v>572.94799999999998</v>
      </c>
      <c r="BL7" s="56">
        <v>79068.1152</v>
      </c>
      <c r="BM7" s="56">
        <v>326457.152</v>
      </c>
      <c r="BN7" s="56">
        <v>7315.9704000000002</v>
      </c>
      <c r="BO7" s="56">
        <v>53589.132799999999</v>
      </c>
      <c r="BP7" s="56">
        <v>317896.06400000001</v>
      </c>
      <c r="BQ7" s="56">
        <v>333.262</v>
      </c>
      <c r="BR7" s="56">
        <v>185.84399999999999</v>
      </c>
      <c r="BS7" s="56">
        <v>1055560.172</v>
      </c>
      <c r="BT7" s="56">
        <v>1400627.8670000001</v>
      </c>
      <c r="BU7" s="56">
        <v>635923.00800000003</v>
      </c>
      <c r="BV7" s="56">
        <v>1041499.6</v>
      </c>
      <c r="BW7" s="56">
        <v>576595.00800000003</v>
      </c>
      <c r="BX7" s="56">
        <v>1060521.8400000001</v>
      </c>
      <c r="BY7" s="56">
        <v>159288.03200000001</v>
      </c>
      <c r="BZ7" s="56">
        <v>115092.792</v>
      </c>
      <c r="CA7" s="56">
        <v>1244.5895</v>
      </c>
      <c r="CB7" s="56">
        <v>110045.952</v>
      </c>
      <c r="CC7" s="56">
        <v>154576.89600000001</v>
      </c>
      <c r="CD7" s="56">
        <v>453137.91999999998</v>
      </c>
      <c r="CE7" s="56">
        <v>49267.331200000001</v>
      </c>
      <c r="CF7" s="56">
        <v>156809.856</v>
      </c>
      <c r="CG7" s="56">
        <v>36099.980799999998</v>
      </c>
      <c r="CH7" s="56">
        <v>2385.8710000000001</v>
      </c>
      <c r="CI7" s="56">
        <v>219.61500000000001</v>
      </c>
      <c r="CJ7" s="56">
        <v>1191.5999999999999</v>
      </c>
      <c r="CK7" s="56">
        <v>79.662000000000006</v>
      </c>
      <c r="CL7" s="56">
        <v>752.98099999999999</v>
      </c>
      <c r="CM7" s="56">
        <v>551.4</v>
      </c>
      <c r="CN7" s="56">
        <v>60284.9</v>
      </c>
      <c r="CO7" s="56">
        <v>1690.1220000000001</v>
      </c>
      <c r="CP7" s="56">
        <v>301447.22899999999</v>
      </c>
      <c r="CQ7" s="56">
        <v>3728505.6</v>
      </c>
      <c r="CR7" s="56">
        <v>133303.28</v>
      </c>
      <c r="CS7" s="56">
        <v>525387.61600000004</v>
      </c>
      <c r="CT7" s="56">
        <v>3052327.3309999998</v>
      </c>
      <c r="CU7" s="56">
        <v>308113.89299999998</v>
      </c>
      <c r="CV7" s="56">
        <v>30268.454399999999</v>
      </c>
      <c r="CW7" s="56">
        <v>63615.532800000001</v>
      </c>
      <c r="CX7" s="56">
        <v>33655.980799999998</v>
      </c>
      <c r="CY7" s="56">
        <v>172183.008</v>
      </c>
      <c r="CZ7" s="56">
        <v>220720</v>
      </c>
      <c r="DA7" s="56">
        <v>19483.47</v>
      </c>
      <c r="DB7" s="56">
        <v>153767.23499999999</v>
      </c>
      <c r="DC7" s="56">
        <f>DC6+DC6-DC5</f>
        <v>3249.52</v>
      </c>
      <c r="DD7" s="56">
        <f t="shared" ref="DD7:DF7" si="0">DD6+DD6-DD5</f>
        <v>3249.37</v>
      </c>
      <c r="DE7" s="56">
        <f t="shared" si="0"/>
        <v>3279.6000000000004</v>
      </c>
      <c r="DF7" s="56">
        <f t="shared" si="0"/>
        <v>0.995</v>
      </c>
      <c r="DG7" s="54" t="s">
        <v>220</v>
      </c>
      <c r="DH7" s="2">
        <f>Table2[[#This Row],[Date]]</f>
        <v>46270</v>
      </c>
      <c r="DI7">
        <f>(DD8-Table2[[#This Row],[MWH Total]])*4000</f>
        <v>32159.999999999854</v>
      </c>
      <c r="DJ7">
        <f>(DA8-Table2[[#This Row],[PNG Meter (Outside)]])*2.936</f>
        <v>10.334720000001282</v>
      </c>
      <c r="DK7">
        <f>(DB8-Table2[[#This Row],[PNG Meter (Inside)]])*2.936</f>
        <v>176.47415200005332</v>
      </c>
      <c r="DL7">
        <f>(BH8-Table2[[#This Row],[3F Dough cooler - 2 ]])*1000</f>
        <v>169.99999999995907</v>
      </c>
      <c r="DM7">
        <f>(BI8-Table2[[#This Row],[3F Dough Cooler- 1]])*1000</f>
        <v>375</v>
      </c>
      <c r="DN7">
        <f>(BJ8-Table2[[#This Row],[4F Dough Production cooling Unit]])*1000</f>
        <v>19.000000000001904</v>
      </c>
      <c r="DO7">
        <f>(BQ8-Table2[[#This Row],[3F2 - PDB 3 - Dough Production Area]])*1000</f>
        <v>154.99999999997272</v>
      </c>
      <c r="DP7">
        <f>(BR8-Table2[[#This Row],[3F3 - PDB 4 - Dough Area]])*1000</f>
        <v>112.99999999999955</v>
      </c>
      <c r="DQ7">
        <f>AC8-Table2[[#This Row],[16F1 Tray washer Panel for Light]]</f>
        <v>568.31999999983236</v>
      </c>
      <c r="DR7">
        <f>CQ8-Table2[[#This Row],[2F1 Tray Washer - 1]]</f>
        <v>942.08000000007451</v>
      </c>
      <c r="DS7">
        <f>CS8-Table2[[#This Row],[2F5 Destacker]]</f>
        <v>253.82399999990594</v>
      </c>
      <c r="DT7">
        <f>CU8-Table2[[#This Row],[5F1 Metering (TW-2)]]</f>
        <v>168.20000000001164</v>
      </c>
      <c r="DU7">
        <f>CV8-Table2[[#This Row],[6F1 Pre soaker Tray washer]]</f>
        <v>0</v>
      </c>
      <c r="DV7">
        <f>CZ8-Table2[[#This Row],[6F5 Vent tray Storage]]</f>
        <v>48.752000000007683</v>
      </c>
      <c r="DW7">
        <f>I8-Table2[[#This Row],[Popeyes Meter ]]</f>
        <v>23.720000000000255</v>
      </c>
      <c r="DX7">
        <f>AZ8-Table2[[#This Row],[2F WH Chiller, Segregation Area]]</f>
        <v>0</v>
      </c>
      <c r="DY7">
        <f>BA8-Table2[[#This Row],[3F1 AC Unit WH dock cooling - 2 Nos]]</f>
        <v>1.0999999999999233E-2</v>
      </c>
      <c r="DZ7">
        <f>BB8-Table2[[#This Row],[3F2 AC Unit WH dock cooling - 3 Nos]]</f>
        <v>1.8000000000000682E-2</v>
      </c>
      <c r="EA7">
        <f>(BK8-Table2[[#This Row],[5F WH Perishable]])*1000</f>
        <v>216.99999999998454</v>
      </c>
      <c r="EB7">
        <f>BN8-Table2[[#This Row],[2F3 - PDB 9 - WH Dock Leveler Door ]]</f>
        <v>4.5504000000000815</v>
      </c>
      <c r="EC7">
        <f>BP8-Table2[[#This Row],[3F1 - PDB 5 - WH HSD]]</f>
        <v>82.399999999965075</v>
      </c>
      <c r="ED7">
        <f>BX8-Table2[[#This Row],[8F1 WH Dock AHU - Ventilation]]</f>
        <v>1105.1999999999534</v>
      </c>
      <c r="EE7">
        <f>BZ8-Table2[[#This Row],[8F3 ACPDB - 4 WH Dock air curtain]]</f>
        <v>14.240000000005239</v>
      </c>
      <c r="EF7">
        <f>CA8-Table2[[#This Row],[8F4 WH Light]]</f>
        <v>0</v>
      </c>
      <c r="EG7">
        <f>CC8-Table2[[#This Row],[9F1 - PDB 10 - WH Dock door &amp; Office]]</f>
        <v>58.959999999991851</v>
      </c>
      <c r="EH7">
        <f>CD8-Table2[[#This Row],[9F2 - PDB 11 - WH flycatchers]]</f>
        <v>80.672000000020489</v>
      </c>
      <c r="EI7">
        <f>CE8-Table2[[#This Row],[9F3 - PDB 12 - Other items]]</f>
        <v>7.763200000001234</v>
      </c>
      <c r="EJ7">
        <f>CR8-Table2[[#This Row],[2F3 - PDB 1 - Dock 1 to 4 ]]</f>
        <v>46.920000000012806</v>
      </c>
      <c r="EK7">
        <f>BM8-Table2[[#This Row],[2F2 - PDB 3 - WH Truck &amp; Battery Charging]]</f>
        <v>434.55999999999767</v>
      </c>
      <c r="EL7">
        <f>(CK8-Table2[[#This Row],[PDB - 11 Truck Charging]])*1000</f>
        <v>18.000000000000682</v>
      </c>
      <c r="EM7" s="1">
        <f>P8-Table2[[#This Row],[5F3 Admin Area]]</f>
        <v>292.60800000000745</v>
      </c>
      <c r="EN7">
        <f>AH8-Table2[[#This Row],[2F5 Main Gate-1 Piller -1]]</f>
        <v>94.432000000000698</v>
      </c>
      <c r="EO7">
        <f>CW8-Table2[[#This Row],[6F2 Ground Floor AC]]</f>
        <v>9.1520000000018626</v>
      </c>
      <c r="EP7">
        <f>CX8-Table2[[#This Row],[6F3 ACBD -1 (First floor AC)]]</f>
        <v>6.6880000000019209</v>
      </c>
      <c r="EQ7">
        <f>CY8-Table2[[#This Row],[6F4 ACBD - 2 (Second &amp; Third floor AC)]]</f>
        <v>85.551999999996042</v>
      </c>
      <c r="ER7">
        <f>(BC8-Table2[[#This Row],[4F Old BMC cooling Unit]])</f>
        <v>0</v>
      </c>
      <c r="ES7">
        <f>BO8-Table2[[#This Row],[2F4 - Old BMC]]</f>
        <v>0</v>
      </c>
      <c r="ET7">
        <f>Y8-Table2[[#This Row],[14F2 New CK]]</f>
        <v>1228.2399999999907</v>
      </c>
      <c r="EU7">
        <f>(CL8-Table2[[#This Row],[OLD Ck Panel-1]])*1000</f>
        <v>489.00000000003274</v>
      </c>
      <c r="EV7">
        <f>CM8-Table2[[#This Row],[2F4 Old CK Blast (Blue star)]]</f>
        <v>0</v>
      </c>
      <c r="EW7">
        <f>CN8-Table2[[#This Row],[3F6 Old CK Blast (Carrier)]]</f>
        <v>424.09999999999854</v>
      </c>
      <c r="EX7">
        <f>(CO8-Table2[[#This Row],[Old CK Panel -2]])*1000</f>
        <v>833.99999999983265</v>
      </c>
      <c r="EY7">
        <f>N8-Table2[[#This Row],[4F1 Main UPS 1/C -1]]</f>
        <v>803.19999999995343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25.999999999996248</v>
      </c>
      <c r="FC7">
        <f>BW8-Table2[[#This Row],[7F3 CLC Power Panel]]</f>
        <v>171.52000000001863</v>
      </c>
      <c r="FD7">
        <f>(CI8-Table2[[#This Row],[PDB - 17 CLC Section ]])*1000</f>
        <v>92.999999999989313</v>
      </c>
      <c r="FE7">
        <f>(W8-Table2[[#This Row],[13F3 Water &amp; Lift Old CK]])*1000</f>
        <v>1000.0999999999749</v>
      </c>
      <c r="FF7">
        <f>AA8-Table2[[#This Row],[15F2 New ETP Panel]]</f>
        <v>243.45600000000559</v>
      </c>
      <c r="FG7">
        <f>AL8-Table2[[#This Row],[3F4 Old ETP Panel]]</f>
        <v>57.887999999977183</v>
      </c>
      <c r="FH7">
        <f>AF8-Table2[[#This Row],[2F1 RO Plant]]</f>
        <v>487.03999999992084</v>
      </c>
      <c r="FI7">
        <f>AK8-Table2[[#This Row],[3F3 Fire Hydrant Panel]]</f>
        <v>9.1199999999953434</v>
      </c>
      <c r="FJ7">
        <f>R8-Table2[[#This Row],[7F1 Freon System Panel]]</f>
        <v>4453.1200000001118</v>
      </c>
      <c r="FK7">
        <f>(AE8-Table2[[#This Row],[21F1 Refrigeration Ammonia]])*1000</f>
        <v>5712.7999999993335</v>
      </c>
      <c r="FL7">
        <f>(AG8-Table2[[#This Row],[2F3 Air Compressor]])*1000</f>
        <v>1057.0000000000164</v>
      </c>
      <c r="FM7">
        <f>(AX8-Table2[[#This Row],[Solar Reading Panel II]])*1000</f>
        <v>775.99999999983993</v>
      </c>
      <c r="FN7">
        <f>AI8-Table2[[#This Row],[3F1 Maintenance Workshop]]</f>
        <v>2.3312000000005355</v>
      </c>
      <c r="FO7">
        <f>BD8-Table2[[#This Row],[4F B2B unit ]]</f>
        <v>18.527999999991152</v>
      </c>
      <c r="FP7">
        <f>BL8-Table2[[#This Row],[2F1 - PDB 6 - Bread, B2B section]]</f>
        <v>170.52640000000247</v>
      </c>
      <c r="FQ7">
        <f>(CG8-Table2[[#This Row],[9F5 - PDB 14 - Bread Lift]])</f>
        <v>0.24960000000282889</v>
      </c>
      <c r="FR7">
        <f>CJ8-Table2[[#This Row],[PDB - 16 Bread Section]]</f>
        <v>0</v>
      </c>
      <c r="FS7">
        <f>BU8-Table2[[#This Row],[7F1 Donut Production area]]</f>
        <v>136.06400000001304</v>
      </c>
      <c r="FT7">
        <f>CB8-Table2[[#This Row],[8F5 Donut Ban Bary]]</f>
        <v>11.823999999993248</v>
      </c>
      <c r="FU7">
        <f>CF8-Table2[[#This Row],[9F4 - PDB 13 - Donut Sink Geyser area]]</f>
        <v>22.095999999990454</v>
      </c>
      <c r="FV7">
        <f>BV8-Table2[[#This Row],[7F2 Flour Silo]]</f>
        <v>379.44000000006054</v>
      </c>
      <c r="FW7">
        <f>BY8-Table2[[#This Row],[8F2 ACPDB - 3 SILO Ventilation]]</f>
        <v>30.639999999984866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>
      <c r="A8" s="65">
        <v>80</v>
      </c>
      <c r="B8" s="55">
        <v>46272.455011574071</v>
      </c>
      <c r="C8" s="55">
        <v>46272.475902777776</v>
      </c>
      <c r="D8" s="65" t="s">
        <v>111</v>
      </c>
      <c r="E8" s="54"/>
      <c r="F8" s="54"/>
      <c r="G8" s="68">
        <v>46271</v>
      </c>
      <c r="H8" s="54" t="s">
        <v>182</v>
      </c>
      <c r="I8" s="56">
        <v>8119.0820000000003</v>
      </c>
      <c r="J8" s="56">
        <v>4280.7</v>
      </c>
      <c r="K8" s="56">
        <v>1779303</v>
      </c>
      <c r="L8" s="56">
        <v>460</v>
      </c>
      <c r="M8" s="56">
        <v>193.56</v>
      </c>
      <c r="N8" s="56">
        <v>1900322.4</v>
      </c>
      <c r="O8" s="56">
        <v>4662980.4800000004</v>
      </c>
      <c r="P8" s="56">
        <v>658156.99199999997</v>
      </c>
      <c r="Q8" s="56">
        <v>8182257.2800000003</v>
      </c>
      <c r="R8" s="56">
        <v>5718383.3600000003</v>
      </c>
      <c r="S8" s="56">
        <v>7480531.8399999999</v>
      </c>
      <c r="T8" s="56">
        <v>43166470.112999998</v>
      </c>
      <c r="U8" s="56">
        <v>2147993.92</v>
      </c>
      <c r="V8" s="56">
        <v>5171832.96</v>
      </c>
      <c r="W8" s="56">
        <v>1617.204</v>
      </c>
      <c r="X8" s="56">
        <v>783074.62399999995</v>
      </c>
      <c r="Y8" s="56">
        <v>1140014</v>
      </c>
      <c r="Z8" s="56">
        <v>2777.8894</v>
      </c>
      <c r="AA8" s="56">
        <v>677859.96799999999</v>
      </c>
      <c r="AB8" s="56">
        <v>422189.08</v>
      </c>
      <c r="AC8" s="56">
        <v>2162193.7599999998</v>
      </c>
      <c r="AD8" s="56">
        <v>2998826.6510000001</v>
      </c>
      <c r="AE8" s="56">
        <v>13048.930399999999</v>
      </c>
      <c r="AF8" s="56">
        <v>894442.04799999995</v>
      </c>
      <c r="AG8" s="56">
        <v>1441.191</v>
      </c>
      <c r="AH8" s="56">
        <v>137212.54399999999</v>
      </c>
      <c r="AI8" s="56">
        <v>14796.0288</v>
      </c>
      <c r="AJ8" s="56">
        <v>145412.016</v>
      </c>
      <c r="AK8" s="56">
        <v>105602.432</v>
      </c>
      <c r="AL8" s="56">
        <v>333007.39199999999</v>
      </c>
      <c r="AM8" s="56">
        <v>1012.353</v>
      </c>
      <c r="AN8" s="56">
        <v>321.3</v>
      </c>
      <c r="AO8" s="56">
        <v>7.6</v>
      </c>
      <c r="AP8" s="56">
        <v>795414</v>
      </c>
      <c r="AQ8" s="56">
        <v>43020</v>
      </c>
      <c r="AR8" s="56">
        <v>42474</v>
      </c>
      <c r="AS8" s="56">
        <v>32432</v>
      </c>
      <c r="AT8" s="56">
        <v>22148</v>
      </c>
      <c r="AU8" s="56">
        <v>16386</v>
      </c>
      <c r="AV8" s="56">
        <v>6849</v>
      </c>
      <c r="AW8" s="56">
        <v>21.160309999999999</v>
      </c>
      <c r="AX8" s="56">
        <v>7317.299</v>
      </c>
      <c r="AY8" s="56">
        <v>683.78031999999996</v>
      </c>
      <c r="AZ8" s="56">
        <v>20.788</v>
      </c>
      <c r="BA8" s="56">
        <v>11.026999999999999</v>
      </c>
      <c r="BB8" s="56">
        <v>46.15</v>
      </c>
      <c r="BC8" s="56">
        <v>114029.064</v>
      </c>
      <c r="BD8" s="56">
        <v>277610.14399999997</v>
      </c>
      <c r="BE8" s="56">
        <v>3767.5383999999999</v>
      </c>
      <c r="BF8" s="56">
        <v>1714.182</v>
      </c>
      <c r="BG8" s="56">
        <v>76.043999999999997</v>
      </c>
      <c r="BH8" s="56">
        <v>377.11599999999999</v>
      </c>
      <c r="BI8" s="56">
        <v>931.28800000000001</v>
      </c>
      <c r="BJ8" s="56">
        <v>16.364000000000001</v>
      </c>
      <c r="BK8" s="56">
        <v>573.16499999999996</v>
      </c>
      <c r="BL8" s="56">
        <v>79238.641600000003</v>
      </c>
      <c r="BM8" s="56">
        <v>326891.712</v>
      </c>
      <c r="BN8" s="56">
        <v>7320.5208000000002</v>
      </c>
      <c r="BO8" s="56">
        <v>53589.132799999999</v>
      </c>
      <c r="BP8" s="56">
        <v>317978.46399999998</v>
      </c>
      <c r="BQ8" s="56">
        <v>333.41699999999997</v>
      </c>
      <c r="BR8" s="56">
        <v>185.95699999999999</v>
      </c>
      <c r="BS8" s="56">
        <v>1056604.523</v>
      </c>
      <c r="BT8" s="56">
        <v>1400627.8670000001</v>
      </c>
      <c r="BU8" s="56">
        <v>636059.07200000004</v>
      </c>
      <c r="BV8" s="56">
        <v>1041879.04</v>
      </c>
      <c r="BW8" s="56">
        <v>576766.52800000005</v>
      </c>
      <c r="BX8" s="56">
        <v>1061627.04</v>
      </c>
      <c r="BY8" s="56">
        <v>159318.67199999999</v>
      </c>
      <c r="BZ8" s="56">
        <v>115107.03200000001</v>
      </c>
      <c r="CA8" s="56">
        <v>1244.5895</v>
      </c>
      <c r="CB8" s="56">
        <v>110057.776</v>
      </c>
      <c r="CC8" s="56">
        <v>154635.856</v>
      </c>
      <c r="CD8" s="56">
        <v>453218.592</v>
      </c>
      <c r="CE8" s="56">
        <v>49275.094400000002</v>
      </c>
      <c r="CF8" s="56">
        <v>156831.95199999999</v>
      </c>
      <c r="CG8" s="56">
        <v>36100.2304</v>
      </c>
      <c r="CH8" s="56">
        <v>2385.8710000000001</v>
      </c>
      <c r="CI8" s="56">
        <v>219.708</v>
      </c>
      <c r="CJ8" s="56">
        <v>1191.5999999999999</v>
      </c>
      <c r="CK8" s="56">
        <v>79.680000000000007</v>
      </c>
      <c r="CL8" s="56">
        <v>753.47</v>
      </c>
      <c r="CM8" s="56">
        <v>551.4</v>
      </c>
      <c r="CN8" s="56">
        <v>60709</v>
      </c>
      <c r="CO8" s="56">
        <v>1690.9559999999999</v>
      </c>
      <c r="CP8" s="56">
        <v>301629.19500000001</v>
      </c>
      <c r="CQ8" s="56">
        <v>3729447.68</v>
      </c>
      <c r="CR8" s="56">
        <v>133350.20000000001</v>
      </c>
      <c r="CS8" s="56">
        <v>525641.43999999994</v>
      </c>
      <c r="CT8" s="56">
        <v>3054952.1320000002</v>
      </c>
      <c r="CU8" s="56">
        <v>308282.09299999999</v>
      </c>
      <c r="CV8" s="56">
        <v>30268.454399999999</v>
      </c>
      <c r="CW8" s="56">
        <v>63624.684800000003</v>
      </c>
      <c r="CX8" s="56">
        <v>33662.668799999999</v>
      </c>
      <c r="CY8" s="56">
        <v>172268.56</v>
      </c>
      <c r="CZ8" s="56">
        <v>220768.75200000001</v>
      </c>
      <c r="DA8" s="56">
        <v>19486.990000000002</v>
      </c>
      <c r="DB8" s="56">
        <v>153827.342</v>
      </c>
      <c r="DC8" s="56">
        <v>3257.54</v>
      </c>
      <c r="DD8" s="56">
        <v>3257.41</v>
      </c>
      <c r="DE8" s="56">
        <v>3287.6</v>
      </c>
      <c r="DF8" s="56">
        <v>0.998</v>
      </c>
      <c r="DG8" s="54" t="s">
        <v>221</v>
      </c>
      <c r="DH8" s="2">
        <f>Table2[[#This Row],[Date]]</f>
        <v>46271</v>
      </c>
      <c r="DI8">
        <f>(DD9-Table2[[#This Row],[MWH Total]])*4000</f>
        <v>22319.999999999709</v>
      </c>
      <c r="DJ8">
        <f>(DA9-Table2[[#This Row],[PNG Meter (Outside)]])*2.936</f>
        <v>0.23487999999444581</v>
      </c>
      <c r="DK8">
        <f>(DB9-Table2[[#This Row],[PNG Meter (Inside)]])*2.936</f>
        <v>248.83774399995966</v>
      </c>
      <c r="DL8">
        <f>(BH9-Table2[[#This Row],[3F Dough cooler - 2 ]])*1000</f>
        <v>473.99999999998954</v>
      </c>
      <c r="DM8">
        <f>(BI9-Table2[[#This Row],[3F Dough Cooler- 1]])*1000</f>
        <v>622.99999999993361</v>
      </c>
      <c r="DN8">
        <f>(BJ9-Table2[[#This Row],[4F Dough Production cooling Unit]])*1000</f>
        <v>32.000000000000028</v>
      </c>
      <c r="DO8">
        <f>(BQ9-Table2[[#This Row],[3F2 - PDB 3 - Dough Production Area]])*1000</f>
        <v>264.00000000001</v>
      </c>
      <c r="DP8">
        <f>(BR9-Table2[[#This Row],[3F3 - PDB 4 - Dough Area]])*1000</f>
        <v>152.00000000001523</v>
      </c>
      <c r="DQ8">
        <f>AC9-Table2[[#This Row],[16F1 Tray washer Panel for Light]]</f>
        <v>823.20000000018626</v>
      </c>
      <c r="DR8">
        <f>CQ9-Table2[[#This Row],[2F1 Tray Washer - 1]]</f>
        <v>1522.2399999997579</v>
      </c>
      <c r="DS8">
        <f>CS9-Table2[[#This Row],[2F5 Destacker]]</f>
        <v>391.29600000008941</v>
      </c>
      <c r="DT8">
        <f>CU9-Table2[[#This Row],[5F1 Metering (TW-2)]]</f>
        <v>260.22100000001956</v>
      </c>
      <c r="DU8">
        <f>CV9-Table2[[#This Row],[6F1 Pre soaker Tray washer]]</f>
        <v>0</v>
      </c>
      <c r="DV8">
        <f>CZ9-Table2[[#This Row],[6F5 Vent tray Storage]]</f>
        <v>59.679999999993015</v>
      </c>
      <c r="DW8">
        <f>I9-Table2[[#This Row],[Popeyes Meter ]]</f>
        <v>13.769999999999527</v>
      </c>
      <c r="DX8">
        <f>AZ9-Table2[[#This Row],[2F WH Chiller, Segregation Area]]</f>
        <v>0</v>
      </c>
      <c r="DY8">
        <f>BA9-Table2[[#This Row],[3F1 AC Unit WH dock cooling - 2 Nos]]</f>
        <v>1.2000000000000455E-2</v>
      </c>
      <c r="DZ8">
        <f>BB9-Table2[[#This Row],[3F2 AC Unit WH dock cooling - 3 Nos]]</f>
        <v>2.9000000000003467E-2</v>
      </c>
      <c r="EA8">
        <f>(BK9-Table2[[#This Row],[5F WH Perishable]])*1000</f>
        <v>359.00000000003729</v>
      </c>
      <c r="EB8">
        <f>BN9-Table2[[#This Row],[2F3 - PDB 9 - WH Dock Leveler Door ]]</f>
        <v>4.6039999999993597</v>
      </c>
      <c r="EC8">
        <f>BP9-Table2[[#This Row],[3F1 - PDB 5 - WH HSD]]</f>
        <v>127.39200000005076</v>
      </c>
      <c r="ED8">
        <f>BX9-Table2[[#This Row],[8F1 WH Dock AHU - Ventilation]]</f>
        <v>1863.4399999999441</v>
      </c>
      <c r="EE8">
        <f>BZ9-Table2[[#This Row],[8F3 ACPDB - 4 WH Dock air curtain]]</f>
        <v>23.527999999991152</v>
      </c>
      <c r="EF8">
        <f>CA9-Table2[[#This Row],[8F4 WH Light]]</f>
        <v>0</v>
      </c>
      <c r="EG8">
        <f>CC9-Table2[[#This Row],[9F1 - PDB 10 - WH Dock door &amp; Office]]</f>
        <v>65.888000000006286</v>
      </c>
      <c r="EH8">
        <f>CD9-Table2[[#This Row],[9F2 - PDB 11 - WH flycatchers]]</f>
        <v>51.135999999998603</v>
      </c>
      <c r="EI8">
        <f>CE9-Table2[[#This Row],[9F3 - PDB 12 - Other items]]</f>
        <v>6.0159999999959837</v>
      </c>
      <c r="EJ8">
        <f>CR9-Table2[[#This Row],[2F3 - PDB 1 - Dock 1 to 4 ]]</f>
        <v>36.703999999997905</v>
      </c>
      <c r="EK8">
        <f>BM9-Table2[[#This Row],[2F2 - PDB 3 - WH Truck &amp; Battery Charging]]</f>
        <v>386.68800000002375</v>
      </c>
      <c r="EL8">
        <f>(CK9-Table2[[#This Row],[PDB - 11 Truck Charging]])*1000</f>
        <v>0</v>
      </c>
      <c r="EM8" s="1">
        <f>P9-Table2[[#This Row],[5F3 Admin Area]]</f>
        <v>356.47999999998137</v>
      </c>
      <c r="EN8">
        <f>AH9-Table2[[#This Row],[2F5 Main Gate-1 Piller -1]]</f>
        <v>113.34400000001187</v>
      </c>
      <c r="EO8">
        <f>CW9-Table2[[#This Row],[6F2 Ground Floor AC]]</f>
        <v>20.377599999999802</v>
      </c>
      <c r="EP8">
        <f>CX9-Table2[[#This Row],[6F3 ACBD -1 (First floor AC)]]</f>
        <v>11.731200000001991</v>
      </c>
      <c r="EQ8">
        <f>CY9-Table2[[#This Row],[6F4 ACBD - 2 (Second &amp; Third floor AC)]]</f>
        <v>136.91200000001118</v>
      </c>
      <c r="ER8">
        <f>(BC9-Table2[[#This Row],[4F Old BMC cooling Unit]])</f>
        <v>0</v>
      </c>
      <c r="ES8">
        <f>BO9-Table2[[#This Row],[2F4 - Old BMC]]</f>
        <v>0</v>
      </c>
      <c r="ET8">
        <f>Y9-Table2[[#This Row],[14F2 New CK]]</f>
        <v>815.28000000002794</v>
      </c>
      <c r="EU8">
        <f>(CL9-Table2[[#This Row],[OLD Ck Panel-1]])*1000</f>
        <v>339.99999999991815</v>
      </c>
      <c r="EV8">
        <f>CM9-Table2[[#This Row],[2F4 Old CK Blast (Blue star)]]</f>
        <v>0</v>
      </c>
      <c r="EW8">
        <f>CN9-Table2[[#This Row],[3F6 Old CK Blast (Carrier)]]</f>
        <v>240</v>
      </c>
      <c r="EX8">
        <f>(CO9-Table2[[#This Row],[Old CK Panel -2]])*1000</f>
        <v>1324.0000000000691</v>
      </c>
      <c r="EY8">
        <f>N9-Table2[[#This Row],[4F1 Main UPS 1/C -1]]</f>
        <v>1063.3600000001024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42.000000000001592</v>
      </c>
      <c r="FC8">
        <f>BW9-Table2[[#This Row],[7F3 CLC Power Panel]]</f>
        <v>167.29599999997299</v>
      </c>
      <c r="FD8">
        <f>(CI9-Table2[[#This Row],[PDB - 17 CLC Section ]])*1000</f>
        <v>106.99999999999932</v>
      </c>
      <c r="FE8">
        <f>(W9-Table2[[#This Row],[13F3 Water &amp; Lift Old CK]])*1000</f>
        <v>2066.0000000000309</v>
      </c>
      <c r="FF8">
        <f>AA9-Table2[[#This Row],[15F2 New ETP Panel]]</f>
        <v>331.00800000003073</v>
      </c>
      <c r="FG8">
        <f>AL9-Table2[[#This Row],[3F4 Old ETP Panel]]</f>
        <v>85.407999999995809</v>
      </c>
      <c r="FH8">
        <f>AF9-Table2[[#This Row],[2F1 RO Plant]]</f>
        <v>728.83200000005309</v>
      </c>
      <c r="FI8">
        <f>AK9-Table2[[#This Row],[3F3 Fire Hydrant Panel]]</f>
        <v>13.448000000003958</v>
      </c>
      <c r="FJ8">
        <f>R9-Table2[[#This Row],[7F1 Freon System Panel]]</f>
        <v>5881.5999999996275</v>
      </c>
      <c r="FK8">
        <f>(AE9-Table2[[#This Row],[21F1 Refrigeration Ammonia]])*1000</f>
        <v>7386.4000000012311</v>
      </c>
      <c r="FL8">
        <f>(AG9-Table2[[#This Row],[2F3 Air Compressor]])*1000</f>
        <v>1347.9999999999563</v>
      </c>
      <c r="FM8">
        <f>(AX9-Table2[[#This Row],[Solar Reading Panel II]])*1000</f>
        <v>1753.9999999999054</v>
      </c>
      <c r="FN8">
        <f>AI9-Table2[[#This Row],[3F1 Maintenance Workshop]]</f>
        <v>1.934400000000096</v>
      </c>
      <c r="FO8">
        <f>BD9-Table2[[#This Row],[4F B2B unit ]]</f>
        <v>61.376000000047497</v>
      </c>
      <c r="FP8">
        <f>BL9-Table2[[#This Row],[2F1 - PDB 6 - Bread, B2B section]]</f>
        <v>163.1247999999905</v>
      </c>
      <c r="FQ8">
        <f>(CG9-Table2[[#This Row],[9F5 - PDB 14 - Bread Lift]])</f>
        <v>0.72959999999875436</v>
      </c>
      <c r="FR8">
        <f>CJ9-Table2[[#This Row],[PDB - 16 Bread Section]]</f>
        <v>0</v>
      </c>
      <c r="FS8">
        <f>BU9-Table2[[#This Row],[7F1 Donut Production area]]</f>
        <v>164.41599999996834</v>
      </c>
      <c r="FT8">
        <f>CB9-Table2[[#This Row],[8F5 Donut Ban Bary]]</f>
        <v>48.024000000004889</v>
      </c>
      <c r="FU8">
        <f>CF9-Table2[[#This Row],[9F4 - PDB 13 - Donut Sink Geyser area]]</f>
        <v>31.888000000006286</v>
      </c>
      <c r="FV8">
        <f>BV9-Table2[[#This Row],[7F2 Flour Silo]]</f>
        <v>454.79999999993015</v>
      </c>
      <c r="FW8">
        <f>BY9-Table2[[#This Row],[8F2 ACPDB - 3 SILO Ventilation]]</f>
        <v>55.104000000021188</v>
      </c>
      <c r="FX8">
        <f>J9-Table2[[#This Row],[DG 1010KVA Running Hours]]</f>
        <v>0</v>
      </c>
      <c r="FY8">
        <f>K9-Table2[[#This Row],[DG 1010 KVA Meter Reading]]</f>
        <v>0</v>
      </c>
      <c r="FZ8">
        <f>L9-Table2[[#This Row],[GG 1010 KVA Running Hours]]</f>
        <v>0</v>
      </c>
      <c r="GA8">
        <f>M9-Table2[[#This Row],[GG 1010 KVA Meter Reading]]</f>
        <v>0</v>
      </c>
    </row>
    <row r="9" spans="1:183">
      <c r="A9" s="65">
        <v>79</v>
      </c>
      <c r="B9" s="55">
        <v>46272.403969907406</v>
      </c>
      <c r="C9" s="55">
        <v>46272.445208333331</v>
      </c>
      <c r="D9" s="65" t="s">
        <v>111</v>
      </c>
      <c r="E9" s="54"/>
      <c r="F9" s="54"/>
      <c r="G9" s="68">
        <v>46272</v>
      </c>
      <c r="H9" s="54" t="s">
        <v>182</v>
      </c>
      <c r="I9" s="56">
        <v>8132.8519999999999</v>
      </c>
      <c r="J9" s="56">
        <v>4280.7</v>
      </c>
      <c r="K9" s="56">
        <v>1779303</v>
      </c>
      <c r="L9" s="56">
        <v>460</v>
      </c>
      <c r="M9" s="56">
        <v>193.56</v>
      </c>
      <c r="N9" s="56">
        <v>1901385.76</v>
      </c>
      <c r="O9" s="56">
        <v>4665087.04</v>
      </c>
      <c r="P9" s="56">
        <v>658513.47199999995</v>
      </c>
      <c r="Q9" s="56">
        <v>8184044.7999999998</v>
      </c>
      <c r="R9" s="56">
        <v>5724264.96</v>
      </c>
      <c r="S9" s="56">
        <v>7484411.5199999996</v>
      </c>
      <c r="T9" s="56">
        <v>43633900.619999997</v>
      </c>
      <c r="U9" s="56">
        <v>2149144</v>
      </c>
      <c r="V9" s="56">
        <v>5173889.5999999996</v>
      </c>
      <c r="W9" s="56">
        <v>1619.27</v>
      </c>
      <c r="X9" s="56">
        <v>783317.95200000005</v>
      </c>
      <c r="Y9" s="56">
        <v>1140829.28</v>
      </c>
      <c r="Z9" s="56">
        <v>2777.8894</v>
      </c>
      <c r="AA9" s="56">
        <v>678190.97600000002</v>
      </c>
      <c r="AB9" s="56">
        <v>422208.51199999999</v>
      </c>
      <c r="AC9" s="56">
        <v>2163016.96</v>
      </c>
      <c r="AD9" s="56">
        <v>4528025.7050000001</v>
      </c>
      <c r="AE9" s="56">
        <v>13056.316800000001</v>
      </c>
      <c r="AF9" s="56">
        <v>895170.88</v>
      </c>
      <c r="AG9" s="56">
        <v>1442.539</v>
      </c>
      <c r="AH9" s="56">
        <v>137325.88800000001</v>
      </c>
      <c r="AI9" s="56">
        <v>14797.9632</v>
      </c>
      <c r="AJ9" s="56">
        <v>145413.20000000001</v>
      </c>
      <c r="AK9" s="56">
        <v>105615.88</v>
      </c>
      <c r="AL9" s="56">
        <v>333092.8</v>
      </c>
      <c r="AM9" s="56">
        <v>1013.0650000000001</v>
      </c>
      <c r="AN9" s="56">
        <v>287</v>
      </c>
      <c r="AO9" s="56">
        <v>7.4</v>
      </c>
      <c r="AP9" s="56">
        <v>807580</v>
      </c>
      <c r="AQ9" s="56">
        <v>43026</v>
      </c>
      <c r="AR9" s="56">
        <v>42480</v>
      </c>
      <c r="AS9" s="56">
        <v>32432</v>
      </c>
      <c r="AT9" s="56">
        <v>22148</v>
      </c>
      <c r="AU9" s="56">
        <v>16415</v>
      </c>
      <c r="AV9" s="56">
        <v>6868</v>
      </c>
      <c r="AW9" s="56">
        <v>21.167573999999998</v>
      </c>
      <c r="AX9" s="56">
        <v>7319.0529999999999</v>
      </c>
      <c r="AY9" s="56">
        <v>683.85648000000003</v>
      </c>
      <c r="AZ9" s="56">
        <v>20.788</v>
      </c>
      <c r="BA9" s="56">
        <v>11.039</v>
      </c>
      <c r="BB9" s="56">
        <v>46.179000000000002</v>
      </c>
      <c r="BC9" s="56">
        <v>114029.064</v>
      </c>
      <c r="BD9" s="56">
        <v>277671.52</v>
      </c>
      <c r="BE9" s="56">
        <v>3769.1927999999998</v>
      </c>
      <c r="BF9" s="56">
        <v>1714.182</v>
      </c>
      <c r="BG9" s="56">
        <v>76.085999999999999</v>
      </c>
      <c r="BH9" s="56">
        <v>377.59</v>
      </c>
      <c r="BI9" s="56">
        <v>931.91099999999994</v>
      </c>
      <c r="BJ9" s="56">
        <v>16.396000000000001</v>
      </c>
      <c r="BK9" s="56">
        <v>573.524</v>
      </c>
      <c r="BL9" s="56">
        <v>79401.766399999993</v>
      </c>
      <c r="BM9" s="56">
        <v>327278.40000000002</v>
      </c>
      <c r="BN9" s="56">
        <v>7325.1247999999996</v>
      </c>
      <c r="BO9" s="56">
        <v>53589.132799999999</v>
      </c>
      <c r="BP9" s="56">
        <v>318105.85600000003</v>
      </c>
      <c r="BQ9" s="56">
        <v>333.68099999999998</v>
      </c>
      <c r="BR9" s="56">
        <v>186.10900000000001</v>
      </c>
      <c r="BS9" s="56">
        <v>1057804.834</v>
      </c>
      <c r="BT9" s="56">
        <v>1400633.297</v>
      </c>
      <c r="BU9" s="56">
        <v>636223.48800000001</v>
      </c>
      <c r="BV9" s="56">
        <v>1042333.84</v>
      </c>
      <c r="BW9" s="56">
        <v>576933.82400000002</v>
      </c>
      <c r="BX9" s="56">
        <v>1063490.48</v>
      </c>
      <c r="BY9" s="56">
        <v>159373.77600000001</v>
      </c>
      <c r="BZ9" s="56">
        <v>115130.56</v>
      </c>
      <c r="CA9" s="56">
        <v>1244.5895</v>
      </c>
      <c r="CB9" s="56">
        <v>110105.8</v>
      </c>
      <c r="CC9" s="56">
        <v>154701.74400000001</v>
      </c>
      <c r="CD9" s="56">
        <v>453269.728</v>
      </c>
      <c r="CE9" s="56">
        <v>49281.110399999998</v>
      </c>
      <c r="CF9" s="56">
        <v>156863.84</v>
      </c>
      <c r="CG9" s="56">
        <v>36100.959999999999</v>
      </c>
      <c r="CH9" s="56">
        <v>2385.8710000000001</v>
      </c>
      <c r="CI9" s="56">
        <v>219.815</v>
      </c>
      <c r="CJ9" s="56">
        <v>1191.5999999999999</v>
      </c>
      <c r="CK9" s="56">
        <v>79.680000000000007</v>
      </c>
      <c r="CL9" s="56">
        <v>753.81</v>
      </c>
      <c r="CM9" s="56">
        <v>551.4</v>
      </c>
      <c r="CN9" s="56">
        <v>60949</v>
      </c>
      <c r="CO9" s="56">
        <v>1692.28</v>
      </c>
      <c r="CP9" s="56">
        <v>301907.93</v>
      </c>
      <c r="CQ9" s="56">
        <v>3730969.92</v>
      </c>
      <c r="CR9" s="56">
        <v>133386.90400000001</v>
      </c>
      <c r="CS9" s="56">
        <v>526032.73600000003</v>
      </c>
      <c r="CT9" s="56">
        <v>3059143.946</v>
      </c>
      <c r="CU9" s="56">
        <v>308542.31400000001</v>
      </c>
      <c r="CV9" s="56">
        <v>30268.454399999999</v>
      </c>
      <c r="CW9" s="56">
        <v>63645.062400000003</v>
      </c>
      <c r="CX9" s="56">
        <v>33674.400000000001</v>
      </c>
      <c r="CY9" s="56">
        <v>172405.47200000001</v>
      </c>
      <c r="CZ9" s="56">
        <v>220828.432</v>
      </c>
      <c r="DA9" s="56">
        <v>19487.07</v>
      </c>
      <c r="DB9" s="56">
        <v>153912.09599999999</v>
      </c>
      <c r="DC9" s="56">
        <v>3263.12</v>
      </c>
      <c r="DD9" s="56">
        <v>3262.99</v>
      </c>
      <c r="DE9" s="56">
        <v>3293.2</v>
      </c>
      <c r="DF9" s="56">
        <v>0.999</v>
      </c>
      <c r="DG9" s="54" t="s">
        <v>212</v>
      </c>
      <c r="DH9" s="2">
        <f>Table2[[#This Row],[Date]]</f>
        <v>46272</v>
      </c>
      <c r="DI9">
        <f>(DD10-Table2[[#This Row],[MWH Total]])*4000</f>
        <v>25600.000000000364</v>
      </c>
      <c r="DJ9">
        <f>(DA10-Table2[[#This Row],[PNG Meter (Outside)]])*2.936</f>
        <v>16.676480000000854</v>
      </c>
      <c r="DK9">
        <f>(DB10-Table2[[#This Row],[PNG Meter (Inside)]])*2.936</f>
        <v>353.41219200000887</v>
      </c>
      <c r="DL9">
        <f>(BH10-Table2[[#This Row],[3F Dough cooler - 2 ]])*1000</f>
        <v>393.0000000000291</v>
      </c>
      <c r="DM9">
        <f>(BI10-Table2[[#This Row],[3F Dough Cooler- 1]])*1000</f>
        <v>475.99999999999909</v>
      </c>
      <c r="DN9">
        <f>(BJ10-Table2[[#This Row],[4F Dough Production cooling Unit]])*1000</f>
        <v>15.000000000000568</v>
      </c>
      <c r="DO9">
        <f>(BQ10-Table2[[#This Row],[3F2 - PDB 3 - Dough Production Area]])*1000</f>
        <v>201.99999999999818</v>
      </c>
      <c r="DP9">
        <f>(BR10-Table2[[#This Row],[3F3 - PDB 4 - Dough Area]])*1000</f>
        <v>121.99999999998568</v>
      </c>
      <c r="DQ9">
        <f>AC10-Table2[[#This Row],[16F1 Tray washer Panel for Light]]</f>
        <v>671.83999999985099</v>
      </c>
      <c r="DR9">
        <f>CQ10-Table2[[#This Row],[2F1 Tray Washer - 1]]</f>
        <v>1028.4799999999814</v>
      </c>
      <c r="DS9">
        <f>CS10-Table2[[#This Row],[2F5 Destacker]]</f>
        <v>293.37599999993108</v>
      </c>
      <c r="DT9">
        <f>CU10-Table2[[#This Row],[5F1 Metering (TW-2)]]</f>
        <v>272.81599999999162</v>
      </c>
      <c r="DU9">
        <f>CV10-Table2[[#This Row],[6F1 Pre soaker Tray washer]]</f>
        <v>0</v>
      </c>
      <c r="DV9">
        <f>CZ10-Table2[[#This Row],[6F5 Vent tray Storage]]</f>
        <v>96.464000000007218</v>
      </c>
      <c r="DW9">
        <f>I10-Table2[[#This Row],[Popeyes Meter ]]</f>
        <v>65.080000000000837</v>
      </c>
      <c r="DX9">
        <f>AZ10-Table2[[#This Row],[2F WH Chiller, Segregation Area]]</f>
        <v>0</v>
      </c>
      <c r="DY9">
        <f>BA10-Table2[[#This Row],[3F1 AC Unit WH dock cooling - 2 Nos]]</f>
        <v>2.4000000000000909E-2</v>
      </c>
      <c r="DZ9">
        <f>BB10-Table2[[#This Row],[3F2 AC Unit WH dock cooling - 3 Nos]]</f>
        <v>3.6000000000001364E-2</v>
      </c>
      <c r="EA9">
        <f>(BK10-Table2[[#This Row],[5F WH Perishable]])*1000</f>
        <v>278.00000000002001</v>
      </c>
      <c r="EB9">
        <f>BN10-Table2[[#This Row],[2F3 - PDB 9 - WH Dock Leveler Door ]]</f>
        <v>4.4536000000007334</v>
      </c>
      <c r="EC9">
        <f>BP10-Table2[[#This Row],[3F1 - PDB 5 - WH HSD]]</f>
        <v>114.01599999994505</v>
      </c>
      <c r="ED9">
        <f>BX10-Table2[[#This Row],[8F1 WH Dock AHU - Ventilation]]</f>
        <v>1397.9199999999255</v>
      </c>
      <c r="EE9">
        <f>BZ10-Table2[[#This Row],[8F3 ACPDB - 4 WH Dock air curtain]]</f>
        <v>17.343999999997322</v>
      </c>
      <c r="EF9">
        <f>CA10-Table2[[#This Row],[8F4 WH Light]]</f>
        <v>0</v>
      </c>
      <c r="EG9">
        <f>CC10-Table2[[#This Row],[9F1 - PDB 10 - WH Dock door &amp; Office]]</f>
        <v>129.2960000000021</v>
      </c>
      <c r="EH9">
        <f>CD10-Table2[[#This Row],[9F2 - PDB 11 - WH flycatchers]]</f>
        <v>165.82400000002235</v>
      </c>
      <c r="EI9">
        <f>CE10-Table2[[#This Row],[9F3 - PDB 12 - Other items]]</f>
        <v>11.619200000001001</v>
      </c>
      <c r="EJ9">
        <f>CR10-Table2[[#This Row],[2F3 - PDB 1 - Dock 1 to 4 ]]</f>
        <v>48.127999999996973</v>
      </c>
      <c r="EK9">
        <f>BM10-Table2[[#This Row],[2F2 - PDB 3 - WH Truck &amp; Battery Charging]]</f>
        <v>482.46399999997811</v>
      </c>
      <c r="EL9">
        <f>(CK10-Table2[[#This Row],[PDB - 11 Truck Charging]])*1000</f>
        <v>38.999999999987267</v>
      </c>
      <c r="EM9" s="1">
        <f>P10-Table2[[#This Row],[5F3 Admin Area]]</f>
        <v>350.97600000002421</v>
      </c>
      <c r="EN9">
        <f>AH10-Table2[[#This Row],[2F5 Main Gate-1 Piller -1]]</f>
        <v>109.04000000000815</v>
      </c>
      <c r="EO9">
        <f>CW10-Table2[[#This Row],[6F2 Ground Floor AC]]</f>
        <v>28.755199999999604</v>
      </c>
      <c r="EP9">
        <f>CX10-Table2[[#This Row],[6F3 ACBD -1 (First floor AC)]]</f>
        <v>8.556799999998475</v>
      </c>
      <c r="EQ9">
        <f>CY10-Table2[[#This Row],[6F4 ACBD - 2 (Second &amp; Third floor AC)]]</f>
        <v>105.6479999999865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1463.4399999999441</v>
      </c>
      <c r="EU9">
        <f>(CL10-Table2[[#This Row],[OLD Ck Panel-1]])*1000</f>
        <v>650.00000000009095</v>
      </c>
      <c r="EV9">
        <f>CM10-Table2[[#This Row],[2F4 Old CK Blast (Blue star)]]</f>
        <v>0</v>
      </c>
      <c r="EW9">
        <f>CN10-Table2[[#This Row],[3F6 Old CK Blast (Carrier)]]</f>
        <v>529.5</v>
      </c>
      <c r="EX9">
        <f>(CO10-Table2[[#This Row],[Old CK Panel -2]])*1000</f>
        <v>1258.0000000000382</v>
      </c>
      <c r="EY9">
        <f>N10-Table2[[#This Row],[4F1 Main UPS 1/C -1]]</f>
        <v>957.11999999987893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34.000000000006025</v>
      </c>
      <c r="FC9">
        <f>BW10-Table2[[#This Row],[7F3 CLC Power Panel]]</f>
        <v>275.90399999998044</v>
      </c>
      <c r="FD9">
        <f>(CI10-Table2[[#This Row],[PDB - 17 CLC Section ]])*1000</f>
        <v>171.99999999999704</v>
      </c>
      <c r="FE9">
        <f>(W10-Table2[[#This Row],[13F3 Water &amp; Lift Old CK]])*1000</f>
        <v>1122.5999999999203</v>
      </c>
      <c r="FF9">
        <f>AA10-Table2[[#This Row],[15F2 New ETP Panel]]</f>
        <v>273.59999999997672</v>
      </c>
      <c r="FG9">
        <f>AL10-Table2[[#This Row],[3F4 Old ETP Panel]]</f>
        <v>74.207999999984168</v>
      </c>
      <c r="FH9">
        <f>AF10-Table2[[#This Row],[2F1 RO Plant]]</f>
        <v>532.03200000000652</v>
      </c>
      <c r="FI9">
        <f>AK10-Table2[[#This Row],[3F3 Fire Hydrant Panel]]</f>
        <v>14.19199999999546</v>
      </c>
      <c r="FJ9">
        <f>R10-Table2[[#This Row],[7F1 Freon System Panel]]</f>
        <v>5854.0800000000745</v>
      </c>
      <c r="FK9">
        <f>(AE10-Table2[[#This Row],[21F1 Refrigeration Ammonia]])*1000</f>
        <v>7130.4000000000087</v>
      </c>
      <c r="FL9">
        <f>(AG10-Table2[[#This Row],[2F3 Air Compressor]])*1000</f>
        <v>1034.0000000001055</v>
      </c>
      <c r="FM9">
        <f>(AX10-Table2[[#This Row],[Solar Reading Panel II]])*1000</f>
        <v>2938.0000000001019</v>
      </c>
      <c r="FN9">
        <f>AI10-Table2[[#This Row],[3F1 Maintenance Workshop]]</f>
        <v>5.5072000000000116</v>
      </c>
      <c r="FO9">
        <f>BD10-Table2[[#This Row],[4F B2B unit ]]</f>
        <v>52.608000000007451</v>
      </c>
      <c r="FP9">
        <f>BL10-Table2[[#This Row],[2F1 - PDB 6 - Bread, B2B section]]</f>
        <v>270.24640000000363</v>
      </c>
      <c r="FQ9">
        <f>(CG10-Table2[[#This Row],[9F5 - PDB 14 - Bread Lift]])</f>
        <v>0.64639999999781139</v>
      </c>
      <c r="FR9">
        <f>CJ10-Table2[[#This Row],[PDB - 16 Bread Section]]</f>
        <v>0</v>
      </c>
      <c r="FS9">
        <f>BU10-Table2[[#This Row],[7F1 Donut Production area]]</f>
        <v>196.22400000004563</v>
      </c>
      <c r="FT9">
        <f>CB10-Table2[[#This Row],[8F5 Donut Ban Bary]]</f>
        <v>22.479999999995925</v>
      </c>
      <c r="FU9">
        <f>CF10-Table2[[#This Row],[9F4 - PDB 13 - Donut Sink Geyser area]]</f>
        <v>22.255999999993946</v>
      </c>
      <c r="FV9">
        <f>BV10-Table2[[#This Row],[7F2 Flour Silo]]</f>
        <v>355.20000000006985</v>
      </c>
      <c r="FW9">
        <f>BY10-Table2[[#This Row],[8F2 ACPDB - 3 SILO Ventilation]]</f>
        <v>38.576000000000931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>
      <c r="A10" s="65">
        <v>81</v>
      </c>
      <c r="B10" s="55">
        <v>46273.378148148149</v>
      </c>
      <c r="C10" s="55">
        <v>46273.415578703702</v>
      </c>
      <c r="D10" s="65" t="s">
        <v>111</v>
      </c>
      <c r="E10" s="54"/>
      <c r="F10" s="54"/>
      <c r="G10" s="68">
        <v>46273</v>
      </c>
      <c r="H10" s="54" t="s">
        <v>182</v>
      </c>
      <c r="I10" s="56">
        <v>8197.9320000000007</v>
      </c>
      <c r="J10" s="56">
        <v>4280.7</v>
      </c>
      <c r="K10" s="56">
        <v>1779303</v>
      </c>
      <c r="L10" s="56">
        <v>460</v>
      </c>
      <c r="M10" s="56">
        <v>193.56</v>
      </c>
      <c r="N10" s="56">
        <v>1902342.88</v>
      </c>
      <c r="O10" s="56">
        <v>4666730.88</v>
      </c>
      <c r="P10" s="56">
        <v>658864.44799999997</v>
      </c>
      <c r="Q10" s="56">
        <v>8187073.2800000003</v>
      </c>
      <c r="R10" s="56">
        <v>5730119.04</v>
      </c>
      <c r="S10" s="56">
        <v>7487632</v>
      </c>
      <c r="T10" s="56">
        <v>43645428.891000003</v>
      </c>
      <c r="U10" s="56">
        <v>2150496.3199999998</v>
      </c>
      <c r="V10" s="56">
        <v>5175565.4400000004</v>
      </c>
      <c r="W10" s="56">
        <v>1620.3925999999999</v>
      </c>
      <c r="X10" s="56">
        <v>783589.76</v>
      </c>
      <c r="Y10" s="56">
        <v>1142292.72</v>
      </c>
      <c r="Z10" s="56">
        <v>2777.8894</v>
      </c>
      <c r="AA10" s="56">
        <v>678464.576</v>
      </c>
      <c r="AB10" s="56">
        <v>422258.016</v>
      </c>
      <c r="AC10" s="56">
        <v>2163688.7999999998</v>
      </c>
      <c r="AD10" s="56">
        <v>4542716.585</v>
      </c>
      <c r="AE10" s="56">
        <v>13063.447200000001</v>
      </c>
      <c r="AF10" s="56">
        <v>895702.91200000001</v>
      </c>
      <c r="AG10" s="56">
        <v>1443.5730000000001</v>
      </c>
      <c r="AH10" s="56">
        <v>137434.92800000001</v>
      </c>
      <c r="AI10" s="56">
        <v>14803.4704</v>
      </c>
      <c r="AJ10" s="56">
        <v>145414.736</v>
      </c>
      <c r="AK10" s="56">
        <v>105630.072</v>
      </c>
      <c r="AL10" s="56">
        <v>333167.00799999997</v>
      </c>
      <c r="AM10" s="56">
        <v>1013.644</v>
      </c>
      <c r="AN10" s="56">
        <v>278.5</v>
      </c>
      <c r="AO10" s="56">
        <v>7.2</v>
      </c>
      <c r="AP10" s="56">
        <v>816973</v>
      </c>
      <c r="AQ10" s="56">
        <v>43026</v>
      </c>
      <c r="AR10" s="56">
        <v>42480</v>
      </c>
      <c r="AS10" s="56">
        <v>32432</v>
      </c>
      <c r="AT10" s="56">
        <v>22148</v>
      </c>
      <c r="AU10" s="56">
        <v>16438</v>
      </c>
      <c r="AV10" s="56">
        <v>6885</v>
      </c>
      <c r="AW10" s="56">
        <v>21.174499999999998</v>
      </c>
      <c r="AX10" s="56">
        <v>7321.991</v>
      </c>
      <c r="AY10" s="56">
        <v>683.97904000000005</v>
      </c>
      <c r="AZ10" s="56">
        <v>20.788</v>
      </c>
      <c r="BA10" s="56">
        <v>11.063000000000001</v>
      </c>
      <c r="BB10" s="56">
        <v>46.215000000000003</v>
      </c>
      <c r="BC10" s="56">
        <v>114029.064</v>
      </c>
      <c r="BD10" s="56">
        <v>277724.12800000003</v>
      </c>
      <c r="BE10" s="56">
        <v>3770.4416000000001</v>
      </c>
      <c r="BF10" s="56">
        <v>1714.182</v>
      </c>
      <c r="BG10" s="56">
        <v>76.12</v>
      </c>
      <c r="BH10" s="56">
        <v>377.983</v>
      </c>
      <c r="BI10" s="56">
        <v>932.38699999999994</v>
      </c>
      <c r="BJ10" s="56">
        <v>16.411000000000001</v>
      </c>
      <c r="BK10" s="56">
        <v>573.80200000000002</v>
      </c>
      <c r="BL10" s="56">
        <v>79672.012799999997</v>
      </c>
      <c r="BM10" s="56">
        <v>327760.864</v>
      </c>
      <c r="BN10" s="56">
        <v>7329.5784000000003</v>
      </c>
      <c r="BO10" s="56">
        <v>53589.132799999999</v>
      </c>
      <c r="BP10" s="56">
        <v>318219.87199999997</v>
      </c>
      <c r="BQ10" s="56">
        <v>333.88299999999998</v>
      </c>
      <c r="BR10" s="56">
        <v>186.23099999999999</v>
      </c>
      <c r="BS10" s="56">
        <v>1059136.426</v>
      </c>
      <c r="BT10" s="56">
        <v>1400633.3189999999</v>
      </c>
      <c r="BU10" s="56">
        <v>636419.71200000006</v>
      </c>
      <c r="BV10" s="56">
        <v>1042689.04</v>
      </c>
      <c r="BW10" s="56">
        <v>577209.728</v>
      </c>
      <c r="BX10" s="56">
        <v>1064888.3999999999</v>
      </c>
      <c r="BY10" s="56">
        <v>159412.35200000001</v>
      </c>
      <c r="BZ10" s="56">
        <v>115147.90399999999</v>
      </c>
      <c r="CA10" s="56">
        <v>1244.5895</v>
      </c>
      <c r="CB10" s="56">
        <v>110128.28</v>
      </c>
      <c r="CC10" s="56">
        <v>154831.04000000001</v>
      </c>
      <c r="CD10" s="56">
        <v>453435.55200000003</v>
      </c>
      <c r="CE10" s="56">
        <v>49292.729599999999</v>
      </c>
      <c r="CF10" s="56">
        <v>156886.09599999999</v>
      </c>
      <c r="CG10" s="56">
        <v>36101.606399999997</v>
      </c>
      <c r="CH10" s="56">
        <v>2385.8710000000001</v>
      </c>
      <c r="CI10" s="56">
        <v>219.98699999999999</v>
      </c>
      <c r="CJ10" s="56">
        <v>1191.5999999999999</v>
      </c>
      <c r="CK10" s="56">
        <v>79.718999999999994</v>
      </c>
      <c r="CL10" s="56">
        <v>754.46</v>
      </c>
      <c r="CM10" s="56">
        <v>551.4</v>
      </c>
      <c r="CN10" s="56">
        <v>61478.5</v>
      </c>
      <c r="CO10" s="56">
        <v>1693.538</v>
      </c>
      <c r="CP10" s="56">
        <v>302137.87099999998</v>
      </c>
      <c r="CQ10" s="56">
        <v>3731998.4</v>
      </c>
      <c r="CR10" s="56">
        <v>133435.03200000001</v>
      </c>
      <c r="CS10" s="56">
        <v>526326.11199999996</v>
      </c>
      <c r="CT10" s="56">
        <v>3062423.6639999999</v>
      </c>
      <c r="CU10" s="56">
        <v>308815.13</v>
      </c>
      <c r="CV10" s="56">
        <v>30268.454399999999</v>
      </c>
      <c r="CW10" s="56">
        <v>63673.817600000002</v>
      </c>
      <c r="CX10" s="56">
        <v>33682.9568</v>
      </c>
      <c r="CY10" s="56">
        <v>172511.12</v>
      </c>
      <c r="CZ10" s="56">
        <v>220924.89600000001</v>
      </c>
      <c r="DA10" s="56">
        <v>19492.75</v>
      </c>
      <c r="DB10" s="56">
        <v>154032.46799999999</v>
      </c>
      <c r="DC10" s="56">
        <v>3269.52</v>
      </c>
      <c r="DD10" s="56">
        <v>3269.39</v>
      </c>
      <c r="DE10" s="56">
        <v>3299.63</v>
      </c>
      <c r="DF10" s="56">
        <v>0.998</v>
      </c>
      <c r="DG10" s="54" t="s">
        <v>222</v>
      </c>
      <c r="DH10" s="2">
        <f>Table2[[#This Row],[Date]]</f>
        <v>46273</v>
      </c>
      <c r="DI10">
        <f>(DD11-Table2[[#This Row],[MWH Total]])*4000</f>
        <v>26079.999999999927</v>
      </c>
      <c r="DJ10">
        <f>(DA11-Table2[[#This Row],[PNG Meter (Outside)]])*2.936</f>
        <v>18.261920000003418</v>
      </c>
      <c r="DK10">
        <f>(DB11-Table2[[#This Row],[PNG Meter (Inside)]])*2.936</f>
        <v>396.3365119999952</v>
      </c>
      <c r="DL10">
        <f>(BH11-Table2[[#This Row],[3F Dough cooler - 2 ]])*1000</f>
        <v>274.99999999997726</v>
      </c>
      <c r="DM10">
        <f>(BI11-Table2[[#This Row],[3F Dough Cooler- 1]])*1000</f>
        <v>498.00000000004729</v>
      </c>
      <c r="DN10">
        <f>(BJ11-Table2[[#This Row],[4F Dough Production cooling Unit]])*1000</f>
        <v>35.999999999997812</v>
      </c>
      <c r="DO10">
        <f>(BQ11-Table2[[#This Row],[3F2 - PDB 3 - Dough Production Area]])*1000</f>
        <v>216.00000000000819</v>
      </c>
      <c r="DP10">
        <f>(BR11-Table2[[#This Row],[3F3 - PDB 4 - Dough Area]])*1000</f>
        <v>118.99999999999977</v>
      </c>
      <c r="DQ10">
        <f>AC11-Table2[[#This Row],[16F1 Tray washer Panel for Light]]</f>
        <v>695.68000000016764</v>
      </c>
      <c r="DR10">
        <f>CQ11-Table2[[#This Row],[2F1 Tray Washer - 1]]</f>
        <v>1144.9599999999627</v>
      </c>
      <c r="DS10">
        <f>CS11-Table2[[#This Row],[2F5 Destacker]]</f>
        <v>315.26400000008289</v>
      </c>
      <c r="DT10">
        <f>CU11-Table2[[#This Row],[5F1 Metering (TW-2)]]</f>
        <v>309.51899999997113</v>
      </c>
      <c r="DU10">
        <f>CV11-Table2[[#This Row],[6F1 Pre soaker Tray washer]]</f>
        <v>0</v>
      </c>
      <c r="DV10">
        <f>CZ11-Table2[[#This Row],[6F5 Vent tray Storage]]</f>
        <v>95.567999999999302</v>
      </c>
      <c r="DW10">
        <f>I11-Table2[[#This Row],[Popeyes Meter ]]</f>
        <v>37.149999999999636</v>
      </c>
      <c r="DX10">
        <f>AZ11-Table2[[#This Row],[2F WH Chiller, Segregation Area]]</f>
        <v>0</v>
      </c>
      <c r="DY10">
        <f>BA11-Table2[[#This Row],[3F1 AC Unit WH dock cooling - 2 Nos]]</f>
        <v>2.2999999999999687E-2</v>
      </c>
      <c r="DZ10">
        <f>BB11-Table2[[#This Row],[3F2 AC Unit WH dock cooling - 3 Nos]]</f>
        <v>3.9999999999999147E-2</v>
      </c>
      <c r="EA10">
        <f>(BK11-Table2[[#This Row],[5F WH Perishable]])*1000</f>
        <v>288.00000000001091</v>
      </c>
      <c r="EB10">
        <f>BN11-Table2[[#This Row],[2F3 - PDB 9 - WH Dock Leveler Door ]]</f>
        <v>4.6199999999998909</v>
      </c>
      <c r="EC10">
        <f>BP11-Table2[[#This Row],[3F1 - PDB 5 - WH HSD]]</f>
        <v>102.91200000001118</v>
      </c>
      <c r="ED10">
        <f>BX11-Table2[[#This Row],[8F1 WH Dock AHU - Ventilation]]</f>
        <v>1417.2000000001863</v>
      </c>
      <c r="EE10">
        <f>BZ11-Table2[[#This Row],[8F3 ACPDB - 4 WH Dock air curtain]]</f>
        <v>17.775999999998021</v>
      </c>
      <c r="EF10">
        <f>CA11-Table2[[#This Row],[8F4 WH Light]]</f>
        <v>0</v>
      </c>
      <c r="EG10">
        <f>CC11-Table2[[#This Row],[9F1 - PDB 10 - WH Dock door &amp; Office]]</f>
        <v>133.98399999999674</v>
      </c>
      <c r="EH10">
        <f>CD11-Table2[[#This Row],[9F2 - PDB 11 - WH flycatchers]]</f>
        <v>272.95999999996275</v>
      </c>
      <c r="EI10">
        <f>CE11-Table2[[#This Row],[9F3 - PDB 12 - Other items]]</f>
        <v>3.9072000000014668</v>
      </c>
      <c r="EJ10">
        <f>CR11-Table2[[#This Row],[2F3 - PDB 1 - Dock 1 to 4 ]]</f>
        <v>58.152000000001863</v>
      </c>
      <c r="EK10">
        <f>BM11-Table2[[#This Row],[2F2 - PDB 3 - WH Truck &amp; Battery Charging]]</f>
        <v>526.40000000002328</v>
      </c>
      <c r="EL10">
        <f>(CK11-Table2[[#This Row],[PDB - 11 Truck Charging]])*1000</f>
        <v>40.000000000006253</v>
      </c>
      <c r="EM10" s="1">
        <f>P11-Table2[[#This Row],[5F3 Admin Area]]</f>
        <v>401.40800000005402</v>
      </c>
      <c r="EN10">
        <f>AH11-Table2[[#This Row],[2F5 Main Gate-1 Piller -1]]</f>
        <v>112.49599999998463</v>
      </c>
      <c r="EO10">
        <f>CW11-Table2[[#This Row],[6F2 Ground Floor AC]]</f>
        <v>29.740799999999581</v>
      </c>
      <c r="EP10">
        <f>CX11-Table2[[#This Row],[6F3 ACBD -1 (First floor AC)]]</f>
        <v>9.0495999999984633</v>
      </c>
      <c r="EQ10">
        <f>CY11-Table2[[#This Row],[6F4 ACBD - 2 (Second &amp; Third floor AC)]]</f>
        <v>140.19200000001001</v>
      </c>
      <c r="ER10">
        <f>(BC11-Table2[[#This Row],[4F Old BMC cooling Unit]])</f>
        <v>0</v>
      </c>
      <c r="ES10">
        <f>BO11-Table2[[#This Row],[2F4 - Old BMC]]</f>
        <v>0</v>
      </c>
      <c r="ET10">
        <f>Y11-Table2[[#This Row],[14F2 New CK]]</f>
        <v>1441.6799999999348</v>
      </c>
      <c r="EU10">
        <f>(CL11-Table2[[#This Row],[OLD Ck Panel-1]])*1000</f>
        <v>719.9999999999136</v>
      </c>
      <c r="EV10">
        <f>CM11-Table2[[#This Row],[2F4 Old CK Blast (Blue star)]]</f>
        <v>0</v>
      </c>
      <c r="EW10">
        <f>CN11-Table2[[#This Row],[3F6 Old CK Blast (Carrier)]]</f>
        <v>588.09999999999854</v>
      </c>
      <c r="EX10">
        <f>(CO11-Table2[[#This Row],[Old CK Panel -2]])*1000</f>
        <v>1285.0000000000819</v>
      </c>
      <c r="EY10">
        <f>N11-Table2[[#This Row],[4F1 Main UPS 1/C -1]]</f>
        <v>986.88000000012107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36.000000000001364</v>
      </c>
      <c r="FC10">
        <f>BW11-Table2[[#This Row],[7F3 CLC Power Panel]]</f>
        <v>289.02399999997579</v>
      </c>
      <c r="FD10">
        <f>(CI11-Table2[[#This Row],[PDB - 17 CLC Section ]])*1000</f>
        <v>185.00000000000227</v>
      </c>
      <c r="FE10">
        <f>(W11-Table2[[#This Row],[13F3 Water &amp; Lift Old CK]])*1000</f>
        <v>926.10000000013315</v>
      </c>
      <c r="FF10">
        <f>AA11-Table2[[#This Row],[15F2 New ETP Panel]]</f>
        <v>293.11999999999534</v>
      </c>
      <c r="FG10">
        <f>AL11-Table2[[#This Row],[3F4 Old ETP Panel]]</f>
        <v>80.384000000020023</v>
      </c>
      <c r="FH10">
        <f>AF11-Table2[[#This Row],[2F1 RO Plant]]</f>
        <v>612.28799999994226</v>
      </c>
      <c r="FI10">
        <f>AK11-Table2[[#This Row],[3F3 Fire Hydrant Panel]]</f>
        <v>7.4239999999990687</v>
      </c>
      <c r="FJ10">
        <f>R11-Table2[[#This Row],[7F1 Freon System Panel]]</f>
        <v>5870.0800000000745</v>
      </c>
      <c r="FK10">
        <f>(AE11-Table2[[#This Row],[21F1 Refrigeration Ammonia]])*1000</f>
        <v>7556.8000000002939</v>
      </c>
      <c r="FL10">
        <f>(AG11-Table2[[#This Row],[2F3 Air Compressor]])*1000</f>
        <v>1134.0000000000146</v>
      </c>
      <c r="FM10">
        <f>(AX11-Table2[[#This Row],[Solar Reading Panel II]])*1000</f>
        <v>3560.9999999996944</v>
      </c>
      <c r="FN10">
        <f>AI11-Table2[[#This Row],[3F1 Maintenance Workshop]]</f>
        <v>6.2207999999991443</v>
      </c>
      <c r="FO10">
        <f>BD11-Table2[[#This Row],[4F B2B unit ]]</f>
        <v>60</v>
      </c>
      <c r="FP10">
        <f>BL11-Table2[[#This Row],[2F1 - PDB 6 - Bread, B2B section]]</f>
        <v>433.62559999999939</v>
      </c>
      <c r="FQ10">
        <f>(CG11-Table2[[#This Row],[9F5 - PDB 14 - Bread Lift]])</f>
        <v>0.65600000000267755</v>
      </c>
      <c r="FR10">
        <f>CJ11-Table2[[#This Row],[PDB - 16 Bread Section]]</f>
        <v>0</v>
      </c>
      <c r="FS10">
        <f>BU11-Table2[[#This Row],[7F1 Donut Production area]]</f>
        <v>200.51199999998789</v>
      </c>
      <c r="FT10">
        <f>CB11-Table2[[#This Row],[8F5 Donut Ban Bary]]</f>
        <v>31.312000000005355</v>
      </c>
      <c r="FU10">
        <f>CF11-Table2[[#This Row],[9F4 - PDB 13 - Donut Sink Geyser area]]</f>
        <v>21.263999999995576</v>
      </c>
      <c r="FV10">
        <f>BV11-Table2[[#This Row],[7F2 Flour Silo]]</f>
        <v>510.47999999998137</v>
      </c>
      <c r="FW10">
        <f>BY11-Table2[[#This Row],[8F2 ACPDB - 3 SILO Ventilation]]</f>
        <v>39.823999999993248</v>
      </c>
      <c r="FX10">
        <f>J11-Table2[[#This Row],[DG 1010KVA Running Hours]]</f>
        <v>0</v>
      </c>
      <c r="FY10">
        <f>K11-Table2[[#This Row],[DG 1010 KVA Meter Reading]]</f>
        <v>0</v>
      </c>
      <c r="FZ10">
        <f>L11-Table2[[#This Row],[GG 1010 KVA Running Hours]]</f>
        <v>0</v>
      </c>
      <c r="GA10">
        <f>M11-Table2[[#This Row],[GG 1010 KVA Meter Reading]]</f>
        <v>0</v>
      </c>
    </row>
    <row r="11" spans="1:183">
      <c r="A11" s="65">
        <v>82</v>
      </c>
      <c r="B11" s="55">
        <v>46274.389513888891</v>
      </c>
      <c r="C11" s="55">
        <v>46274.433483796296</v>
      </c>
      <c r="D11" s="65" t="s">
        <v>111</v>
      </c>
      <c r="E11" s="54"/>
      <c r="F11" s="54"/>
      <c r="G11" s="68">
        <v>46274</v>
      </c>
      <c r="H11" s="54" t="s">
        <v>182</v>
      </c>
      <c r="I11" s="56">
        <v>8235.0820000000003</v>
      </c>
      <c r="J11" s="56">
        <v>4280.7</v>
      </c>
      <c r="K11" s="56">
        <v>1779303</v>
      </c>
      <c r="L11" s="56">
        <v>460</v>
      </c>
      <c r="M11" s="56">
        <v>193.56</v>
      </c>
      <c r="N11" s="56">
        <v>1903329.76</v>
      </c>
      <c r="O11" s="56">
        <v>4668552</v>
      </c>
      <c r="P11" s="56">
        <v>659265.85600000003</v>
      </c>
      <c r="Q11" s="56">
        <v>8190665.5999999996</v>
      </c>
      <c r="R11" s="56">
        <v>5735989.1200000001</v>
      </c>
      <c r="S11" s="56">
        <v>7491095.6799999997</v>
      </c>
      <c r="T11" s="56">
        <v>43657287.200000003</v>
      </c>
      <c r="U11" s="56">
        <v>2152100.3199999998</v>
      </c>
      <c r="V11" s="56">
        <v>5177184.6399999997</v>
      </c>
      <c r="W11" s="56">
        <v>1621.3187</v>
      </c>
      <c r="X11" s="56">
        <v>783899.07200000004</v>
      </c>
      <c r="Y11" s="56">
        <v>1143734.3999999999</v>
      </c>
      <c r="Z11" s="56">
        <v>2777.8894</v>
      </c>
      <c r="AA11" s="56">
        <v>678757.696</v>
      </c>
      <c r="AB11" s="56">
        <v>422314.36800000002</v>
      </c>
      <c r="AC11" s="56">
        <v>2164384.48</v>
      </c>
      <c r="AD11" s="56">
        <v>4557783.9869999997</v>
      </c>
      <c r="AE11" s="56">
        <v>13071.004000000001</v>
      </c>
      <c r="AF11" s="56">
        <v>896315.2</v>
      </c>
      <c r="AG11" s="56">
        <v>1444.7070000000001</v>
      </c>
      <c r="AH11" s="56">
        <v>137547.424</v>
      </c>
      <c r="AI11" s="56">
        <v>14809.691199999999</v>
      </c>
      <c r="AJ11" s="56">
        <v>145416.52799999999</v>
      </c>
      <c r="AK11" s="56">
        <v>105637.496</v>
      </c>
      <c r="AL11" s="56">
        <v>333247.39199999999</v>
      </c>
      <c r="AM11" s="56">
        <v>1014.171</v>
      </c>
      <c r="AN11" s="56">
        <v>311.60000000000002</v>
      </c>
      <c r="AO11" s="56">
        <v>7.6</v>
      </c>
      <c r="AP11" s="56">
        <v>827773</v>
      </c>
      <c r="AQ11" s="56">
        <v>32432</v>
      </c>
      <c r="AR11" s="56">
        <v>22148</v>
      </c>
      <c r="AS11" s="56">
        <v>43026</v>
      </c>
      <c r="AT11" s="56">
        <v>42480</v>
      </c>
      <c r="AU11" s="56">
        <v>16462</v>
      </c>
      <c r="AV11" s="56">
        <v>6904</v>
      </c>
      <c r="AW11" s="56">
        <v>21.181827999999999</v>
      </c>
      <c r="AX11" s="56">
        <v>7325.5519999999997</v>
      </c>
      <c r="AY11" s="56">
        <v>684.11231999999995</v>
      </c>
      <c r="AZ11" s="56">
        <v>20.788</v>
      </c>
      <c r="BA11" s="56">
        <v>11.086</v>
      </c>
      <c r="BB11" s="56">
        <v>46.255000000000003</v>
      </c>
      <c r="BC11" s="56">
        <v>114029.064</v>
      </c>
      <c r="BD11" s="56">
        <v>277784.12800000003</v>
      </c>
      <c r="BE11" s="56">
        <v>3771.6419999999998</v>
      </c>
      <c r="BF11" s="56">
        <v>1714.182</v>
      </c>
      <c r="BG11" s="56">
        <v>76.156000000000006</v>
      </c>
      <c r="BH11" s="56">
        <v>378.25799999999998</v>
      </c>
      <c r="BI11" s="56">
        <v>932.88499999999999</v>
      </c>
      <c r="BJ11" s="56">
        <v>16.446999999999999</v>
      </c>
      <c r="BK11" s="56">
        <v>574.09</v>
      </c>
      <c r="BL11" s="56">
        <v>80105.638399999996</v>
      </c>
      <c r="BM11" s="56">
        <v>328287.26400000002</v>
      </c>
      <c r="BN11" s="56">
        <v>7334.1984000000002</v>
      </c>
      <c r="BO11" s="56">
        <v>53589.132799999999</v>
      </c>
      <c r="BP11" s="56">
        <v>318322.78399999999</v>
      </c>
      <c r="BQ11" s="56">
        <v>334.09899999999999</v>
      </c>
      <c r="BR11" s="56">
        <v>186.35</v>
      </c>
      <c r="BS11" s="56">
        <v>1060715.42</v>
      </c>
      <c r="BT11" s="56">
        <v>1400633.3259999999</v>
      </c>
      <c r="BU11" s="56">
        <v>636620.22400000005</v>
      </c>
      <c r="BV11" s="56">
        <v>1043199.52</v>
      </c>
      <c r="BW11" s="56">
        <v>577498.75199999998</v>
      </c>
      <c r="BX11" s="56">
        <v>1066305.6000000001</v>
      </c>
      <c r="BY11" s="56">
        <v>159452.17600000001</v>
      </c>
      <c r="BZ11" s="56">
        <v>115165.68</v>
      </c>
      <c r="CA11" s="56">
        <v>1244.5895</v>
      </c>
      <c r="CB11" s="56">
        <v>110159.592</v>
      </c>
      <c r="CC11" s="56">
        <v>154965.024</v>
      </c>
      <c r="CD11" s="56">
        <v>453708.51199999999</v>
      </c>
      <c r="CE11" s="56">
        <v>49296.6368</v>
      </c>
      <c r="CF11" s="56">
        <v>156907.35999999999</v>
      </c>
      <c r="CG11" s="56">
        <v>36102.2624</v>
      </c>
      <c r="CH11" s="56">
        <v>2385.8710000000001</v>
      </c>
      <c r="CI11" s="56">
        <v>220.172</v>
      </c>
      <c r="CJ11" s="56">
        <v>1191.5999999999999</v>
      </c>
      <c r="CK11" s="56">
        <v>79.759</v>
      </c>
      <c r="CL11" s="56">
        <v>755.18</v>
      </c>
      <c r="CM11" s="56">
        <v>551.4</v>
      </c>
      <c r="CN11" s="56">
        <v>62066.6</v>
      </c>
      <c r="CO11" s="56">
        <v>1694.8230000000001</v>
      </c>
      <c r="CP11" s="56">
        <v>302380.46500000003</v>
      </c>
      <c r="CQ11" s="56">
        <v>3733143.36</v>
      </c>
      <c r="CR11" s="56">
        <v>133493.18400000001</v>
      </c>
      <c r="CS11" s="56">
        <v>526641.37600000005</v>
      </c>
      <c r="CT11" s="56">
        <v>3065941.429</v>
      </c>
      <c r="CU11" s="56">
        <v>309124.64899999998</v>
      </c>
      <c r="CV11" s="56">
        <v>30268.454399999999</v>
      </c>
      <c r="CW11" s="56">
        <v>63703.558400000002</v>
      </c>
      <c r="CX11" s="56">
        <v>33692.006399999998</v>
      </c>
      <c r="CY11" s="56">
        <v>172651.31200000001</v>
      </c>
      <c r="CZ11" s="56">
        <v>221020.46400000001</v>
      </c>
      <c r="DA11" s="56">
        <v>19498.97</v>
      </c>
      <c r="DB11" s="56">
        <v>154167.46</v>
      </c>
      <c r="DC11" s="56">
        <v>3276.04</v>
      </c>
      <c r="DD11" s="56">
        <v>3275.91</v>
      </c>
      <c r="DE11" s="56">
        <v>3306.12</v>
      </c>
      <c r="DF11" s="56">
        <v>0.997</v>
      </c>
      <c r="DG11" s="54" t="s">
        <v>217</v>
      </c>
      <c r="DH11" s="2">
        <f>Table2[[#This Row],[Date]]</f>
        <v>46274</v>
      </c>
      <c r="DI11">
        <f>(DD12-Table2[[#This Row],[MWH Total]])*4000</f>
        <v>27120.0000000008</v>
      </c>
      <c r="DJ11">
        <f>(DA12-Table2[[#This Row],[PNG Meter (Outside)]])*2.936</f>
        <v>4.3159199999927367</v>
      </c>
      <c r="DK11">
        <f>(DB12-Table2[[#This Row],[PNG Meter (Inside)]])*2.936</f>
        <v>401.58901600005061</v>
      </c>
      <c r="DL11">
        <f>(BH12-Table2[[#This Row],[3F Dough cooler - 2 ]])*1000</f>
        <v>401.00000000001046</v>
      </c>
      <c r="DM11">
        <f>(BI12-Table2[[#This Row],[3F Dough Cooler- 1]])*1000</f>
        <v>488.00000000005639</v>
      </c>
      <c r="DN11">
        <f>(BJ12-Table2[[#This Row],[4F Dough Production cooling Unit]])*1000</f>
        <v>37.000000000002586</v>
      </c>
      <c r="DO11">
        <f>(BQ12-Table2[[#This Row],[3F2 - PDB 3 - Dough Production Area]])*1000</f>
        <v>206.99999999999363</v>
      </c>
      <c r="DP11">
        <f>(BR12-Table2[[#This Row],[3F3 - PDB 4 - Dough Area]])*1000</f>
        <v>115.00000000000909</v>
      </c>
      <c r="DQ11">
        <f>AC12-Table2[[#This Row],[16F1 Tray washer Panel for Light]]</f>
        <v>688.47999999998137</v>
      </c>
      <c r="DR11">
        <f>CQ12-Table2[[#This Row],[2F1 Tray Washer - 1]]</f>
        <v>1062.0800000000745</v>
      </c>
      <c r="DS11">
        <f>CS12-Table2[[#This Row],[2F5 Destacker]]</f>
        <v>287.87199999997392</v>
      </c>
      <c r="DT11">
        <f>CU12-Table2[[#This Row],[5F1 Metering (TW-2)]]</f>
        <v>312.6940000000177</v>
      </c>
      <c r="DU11">
        <f>CV12-Table2[[#This Row],[6F1 Pre soaker Tray washer]]</f>
        <v>0</v>
      </c>
      <c r="DV11">
        <f>CZ12-Table2[[#This Row],[6F5 Vent tray Storage]]</f>
        <v>120.20799999998417</v>
      </c>
      <c r="DW11">
        <f>I12-Table2[[#This Row],[Popeyes Meter ]]</f>
        <v>37.149999999999636</v>
      </c>
      <c r="DX11">
        <f>AZ12-Table2[[#This Row],[2F WH Chiller, Segregation Area]]</f>
        <v>0</v>
      </c>
      <c r="DY11">
        <f>BA12-Table2[[#This Row],[3F1 AC Unit WH dock cooling - 2 Nos]]</f>
        <v>1.7999999999998906E-2</v>
      </c>
      <c r="DZ11">
        <f>BB12-Table2[[#This Row],[3F2 AC Unit WH dock cooling - 3 Nos]]</f>
        <v>3.1999999999996476E-2</v>
      </c>
      <c r="EA11">
        <f>(BK12-Table2[[#This Row],[5F WH Perishable]])*1000</f>
        <v>283.00000000001546</v>
      </c>
      <c r="EB11">
        <f>BN12-Table2[[#This Row],[2F3 - PDB 9 - WH Dock Leveler Door ]]</f>
        <v>4.5239999999994325</v>
      </c>
      <c r="EC11">
        <f>BP12-Table2[[#This Row],[3F1 - PDB 5 - WH HSD]]</f>
        <v>76.288000000000466</v>
      </c>
      <c r="ED11">
        <f>BX12-Table2[[#This Row],[8F1 WH Dock AHU - Ventilation]]</f>
        <v>1412.7999999998137</v>
      </c>
      <c r="EE11">
        <f>BZ12-Table2[[#This Row],[8F3 ACPDB - 4 WH Dock air curtain]]</f>
        <v>18.312000000005355</v>
      </c>
      <c r="EF11">
        <f>CA12-Table2[[#This Row],[8F4 WH Light]]</f>
        <v>0</v>
      </c>
      <c r="EG11">
        <f>CC12-Table2[[#This Row],[9F1 - PDB 10 - WH Dock door &amp; Office]]</f>
        <v>146.67199999999139</v>
      </c>
      <c r="EH11">
        <f>CD12-Table2[[#This Row],[9F2 - PDB 11 - WH flycatchers]]</f>
        <v>204.92800000001444</v>
      </c>
      <c r="EI11">
        <f>CE12-Table2[[#This Row],[9F3 - PDB 12 - Other items]]</f>
        <v>13.792000000001281</v>
      </c>
      <c r="EJ11">
        <f>CR12-Table2[[#This Row],[2F3 - PDB 1 - Dock 1 to 4 ]]</f>
        <v>64.975999999995111</v>
      </c>
      <c r="EK11">
        <f>BM12-Table2[[#This Row],[2F2 - PDB 3 - WH Truck &amp; Battery Charging]]</f>
        <v>602.33599999995204</v>
      </c>
      <c r="EL11">
        <f>(CK12-Table2[[#This Row],[PDB - 11 Truck Charging]])*1000</f>
        <v>40.000000000006253</v>
      </c>
      <c r="EM11" s="1">
        <f>P12-Table2[[#This Row],[5F3 Admin Area]]</f>
        <v>389.11999999999534</v>
      </c>
      <c r="EN11">
        <f>AH12-Table2[[#This Row],[2F5 Main Gate-1 Piller -1]]</f>
        <v>120.12799999999697</v>
      </c>
      <c r="EO11">
        <f>CW12-Table2[[#This Row],[6F2 Ground Floor AC]]</f>
        <v>29.177599999995437</v>
      </c>
      <c r="EP11">
        <f>CX12-Table2[[#This Row],[6F3 ACBD -1 (First floor AC)]]</f>
        <v>8.8032000000021071</v>
      </c>
      <c r="EQ11">
        <f>CY12-Table2[[#This Row],[6F4 ACBD - 2 (Second &amp; Third floor AC)]]</f>
        <v>116.67199999999139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1608.4799999999814</v>
      </c>
      <c r="EU11">
        <f>(CL12-Table2[[#This Row],[OLD Ck Panel-1]])*1000</f>
        <v>714.00000000005548</v>
      </c>
      <c r="EV11">
        <f>CM12-Table2[[#This Row],[2F4 Old CK Blast (Blue star)]]</f>
        <v>0</v>
      </c>
      <c r="EW11">
        <f>CN12-Table2[[#This Row],[3F6 Old CK Blast (Carrier)]]</f>
        <v>579.59999999999854</v>
      </c>
      <c r="EX11">
        <f>(CO12-Table2[[#This Row],[Old CK Panel -2]])*1000</f>
        <v>1385.9999999999673</v>
      </c>
      <c r="EY11">
        <f>N12-Table2[[#This Row],[4F1 Main UPS 1/C -1]]</f>
        <v>951.52000000001863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33.999999999991815</v>
      </c>
      <c r="FC11">
        <f>BW12-Table2[[#This Row],[7F3 CLC Power Panel]]</f>
        <v>247.55200000002515</v>
      </c>
      <c r="FD11">
        <f>(CI12-Table2[[#This Row],[PDB - 17 CLC Section ]])*1000</f>
        <v>151.00000000001046</v>
      </c>
      <c r="FE11">
        <f>(W12-Table2[[#This Row],[13F3 Water &amp; Lift Old CK]])*1000</f>
        <v>791.50000000004184</v>
      </c>
      <c r="FF11">
        <f>AA12-Table2[[#This Row],[15F2 New ETP Panel]]</f>
        <v>284.99199999996927</v>
      </c>
      <c r="FG11">
        <f>AL12-Table2[[#This Row],[3F4 Old ETP Panel]]</f>
        <v>90.75199999997858</v>
      </c>
      <c r="FH11">
        <f>AF12-Table2[[#This Row],[2F1 RO Plant]]</f>
        <v>597.69599999999627</v>
      </c>
      <c r="FI11">
        <f>AK12-Table2[[#This Row],[3F3 Fire Hydrant Panel]]</f>
        <v>7.680000000007567</v>
      </c>
      <c r="FJ11">
        <f>R12-Table2[[#This Row],[7F1 Freon System Panel]]</f>
        <v>6350.0800000000745</v>
      </c>
      <c r="FK11">
        <f>(AE12-Table2[[#This Row],[21F1 Refrigeration Ammonia]])*1000</f>
        <v>7451.9999999993161</v>
      </c>
      <c r="FL11">
        <f>(AG12-Table2[[#This Row],[2F3 Air Compressor]])*1000</f>
        <v>1160.9999999998308</v>
      </c>
      <c r="FM11">
        <f>(AX12-Table2[[#This Row],[Solar Reading Panel II]])*1000</f>
        <v>3396.0000000006403</v>
      </c>
      <c r="FN11">
        <f>AI12-Table2[[#This Row],[3F1 Maintenance Workshop]]</f>
        <v>6.5248000000010506</v>
      </c>
      <c r="FO11">
        <f>BD12-Table2[[#This Row],[4F B2B unit ]]</f>
        <v>55.35999999998603</v>
      </c>
      <c r="FP11">
        <f>BL12-Table2[[#This Row],[2F1 - PDB 6 - Bread, B2B section]]</f>
        <v>359.09760000000824</v>
      </c>
      <c r="FQ11">
        <f>(CG12-Table2[[#This Row],[9F5 - PDB 14 - Bread Lift]])</f>
        <v>0.58879999999771826</v>
      </c>
      <c r="FR11">
        <f>CJ12-Table2[[#This Row],[PDB - 16 Bread Section]]</f>
        <v>0</v>
      </c>
      <c r="FS11">
        <f>BU12-Table2[[#This Row],[7F1 Donut Production area]]</f>
        <v>197.76000000000931</v>
      </c>
      <c r="FT11">
        <f>CB12-Table2[[#This Row],[8F5 Donut Ban Bary]]</f>
        <v>11.135999999998603</v>
      </c>
      <c r="FU11">
        <f>CF12-Table2[[#This Row],[9F4 - PDB 13 - Donut Sink Geyser area]]</f>
        <v>29.711999999999534</v>
      </c>
      <c r="FV11">
        <f>BV12-Table2[[#This Row],[7F2 Flour Silo]]</f>
        <v>264.31999999994878</v>
      </c>
      <c r="FW11">
        <f>BY12-Table2[[#This Row],[8F2 ACPDB - 3 SILO Ventilation]]</f>
        <v>40.895999999978812</v>
      </c>
      <c r="FX11">
        <f>J12-Table2[[#This Row],[DG 1010KVA Running Hours]]</f>
        <v>0</v>
      </c>
      <c r="FY11">
        <f>K12-Table2[[#This Row],[DG 1010 KVA Meter Reading]]</f>
        <v>0</v>
      </c>
      <c r="FZ11">
        <f>L12-Table2[[#This Row],[GG 1010 KVA Running Hours]]</f>
        <v>0</v>
      </c>
      <c r="GA11">
        <f>M12-Table2[[#This Row],[GG 1010 KVA Meter Reading]]</f>
        <v>0</v>
      </c>
    </row>
    <row r="12" spans="1:183">
      <c r="A12" s="65">
        <v>83</v>
      </c>
      <c r="B12" s="55">
        <v>46275.380393518521</v>
      </c>
      <c r="C12" s="55">
        <v>46275.431527777779</v>
      </c>
      <c r="D12" s="65" t="s">
        <v>111</v>
      </c>
      <c r="E12" s="54"/>
      <c r="F12" s="54"/>
      <c r="G12" s="68">
        <v>46275</v>
      </c>
      <c r="H12" s="54" t="s">
        <v>182</v>
      </c>
      <c r="I12" s="56">
        <f>I11-I10+I11</f>
        <v>8272.232</v>
      </c>
      <c r="J12" s="56">
        <v>4280.7</v>
      </c>
      <c r="K12" s="56">
        <v>1779303</v>
      </c>
      <c r="L12" s="56">
        <v>460</v>
      </c>
      <c r="M12" s="56">
        <v>193.56</v>
      </c>
      <c r="N12" s="56">
        <v>1904281.28</v>
      </c>
      <c r="O12" s="56">
        <v>4670416.96</v>
      </c>
      <c r="P12" s="56">
        <v>659654.97600000002</v>
      </c>
      <c r="Q12" s="56">
        <v>8194282.8799999999</v>
      </c>
      <c r="R12" s="56">
        <v>5742339.2000000002</v>
      </c>
      <c r="S12" s="56">
        <v>7494516.4800000004</v>
      </c>
      <c r="T12" s="56">
        <v>43669402.932999998</v>
      </c>
      <c r="U12" s="56">
        <v>2153660.7999999998</v>
      </c>
      <c r="V12" s="56">
        <v>5178904.6399999997</v>
      </c>
      <c r="W12" s="56">
        <v>1622.1102000000001</v>
      </c>
      <c r="X12" s="56">
        <v>784211.96799999999</v>
      </c>
      <c r="Y12" s="56">
        <v>1145342.8799999999</v>
      </c>
      <c r="Z12" s="56">
        <v>2777.8894</v>
      </c>
      <c r="AA12" s="56">
        <v>679042.68799999997</v>
      </c>
      <c r="AB12" s="56">
        <v>422361.34399999998</v>
      </c>
      <c r="AC12" s="56">
        <v>2165072.96</v>
      </c>
      <c r="AD12" s="56">
        <v>4573356.4639999997</v>
      </c>
      <c r="AE12" s="56">
        <v>13078.456</v>
      </c>
      <c r="AF12" s="56">
        <v>896912.89599999995</v>
      </c>
      <c r="AG12" s="56">
        <v>1445.8679999999999</v>
      </c>
      <c r="AH12" s="56">
        <v>137667.552</v>
      </c>
      <c r="AI12" s="56">
        <v>14816.216</v>
      </c>
      <c r="AJ12" s="56">
        <v>145418.78400000001</v>
      </c>
      <c r="AK12" s="56">
        <v>105645.17600000001</v>
      </c>
      <c r="AL12" s="56">
        <v>333338.14399999997</v>
      </c>
      <c r="AM12" s="56">
        <v>1014.908</v>
      </c>
      <c r="AN12" s="56">
        <v>250.6</v>
      </c>
      <c r="AO12" s="56">
        <v>7.2</v>
      </c>
      <c r="AP12" s="56">
        <v>839217</v>
      </c>
      <c r="AQ12" s="56">
        <v>43026</v>
      </c>
      <c r="AR12" s="56">
        <v>42480</v>
      </c>
      <c r="AS12" s="56">
        <v>32432</v>
      </c>
      <c r="AT12" s="56">
        <v>22148</v>
      </c>
      <c r="AU12" s="56">
        <v>16486</v>
      </c>
      <c r="AV12" s="56">
        <v>6924</v>
      </c>
      <c r="AW12" s="56">
        <v>21.189056000000001</v>
      </c>
      <c r="AX12" s="56">
        <v>7328.9480000000003</v>
      </c>
      <c r="AY12" s="56">
        <v>684.22184000000004</v>
      </c>
      <c r="AZ12" s="56">
        <v>20.788</v>
      </c>
      <c r="BA12" s="56">
        <v>11.103999999999999</v>
      </c>
      <c r="BB12" s="56">
        <v>46.286999999999999</v>
      </c>
      <c r="BC12" s="56">
        <v>114029.064</v>
      </c>
      <c r="BD12" s="56">
        <v>277839.48800000001</v>
      </c>
      <c r="BE12" s="56">
        <v>3772.9376000000002</v>
      </c>
      <c r="BF12" s="56">
        <v>1714.182</v>
      </c>
      <c r="BG12" s="56">
        <v>76.19</v>
      </c>
      <c r="BH12" s="56">
        <v>378.65899999999999</v>
      </c>
      <c r="BI12" s="56">
        <v>933.37300000000005</v>
      </c>
      <c r="BJ12" s="56">
        <v>16.484000000000002</v>
      </c>
      <c r="BK12" s="56">
        <v>574.37300000000005</v>
      </c>
      <c r="BL12" s="56">
        <v>80464.736000000004</v>
      </c>
      <c r="BM12" s="56">
        <v>328889.59999999998</v>
      </c>
      <c r="BN12" s="56">
        <v>7338.7223999999997</v>
      </c>
      <c r="BO12" s="56">
        <v>53589.132799999999</v>
      </c>
      <c r="BP12" s="56">
        <v>318399.07199999999</v>
      </c>
      <c r="BQ12" s="56">
        <v>334.30599999999998</v>
      </c>
      <c r="BR12" s="56">
        <v>186.465</v>
      </c>
      <c r="BS12" s="56">
        <v>1062245.844</v>
      </c>
      <c r="BT12" s="56">
        <v>1400633.3259999999</v>
      </c>
      <c r="BU12" s="56">
        <v>636817.98400000005</v>
      </c>
      <c r="BV12" s="56">
        <v>1043463.84</v>
      </c>
      <c r="BW12" s="56">
        <v>577746.304</v>
      </c>
      <c r="BX12" s="56">
        <v>1067718.3999999999</v>
      </c>
      <c r="BY12" s="56">
        <v>159493.07199999999</v>
      </c>
      <c r="BZ12" s="56">
        <v>115183.992</v>
      </c>
      <c r="CA12" s="56">
        <v>1244.5895</v>
      </c>
      <c r="CB12" s="56">
        <v>110170.728</v>
      </c>
      <c r="CC12" s="56">
        <v>155111.696</v>
      </c>
      <c r="CD12" s="56">
        <v>453913.44</v>
      </c>
      <c r="CE12" s="56">
        <v>49310.428800000002</v>
      </c>
      <c r="CF12" s="56">
        <v>156937.07199999999</v>
      </c>
      <c r="CG12" s="56">
        <v>36102.851199999997</v>
      </c>
      <c r="CH12" s="56">
        <v>2385.8710000000001</v>
      </c>
      <c r="CI12" s="56">
        <v>220.32300000000001</v>
      </c>
      <c r="CJ12" s="56">
        <v>1191.5999999999999</v>
      </c>
      <c r="CK12" s="56">
        <v>79.799000000000007</v>
      </c>
      <c r="CL12" s="56">
        <v>755.89400000000001</v>
      </c>
      <c r="CM12" s="56">
        <v>551.4</v>
      </c>
      <c r="CN12" s="56">
        <v>62646.2</v>
      </c>
      <c r="CO12" s="56">
        <v>1696.2090000000001</v>
      </c>
      <c r="CP12" s="56">
        <v>302630.01299999998</v>
      </c>
      <c r="CQ12" s="56">
        <v>3734205.44</v>
      </c>
      <c r="CR12" s="56">
        <v>133558.16</v>
      </c>
      <c r="CS12" s="56">
        <v>526929.24800000002</v>
      </c>
      <c r="CT12" s="56">
        <v>3069419.111</v>
      </c>
      <c r="CU12" s="56">
        <v>309437.34299999999</v>
      </c>
      <c r="CV12" s="56">
        <v>30268.454399999999</v>
      </c>
      <c r="CW12" s="56">
        <v>63732.735999999997</v>
      </c>
      <c r="CX12" s="56">
        <v>33700.809600000001</v>
      </c>
      <c r="CY12" s="56">
        <v>172767.984</v>
      </c>
      <c r="CZ12" s="56">
        <v>221140.67199999999</v>
      </c>
      <c r="DA12" s="56">
        <v>19500.439999999999</v>
      </c>
      <c r="DB12" s="56">
        <v>154304.24100000001</v>
      </c>
      <c r="DC12" s="56">
        <v>3282.82</v>
      </c>
      <c r="DD12" s="56">
        <v>3282.69</v>
      </c>
      <c r="DE12" s="56">
        <v>3312.98</v>
      </c>
      <c r="DF12" s="56">
        <v>0.998</v>
      </c>
      <c r="DG12" s="54" t="s">
        <v>219</v>
      </c>
      <c r="DH12" s="2">
        <f>Table2[[#This Row],[Date]]</f>
        <v>46275</v>
      </c>
      <c r="DI12">
        <f>(DD13-Table2[[#This Row],[MWH Total]])*4000</f>
        <v>26600.000000000364</v>
      </c>
      <c r="DJ12">
        <f>(DA13-Table2[[#This Row],[PNG Meter (Outside)]])*2.936</f>
        <v>9.6594400000025633</v>
      </c>
      <c r="DK12">
        <f>(DB13-Table2[[#This Row],[PNG Meter (Inside)]])*2.936</f>
        <v>381.37171999996923</v>
      </c>
      <c r="DL12">
        <f>(BH13-Table2[[#This Row],[3F Dough cooler - 2 ]])*1000</f>
        <v>223.00000000001319</v>
      </c>
      <c r="DM12">
        <f>(BI13-Table2[[#This Row],[3F Dough Cooler- 1]])*1000</f>
        <v>476.99999999997544</v>
      </c>
      <c r="DN12">
        <f>(BJ13-Table2[[#This Row],[4F Dough Production cooling Unit]])*1000</f>
        <v>42.999999999999261</v>
      </c>
      <c r="DO12">
        <f>(BQ13-Table2[[#This Row],[3F2 - PDB 3 - Dough Production Area]])*1000</f>
        <v>216.00000000000819</v>
      </c>
      <c r="DP12">
        <f>(BR13-Table2[[#This Row],[3F3 - PDB 4 - Dough Area]])*1000</f>
        <v>114.00000000000432</v>
      </c>
      <c r="DQ12">
        <f>AC13-Table2[[#This Row],[16F1 Tray washer Panel for Light]]</f>
        <v>686.72000000020489</v>
      </c>
      <c r="DR12">
        <f>CQ13-Table2[[#This Row],[2F1 Tray Washer - 1]]</f>
        <v>1122.2400000002235</v>
      </c>
      <c r="DS12">
        <f>CS13-Table2[[#This Row],[2F5 Destacker]]</f>
        <v>309.18400000000838</v>
      </c>
      <c r="DT12">
        <f>CU13-Table2[[#This Row],[5F1 Metering (TW-2)]]</f>
        <v>351.04100000002654</v>
      </c>
      <c r="DU12">
        <f>CV13-Table2[[#This Row],[6F1 Pre soaker Tray washer]]</f>
        <v>0</v>
      </c>
      <c r="DV12">
        <f>CZ13-Table2[[#This Row],[6F5 Vent tray Storage]]</f>
        <v>135.88800000000629</v>
      </c>
      <c r="DW12">
        <f>I13-Table2[[#This Row],[Popeyes Meter ]]</f>
        <v>89.829999999999927</v>
      </c>
      <c r="DX12">
        <f>AZ13-Table2[[#This Row],[2F WH Chiller, Segregation Area]]</f>
        <v>0</v>
      </c>
      <c r="DY12">
        <f>BA13-Table2[[#This Row],[3F1 AC Unit WH dock cooling - 2 Nos]]</f>
        <v>1.6000000000000014E-2</v>
      </c>
      <c r="DZ12">
        <f>BB13-Table2[[#This Row],[3F2 AC Unit WH dock cooling - 3 Nos]]</f>
        <v>3.6000000000001364E-2</v>
      </c>
      <c r="EA12">
        <f>(BK13-Table2[[#This Row],[5F WH Perishable]])*1000</f>
        <v>277.99999999990632</v>
      </c>
      <c r="EB12">
        <f>BN13-Table2[[#This Row],[2F3 - PDB 9 - WH Dock Leveler Door ]]</f>
        <v>4.5399999999999636</v>
      </c>
      <c r="EC12">
        <f>BP13-Table2[[#This Row],[3F1 - PDB 5 - WH HSD]]</f>
        <v>95.711999999999534</v>
      </c>
      <c r="ED12">
        <f>BX13-Table2[[#This Row],[8F1 WH Dock AHU - Ventilation]]</f>
        <v>1432.3200000000652</v>
      </c>
      <c r="EE12">
        <f>BZ13-Table2[[#This Row],[8F3 ACPDB - 4 WH Dock air curtain]]</f>
        <v>18.783999999999651</v>
      </c>
      <c r="EF12">
        <f>CA13-Table2[[#This Row],[8F4 WH Light]]</f>
        <v>0</v>
      </c>
      <c r="EG12">
        <f>CC13-Table2[[#This Row],[9F1 - PDB 10 - WH Dock door &amp; Office]]</f>
        <v>139.31200000000536</v>
      </c>
      <c r="EH12">
        <f>CD13-Table2[[#This Row],[9F2 - PDB 11 - WH flycatchers]]</f>
        <v>229.66399999998976</v>
      </c>
      <c r="EI12">
        <f>CE13-Table2[[#This Row],[9F3 - PDB 12 - Other items]]</f>
        <v>7.9743999999991502</v>
      </c>
      <c r="EJ12">
        <f>CR13-Table2[[#This Row],[2F3 - PDB 1 - Dock 1 to 4 ]]</f>
        <v>61.919999999983702</v>
      </c>
      <c r="EK12">
        <f>BM13-Table2[[#This Row],[2F2 - PDB 3 - WH Truck &amp; Battery Charging]]</f>
        <v>693.31200000003446</v>
      </c>
      <c r="EL12">
        <f>(CK13-Table2[[#This Row],[PDB - 11 Truck Charging]])*1000</f>
        <v>62.999999999988177</v>
      </c>
      <c r="EM12" s="1">
        <f>P13-Table2[[#This Row],[5F3 Admin Area]]</f>
        <v>389.11999999999534</v>
      </c>
      <c r="EN12">
        <f>AH13-Table2[[#This Row],[2F5 Main Gate-1 Piller -1]]</f>
        <v>120.99199999999837</v>
      </c>
      <c r="EO12">
        <f>CW13-Table2[[#This Row],[6F2 Ground Floor AC]]</f>
        <v>31.257600000004459</v>
      </c>
      <c r="EP12">
        <f>CX13-Table2[[#This Row],[6F3 ACBD -1 (First floor AC)]]</f>
        <v>20.211199999997916</v>
      </c>
      <c r="EQ12">
        <f>CY13-Table2[[#This Row],[6F4 ACBD - 2 (Second &amp; Third floor AC)]]</f>
        <v>126.11199999999371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1909.2800000000279</v>
      </c>
      <c r="EU12">
        <f>(CL13-Table2[[#This Row],[OLD Ck Panel-1]])*1000</f>
        <v>677.99999999999727</v>
      </c>
      <c r="EV12">
        <f>CM13-Table2[[#This Row],[2F4 Old CK Blast (Blue star)]]</f>
        <v>0</v>
      </c>
      <c r="EW12">
        <f>CN13-Table2[[#This Row],[3F6 Old CK Blast (Carrier)]]</f>
        <v>542.30000000000291</v>
      </c>
      <c r="EX12">
        <f>(CO13-Table2[[#This Row],[Old CK Panel -2]])*1000</f>
        <v>1326.9999999999982</v>
      </c>
      <c r="EY12">
        <f>N13-Table2[[#This Row],[4F1 Main UPS 1/C -1]]</f>
        <v>977.5999999998603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34.000000000006025</v>
      </c>
      <c r="FC12">
        <f>BW13-Table2[[#This Row],[7F3 CLC Power Panel]]</f>
        <v>263.35999999998603</v>
      </c>
      <c r="FD12">
        <f>(CI13-Table2[[#This Row],[PDB - 17 CLC Section ]])*1000</f>
        <v>161.00000000000136</v>
      </c>
      <c r="FE12">
        <f>(W13-Table2[[#This Row],[13F3 Water &amp; Lift Old CK]])*1000</f>
        <v>709.79999999985921</v>
      </c>
      <c r="FF12">
        <f>AA13-Table2[[#This Row],[15F2 New ETP Panel]]</f>
        <v>304.44800000009127</v>
      </c>
      <c r="FG12">
        <f>AL13-Table2[[#This Row],[3F4 Old ETP Panel]]</f>
        <v>86.368000000016764</v>
      </c>
      <c r="FH12">
        <f>AF13-Table2[[#This Row],[2F1 RO Plant]]</f>
        <v>581.69599999999627</v>
      </c>
      <c r="FI12">
        <f>AK13-Table2[[#This Row],[3F3 Fire Hydrant Panel]]</f>
        <v>9.407999999995809</v>
      </c>
      <c r="FJ12">
        <f>R13-Table2[[#This Row],[7F1 Freon System Panel]]</f>
        <v>6984.9599999999627</v>
      </c>
      <c r="FK12">
        <f>(AE13-Table2[[#This Row],[21F1 Refrigeration Ammonia]])*1000</f>
        <v>7135.2000000006228</v>
      </c>
      <c r="FL12">
        <f>(AG13-Table2[[#This Row],[2F3 Air Compressor]])*1000</f>
        <v>1081.000000000131</v>
      </c>
      <c r="FM12">
        <f>(AX13-Table2[[#This Row],[Solar Reading Panel II]])*1000</f>
        <v>2971.9999999997526</v>
      </c>
      <c r="FN12">
        <f>AI13-Table2[[#This Row],[3F1 Maintenance Workshop]]</f>
        <v>5.4863999999997759</v>
      </c>
      <c r="FO12">
        <f>BD13-Table2[[#This Row],[4F B2B unit ]]</f>
        <v>68.959999999962747</v>
      </c>
      <c r="FP12">
        <f>BL13-Table2[[#This Row],[2F1 - PDB 6 - Bread, B2B section]]</f>
        <v>395.62239999999292</v>
      </c>
      <c r="FQ12">
        <f>(CG13-Table2[[#This Row],[9F5 - PDB 14 - Bread Lift]])</f>
        <v>0.32320000000618165</v>
      </c>
      <c r="FR12">
        <f>CJ13-Table2[[#This Row],[PDB - 16 Bread Section]]</f>
        <v>0</v>
      </c>
      <c r="FS12">
        <f>BU13-Table2[[#This Row],[7F1 Donut Production area]]</f>
        <v>208.12799999990966</v>
      </c>
      <c r="FT12">
        <f>CB13-Table2[[#This Row],[8F5 Donut Ban Bary]]</f>
        <v>27.103999999992084</v>
      </c>
      <c r="FU12">
        <f>CF13-Table2[[#This Row],[9F4 - PDB 13 - Donut Sink Geyser area]]</f>
        <v>27.504000000015367</v>
      </c>
      <c r="FV12">
        <f>BV13-Table2[[#This Row],[7F2 Flour Silo]]</f>
        <v>548.08000000007451</v>
      </c>
      <c r="FW12">
        <f>BY13-Table2[[#This Row],[8F2 ACPDB - 3 SILO Ventilation]]</f>
        <v>40.336000000010245</v>
      </c>
      <c r="FX12">
        <f>J13-Table2[[#This Row],[DG 1010KVA Running Hours]]</f>
        <v>0</v>
      </c>
      <c r="FY12">
        <f>K13-Table2[[#This Row],[DG 1010 KVA Meter Reading]]</f>
        <v>0</v>
      </c>
      <c r="FZ12">
        <f>L13-Table2[[#This Row],[GG 1010 KVA Running Hours]]</f>
        <v>0</v>
      </c>
      <c r="GA12">
        <f>M13-Table2[[#This Row],[GG 1010 KVA Meter Reading]]</f>
        <v>0</v>
      </c>
    </row>
    <row r="13" spans="1:183">
      <c r="A13" s="65">
        <v>84</v>
      </c>
      <c r="B13" s="55">
        <v>46276.384212962963</v>
      </c>
      <c r="C13" s="55">
        <v>46276.422222222223</v>
      </c>
      <c r="D13" s="65" t="s">
        <v>111</v>
      </c>
      <c r="E13" s="54"/>
      <c r="F13" s="54"/>
      <c r="G13" s="68">
        <v>46276</v>
      </c>
      <c r="H13" s="54" t="s">
        <v>182</v>
      </c>
      <c r="I13" s="56">
        <v>8362.0619999999999</v>
      </c>
      <c r="J13" s="56">
        <v>4280.7</v>
      </c>
      <c r="K13" s="56">
        <v>1779303</v>
      </c>
      <c r="L13" s="56">
        <v>460</v>
      </c>
      <c r="M13" s="56">
        <v>193.56</v>
      </c>
      <c r="N13" s="56">
        <v>1905258.88</v>
      </c>
      <c r="O13" s="56">
        <v>4671170.88</v>
      </c>
      <c r="P13" s="56">
        <v>660044.09600000002</v>
      </c>
      <c r="Q13" s="56">
        <v>8197808</v>
      </c>
      <c r="R13" s="56">
        <v>5749324.1600000001</v>
      </c>
      <c r="S13" s="56">
        <v>7497952.6399999997</v>
      </c>
      <c r="T13" s="56">
        <v>43682720.659999996</v>
      </c>
      <c r="U13" s="56">
        <v>2155375.6800000002</v>
      </c>
      <c r="V13" s="56">
        <v>5180437.12</v>
      </c>
      <c r="W13" s="56">
        <v>1622.82</v>
      </c>
      <c r="X13" s="56">
        <v>784563.71200000006</v>
      </c>
      <c r="Y13" s="56">
        <v>1147252.1599999999</v>
      </c>
      <c r="Z13" s="56">
        <v>2777.8894</v>
      </c>
      <c r="AA13" s="56">
        <v>679347.13600000006</v>
      </c>
      <c r="AB13" s="56">
        <v>422429.152</v>
      </c>
      <c r="AC13" s="56">
        <v>2165759.6800000002</v>
      </c>
      <c r="AD13" s="56">
        <v>4588903.2850000001</v>
      </c>
      <c r="AE13" s="56">
        <v>13085.591200000001</v>
      </c>
      <c r="AF13" s="56">
        <v>897494.59199999995</v>
      </c>
      <c r="AG13" s="56">
        <v>1446.9490000000001</v>
      </c>
      <c r="AH13" s="56">
        <v>137788.54399999999</v>
      </c>
      <c r="AI13" s="56">
        <v>14821.7024</v>
      </c>
      <c r="AJ13" s="56">
        <v>145421.24799999999</v>
      </c>
      <c r="AK13" s="56">
        <v>105654.584</v>
      </c>
      <c r="AL13" s="56">
        <v>333424.51199999999</v>
      </c>
      <c r="AM13" s="56">
        <v>1015.463</v>
      </c>
      <c r="AN13" s="56">
        <v>256.5</v>
      </c>
      <c r="AO13" s="56">
        <v>7.5</v>
      </c>
      <c r="AP13" s="56">
        <v>849311</v>
      </c>
      <c r="AQ13" s="56">
        <v>43026</v>
      </c>
      <c r="AR13" s="56">
        <v>42480</v>
      </c>
      <c r="AS13" s="56">
        <v>32432</v>
      </c>
      <c r="AT13" s="56">
        <v>22148</v>
      </c>
      <c r="AU13" s="56">
        <v>16510</v>
      </c>
      <c r="AV13" s="56">
        <v>6941</v>
      </c>
      <c r="AW13" s="56">
        <v>21.195964</v>
      </c>
      <c r="AX13" s="56">
        <v>7331.92</v>
      </c>
      <c r="AY13" s="56">
        <v>684.39792</v>
      </c>
      <c r="AZ13" s="56">
        <v>20.788</v>
      </c>
      <c r="BA13" s="56">
        <v>11.12</v>
      </c>
      <c r="BB13" s="56">
        <v>46.323</v>
      </c>
      <c r="BC13" s="56">
        <v>114029.064</v>
      </c>
      <c r="BD13" s="56">
        <v>277908.44799999997</v>
      </c>
      <c r="BE13" s="56">
        <v>3774.06</v>
      </c>
      <c r="BF13" s="56">
        <v>1714.182</v>
      </c>
      <c r="BG13" s="56">
        <v>76.224000000000004</v>
      </c>
      <c r="BH13" s="56">
        <v>378.88200000000001</v>
      </c>
      <c r="BI13" s="56">
        <v>933.85</v>
      </c>
      <c r="BJ13" s="56">
        <v>16.527000000000001</v>
      </c>
      <c r="BK13" s="56">
        <v>574.65099999999995</v>
      </c>
      <c r="BL13" s="56">
        <v>80860.358399999997</v>
      </c>
      <c r="BM13" s="56">
        <v>329582.91200000001</v>
      </c>
      <c r="BN13" s="56">
        <v>7343.2623999999996</v>
      </c>
      <c r="BO13" s="56">
        <v>53589.132799999999</v>
      </c>
      <c r="BP13" s="56">
        <v>318494.78399999999</v>
      </c>
      <c r="BQ13" s="56">
        <v>334.52199999999999</v>
      </c>
      <c r="BR13" s="56">
        <v>186.57900000000001</v>
      </c>
      <c r="BS13" s="56">
        <v>1063935.108</v>
      </c>
      <c r="BT13" s="56">
        <v>1400633.3259999999</v>
      </c>
      <c r="BU13" s="56">
        <v>637026.11199999996</v>
      </c>
      <c r="BV13" s="56">
        <v>1044011.92</v>
      </c>
      <c r="BW13" s="56">
        <v>578009.66399999999</v>
      </c>
      <c r="BX13" s="56">
        <v>1069150.72</v>
      </c>
      <c r="BY13" s="56">
        <v>159533.408</v>
      </c>
      <c r="BZ13" s="56">
        <v>115202.776</v>
      </c>
      <c r="CA13" s="56">
        <v>1244.5895</v>
      </c>
      <c r="CB13" s="56">
        <v>110197.83199999999</v>
      </c>
      <c r="CC13" s="56">
        <v>155251.008</v>
      </c>
      <c r="CD13" s="56">
        <v>454143.10399999999</v>
      </c>
      <c r="CE13" s="56">
        <v>49318.403200000001</v>
      </c>
      <c r="CF13" s="56">
        <v>156964.576</v>
      </c>
      <c r="CG13" s="56">
        <v>36103.174400000004</v>
      </c>
      <c r="CH13" s="56">
        <v>2385.8710000000001</v>
      </c>
      <c r="CI13" s="56">
        <v>220.48400000000001</v>
      </c>
      <c r="CJ13" s="56">
        <v>1191.5999999999999</v>
      </c>
      <c r="CK13" s="56">
        <v>79.861999999999995</v>
      </c>
      <c r="CL13" s="56">
        <v>756.572</v>
      </c>
      <c r="CM13" s="56">
        <v>551.4</v>
      </c>
      <c r="CN13" s="56">
        <v>63188.5</v>
      </c>
      <c r="CO13" s="56">
        <v>1697.5360000000001</v>
      </c>
      <c r="CP13" s="56">
        <v>302882.21899999998</v>
      </c>
      <c r="CQ13" s="56">
        <v>3735327.68</v>
      </c>
      <c r="CR13" s="56">
        <v>133620.07999999999</v>
      </c>
      <c r="CS13" s="56">
        <v>527238.43200000003</v>
      </c>
      <c r="CT13" s="56">
        <v>3072925.7230000002</v>
      </c>
      <c r="CU13" s="56">
        <v>309788.38400000002</v>
      </c>
      <c r="CV13" s="56">
        <v>30268.454399999999</v>
      </c>
      <c r="CW13" s="56">
        <v>63763.993600000002</v>
      </c>
      <c r="CX13" s="56">
        <v>33721.020799999998</v>
      </c>
      <c r="CY13" s="56">
        <v>172894.09599999999</v>
      </c>
      <c r="CZ13" s="56">
        <v>221276.56</v>
      </c>
      <c r="DA13" s="56">
        <v>19503.73</v>
      </c>
      <c r="DB13" s="56">
        <v>154434.136</v>
      </c>
      <c r="DC13" s="56">
        <v>3289.47</v>
      </c>
      <c r="DD13" s="56">
        <v>3289.34</v>
      </c>
      <c r="DE13" s="56">
        <v>3319.1</v>
      </c>
      <c r="DF13" s="56">
        <v>0.999</v>
      </c>
      <c r="DG13" s="54" t="s">
        <v>223</v>
      </c>
      <c r="DH13" s="2">
        <f>Table2[[#This Row],[Date]]</f>
        <v>46276</v>
      </c>
      <c r="DI13">
        <f>(DD14-Table2[[#This Row],[MWH Total]])*4000</f>
        <v>30719.999999999345</v>
      </c>
      <c r="DJ13">
        <f>(DA14-Table2[[#This Row],[PNG Meter (Outside)]])*2.936</f>
        <v>14.357039999998291</v>
      </c>
      <c r="DK13">
        <f>(DB14-Table2[[#This Row],[PNG Meter (Inside)]])*2.936</f>
        <v>417.08228799997062</v>
      </c>
      <c r="DL13">
        <f>(BH14-Table2[[#This Row],[3F Dough cooler - 2 ]])*1000</f>
        <v>449.00000000001228</v>
      </c>
      <c r="DM13">
        <f>(BI14-Table2[[#This Row],[3F Dough Cooler- 1]])*1000</f>
        <v>490.00000000000909</v>
      </c>
      <c r="DN13">
        <f>(BJ14-Table2[[#This Row],[4F Dough Production cooling Unit]])*1000</f>
        <v>39.999999999999147</v>
      </c>
      <c r="DO13">
        <f>(BQ14-Table2[[#This Row],[3F2 - PDB 3 - Dough Production Area]])*1000</f>
        <v>228.00000000000864</v>
      </c>
      <c r="DP13">
        <f>(BR14-Table2[[#This Row],[3F3 - PDB 4 - Dough Area]])*1000</f>
        <v>118.99999999999977</v>
      </c>
      <c r="DQ13">
        <f>AC14-Table2[[#This Row],[16F1 Tray washer Panel for Light]]</f>
        <v>669.1199999996461</v>
      </c>
      <c r="DR13">
        <f>CQ14-Table2[[#This Row],[2F1 Tray Washer - 1]]</f>
        <v>1116.4799999999814</v>
      </c>
      <c r="DS13">
        <f>CS14-Table2[[#This Row],[2F5 Destacker]]</f>
        <v>302.36800000001676</v>
      </c>
      <c r="DT13">
        <f>CU14-Table2[[#This Row],[5F1 Metering (TW-2)]]</f>
        <v>363.54099999996834</v>
      </c>
      <c r="DU13">
        <f>CV14-Table2[[#This Row],[6F1 Pre soaker Tray washer]]</f>
        <v>0</v>
      </c>
      <c r="DV13">
        <f>CZ14-Table2[[#This Row],[6F5 Vent tray Storage]]</f>
        <v>133.61600000000908</v>
      </c>
      <c r="DW13">
        <f>I14-Table2[[#This Row],[Popeyes Meter ]]</f>
        <v>67.850000000000364</v>
      </c>
      <c r="DX13">
        <f>AZ14-Table2[[#This Row],[2F WH Chiller, Segregation Area]]</f>
        <v>0</v>
      </c>
      <c r="DY13">
        <f>BA14-Table2[[#This Row],[3F1 AC Unit WH dock cooling - 2 Nos]]</f>
        <v>1.2000000000000455E-2</v>
      </c>
      <c r="DZ13">
        <f>BB14-Table2[[#This Row],[3F2 AC Unit WH dock cooling - 3 Nos]]</f>
        <v>3.4999999999996589E-2</v>
      </c>
      <c r="EA13">
        <f>(BK14-Table2[[#This Row],[5F WH Perishable]])*1000</f>
        <v>285.00000000008185</v>
      </c>
      <c r="EB13">
        <f>BN14-Table2[[#This Row],[2F3 - PDB 9 - WH Dock Leveler Door ]]</f>
        <v>4.4488000000001193</v>
      </c>
      <c r="EC13">
        <f>BP14-Table2[[#This Row],[3F1 - PDB 5 - WH HSD]]</f>
        <v>108.03200000000652</v>
      </c>
      <c r="ED13">
        <f>BX14-Table2[[#This Row],[8F1 WH Dock AHU - Ventilation]]</f>
        <v>1471.5200000000186</v>
      </c>
      <c r="EE13">
        <f>BZ14-Table2[[#This Row],[8F3 ACPDB - 4 WH Dock air curtain]]</f>
        <v>18.936000000001513</v>
      </c>
      <c r="EF13">
        <f>CA14-Table2[[#This Row],[8F4 WH Light]]</f>
        <v>0</v>
      </c>
      <c r="EG13">
        <f>CC14-Table2[[#This Row],[9F1 - PDB 10 - WH Dock door &amp; Office]]</f>
        <v>117.63200000001234</v>
      </c>
      <c r="EH13">
        <f>CD14-Table2[[#This Row],[9F2 - PDB 11 - WH flycatchers]]</f>
        <v>179.03999999997905</v>
      </c>
      <c r="EI13">
        <f>CE14-Table2[[#This Row],[9F3 - PDB 12 - Other items]]</f>
        <v>35.296000000002095</v>
      </c>
      <c r="EJ13">
        <f>CR14-Table2[[#This Row],[2F3 - PDB 1 - Dock 1 to 4 ]]</f>
        <v>50.26400000002468</v>
      </c>
      <c r="EK13">
        <f>BM14-Table2[[#This Row],[2F2 - PDB 3 - WH Truck &amp; Battery Charging]]</f>
        <v>653.0559999999823</v>
      </c>
      <c r="EL13">
        <f>(CK14-Table2[[#This Row],[PDB - 11 Truck Charging]])*1000</f>
        <v>41.000000000011028</v>
      </c>
      <c r="EM13" s="1">
        <f>P14-Table2[[#This Row],[5F3 Admin Area]]</f>
        <v>386.75199999997858</v>
      </c>
      <c r="EN13">
        <f>AH14-Table2[[#This Row],[2F5 Main Gate-1 Piller -1]]</f>
        <v>117.23200000001816</v>
      </c>
      <c r="EO13">
        <f>CW14-Table2[[#This Row],[6F2 Ground Floor AC]]</f>
        <v>31.385600000001432</v>
      </c>
      <c r="EP13">
        <f>CX14-Table2[[#This Row],[6F3 ACBD -1 (First floor AC)]]</f>
        <v>23.734400000001187</v>
      </c>
      <c r="EQ13">
        <f>CY14-Table2[[#This Row],[6F4 ACBD - 2 (Second &amp; Third floor AC)]]</f>
        <v>137.6480000000156</v>
      </c>
      <c r="ER13">
        <f>(BC14-Table2[[#This Row],[4F Old BMC cooling Unit]])</f>
        <v>0</v>
      </c>
      <c r="ES13">
        <f>BO14-Table2[[#This Row],[2F4 - Old BMC]]</f>
        <v>0</v>
      </c>
      <c r="ET13">
        <f>Y14-Table2[[#This Row],[14F2 New CK]]</f>
        <v>1980.7199999999721</v>
      </c>
      <c r="EU13">
        <f>(CL14-Table2[[#This Row],[OLD Ck Panel-1]])*1000</f>
        <v>692.99999999998363</v>
      </c>
      <c r="EV13">
        <f>CM14-Table2[[#This Row],[2F4 Old CK Blast (Blue star)]]</f>
        <v>0</v>
      </c>
      <c r="EW13">
        <f>CN14-Table2[[#This Row],[3F6 Old CK Blast (Carrier)]]</f>
        <v>548.80000000000291</v>
      </c>
      <c r="EX13">
        <f>(CO14-Table2[[#This Row],[Old CK Panel -2]])*1000</f>
        <v>1208.9999999998327</v>
      </c>
      <c r="EY13">
        <f>N14-Table2[[#This Row],[4F1 Main UPS 1/C -1]]</f>
        <v>1022.2400000002235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34.999999999996589</v>
      </c>
      <c r="FC13">
        <f>BW14-Table2[[#This Row],[7F3 CLC Power Panel]]</f>
        <v>236.8640000000596</v>
      </c>
      <c r="FD13">
        <f>(CI14-Table2[[#This Row],[PDB - 17 CLC Section ]])*1000</f>
        <v>141.99999999999591</v>
      </c>
      <c r="FE13">
        <f>(W14-Table2[[#This Row],[13F3 Water &amp; Lift Old CK]])*1000</f>
        <v>1011.7000000000189</v>
      </c>
      <c r="FF13">
        <f>AA14-Table2[[#This Row],[15F2 New ETP Panel]]</f>
        <v>285.7599999998929</v>
      </c>
      <c r="FG13">
        <f>AL14-Table2[[#This Row],[3F4 Old ETP Panel]]</f>
        <v>97.28000000002794</v>
      </c>
      <c r="FH13">
        <f>AF14-Table2[[#This Row],[2F1 RO Plant]]</f>
        <v>586.88000000000466</v>
      </c>
      <c r="FI13">
        <f>AK14-Table2[[#This Row],[3F3 Fire Hydrant Panel]]</f>
        <v>8.4799999999959255</v>
      </c>
      <c r="FJ13">
        <f>R14-Table2[[#This Row],[7F1 Freon System Panel]]</f>
        <v>6206.7199999997392</v>
      </c>
      <c r="FK13">
        <f>(AE14-Table2[[#This Row],[21F1 Refrigeration Ammonia]])*1000</f>
        <v>7725.5999999997584</v>
      </c>
      <c r="FL13">
        <f>(AG14-Table2[[#This Row],[2F3 Air Compressor]])*1000</f>
        <v>1242.9999999999382</v>
      </c>
      <c r="FM13">
        <f>(AX14-Table2[[#This Row],[Solar Reading Panel II]])*1000</f>
        <v>1876.0000000002037</v>
      </c>
      <c r="FN13">
        <f>AI14-Table2[[#This Row],[3F1 Maintenance Workshop]]</f>
        <v>4.1280000000006112</v>
      </c>
      <c r="FO13">
        <f>BD14-Table2[[#This Row],[4F B2B unit ]]</f>
        <v>72</v>
      </c>
      <c r="FP13">
        <f>BL14-Table2[[#This Row],[2F1 - PDB 6 - Bread, B2B section]]</f>
        <v>407.04640000000654</v>
      </c>
      <c r="FQ13">
        <f>(CG14-Table2[[#This Row],[9F5 - PDB 14 - Bread Lift]])</f>
        <v>0.6879999999946449</v>
      </c>
      <c r="FR13">
        <f>CJ14-Table2[[#This Row],[PDB - 16 Bread Section]]</f>
        <v>0</v>
      </c>
      <c r="FS13">
        <f>BU14-Table2[[#This Row],[7F1 Donut Production area]]</f>
        <v>161.92000000004191</v>
      </c>
      <c r="FT13">
        <f>CB14-Table2[[#This Row],[8F5 Donut Ban Bary]]</f>
        <v>33.528000000005704</v>
      </c>
      <c r="FU13">
        <f>CF14-Table2[[#This Row],[9F4 - PDB 13 - Donut Sink Geyser area]]</f>
        <v>16.239999999990687</v>
      </c>
      <c r="FV13">
        <f>BV14-Table2[[#This Row],[7F2 Flour Silo]]</f>
        <v>640.23999999999069</v>
      </c>
      <c r="FW13">
        <f>BY14-Table2[[#This Row],[8F2 ACPDB - 3 SILO Ventilation]]</f>
        <v>41.904000000009546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>
      <c r="A14" s="65">
        <v>85</v>
      </c>
      <c r="B14" s="55">
        <v>46277.389976851853</v>
      </c>
      <c r="C14" s="55">
        <v>46277.423055555555</v>
      </c>
      <c r="D14" s="65" t="s">
        <v>111</v>
      </c>
      <c r="E14" s="54"/>
      <c r="F14" s="54"/>
      <c r="G14" s="68">
        <v>46277</v>
      </c>
      <c r="H14" s="54" t="s">
        <v>182</v>
      </c>
      <c r="I14" s="56">
        <v>8429.9120000000003</v>
      </c>
      <c r="J14" s="56">
        <v>4280.7</v>
      </c>
      <c r="K14" s="56">
        <v>1779303</v>
      </c>
      <c r="L14" s="56">
        <v>460</v>
      </c>
      <c r="M14" s="56">
        <v>193.56</v>
      </c>
      <c r="N14" s="56">
        <v>1906281.12</v>
      </c>
      <c r="O14" s="56">
        <v>4674112</v>
      </c>
      <c r="P14" s="56">
        <v>660430.848</v>
      </c>
      <c r="Q14" s="56">
        <v>8200478.7199999997</v>
      </c>
      <c r="R14" s="56">
        <v>5755530.8799999999</v>
      </c>
      <c r="S14" s="56">
        <v>7501258.2400000002</v>
      </c>
      <c r="T14" s="56">
        <v>43242528.284999996</v>
      </c>
      <c r="U14" s="56">
        <v>2157103.52</v>
      </c>
      <c r="V14" s="56">
        <v>5182242.5599999996</v>
      </c>
      <c r="W14" s="56">
        <v>1623.8317</v>
      </c>
      <c r="X14" s="56">
        <v>784928.70400000003</v>
      </c>
      <c r="Y14" s="56">
        <v>1149232.8799999999</v>
      </c>
      <c r="Z14" s="56">
        <v>2777.8894</v>
      </c>
      <c r="AA14" s="56">
        <v>679632.89599999995</v>
      </c>
      <c r="AB14" s="56">
        <v>422457.696</v>
      </c>
      <c r="AC14" s="56">
        <v>2166428.7999999998</v>
      </c>
      <c r="AD14" s="56">
        <v>4604279.4309999999</v>
      </c>
      <c r="AE14" s="56">
        <v>13093.316800000001</v>
      </c>
      <c r="AF14" s="56">
        <v>898081.47199999995</v>
      </c>
      <c r="AG14" s="56">
        <v>1448.192</v>
      </c>
      <c r="AH14" s="56">
        <v>137905.77600000001</v>
      </c>
      <c r="AI14" s="56">
        <v>14825.830400000001</v>
      </c>
      <c r="AJ14" s="56">
        <v>145422.592</v>
      </c>
      <c r="AK14" s="56">
        <v>105663.064</v>
      </c>
      <c r="AL14" s="56">
        <v>333521.79200000002</v>
      </c>
      <c r="AM14" s="56">
        <v>1016.128</v>
      </c>
      <c r="AN14" s="56">
        <v>310.89999999999998</v>
      </c>
      <c r="AO14" s="56">
        <v>7.6</v>
      </c>
      <c r="AP14" s="56">
        <v>859031</v>
      </c>
      <c r="AQ14" s="56">
        <v>43047</v>
      </c>
      <c r="AR14" s="56">
        <v>42502</v>
      </c>
      <c r="AS14" s="56">
        <v>32432</v>
      </c>
      <c r="AT14" s="56">
        <v>22148</v>
      </c>
      <c r="AU14" s="56">
        <v>16534</v>
      </c>
      <c r="AV14" s="56">
        <v>6953</v>
      </c>
      <c r="AW14" s="56">
        <v>21.203464</v>
      </c>
      <c r="AX14" s="56">
        <v>7333.7960000000003</v>
      </c>
      <c r="AY14" s="56">
        <v>684.52336000000003</v>
      </c>
      <c r="AZ14" s="56">
        <v>20.788</v>
      </c>
      <c r="BA14" s="56">
        <v>11.132</v>
      </c>
      <c r="BB14" s="56">
        <v>46.357999999999997</v>
      </c>
      <c r="BC14" s="56">
        <v>114029.064</v>
      </c>
      <c r="BD14" s="56">
        <v>277980.44799999997</v>
      </c>
      <c r="BE14" s="56">
        <v>3775.4068000000002</v>
      </c>
      <c r="BF14" s="56">
        <v>1714.182</v>
      </c>
      <c r="BG14" s="56">
        <v>76.259</v>
      </c>
      <c r="BH14" s="56">
        <v>379.33100000000002</v>
      </c>
      <c r="BI14" s="56">
        <v>934.34</v>
      </c>
      <c r="BJ14" s="56">
        <v>16.567</v>
      </c>
      <c r="BK14" s="56">
        <v>574.93600000000004</v>
      </c>
      <c r="BL14" s="56">
        <v>81267.404800000004</v>
      </c>
      <c r="BM14" s="56">
        <v>330235.96799999999</v>
      </c>
      <c r="BN14" s="56">
        <v>7347.7111999999997</v>
      </c>
      <c r="BO14" s="56">
        <v>53589.132799999999</v>
      </c>
      <c r="BP14" s="56">
        <v>318602.81599999999</v>
      </c>
      <c r="BQ14" s="56">
        <v>334.75</v>
      </c>
      <c r="BR14" s="56">
        <v>186.69800000000001</v>
      </c>
      <c r="BS14" s="56">
        <v>1065639.2490000001</v>
      </c>
      <c r="BT14" s="56">
        <v>1400633.3259999999</v>
      </c>
      <c r="BU14" s="56">
        <v>637188.03200000001</v>
      </c>
      <c r="BV14" s="56">
        <v>1044652.16</v>
      </c>
      <c r="BW14" s="56">
        <v>578246.52800000005</v>
      </c>
      <c r="BX14" s="56">
        <v>1070622.24</v>
      </c>
      <c r="BY14" s="56">
        <v>159575.31200000001</v>
      </c>
      <c r="BZ14" s="56">
        <v>115221.712</v>
      </c>
      <c r="CA14" s="56">
        <v>1244.5895</v>
      </c>
      <c r="CB14" s="56">
        <v>110231.36</v>
      </c>
      <c r="CC14" s="56">
        <v>155368.64000000001</v>
      </c>
      <c r="CD14" s="56">
        <v>454322.14399999997</v>
      </c>
      <c r="CE14" s="56">
        <v>49353.699200000003</v>
      </c>
      <c r="CF14" s="56">
        <v>156980.81599999999</v>
      </c>
      <c r="CG14" s="56">
        <v>36103.862399999998</v>
      </c>
      <c r="CH14" s="56">
        <v>2385.8710000000001</v>
      </c>
      <c r="CI14" s="56">
        <v>220.626</v>
      </c>
      <c r="CJ14" s="56">
        <v>1191.5999999999999</v>
      </c>
      <c r="CK14" s="56">
        <v>79.903000000000006</v>
      </c>
      <c r="CL14" s="56">
        <v>757.26499999999999</v>
      </c>
      <c r="CM14" s="56">
        <v>551.4</v>
      </c>
      <c r="CN14" s="56">
        <v>63737.3</v>
      </c>
      <c r="CO14" s="56">
        <v>1698.7449999999999</v>
      </c>
      <c r="CP14" s="56">
        <v>303098.63699999999</v>
      </c>
      <c r="CQ14" s="56">
        <v>3736444.16</v>
      </c>
      <c r="CR14" s="56">
        <v>133670.34400000001</v>
      </c>
      <c r="CS14" s="56">
        <v>527540.80000000005</v>
      </c>
      <c r="CT14" s="56">
        <v>3076287.9249999998</v>
      </c>
      <c r="CU14" s="56">
        <v>310151.92499999999</v>
      </c>
      <c r="CV14" s="56">
        <v>30268.454399999999</v>
      </c>
      <c r="CW14" s="56">
        <v>63795.379200000003</v>
      </c>
      <c r="CX14" s="56">
        <v>33744.7552</v>
      </c>
      <c r="CY14" s="56">
        <v>173031.74400000001</v>
      </c>
      <c r="CZ14" s="56">
        <v>221410.17600000001</v>
      </c>
      <c r="DA14" s="56">
        <v>19508.62</v>
      </c>
      <c r="DB14" s="56">
        <v>154576.19399999999</v>
      </c>
      <c r="DC14" s="56">
        <v>3297.13</v>
      </c>
      <c r="DD14" s="56">
        <v>3297.02</v>
      </c>
      <c r="DE14" s="56">
        <v>3327.46</v>
      </c>
      <c r="DF14" s="56">
        <v>0.997</v>
      </c>
      <c r="DG14" s="54" t="s">
        <v>224</v>
      </c>
      <c r="DH14" s="2">
        <f>Table2[[#This Row],[Date]]</f>
        <v>46277</v>
      </c>
      <c r="DI14">
        <f>(DD15-Table2[[#This Row],[MWH Total]])*4000</f>
        <v>23600.000000000364</v>
      </c>
      <c r="DJ14">
        <f>(DA15-Table2[[#This Row],[PNG Meter (Outside)]])*2.936</f>
        <v>14.503840000006836</v>
      </c>
      <c r="DK14">
        <f>(DB15-Table2[[#This Row],[PNG Meter (Inside)]])*2.936</f>
        <v>210.51413600000274</v>
      </c>
      <c r="DL14">
        <f>(BH15-Table2[[#This Row],[3F Dough cooler - 2 ]])*1000</f>
        <v>362.99999999999955</v>
      </c>
      <c r="DM14">
        <f>(BI15-Table2[[#This Row],[3F Dough Cooler- 1]])*1000</f>
        <v>394.00000000000546</v>
      </c>
      <c r="DN14">
        <f>(BJ15-Table2[[#This Row],[4F Dough Production cooling Unit]])*1000</f>
        <v>21.999999999998465</v>
      </c>
      <c r="DO14">
        <f>(BQ15-Table2[[#This Row],[3F2 - PDB 3 - Dough Production Area]])*1000</f>
        <v>168.99999999998272</v>
      </c>
      <c r="DP14">
        <f>(BR15-Table2[[#This Row],[3F3 - PDB 4 - Dough Area]])*1000</f>
        <v>90.999999999979764</v>
      </c>
      <c r="DQ14">
        <f>AC15-Table2[[#This Row],[16F1 Tray washer Panel for Light]]</f>
        <v>556.16000000014901</v>
      </c>
      <c r="DR14">
        <f>CQ15-Table2[[#This Row],[2F1 Tray Washer - 1]]</f>
        <v>903.04000000003725</v>
      </c>
      <c r="DS14">
        <f>CS15-Table2[[#This Row],[2F5 Destacker]]</f>
        <v>221.50399999995716</v>
      </c>
      <c r="DT14">
        <f>CU15-Table2[[#This Row],[5F1 Metering (TW-2)]]</f>
        <v>233.58699999999953</v>
      </c>
      <c r="DU14">
        <f>CV15-Table2[[#This Row],[6F1 Pre soaker Tray washer]]</f>
        <v>0</v>
      </c>
      <c r="DV14">
        <f>CZ15-Table2[[#This Row],[6F5 Vent tray Storage]]</f>
        <v>54.399999999994179</v>
      </c>
      <c r="DW14">
        <f>I15-Table2[[#This Row],[Popeyes Meter ]]</f>
        <v>39.079999999999927</v>
      </c>
      <c r="DX14">
        <f>AZ15-Table2[[#This Row],[2F WH Chiller, Segregation Area]]</f>
        <v>0</v>
      </c>
      <c r="DY14">
        <f>BA15-Table2[[#This Row],[3F1 AC Unit WH dock cooling - 2 Nos]]</f>
        <v>1.699999999999946E-2</v>
      </c>
      <c r="DZ14">
        <f>BB15-Table2[[#This Row],[3F2 AC Unit WH dock cooling - 3 Nos]]</f>
        <v>3.7000000000006139E-2</v>
      </c>
      <c r="EA14">
        <f>(BK15-Table2[[#This Row],[5F WH Perishable]])*1000</f>
        <v>226.99999999997544</v>
      </c>
      <c r="EB14">
        <f>BN15-Table2[[#This Row],[2F3 - PDB 9 - WH Dock Leveler Door ]]</f>
        <v>3.535200000000259</v>
      </c>
      <c r="EC14">
        <f>BP15-Table2[[#This Row],[3F1 - PDB 5 - WH HSD]]</f>
        <v>91.232000000018161</v>
      </c>
      <c r="ED14">
        <f>BX15-Table2[[#This Row],[8F1 WH Dock AHU - Ventilation]]</f>
        <v>1173.3100000000559</v>
      </c>
      <c r="EE14">
        <f>BZ15-Table2[[#This Row],[8F3 ACPDB - 4 WH Dock air curtain]]</f>
        <v>15.144000000000233</v>
      </c>
      <c r="EF14">
        <f>CA15-Table2[[#This Row],[8F4 WH Light]]</f>
        <v>0</v>
      </c>
      <c r="EG14">
        <f>CC15-Table2[[#This Row],[9F1 - PDB 10 - WH Dock door &amp; Office]]</f>
        <v>122.14400000000023</v>
      </c>
      <c r="EH14">
        <f>CD15-Table2[[#This Row],[9F2 - PDB 11 - WH flycatchers]]</f>
        <v>129.92000000004191</v>
      </c>
      <c r="EI14">
        <f>CE15-Table2[[#This Row],[9F3 - PDB 12 - Other items]]</f>
        <v>3.3983999999982188</v>
      </c>
      <c r="EJ14">
        <f>CR15-Table2[[#This Row],[2F3 - PDB 1 - Dock 1 to 4 ]]</f>
        <v>46.495999999984633</v>
      </c>
      <c r="EK14">
        <f>BM15-Table2[[#This Row],[2F2 - PDB 3 - WH Truck &amp; Battery Charging]]</f>
        <v>530.14400000002934</v>
      </c>
      <c r="EL14">
        <f>(CK15-Table2[[#This Row],[PDB - 11 Truck Charging]])*1000</f>
        <v>27.999999999991587</v>
      </c>
      <c r="EM14" s="1">
        <f>P15-Table2[[#This Row],[5F3 Admin Area]]</f>
        <v>307.6480000000447</v>
      </c>
      <c r="EN14">
        <f>AH15-Table2[[#This Row],[2F5 Main Gate-1 Piller -1]]</f>
        <v>110.39999999999418</v>
      </c>
      <c r="EO14">
        <f>CW15-Table2[[#This Row],[6F2 Ground Floor AC]]</f>
        <v>23.622400000000198</v>
      </c>
      <c r="EP14">
        <f>CX15-Table2[[#This Row],[6F3 ACBD -1 (First floor AC)]]</f>
        <v>18.339200000002165</v>
      </c>
      <c r="EQ14">
        <f>CY15-Table2[[#This Row],[6F4 ACBD - 2 (Second &amp; Third floor AC)]]</f>
        <v>110.81599999999162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1660.0800000000745</v>
      </c>
      <c r="EU14">
        <f>(CL15-Table2[[#This Row],[OLD Ck Panel-1]])*1000</f>
        <v>541.00000000005366</v>
      </c>
      <c r="EV14">
        <f>CM15-Table2[[#This Row],[2F4 Old CK Blast (Blue star)]]</f>
        <v>0</v>
      </c>
      <c r="EW14">
        <f>CN15-Table2[[#This Row],[3F6 Old CK Blast (Carrier)]]</f>
        <v>465.69999999999709</v>
      </c>
      <c r="EX14">
        <f>(CO15-Table2[[#This Row],[Old CK Panel -2]])*1000</f>
        <v>1215.0000000001455</v>
      </c>
      <c r="EY14">
        <f>N15-Table2[[#This Row],[4F1 Main UPS 1/C -1]]</f>
        <v>819.03999999980442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25.999999999996248</v>
      </c>
      <c r="FC14">
        <f>BW15-Table2[[#This Row],[7F3 CLC Power Panel]]</f>
        <v>170.43199999991339</v>
      </c>
      <c r="FD14">
        <f>(CI15-Table2[[#This Row],[PDB - 17 CLC Section ]])*1000</f>
        <v>94.999999999998863</v>
      </c>
      <c r="FE14">
        <f>(W15-Table2[[#This Row],[13F3 Water &amp; Lift Old CK]])*1000</f>
        <v>930.29999999998836</v>
      </c>
      <c r="FF14">
        <f>AA15-Table2[[#This Row],[15F2 New ETP Panel]]</f>
        <v>266.56000000005588</v>
      </c>
      <c r="FG14">
        <f>AL15-Table2[[#This Row],[3F4 Old ETP Panel]]</f>
        <v>89.023999999975786</v>
      </c>
      <c r="FH14">
        <f>AF15-Table2[[#This Row],[2F1 RO Plant]]</f>
        <v>497.53600000008009</v>
      </c>
      <c r="FI14">
        <f>AK15-Table2[[#This Row],[3F3 Fire Hydrant Panel]]</f>
        <v>7.407999999995809</v>
      </c>
      <c r="FJ14">
        <f>R15-Table2[[#This Row],[7F1 Freon System Panel]]</f>
        <v>5537.2800000002608</v>
      </c>
      <c r="FK14">
        <f>(AE15-Table2[[#This Row],[21F1 Refrigeration Ammonia]])*1000</f>
        <v>6391.2000000000262</v>
      </c>
      <c r="FL14">
        <f>(AG15-Table2[[#This Row],[2F3 Air Compressor]])*1000</f>
        <v>1081.9999999998799</v>
      </c>
      <c r="FM14">
        <f>(AX15-Table2[[#This Row],[Solar Reading Panel II]])*1000</f>
        <v>2469.9999999993452</v>
      </c>
      <c r="FN14">
        <f>AI15-Table2[[#This Row],[3F1 Maintenance Workshop]]</f>
        <v>2.7391999999999825</v>
      </c>
      <c r="FO14">
        <f>BD15-Table2[[#This Row],[4F B2B unit ]]</f>
        <v>49.312000000034459</v>
      </c>
      <c r="FP14">
        <f>BL15-Table2[[#This Row],[2F1 - PDB 6 - Bread, B2B section]]</f>
        <v>195.43679999999586</v>
      </c>
      <c r="FQ14">
        <f>(CG15-Table2[[#This Row],[9F5 - PDB 14 - Bread Lift]])</f>
        <v>0.64040000000386499</v>
      </c>
      <c r="FR14">
        <f>CJ15-Table2[[#This Row],[PDB - 16 Bread Section]]</f>
        <v>0</v>
      </c>
      <c r="FS14">
        <f>BU15-Table2[[#This Row],[7F1 Donut Production area]]</f>
        <v>138.17599999997765</v>
      </c>
      <c r="FT14">
        <f>CB15-Table2[[#This Row],[8F5 Donut Ban Bary]]</f>
        <v>14.224000000001979</v>
      </c>
      <c r="FU14">
        <f>CF15-Table2[[#This Row],[9F4 - PDB 13 - Donut Sink Geyser area]]</f>
        <v>37.936000000016065</v>
      </c>
      <c r="FV14">
        <f>BV15-Table2[[#This Row],[7F2 Flour Silo]]</f>
        <v>339.03999999992084</v>
      </c>
      <c r="FW14">
        <f>BY15-Table2[[#This Row],[8F2 ACPDB - 3 SILO Ventilation]]</f>
        <v>32.975999999995111</v>
      </c>
      <c r="FX14">
        <f>J15-Table2[[#This Row],[DG 1010KVA Running Hours]]</f>
        <v>0</v>
      </c>
      <c r="FY14">
        <f>K15-Table2[[#This Row],[DG 1010 KVA Meter Reading]]</f>
        <v>81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>
      <c r="A15" s="65">
        <v>87</v>
      </c>
      <c r="B15" s="55">
        <v>46279.451898148145</v>
      </c>
      <c r="C15" s="55">
        <v>46279.470312500001</v>
      </c>
      <c r="D15" s="65" t="s">
        <v>111</v>
      </c>
      <c r="E15" s="54"/>
      <c r="F15" s="54"/>
      <c r="G15" s="68">
        <v>46278</v>
      </c>
      <c r="H15" s="54" t="s">
        <v>182</v>
      </c>
      <c r="I15" s="56">
        <v>8468.9920000000002</v>
      </c>
      <c r="J15" s="56">
        <v>4280.7</v>
      </c>
      <c r="K15" s="56">
        <v>1779384</v>
      </c>
      <c r="L15" s="56">
        <v>460</v>
      </c>
      <c r="M15" s="56">
        <v>193.56</v>
      </c>
      <c r="N15" s="56">
        <v>1907100.16</v>
      </c>
      <c r="O15" s="56">
        <v>4675806.4000000004</v>
      </c>
      <c r="P15" s="56">
        <v>660738.49600000004</v>
      </c>
      <c r="Q15" s="56">
        <v>8203500.7999999998</v>
      </c>
      <c r="R15" s="56">
        <v>5761068.1600000001</v>
      </c>
      <c r="S15" s="56">
        <v>7504056.3200000003</v>
      </c>
      <c r="T15" s="56">
        <v>43253294.306999996</v>
      </c>
      <c r="U15" s="56">
        <v>2158346.7200000002</v>
      </c>
      <c r="V15" s="56">
        <v>5183741.4400000004</v>
      </c>
      <c r="W15" s="56">
        <v>1624.7619999999999</v>
      </c>
      <c r="X15" s="56">
        <v>785175.10400000005</v>
      </c>
      <c r="Y15" s="56">
        <v>1150892.96</v>
      </c>
      <c r="Z15" s="56">
        <v>2777.8894</v>
      </c>
      <c r="AA15" s="56">
        <v>679899.45600000001</v>
      </c>
      <c r="AB15" s="56">
        <v>422494.49599999998</v>
      </c>
      <c r="AC15" s="56">
        <v>2166984.96</v>
      </c>
      <c r="AD15" s="56">
        <v>3069251.125</v>
      </c>
      <c r="AE15" s="56">
        <v>13099.708000000001</v>
      </c>
      <c r="AF15" s="56">
        <v>898579.00800000003</v>
      </c>
      <c r="AG15" s="56">
        <v>1449.2739999999999</v>
      </c>
      <c r="AH15" s="56">
        <v>138016.17600000001</v>
      </c>
      <c r="AI15" s="56">
        <v>14828.569600000001</v>
      </c>
      <c r="AJ15" s="56">
        <v>145423.50399999999</v>
      </c>
      <c r="AK15" s="56">
        <v>105670.47199999999</v>
      </c>
      <c r="AL15" s="56">
        <v>333610.81599999999</v>
      </c>
      <c r="AM15" s="56">
        <v>1016.6369999999999</v>
      </c>
      <c r="AN15" s="56">
        <v>185.8</v>
      </c>
      <c r="AO15" s="56">
        <v>6.8</v>
      </c>
      <c r="AP15" s="56">
        <v>867283</v>
      </c>
      <c r="AQ15" s="56">
        <v>43067</v>
      </c>
      <c r="AR15" s="56">
        <v>42522</v>
      </c>
      <c r="AS15" s="56">
        <v>32432</v>
      </c>
      <c r="AT15" s="56">
        <v>22148</v>
      </c>
      <c r="AU15" s="56">
        <v>16554</v>
      </c>
      <c r="AV15" s="56">
        <v>6962</v>
      </c>
      <c r="AW15" s="56">
        <v>21.209522</v>
      </c>
      <c r="AX15" s="56">
        <v>7336.2659999999996</v>
      </c>
      <c r="AY15" s="56">
        <v>684.6508</v>
      </c>
      <c r="AZ15" s="56">
        <v>20.788</v>
      </c>
      <c r="BA15" s="56">
        <v>11.148999999999999</v>
      </c>
      <c r="BB15" s="56">
        <v>46.395000000000003</v>
      </c>
      <c r="BC15" s="56">
        <v>114029.064</v>
      </c>
      <c r="BD15" s="56">
        <v>278029.76</v>
      </c>
      <c r="BE15" s="56">
        <v>3776.4596000000001</v>
      </c>
      <c r="BF15" s="56">
        <v>1714.182</v>
      </c>
      <c r="BG15" s="56">
        <v>76.284999999999997</v>
      </c>
      <c r="BH15" s="56">
        <v>379.69400000000002</v>
      </c>
      <c r="BI15" s="56">
        <v>934.73400000000004</v>
      </c>
      <c r="BJ15" s="56">
        <v>16.588999999999999</v>
      </c>
      <c r="BK15" s="56">
        <v>575.16300000000001</v>
      </c>
      <c r="BL15" s="56">
        <v>81462.8416</v>
      </c>
      <c r="BM15" s="56">
        <v>330766.11200000002</v>
      </c>
      <c r="BN15" s="56">
        <v>7351.2464</v>
      </c>
      <c r="BO15" s="56">
        <v>53589.132799999999</v>
      </c>
      <c r="BP15" s="56">
        <v>318694.04800000001</v>
      </c>
      <c r="BQ15" s="56">
        <v>334.91899999999998</v>
      </c>
      <c r="BR15" s="56">
        <v>186.78899999999999</v>
      </c>
      <c r="BS15" s="56">
        <v>1066817.246</v>
      </c>
      <c r="BT15" s="56">
        <v>1400633.575</v>
      </c>
      <c r="BU15" s="56">
        <v>637326.20799999998</v>
      </c>
      <c r="BV15" s="56">
        <v>1044991.2</v>
      </c>
      <c r="BW15" s="56">
        <v>578416.96</v>
      </c>
      <c r="BX15" s="56">
        <v>1071795.55</v>
      </c>
      <c r="BY15" s="56">
        <v>159608.288</v>
      </c>
      <c r="BZ15" s="56">
        <v>115236.856</v>
      </c>
      <c r="CA15" s="56">
        <v>1244.5895</v>
      </c>
      <c r="CB15" s="56">
        <v>110245.584</v>
      </c>
      <c r="CC15" s="56">
        <v>155490.78400000001</v>
      </c>
      <c r="CD15" s="56">
        <v>454452.06400000001</v>
      </c>
      <c r="CE15" s="56">
        <v>49357.097600000001</v>
      </c>
      <c r="CF15" s="56">
        <v>157018.75200000001</v>
      </c>
      <c r="CG15" s="56">
        <v>36104.502800000002</v>
      </c>
      <c r="CH15" s="56">
        <v>2385.8710000000001</v>
      </c>
      <c r="CI15" s="56">
        <v>220.721</v>
      </c>
      <c r="CJ15" s="56">
        <v>1191.5999999999999</v>
      </c>
      <c r="CK15" s="56">
        <v>79.930999999999997</v>
      </c>
      <c r="CL15" s="56">
        <v>757.80600000000004</v>
      </c>
      <c r="CM15" s="56">
        <v>551.4</v>
      </c>
      <c r="CN15" s="56">
        <v>64203</v>
      </c>
      <c r="CO15" s="56">
        <v>1699.96</v>
      </c>
      <c r="CP15" s="56">
        <v>303272.114</v>
      </c>
      <c r="CQ15" s="56">
        <v>3737347.2</v>
      </c>
      <c r="CR15" s="56">
        <v>133716.84</v>
      </c>
      <c r="CS15" s="56">
        <v>527762.304</v>
      </c>
      <c r="CT15" s="56">
        <v>3078956.97</v>
      </c>
      <c r="CU15" s="56">
        <v>310385.51199999999</v>
      </c>
      <c r="CV15" s="56">
        <v>30268.454399999999</v>
      </c>
      <c r="CW15" s="56">
        <v>63819.001600000003</v>
      </c>
      <c r="CX15" s="56">
        <v>33763.094400000002</v>
      </c>
      <c r="CY15" s="56">
        <v>173142.56</v>
      </c>
      <c r="CZ15" s="56">
        <v>221464.576</v>
      </c>
      <c r="DA15" s="56">
        <v>19513.560000000001</v>
      </c>
      <c r="DB15" s="56">
        <v>154647.89499999999</v>
      </c>
      <c r="DC15" s="56">
        <v>3304.05</v>
      </c>
      <c r="DD15" s="56">
        <v>3302.92</v>
      </c>
      <c r="DE15" s="56">
        <v>3334.43</v>
      </c>
      <c r="DF15" s="56">
        <v>0.98899999999999999</v>
      </c>
      <c r="DG15" s="54" t="s">
        <v>226</v>
      </c>
      <c r="DH15" s="2">
        <f>Table2[[#This Row],[Date]]</f>
        <v>46278</v>
      </c>
      <c r="DI15">
        <f>(DD16-Table2[[#This Row],[MWH Total]])*4000</f>
        <v>24680.000000000291</v>
      </c>
      <c r="DJ15">
        <f>(DA16-Table2[[#This Row],[PNG Meter (Outside)]])*2.936</f>
        <v>74.985439999991883</v>
      </c>
      <c r="DK15">
        <f>(DB16-Table2[[#This Row],[PNG Meter (Inside)]])*2.936</f>
        <v>233.23584000000682</v>
      </c>
      <c r="DL15">
        <f>(BH16-Table2[[#This Row],[3F Dough cooler - 2 ]])*1000</f>
        <v>298.00000000000182</v>
      </c>
      <c r="DM15">
        <f>(BI16-Table2[[#This Row],[3F Dough Cooler- 1]])*1000</f>
        <v>596.99999999997999</v>
      </c>
      <c r="DN15">
        <f>(BJ16-Table2[[#This Row],[4F Dough Production cooling Unit]])*1000</f>
        <v>51.999999999999602</v>
      </c>
      <c r="DO15">
        <f>(BQ16-Table2[[#This Row],[3F2 - PDB 3 - Dough Production Area]])*1000</f>
        <v>225.00000000002274</v>
      </c>
      <c r="DP15">
        <f>(BR16-Table2[[#This Row],[3F3 - PDB 4 - Dough Area]])*1000</f>
        <v>123.00000000001887</v>
      </c>
      <c r="DQ15">
        <f>AC16-Table2[[#This Row],[16F1 Tray washer Panel for Light]]</f>
        <v>724.47999999998137</v>
      </c>
      <c r="DR15">
        <f>CQ16-Table2[[#This Row],[2F1 Tray Washer - 1]]</f>
        <v>1279.679999999702</v>
      </c>
      <c r="DS15">
        <f>CS16-Table2[[#This Row],[2F5 Destacker]]</f>
        <v>354.14399999997113</v>
      </c>
      <c r="DT15">
        <f>CU16-Table2[[#This Row],[5F1 Metering (TW-2)]]</f>
        <v>312.60500000003958</v>
      </c>
      <c r="DU15">
        <f>CV16-Table2[[#This Row],[6F1 Pre soaker Tray washer]]</f>
        <v>0</v>
      </c>
      <c r="DV15">
        <f>CZ16-Table2[[#This Row],[6F5 Vent tray Storage]]</f>
        <v>45.920000000012806</v>
      </c>
      <c r="DW15">
        <f>I16-Table2[[#This Row],[Popeyes Meter ]]</f>
        <v>99.489999999999782</v>
      </c>
      <c r="DX15">
        <f>AZ16-Table2[[#This Row],[2F WH Chiller, Segregation Area]]</f>
        <v>0</v>
      </c>
      <c r="DY15">
        <f>BA16-Table2[[#This Row],[3F1 AC Unit WH dock cooling - 2 Nos]]</f>
        <v>2.3000000000001464E-2</v>
      </c>
      <c r="DZ15">
        <f>BB16-Table2[[#This Row],[3F2 AC Unit WH dock cooling - 3 Nos]]</f>
        <v>4.49999999999946E-2</v>
      </c>
      <c r="EA15">
        <f>(BK16-Table2[[#This Row],[5F WH Perishable]])*1000</f>
        <v>343.99999999993724</v>
      </c>
      <c r="EB15">
        <f>BN16-Table2[[#This Row],[2F3 - PDB 9 - WH Dock Leveler Door ]]</f>
        <v>5.4967999999998938</v>
      </c>
      <c r="EC15">
        <f>BP16-Table2[[#This Row],[3F1 - PDB 5 - WH HSD]]</f>
        <v>103.20000000001164</v>
      </c>
      <c r="ED15">
        <f>BX16-Table2[[#This Row],[8F1 WH Dock AHU - Ventilation]]</f>
        <v>1754.4499999999534</v>
      </c>
      <c r="EE15">
        <f>BZ16-Table2[[#This Row],[8F3 ACPDB - 4 WH Dock air curtain]]</f>
        <v>22.855999999999767</v>
      </c>
      <c r="EF15">
        <f>CA16-Table2[[#This Row],[8F4 WH Light]]</f>
        <v>0</v>
      </c>
      <c r="EG15">
        <f>CC16-Table2[[#This Row],[9F1 - PDB 10 - WH Dock door &amp; Office]]</f>
        <v>162.57599999997183</v>
      </c>
      <c r="EH15">
        <f>CD16-Table2[[#This Row],[9F2 - PDB 11 - WH flycatchers]]</f>
        <v>76.479999999981374</v>
      </c>
      <c r="EI15">
        <f>CE16-Table2[[#This Row],[9F3 - PDB 12 - Other items]]</f>
        <v>5.2607999999963795</v>
      </c>
      <c r="EJ15">
        <f>CR16-Table2[[#This Row],[2F3 - PDB 1 - Dock 1 to 4 ]]</f>
        <v>67.391999999992549</v>
      </c>
      <c r="EK15">
        <f>BM16-Table2[[#This Row],[2F2 - PDB 3 - WH Truck &amp; Battery Charging]]</f>
        <v>451.58399999997346</v>
      </c>
      <c r="EL15">
        <f>(CK16-Table2[[#This Row],[PDB - 11 Truck Charging]])*1000</f>
        <v>16.000000000005343</v>
      </c>
      <c r="EM15" s="1">
        <f>P16-Table2[[#This Row],[5F3 Admin Area]]</f>
        <v>361.08799999998882</v>
      </c>
      <c r="EN15">
        <f>AH16-Table2[[#This Row],[2F5 Main Gate-1 Piller -1]]</f>
        <v>115.58400000000256</v>
      </c>
      <c r="EO15">
        <f>CW16-Table2[[#This Row],[6F2 Ground Floor AC]]</f>
        <v>31.257599999997183</v>
      </c>
      <c r="EP15">
        <f>CX16-Table2[[#This Row],[6F3 ACBD -1 (First floor AC)]]</f>
        <v>28.444799999997485</v>
      </c>
      <c r="EQ15">
        <f>CY16-Table2[[#This Row],[6F4 ACBD - 2 (Second &amp; Third floor AC)]]</f>
        <v>170.01600000000326</v>
      </c>
      <c r="ER15">
        <f>(BC16-Table2[[#This Row],[4F Old BMC cooling Unit]])</f>
        <v>0</v>
      </c>
      <c r="ES15">
        <f>BO16-Table2[[#This Row],[2F4 - Old BMC]]</f>
        <v>0</v>
      </c>
      <c r="ET15">
        <f>Y16-Table2[[#This Row],[14F2 New CK]]</f>
        <v>1220.3200000000652</v>
      </c>
      <c r="EU15">
        <f>(CL16-Table2[[#This Row],[OLD Ck Panel-1]])*1000</f>
        <v>230.99999999999454</v>
      </c>
      <c r="EV15">
        <f>CM16-Table2[[#This Row],[2F4 Old CK Blast (Blue star)]]</f>
        <v>0</v>
      </c>
      <c r="EW15">
        <f>CN16-Table2[[#This Row],[3F6 Old CK Blast (Carrier)]]</f>
        <v>190.40000000000146</v>
      </c>
      <c r="EX15">
        <f>(CO16-Table2[[#This Row],[Old CK Panel -2]])*1000</f>
        <v>793.99999999986903</v>
      </c>
      <c r="EY15">
        <f>N16-Table2[[#This Row],[4F1 Main UPS 1/C -1]]</f>
        <v>1025.440000000177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40.999999999996817</v>
      </c>
      <c r="FC15">
        <f>BW16-Table2[[#This Row],[7F3 CLC Power Panel]]</f>
        <v>189.69599999999627</v>
      </c>
      <c r="FD15">
        <f>(CI16-Table2[[#This Row],[PDB - 17 CLC Section ]])*1000</f>
        <v>138.00000000000523</v>
      </c>
      <c r="FE15">
        <f>(W16-Table2[[#This Row],[13F3 Water &amp; Lift Old CK]])*1000</f>
        <v>1809.3000000001211</v>
      </c>
      <c r="FF15">
        <f>AA16-Table2[[#This Row],[15F2 New ETP Panel]]</f>
        <v>343.10400000005029</v>
      </c>
      <c r="FG15">
        <f>AL16-Table2[[#This Row],[3F4 Old ETP Panel]]</f>
        <v>90.271999999997206</v>
      </c>
      <c r="FH15">
        <f>AF16-Table2[[#This Row],[2F1 RO Plant]]</f>
        <v>657.59999999997672</v>
      </c>
      <c r="FI15">
        <f>AK16-Table2[[#This Row],[3F3 Fire Hydrant Panel]]</f>
        <v>12.472000000008848</v>
      </c>
      <c r="FJ15">
        <f>R16-Table2[[#This Row],[7F1 Freon System Panel]]</f>
        <v>7033.5999999996275</v>
      </c>
      <c r="FK15">
        <f>(AE16-Table2[[#This Row],[21F1 Refrigeration Ammonia]])*1000</f>
        <v>7478.3999999999651</v>
      </c>
      <c r="FL15">
        <f>(AG16-Table2[[#This Row],[2F3 Air Compressor]])*1000</f>
        <v>1109.000000000151</v>
      </c>
      <c r="FM15">
        <f>(AX16-Table2[[#This Row],[Solar Reading Panel II]])*1000</f>
        <v>3958.0000000005384</v>
      </c>
      <c r="FN15">
        <f>AI16-Table2[[#This Row],[3F1 Maintenance Workshop]]</f>
        <v>2.4223999999994703</v>
      </c>
      <c r="FO15">
        <f>BD16-Table2[[#This Row],[4F B2B unit ]]</f>
        <v>32.671999999962281</v>
      </c>
      <c r="FP15">
        <f>BL16-Table2[[#This Row],[2F1 - PDB 6 - Bread, B2B section]]</f>
        <v>221.58079999999609</v>
      </c>
      <c r="FQ15">
        <f>(CG16-Table2[[#This Row],[9F5 - PDB 14 - Bread Lift]])</f>
        <v>0.2555999999967753</v>
      </c>
      <c r="FR15">
        <f>CJ16-Table2[[#This Row],[PDB - 16 Bread Section]]</f>
        <v>0</v>
      </c>
      <c r="FS15">
        <f>BU16-Table2[[#This Row],[7F1 Donut Production area]]</f>
        <v>187.39199999999255</v>
      </c>
      <c r="FT15">
        <f>CB16-Table2[[#This Row],[8F5 Donut Ban Bary]]</f>
        <v>12.599999999991269</v>
      </c>
      <c r="FU15">
        <f>CF16-Table2[[#This Row],[9F4 - PDB 13 - Donut Sink Geyser area]]</f>
        <v>37.872000000003027</v>
      </c>
      <c r="FV15">
        <f>BV16-Table2[[#This Row],[7F2 Flour Silo]]</f>
        <v>463.11999999999534</v>
      </c>
      <c r="FW15">
        <f>BY16-Table2[[#This Row],[8F2 ACPDB - 3 SILO Ventilation]]</f>
        <v>49.200000000011642</v>
      </c>
      <c r="FX15">
        <f>J16-Table2[[#This Row],[DG 1010KVA Running Hours]]</f>
        <v>0.4000000000005457</v>
      </c>
      <c r="FY15">
        <f>K16-Table2[[#This Row],[DG 1010 KVA Meter Reading]]</f>
        <v>34</v>
      </c>
      <c r="FZ15">
        <f>L16-Table2[[#This Row],[GG 1010 KVA Running Hours]]</f>
        <v>1</v>
      </c>
      <c r="GA15">
        <f>M16-Table2[[#This Row],[GG 1010 KVA Meter Reading]]</f>
        <v>0.10999999999998522</v>
      </c>
    </row>
    <row r="16" spans="1:183">
      <c r="A16" s="65">
        <v>86</v>
      </c>
      <c r="B16" s="55">
        <v>46279.392430555556</v>
      </c>
      <c r="C16" s="55">
        <v>46279.437291666669</v>
      </c>
      <c r="D16" s="65" t="s">
        <v>111</v>
      </c>
      <c r="E16" s="54"/>
      <c r="F16" s="54"/>
      <c r="G16" s="68">
        <v>46279</v>
      </c>
      <c r="H16" s="54" t="s">
        <v>182</v>
      </c>
      <c r="I16" s="56">
        <v>8568.482</v>
      </c>
      <c r="J16" s="56">
        <v>4281.1000000000004</v>
      </c>
      <c r="K16" s="56">
        <v>1779418</v>
      </c>
      <c r="L16" s="56">
        <v>461</v>
      </c>
      <c r="M16" s="56">
        <v>193.67</v>
      </c>
      <c r="N16" s="56">
        <v>1908125.6</v>
      </c>
      <c r="O16" s="56">
        <v>4677609.5999999996</v>
      </c>
      <c r="P16" s="56">
        <v>661099.58400000003</v>
      </c>
      <c r="Q16" s="56">
        <v>8207461.7599999998</v>
      </c>
      <c r="R16" s="56">
        <v>5768101.7599999998</v>
      </c>
      <c r="S16" s="56">
        <v>7507311.3600000003</v>
      </c>
      <c r="T16" s="56">
        <v>43264878.5</v>
      </c>
      <c r="U16" s="56">
        <v>2159641.2799999998</v>
      </c>
      <c r="V16" s="56">
        <v>5185585.92</v>
      </c>
      <c r="W16" s="56">
        <v>1626.5713000000001</v>
      </c>
      <c r="X16" s="56">
        <v>785469.18400000001</v>
      </c>
      <c r="Y16" s="56">
        <v>1152113.28</v>
      </c>
      <c r="Z16" s="56">
        <v>2777.8894</v>
      </c>
      <c r="AA16" s="56">
        <v>680242.56</v>
      </c>
      <c r="AB16" s="56">
        <v>422529.6</v>
      </c>
      <c r="AC16" s="56">
        <v>2167709.44</v>
      </c>
      <c r="AD16" s="56">
        <v>4630613.6289999997</v>
      </c>
      <c r="AE16" s="56">
        <v>13107.186400000001</v>
      </c>
      <c r="AF16" s="56">
        <v>899236.60800000001</v>
      </c>
      <c r="AG16" s="56">
        <v>1450.383</v>
      </c>
      <c r="AH16" s="56">
        <v>138131.76</v>
      </c>
      <c r="AI16" s="56">
        <v>14830.992</v>
      </c>
      <c r="AJ16" s="56">
        <v>145425.39199999999</v>
      </c>
      <c r="AK16" s="56">
        <v>105682.944</v>
      </c>
      <c r="AL16" s="56">
        <v>333701.08799999999</v>
      </c>
      <c r="AM16" s="56">
        <v>1017.327</v>
      </c>
      <c r="AN16" s="56">
        <v>97</v>
      </c>
      <c r="AO16" s="56">
        <v>6.9</v>
      </c>
      <c r="AP16" s="56">
        <v>876113</v>
      </c>
      <c r="AQ16" s="56">
        <v>43070</v>
      </c>
      <c r="AR16" s="56">
        <v>42524</v>
      </c>
      <c r="AS16" s="56">
        <v>32432</v>
      </c>
      <c r="AT16" s="56">
        <v>22148</v>
      </c>
      <c r="AU16" s="56">
        <v>16582</v>
      </c>
      <c r="AV16" s="56">
        <v>6977</v>
      </c>
      <c r="AW16" s="56">
        <v>21.216843999999998</v>
      </c>
      <c r="AX16" s="56">
        <v>7340.2240000000002</v>
      </c>
      <c r="AY16" s="56">
        <v>684.79304000000002</v>
      </c>
      <c r="AZ16" s="56">
        <v>20.788</v>
      </c>
      <c r="BA16" s="56">
        <v>11.172000000000001</v>
      </c>
      <c r="BB16" s="56">
        <v>46.44</v>
      </c>
      <c r="BC16" s="56">
        <v>114029.064</v>
      </c>
      <c r="BD16" s="56">
        <v>278062.43199999997</v>
      </c>
      <c r="BE16" s="56">
        <v>3777.9096</v>
      </c>
      <c r="BF16" s="56">
        <v>1714.182</v>
      </c>
      <c r="BG16" s="56">
        <v>76.325999999999993</v>
      </c>
      <c r="BH16" s="56">
        <v>379.99200000000002</v>
      </c>
      <c r="BI16" s="56">
        <v>935.33100000000002</v>
      </c>
      <c r="BJ16" s="56">
        <v>16.640999999999998</v>
      </c>
      <c r="BK16" s="56">
        <v>575.50699999999995</v>
      </c>
      <c r="BL16" s="56">
        <v>81684.422399999996</v>
      </c>
      <c r="BM16" s="56">
        <v>331217.696</v>
      </c>
      <c r="BN16" s="56">
        <v>7356.7431999999999</v>
      </c>
      <c r="BO16" s="56">
        <v>53589.132799999999</v>
      </c>
      <c r="BP16" s="56">
        <v>318797.24800000002</v>
      </c>
      <c r="BQ16" s="56">
        <v>335.14400000000001</v>
      </c>
      <c r="BR16" s="56">
        <v>186.91200000000001</v>
      </c>
      <c r="BS16" s="56">
        <v>1068132.1359999999</v>
      </c>
      <c r="BT16" s="56">
        <v>1400634.426</v>
      </c>
      <c r="BU16" s="56">
        <v>637513.6</v>
      </c>
      <c r="BV16" s="56">
        <v>1045454.32</v>
      </c>
      <c r="BW16" s="56">
        <v>578606.65599999996</v>
      </c>
      <c r="BX16" s="56">
        <v>1073550</v>
      </c>
      <c r="BY16" s="56">
        <v>159657.48800000001</v>
      </c>
      <c r="BZ16" s="56">
        <v>115259.712</v>
      </c>
      <c r="CA16" s="56">
        <v>1244.5895</v>
      </c>
      <c r="CB16" s="56">
        <v>110258.18399999999</v>
      </c>
      <c r="CC16" s="56">
        <v>155653.35999999999</v>
      </c>
      <c r="CD16" s="56">
        <v>454528.54399999999</v>
      </c>
      <c r="CE16" s="56">
        <v>49362.358399999997</v>
      </c>
      <c r="CF16" s="56">
        <v>157056.62400000001</v>
      </c>
      <c r="CG16" s="56">
        <v>36104.758399999999</v>
      </c>
      <c r="CH16" s="56">
        <v>2385.8710000000001</v>
      </c>
      <c r="CI16" s="56">
        <v>220.85900000000001</v>
      </c>
      <c r="CJ16" s="56">
        <v>1191.5999999999999</v>
      </c>
      <c r="CK16" s="56">
        <v>79.947000000000003</v>
      </c>
      <c r="CL16" s="56">
        <v>758.03700000000003</v>
      </c>
      <c r="CM16" s="56">
        <v>551.4</v>
      </c>
      <c r="CN16" s="56">
        <v>64393.4</v>
      </c>
      <c r="CO16" s="56">
        <v>1700.7539999999999</v>
      </c>
      <c r="CP16" s="56">
        <v>303531.64199999999</v>
      </c>
      <c r="CQ16" s="56">
        <v>3738626.88</v>
      </c>
      <c r="CR16" s="56">
        <v>133784.23199999999</v>
      </c>
      <c r="CS16" s="56">
        <v>528116.44799999997</v>
      </c>
      <c r="CT16" s="56">
        <v>3082473.4270000001</v>
      </c>
      <c r="CU16" s="56">
        <v>310698.11700000003</v>
      </c>
      <c r="CV16" s="56">
        <v>30268.454399999999</v>
      </c>
      <c r="CW16" s="56">
        <v>63850.2592</v>
      </c>
      <c r="CX16" s="56">
        <v>33791.539199999999</v>
      </c>
      <c r="CY16" s="56">
        <v>173312.576</v>
      </c>
      <c r="CZ16" s="56">
        <v>221510.49600000001</v>
      </c>
      <c r="DA16" s="56">
        <v>19539.099999999999</v>
      </c>
      <c r="DB16" s="56">
        <v>154727.33499999999</v>
      </c>
      <c r="DC16" s="56">
        <v>3309.22</v>
      </c>
      <c r="DD16" s="56">
        <v>3309.09</v>
      </c>
      <c r="DE16" s="56">
        <v>3340.67</v>
      </c>
      <c r="DF16" s="56">
        <v>0.997</v>
      </c>
      <c r="DG16" s="54" t="s">
        <v>225</v>
      </c>
      <c r="DH16" s="2">
        <f>Table2[[#This Row],[Date]]</f>
        <v>46279</v>
      </c>
      <c r="DI16">
        <f>(DD17-Table2[[#This Row],[MWH Total]])*4000</f>
        <v>27519.999999998618</v>
      </c>
      <c r="DJ16">
        <f>(DA17-Table2[[#This Row],[PNG Meter (Outside)]])*2.936</f>
        <v>26.80568000000299</v>
      </c>
      <c r="DK16">
        <f>(DB17-Table2[[#This Row],[PNG Meter (Inside)]])*2.936</f>
        <v>379.57782400004169</v>
      </c>
      <c r="DL16">
        <f>(BH17-Table2[[#This Row],[3F Dough cooler - 2 ]])*1000</f>
        <v>402.99999999996317</v>
      </c>
      <c r="DM16">
        <f>(BI17-Table2[[#This Row],[3F Dough Cooler- 1]])*1000</f>
        <v>487.9999999999427</v>
      </c>
      <c r="DN16">
        <f>(BJ17-Table2[[#This Row],[4F Dough Production cooling Unit]])*1000</f>
        <v>14.000000000002899</v>
      </c>
      <c r="DO16">
        <f>(BQ17-Table2[[#This Row],[3F2 - PDB 3 - Dough Production Area]])*1000</f>
        <v>218.00000000001774</v>
      </c>
      <c r="DP16">
        <f>(BR17-Table2[[#This Row],[3F3 - PDB 4 - Dough Area]])*1000</f>
        <v>112.99999999999955</v>
      </c>
      <c r="DQ16">
        <f>AC17-Table2[[#This Row],[16F1 Tray washer Panel for Light]]</f>
        <v>655.83999999985099</v>
      </c>
      <c r="DR16">
        <f>CQ17-Table2[[#This Row],[2F1 Tray Washer - 1]]</f>
        <v>1069.4399999999441</v>
      </c>
      <c r="DS16">
        <f>CS17-Table2[[#This Row],[2F5 Destacker]]</f>
        <v>345.5679999999702</v>
      </c>
      <c r="DT16">
        <f>CU17-Table2[[#This Row],[5F1 Metering (TW-2)]]</f>
        <v>293.90399999998044</v>
      </c>
      <c r="DU16">
        <f>CV17-Table2[[#This Row],[6F1 Pre soaker Tray washer]]</f>
        <v>0.21120000000155414</v>
      </c>
      <c r="DV16">
        <f>CZ17-Table2[[#This Row],[6F5 Vent tray Storage]]</f>
        <v>132.38399999999092</v>
      </c>
      <c r="DW16">
        <f>I17-Table2[[#This Row],[Popeyes Meter ]]</f>
        <v>63.090000000000146</v>
      </c>
      <c r="DX16">
        <f>AZ17-Table2[[#This Row],[2F WH Chiller, Segregation Area]]</f>
        <v>0</v>
      </c>
      <c r="DY16">
        <f>BA17-Table2[[#This Row],[3F1 AC Unit WH dock cooling - 2 Nos]]</f>
        <v>1.699999999999946E-2</v>
      </c>
      <c r="DZ16">
        <f>BB17-Table2[[#This Row],[3F2 AC Unit WH dock cooling - 3 Nos]]</f>
        <v>3.9999999999999147E-2</v>
      </c>
      <c r="EA16">
        <f>(BK17-Table2[[#This Row],[5F WH Perishable]])*1000</f>
        <v>278.99999999999636</v>
      </c>
      <c r="EB16">
        <f>BN17-Table2[[#This Row],[2F3 - PDB 9 - WH Dock Leveler Door ]]</f>
        <v>6.3728000000000975</v>
      </c>
      <c r="EC16">
        <f>BP17-Table2[[#This Row],[3F1 - PDB 5 - WH HSD]]</f>
        <v>116.73599999997532</v>
      </c>
      <c r="ED16">
        <f>BX17-Table2[[#This Row],[8F1 WH Dock AHU - Ventilation]]</f>
        <v>1446.4799999999814</v>
      </c>
      <c r="EE16">
        <f>BZ17-Table2[[#This Row],[8F3 ACPDB - 4 WH Dock air curtain]]</f>
        <v>18.648000000001048</v>
      </c>
      <c r="EF16">
        <f>CA17-Table2[[#This Row],[8F4 WH Light]]</f>
        <v>0</v>
      </c>
      <c r="EG16">
        <f>CC17-Table2[[#This Row],[9F1 - PDB 10 - WH Dock door &amp; Office]]</f>
        <v>115.42400000002817</v>
      </c>
      <c r="EH16">
        <f>CD17-Table2[[#This Row],[9F2 - PDB 11 - WH flycatchers]]</f>
        <v>189.40799999999581</v>
      </c>
      <c r="EI16">
        <f>CE17-Table2[[#This Row],[9F3 - PDB 12 - Other items]]</f>
        <v>12.88640000000305</v>
      </c>
      <c r="EJ16">
        <f>CR17-Table2[[#This Row],[2F3 - PDB 1 - Dock 1 to 4 ]]</f>
        <v>62.504000000015367</v>
      </c>
      <c r="EK16">
        <f>BM17-Table2[[#This Row],[2F2 - PDB 3 - WH Truck &amp; Battery Charging]]</f>
        <v>522.9440000000177</v>
      </c>
      <c r="EL16">
        <f>(CK17-Table2[[#This Row],[PDB - 11 Truck Charging]])*1000</f>
        <v>42.999999999992156</v>
      </c>
      <c r="EM16" s="1">
        <f>P17-Table2[[#This Row],[5F3 Admin Area]]</f>
        <v>410.75199999997858</v>
      </c>
      <c r="EN16">
        <f>AH17-Table2[[#This Row],[2F5 Main Gate-1 Piller -1]]</f>
        <v>127.53599999999278</v>
      </c>
      <c r="EO16">
        <f>CW17-Table2[[#This Row],[6F2 Ground Floor AC]]</f>
        <v>12.844799999998941</v>
      </c>
      <c r="EP16">
        <f>CX17-Table2[[#This Row],[6F3 ACBD -1 (First floor AC)]]</f>
        <v>8.2880000000004657</v>
      </c>
      <c r="EQ16">
        <f>CY17-Table2[[#This Row],[6F4 ACBD - 2 (Second &amp; Third floor AC)]]</f>
        <v>112.54399999999441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1754.9599999999627</v>
      </c>
      <c r="EU16">
        <f>(CL17-Table2[[#This Row],[OLD Ck Panel-1]])*1000</f>
        <v>549.99999999995453</v>
      </c>
      <c r="EV16">
        <f>CM17-Table2[[#This Row],[2F4 Old CK Blast (Blue star)]]</f>
        <v>0</v>
      </c>
      <c r="EW16">
        <f>CN17-Table2[[#This Row],[3F6 Old CK Blast (Carrier)]]</f>
        <v>416.59999999999854</v>
      </c>
      <c r="EX16">
        <f>(CO17-Table2[[#This Row],[Old CK Panel -2]])*1000</f>
        <v>1165.000000000191</v>
      </c>
      <c r="EY16">
        <f>N17-Table2[[#This Row],[4F1 Main UPS 1/C -1]]</f>
        <v>993.91999999992549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35.0000000000108</v>
      </c>
      <c r="FC16">
        <f>BW17-Table2[[#This Row],[7F3 CLC Power Panel]]</f>
        <v>308.67200000002049</v>
      </c>
      <c r="FD16">
        <f>(CI17-Table2[[#This Row],[PDB - 17 CLC Section ]])*1000</f>
        <v>200.99999999999341</v>
      </c>
      <c r="FE16">
        <f>(W17-Table2[[#This Row],[13F3 Water &amp; Lift Old CK]])*1000</f>
        <v>869.2999999998392</v>
      </c>
      <c r="FF16">
        <f>AA17-Table2[[#This Row],[15F2 New ETP Panel]]</f>
        <v>267.77599999995437</v>
      </c>
      <c r="FG16">
        <f>AL17-Table2[[#This Row],[3F4 Old ETP Panel]]</f>
        <v>83.776000000012573</v>
      </c>
      <c r="FH16">
        <f>AF17-Table2[[#This Row],[2F1 RO Plant]]</f>
        <v>628.28799999994226</v>
      </c>
      <c r="FI16">
        <f>AK17-Table2[[#This Row],[3F3 Fire Hydrant Panel]]</f>
        <v>14.631999999997788</v>
      </c>
      <c r="FJ16">
        <f>R17-Table2[[#This Row],[7F1 Freon System Panel]]</f>
        <v>5867.5200000004843</v>
      </c>
      <c r="FK16">
        <f>(AE17-Table2[[#This Row],[21F1 Refrigeration Ammonia]])*1000</f>
        <v>8340.0000000001455</v>
      </c>
      <c r="FL16">
        <f>(AG17-Table2[[#This Row],[2F3 Air Compressor]])*1000</f>
        <v>1043.999999999869</v>
      </c>
      <c r="FM16">
        <f>(AX17-Table2[[#This Row],[Solar Reading Panel II]])*1000</f>
        <v>3010.9999999995125</v>
      </c>
      <c r="FN16">
        <f>AI17-Table2[[#This Row],[3F1 Maintenance Workshop]]</f>
        <v>3.0591999999996915</v>
      </c>
      <c r="FO16">
        <f>BD17-Table2[[#This Row],[4F B2B unit ]]</f>
        <v>88.480000000039581</v>
      </c>
      <c r="FP16">
        <f>BL17-Table2[[#This Row],[2F1 - PDB 6 - Bread, B2B section]]</f>
        <v>392.1536000000051</v>
      </c>
      <c r="FQ16">
        <f>(CG17-Table2[[#This Row],[9F5 - PDB 14 - Bread Lift]])</f>
        <v>0.61759999999776483</v>
      </c>
      <c r="FR16">
        <f>CJ17-Table2[[#This Row],[PDB - 16 Bread Section]]</f>
        <v>0</v>
      </c>
      <c r="FS16">
        <f>BU17-Table2[[#This Row],[7F1 Donut Production area]]</f>
        <v>175.55200000002515</v>
      </c>
      <c r="FT16">
        <f>CB17-Table2[[#This Row],[8F5 Donut Ban Bary]]</f>
        <v>16.056000000011409</v>
      </c>
      <c r="FU16">
        <f>CF17-Table2[[#This Row],[9F4 - PDB 13 - Donut Sink Geyser area]]</f>
        <v>8.4320000000006985</v>
      </c>
      <c r="FV16">
        <f>BV17-Table2[[#This Row],[7F2 Flour Silo]]</f>
        <v>444.08000000007451</v>
      </c>
      <c r="FW16">
        <f>BY17-Table2[[#This Row],[8F2 ACPDB - 3 SILO Ventilation]]</f>
        <v>40.271999999997206</v>
      </c>
      <c r="FX16">
        <f>J17-Table2[[#This Row],[DG 1010KVA Running Hours]]</f>
        <v>0.3999999999996362</v>
      </c>
      <c r="FY16">
        <f>K17-Table2[[#This Row],[DG 1010 KVA Meter Reading]]</f>
        <v>176</v>
      </c>
      <c r="FZ16">
        <f>L17-Table2[[#This Row],[GG 1010 KVA Running Hours]]</f>
        <v>0</v>
      </c>
      <c r="GA16">
        <f>M17-Table2[[#This Row],[GG 1010 KVA Meter Reading]]</f>
        <v>0.18000000000000682</v>
      </c>
    </row>
    <row r="17" spans="1:183">
      <c r="A17" s="65">
        <v>88</v>
      </c>
      <c r="B17" s="55">
        <v>46280.387199074074</v>
      </c>
      <c r="C17" s="55">
        <v>46280.428599537037</v>
      </c>
      <c r="D17" s="65" t="s">
        <v>111</v>
      </c>
      <c r="E17" s="54"/>
      <c r="F17" s="54"/>
      <c r="G17" s="68">
        <v>46280</v>
      </c>
      <c r="H17" s="54" t="s">
        <v>182</v>
      </c>
      <c r="I17" s="56">
        <v>8631.5720000000001</v>
      </c>
      <c r="J17" s="56">
        <v>4281.5</v>
      </c>
      <c r="K17" s="56">
        <v>1779594</v>
      </c>
      <c r="L17" s="56">
        <v>461</v>
      </c>
      <c r="M17" s="56">
        <v>193.85</v>
      </c>
      <c r="N17" s="56">
        <v>1909119.52</v>
      </c>
      <c r="O17" s="56">
        <v>4679349.12</v>
      </c>
      <c r="P17" s="56">
        <v>661510.33600000001</v>
      </c>
      <c r="Q17" s="56">
        <v>8210627.2000000002</v>
      </c>
      <c r="R17" s="56">
        <v>5773969.2800000003</v>
      </c>
      <c r="S17" s="56">
        <v>7510545.9199999999</v>
      </c>
      <c r="T17" s="56">
        <v>43730719.787</v>
      </c>
      <c r="U17" s="56">
        <v>2161382.56</v>
      </c>
      <c r="V17" s="56">
        <v>5187300.4800000004</v>
      </c>
      <c r="W17" s="56">
        <v>1627.4405999999999</v>
      </c>
      <c r="X17" s="56">
        <v>785764.16</v>
      </c>
      <c r="Y17" s="56">
        <v>1153868.24</v>
      </c>
      <c r="Z17" s="56">
        <v>2777.8894</v>
      </c>
      <c r="AA17" s="56">
        <v>680510.33600000001</v>
      </c>
      <c r="AB17" s="56">
        <v>422566.848</v>
      </c>
      <c r="AC17" s="56">
        <v>2168365.2799999998</v>
      </c>
      <c r="AD17" s="56">
        <v>4647921.398</v>
      </c>
      <c r="AE17" s="56">
        <v>13115.526400000001</v>
      </c>
      <c r="AF17" s="56">
        <v>899864.89599999995</v>
      </c>
      <c r="AG17" s="56">
        <v>1451.4269999999999</v>
      </c>
      <c r="AH17" s="56">
        <v>138259.296</v>
      </c>
      <c r="AI17" s="56">
        <v>14834.0512</v>
      </c>
      <c r="AJ17" s="56">
        <v>145426.992</v>
      </c>
      <c r="AK17" s="56">
        <v>105697.576</v>
      </c>
      <c r="AL17" s="56">
        <v>333784.864</v>
      </c>
      <c r="AM17" s="56">
        <v>1017.912</v>
      </c>
      <c r="AN17" s="56">
        <v>245.9</v>
      </c>
      <c r="AO17" s="56">
        <v>7.1</v>
      </c>
      <c r="AP17" s="56">
        <v>885387</v>
      </c>
      <c r="AQ17" s="56">
        <v>43070</v>
      </c>
      <c r="AR17" s="56">
        <v>42524</v>
      </c>
      <c r="AS17" s="56">
        <v>32432</v>
      </c>
      <c r="AT17" s="56">
        <v>22148</v>
      </c>
      <c r="AU17" s="56">
        <v>16606</v>
      </c>
      <c r="AV17" s="56">
        <v>6994</v>
      </c>
      <c r="AW17" s="56">
        <v>21.224874</v>
      </c>
      <c r="AX17" s="56">
        <v>7343.2349999999997</v>
      </c>
      <c r="AY17" s="56">
        <v>684.95360000000005</v>
      </c>
      <c r="AZ17" s="56">
        <v>20.788</v>
      </c>
      <c r="BA17" s="56">
        <v>11.189</v>
      </c>
      <c r="BB17" s="56">
        <v>46.48</v>
      </c>
      <c r="BC17" s="56">
        <v>114029.064</v>
      </c>
      <c r="BD17" s="56">
        <v>278150.91200000001</v>
      </c>
      <c r="BE17" s="56">
        <v>3779.1819999999998</v>
      </c>
      <c r="BF17" s="56">
        <v>1714.182</v>
      </c>
      <c r="BG17" s="56">
        <v>76.361000000000004</v>
      </c>
      <c r="BH17" s="56">
        <v>380.39499999999998</v>
      </c>
      <c r="BI17" s="56">
        <v>935.81899999999996</v>
      </c>
      <c r="BJ17" s="56">
        <v>16.655000000000001</v>
      </c>
      <c r="BK17" s="56">
        <v>575.78599999999994</v>
      </c>
      <c r="BL17" s="56">
        <v>82076.576000000001</v>
      </c>
      <c r="BM17" s="56">
        <v>331740.64</v>
      </c>
      <c r="BN17" s="56">
        <v>7363.116</v>
      </c>
      <c r="BO17" s="56">
        <v>53589.132799999999</v>
      </c>
      <c r="BP17" s="56">
        <v>318913.984</v>
      </c>
      <c r="BQ17" s="56">
        <v>335.36200000000002</v>
      </c>
      <c r="BR17" s="56">
        <v>187.02500000000001</v>
      </c>
      <c r="BS17" s="56">
        <v>1069812.736</v>
      </c>
      <c r="BT17" s="56">
        <v>1400634.507</v>
      </c>
      <c r="BU17" s="56">
        <v>637689.152</v>
      </c>
      <c r="BV17" s="56">
        <v>1045898.4</v>
      </c>
      <c r="BW17" s="56">
        <v>578915.32799999998</v>
      </c>
      <c r="BX17" s="56">
        <v>1074996.48</v>
      </c>
      <c r="BY17" s="56">
        <v>159697.76</v>
      </c>
      <c r="BZ17" s="56">
        <v>115278.36</v>
      </c>
      <c r="CA17" s="56">
        <v>1244.5895</v>
      </c>
      <c r="CB17" s="56">
        <v>110274.24000000001</v>
      </c>
      <c r="CC17" s="56">
        <v>155768.78400000001</v>
      </c>
      <c r="CD17" s="56">
        <v>454717.95199999999</v>
      </c>
      <c r="CE17" s="56">
        <v>49375.2448</v>
      </c>
      <c r="CF17" s="56">
        <v>157065.05600000001</v>
      </c>
      <c r="CG17" s="56">
        <v>36105.375999999997</v>
      </c>
      <c r="CH17" s="56">
        <v>2385.8710000000001</v>
      </c>
      <c r="CI17" s="56">
        <v>221.06</v>
      </c>
      <c r="CJ17" s="56">
        <v>1191.5999999999999</v>
      </c>
      <c r="CK17" s="56">
        <v>79.989999999999995</v>
      </c>
      <c r="CL17" s="56">
        <v>758.58699999999999</v>
      </c>
      <c r="CM17" s="56">
        <v>551.4</v>
      </c>
      <c r="CN17" s="56">
        <v>64810</v>
      </c>
      <c r="CO17" s="56">
        <v>1701.9190000000001</v>
      </c>
      <c r="CP17" s="56">
        <v>303759.12699999998</v>
      </c>
      <c r="CQ17" s="56">
        <v>3739696.32</v>
      </c>
      <c r="CR17" s="56">
        <v>133846.736</v>
      </c>
      <c r="CS17" s="56">
        <v>528462.01599999995</v>
      </c>
      <c r="CT17" s="56">
        <v>3085762.77</v>
      </c>
      <c r="CU17" s="56">
        <v>310992.02100000001</v>
      </c>
      <c r="CV17" s="56">
        <v>30268.6656</v>
      </c>
      <c r="CW17" s="56">
        <v>63863.103999999999</v>
      </c>
      <c r="CX17" s="56">
        <v>33799.8272</v>
      </c>
      <c r="CY17" s="56">
        <v>173425.12</v>
      </c>
      <c r="CZ17" s="56">
        <v>221642.88</v>
      </c>
      <c r="DA17" s="56">
        <v>19548.23</v>
      </c>
      <c r="DB17" s="56">
        <v>154856.61900000001</v>
      </c>
      <c r="DC17" s="56">
        <v>3316.1</v>
      </c>
      <c r="DD17" s="56">
        <v>3315.97</v>
      </c>
      <c r="DE17" s="56">
        <v>3347.54</v>
      </c>
      <c r="DF17" s="56">
        <v>0.998</v>
      </c>
      <c r="DG17" s="54" t="s">
        <v>227</v>
      </c>
      <c r="DH17" s="2">
        <f>Table2[[#This Row],[Date]]</f>
        <v>46280</v>
      </c>
      <c r="DI17">
        <f>(DD18-Table2[[#This Row],[MWH Total]])*4000</f>
        <v>28720.000000001164</v>
      </c>
      <c r="DJ17">
        <f>(DA18-Table2[[#This Row],[PNG Meter (Outside)]])*2.936</f>
        <v>102.81872000000128</v>
      </c>
      <c r="DK17">
        <f>(DB18-Table2[[#This Row],[PNG Meter (Inside)]])*2.936</f>
        <v>368.71462400000752</v>
      </c>
      <c r="DL17">
        <f>(BH18-Table2[[#This Row],[3F Dough cooler - 2 ]])*1000</f>
        <v>408.00000000001546</v>
      </c>
      <c r="DM17">
        <f>(BI18-Table2[[#This Row],[3F Dough Cooler- 1]])*1000</f>
        <v>496.00000000009459</v>
      </c>
      <c r="DN17">
        <f>(BJ18-Table2[[#This Row],[4F Dough Production cooling Unit]])*1000</f>
        <v>45.999999999999375</v>
      </c>
      <c r="DO17">
        <f>(BQ18-Table2[[#This Row],[3F2 - PDB 3 - Dough Production Area]])*1000</f>
        <v>238.9999999999759</v>
      </c>
      <c r="DP17">
        <f>(BR18-Table2[[#This Row],[3F3 - PDB 4 - Dough Area]])*1000</f>
        <v>133.99999999998613</v>
      </c>
      <c r="DQ17">
        <f>AC18-Table2[[#This Row],[16F1 Tray washer Panel for Light]]</f>
        <v>700.47999999998137</v>
      </c>
      <c r="DR17">
        <f>CQ18-Table2[[#This Row],[2F1 Tray Washer - 1]]</f>
        <v>1163.8400000003166</v>
      </c>
      <c r="DS17">
        <f>CS18-Table2[[#This Row],[2F5 Destacker]]</f>
        <v>344.35200000007171</v>
      </c>
      <c r="DT17">
        <f>CU18-Table2[[#This Row],[5F1 Metering (TW-2)]]</f>
        <v>290.59600000001956</v>
      </c>
      <c r="DU17">
        <f>CV18-Table2[[#This Row],[6F1 Pre soaker Tray washer]]</f>
        <v>2.662400000001071</v>
      </c>
      <c r="DV17">
        <f>CZ18-Table2[[#This Row],[6F5 Vent tray Storage]]</f>
        <v>122.73600000000442</v>
      </c>
      <c r="DW17">
        <f>I18-Table2[[#This Row],[Popeyes Meter ]]</f>
        <v>78.079999999999927</v>
      </c>
      <c r="DX17">
        <f>AZ18-Table2[[#This Row],[2F WH Chiller, Segregation Area]]</f>
        <v>0</v>
      </c>
      <c r="DY17">
        <f>BA18-Table2[[#This Row],[3F1 AC Unit WH dock cooling - 2 Nos]]</f>
        <v>1.9999999999999574E-2</v>
      </c>
      <c r="DZ17">
        <f>BB18-Table2[[#This Row],[3F2 AC Unit WH dock cooling - 3 Nos]]</f>
        <v>4.3000000000006366E-2</v>
      </c>
      <c r="EA17">
        <f>(BK18-Table2[[#This Row],[5F WH Perishable]])*1000</f>
        <v>285.00000000008185</v>
      </c>
      <c r="EB17">
        <f>BN18-Table2[[#This Row],[2F3 - PDB 9 - WH Dock Leveler Door ]]</f>
        <v>2.7280000000000655</v>
      </c>
      <c r="EC17">
        <f>BP18-Table2[[#This Row],[3F1 - PDB 5 - WH HSD]]</f>
        <v>84.416000000026543</v>
      </c>
      <c r="ED17">
        <f>BX18-Table2[[#This Row],[8F1 WH Dock AHU - Ventilation]]</f>
        <v>1448.8000000000466</v>
      </c>
      <c r="EE17">
        <f>BZ18-Table2[[#This Row],[8F3 ACPDB - 4 WH Dock air curtain]]</f>
        <v>18.423999999999069</v>
      </c>
      <c r="EF17">
        <f>CA18-Table2[[#This Row],[8F4 WH Light]]</f>
        <v>0</v>
      </c>
      <c r="EG17">
        <f>CC18-Table2[[#This Row],[9F1 - PDB 10 - WH Dock door &amp; Office]]</f>
        <v>132.91199999998207</v>
      </c>
      <c r="EH17">
        <f>CD18-Table2[[#This Row],[9F2 - PDB 11 - WH flycatchers]]</f>
        <v>235.07199999998556</v>
      </c>
      <c r="EI17">
        <f>CE18-Table2[[#This Row],[9F3 - PDB 12 - Other items]]</f>
        <v>16.94720000000234</v>
      </c>
      <c r="EJ17">
        <f>CR18-Table2[[#This Row],[2F3 - PDB 1 - Dock 1 to 4 ]]</f>
        <v>62.296000000002095</v>
      </c>
      <c r="EK17">
        <f>BM18-Table2[[#This Row],[2F2 - PDB 3 - WH Truck &amp; Battery Charging]]</f>
        <v>675.58399999997346</v>
      </c>
      <c r="EL17">
        <f>(CK18-Table2[[#This Row],[PDB - 11 Truck Charging]])*1000</f>
        <v>44.000000000011141</v>
      </c>
      <c r="EM17" s="1">
        <f>P18-Table2[[#This Row],[5F3 Admin Area]]</f>
        <v>417.72800000000279</v>
      </c>
      <c r="EN17">
        <f>AH18-Table2[[#This Row],[2F5 Main Gate-1 Piller -1]]</f>
        <v>129.18400000000838</v>
      </c>
      <c r="EO17">
        <f>CW18-Table2[[#This Row],[6F2 Ground Floor AC]]</f>
        <v>12.108800000001793</v>
      </c>
      <c r="EP17">
        <f>CX18-Table2[[#This Row],[6F3 ACBD -1 (First floor AC)]]</f>
        <v>9.2704000000012456</v>
      </c>
      <c r="EQ17">
        <f>CY18-Table2[[#This Row],[6F4 ACBD - 2 (Second &amp; Third floor AC)]]</f>
        <v>111.00800000000163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1880</v>
      </c>
      <c r="EU17">
        <f>(CL18-Table2[[#This Row],[OLD Ck Panel-1]])*1000</f>
        <v>461.00000000001273</v>
      </c>
      <c r="EV17">
        <f>CM18-Table2[[#This Row],[2F4 Old CK Blast (Blue star)]]</f>
        <v>0</v>
      </c>
      <c r="EW17">
        <f>CN18-Table2[[#This Row],[3F6 Old CK Blast (Carrier)]]</f>
        <v>380.40000000000146</v>
      </c>
      <c r="EX17">
        <f>(CO18-Table2[[#This Row],[Old CK Panel -2]])*1000</f>
        <v>1137.99999999992</v>
      </c>
      <c r="EY17">
        <f>N18-Table2[[#This Row],[4F1 Main UPS 1/C -1]]</f>
        <v>993.91999999992549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34.999999999996589</v>
      </c>
      <c r="FC17">
        <f>BW18-Table2[[#This Row],[7F3 CLC Power Panel]]</f>
        <v>316.1600000000326</v>
      </c>
      <c r="FD17">
        <f>(CI18-Table2[[#This Row],[PDB - 17 CLC Section ]])*1000</f>
        <v>201.99999999999818</v>
      </c>
      <c r="FE17">
        <f>(W18-Table2[[#This Row],[13F3 Water &amp; Lift Old CK]])*1000</f>
        <v>756.39999999998508</v>
      </c>
      <c r="FF17">
        <f>AA18-Table2[[#This Row],[15F2 New ETP Panel]]</f>
        <v>301.31200000003446</v>
      </c>
      <c r="FG17">
        <f>AL18-Table2[[#This Row],[3F4 Old ETP Panel]]</f>
        <v>100.73599999997532</v>
      </c>
      <c r="FH17">
        <f>AF18-Table2[[#This Row],[2F1 RO Plant]]</f>
        <v>616.06400000001304</v>
      </c>
      <c r="FI17">
        <f>AK18-Table2[[#This Row],[3F3 Fire Hydrant Panel]]</f>
        <v>10.512000000002445</v>
      </c>
      <c r="FJ17">
        <f>R18-Table2[[#This Row],[7F1 Freon System Panel]]</f>
        <v>7111.0400000000373</v>
      </c>
      <c r="FK17">
        <f>(AE18-Table2[[#This Row],[21F1 Refrigeration Ammonia]])*1000</f>
        <v>8098.3999999989464</v>
      </c>
      <c r="FL17">
        <f>(AG18-Table2[[#This Row],[2F3 Air Compressor]])*1000</f>
        <v>1100.0000000001364</v>
      </c>
      <c r="FM17">
        <f>(AX18-Table2[[#This Row],[Solar Reading Panel II]])*1000</f>
        <v>2963.0000000006476</v>
      </c>
      <c r="FN17">
        <f>AI18-Table2[[#This Row],[3F1 Maintenance Workshop]]</f>
        <v>5.1488000000008469</v>
      </c>
      <c r="FO17">
        <f>BD18-Table2[[#This Row],[4F B2B unit ]]</f>
        <v>63.071999999985565</v>
      </c>
      <c r="FP17">
        <f>BL18-Table2[[#This Row],[2F1 - PDB 6 - Bread, B2B section]]</f>
        <v>439.96159999999509</v>
      </c>
      <c r="FQ17">
        <f>(CG18-Table2[[#This Row],[9F5 - PDB 14 - Bread Lift]])</f>
        <v>0.65920000000187429</v>
      </c>
      <c r="FR17">
        <f>CJ18-Table2[[#This Row],[PDB - 16 Bread Section]]</f>
        <v>0</v>
      </c>
      <c r="FS17">
        <f>BU18-Table2[[#This Row],[7F1 Donut Production area]]</f>
        <v>177.28000000002794</v>
      </c>
      <c r="FT17">
        <f>CB18-Table2[[#This Row],[8F5 Donut Ban Bary]]</f>
        <v>5.2959999999875436</v>
      </c>
      <c r="FU17">
        <f>CF18-Table2[[#This Row],[9F4 - PDB 13 - Donut Sink Geyser area]]</f>
        <v>79.119999999995343</v>
      </c>
      <c r="FV17">
        <f>BV18-Table2[[#This Row],[7F2 Flour Silo]]</f>
        <v>650.07999999995809</v>
      </c>
      <c r="FW17">
        <f>BY18-Table2[[#This Row],[8F2 ACPDB - 3 SILO Ventilation]]</f>
        <v>40.399999999994179</v>
      </c>
      <c r="FX17">
        <f>J18-Table2[[#This Row],[DG 1010KVA Running Hours]]</f>
        <v>0.6000000000003638</v>
      </c>
      <c r="FY17">
        <f>K18-Table2[[#This Row],[DG 1010 KVA Meter Reading]]</f>
        <v>275</v>
      </c>
      <c r="FZ17">
        <f>L18-Table2[[#This Row],[GG 1010 KVA Running Hours]]</f>
        <v>0</v>
      </c>
      <c r="GA17">
        <f>M18-Table2[[#This Row],[GG 1010 KVA Meter Reading]]</f>
        <v>0.28000000000000114</v>
      </c>
    </row>
    <row r="18" spans="1:183">
      <c r="A18" s="65">
        <v>89</v>
      </c>
      <c r="B18" s="55">
        <v>46281.396412037036</v>
      </c>
      <c r="C18" s="55">
        <v>46281.443113425928</v>
      </c>
      <c r="D18" s="65" t="s">
        <v>111</v>
      </c>
      <c r="E18" s="54"/>
      <c r="F18" s="54"/>
      <c r="G18" s="68">
        <v>46281</v>
      </c>
      <c r="H18" s="54" t="s">
        <v>182</v>
      </c>
      <c r="I18" s="56">
        <v>8709.652</v>
      </c>
      <c r="J18" s="56">
        <v>4282.1000000000004</v>
      </c>
      <c r="K18" s="56">
        <v>1779869</v>
      </c>
      <c r="L18" s="56">
        <v>461</v>
      </c>
      <c r="M18" s="56">
        <v>194.13</v>
      </c>
      <c r="N18" s="56">
        <v>1910113.44</v>
      </c>
      <c r="O18" s="56">
        <v>4681165.12</v>
      </c>
      <c r="P18" s="56">
        <v>661928.06400000001</v>
      </c>
      <c r="Q18" s="56">
        <v>8214001.2800000003</v>
      </c>
      <c r="R18" s="56">
        <v>5781080.3200000003</v>
      </c>
      <c r="S18" s="56">
        <v>7513923.2000000002</v>
      </c>
      <c r="T18" s="56">
        <v>43289498.825000003</v>
      </c>
      <c r="U18" s="56">
        <v>2163348.3199999998</v>
      </c>
      <c r="V18" s="56">
        <v>5189047.3600000003</v>
      </c>
      <c r="W18" s="56">
        <v>1628.1969999999999</v>
      </c>
      <c r="X18" s="56">
        <v>786059.00800000003</v>
      </c>
      <c r="Y18" s="56">
        <v>1155748.24</v>
      </c>
      <c r="Z18" s="56">
        <v>2777.8894</v>
      </c>
      <c r="AA18" s="56">
        <v>680811.64800000004</v>
      </c>
      <c r="AB18" s="56">
        <v>422614.75199999998</v>
      </c>
      <c r="AC18" s="56">
        <v>2169065.7599999998</v>
      </c>
      <c r="AD18" s="56">
        <v>4665281.7529999996</v>
      </c>
      <c r="AE18" s="56">
        <v>13123.6248</v>
      </c>
      <c r="AF18" s="56">
        <v>900480.96</v>
      </c>
      <c r="AG18" s="56">
        <v>1452.527</v>
      </c>
      <c r="AH18" s="56">
        <v>138388.48000000001</v>
      </c>
      <c r="AI18" s="56">
        <v>14839.2</v>
      </c>
      <c r="AJ18" s="56">
        <v>145428.92800000001</v>
      </c>
      <c r="AK18" s="56">
        <v>105708.088</v>
      </c>
      <c r="AL18" s="56">
        <v>333885.59999999998</v>
      </c>
      <c r="AM18" s="56">
        <v>1018.511</v>
      </c>
      <c r="AN18" s="56">
        <v>224.8</v>
      </c>
      <c r="AO18" s="56">
        <v>7.5</v>
      </c>
      <c r="AP18" s="56">
        <v>895456</v>
      </c>
      <c r="AQ18" s="56">
        <v>43070</v>
      </c>
      <c r="AR18" s="56">
        <v>42524</v>
      </c>
      <c r="AS18" s="56">
        <v>32432</v>
      </c>
      <c r="AT18" s="56">
        <v>22148</v>
      </c>
      <c r="AU18" s="56">
        <v>16630</v>
      </c>
      <c r="AV18" s="56">
        <v>7011</v>
      </c>
      <c r="AW18" s="56">
        <v>21.232724000000001</v>
      </c>
      <c r="AX18" s="56">
        <v>7346.1980000000003</v>
      </c>
      <c r="AY18" s="56">
        <v>685.13864000000001</v>
      </c>
      <c r="AZ18" s="56">
        <v>20.788</v>
      </c>
      <c r="BA18" s="56">
        <v>11.209</v>
      </c>
      <c r="BB18" s="56">
        <v>46.523000000000003</v>
      </c>
      <c r="BC18" s="56">
        <v>114029.064</v>
      </c>
      <c r="BD18" s="56">
        <v>278213.984</v>
      </c>
      <c r="BE18" s="56">
        <v>3780.518</v>
      </c>
      <c r="BF18" s="56">
        <v>1714.182</v>
      </c>
      <c r="BG18" s="56">
        <v>76.396000000000001</v>
      </c>
      <c r="BH18" s="56">
        <v>380.803</v>
      </c>
      <c r="BI18" s="56">
        <v>936.31500000000005</v>
      </c>
      <c r="BJ18" s="56">
        <v>16.701000000000001</v>
      </c>
      <c r="BK18" s="56">
        <v>576.07100000000003</v>
      </c>
      <c r="BL18" s="56">
        <v>82516.537599999996</v>
      </c>
      <c r="BM18" s="56">
        <v>332416.22399999999</v>
      </c>
      <c r="BN18" s="56">
        <v>7365.8440000000001</v>
      </c>
      <c r="BO18" s="56">
        <v>53589.132799999999</v>
      </c>
      <c r="BP18" s="56">
        <v>318998.40000000002</v>
      </c>
      <c r="BQ18" s="56">
        <v>335.601</v>
      </c>
      <c r="BR18" s="56">
        <v>187.15899999999999</v>
      </c>
      <c r="BS18" s="56">
        <v>1071724.1569999999</v>
      </c>
      <c r="BT18" s="56">
        <v>1400634.523</v>
      </c>
      <c r="BU18" s="56">
        <v>637866.43200000003</v>
      </c>
      <c r="BV18" s="56">
        <v>1046548.48</v>
      </c>
      <c r="BW18" s="56">
        <v>579231.48800000001</v>
      </c>
      <c r="BX18" s="56">
        <v>1076445.28</v>
      </c>
      <c r="BY18" s="56">
        <v>159738.16</v>
      </c>
      <c r="BZ18" s="56">
        <v>115296.784</v>
      </c>
      <c r="CA18" s="56">
        <v>1244.5895</v>
      </c>
      <c r="CB18" s="56">
        <v>110279.53599999999</v>
      </c>
      <c r="CC18" s="56">
        <v>155901.696</v>
      </c>
      <c r="CD18" s="56">
        <v>454953.02399999998</v>
      </c>
      <c r="CE18" s="56">
        <v>49392.192000000003</v>
      </c>
      <c r="CF18" s="56">
        <v>157144.17600000001</v>
      </c>
      <c r="CG18" s="56">
        <v>36106.035199999998</v>
      </c>
      <c r="CH18" s="56">
        <v>2385.8710000000001</v>
      </c>
      <c r="CI18" s="56">
        <v>221.262</v>
      </c>
      <c r="CJ18" s="56">
        <v>1191.5999999999999</v>
      </c>
      <c r="CK18" s="56">
        <v>80.034000000000006</v>
      </c>
      <c r="CL18" s="56">
        <v>759.048</v>
      </c>
      <c r="CM18" s="56">
        <v>551.4</v>
      </c>
      <c r="CN18" s="56">
        <v>65190.400000000001</v>
      </c>
      <c r="CO18" s="56">
        <v>1703.057</v>
      </c>
      <c r="CP18" s="56">
        <v>304040.99599999998</v>
      </c>
      <c r="CQ18" s="56">
        <v>3740860.16</v>
      </c>
      <c r="CR18" s="56">
        <v>133909.03200000001</v>
      </c>
      <c r="CS18" s="56">
        <v>528806.36800000002</v>
      </c>
      <c r="CT18" s="56">
        <v>3089167.6359999999</v>
      </c>
      <c r="CU18" s="56">
        <v>311282.61700000003</v>
      </c>
      <c r="CV18" s="56">
        <v>30271.328000000001</v>
      </c>
      <c r="CW18" s="56">
        <v>63875.212800000001</v>
      </c>
      <c r="CX18" s="56">
        <v>33809.097600000001</v>
      </c>
      <c r="CY18" s="56">
        <v>173536.128</v>
      </c>
      <c r="CZ18" s="56">
        <v>221765.61600000001</v>
      </c>
      <c r="DA18" s="56">
        <v>19583.25</v>
      </c>
      <c r="DB18" s="56">
        <v>154982.20300000001</v>
      </c>
      <c r="DC18" s="56">
        <v>3323.27</v>
      </c>
      <c r="DD18" s="56">
        <v>3323.15</v>
      </c>
      <c r="DE18" s="56">
        <v>3353.78</v>
      </c>
      <c r="DF18" s="56">
        <v>0.98899999999999999</v>
      </c>
      <c r="DG18" s="54" t="s">
        <v>183</v>
      </c>
      <c r="DH18" s="2">
        <f>Table2[[#This Row],[Date]]</f>
        <v>46281</v>
      </c>
      <c r="DI18">
        <f>(DD19-Table2[[#This Row],[MWH Total]])*4000</f>
        <v>28440.000000000509</v>
      </c>
      <c r="DJ18">
        <f>(DA19-Table2[[#This Row],[PNG Meter (Outside)]])*2.936</f>
        <v>21.344720000001281</v>
      </c>
      <c r="DK18">
        <f>(DB19-Table2[[#This Row],[PNG Meter (Inside)]])*2.936</f>
        <v>328.2682879999706</v>
      </c>
      <c r="DL18">
        <f>(BH19-Table2[[#This Row],[3F Dough cooler - 2 ]])*1000</f>
        <v>201.00000000002183</v>
      </c>
      <c r="DM18">
        <f>(BI19-Table2[[#This Row],[3F Dough Cooler- 1]])*1000</f>
        <v>481.9999999999709</v>
      </c>
      <c r="DN18">
        <f>(BJ19-Table2[[#This Row],[4F Dough Production cooling Unit]])*1000</f>
        <v>28.999999999999915</v>
      </c>
      <c r="DO18">
        <f>(BQ19-Table2[[#This Row],[3F2 - PDB 3 - Dough Production Area]])*1000</f>
        <v>209.00000000000318</v>
      </c>
      <c r="DP18">
        <f>(BR19-Table2[[#This Row],[3F3 - PDB 4 - Dough Area]])*1000</f>
        <v>126.00000000000477</v>
      </c>
      <c r="DQ18">
        <f>AC19-Table2[[#This Row],[16F1 Tray washer Panel for Light]]</f>
        <v>677.76000000024214</v>
      </c>
      <c r="DR18">
        <f>CQ19-Table2[[#This Row],[2F1 Tray Washer - 1]]</f>
        <v>1169.2799999997951</v>
      </c>
      <c r="DS18">
        <f>CS19-Table2[[#This Row],[2F5 Destacker]]</f>
        <v>324</v>
      </c>
      <c r="DT18">
        <f>CU19-Table2[[#This Row],[5F1 Metering (TW-2)]]</f>
        <v>300.4989999999525</v>
      </c>
      <c r="DU18">
        <f>CV19-Table2[[#This Row],[6F1 Pre soaker Tray washer]]</f>
        <v>0.48959999999715365</v>
      </c>
      <c r="DV18">
        <f>CZ19-Table2[[#This Row],[6F5 Vent tray Storage]]</f>
        <v>117.63199999998324</v>
      </c>
      <c r="DW18">
        <f>I19-Table2[[#This Row],[Popeyes Meter ]]</f>
        <v>81.430000000000291</v>
      </c>
      <c r="DX18">
        <f>AZ19-Table2[[#This Row],[2F WH Chiller, Segregation Area]]</f>
        <v>0</v>
      </c>
      <c r="DY18">
        <f>BA19-Table2[[#This Row],[3F1 AC Unit WH dock cooling - 2 Nos]]</f>
        <v>1.6000000000000014E-2</v>
      </c>
      <c r="DZ18">
        <f>BB19-Table2[[#This Row],[3F2 AC Unit WH dock cooling - 3 Nos]]</f>
        <v>2.4999999999998579E-2</v>
      </c>
      <c r="EA18">
        <f>(BK19-Table2[[#This Row],[5F WH Perishable]])*1000</f>
        <v>278.99999999999636</v>
      </c>
      <c r="EB18">
        <f>BN19-Table2[[#This Row],[2F3 - PDB 9 - WH Dock Leveler Door ]]</f>
        <v>2.7680000000000291</v>
      </c>
      <c r="EC18">
        <f>BP19-Table2[[#This Row],[3F1 - PDB 5 - WH HSD]]</f>
        <v>115.93599999998696</v>
      </c>
      <c r="ED18">
        <f>BX19-Table2[[#This Row],[8F1 WH Dock AHU - Ventilation]]</f>
        <v>1389.8400000000838</v>
      </c>
      <c r="EE18">
        <f>BZ19-Table2[[#This Row],[8F3 ACPDB - 4 WH Dock air curtain]]</f>
        <v>18.207999999998719</v>
      </c>
      <c r="EF18">
        <f>CA19-Table2[[#This Row],[8F4 WH Light]]</f>
        <v>0</v>
      </c>
      <c r="EG18">
        <f>CC19-Table2[[#This Row],[9F1 - PDB 10 - WH Dock door &amp; Office]]</f>
        <v>121.10399999999208</v>
      </c>
      <c r="EH18">
        <f>CD19-Table2[[#This Row],[9F2 - PDB 11 - WH flycatchers]]</f>
        <v>177.44000000000233</v>
      </c>
      <c r="EI18">
        <f>CE19-Table2[[#This Row],[9F3 - PDB 12 - Other items]]</f>
        <v>36.739199999996345</v>
      </c>
      <c r="EJ18">
        <f>CR19-Table2[[#This Row],[2F3 - PDB 1 - Dock 1 to 4 ]]</f>
        <v>56.471999999979744</v>
      </c>
      <c r="EK18">
        <f>BM19-Table2[[#This Row],[2F2 - PDB 3 - WH Truck &amp; Battery Charging]]</f>
        <v>429.60000000003492</v>
      </c>
      <c r="EL18">
        <f>(CK19-Table2[[#This Row],[PDB - 11 Truck Charging]])*1000</f>
        <v>62.999999999988177</v>
      </c>
      <c r="EM18" s="1">
        <f>P19-Table2[[#This Row],[5F3 Admin Area]]</f>
        <v>383.42399999999907</v>
      </c>
      <c r="EN18">
        <f>AH19-Table2[[#This Row],[2F5 Main Gate-1 Piller -1]]</f>
        <v>125.1359999999986</v>
      </c>
      <c r="EO18">
        <f>CW19-Table2[[#This Row],[6F2 Ground Floor AC]]</f>
        <v>11.756799999995565</v>
      </c>
      <c r="EP18">
        <f>CX19-Table2[[#This Row],[6F3 ACBD -1 (First floor AC)]]</f>
        <v>8.7744000000020606</v>
      </c>
      <c r="EQ18">
        <f>CY19-Table2[[#This Row],[6F4 ACBD - 2 (Second &amp; Third floor AC)]]</f>
        <v>133.55199999999604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2016</v>
      </c>
      <c r="EU18">
        <f>(CL19-Table2[[#This Row],[OLD Ck Panel-1]])*1000</f>
        <v>116.9999999999618</v>
      </c>
      <c r="EV18">
        <f>CM19-Table2[[#This Row],[2F4 Old CK Blast (Blue star)]]</f>
        <v>0</v>
      </c>
      <c r="EW18">
        <f>CN19-Table2[[#This Row],[3F6 Old CK Blast (Carrier)]]</f>
        <v>14.900000000001455</v>
      </c>
      <c r="EX18">
        <f>(CO19-Table2[[#This Row],[Old CK Panel -2]])*1000</f>
        <v>1163.0000000000109</v>
      </c>
      <c r="EY18">
        <f>N19-Table2[[#This Row],[4F1 Main UPS 1/C -1]]</f>
        <v>951.36000000010245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33.000000000001251</v>
      </c>
      <c r="FC18">
        <f>BW19-Table2[[#This Row],[7F3 CLC Power Panel]]</f>
        <v>281.92000000004191</v>
      </c>
      <c r="FD18">
        <f>(CI19-Table2[[#This Row],[PDB - 17 CLC Section ]])*1000</f>
        <v>170.99999999999227</v>
      </c>
      <c r="FE18">
        <f>(W19-Table2[[#This Row],[13F3 Water &amp; Lift Old CK]])*1000</f>
        <v>946.40000000003965</v>
      </c>
      <c r="FF18">
        <f>AA19-Table2[[#This Row],[15F2 New ETP Panel]]</f>
        <v>303.35999999998603</v>
      </c>
      <c r="FG18">
        <f>AL19-Table2[[#This Row],[3F4 Old ETP Panel]]</f>
        <v>103.93600000004517</v>
      </c>
      <c r="FH18">
        <f>AF19-Table2[[#This Row],[2F1 RO Plant]]</f>
        <v>578.56000000005588</v>
      </c>
      <c r="FI18">
        <f>AK19-Table2[[#This Row],[3F3 Fire Hydrant Panel]]</f>
        <v>10.080000000001746</v>
      </c>
      <c r="FJ18">
        <f>R19-Table2[[#This Row],[7F1 Freon System Panel]]</f>
        <v>7393.2799999993294</v>
      </c>
      <c r="FK18">
        <f>(AE19-Table2[[#This Row],[21F1 Refrigeration Ammonia]])*1000</f>
        <v>7393.6000000012427</v>
      </c>
      <c r="FL18">
        <f>(AG19-Table2[[#This Row],[2F3 Air Compressor]])*1000</f>
        <v>993.99999999991451</v>
      </c>
      <c r="FM18">
        <f>(AX19-Table2[[#This Row],[Solar Reading Panel II]])*1000</f>
        <v>2127.9999999997017</v>
      </c>
      <c r="FN18">
        <f>AI19-Table2[[#This Row],[3F1 Maintenance Workshop]]</f>
        <v>2.9056000000000495</v>
      </c>
      <c r="FO18">
        <f>BD19-Table2[[#This Row],[4F B2B unit ]]</f>
        <v>66.144000000029337</v>
      </c>
      <c r="FP18">
        <f>BL19-Table2[[#This Row],[2F1 - PDB 6 - Bread, B2B section]]</f>
        <v>362.83520000000135</v>
      </c>
      <c r="FQ18">
        <f>(CG19-Table2[[#This Row],[9F5 - PDB 14 - Bread Lift]])</f>
        <v>0.79039999999804422</v>
      </c>
      <c r="FR18">
        <f>CJ19-Table2[[#This Row],[PDB - 16 Bread Section]]</f>
        <v>0</v>
      </c>
      <c r="FS18">
        <f>BU19-Table2[[#This Row],[7F1 Donut Production area]]</f>
        <v>188.79999999993015</v>
      </c>
      <c r="FT18">
        <f>CB19-Table2[[#This Row],[8F5 Donut Ban Bary]]</f>
        <v>9.7520000000076834</v>
      </c>
      <c r="FU18">
        <f>CF19-Table2[[#This Row],[9F4 - PDB 13 - Donut Sink Geyser area]]</f>
        <v>84.639999999984866</v>
      </c>
      <c r="FV18">
        <f>BV19-Table2[[#This Row],[7F2 Flour Silo]]</f>
        <v>405.44000000006054</v>
      </c>
      <c r="FW18">
        <f>BY19-Table2[[#This Row],[8F2 ACPDB - 3 SILO Ventilation]]</f>
        <v>40.01600000000326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>
      <c r="A19" s="65">
        <v>90</v>
      </c>
      <c r="B19" s="55">
        <v>46282.3909375</v>
      </c>
      <c r="C19" s="55">
        <v>46282.426655092589</v>
      </c>
      <c r="D19" s="65" t="s">
        <v>111</v>
      </c>
      <c r="E19" s="54"/>
      <c r="F19" s="54"/>
      <c r="G19" s="68">
        <v>46282</v>
      </c>
      <c r="H19" s="54" t="s">
        <v>182</v>
      </c>
      <c r="I19" s="56">
        <v>8791.0820000000003</v>
      </c>
      <c r="J19" s="56">
        <v>4282.1000000000004</v>
      </c>
      <c r="K19" s="56">
        <v>1779869</v>
      </c>
      <c r="L19" s="56">
        <v>461</v>
      </c>
      <c r="M19" s="56">
        <v>194.13</v>
      </c>
      <c r="N19" s="56">
        <v>1911064.8</v>
      </c>
      <c r="O19" s="56">
        <v>4682846.08</v>
      </c>
      <c r="P19" s="56">
        <v>662311.48800000001</v>
      </c>
      <c r="Q19" s="56">
        <v>8216316.1600000001</v>
      </c>
      <c r="R19" s="56">
        <v>5788473.5999999996</v>
      </c>
      <c r="S19" s="56">
        <v>7517237.1200000001</v>
      </c>
      <c r="T19" s="56">
        <v>43757432.125</v>
      </c>
      <c r="U19" s="56">
        <v>2164915.04</v>
      </c>
      <c r="V19" s="56">
        <v>5190516.4800000004</v>
      </c>
      <c r="W19" s="56">
        <v>1629.1433999999999</v>
      </c>
      <c r="X19" s="56">
        <v>786359.68</v>
      </c>
      <c r="Y19" s="56">
        <v>1157764.24</v>
      </c>
      <c r="Z19" s="56">
        <v>2777.8894</v>
      </c>
      <c r="AA19" s="56">
        <v>681115.00800000003</v>
      </c>
      <c r="AB19" s="56">
        <v>422640.8</v>
      </c>
      <c r="AC19" s="56">
        <v>2169743.52</v>
      </c>
      <c r="AD19" s="56">
        <v>4680613.8210000005</v>
      </c>
      <c r="AE19" s="56">
        <v>13131.018400000001</v>
      </c>
      <c r="AF19" s="56">
        <v>901059.52</v>
      </c>
      <c r="AG19" s="56">
        <v>1453.521</v>
      </c>
      <c r="AH19" s="56">
        <v>138513.61600000001</v>
      </c>
      <c r="AI19" s="56">
        <v>14842.105600000001</v>
      </c>
      <c r="AJ19" s="56">
        <v>145430.576</v>
      </c>
      <c r="AK19" s="56">
        <v>105718.16800000001</v>
      </c>
      <c r="AL19" s="56">
        <v>333989.53600000002</v>
      </c>
      <c r="AM19" s="56">
        <v>1019.102</v>
      </c>
      <c r="AN19" s="56">
        <v>111</v>
      </c>
      <c r="AO19" s="56">
        <v>6.9</v>
      </c>
      <c r="AP19" s="56">
        <v>904001</v>
      </c>
      <c r="AQ19" s="56">
        <v>43070</v>
      </c>
      <c r="AR19" s="56">
        <v>42524</v>
      </c>
      <c r="AS19" s="56">
        <v>32432</v>
      </c>
      <c r="AT19" s="56">
        <v>22148</v>
      </c>
      <c r="AU19" s="56">
        <v>16654</v>
      </c>
      <c r="AV19" s="56">
        <v>7026</v>
      </c>
      <c r="AW19" s="56">
        <v>21.239898</v>
      </c>
      <c r="AX19" s="56">
        <v>7348.326</v>
      </c>
      <c r="AY19" s="56">
        <v>685.26423999999997</v>
      </c>
      <c r="AZ19" s="56">
        <v>20.788</v>
      </c>
      <c r="BA19" s="56">
        <v>11.225</v>
      </c>
      <c r="BB19" s="56">
        <v>46.548000000000002</v>
      </c>
      <c r="BC19" s="56">
        <v>114029.064</v>
      </c>
      <c r="BD19" s="56">
        <v>278280.12800000003</v>
      </c>
      <c r="BE19" s="56">
        <v>3781.6136000000001</v>
      </c>
      <c r="BF19" s="56">
        <v>1714.182</v>
      </c>
      <c r="BG19" s="56">
        <v>76.429000000000002</v>
      </c>
      <c r="BH19" s="56">
        <v>381.00400000000002</v>
      </c>
      <c r="BI19" s="56">
        <v>936.79700000000003</v>
      </c>
      <c r="BJ19" s="56">
        <v>16.73</v>
      </c>
      <c r="BK19" s="56">
        <v>576.35</v>
      </c>
      <c r="BL19" s="56">
        <v>82879.372799999997</v>
      </c>
      <c r="BM19" s="56">
        <v>332845.82400000002</v>
      </c>
      <c r="BN19" s="56">
        <v>7368.6120000000001</v>
      </c>
      <c r="BO19" s="56">
        <v>53589.132799999999</v>
      </c>
      <c r="BP19" s="56">
        <v>319114.33600000001</v>
      </c>
      <c r="BQ19" s="56">
        <v>335.81</v>
      </c>
      <c r="BR19" s="56">
        <v>187.285</v>
      </c>
      <c r="BS19" s="56">
        <v>1073242.4140000001</v>
      </c>
      <c r="BT19" s="56">
        <v>1400634.524</v>
      </c>
      <c r="BU19" s="56">
        <v>638055.23199999996</v>
      </c>
      <c r="BV19" s="56">
        <v>1046953.92</v>
      </c>
      <c r="BW19" s="56">
        <v>579513.40800000005</v>
      </c>
      <c r="BX19" s="56">
        <v>1077835.1200000001</v>
      </c>
      <c r="BY19" s="56">
        <v>159778.17600000001</v>
      </c>
      <c r="BZ19" s="56">
        <v>115314.992</v>
      </c>
      <c r="CA19" s="56">
        <v>1244.5895</v>
      </c>
      <c r="CB19" s="56">
        <v>110289.288</v>
      </c>
      <c r="CC19" s="56">
        <v>156022.79999999999</v>
      </c>
      <c r="CD19" s="56">
        <v>455130.46399999998</v>
      </c>
      <c r="CE19" s="56">
        <v>49428.931199999999</v>
      </c>
      <c r="CF19" s="56">
        <v>157228.81599999999</v>
      </c>
      <c r="CG19" s="56">
        <v>36106.825599999996</v>
      </c>
      <c r="CH19" s="56">
        <v>2385.8710000000001</v>
      </c>
      <c r="CI19" s="56">
        <v>221.43299999999999</v>
      </c>
      <c r="CJ19" s="56">
        <v>1191.5999999999999</v>
      </c>
      <c r="CK19" s="56">
        <v>80.096999999999994</v>
      </c>
      <c r="CL19" s="56">
        <v>759.16499999999996</v>
      </c>
      <c r="CM19" s="56">
        <v>551.4</v>
      </c>
      <c r="CN19" s="56">
        <v>65205.3</v>
      </c>
      <c r="CO19" s="56">
        <v>1704.22</v>
      </c>
      <c r="CP19" s="56">
        <v>304299.59299999999</v>
      </c>
      <c r="CQ19" s="56">
        <v>3742029.44</v>
      </c>
      <c r="CR19" s="56">
        <v>133965.50399999999</v>
      </c>
      <c r="CS19" s="56">
        <v>529130.36800000002</v>
      </c>
      <c r="CT19" s="56">
        <v>3092578.1850000001</v>
      </c>
      <c r="CU19" s="56">
        <v>311583.11599999998</v>
      </c>
      <c r="CV19" s="56">
        <v>30271.817599999998</v>
      </c>
      <c r="CW19" s="56">
        <v>63886.969599999997</v>
      </c>
      <c r="CX19" s="56">
        <v>33817.872000000003</v>
      </c>
      <c r="CY19" s="56">
        <v>173669.68</v>
      </c>
      <c r="CZ19" s="56">
        <v>221883.24799999999</v>
      </c>
      <c r="DA19" s="56">
        <v>19590.52</v>
      </c>
      <c r="DB19" s="56">
        <v>155094.011</v>
      </c>
      <c r="DC19" s="56">
        <v>3330.39</v>
      </c>
      <c r="DD19" s="56">
        <v>3330.26</v>
      </c>
      <c r="DE19" s="56">
        <v>3360.93</v>
      </c>
      <c r="DF19" s="56">
        <v>0.998</v>
      </c>
      <c r="DG19" s="54" t="s">
        <v>228</v>
      </c>
      <c r="DH19" s="2">
        <f>Table2[[#This Row],[Date]]</f>
        <v>46282</v>
      </c>
      <c r="DI19">
        <f>(DD20-Table2[[#This Row],[MWH Total]])*4000</f>
        <v>26919.999999998254</v>
      </c>
      <c r="DJ19">
        <f>(DA20-Table2[[#This Row],[PNG Meter (Outside)]])*2.936</f>
        <v>28.097519999999147</v>
      </c>
      <c r="DK19">
        <f>(DB20-Table2[[#This Row],[PNG Meter (Inside)]])*2.936</f>
        <v>330.19430400002119</v>
      </c>
      <c r="DL19">
        <f>(BH20-Table2[[#This Row],[3F Dough cooler - 2 ]])*1000</f>
        <v>404.99999999997272</v>
      </c>
      <c r="DM19">
        <f>(BI20-Table2[[#This Row],[3F Dough Cooler- 1]])*1000</f>
        <v>490.99999999998545</v>
      </c>
      <c r="DN19">
        <f>(BJ20-Table2[[#This Row],[4F Dough Production cooling Unit]])*1000</f>
        <v>41.999999999998039</v>
      </c>
      <c r="DO19">
        <f>(BQ20-Table2[[#This Row],[3F2 - PDB 3 - Dough Production Area]])*1000</f>
        <v>252.00000000000955</v>
      </c>
      <c r="DP19">
        <f>(BR20-Table2[[#This Row],[3F3 - PDB 4 - Dough Area]])*1000</f>
        <v>140.00000000001478</v>
      </c>
      <c r="DQ19">
        <f>AC20-Table2[[#This Row],[16F1 Tray washer Panel for Light]]</f>
        <v>696.16000000014901</v>
      </c>
      <c r="DR19">
        <f>CQ20-Table2[[#This Row],[2F1 Tray Washer - 1]]</f>
        <v>1268.160000000149</v>
      </c>
      <c r="DS19">
        <f>CS20-Table2[[#This Row],[2F5 Destacker]]</f>
        <v>367.52000000001863</v>
      </c>
      <c r="DT19">
        <f>CU20-Table2[[#This Row],[5F1 Metering (TW-2)]]</f>
        <v>279.33800000004703</v>
      </c>
      <c r="DU19">
        <f>CV20-Table2[[#This Row],[6F1 Pre soaker Tray washer]]</f>
        <v>1.9328000000023167</v>
      </c>
      <c r="DV19">
        <f>CZ20-Table2[[#This Row],[6F5 Vent tray Storage]]</f>
        <v>86.608000000007451</v>
      </c>
      <c r="DW19">
        <f>I20-Table2[[#This Row],[Popeyes Meter ]]</f>
        <v>56.850000000000364</v>
      </c>
      <c r="DX19">
        <f>AZ20-Table2[[#This Row],[2F WH Chiller, Segregation Area]]</f>
        <v>0</v>
      </c>
      <c r="DY19">
        <f>BA20-Table2[[#This Row],[3F1 AC Unit WH dock cooling - 2 Nos]]</f>
        <v>1.7000000000001236E-2</v>
      </c>
      <c r="DZ19">
        <f>BB20-Table2[[#This Row],[3F2 AC Unit WH dock cooling - 3 Nos]]</f>
        <v>3.0000000000001137E-2</v>
      </c>
      <c r="EA19">
        <f>(BK20-Table2[[#This Row],[5F WH Perishable]])*1000</f>
        <v>281.99999999992542</v>
      </c>
      <c r="EB19">
        <f>BN20-Table2[[#This Row],[2F3 - PDB 9 - WH Dock Leveler Door ]]</f>
        <v>1.5111999999999171</v>
      </c>
      <c r="EC19">
        <f>BP20-Table2[[#This Row],[3F1 - PDB 5 - WH HSD]]</f>
        <v>119.00799999997253</v>
      </c>
      <c r="ED19">
        <f>BX20-Table2[[#This Row],[8F1 WH Dock AHU - Ventilation]]</f>
        <v>1422.3999999999069</v>
      </c>
      <c r="EE19">
        <f>BZ20-Table2[[#This Row],[8F3 ACPDB - 4 WH Dock air curtain]]</f>
        <v>17.551999999996042</v>
      </c>
      <c r="EF19">
        <f>CA20-Table2[[#This Row],[8F4 WH Light]]</f>
        <v>0</v>
      </c>
      <c r="EG19">
        <f>CC20-Table2[[#This Row],[9F1 - PDB 10 - WH Dock door &amp; Office]]</f>
        <v>115.37600000001839</v>
      </c>
      <c r="EH19">
        <f>CD20-Table2[[#This Row],[9F2 - PDB 11 - WH flycatchers]]</f>
        <v>141.18400000000838</v>
      </c>
      <c r="EI19">
        <f>CE20-Table2[[#This Row],[9F3 - PDB 12 - Other items]]</f>
        <v>74.752000000000407</v>
      </c>
      <c r="EJ19">
        <f>CR20-Table2[[#This Row],[2F3 - PDB 1 - Dock 1 to 4 ]]</f>
        <v>59.26400000002468</v>
      </c>
      <c r="EK19">
        <f>BM20-Table2[[#This Row],[2F2 - PDB 3 - WH Truck &amp; Battery Charging]]</f>
        <v>481.66399999998976</v>
      </c>
      <c r="EL19">
        <f>(CK20-Table2[[#This Row],[PDB - 11 Truck Charging]])*1000</f>
        <v>24.000000000000909</v>
      </c>
      <c r="EM19" s="1">
        <f>P20-Table2[[#This Row],[5F3 Admin Area]]</f>
        <v>388.86399999994319</v>
      </c>
      <c r="EN19">
        <f>AH20-Table2[[#This Row],[2F5 Main Gate-1 Piller -1]]</f>
        <v>129.96799999999348</v>
      </c>
      <c r="EO19">
        <f>CW20-Table2[[#This Row],[6F2 Ground Floor AC]]</f>
        <v>12.82560000000376</v>
      </c>
      <c r="EP19">
        <f>CX20-Table2[[#This Row],[6F3 ACBD -1 (First floor AC)]]</f>
        <v>9.1167999999961467</v>
      </c>
      <c r="EQ19">
        <f>CY20-Table2[[#This Row],[6F4 ACBD - 2 (Second &amp; Third floor AC)]]</f>
        <v>139.26399999999558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2006.8000000000466</v>
      </c>
      <c r="EU19">
        <f>(CL20-Table2[[#This Row],[OLD Ck Panel-1]])*1000</f>
        <v>115.00000000000909</v>
      </c>
      <c r="EV19">
        <f>CM20-Table2[[#This Row],[2F4 Old CK Blast (Blue star)]]</f>
        <v>0</v>
      </c>
      <c r="EW19">
        <f>CN20-Table2[[#This Row],[3F6 Old CK Blast (Carrier)]]</f>
        <v>17.899999999994179</v>
      </c>
      <c r="EX19">
        <f>(CO20-Table2[[#This Row],[Old CK Panel -2]])*1000</f>
        <v>1090.9999999998945</v>
      </c>
      <c r="EY19">
        <f>N20-Table2[[#This Row],[4F1 Main UPS 1/C -1]]</f>
        <v>958.39999999990687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34.999999999996589</v>
      </c>
      <c r="FC19">
        <f>BW20-Table2[[#This Row],[7F3 CLC Power Panel]]</f>
        <v>221.59999999997672</v>
      </c>
      <c r="FD19">
        <f>(CI20-Table2[[#This Row],[PDB - 17 CLC Section ]])*1000</f>
        <v>223.00000000001319</v>
      </c>
      <c r="FE19">
        <f>(W20-Table2[[#This Row],[13F3 Water &amp; Lift Old CK]])*1000</f>
        <v>762.20000000012078</v>
      </c>
      <c r="FF19">
        <f>AA20-Table2[[#This Row],[15F2 New ETP Panel]]</f>
        <v>300.60800000000745</v>
      </c>
      <c r="FG19">
        <f>AL20-Table2[[#This Row],[3F4 Old ETP Panel]]</f>
        <v>92.895999999949709</v>
      </c>
      <c r="FH19">
        <f>AF20-Table2[[#This Row],[2F1 RO Plant]]</f>
        <v>593.72800000000279</v>
      </c>
      <c r="FI19">
        <f>AK20-Table2[[#This Row],[3F3 Fire Hydrant Panel]]</f>
        <v>4.1199999999953434</v>
      </c>
      <c r="FJ19">
        <f>R20-Table2[[#This Row],[7F1 Freon System Panel]]</f>
        <v>7463.6800000006333</v>
      </c>
      <c r="FK19">
        <f>(AE20-Table2[[#This Row],[21F1 Refrigeration Ammonia]])*1000</f>
        <v>7275.2000000000407</v>
      </c>
      <c r="FL19">
        <f>(AG20-Table2[[#This Row],[2F3 Air Compressor]])*1000</f>
        <v>1008.0000000000382</v>
      </c>
      <c r="FM19">
        <f>(AX20-Table2[[#This Row],[Solar Reading Panel II]])*1000</f>
        <v>2890.9999999996217</v>
      </c>
      <c r="FN19">
        <f>AI20-Table2[[#This Row],[3F1 Maintenance Workshop]]</f>
        <v>2.4767999999985477</v>
      </c>
      <c r="FO19">
        <f>BD20-Table2[[#This Row],[4F B2B unit ]]</f>
        <v>70.463999999978114</v>
      </c>
      <c r="FP19">
        <f>BL20-Table2[[#This Row],[2F1 - PDB 6 - Bread, B2B section]]</f>
        <v>277.84320000000298</v>
      </c>
      <c r="FQ19">
        <f>(CG20-Table2[[#This Row],[9F5 - PDB 14 - Bread Lift]])</f>
        <v>0.44160000000556465</v>
      </c>
      <c r="FR19">
        <f>CJ20-Table2[[#This Row],[PDB - 16 Bread Section]]</f>
        <v>0</v>
      </c>
      <c r="FS19">
        <f>BU20-Table2[[#This Row],[7F1 Donut Production area]]</f>
        <v>179.52000000001863</v>
      </c>
      <c r="FT19">
        <f>CB20-Table2[[#This Row],[8F5 Donut Ban Bary]]</f>
        <v>19.19199999999546</v>
      </c>
      <c r="FU19">
        <f>CF20-Table2[[#This Row],[9F4 - PDB 13 - Donut Sink Geyser area]]</f>
        <v>120.01600000000326</v>
      </c>
      <c r="FV19">
        <f>BV20-Table2[[#This Row],[7F2 Flour Silo]]</f>
        <v>514.15999999991618</v>
      </c>
      <c r="FW19">
        <f>BY20-Table2[[#This Row],[8F2 ACPDB - 3 SILO Ventilation]]</f>
        <v>39.775999999983469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>
      <c r="A20" s="65">
        <v>91</v>
      </c>
      <c r="B20" s="55">
        <v>46283.388854166667</v>
      </c>
      <c r="C20" s="55">
        <v>46283.427245370367</v>
      </c>
      <c r="D20" s="65" t="s">
        <v>111</v>
      </c>
      <c r="E20" s="54"/>
      <c r="F20" s="54"/>
      <c r="G20" s="68">
        <v>46283</v>
      </c>
      <c r="H20" s="54" t="s">
        <v>182</v>
      </c>
      <c r="I20" s="56">
        <v>8847.9320000000007</v>
      </c>
      <c r="J20" s="56">
        <v>4282.1000000000004</v>
      </c>
      <c r="K20" s="56">
        <v>1779869</v>
      </c>
      <c r="L20" s="56">
        <v>461</v>
      </c>
      <c r="M20" s="56">
        <v>194.13</v>
      </c>
      <c r="N20" s="56">
        <v>1912023.2</v>
      </c>
      <c r="O20" s="56">
        <v>4684536.6399999997</v>
      </c>
      <c r="P20" s="56">
        <v>662700.35199999996</v>
      </c>
      <c r="Q20" s="56">
        <v>8219425.2800000003</v>
      </c>
      <c r="R20" s="56">
        <v>5795937.2800000003</v>
      </c>
      <c r="S20" s="56">
        <v>7520738.5599999996</v>
      </c>
      <c r="T20" s="56">
        <v>43770843.899999999</v>
      </c>
      <c r="U20" s="56">
        <v>2166480.3199999998</v>
      </c>
      <c r="V20" s="56">
        <v>5192243.5199999996</v>
      </c>
      <c r="W20" s="56">
        <v>1629.9056</v>
      </c>
      <c r="X20" s="56">
        <v>786641.66399999999</v>
      </c>
      <c r="Y20" s="56">
        <v>1159771.04</v>
      </c>
      <c r="Z20" s="56">
        <v>2777.8894</v>
      </c>
      <c r="AA20" s="56">
        <v>681415.61600000004</v>
      </c>
      <c r="AB20" s="56">
        <v>422680.09600000002</v>
      </c>
      <c r="AC20" s="56">
        <v>2170439.6800000002</v>
      </c>
      <c r="AD20" s="56">
        <v>4696316.6579999998</v>
      </c>
      <c r="AE20" s="56">
        <v>13138.293600000001</v>
      </c>
      <c r="AF20" s="56">
        <v>901653.24800000002</v>
      </c>
      <c r="AG20" s="56">
        <v>1454.529</v>
      </c>
      <c r="AH20" s="56">
        <v>138643.584</v>
      </c>
      <c r="AI20" s="56">
        <v>14844.582399999999</v>
      </c>
      <c r="AJ20" s="56">
        <v>145432.16</v>
      </c>
      <c r="AK20" s="56">
        <v>105722.288</v>
      </c>
      <c r="AL20" s="56">
        <v>334082.43199999997</v>
      </c>
      <c r="AM20" s="56">
        <v>1019.723</v>
      </c>
      <c r="AN20" s="56">
        <v>244.8</v>
      </c>
      <c r="AO20" s="56">
        <v>7</v>
      </c>
      <c r="AP20" s="56">
        <v>912705</v>
      </c>
      <c r="AQ20" s="56">
        <v>43070</v>
      </c>
      <c r="AR20" s="56">
        <v>42524</v>
      </c>
      <c r="AS20" s="56">
        <v>32432</v>
      </c>
      <c r="AT20" s="56">
        <v>22148</v>
      </c>
      <c r="AU20" s="56">
        <v>16678</v>
      </c>
      <c r="AV20" s="56">
        <v>7042</v>
      </c>
      <c r="AW20" s="56">
        <v>21.246966</v>
      </c>
      <c r="AX20" s="56">
        <v>7351.2169999999996</v>
      </c>
      <c r="AY20" s="56">
        <v>685.39527999999996</v>
      </c>
      <c r="AZ20" s="56">
        <v>20.788</v>
      </c>
      <c r="BA20" s="56">
        <v>11.242000000000001</v>
      </c>
      <c r="BB20" s="56">
        <v>46.578000000000003</v>
      </c>
      <c r="BC20" s="56">
        <v>114029.064</v>
      </c>
      <c r="BD20" s="56">
        <v>278350.592</v>
      </c>
      <c r="BE20" s="56">
        <v>3782.9234000000001</v>
      </c>
      <c r="BF20" s="56">
        <v>1714.182</v>
      </c>
      <c r="BG20" s="56">
        <v>76.463999999999999</v>
      </c>
      <c r="BH20" s="56">
        <v>381.40899999999999</v>
      </c>
      <c r="BI20" s="56">
        <v>937.28800000000001</v>
      </c>
      <c r="BJ20" s="56">
        <v>16.771999999999998</v>
      </c>
      <c r="BK20" s="56">
        <v>576.63199999999995</v>
      </c>
      <c r="BL20" s="56">
        <v>83157.216</v>
      </c>
      <c r="BM20" s="56">
        <v>333327.48800000001</v>
      </c>
      <c r="BN20" s="56">
        <v>7370.1232</v>
      </c>
      <c r="BO20" s="56">
        <v>53589.132799999999</v>
      </c>
      <c r="BP20" s="56">
        <v>319233.34399999998</v>
      </c>
      <c r="BQ20" s="56">
        <v>336.06200000000001</v>
      </c>
      <c r="BR20" s="56">
        <v>187.42500000000001</v>
      </c>
      <c r="BS20" s="56">
        <v>1074744.17</v>
      </c>
      <c r="BT20" s="56">
        <v>1400634.547</v>
      </c>
      <c r="BU20" s="56">
        <v>638234.75199999998</v>
      </c>
      <c r="BV20" s="56">
        <v>1047468.08</v>
      </c>
      <c r="BW20" s="56">
        <v>579735.00800000003</v>
      </c>
      <c r="BX20" s="56">
        <v>1079257.52</v>
      </c>
      <c r="BY20" s="56">
        <v>159817.95199999999</v>
      </c>
      <c r="BZ20" s="56">
        <v>115332.54399999999</v>
      </c>
      <c r="CA20" s="56">
        <v>1244.5895</v>
      </c>
      <c r="CB20" s="56">
        <v>110308.48</v>
      </c>
      <c r="CC20" s="56">
        <v>156138.17600000001</v>
      </c>
      <c r="CD20" s="56">
        <v>455271.64799999999</v>
      </c>
      <c r="CE20" s="56">
        <v>49503.683199999999</v>
      </c>
      <c r="CF20" s="56">
        <v>157348.83199999999</v>
      </c>
      <c r="CG20" s="56">
        <v>36107.267200000002</v>
      </c>
      <c r="CH20" s="56">
        <v>2385.8710000000001</v>
      </c>
      <c r="CI20" s="56">
        <v>221.65600000000001</v>
      </c>
      <c r="CJ20" s="56">
        <v>1191.5999999999999</v>
      </c>
      <c r="CK20" s="56">
        <v>80.120999999999995</v>
      </c>
      <c r="CL20" s="56">
        <v>759.28</v>
      </c>
      <c r="CM20" s="56">
        <v>551.4</v>
      </c>
      <c r="CN20" s="56">
        <v>65223.199999999997</v>
      </c>
      <c r="CO20" s="56">
        <v>1705.3109999999999</v>
      </c>
      <c r="CP20" s="56">
        <v>304565.68699999998</v>
      </c>
      <c r="CQ20" s="56">
        <v>3743297.6</v>
      </c>
      <c r="CR20" s="56">
        <v>134024.76800000001</v>
      </c>
      <c r="CS20" s="56">
        <v>529497.88800000004</v>
      </c>
      <c r="CT20" s="56">
        <v>3096122.7349999999</v>
      </c>
      <c r="CU20" s="56">
        <v>311862.45400000003</v>
      </c>
      <c r="CV20" s="56">
        <v>30273.750400000001</v>
      </c>
      <c r="CW20" s="56">
        <v>63899.7952</v>
      </c>
      <c r="CX20" s="56">
        <v>33826.988799999999</v>
      </c>
      <c r="CY20" s="56">
        <v>173808.94399999999</v>
      </c>
      <c r="CZ20" s="56">
        <v>221969.856</v>
      </c>
      <c r="DA20" s="56">
        <v>19600.09</v>
      </c>
      <c r="DB20" s="56">
        <v>155206.47500000001</v>
      </c>
      <c r="DC20" s="56">
        <v>3337.13</v>
      </c>
      <c r="DD20" s="56">
        <v>3336.99</v>
      </c>
      <c r="DE20" s="56">
        <v>3367.75</v>
      </c>
      <c r="DF20" s="56">
        <v>0.996</v>
      </c>
      <c r="DG20" s="54" t="s">
        <v>229</v>
      </c>
      <c r="DH20" s="2">
        <f>Table2[[#This Row],[Date]]</f>
        <v>46283</v>
      </c>
      <c r="DI20">
        <f>(DD21-Table2[[#This Row],[MWH Total]])*4000</f>
        <v>25600.000000000364</v>
      </c>
      <c r="DJ20">
        <f>(DA21-Table2[[#This Row],[PNG Meter (Outside)]])*2.936</f>
        <v>48.326559999997436</v>
      </c>
      <c r="DK20">
        <f>(DB21-Table2[[#This Row],[PNG Meter (Inside)]])*2.936</f>
        <v>378.2301999999487</v>
      </c>
      <c r="DL20">
        <f>(BH21-Table2[[#This Row],[3F Dough cooler - 2 ]])*1000</f>
        <v>405.00000000002956</v>
      </c>
      <c r="DM20">
        <f>(BI21-Table2[[#This Row],[3F Dough Cooler- 1]])*1000</f>
        <v>491.9999999999618</v>
      </c>
      <c r="DN20">
        <f>(BJ21-Table2[[#This Row],[4F Dough Production cooling Unit]])*1000</f>
        <v>49.000000000003041</v>
      </c>
      <c r="DO20">
        <f>(BQ21-Table2[[#This Row],[3F2 - PDB 3 - Dough Production Area]])*1000</f>
        <v>252.00000000000955</v>
      </c>
      <c r="DP20">
        <f>(BR21-Table2[[#This Row],[3F3 - PDB 4 - Dough Area]])*1000</f>
        <v>139.99999999998636</v>
      </c>
      <c r="DQ20">
        <f>AC21-Table2[[#This Row],[16F1 Tray washer Panel for Light]]</f>
        <v>704.63999999966472</v>
      </c>
      <c r="DR20">
        <f>CQ21-Table2[[#This Row],[2F1 Tray Washer - 1]]</f>
        <v>1301.4399999999441</v>
      </c>
      <c r="DS20">
        <f>CS21-Table2[[#This Row],[2F5 Destacker]]</f>
        <v>355.23199999995995</v>
      </c>
      <c r="DT20">
        <f>CU21-Table2[[#This Row],[5F1 Metering (TW-2)]]</f>
        <v>236.50299999996787</v>
      </c>
      <c r="DU20">
        <f>CV21-Table2[[#This Row],[6F1 Pre soaker Tray washer]]</f>
        <v>3.9007999999994354</v>
      </c>
      <c r="DV20">
        <f>CZ21-Table2[[#This Row],[6F5 Vent tray Storage]]</f>
        <v>82.432000000000698</v>
      </c>
      <c r="DW20">
        <f>I21-Table2[[#This Row],[Popeyes Meter ]]</f>
        <v>66.739999999999782</v>
      </c>
      <c r="DX20">
        <f>AZ21-Table2[[#This Row],[2F WH Chiller, Segregation Area]]</f>
        <v>0</v>
      </c>
      <c r="DY20">
        <f>BA21-Table2[[#This Row],[3F1 AC Unit WH dock cooling - 2 Nos]]</f>
        <v>1.5999999999998238E-2</v>
      </c>
      <c r="DZ20">
        <f>BB21-Table2[[#This Row],[3F2 AC Unit WH dock cooling - 3 Nos]]</f>
        <v>3.5999999999994259E-2</v>
      </c>
      <c r="EA20">
        <f>(BK21-Table2[[#This Row],[5F WH Perishable]])*1000</f>
        <v>283.00000000001546</v>
      </c>
      <c r="EB20">
        <f>BN21-Table2[[#This Row],[2F3 - PDB 9 - WH Dock Leveler Door ]]</f>
        <v>4.133600000000115</v>
      </c>
      <c r="EC20">
        <f>BP21-Table2[[#This Row],[3F1 - PDB 5 - WH HSD]]</f>
        <v>115.04000000003725</v>
      </c>
      <c r="ED20">
        <f>BX21-Table2[[#This Row],[8F1 WH Dock AHU - Ventilation]]</f>
        <v>1426.8799999998882</v>
      </c>
      <c r="EE20">
        <f>BZ21-Table2[[#This Row],[8F3 ACPDB - 4 WH Dock air curtain]]</f>
        <v>18.240000000005239</v>
      </c>
      <c r="EF20">
        <f>CA21-Table2[[#This Row],[8F4 WH Light]]</f>
        <v>0</v>
      </c>
      <c r="EG20">
        <f>CC21-Table2[[#This Row],[9F1 - PDB 10 - WH Dock door &amp; Office]]</f>
        <v>169.96799999999348</v>
      </c>
      <c r="EH20">
        <f>CD21-Table2[[#This Row],[9F2 - PDB 11 - WH flycatchers]]</f>
        <v>147.80800000001909</v>
      </c>
      <c r="EI20">
        <f>CE21-Table2[[#This Row],[9F3 - PDB 12 - Other items]]</f>
        <v>72.806400000001304</v>
      </c>
      <c r="EJ20">
        <f>CR21-Table2[[#This Row],[2F3 - PDB 1 - Dock 1 to 4 ]]</f>
        <v>54.855999999999767</v>
      </c>
      <c r="EK20">
        <f>BM21-Table2[[#This Row],[2F2 - PDB 3 - WH Truck &amp; Battery Charging]]</f>
        <v>455.03999999997905</v>
      </c>
      <c r="EL20">
        <f>(CK21-Table2[[#This Row],[PDB - 11 Truck Charging]])*1000</f>
        <v>15.000000000000568</v>
      </c>
      <c r="EM20" s="1">
        <f>P21-Table2[[#This Row],[5F3 Admin Area]]</f>
        <v>383.29600000008941</v>
      </c>
      <c r="EN20">
        <f>AH21-Table2[[#This Row],[2F5 Main Gate-1 Piller -1]]</f>
        <v>120.06399999998393</v>
      </c>
      <c r="EO20">
        <f>CW21-Table2[[#This Row],[6F2 Ground Floor AC]]</f>
        <v>13.152000000001863</v>
      </c>
      <c r="EP20">
        <f>CX21-Table2[[#This Row],[6F3 ACBD -1 (First floor AC)]]</f>
        <v>9.2416000000011991</v>
      </c>
      <c r="EQ20">
        <f>CY21-Table2[[#This Row],[6F4 ACBD - 2 (Second &amp; Third floor AC)]]</f>
        <v>93.680000000022119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2075.6799999999348</v>
      </c>
      <c r="EU20">
        <f>(CL21-Table2[[#This Row],[OLD Ck Panel-1]])*1000</f>
        <v>108.00000000006094</v>
      </c>
      <c r="EV20">
        <f>CM21-Table2[[#This Row],[2F4 Old CK Blast (Blue star)]]</f>
        <v>0</v>
      </c>
      <c r="EW20">
        <f>CN21-Table2[[#This Row],[3F6 Old CK Blast (Carrier)]]</f>
        <v>0.30000000000291038</v>
      </c>
      <c r="EX20">
        <f>(CO21-Table2[[#This Row],[Old CK Panel -2]])*1000</f>
        <v>1439.0000000000782</v>
      </c>
      <c r="EY20">
        <f>N21-Table2[[#This Row],[4F1 Main UPS 1/C -1]]</f>
        <v>955.19999999995343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379.55200000002515</v>
      </c>
      <c r="FD20">
        <f>(CI21-Table2[[#This Row],[PDB - 17 CLC Section ]])*1000</f>
        <v>183.9999999999975</v>
      </c>
      <c r="FE20">
        <f>(W21-Table2[[#This Row],[13F3 Water &amp; Lift Old CK]])*1000</f>
        <v>286.2999999999829</v>
      </c>
      <c r="FF20">
        <f>AA21-Table2[[#This Row],[15F2 New ETP Panel]]</f>
        <v>296.31999999994878</v>
      </c>
      <c r="FG20">
        <f>AL21-Table2[[#This Row],[3F4 Old ETP Panel]]</f>
        <v>73.312000000034459</v>
      </c>
      <c r="FH20">
        <f>AF21-Table2[[#This Row],[2F1 RO Plant]]</f>
        <v>582.46400000003632</v>
      </c>
      <c r="FI20">
        <f>AK21-Table2[[#This Row],[3F3 Fire Hydrant Panel]]</f>
        <v>5.3919999999925494</v>
      </c>
      <c r="FJ20">
        <f>R21-Table2[[#This Row],[7F1 Freon System Panel]]</f>
        <v>7072</v>
      </c>
      <c r="FK20">
        <f>(AE21-Table2[[#This Row],[21F1 Refrigeration Ammonia]])*1000</f>
        <v>6803.1999999984691</v>
      </c>
      <c r="FL20">
        <f>(AG21-Table2[[#This Row],[2F3 Air Compressor]])*1000</f>
        <v>1076.9999999999982</v>
      </c>
      <c r="FM20">
        <f>(AX21-Table2[[#This Row],[Solar Reading Panel II]])*1000</f>
        <v>3079.9999999999272</v>
      </c>
      <c r="FN20">
        <f>AI21-Table2[[#This Row],[3F1 Maintenance Workshop]]</f>
        <v>4.5952000000015687</v>
      </c>
      <c r="FO20">
        <f>BD21-Table2[[#This Row],[4F B2B unit ]]</f>
        <v>96.896000000007916</v>
      </c>
      <c r="FP20">
        <f>BL21-Table2[[#This Row],[2F1 - PDB 6 - Bread, B2B section]]</f>
        <v>373.26080000000366</v>
      </c>
      <c r="FQ20">
        <f>(CG21-Table2[[#This Row],[9F5 - PDB 14 - Bread Lift]])</f>
        <v>0.94079999999667052</v>
      </c>
      <c r="FR20">
        <f>CJ21-Table2[[#This Row],[PDB - 16 Bread Section]]</f>
        <v>0</v>
      </c>
      <c r="FS20">
        <f>BU21-Table2[[#This Row],[7F1 Donut Production area]]</f>
        <v>157.44000000006054</v>
      </c>
      <c r="FT20">
        <f>CB21-Table2[[#This Row],[8F5 Donut Ban Bary]]</f>
        <v>19.944000000003143</v>
      </c>
      <c r="FU20">
        <f>CF21-Table2[[#This Row],[9F4 - PDB 13 - Donut Sink Geyser area]]</f>
        <v>122.04800000000978</v>
      </c>
      <c r="FV20">
        <f>BV21-Table2[[#This Row],[7F2 Flour Silo]]</f>
        <v>596.08000000007451</v>
      </c>
      <c r="FW20">
        <f>BY21-Table2[[#This Row],[8F2 ACPDB - 3 SILO Ventilation]]</f>
        <v>40.25600000002305</v>
      </c>
      <c r="FX20">
        <f>J21-Table2[[#This Row],[DG 1010KVA Running Hours]]</f>
        <v>9.9999999999454303E-2</v>
      </c>
      <c r="FY20">
        <f>K21-Table2[[#This Row],[DG 1010 KVA Meter Reading]]</f>
        <v>22</v>
      </c>
      <c r="FZ20">
        <f>L21-Table2[[#This Row],[GG 1010 KVA Running Hours]]</f>
        <v>1</v>
      </c>
      <c r="GA20">
        <f>M21-Table2[[#This Row],[GG 1010 KVA Meter Reading]]</f>
        <v>0</v>
      </c>
    </row>
    <row r="21" spans="1:183">
      <c r="A21" s="65">
        <v>92</v>
      </c>
      <c r="B21" s="55">
        <v>46284.391863425924</v>
      </c>
      <c r="C21" s="55">
        <v>46284.434131944443</v>
      </c>
      <c r="D21" s="65" t="s">
        <v>111</v>
      </c>
      <c r="E21" s="54"/>
      <c r="F21" s="54"/>
      <c r="G21" s="68">
        <v>46284</v>
      </c>
      <c r="H21" s="54" t="s">
        <v>182</v>
      </c>
      <c r="I21" s="56">
        <v>8914.6720000000005</v>
      </c>
      <c r="J21" s="56">
        <v>4282.2</v>
      </c>
      <c r="K21" s="56">
        <v>1779891</v>
      </c>
      <c r="L21" s="56">
        <v>462</v>
      </c>
      <c r="M21" s="56">
        <v>194.13</v>
      </c>
      <c r="N21" s="56">
        <v>1912978.4</v>
      </c>
      <c r="O21" s="56">
        <v>4686257.5999999996</v>
      </c>
      <c r="P21" s="56">
        <v>663083.64800000004</v>
      </c>
      <c r="Q21" s="56">
        <v>8222689.2800000003</v>
      </c>
      <c r="R21" s="56">
        <v>5803009.2800000003</v>
      </c>
      <c r="S21" s="56">
        <v>7524342.4000000004</v>
      </c>
      <c r="T21" s="56">
        <v>43783886.390000001</v>
      </c>
      <c r="U21" s="56">
        <v>2168185.44</v>
      </c>
      <c r="V21" s="56">
        <v>5193972.4800000004</v>
      </c>
      <c r="W21" s="56">
        <v>1630.1919</v>
      </c>
      <c r="X21" s="56">
        <v>786879.93599999999</v>
      </c>
      <c r="Y21" s="56">
        <v>1161846.72</v>
      </c>
      <c r="Z21" s="56">
        <v>2777.8894</v>
      </c>
      <c r="AA21" s="56">
        <v>681711.93599999999</v>
      </c>
      <c r="AB21" s="56">
        <v>422715.07199999999</v>
      </c>
      <c r="AC21" s="56">
        <v>2171144.3199999998</v>
      </c>
      <c r="AD21" s="56">
        <v>4710701.335</v>
      </c>
      <c r="AE21" s="56">
        <v>13145.096799999999</v>
      </c>
      <c r="AF21" s="56">
        <v>902235.71200000006</v>
      </c>
      <c r="AG21" s="56">
        <v>1455.606</v>
      </c>
      <c r="AH21" s="56">
        <v>138763.64799999999</v>
      </c>
      <c r="AI21" s="56">
        <v>14849.177600000001</v>
      </c>
      <c r="AJ21" s="56">
        <v>145433.74400000001</v>
      </c>
      <c r="AK21" s="56">
        <v>105727.67999999999</v>
      </c>
      <c r="AL21" s="56">
        <v>334155.74400000001</v>
      </c>
      <c r="AM21" s="56">
        <v>1020.217</v>
      </c>
      <c r="AN21" s="56">
        <v>288.8</v>
      </c>
      <c r="AO21" s="56">
        <v>7</v>
      </c>
      <c r="AP21" s="56">
        <v>922456</v>
      </c>
      <c r="AQ21" s="56">
        <v>43070</v>
      </c>
      <c r="AR21" s="56">
        <v>42524</v>
      </c>
      <c r="AS21" s="56">
        <v>32432</v>
      </c>
      <c r="AT21" s="56">
        <v>22148</v>
      </c>
      <c r="AU21" s="56">
        <v>16702</v>
      </c>
      <c r="AV21" s="56">
        <v>7059</v>
      </c>
      <c r="AW21" s="56">
        <v>21.253571999999998</v>
      </c>
      <c r="AX21" s="56">
        <v>7354.2969999999996</v>
      </c>
      <c r="AY21" s="56">
        <v>685.53704000000005</v>
      </c>
      <c r="AZ21" s="56">
        <v>20.788</v>
      </c>
      <c r="BA21" s="56">
        <v>11.257999999999999</v>
      </c>
      <c r="BB21" s="56">
        <v>46.613999999999997</v>
      </c>
      <c r="BC21" s="56">
        <v>114029.064</v>
      </c>
      <c r="BD21" s="56">
        <v>278447.48800000001</v>
      </c>
      <c r="BE21" s="56">
        <v>3784.2356</v>
      </c>
      <c r="BF21" s="56">
        <v>1714.182</v>
      </c>
      <c r="BG21" s="56">
        <v>76.498999999999995</v>
      </c>
      <c r="BH21" s="56">
        <v>381.81400000000002</v>
      </c>
      <c r="BI21" s="56">
        <v>937.78</v>
      </c>
      <c r="BJ21" s="56">
        <v>16.821000000000002</v>
      </c>
      <c r="BK21" s="56">
        <v>576.91499999999996</v>
      </c>
      <c r="BL21" s="56">
        <v>83530.476800000004</v>
      </c>
      <c r="BM21" s="56">
        <v>333782.52799999999</v>
      </c>
      <c r="BN21" s="56">
        <v>7374.2568000000001</v>
      </c>
      <c r="BO21" s="56">
        <v>53589.132799999999</v>
      </c>
      <c r="BP21" s="56">
        <v>319348.38400000002</v>
      </c>
      <c r="BQ21" s="56">
        <v>336.31400000000002</v>
      </c>
      <c r="BR21" s="56">
        <v>187.565</v>
      </c>
      <c r="BS21" s="56">
        <v>1076420.3570000001</v>
      </c>
      <c r="BT21" s="56">
        <v>1400634.581</v>
      </c>
      <c r="BU21" s="56">
        <v>638392.19200000004</v>
      </c>
      <c r="BV21" s="56">
        <v>1048064.16</v>
      </c>
      <c r="BW21" s="56">
        <v>580114.56000000006</v>
      </c>
      <c r="BX21" s="56">
        <v>1080684.3999999999</v>
      </c>
      <c r="BY21" s="56">
        <v>159858.20800000001</v>
      </c>
      <c r="BZ21" s="56">
        <v>115350.784</v>
      </c>
      <c r="CA21" s="56">
        <v>1244.5895</v>
      </c>
      <c r="CB21" s="56">
        <v>110328.424</v>
      </c>
      <c r="CC21" s="56">
        <v>156308.144</v>
      </c>
      <c r="CD21" s="56">
        <v>455419.45600000001</v>
      </c>
      <c r="CE21" s="56">
        <v>49576.489600000001</v>
      </c>
      <c r="CF21" s="56">
        <v>157470.88</v>
      </c>
      <c r="CG21" s="56">
        <v>36108.207999999999</v>
      </c>
      <c r="CH21" s="56">
        <v>2385.8710000000001</v>
      </c>
      <c r="CI21" s="56">
        <v>221.84</v>
      </c>
      <c r="CJ21" s="56">
        <v>1191.5999999999999</v>
      </c>
      <c r="CK21" s="56">
        <v>80.135999999999996</v>
      </c>
      <c r="CL21" s="56">
        <v>759.38800000000003</v>
      </c>
      <c r="CM21" s="56">
        <v>551.4</v>
      </c>
      <c r="CN21" s="56">
        <v>65223.5</v>
      </c>
      <c r="CO21" s="56">
        <v>1706.75</v>
      </c>
      <c r="CP21" s="56">
        <v>304829.848</v>
      </c>
      <c r="CQ21" s="56">
        <v>3744599.04</v>
      </c>
      <c r="CR21" s="56">
        <v>134079.62400000001</v>
      </c>
      <c r="CS21" s="56">
        <v>529853.12</v>
      </c>
      <c r="CT21" s="56">
        <v>3099801.406</v>
      </c>
      <c r="CU21" s="56">
        <v>312098.95699999999</v>
      </c>
      <c r="CV21" s="56">
        <v>30277.6512</v>
      </c>
      <c r="CW21" s="56">
        <v>63912.947200000002</v>
      </c>
      <c r="CX21" s="56">
        <v>33836.2304</v>
      </c>
      <c r="CY21" s="56">
        <v>173902.62400000001</v>
      </c>
      <c r="CZ21" s="56">
        <v>222052.288</v>
      </c>
      <c r="DA21" s="56">
        <v>19616.55</v>
      </c>
      <c r="DB21" s="56">
        <v>155335.29999999999</v>
      </c>
      <c r="DC21" s="56">
        <v>3343.52</v>
      </c>
      <c r="DD21" s="56">
        <v>3343.39</v>
      </c>
      <c r="DE21" s="56">
        <v>3374.26</v>
      </c>
      <c r="DF21" s="56">
        <v>0.98699999999999999</v>
      </c>
      <c r="DG21" s="54" t="s">
        <v>213</v>
      </c>
      <c r="DH21" s="2">
        <f>Table2[[#This Row],[Date]]</f>
        <v>46284</v>
      </c>
      <c r="DI21">
        <f>(DD22-Table2[[#This Row],[MWH Total]])*4000</f>
        <v>27520.000000000437</v>
      </c>
      <c r="DJ21">
        <f>(DA22-Table2[[#This Row],[PNG Meter (Outside)]])*2.936</f>
        <v>22.489759999999574</v>
      </c>
      <c r="DK21">
        <f>(DB22-Table2[[#This Row],[PNG Meter (Inside)]])*2.936</f>
        <v>167.24336800005264</v>
      </c>
      <c r="DL21">
        <f>(BH22-Table2[[#This Row],[3F Dough cooler - 2 ]])*1000</f>
        <v>278.99999999999636</v>
      </c>
      <c r="DM21">
        <f>(BI22-Table2[[#This Row],[3F Dough Cooler- 1]])*1000</f>
        <v>338.00000000007913</v>
      </c>
      <c r="DN21">
        <f>(BJ22-Table2[[#This Row],[4F Dough Production cooling Unit]])*1000</f>
        <v>16.99999999999946</v>
      </c>
      <c r="DO21">
        <f>(BQ22-Table2[[#This Row],[3F2 - PDB 3 - Dough Production Area]])*1000</f>
        <v>134.99999999999091</v>
      </c>
      <c r="DP21">
        <f>(BR22-Table2[[#This Row],[3F3 - PDB 4 - Dough Area]])*1000</f>
        <v>76.999999999998181</v>
      </c>
      <c r="DQ21">
        <f>AC22-Table2[[#This Row],[16F1 Tray washer Panel for Light]]</f>
        <v>474.8800000003539</v>
      </c>
      <c r="DR21">
        <f>CQ22-Table2[[#This Row],[2F1 Tray Washer - 1]]</f>
        <v>854.39999999990687</v>
      </c>
      <c r="DS21">
        <f>CS22-Table2[[#This Row],[2F5 Destacker]]</f>
        <v>237.82400000002235</v>
      </c>
      <c r="DT21">
        <f>CU22-Table2[[#This Row],[5F1 Metering (TW-2)]]</f>
        <v>179.51199999998789</v>
      </c>
      <c r="DU21">
        <f>CV22-Table2[[#This Row],[6F1 Pre soaker Tray washer]]</f>
        <v>3.1999999991967343E-3</v>
      </c>
      <c r="DV21">
        <f>CZ22-Table2[[#This Row],[6F5 Vent tray Storage]]</f>
        <v>69.071999999985565</v>
      </c>
      <c r="DW21">
        <f>I22-Table2[[#This Row],[Popeyes Meter ]]</f>
        <v>31.829999999999927</v>
      </c>
      <c r="DX21">
        <f>AZ22-Table2[[#This Row],[2F WH Chiller, Segregation Area]]</f>
        <v>0</v>
      </c>
      <c r="DY21">
        <f>BA22-Table2[[#This Row],[3F1 AC Unit WH dock cooling - 2 Nos]]</f>
        <v>1.0000000000001563E-2</v>
      </c>
      <c r="DZ21">
        <f>BB22-Table2[[#This Row],[3F2 AC Unit WH dock cooling - 3 Nos]]</f>
        <v>1.5000000000000568E-2</v>
      </c>
      <c r="EA21">
        <f>(BK22-Table2[[#This Row],[5F WH Perishable]])*1000</f>
        <v>196.00000000002638</v>
      </c>
      <c r="EB21">
        <f>BN22-Table2[[#This Row],[2F3 - PDB 9 - WH Dock Leveler Door ]]</f>
        <v>9.0815999999995256</v>
      </c>
      <c r="EC21">
        <f>BP22-Table2[[#This Row],[3F1 - PDB 5 - WH HSD]]</f>
        <v>76.383999999961816</v>
      </c>
      <c r="ED21">
        <f>BX22-Table2[[#This Row],[8F1 WH Dock AHU - Ventilation]]</f>
        <v>992.72000000020489</v>
      </c>
      <c r="EE21">
        <f>BZ22-Table2[[#This Row],[8F3 ACPDB - 4 WH Dock air curtain]]</f>
        <v>12.728000000002794</v>
      </c>
      <c r="EF21">
        <f>CA22-Table2[[#This Row],[8F4 WH Light]]</f>
        <v>0</v>
      </c>
      <c r="EG21">
        <f>CC22-Table2[[#This Row],[9F1 - PDB 10 - WH Dock door &amp; Office]]</f>
        <v>110.11199999999371</v>
      </c>
      <c r="EH21">
        <f>CD22-Table2[[#This Row],[9F2 - PDB 11 - WH flycatchers]]</f>
        <v>216.83199999999488</v>
      </c>
      <c r="EI21">
        <f>CE22-Table2[[#This Row],[9F3 - PDB 12 - Other items]]</f>
        <v>38.18239999999787</v>
      </c>
      <c r="EJ21">
        <f>CR22-Table2[[#This Row],[2F3 - PDB 1 - Dock 1 to 4 ]]</f>
        <v>35.144000000000233</v>
      </c>
      <c r="EK21">
        <f>BM22-Table2[[#This Row],[2F2 - PDB 3 - WH Truck &amp; Battery Charging]]</f>
        <v>449.56800000002841</v>
      </c>
      <c r="EL21">
        <f>(CK22-Table2[[#This Row],[PDB - 11 Truck Charging]])*1000</f>
        <v>13.00000000000523</v>
      </c>
      <c r="EM21" s="1">
        <f>P22-Table2[[#This Row],[5F3 Admin Area]]</f>
        <v>272.25599999993574</v>
      </c>
      <c r="EN21">
        <f>AH22-Table2[[#This Row],[2F5 Main Gate-1 Piller -1]]</f>
        <v>79.296000000002095</v>
      </c>
      <c r="EO21">
        <f>CW22-Table2[[#This Row],[6F2 Ground Floor AC]]</f>
        <v>7.3983999999982188</v>
      </c>
      <c r="EP21">
        <f>CX22-Table2[[#This Row],[6F3 ACBD -1 (First floor AC)]]</f>
        <v>6.2784000000028755</v>
      </c>
      <c r="EQ21">
        <f>CY22-Table2[[#This Row],[6F4 ACBD - 2 (Second &amp; Third floor AC)]]</f>
        <v>6.3999999983934686E-2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1235.1200000001118</v>
      </c>
      <c r="EU21">
        <f>(CL22-Table2[[#This Row],[OLD Ck Panel-1]])*1000</f>
        <v>115.00000000000909</v>
      </c>
      <c r="EV21">
        <f>CM22-Table2[[#This Row],[2F4 Old CK Blast (Blue star)]]</f>
        <v>0</v>
      </c>
      <c r="EW21">
        <f>CN22-Table2[[#This Row],[3F6 Old CK Blast (Carrier)]]</f>
        <v>26</v>
      </c>
      <c r="EX21">
        <f>(CO22-Table2[[#This Row],[Old CK Panel -2]])*1000</f>
        <v>1143.0000000000291</v>
      </c>
      <c r="EY21">
        <f>N22-Table2[[#This Row],[4F1 Main UPS 1/C -1]]</f>
        <v>669.76000000000931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25.000000000005684</v>
      </c>
      <c r="FC21">
        <f>BW22-Table2[[#This Row],[7F3 CLC Power Panel]]</f>
        <v>190.01599999994505</v>
      </c>
      <c r="FD21">
        <f>(CI22-Table2[[#This Row],[PDB - 17 CLC Section ]])*1000</f>
        <v>117.999999999995</v>
      </c>
      <c r="FE21">
        <f>(W22-Table2[[#This Row],[13F3 Water &amp; Lift Old CK]])*1000</f>
        <v>857.79999999999745</v>
      </c>
      <c r="FF21">
        <f>AA22-Table2[[#This Row],[15F2 New ETP Panel]]</f>
        <v>206.52800000004936</v>
      </c>
      <c r="FG21">
        <f>AL22-Table2[[#This Row],[3F4 Old ETP Panel]]</f>
        <v>65.695999999996275</v>
      </c>
      <c r="FH21">
        <f>AF22-Table2[[#This Row],[2F1 RO Plant]]</f>
        <v>388.22399999992922</v>
      </c>
      <c r="FI21">
        <f>AK22-Table2[[#This Row],[3F3 Fire Hydrant Panel]]</f>
        <v>3.768000000010943</v>
      </c>
      <c r="FJ21">
        <f>R22-Table2[[#This Row],[7F1 Freon System Panel]]</f>
        <v>4640</v>
      </c>
      <c r="FK21">
        <f>(AE22-Table2[[#This Row],[21F1 Refrigeration Ammonia]])*1000</f>
        <v>4579.2000000001281</v>
      </c>
      <c r="FL21">
        <f>(AG22-Table2[[#This Row],[2F3 Air Compressor]])*1000</f>
        <v>740.99999999998545</v>
      </c>
      <c r="FM21">
        <f>(AX22-Table2[[#This Row],[Solar Reading Panel II]])*1000</f>
        <v>1600.0000000003638</v>
      </c>
      <c r="FN21">
        <f>AI22-Table2[[#This Row],[3F1 Maintenance Workshop]]</f>
        <v>3.5247999999992317</v>
      </c>
      <c r="FO21">
        <f>BD22-Table2[[#This Row],[4F B2B unit ]]</f>
        <v>55.35999999998603</v>
      </c>
      <c r="FP21">
        <f>BL22-Table2[[#This Row],[2F1 - PDB 6 - Bread, B2B section]]</f>
        <v>114.50239999999758</v>
      </c>
      <c r="FQ21">
        <f>(CG22-Table2[[#This Row],[9F5 - PDB 14 - Bread Lift]])</f>
        <v>0.40899999999965075</v>
      </c>
      <c r="FR21">
        <f>CJ22-Table2[[#This Row],[PDB - 16 Bread Section]]</f>
        <v>0</v>
      </c>
      <c r="FS21">
        <f>BU22-Table2[[#This Row],[7F1 Donut Production area]]</f>
        <v>146.43199999991339</v>
      </c>
      <c r="FT21">
        <f>CB22-Table2[[#This Row],[8F5 Donut Ban Bary]]</f>
        <v>17.880000000004657</v>
      </c>
      <c r="FU21">
        <f>CF22-Table2[[#This Row],[9F4 - PDB 13 - Donut Sink Geyser area]]</f>
        <v>85.679999999993015</v>
      </c>
      <c r="FV21">
        <f>BV22-Table2[[#This Row],[7F2 Flour Silo]]</f>
        <v>305.91999999992549</v>
      </c>
      <c r="FW21">
        <f>BY22-Table2[[#This Row],[8F2 ACPDB - 3 SILO Ventilation]]</f>
        <v>28.36799999998766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>
      <c r="A22" s="65">
        <v>94</v>
      </c>
      <c r="B22" s="55">
        <v>46286.571620370371</v>
      </c>
      <c r="C22" s="55">
        <v>46286.591284722221</v>
      </c>
      <c r="D22" s="65" t="s">
        <v>111</v>
      </c>
      <c r="E22" s="54"/>
      <c r="F22" s="54"/>
      <c r="G22" s="68">
        <v>46285</v>
      </c>
      <c r="H22" s="54" t="s">
        <v>182</v>
      </c>
      <c r="I22" s="56">
        <v>8946.5020000000004</v>
      </c>
      <c r="J22" s="56">
        <v>4282.2</v>
      </c>
      <c r="K22" s="56">
        <v>1779891</v>
      </c>
      <c r="L22" s="56">
        <v>462</v>
      </c>
      <c r="M22" s="56">
        <v>194.13</v>
      </c>
      <c r="N22" s="56">
        <v>1913648.16</v>
      </c>
      <c r="O22" s="56">
        <v>4687452.1600000001</v>
      </c>
      <c r="P22" s="56">
        <v>663355.90399999998</v>
      </c>
      <c r="Q22" s="56">
        <v>8224186.8799999999</v>
      </c>
      <c r="R22" s="56">
        <v>5807649.2800000003</v>
      </c>
      <c r="S22" s="56">
        <v>7526682.8799999999</v>
      </c>
      <c r="T22" s="56">
        <v>43338160.802000001</v>
      </c>
      <c r="U22" s="56">
        <v>2169183.04</v>
      </c>
      <c r="V22" s="56">
        <v>5195158.4000000004</v>
      </c>
      <c r="W22" s="56">
        <v>1631.0497</v>
      </c>
      <c r="X22" s="56">
        <v>787060.67200000002</v>
      </c>
      <c r="Y22" s="56">
        <v>1163081.8400000001</v>
      </c>
      <c r="Z22" s="56">
        <v>2777.8894</v>
      </c>
      <c r="AA22" s="56">
        <v>681918.46400000004</v>
      </c>
      <c r="AB22" s="56">
        <v>422747.93599999999</v>
      </c>
      <c r="AC22" s="56">
        <v>2171619.2000000002</v>
      </c>
      <c r="AD22" s="56">
        <v>3140987.415</v>
      </c>
      <c r="AE22" s="56">
        <v>13149.675999999999</v>
      </c>
      <c r="AF22" s="56">
        <v>902623.93599999999</v>
      </c>
      <c r="AG22" s="56">
        <v>1456.347</v>
      </c>
      <c r="AH22" s="56">
        <v>138842.94399999999</v>
      </c>
      <c r="AI22" s="56">
        <v>14852.7024</v>
      </c>
      <c r="AJ22" s="56">
        <v>145435.21599999999</v>
      </c>
      <c r="AK22" s="56">
        <v>105731.448</v>
      </c>
      <c r="AL22" s="56">
        <v>334221.44</v>
      </c>
      <c r="AM22" s="56">
        <v>1020.62</v>
      </c>
      <c r="AN22" s="56">
        <v>273.10000000000002</v>
      </c>
      <c r="AO22" s="56">
        <v>7.4</v>
      </c>
      <c r="AP22" s="56">
        <v>929272</v>
      </c>
      <c r="AQ22" s="56">
        <v>43070</v>
      </c>
      <c r="AR22" s="56">
        <v>42524</v>
      </c>
      <c r="AS22" s="56">
        <v>32432</v>
      </c>
      <c r="AT22" s="56">
        <v>22148</v>
      </c>
      <c r="AU22" s="56">
        <v>16718</v>
      </c>
      <c r="AV22" s="56">
        <v>7071</v>
      </c>
      <c r="AW22" s="56">
        <v>21.258050000000001</v>
      </c>
      <c r="AX22" s="56">
        <v>7355.8969999999999</v>
      </c>
      <c r="AY22" s="56">
        <v>685.62544000000003</v>
      </c>
      <c r="AZ22" s="56">
        <v>20.788</v>
      </c>
      <c r="BA22" s="56">
        <v>11.268000000000001</v>
      </c>
      <c r="BB22" s="56">
        <v>46.628999999999998</v>
      </c>
      <c r="BC22" s="56">
        <v>114029.064</v>
      </c>
      <c r="BD22" s="56">
        <v>278502.848</v>
      </c>
      <c r="BE22" s="56">
        <v>3785.1131999999998</v>
      </c>
      <c r="BF22" s="56">
        <v>1714.182</v>
      </c>
      <c r="BG22" s="56">
        <v>76.524000000000001</v>
      </c>
      <c r="BH22" s="56">
        <v>382.09300000000002</v>
      </c>
      <c r="BI22" s="56">
        <v>938.11800000000005</v>
      </c>
      <c r="BJ22" s="56">
        <v>16.838000000000001</v>
      </c>
      <c r="BK22" s="56">
        <v>577.11099999999999</v>
      </c>
      <c r="BL22" s="56">
        <v>83644.979200000002</v>
      </c>
      <c r="BM22" s="56">
        <v>334232.09600000002</v>
      </c>
      <c r="BN22" s="56">
        <v>7383.3383999999996</v>
      </c>
      <c r="BO22" s="56">
        <v>53589.132799999999</v>
      </c>
      <c r="BP22" s="56">
        <v>319424.76799999998</v>
      </c>
      <c r="BQ22" s="56">
        <v>336.44900000000001</v>
      </c>
      <c r="BR22" s="56">
        <v>187.642</v>
      </c>
      <c r="BS22" s="56">
        <v>1077380.8600000001</v>
      </c>
      <c r="BT22" s="56">
        <v>1400636.348</v>
      </c>
      <c r="BU22" s="56">
        <v>638538.62399999995</v>
      </c>
      <c r="BV22" s="56">
        <v>1048370.08</v>
      </c>
      <c r="BW22" s="56">
        <v>580304.576</v>
      </c>
      <c r="BX22" s="56">
        <v>1081677.1200000001</v>
      </c>
      <c r="BY22" s="56">
        <v>159886.576</v>
      </c>
      <c r="BZ22" s="56">
        <v>115363.512</v>
      </c>
      <c r="CA22" s="56">
        <v>1244.5895</v>
      </c>
      <c r="CB22" s="56">
        <v>110346.304</v>
      </c>
      <c r="CC22" s="56">
        <v>156418.25599999999</v>
      </c>
      <c r="CD22" s="56">
        <v>455636.288</v>
      </c>
      <c r="CE22" s="56">
        <v>49614.671999999999</v>
      </c>
      <c r="CF22" s="56">
        <v>157556.56</v>
      </c>
      <c r="CG22" s="56">
        <v>36108.616999999998</v>
      </c>
      <c r="CH22" s="56">
        <v>2385.8710000000001</v>
      </c>
      <c r="CI22" s="56">
        <v>221.958</v>
      </c>
      <c r="CJ22" s="56">
        <v>1191.5999999999999</v>
      </c>
      <c r="CK22" s="56">
        <v>80.149000000000001</v>
      </c>
      <c r="CL22" s="56">
        <v>759.50300000000004</v>
      </c>
      <c r="CM22" s="56">
        <v>551.4</v>
      </c>
      <c r="CN22" s="56">
        <v>65249.5</v>
      </c>
      <c r="CO22" s="56">
        <v>1707.893</v>
      </c>
      <c r="CP22" s="56">
        <v>305018.18300000002</v>
      </c>
      <c r="CQ22" s="56">
        <v>3745453.44</v>
      </c>
      <c r="CR22" s="56">
        <v>134114.76800000001</v>
      </c>
      <c r="CS22" s="56">
        <v>530090.94400000002</v>
      </c>
      <c r="CT22" s="56">
        <v>3102198.352</v>
      </c>
      <c r="CU22" s="56">
        <v>312278.46899999998</v>
      </c>
      <c r="CV22" s="56">
        <v>30277.654399999999</v>
      </c>
      <c r="CW22" s="56">
        <v>63920.345600000001</v>
      </c>
      <c r="CX22" s="56">
        <v>33842.508800000003</v>
      </c>
      <c r="CY22" s="56">
        <v>173902.68799999999</v>
      </c>
      <c r="CZ22" s="56">
        <v>222121.36</v>
      </c>
      <c r="DA22" s="56">
        <v>19624.21</v>
      </c>
      <c r="DB22" s="56">
        <v>155392.26300000001</v>
      </c>
      <c r="DC22" s="56">
        <v>3350.38</v>
      </c>
      <c r="DD22" s="56">
        <v>3350.27</v>
      </c>
      <c r="DE22" s="56">
        <v>3381.26</v>
      </c>
      <c r="DF22" s="56">
        <v>0.98599999999999999</v>
      </c>
      <c r="DG22" s="54" t="s">
        <v>231</v>
      </c>
      <c r="DH22" s="2">
        <f>Table2[[#This Row],[Date]]</f>
        <v>46285</v>
      </c>
      <c r="DI22">
        <f>(DD23-Table2[[#This Row],[MWH Total]])*4000</f>
        <v>23000</v>
      </c>
      <c r="DJ22">
        <f>(DA23-Table2[[#This Row],[PNG Meter (Outside)]])*2.936</f>
        <v>0.17616000000384519</v>
      </c>
      <c r="DK22">
        <f>(DB23-Table2[[#This Row],[PNG Meter (Inside)]])*2.936</f>
        <v>175.12946400001437</v>
      </c>
      <c r="DL22">
        <f>(BH23-Table2[[#This Row],[3F Dough cooler - 2 ]])*1000</f>
        <v>519.99999999998181</v>
      </c>
      <c r="DM22">
        <f>(BI23-Table2[[#This Row],[3F Dough Cooler- 1]])*1000</f>
        <v>629.99999999999545</v>
      </c>
      <c r="DN22">
        <f>(BJ23-Table2[[#This Row],[4F Dough Production cooling Unit]])*1000</f>
        <v>30.999999999998806</v>
      </c>
      <c r="DO22">
        <f>(BQ23-Table2[[#This Row],[3F2 - PDB 3 - Dough Production Area]])*1000</f>
        <v>260.99999999996726</v>
      </c>
      <c r="DP22">
        <f>(BR23-Table2[[#This Row],[3F3 - PDB 4 - Dough Area]])*1000</f>
        <v>138.00000000000523</v>
      </c>
      <c r="DQ22">
        <f>AC23-Table2[[#This Row],[16F1 Tray washer Panel for Light]]</f>
        <v>911.04000000003725</v>
      </c>
      <c r="DR22">
        <f>CQ23-Table2[[#This Row],[2F1 Tray Washer - 1]]</f>
        <v>1519.6800000001676</v>
      </c>
      <c r="DS22">
        <f>CS23-Table2[[#This Row],[2F5 Destacker]]</f>
        <v>451.29599999997299</v>
      </c>
      <c r="DT22">
        <f>CU23-Table2[[#This Row],[5F1 Metering (TW-2)]]</f>
        <v>242.94900000002235</v>
      </c>
      <c r="DU22">
        <f>CV23-Table2[[#This Row],[6F1 Pre soaker Tray washer]]</f>
        <v>3.1999999991967343E-3</v>
      </c>
      <c r="DV22">
        <f>CZ23-Table2[[#This Row],[6F5 Vent tray Storage]]</f>
        <v>47.216000000014901</v>
      </c>
      <c r="DW22">
        <f>I23-Table2[[#This Row],[Popeyes Meter ]]</f>
        <v>10.920000000000073</v>
      </c>
      <c r="DX22">
        <f>AZ23-Table2[[#This Row],[2F WH Chiller, Segregation Area]]</f>
        <v>0</v>
      </c>
      <c r="DY22">
        <f>BA23-Table2[[#This Row],[3F1 AC Unit WH dock cooling - 2 Nos]]</f>
        <v>1.0999999999999233E-2</v>
      </c>
      <c r="DZ22">
        <f>BB23-Table2[[#This Row],[3F2 AC Unit WH dock cooling - 3 Nos]]</f>
        <v>3.9000000000001478E-2</v>
      </c>
      <c r="EA22">
        <f>(BK23-Table2[[#This Row],[5F WH Perishable]])*1000</f>
        <v>365.99999999998545</v>
      </c>
      <c r="EB22">
        <f>BN23-Table2[[#This Row],[2F3 - PDB 9 - WH Dock Leveler Door ]]</f>
        <v>5.7208000000000538</v>
      </c>
      <c r="EC22">
        <f>BP23-Table2[[#This Row],[3F1 - PDB 5 - WH HSD]]</f>
        <v>110.52799999999115</v>
      </c>
      <c r="ED22">
        <f>BX23-Table2[[#This Row],[8F1 WH Dock AHU - Ventilation]]</f>
        <v>798.63999999989755</v>
      </c>
      <c r="EE22">
        <f>BZ23-Table2[[#This Row],[8F3 ACPDB - 4 WH Dock air curtain]]</f>
        <v>24.18399999999383</v>
      </c>
      <c r="EF22">
        <f>CA23-Table2[[#This Row],[8F4 WH Light]]</f>
        <v>0</v>
      </c>
      <c r="EG22">
        <f>CC23-Table2[[#This Row],[9F1 - PDB 10 - WH Dock door &amp; Office]]</f>
        <v>153.47200000000885</v>
      </c>
      <c r="EH22">
        <f>CD23-Table2[[#This Row],[9F2 - PDB 11 - WH flycatchers]]</f>
        <v>64</v>
      </c>
      <c r="EI22">
        <f>CE23-Table2[[#This Row],[9F3 - PDB 12 - Other items]]</f>
        <v>7.6287999999985914</v>
      </c>
      <c r="EJ22">
        <f>CR23-Table2[[#This Row],[2F3 - PDB 1 - Dock 1 to 4 ]]</f>
        <v>61.703999999997905</v>
      </c>
      <c r="EK22">
        <f>BM23-Table2[[#This Row],[2F2 - PDB 3 - WH Truck &amp; Battery Charging]]</f>
        <v>462.04799999995157</v>
      </c>
      <c r="EL22">
        <f>(CK23-Table2[[#This Row],[PDB - 11 Truck Charging]])*1000</f>
        <v>51.000000000001933</v>
      </c>
      <c r="EM22" s="1">
        <f>P23-Table2[[#This Row],[5F3 Admin Area]]</f>
        <v>396.8640000000596</v>
      </c>
      <c r="EN22">
        <f>AH23-Table2[[#This Row],[2F5 Main Gate-1 Piller -1]]</f>
        <v>163.31200000000536</v>
      </c>
      <c r="EO22">
        <f>CW23-Table2[[#This Row],[6F2 Ground Floor AC]]</f>
        <v>9.4720000000015716</v>
      </c>
      <c r="EP22">
        <f>CX23-Table2[[#This Row],[6F3 ACBD -1 (First floor AC)]]</f>
        <v>13.09759999999369</v>
      </c>
      <c r="EQ22">
        <f>CY23-Table2[[#This Row],[6F4 ACBD - 2 (Second &amp; Third floor AC)]]</f>
        <v>225.32800000000861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1285.5200000000186</v>
      </c>
      <c r="EU22">
        <f>(CL23-Table2[[#This Row],[OLD Ck Panel-1]])*1000</f>
        <v>34.999999999968168</v>
      </c>
      <c r="EV22">
        <f>CM23-Table2[[#This Row],[2F4 Old CK Blast (Blue star)]]</f>
        <v>0</v>
      </c>
      <c r="EW22">
        <f>CN23-Table2[[#This Row],[3F6 Old CK Blast (Carrier)]]</f>
        <v>9.9999999998544808E-2</v>
      </c>
      <c r="EX22">
        <f>(CO23-Table2[[#This Row],[Old CK Panel -2]])*1000</f>
        <v>1718.0000000000746</v>
      </c>
      <c r="EY22">
        <f>N23-Table2[[#This Row],[4F1 Main UPS 1/C -1]]</f>
        <v>1110.4000000001397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37.999999999996703</v>
      </c>
      <c r="FC22">
        <f>BW23-Table2[[#This Row],[7F3 CLC Power Panel]]</f>
        <v>171.71199999994133</v>
      </c>
      <c r="FD22">
        <f>(CI23-Table2[[#This Row],[PDB - 17 CLC Section ]])*1000</f>
        <v>120.00000000000455</v>
      </c>
      <c r="FE22">
        <f>(W23-Table2[[#This Row],[13F3 Water &amp; Lift Old CK]])*1000</f>
        <v>1492.3999999998614</v>
      </c>
      <c r="FF22">
        <f>AA23-Table2[[#This Row],[15F2 New ETP Panel]]</f>
        <v>388.47999999998137</v>
      </c>
      <c r="FG22">
        <f>AL23-Table2[[#This Row],[3F4 Old ETP Panel]]</f>
        <v>124.38400000002002</v>
      </c>
      <c r="FH22">
        <f>AF23-Table2[[#This Row],[2F1 RO Plant]]</f>
        <v>814.14399999997113</v>
      </c>
      <c r="FI22">
        <f>AK23-Table2[[#This Row],[3F3 Fire Hydrant Panel]]</f>
        <v>11.055999999996857</v>
      </c>
      <c r="FJ22">
        <f>R23-Table2[[#This Row],[7F1 Freon System Panel]]</f>
        <v>7098.8799999998882</v>
      </c>
      <c r="FK22">
        <f>(AE23-Table2[[#This Row],[21F1 Refrigeration Ammonia]])*1000</f>
        <v>7803.2000000002881</v>
      </c>
      <c r="FL22">
        <f>(AG23-Table2[[#This Row],[2F3 Air Compressor]])*1000</f>
        <v>1651.0000000000673</v>
      </c>
      <c r="FM22">
        <f>(AX23-Table2[[#This Row],[Solar Reading Panel II]])*1000</f>
        <v>2872.0000000002983</v>
      </c>
      <c r="FN22">
        <f>AI23-Table2[[#This Row],[3F1 Maintenance Workshop]]</f>
        <v>6.3711999999995896</v>
      </c>
      <c r="FO22">
        <f>BD23-Table2[[#This Row],[4F B2B unit ]]</f>
        <v>54.62400000001071</v>
      </c>
      <c r="FP22">
        <f>BL23-Table2[[#This Row],[2F1 - PDB 6 - Bread, B2B section]]</f>
        <v>33.049599999998463</v>
      </c>
      <c r="FQ22">
        <f>(CG23-Table2[[#This Row],[9F5 - PDB 14 - Bread Lift]])</f>
        <v>0.44860000000335276</v>
      </c>
      <c r="FR22">
        <f>CJ23-Table2[[#This Row],[PDB - 16 Bread Section]]</f>
        <v>0</v>
      </c>
      <c r="FS22">
        <f>BU23-Table2[[#This Row],[7F1 Donut Production area]]</f>
        <v>189.05600000009872</v>
      </c>
      <c r="FT22">
        <f>CB23-Table2[[#This Row],[8F5 Donut Ban Bary]]</f>
        <v>34.648000000001048</v>
      </c>
      <c r="FU22">
        <f>CF23-Table2[[#This Row],[9F4 - PDB 13 - Donut Sink Geyser area]]</f>
        <v>159.58400000000256</v>
      </c>
      <c r="FV22">
        <f>BV23-Table2[[#This Row],[7F2 Flour Silo]]</f>
        <v>547.20000000006985</v>
      </c>
      <c r="FW22">
        <f>BY23-Table2[[#This Row],[8F2 ACPDB - 3 SILO Ventilation]]</f>
        <v>54.671999999991385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>
      <c r="A23" s="65">
        <v>93</v>
      </c>
      <c r="B23" s="55">
        <v>46286.382060185184</v>
      </c>
      <c r="C23" s="55">
        <v>46286.416377314818</v>
      </c>
      <c r="D23" s="65" t="s">
        <v>111</v>
      </c>
      <c r="E23" s="54"/>
      <c r="F23" s="54"/>
      <c r="G23" s="68">
        <v>46286</v>
      </c>
      <c r="H23" s="54" t="s">
        <v>182</v>
      </c>
      <c r="I23" s="56">
        <v>8957.4220000000005</v>
      </c>
      <c r="J23" s="56">
        <v>4282.2</v>
      </c>
      <c r="K23" s="56">
        <v>1779891</v>
      </c>
      <c r="L23" s="56">
        <v>462</v>
      </c>
      <c r="M23" s="56">
        <v>194.13</v>
      </c>
      <c r="N23" s="56">
        <v>1914758.56</v>
      </c>
      <c r="O23" s="56">
        <v>4690053.1200000001</v>
      </c>
      <c r="P23" s="56">
        <v>663752.76800000004</v>
      </c>
      <c r="Q23" s="56">
        <v>8227530.2400000002</v>
      </c>
      <c r="R23" s="56">
        <v>5814748.1600000001</v>
      </c>
      <c r="S23" s="56">
        <v>7530701.4400000004</v>
      </c>
      <c r="T23" s="56">
        <v>43807802.225000001</v>
      </c>
      <c r="U23" s="56">
        <v>2170236.96</v>
      </c>
      <c r="V23" s="56">
        <v>5197369.92</v>
      </c>
      <c r="W23" s="56">
        <v>1632.5420999999999</v>
      </c>
      <c r="X23" s="56">
        <v>787301.44</v>
      </c>
      <c r="Y23" s="56">
        <v>1164367.3600000001</v>
      </c>
      <c r="Z23" s="56">
        <v>2777.8894</v>
      </c>
      <c r="AA23" s="56">
        <v>682306.94400000002</v>
      </c>
      <c r="AB23" s="56">
        <v>422802.81599999999</v>
      </c>
      <c r="AC23" s="56">
        <v>2172530.2400000002</v>
      </c>
      <c r="AD23" s="56">
        <v>4734652.6679999996</v>
      </c>
      <c r="AE23" s="56">
        <v>13157.4792</v>
      </c>
      <c r="AF23" s="56">
        <v>903438.08</v>
      </c>
      <c r="AG23" s="56">
        <v>1457.998</v>
      </c>
      <c r="AH23" s="56">
        <v>139006.25599999999</v>
      </c>
      <c r="AI23" s="56">
        <v>14859.0736</v>
      </c>
      <c r="AJ23" s="56">
        <v>145436.46400000001</v>
      </c>
      <c r="AK23" s="56">
        <v>105742.504</v>
      </c>
      <c r="AL23" s="56">
        <v>334345.82400000002</v>
      </c>
      <c r="AM23" s="56">
        <v>1021.297</v>
      </c>
      <c r="AN23" s="56">
        <v>319.60000000000002</v>
      </c>
      <c r="AO23" s="56">
        <v>7.5</v>
      </c>
      <c r="AP23" s="56">
        <v>943574</v>
      </c>
      <c r="AQ23" s="56">
        <v>43070</v>
      </c>
      <c r="AR23" s="56">
        <v>42524</v>
      </c>
      <c r="AS23" s="56">
        <v>32458</v>
      </c>
      <c r="AT23" s="56">
        <v>22161</v>
      </c>
      <c r="AU23" s="56">
        <v>16749</v>
      </c>
      <c r="AV23" s="56">
        <v>2092</v>
      </c>
      <c r="AW23" s="56">
        <v>21.265585999999999</v>
      </c>
      <c r="AX23" s="56">
        <v>7358.7690000000002</v>
      </c>
      <c r="AY23" s="56">
        <v>685.74464</v>
      </c>
      <c r="AZ23" s="56">
        <v>20.788</v>
      </c>
      <c r="BA23" s="56">
        <v>11.279</v>
      </c>
      <c r="BB23" s="56">
        <v>46.667999999999999</v>
      </c>
      <c r="BC23" s="56">
        <v>114029.064</v>
      </c>
      <c r="BD23" s="56">
        <v>278557.47200000001</v>
      </c>
      <c r="BE23" s="56">
        <v>3786.7923999999998</v>
      </c>
      <c r="BF23" s="56">
        <v>1714.182</v>
      </c>
      <c r="BG23" s="56">
        <v>76.561999999999998</v>
      </c>
      <c r="BH23" s="56">
        <v>382.613</v>
      </c>
      <c r="BI23" s="56">
        <v>938.74800000000005</v>
      </c>
      <c r="BJ23" s="56">
        <v>16.869</v>
      </c>
      <c r="BK23" s="56">
        <v>577.47699999999998</v>
      </c>
      <c r="BL23" s="56">
        <v>83678.0288</v>
      </c>
      <c r="BM23" s="56">
        <v>334694.14399999997</v>
      </c>
      <c r="BN23" s="56">
        <v>7389.0591999999997</v>
      </c>
      <c r="BO23" s="56">
        <v>53589.132799999999</v>
      </c>
      <c r="BP23" s="56">
        <v>319535.29599999997</v>
      </c>
      <c r="BQ23" s="56">
        <v>336.71</v>
      </c>
      <c r="BR23" s="56">
        <v>187.78</v>
      </c>
      <c r="BS23" s="56">
        <v>1078403.7960000001</v>
      </c>
      <c r="BT23" s="56">
        <v>1400637.1089999999</v>
      </c>
      <c r="BU23" s="56">
        <v>638727.68000000005</v>
      </c>
      <c r="BV23" s="56">
        <v>1048917.28</v>
      </c>
      <c r="BW23" s="56">
        <v>580476.28799999994</v>
      </c>
      <c r="BX23" s="56">
        <v>1082475.76</v>
      </c>
      <c r="BY23" s="56">
        <v>159941.24799999999</v>
      </c>
      <c r="BZ23" s="56">
        <v>115387.696</v>
      </c>
      <c r="CA23" s="56">
        <v>1244.5895</v>
      </c>
      <c r="CB23" s="56">
        <v>110380.952</v>
      </c>
      <c r="CC23" s="56">
        <v>156571.728</v>
      </c>
      <c r="CD23" s="56">
        <v>455700.288</v>
      </c>
      <c r="CE23" s="56">
        <v>49622.300799999997</v>
      </c>
      <c r="CF23" s="56">
        <v>157716.144</v>
      </c>
      <c r="CG23" s="56">
        <v>36109.065600000002</v>
      </c>
      <c r="CH23" s="56">
        <v>2385.8710000000001</v>
      </c>
      <c r="CI23" s="56">
        <v>222.078</v>
      </c>
      <c r="CJ23" s="56">
        <v>1191.5999999999999</v>
      </c>
      <c r="CK23" s="56">
        <v>80.2</v>
      </c>
      <c r="CL23" s="56">
        <v>759.53800000000001</v>
      </c>
      <c r="CM23" s="56">
        <v>551.4</v>
      </c>
      <c r="CN23" s="56">
        <v>65249.599999999999</v>
      </c>
      <c r="CO23" s="56">
        <v>1709.6110000000001</v>
      </c>
      <c r="CP23" s="56">
        <v>305361.83500000002</v>
      </c>
      <c r="CQ23" s="56">
        <v>3746973.12</v>
      </c>
      <c r="CR23" s="56">
        <v>134176.47200000001</v>
      </c>
      <c r="CS23" s="56">
        <v>530542.24</v>
      </c>
      <c r="CT23" s="56">
        <v>3106270.2990000001</v>
      </c>
      <c r="CU23" s="56">
        <v>312521.41800000001</v>
      </c>
      <c r="CV23" s="56">
        <v>30277.657599999999</v>
      </c>
      <c r="CW23" s="56">
        <v>63929.817600000002</v>
      </c>
      <c r="CX23" s="56">
        <v>33855.606399999997</v>
      </c>
      <c r="CY23" s="56">
        <v>174128.016</v>
      </c>
      <c r="CZ23" s="56">
        <v>222168.576</v>
      </c>
      <c r="DA23" s="56">
        <v>19624.27</v>
      </c>
      <c r="DB23" s="56">
        <v>155451.91200000001</v>
      </c>
      <c r="DC23" s="56">
        <v>3356.15</v>
      </c>
      <c r="DD23" s="56">
        <v>3356.02</v>
      </c>
      <c r="DE23" s="56">
        <v>3387.04</v>
      </c>
      <c r="DF23" s="56">
        <v>0.98899999999999999</v>
      </c>
      <c r="DG23" s="54" t="s">
        <v>230</v>
      </c>
      <c r="DH23" s="2">
        <f>Table2[[#This Row],[Date]]</f>
        <v>46286</v>
      </c>
      <c r="DI23">
        <f>(DD24-Table2[[#This Row],[MWH Total]])*4000</f>
        <v>21280.000000000655</v>
      </c>
      <c r="DJ23">
        <f>(DA24-Table2[[#This Row],[PNG Meter (Outside)]])*2.936</f>
        <v>808.80927999999869</v>
      </c>
      <c r="DK23">
        <f>(DB24-Table2[[#This Row],[PNG Meter (Inside)]])*2.936</f>
        <v>180.96329599999589</v>
      </c>
      <c r="DL23">
        <f>(BH24-Table2[[#This Row],[3F Dough cooler - 2 ]])*1000</f>
        <v>394.99999999998181</v>
      </c>
      <c r="DM23">
        <f>(BI24-Table2[[#This Row],[3F Dough Cooler- 1]])*1000</f>
        <v>479.9999999999045</v>
      </c>
      <c r="DN23">
        <f>(BJ24-Table2[[#This Row],[4F Dough Production cooling Unit]])*1000</f>
        <v>53.000000000000824</v>
      </c>
      <c r="DO23">
        <f>(BQ24-Table2[[#This Row],[3F2 - PDB 3 - Dough Production Area]])*1000</f>
        <v>217.00000000004138</v>
      </c>
      <c r="DP23">
        <f>(BR24-Table2[[#This Row],[3F3 - PDB 4 - Dough Area]])*1000</f>
        <v>118.99999999999977</v>
      </c>
      <c r="DQ23">
        <f>AC24-Table2[[#This Row],[16F1 Tray washer Panel for Light]]</f>
        <v>690.07999999960884</v>
      </c>
      <c r="DR23">
        <f>CQ24-Table2[[#This Row],[2F1 Tray Washer - 1]]</f>
        <v>1200.6399999996647</v>
      </c>
      <c r="DS23">
        <f>CS24-Table2[[#This Row],[2F5 Destacker]]</f>
        <v>333.82400000002235</v>
      </c>
      <c r="DT23">
        <f>CU24-Table2[[#This Row],[5F1 Metering (TW-2)]]</f>
        <v>224.81500000000233</v>
      </c>
      <c r="DU23">
        <f>CV24-Table2[[#This Row],[6F1 Pre soaker Tray washer]]</f>
        <v>0</v>
      </c>
      <c r="DV23">
        <f>CZ24-Table2[[#This Row],[6F5 Vent tray Storage]]</f>
        <v>78.01600000000326</v>
      </c>
      <c r="DW23">
        <f>I24-Table2[[#This Row],[Popeyes Meter ]]</f>
        <v>70.829999999999927</v>
      </c>
      <c r="DX23">
        <f>AZ24-Table2[[#This Row],[2F WH Chiller, Segregation Area]]</f>
        <v>0</v>
      </c>
      <c r="DY23">
        <f>BA24-Table2[[#This Row],[3F1 AC Unit WH dock cooling - 2 Nos]]</f>
        <v>1.3999999999999346E-2</v>
      </c>
      <c r="DZ23">
        <f>BB24-Table2[[#This Row],[3F2 AC Unit WH dock cooling - 3 Nos]]</f>
        <v>2.7999999999998693E-2</v>
      </c>
      <c r="EA23">
        <f>(BK24-Table2[[#This Row],[5F WH Perishable]])*1000</f>
        <v>271.00000000007185</v>
      </c>
      <c r="EB23">
        <f>BN24-Table2[[#This Row],[2F3 - PDB 9 - WH Dock Leveler Door ]]</f>
        <v>1.4776000000001659</v>
      </c>
      <c r="EC23">
        <f>BP24-Table2[[#This Row],[3F1 - PDB 5 - WH HSD]]</f>
        <v>102.56000000005588</v>
      </c>
      <c r="ED23">
        <f>BX24-Table2[[#This Row],[8F1 WH Dock AHU - Ventilation]]</f>
        <v>311.36000000010245</v>
      </c>
      <c r="EE23">
        <f>BZ24-Table2[[#This Row],[8F3 ACPDB - 4 WH Dock air curtain]]</f>
        <v>23.072000000000116</v>
      </c>
      <c r="EF23">
        <f>CA24-Table2[[#This Row],[8F4 WH Light]]</f>
        <v>0</v>
      </c>
      <c r="EG23">
        <f>CC24-Table2[[#This Row],[9F1 - PDB 10 - WH Dock door &amp; Office]]</f>
        <v>135.74400000000605</v>
      </c>
      <c r="EH23">
        <f>CD24-Table2[[#This Row],[9F2 - PDB 11 - WH flycatchers]]</f>
        <v>151.74400000000605</v>
      </c>
      <c r="EI23">
        <f>CE24-Table2[[#This Row],[9F3 - PDB 12 - Other items]]</f>
        <v>22.236800000006042</v>
      </c>
      <c r="EJ23">
        <f>CR24-Table2[[#This Row],[2F3 - PDB 1 - Dock 1 to 4 ]]</f>
        <v>50.919999999983702</v>
      </c>
      <c r="EK23">
        <f>BM24-Table2[[#This Row],[2F2 - PDB 3 - WH Truck &amp; Battery Charging]]</f>
        <v>570.84800000005635</v>
      </c>
      <c r="EL23">
        <f>(CK24-Table2[[#This Row],[PDB - 11 Truck Charging]])*1000</f>
        <v>33.999999999991815</v>
      </c>
      <c r="EM23" s="1">
        <f>P24-Table2[[#This Row],[5F3 Admin Area]]</f>
        <v>372.99199999996927</v>
      </c>
      <c r="EN23">
        <f>AH24-Table2[[#This Row],[2F5 Main Gate-1 Piller -1]]</f>
        <v>124.99199999999837</v>
      </c>
      <c r="EO23">
        <f>CW24-Table2[[#This Row],[6F2 Ground Floor AC]]</f>
        <v>12.691200000001118</v>
      </c>
      <c r="EP23">
        <f>CX24-Table2[[#This Row],[6F3 ACBD -1 (First floor AC)]]</f>
        <v>9.2767999999996391</v>
      </c>
      <c r="EQ23">
        <f>CY24-Table2[[#This Row],[6F4 ACBD - 2 (Second &amp; Third floor AC)]]</f>
        <v>104.54399999999441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1926.8799999998882</v>
      </c>
      <c r="EU23">
        <f>(CL24-Table2[[#This Row],[OLD Ck Panel-1]])*1000</f>
        <v>533.99999999999181</v>
      </c>
      <c r="EV23">
        <f>CM24-Table2[[#This Row],[2F4 Old CK Blast (Blue star)]]</f>
        <v>0</v>
      </c>
      <c r="EW23">
        <f>CN24-Table2[[#This Row],[3F6 Old CK Blast (Carrier)]]</f>
        <v>441.90000000000146</v>
      </c>
      <c r="EX23">
        <f>(CO24-Table2[[#This Row],[Old CK Panel -2]])*1000</f>
        <v>1144.0000000000055</v>
      </c>
      <c r="EY23">
        <f>N24-Table2[[#This Row],[4F1 Main UPS 1/C -1]]</f>
        <v>908.15999999991618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22.999999999996135</v>
      </c>
      <c r="FC23">
        <f>BW24-Table2[[#This Row],[7F3 CLC Power Panel]]</f>
        <v>178.88000000000466</v>
      </c>
      <c r="FD23">
        <f>(CI24-Table2[[#This Row],[PDB - 17 CLC Section ]])*1000</f>
        <v>120.00000000000455</v>
      </c>
      <c r="FE23">
        <f>(W24-Table2[[#This Row],[13F3 Water &amp; Lift Old CK]])*1000</f>
        <v>528.90000000002146</v>
      </c>
      <c r="FF23">
        <f>AA24-Table2[[#This Row],[15F2 New ETP Panel]]</f>
        <v>294.14399999997113</v>
      </c>
      <c r="FG23">
        <f>AL24-Table2[[#This Row],[3F4 Old ETP Panel]]</f>
        <v>88.191999999980908</v>
      </c>
      <c r="FH23">
        <f>AF24-Table2[[#This Row],[2F1 RO Plant]]</f>
        <v>600.32000000006519</v>
      </c>
      <c r="FI23">
        <f>AK24-Table2[[#This Row],[3F3 Fire Hydrant Panel]]</f>
        <v>7.2880000000004657</v>
      </c>
      <c r="FJ23">
        <f>R24-Table2[[#This Row],[7F1 Freon System Panel]]</f>
        <v>5611.519999999553</v>
      </c>
      <c r="FK23">
        <f>(AE24-Table2[[#This Row],[21F1 Refrigeration Ammonia]])*1000</f>
        <v>6968.0000000007567</v>
      </c>
      <c r="FL23">
        <f>(AG24-Table2[[#This Row],[2F3 Air Compressor]])*1000</f>
        <v>1243.9999999999145</v>
      </c>
      <c r="FM23">
        <f>(AX24-Table2[[#This Row],[Solar Reading Panel II]])*1000</f>
        <v>2568.9999999995052</v>
      </c>
      <c r="FN23">
        <f>AI24-Table2[[#This Row],[3F1 Maintenance Workshop]]</f>
        <v>11.276799999999639</v>
      </c>
      <c r="FO23">
        <f>BD24-Table2[[#This Row],[4F B2B unit ]]</f>
        <v>49.792000000015832</v>
      </c>
      <c r="FP23">
        <f>BL24-Table2[[#This Row],[2F1 - PDB 6 - Bread, B2B section]]</f>
        <v>158.63679999999295</v>
      </c>
      <c r="FQ23">
        <f>(CG24-Table2[[#This Row],[9F5 - PDB 14 - Bread Lift]])</f>
        <v>0.82239999999728752</v>
      </c>
      <c r="FR23">
        <f>CJ24-Table2[[#This Row],[PDB - 16 Bread Section]]</f>
        <v>0</v>
      </c>
      <c r="FS23">
        <f>BU24-Table2[[#This Row],[7F1 Donut Production area]]</f>
        <v>190.14399999997113</v>
      </c>
      <c r="FT23">
        <f>CB24-Table2[[#This Row],[8F5 Donut Ban Bary]]</f>
        <v>39.783999999999651</v>
      </c>
      <c r="FU23">
        <f>CF24-Table2[[#This Row],[9F4 - PDB 13 - Donut Sink Geyser area]]</f>
        <v>89.200000000011642</v>
      </c>
      <c r="FV23">
        <f>BV24-Table2[[#This Row],[7F2 Flour Silo]]</f>
        <v>425.5999999998603</v>
      </c>
      <c r="FW23">
        <f>BY24-Table2[[#This Row],[8F2 ACPDB - 3 SILO Ventilation]]</f>
        <v>39.888000000006286</v>
      </c>
      <c r="FX23">
        <f>J24-Table2[[#This Row],[DG 1010KVA Running Hours]]</f>
        <v>4.8000000000001819</v>
      </c>
      <c r="FY23">
        <f>K24-Table2[[#This Row],[DG 1010 KVA Meter Reading]]</f>
        <v>2576</v>
      </c>
      <c r="FZ23">
        <f>L24-Table2[[#This Row],[GG 1010 KVA Running Hours]]</f>
        <v>4</v>
      </c>
      <c r="GA23">
        <f>M24-Table2[[#This Row],[GG 1010 KVA Meter Reading]]</f>
        <v>2.6299999999999955</v>
      </c>
    </row>
    <row r="24" spans="1:183">
      <c r="A24" s="65">
        <v>95</v>
      </c>
      <c r="B24" s="55">
        <v>46287.389155092591</v>
      </c>
      <c r="C24" s="55">
        <v>46287.431944444441</v>
      </c>
      <c r="D24" s="65" t="s">
        <v>111</v>
      </c>
      <c r="E24" s="54"/>
      <c r="F24" s="54"/>
      <c r="G24" s="68">
        <v>46287</v>
      </c>
      <c r="H24" s="54" t="s">
        <v>182</v>
      </c>
      <c r="I24" s="56">
        <v>9028.2520000000004</v>
      </c>
      <c r="J24" s="56">
        <v>4287</v>
      </c>
      <c r="K24" s="56">
        <v>1782467</v>
      </c>
      <c r="L24" s="56">
        <v>466</v>
      </c>
      <c r="M24" s="56">
        <v>196.76</v>
      </c>
      <c r="N24" s="56">
        <v>1915666.72</v>
      </c>
      <c r="O24" s="56">
        <v>4692010.5599999996</v>
      </c>
      <c r="P24" s="56">
        <v>664125.76</v>
      </c>
      <c r="Q24" s="56">
        <v>8230232.3200000003</v>
      </c>
      <c r="R24" s="56">
        <v>5820359.6799999997</v>
      </c>
      <c r="S24" s="56">
        <v>7533951.3600000003</v>
      </c>
      <c r="T24" s="56">
        <v>43362116.853</v>
      </c>
      <c r="U24" s="56">
        <v>2171514.2400000002</v>
      </c>
      <c r="V24" s="56">
        <v>5199057.5999999996</v>
      </c>
      <c r="W24" s="56">
        <v>1633.0709999999999</v>
      </c>
      <c r="X24" s="56">
        <v>787527.29599999997</v>
      </c>
      <c r="Y24" s="56">
        <v>1166294.24</v>
      </c>
      <c r="Z24" s="56">
        <v>2777.8894</v>
      </c>
      <c r="AA24" s="56">
        <v>682601.08799999999</v>
      </c>
      <c r="AB24" s="56">
        <v>422847.16800000001</v>
      </c>
      <c r="AC24" s="56">
        <v>2173220.3199999998</v>
      </c>
      <c r="AD24" s="56">
        <v>4747580.9249999998</v>
      </c>
      <c r="AE24" s="56">
        <v>13164.447200000001</v>
      </c>
      <c r="AF24" s="56">
        <v>904038.40000000002</v>
      </c>
      <c r="AG24" s="56">
        <v>1459.242</v>
      </c>
      <c r="AH24" s="56">
        <v>139131.24799999999</v>
      </c>
      <c r="AI24" s="56">
        <v>14870.350399999999</v>
      </c>
      <c r="AJ24" s="56">
        <v>145438.19200000001</v>
      </c>
      <c r="AK24" s="56">
        <v>105749.792</v>
      </c>
      <c r="AL24" s="56">
        <v>334434.016</v>
      </c>
      <c r="AM24" s="56">
        <v>1021.912</v>
      </c>
      <c r="AN24" s="56">
        <v>200.5</v>
      </c>
      <c r="AO24" s="56">
        <v>7.4</v>
      </c>
      <c r="AP24" s="56">
        <v>953086</v>
      </c>
      <c r="AQ24" s="56">
        <v>43090</v>
      </c>
      <c r="AR24" s="56">
        <v>42544</v>
      </c>
      <c r="AS24" s="56">
        <v>32461</v>
      </c>
      <c r="AT24" s="56">
        <v>22162</v>
      </c>
      <c r="AU24" s="56">
        <v>16773</v>
      </c>
      <c r="AV24" s="56">
        <v>7104</v>
      </c>
      <c r="AW24" s="56">
        <v>21.272397999999999</v>
      </c>
      <c r="AX24" s="56">
        <v>7361.3379999999997</v>
      </c>
      <c r="AY24" s="56">
        <v>685.88376000000005</v>
      </c>
      <c r="AZ24" s="56">
        <v>20.788</v>
      </c>
      <c r="BA24" s="56">
        <v>11.292999999999999</v>
      </c>
      <c r="BB24" s="56">
        <v>46.695999999999998</v>
      </c>
      <c r="BC24" s="56">
        <v>114029.064</v>
      </c>
      <c r="BD24" s="56">
        <v>278607.26400000002</v>
      </c>
      <c r="BE24" s="56">
        <v>3788.0616</v>
      </c>
      <c r="BF24" s="56">
        <v>1714.182</v>
      </c>
      <c r="BG24" s="56">
        <v>76.584999999999994</v>
      </c>
      <c r="BH24" s="56">
        <v>383.00799999999998</v>
      </c>
      <c r="BI24" s="56">
        <v>939.22799999999995</v>
      </c>
      <c r="BJ24" s="56">
        <v>16.922000000000001</v>
      </c>
      <c r="BK24" s="56">
        <v>577.74800000000005</v>
      </c>
      <c r="BL24" s="56">
        <v>83836.665599999993</v>
      </c>
      <c r="BM24" s="56">
        <v>335264.99200000003</v>
      </c>
      <c r="BN24" s="56">
        <v>7390.5367999999999</v>
      </c>
      <c r="BO24" s="56">
        <v>53589.132799999999</v>
      </c>
      <c r="BP24" s="56">
        <v>319637.85600000003</v>
      </c>
      <c r="BQ24" s="56">
        <v>336.92700000000002</v>
      </c>
      <c r="BR24" s="56">
        <v>187.899</v>
      </c>
      <c r="BS24" s="56">
        <v>1079655.5349999999</v>
      </c>
      <c r="BT24" s="56">
        <v>1400637.139</v>
      </c>
      <c r="BU24" s="56">
        <v>638917.82400000002</v>
      </c>
      <c r="BV24" s="56">
        <v>1049342.8799999999</v>
      </c>
      <c r="BW24" s="56">
        <v>580655.16799999995</v>
      </c>
      <c r="BX24" s="56">
        <v>1082787.1200000001</v>
      </c>
      <c r="BY24" s="56">
        <v>159981.136</v>
      </c>
      <c r="BZ24" s="56">
        <v>115410.768</v>
      </c>
      <c r="CA24" s="56">
        <v>1244.5895</v>
      </c>
      <c r="CB24" s="56">
        <v>110420.736</v>
      </c>
      <c r="CC24" s="56">
        <v>156707.47200000001</v>
      </c>
      <c r="CD24" s="56">
        <v>455852.03200000001</v>
      </c>
      <c r="CE24" s="56">
        <v>49644.537600000003</v>
      </c>
      <c r="CF24" s="56">
        <v>157805.34400000001</v>
      </c>
      <c r="CG24" s="56">
        <v>36109.887999999999</v>
      </c>
      <c r="CH24" s="56">
        <v>2385.8710000000001</v>
      </c>
      <c r="CI24" s="56">
        <v>222.19800000000001</v>
      </c>
      <c r="CJ24" s="56">
        <v>1191.5999999999999</v>
      </c>
      <c r="CK24" s="56">
        <v>80.233999999999995</v>
      </c>
      <c r="CL24" s="56">
        <v>760.072</v>
      </c>
      <c r="CM24" s="56">
        <v>551.4</v>
      </c>
      <c r="CN24" s="56">
        <v>65691.5</v>
      </c>
      <c r="CO24" s="56">
        <v>1710.7550000000001</v>
      </c>
      <c r="CP24" s="56">
        <v>305594.71899999998</v>
      </c>
      <c r="CQ24" s="56">
        <v>3748173.76</v>
      </c>
      <c r="CR24" s="56">
        <v>134227.39199999999</v>
      </c>
      <c r="CS24" s="56">
        <v>530876.06400000001</v>
      </c>
      <c r="CT24" s="56">
        <v>3109607.1809999999</v>
      </c>
      <c r="CU24" s="56">
        <v>312746.23300000001</v>
      </c>
      <c r="CV24" s="56">
        <v>30277.657599999999</v>
      </c>
      <c r="CW24" s="56">
        <v>63942.508800000003</v>
      </c>
      <c r="CX24" s="56">
        <v>33864.883199999997</v>
      </c>
      <c r="CY24" s="56">
        <v>174232.56</v>
      </c>
      <c r="CZ24" s="56">
        <v>222246.592</v>
      </c>
      <c r="DA24" s="56">
        <v>19899.75</v>
      </c>
      <c r="DB24" s="56">
        <v>155513.54800000001</v>
      </c>
      <c r="DC24" s="56">
        <v>3361.45</v>
      </c>
      <c r="DD24" s="56">
        <v>3361.34</v>
      </c>
      <c r="DE24" s="56">
        <v>3392.4</v>
      </c>
      <c r="DF24" s="56">
        <v>0.998</v>
      </c>
      <c r="DG24" s="54" t="s">
        <v>219</v>
      </c>
      <c r="DH24" s="2">
        <f>Table2[[#This Row],[Date]]</f>
        <v>46287</v>
      </c>
      <c r="DI24">
        <f>(DD25-Table2[[#This Row],[MWH Total]])*4000</f>
        <v>24799.999999999272</v>
      </c>
      <c r="DJ24">
        <f>(DA25-Table2[[#This Row],[PNG Meter (Outside)]])*2.936</f>
        <v>9.1896800000029906</v>
      </c>
      <c r="DK24">
        <f>(DB25-Table2[[#This Row],[PNG Meter (Inside)]])*2.936</f>
        <v>186.53288799998768</v>
      </c>
      <c r="DL24">
        <f>(BH25-Table2[[#This Row],[3F Dough cooler - 2 ]])*1000</f>
        <v>401.00000000001046</v>
      </c>
      <c r="DM24">
        <f>(BI25-Table2[[#This Row],[3F Dough Cooler- 1]])*1000</f>
        <v>487.00000000008004</v>
      </c>
      <c r="DN24">
        <f>(BJ25-Table2[[#This Row],[4F Dough Production cooling Unit]])*1000</f>
        <v>44.000000000000483</v>
      </c>
      <c r="DO24">
        <f>(BQ25-Table2[[#This Row],[3F2 - PDB 3 - Dough Production Area]])*1000</f>
        <v>213.99999999999864</v>
      </c>
      <c r="DP24">
        <f>(BR25-Table2[[#This Row],[3F3 - PDB 4 - Dough Area]])*1000</f>
        <v>123.99999999999523</v>
      </c>
      <c r="DQ24">
        <f>AC25-Table2[[#This Row],[16F1 Tray washer Panel for Light]]</f>
        <v>690.24000000022352</v>
      </c>
      <c r="DR24">
        <f>CQ25-Table2[[#This Row],[2F1 Tray Washer - 1]]</f>
        <v>1343.3600000003353</v>
      </c>
      <c r="DS24">
        <f>CS25-Table2[[#This Row],[2F5 Destacker]]</f>
        <v>355.00800000003073</v>
      </c>
      <c r="DT24">
        <f>CU25-Table2[[#This Row],[5F1 Metering (TW-2)]]</f>
        <v>244.68599999998696</v>
      </c>
      <c r="DU24">
        <f>CV25-Table2[[#This Row],[6F1 Pre soaker Tray washer]]</f>
        <v>0.16960000000108266</v>
      </c>
      <c r="DV24">
        <f>CZ25-Table2[[#This Row],[6F5 Vent tray Storage]]</f>
        <v>72.943999999988591</v>
      </c>
      <c r="DW24">
        <f>I25-Table2[[#This Row],[Popeyes Meter ]]</f>
        <v>53.329999999999927</v>
      </c>
      <c r="DX24">
        <f>AZ25-Table2[[#This Row],[2F WH Chiller, Segregation Area]]</f>
        <v>0</v>
      </c>
      <c r="DY24">
        <f>BA25-Table2[[#This Row],[3F1 AC Unit WH dock cooling - 2 Nos]]</f>
        <v>2.000000000000135E-2</v>
      </c>
      <c r="DZ24">
        <f>BB25-Table2[[#This Row],[3F2 AC Unit WH dock cooling - 3 Nos]]</f>
        <v>4.8000000000001819E-2</v>
      </c>
      <c r="EA24">
        <f>(BK25-Table2[[#This Row],[5F WH Perishable]])*1000</f>
        <v>282.99999999990177</v>
      </c>
      <c r="EB24">
        <f>BN25-Table2[[#This Row],[2F3 - PDB 9 - WH Dock Leveler Door ]]</f>
        <v>2.8824000000004162</v>
      </c>
      <c r="EC24">
        <f>BP25-Table2[[#This Row],[3F1 - PDB 5 - WH HSD]]</f>
        <v>89.311999999976251</v>
      </c>
      <c r="ED24">
        <f>BX25-Table2[[#This Row],[8F1 WH Dock AHU - Ventilation]]</f>
        <v>328.71999999997206</v>
      </c>
      <c r="EE24">
        <f>BZ25-Table2[[#This Row],[8F3 ACPDB - 4 WH Dock air curtain]]</f>
        <v>45.864000000001397</v>
      </c>
      <c r="EF24">
        <f>CA25-Table2[[#This Row],[8F4 WH Light]]</f>
        <v>0</v>
      </c>
      <c r="EG24">
        <f>CC25-Table2[[#This Row],[9F1 - PDB 10 - WH Dock door &amp; Office]]</f>
        <v>122.36799999998766</v>
      </c>
      <c r="EH24">
        <f>CD25-Table2[[#This Row],[9F2 - PDB 11 - WH flycatchers]]</f>
        <v>220.67200000002049</v>
      </c>
      <c r="EI24">
        <f>CE25-Table2[[#This Row],[9F3 - PDB 12 - Other items]]</f>
        <v>123.0879999999961</v>
      </c>
      <c r="EJ24">
        <f>CR25-Table2[[#This Row],[2F3 - PDB 1 - Dock 1 to 4 ]]</f>
        <v>59.088000000017928</v>
      </c>
      <c r="EK24">
        <f>BM25-Table2[[#This Row],[2F2 - PDB 3 - WH Truck &amp; Battery Charging]]</f>
        <v>414.20799999998417</v>
      </c>
      <c r="EL24">
        <f>(CK25-Table2[[#This Row],[PDB - 11 Truck Charging]])*1000</f>
        <v>42.000000000001592</v>
      </c>
      <c r="EM24" s="1">
        <f>P25-Table2[[#This Row],[5F3 Admin Area]]</f>
        <v>394.17599999997765</v>
      </c>
      <c r="EN24">
        <f>AH25-Table2[[#This Row],[2F5 Main Gate-1 Piller -1]]</f>
        <v>131.10400000002119</v>
      </c>
      <c r="EO24">
        <f>CW25-Table2[[#This Row],[6F2 Ground Floor AC]]</f>
        <v>12.831999999994878</v>
      </c>
      <c r="EP24">
        <f>CX25-Table2[[#This Row],[6F3 ACBD -1 (First floor AC)]]</f>
        <v>8.8703999999997905</v>
      </c>
      <c r="EQ24">
        <f>CY25-Table2[[#This Row],[6F4 ACBD - 2 (Second &amp; Third floor AC)]]</f>
        <v>126.04800000000978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1600.2399999999907</v>
      </c>
      <c r="EU24">
        <f>(CL25-Table2[[#This Row],[OLD Ck Panel-1]])*1000</f>
        <v>293.99999999998272</v>
      </c>
      <c r="EV24">
        <f>CM25-Table2[[#This Row],[2F4 Old CK Blast (Blue star)]]</f>
        <v>0</v>
      </c>
      <c r="EW24">
        <f>CN25-Table2[[#This Row],[3F6 Old CK Blast (Carrier)]]</f>
        <v>157.39999999999418</v>
      </c>
      <c r="EX24">
        <f>(CO25-Table2[[#This Row],[Old CK Panel -2]])*1000</f>
        <v>1173.0000000000018</v>
      </c>
      <c r="EY24">
        <f>N25-Table2[[#This Row],[4F1 Main UPS 1/C -1]]</f>
        <v>919.84000000008382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4.0000000000048885</v>
      </c>
      <c r="FC24">
        <f>BW25-Table2[[#This Row],[7F3 CLC Power Panel]]</f>
        <v>119.55200000002515</v>
      </c>
      <c r="FD24">
        <f>(CI25-Table2[[#This Row],[PDB - 17 CLC Section ]])*1000</f>
        <v>58.999999999997499</v>
      </c>
      <c r="FE24">
        <f>(W25-Table2[[#This Row],[13F3 Water &amp; Lift Old CK]])*1000</f>
        <v>4479.1999999999916</v>
      </c>
      <c r="FF24">
        <f>AA25-Table2[[#This Row],[15F2 New ETP Panel]]</f>
        <v>282.49600000004284</v>
      </c>
      <c r="FG24">
        <f>AL25-Table2[[#This Row],[3F4 Old ETP Panel]]</f>
        <v>83.711999999999534</v>
      </c>
      <c r="FH24">
        <f>AF25-Table2[[#This Row],[2F1 RO Plant]]</f>
        <v>590.71999999997206</v>
      </c>
      <c r="FI24">
        <f>AK25-Table2[[#This Row],[3F3 Fire Hydrant Panel]]</f>
        <v>5.9919999999983702</v>
      </c>
      <c r="FJ24">
        <f>R25-Table2[[#This Row],[7F1 Freon System Panel]]</f>
        <v>4078.7200000006706</v>
      </c>
      <c r="FK24">
        <f>(AE25-Table2[[#This Row],[21F1 Refrigeration Ammonia]])*1000</f>
        <v>7299.1999999994732</v>
      </c>
      <c r="FL24">
        <f>(AG25-Table2[[#This Row],[2F3 Air Compressor]])*1000</f>
        <v>1259.9999999999909</v>
      </c>
      <c r="FM24">
        <f>(AX25-Table2[[#This Row],[Solar Reading Panel II]])*1000</f>
        <v>2552.0000000005894</v>
      </c>
      <c r="FN24">
        <f>AI25-Table2[[#This Row],[3F1 Maintenance Workshop]]</f>
        <v>8.9616000000005442</v>
      </c>
      <c r="FO24">
        <f>BD25-Table2[[#This Row],[4F B2B unit ]]</f>
        <v>41.599999999976717</v>
      </c>
      <c r="FP24">
        <f>BL25-Table2[[#This Row],[2F1 - PDB 6 - Bread, B2B section]]</f>
        <v>132.46080000000075</v>
      </c>
      <c r="FQ24">
        <f>(CG25-Table2[[#This Row],[9F5 - PDB 14 - Bread Lift]])</f>
        <v>0.81599999999889405</v>
      </c>
      <c r="FR24">
        <f>CJ25-Table2[[#This Row],[PDB - 16 Bread Section]]</f>
        <v>0</v>
      </c>
      <c r="FS24">
        <f>BU25-Table2[[#This Row],[7F1 Donut Production area]]</f>
        <v>209.98399999993853</v>
      </c>
      <c r="FT24">
        <f>CB25-Table2[[#This Row],[8F5 Donut Ban Bary]]</f>
        <v>17.927999999999884</v>
      </c>
      <c r="FU24">
        <f>CF25-Table2[[#This Row],[9F4 - PDB 13 - Donut Sink Geyser area]]</f>
        <v>53.775999999983469</v>
      </c>
      <c r="FV24">
        <f>BV25-Table2[[#This Row],[7F2 Flour Silo]]</f>
        <v>489.76000000000931</v>
      </c>
      <c r="FW24">
        <f>BY25-Table2[[#This Row],[8F2 ACPDB - 3 SILO Ventilation]]</f>
        <v>39.98399999999674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>
      <c r="A25" s="65">
        <v>96</v>
      </c>
      <c r="B25" s="55">
        <v>46288.387361111112</v>
      </c>
      <c r="C25" s="55">
        <v>46288.425046296295</v>
      </c>
      <c r="D25" s="65" t="s">
        <v>111</v>
      </c>
      <c r="E25" s="54"/>
      <c r="F25" s="54"/>
      <c r="G25" s="68">
        <v>46288</v>
      </c>
      <c r="H25" s="54" t="s">
        <v>182</v>
      </c>
      <c r="I25" s="56">
        <v>9081.5820000000003</v>
      </c>
      <c r="J25" s="56">
        <v>4287</v>
      </c>
      <c r="K25" s="56">
        <v>1782467</v>
      </c>
      <c r="L25" s="56">
        <v>466</v>
      </c>
      <c r="M25" s="56">
        <v>196.76</v>
      </c>
      <c r="N25" s="56">
        <v>1916586.56</v>
      </c>
      <c r="O25" s="56">
        <v>4393976</v>
      </c>
      <c r="P25" s="56">
        <v>664519.93599999999</v>
      </c>
      <c r="Q25" s="56">
        <v>8232977.2800000003</v>
      </c>
      <c r="R25" s="56">
        <v>5824438.4000000004</v>
      </c>
      <c r="S25" s="56">
        <v>7537629.4400000004</v>
      </c>
      <c r="T25" s="56">
        <v>43827984.781999998</v>
      </c>
      <c r="U25" s="56">
        <v>2172599.04</v>
      </c>
      <c r="V25" s="56">
        <v>5200776.6399999997</v>
      </c>
      <c r="W25" s="56">
        <v>1637.5501999999999</v>
      </c>
      <c r="X25" s="56">
        <v>787771.96799999999</v>
      </c>
      <c r="Y25" s="56">
        <v>1167894.48</v>
      </c>
      <c r="Z25" s="56">
        <v>2777.8894</v>
      </c>
      <c r="AA25" s="56">
        <v>682883.58400000003</v>
      </c>
      <c r="AB25" s="56">
        <v>422898.14399999997</v>
      </c>
      <c r="AC25" s="56">
        <v>2173910.56</v>
      </c>
      <c r="AD25" s="56">
        <v>4762784.3959999997</v>
      </c>
      <c r="AE25" s="56">
        <v>13171.7464</v>
      </c>
      <c r="AF25" s="56">
        <v>904629.12</v>
      </c>
      <c r="AG25" s="56">
        <v>1460.502</v>
      </c>
      <c r="AH25" s="56">
        <v>139262.35200000001</v>
      </c>
      <c r="AI25" s="56">
        <v>14879.312</v>
      </c>
      <c r="AJ25" s="56">
        <v>145440.03200000001</v>
      </c>
      <c r="AK25" s="56">
        <v>105755.784</v>
      </c>
      <c r="AL25" s="56">
        <v>334517.728</v>
      </c>
      <c r="AM25" s="56">
        <v>1025.5070000000001</v>
      </c>
      <c r="AN25" s="56">
        <v>197.9</v>
      </c>
      <c r="AO25" s="56">
        <v>7.4</v>
      </c>
      <c r="AP25" s="56">
        <v>962752</v>
      </c>
      <c r="AQ25" s="56">
        <v>43114</v>
      </c>
      <c r="AR25" s="56">
        <v>42568</v>
      </c>
      <c r="AS25" s="56">
        <v>32461</v>
      </c>
      <c r="AT25" s="56">
        <v>22162</v>
      </c>
      <c r="AU25" s="56">
        <v>16796</v>
      </c>
      <c r="AV25" s="56">
        <v>7115</v>
      </c>
      <c r="AW25" s="56">
        <v>21.279499999999999</v>
      </c>
      <c r="AX25" s="56">
        <v>7363.89</v>
      </c>
      <c r="AY25" s="56">
        <v>686.02808000000005</v>
      </c>
      <c r="AZ25" s="56">
        <v>20.788</v>
      </c>
      <c r="BA25" s="56">
        <v>11.313000000000001</v>
      </c>
      <c r="BB25" s="56">
        <v>46.744</v>
      </c>
      <c r="BC25" s="56">
        <v>114029.064</v>
      </c>
      <c r="BD25" s="56">
        <v>278648.864</v>
      </c>
      <c r="BE25" s="56">
        <v>3789.3175999999999</v>
      </c>
      <c r="BF25" s="56">
        <v>1714.182</v>
      </c>
      <c r="BG25" s="56">
        <v>76.588999999999999</v>
      </c>
      <c r="BH25" s="56">
        <v>383.40899999999999</v>
      </c>
      <c r="BI25" s="56">
        <v>939.71500000000003</v>
      </c>
      <c r="BJ25" s="56">
        <v>16.966000000000001</v>
      </c>
      <c r="BK25" s="56">
        <v>578.03099999999995</v>
      </c>
      <c r="BL25" s="56">
        <v>83969.126399999994</v>
      </c>
      <c r="BM25" s="56">
        <v>335679.2</v>
      </c>
      <c r="BN25" s="56">
        <v>7393.4192000000003</v>
      </c>
      <c r="BO25" s="56">
        <v>53589.132799999999</v>
      </c>
      <c r="BP25" s="56">
        <v>319727.16800000001</v>
      </c>
      <c r="BQ25" s="56">
        <v>337.14100000000002</v>
      </c>
      <c r="BR25" s="56">
        <v>188.023</v>
      </c>
      <c r="BS25" s="56">
        <v>1080693.2720000001</v>
      </c>
      <c r="BT25" s="56">
        <v>1400637.8659999999</v>
      </c>
      <c r="BU25" s="56">
        <v>639127.80799999996</v>
      </c>
      <c r="BV25" s="56">
        <v>1049832.6399999999</v>
      </c>
      <c r="BW25" s="56">
        <v>580774.72</v>
      </c>
      <c r="BX25" s="56">
        <v>1083115.8400000001</v>
      </c>
      <c r="BY25" s="56">
        <v>160021.12</v>
      </c>
      <c r="BZ25" s="56">
        <v>115456.632</v>
      </c>
      <c r="CA25" s="56">
        <v>1244.5895</v>
      </c>
      <c r="CB25" s="56">
        <v>110438.664</v>
      </c>
      <c r="CC25" s="56">
        <v>156829.84</v>
      </c>
      <c r="CD25" s="56">
        <v>456072.70400000003</v>
      </c>
      <c r="CE25" s="56">
        <v>49767.625599999999</v>
      </c>
      <c r="CF25" s="56">
        <v>157859.12</v>
      </c>
      <c r="CG25" s="56">
        <v>36110.703999999998</v>
      </c>
      <c r="CH25" s="56">
        <v>2385.8710000000001</v>
      </c>
      <c r="CI25" s="56">
        <v>222.25700000000001</v>
      </c>
      <c r="CJ25" s="56">
        <v>1191.5999999999999</v>
      </c>
      <c r="CK25" s="56">
        <v>80.275999999999996</v>
      </c>
      <c r="CL25" s="56">
        <v>760.36599999999999</v>
      </c>
      <c r="CM25" s="56">
        <v>551.4</v>
      </c>
      <c r="CN25" s="56">
        <v>65848.899999999994</v>
      </c>
      <c r="CO25" s="56">
        <v>1711.9280000000001</v>
      </c>
      <c r="CP25" s="56">
        <v>305792.223</v>
      </c>
      <c r="CQ25" s="56">
        <v>3749517.12</v>
      </c>
      <c r="CR25" s="56">
        <v>134286.48000000001</v>
      </c>
      <c r="CS25" s="56">
        <v>531231.07200000004</v>
      </c>
      <c r="CT25" s="56">
        <v>3113352.176</v>
      </c>
      <c r="CU25" s="56">
        <v>312990.91899999999</v>
      </c>
      <c r="CV25" s="56">
        <v>30277.8272</v>
      </c>
      <c r="CW25" s="56">
        <v>63955.340799999998</v>
      </c>
      <c r="CX25" s="56">
        <v>33873.753599999996</v>
      </c>
      <c r="CY25" s="56">
        <v>174358.60800000001</v>
      </c>
      <c r="CZ25" s="56">
        <v>222319.53599999999</v>
      </c>
      <c r="DA25" s="56">
        <v>19902.88</v>
      </c>
      <c r="DB25" s="56">
        <v>155577.08100000001</v>
      </c>
      <c r="DC25" s="56">
        <v>3367.67</v>
      </c>
      <c r="DD25" s="56">
        <v>3367.54</v>
      </c>
      <c r="DE25" s="56">
        <v>3398.64</v>
      </c>
      <c r="DF25" s="56">
        <v>0.997</v>
      </c>
      <c r="DG25" s="54" t="s">
        <v>232</v>
      </c>
      <c r="DH25" s="2">
        <f>Table2[[#This Row],[Date]]</f>
        <v>46288</v>
      </c>
      <c r="DI25">
        <f>(DD26-Table2[[#This Row],[MWH Total]])*4000</f>
        <v>25440.000000000509</v>
      </c>
      <c r="DJ25">
        <f>(DA26-Table2[[#This Row],[PNG Meter (Outside)]])*2.936</f>
        <v>10.863200000002136</v>
      </c>
      <c r="DK25">
        <f>(DB26-Table2[[#This Row],[PNG Meter (Inside)]])*2.936</f>
        <v>155.61387200002255</v>
      </c>
      <c r="DL25">
        <f>(BH26-Table2[[#This Row],[3F Dough cooler - 2 ]])*1000</f>
        <v>403.00000000002001</v>
      </c>
      <c r="DM25">
        <f>(BI26-Table2[[#This Row],[3F Dough Cooler- 1]])*1000</f>
        <v>488.99999999991905</v>
      </c>
      <c r="DN25">
        <f>(BJ26-Table2[[#This Row],[4F Dough Production cooling Unit]])*1000</f>
        <v>47.000000000000597</v>
      </c>
      <c r="DO25">
        <f>(BQ26-Table2[[#This Row],[3F2 - PDB 3 - Dough Production Area]])*1000</f>
        <v>222.99999999995634</v>
      </c>
      <c r="DP25">
        <f>(BR26-Table2[[#This Row],[3F3 - PDB 4 - Dough Area]])*1000</f>
        <v>138.00000000000523</v>
      </c>
      <c r="DQ25">
        <f>AC26-Table2[[#This Row],[16F1 Tray washer Panel for Light]]</f>
        <v>692</v>
      </c>
      <c r="DR25">
        <f>CQ26-Table2[[#This Row],[2F1 Tray Washer - 1]]</f>
        <v>1351.3599999998696</v>
      </c>
      <c r="DS25">
        <f>CS26-Table2[[#This Row],[2F5 Destacker]]</f>
        <v>291.35999999998603</v>
      </c>
      <c r="DT25">
        <f>CU26-Table2[[#This Row],[5F1 Metering (TW-2)]]</f>
        <v>281.69099999999162</v>
      </c>
      <c r="DU25">
        <f>CV26-Table2[[#This Row],[6F1 Pre soaker Tray washer]]</f>
        <v>6.2240000000019791</v>
      </c>
      <c r="DV25">
        <f>CZ26-Table2[[#This Row],[6F5 Vent tray Storage]]</f>
        <v>87.855999999999767</v>
      </c>
      <c r="DW25">
        <f>I26-Table2[[#This Row],[Popeyes Meter ]]</f>
        <v>63.549999999999272</v>
      </c>
      <c r="DX25">
        <f>AZ26-Table2[[#This Row],[2F WH Chiller, Segregation Area]]</f>
        <v>0</v>
      </c>
      <c r="DY25">
        <f>BA26-Table2[[#This Row],[3F1 AC Unit WH dock cooling - 2 Nos]]</f>
        <v>1.6000000000000014E-2</v>
      </c>
      <c r="DZ25">
        <f>BB26-Table2[[#This Row],[3F2 AC Unit WH dock cooling - 3 Nos]]</f>
        <v>3.399999999999892E-2</v>
      </c>
      <c r="EA25">
        <f>(BK26-Table2[[#This Row],[5F WH Perishable]])*1000</f>
        <v>283.00000000001546</v>
      </c>
      <c r="EB25">
        <f>BN26-Table2[[#This Row],[2F3 - PDB 9 - WH Dock Leveler Door ]]</f>
        <v>3.8383999999996377</v>
      </c>
      <c r="EC25">
        <f>BP26-Table2[[#This Row],[3F1 - PDB 5 - WH HSD]]</f>
        <v>96.576000000000931</v>
      </c>
      <c r="ED25">
        <f>BX26-Table2[[#This Row],[8F1 WH Dock AHU - Ventilation]]</f>
        <v>323.52000000001863</v>
      </c>
      <c r="EE25">
        <f>BZ26-Table2[[#This Row],[8F3 ACPDB - 4 WH Dock air curtain]]</f>
        <v>37.328000000008615</v>
      </c>
      <c r="EF25">
        <f>CA26-Table2[[#This Row],[8F4 WH Light]]</f>
        <v>0</v>
      </c>
      <c r="EG25">
        <f>CC26-Table2[[#This Row],[9F1 - PDB 10 - WH Dock door &amp; Office]]</f>
        <v>181.15200000000186</v>
      </c>
      <c r="EH25">
        <f>CD26-Table2[[#This Row],[9F2 - PDB 11 - WH flycatchers]]</f>
        <v>203.74399999994785</v>
      </c>
      <c r="EI25">
        <f>CE26-Table2[[#This Row],[9F3 - PDB 12 - Other items]]</f>
        <v>47.16479999999865</v>
      </c>
      <c r="EJ25">
        <f>CR26-Table2[[#This Row],[2F3 - PDB 1 - Dock 1 to 4 ]]</f>
        <v>58.288000000000466</v>
      </c>
      <c r="EK25">
        <f>BM26-Table2[[#This Row],[2F2 - PDB 3 - WH Truck &amp; Battery Charging]]</f>
        <v>516.92800000001444</v>
      </c>
      <c r="EL25">
        <f>(CK26-Table2[[#This Row],[PDB - 11 Truck Charging]])*1000</f>
        <v>58.999999999997499</v>
      </c>
      <c r="EM25" s="1">
        <f>P26-Table2[[#This Row],[5F3 Admin Area]]</f>
        <v>398.52800000004936</v>
      </c>
      <c r="EN25">
        <f>AH26-Table2[[#This Row],[2F5 Main Gate-1 Piller -1]]</f>
        <v>127.42399999999907</v>
      </c>
      <c r="EO25">
        <f>CW26-Table2[[#This Row],[6F2 Ground Floor AC]]</f>
        <v>12.684800000002724</v>
      </c>
      <c r="EP25">
        <f>CX26-Table2[[#This Row],[6F3 ACBD -1 (First floor AC)]]</f>
        <v>8.6848000000027241</v>
      </c>
      <c r="EQ25">
        <f>CY26-Table2[[#This Row],[6F4 ACBD - 2 (Second &amp; Third floor AC)]]</f>
        <v>125.87200000000303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1967.2800000000279</v>
      </c>
      <c r="EU25">
        <f>(CL26-Table2[[#This Row],[OLD Ck Panel-1]])*1000</f>
        <v>503.00000000004275</v>
      </c>
      <c r="EV25">
        <f>CM26-Table2[[#This Row],[2F4 Old CK Blast (Blue star)]]</f>
        <v>0</v>
      </c>
      <c r="EW25">
        <f>CN26-Table2[[#This Row],[3F6 Old CK Blast (Carrier)]]</f>
        <v>395.90000000000873</v>
      </c>
      <c r="EX25">
        <f>(CO26-Table2[[#This Row],[Old CK Panel -2]])*1000</f>
        <v>1281.9999999999254</v>
      </c>
      <c r="EY25">
        <f>N26-Table2[[#This Row],[4F1 Main UPS 1/C -1]]</f>
        <v>879.19999999995343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0</v>
      </c>
      <c r="FC25">
        <f>BW26-Table2[[#This Row],[7F3 CLC Power Panel]]</f>
        <v>34.560000000055879</v>
      </c>
      <c r="FD25">
        <f>(CI26-Table2[[#This Row],[PDB - 17 CLC Section ]])*1000</f>
        <v>12.000000000000455</v>
      </c>
      <c r="FE25">
        <f>(W26-Table2[[#This Row],[13F3 Water &amp; Lift Old CK]])*1000</f>
        <v>622.40000000019791</v>
      </c>
      <c r="FF25">
        <f>AA26-Table2[[#This Row],[15F2 New ETP Panel]]</f>
        <v>294.52799999993294</v>
      </c>
      <c r="FG25">
        <f>AL26-Table2[[#This Row],[3F4 Old ETP Panel]]</f>
        <v>78.62400000001071</v>
      </c>
      <c r="FH25">
        <f>AF26-Table2[[#This Row],[2F1 RO Plant]]</f>
        <v>584.95999999996275</v>
      </c>
      <c r="FI25">
        <f>AK26-Table2[[#This Row],[3F3 Fire Hydrant Panel]]</f>
        <v>8.0320000000065193</v>
      </c>
      <c r="FJ25">
        <f>R26-Table2[[#This Row],[7F1 Freon System Panel]]</f>
        <v>4111.359999999404</v>
      </c>
      <c r="FK25">
        <f>(AE26-Table2[[#This Row],[21F1 Refrigeration Ammonia]])*1000</f>
        <v>7227.1999999993568</v>
      </c>
      <c r="FL25">
        <f>(AG26-Table2[[#This Row],[2F3 Air Compressor]])*1000</f>
        <v>1259.0000000000146</v>
      </c>
      <c r="FM25">
        <f>(AX26-Table2[[#This Row],[Solar Reading Panel II]])*1000</f>
        <v>2067.0000000000073</v>
      </c>
      <c r="FN25">
        <f>AI26-Table2[[#This Row],[3F1 Maintenance Workshop]]</f>
        <v>6.5967999999993481</v>
      </c>
      <c r="FO25">
        <f>BD26-Table2[[#This Row],[4F B2B unit ]]</f>
        <v>42.495999999984633</v>
      </c>
      <c r="FP25">
        <f>BL26-Table2[[#This Row],[2F1 - PDB 6 - Bread, B2B section]]</f>
        <v>132.0512000000017</v>
      </c>
      <c r="FQ25">
        <f>(CG26-Table2[[#This Row],[9F5 - PDB 14 - Bread Lift]])</f>
        <v>0.64640000000508735</v>
      </c>
      <c r="FR25">
        <f>CJ26-Table2[[#This Row],[PDB - 16 Bread Section]]</f>
        <v>0</v>
      </c>
      <c r="FS25">
        <f>BU26-Table2[[#This Row],[7F1 Donut Production area]]</f>
        <v>214.46400000003632</v>
      </c>
      <c r="FT25">
        <f>CB26-Table2[[#This Row],[8F5 Donut Ban Bary]]</f>
        <v>20.887999999991735</v>
      </c>
      <c r="FU25">
        <f>CF26-Table2[[#This Row],[9F4 - PDB 13 - Donut Sink Geyser area]]</f>
        <v>20.864000000001397</v>
      </c>
      <c r="FV25">
        <f>BV26-Table2[[#This Row],[7F2 Flour Silo]]</f>
        <v>523.76000000000931</v>
      </c>
      <c r="FW25">
        <f>BY26-Table2[[#This Row],[8F2 ACPDB - 3 SILO Ventilation]]</f>
        <v>39.920000000012806</v>
      </c>
      <c r="FX25">
        <f>J26-Table2[[#This Row],[DG 1010KVA Running Hours]]</f>
        <v>0</v>
      </c>
      <c r="FY25">
        <f>K26-Table2[[#This Row],[DG 1010 KVA Meter Reading]]</f>
        <v>0</v>
      </c>
      <c r="FZ25">
        <f>L26-Table2[[#This Row],[GG 1010 KVA Running Hours]]</f>
        <v>0</v>
      </c>
      <c r="GA25">
        <f>M26-Table2[[#This Row],[GG 1010 KVA Meter Reading]]</f>
        <v>0</v>
      </c>
    </row>
    <row r="26" spans="1:183">
      <c r="A26" s="65">
        <v>97</v>
      </c>
      <c r="B26" s="55">
        <v>46289.384456018517</v>
      </c>
      <c r="C26" s="55">
        <v>46289.421990740739</v>
      </c>
      <c r="D26" s="65" t="s">
        <v>111</v>
      </c>
      <c r="E26" s="54"/>
      <c r="F26" s="54"/>
      <c r="G26" s="68">
        <v>46289</v>
      </c>
      <c r="H26" s="54" t="s">
        <v>182</v>
      </c>
      <c r="I26" s="56">
        <v>9145.1319999999996</v>
      </c>
      <c r="J26" s="56">
        <v>4287</v>
      </c>
      <c r="K26" s="56">
        <v>1782467</v>
      </c>
      <c r="L26" s="56">
        <v>466</v>
      </c>
      <c r="M26" s="56">
        <v>196.76</v>
      </c>
      <c r="N26" s="56">
        <v>1917465.76</v>
      </c>
      <c r="O26" s="56">
        <v>4695912</v>
      </c>
      <c r="P26" s="56">
        <v>664918.46400000004</v>
      </c>
      <c r="Q26" s="56">
        <v>8235352.3200000003</v>
      </c>
      <c r="R26" s="56">
        <v>5828549.7599999998</v>
      </c>
      <c r="S26" s="56">
        <v>7541358.7199999997</v>
      </c>
      <c r="T26" s="56">
        <v>43839306.476000004</v>
      </c>
      <c r="U26" s="56">
        <v>2173790.2400000002</v>
      </c>
      <c r="V26" s="56">
        <v>5202496.96</v>
      </c>
      <c r="W26" s="56">
        <v>1638.1726000000001</v>
      </c>
      <c r="X26" s="56">
        <v>788056.76800000004</v>
      </c>
      <c r="Y26" s="56">
        <v>1169861.76</v>
      </c>
      <c r="Z26" s="56">
        <v>2777.8894</v>
      </c>
      <c r="AA26" s="56">
        <v>683178.11199999996</v>
      </c>
      <c r="AB26" s="56">
        <v>422926.65600000002</v>
      </c>
      <c r="AC26" s="56">
        <v>2174602.56</v>
      </c>
      <c r="AD26" s="56">
        <v>4778658.3810000001</v>
      </c>
      <c r="AE26" s="56">
        <v>13178.973599999999</v>
      </c>
      <c r="AF26" s="56">
        <v>905214.08</v>
      </c>
      <c r="AG26" s="56">
        <v>1461.761</v>
      </c>
      <c r="AH26" s="56">
        <v>139389.77600000001</v>
      </c>
      <c r="AI26" s="56">
        <v>14885.908799999999</v>
      </c>
      <c r="AJ26" s="56">
        <v>145441.856</v>
      </c>
      <c r="AK26" s="56">
        <v>105763.81600000001</v>
      </c>
      <c r="AL26" s="56">
        <v>334596.35200000001</v>
      </c>
      <c r="AM26" s="56">
        <v>1023.0940000000001</v>
      </c>
      <c r="AN26" s="56">
        <v>329.4</v>
      </c>
      <c r="AO26" s="56">
        <v>7.4</v>
      </c>
      <c r="AP26" s="56">
        <v>972444</v>
      </c>
      <c r="AQ26" s="56">
        <v>43138</v>
      </c>
      <c r="AR26" s="56">
        <v>42591</v>
      </c>
      <c r="AS26" s="56">
        <v>32461</v>
      </c>
      <c r="AT26" s="56">
        <v>22162</v>
      </c>
      <c r="AU26" s="56">
        <v>16820</v>
      </c>
      <c r="AV26" s="56">
        <v>7126</v>
      </c>
      <c r="AW26" s="56">
        <v>21.286539999999999</v>
      </c>
      <c r="AX26" s="56">
        <v>7365.9570000000003</v>
      </c>
      <c r="AY26" s="56">
        <v>686.15376000000003</v>
      </c>
      <c r="AZ26" s="56">
        <v>20.788</v>
      </c>
      <c r="BA26" s="56">
        <v>11.329000000000001</v>
      </c>
      <c r="BB26" s="56">
        <v>46.777999999999999</v>
      </c>
      <c r="BC26" s="56">
        <v>114029.064</v>
      </c>
      <c r="BD26" s="56">
        <v>278691.36</v>
      </c>
      <c r="BE26" s="56">
        <v>3790.5776000000001</v>
      </c>
      <c r="BF26" s="56">
        <v>1714.182</v>
      </c>
      <c r="BG26" s="56">
        <v>76.588999999999999</v>
      </c>
      <c r="BH26" s="56">
        <v>383.81200000000001</v>
      </c>
      <c r="BI26" s="56">
        <v>940.20399999999995</v>
      </c>
      <c r="BJ26" s="56">
        <v>17.013000000000002</v>
      </c>
      <c r="BK26" s="56">
        <v>578.31399999999996</v>
      </c>
      <c r="BL26" s="56">
        <v>84101.177599999995</v>
      </c>
      <c r="BM26" s="56">
        <v>336196.12800000003</v>
      </c>
      <c r="BN26" s="56">
        <v>7397.2575999999999</v>
      </c>
      <c r="BO26" s="56">
        <v>53589.132799999999</v>
      </c>
      <c r="BP26" s="56">
        <v>319823.74400000001</v>
      </c>
      <c r="BQ26" s="56">
        <v>337.36399999999998</v>
      </c>
      <c r="BR26" s="56">
        <v>188.161</v>
      </c>
      <c r="BS26" s="56">
        <v>1081873.3959999999</v>
      </c>
      <c r="BT26" s="56">
        <v>1400637.888</v>
      </c>
      <c r="BU26" s="56">
        <v>639342.272</v>
      </c>
      <c r="BV26" s="56">
        <v>1050356.3999999999</v>
      </c>
      <c r="BW26" s="56">
        <v>580809.28</v>
      </c>
      <c r="BX26" s="56">
        <v>1083439.3600000001</v>
      </c>
      <c r="BY26" s="56">
        <v>160061.04</v>
      </c>
      <c r="BZ26" s="56">
        <v>115493.96</v>
      </c>
      <c r="CA26" s="56">
        <v>1244.5895</v>
      </c>
      <c r="CB26" s="56">
        <v>110459.552</v>
      </c>
      <c r="CC26" s="56">
        <v>157010.992</v>
      </c>
      <c r="CD26" s="56">
        <v>456276.44799999997</v>
      </c>
      <c r="CE26" s="56">
        <v>49814.790399999998</v>
      </c>
      <c r="CF26" s="56">
        <v>157879.984</v>
      </c>
      <c r="CG26" s="56">
        <v>36111.350400000003</v>
      </c>
      <c r="CH26" s="56">
        <v>2385.8710000000001</v>
      </c>
      <c r="CI26" s="56">
        <v>222.26900000000001</v>
      </c>
      <c r="CJ26" s="56">
        <v>1191.5999999999999</v>
      </c>
      <c r="CK26" s="56">
        <v>80.334999999999994</v>
      </c>
      <c r="CL26" s="56">
        <v>760.86900000000003</v>
      </c>
      <c r="CM26" s="56">
        <v>551.4</v>
      </c>
      <c r="CN26" s="56">
        <v>66244.800000000003</v>
      </c>
      <c r="CO26" s="56">
        <v>1713.21</v>
      </c>
      <c r="CP26" s="56">
        <v>306075.41200000001</v>
      </c>
      <c r="CQ26" s="56">
        <v>3750868.48</v>
      </c>
      <c r="CR26" s="56">
        <v>134344.76800000001</v>
      </c>
      <c r="CS26" s="56">
        <v>531522.43200000003</v>
      </c>
      <c r="CT26" s="56">
        <v>3117147.7650000001</v>
      </c>
      <c r="CU26" s="56">
        <v>313272.61</v>
      </c>
      <c r="CV26" s="56">
        <v>30284.051200000002</v>
      </c>
      <c r="CW26" s="56">
        <v>63968.025600000001</v>
      </c>
      <c r="CX26" s="56">
        <v>33882.438399999999</v>
      </c>
      <c r="CY26" s="56">
        <v>174484.48000000001</v>
      </c>
      <c r="CZ26" s="56">
        <v>222407.39199999999</v>
      </c>
      <c r="DA26" s="56">
        <v>19906.580000000002</v>
      </c>
      <c r="DB26" s="56">
        <v>155630.08300000001</v>
      </c>
      <c r="DC26" s="56">
        <v>3374.03</v>
      </c>
      <c r="DD26" s="56">
        <v>3373.9</v>
      </c>
      <c r="DE26" s="56">
        <v>3405.04</v>
      </c>
      <c r="DF26" s="56">
        <v>0.98899999999999999</v>
      </c>
      <c r="DG26" s="54" t="s">
        <v>224</v>
      </c>
      <c r="DH26" s="2">
        <f>Table2[[#This Row],[Date]]</f>
        <v>46289</v>
      </c>
      <c r="DI26">
        <f>(DD27-Table2[[#This Row],[MWH Total]])*4000</f>
        <v>-13495600</v>
      </c>
      <c r="DJ26">
        <f>(DA27-Table2[[#This Row],[PNG Meter (Outside)]])*2.936</f>
        <v>-58445.718880000008</v>
      </c>
      <c r="DK26">
        <f>(DB27-Table2[[#This Row],[PNG Meter (Inside)]])*2.936</f>
        <v>-456929.92368800001</v>
      </c>
      <c r="DL26">
        <f>(BH27-Table2[[#This Row],[3F Dough cooler - 2 ]])*1000</f>
        <v>-383812</v>
      </c>
      <c r="DM26">
        <f>(BI27-Table2[[#This Row],[3F Dough Cooler- 1]])*1000</f>
        <v>-940204</v>
      </c>
      <c r="DN26">
        <f>(BJ27-Table2[[#This Row],[4F Dough Production cooling Unit]])*1000</f>
        <v>-17013</v>
      </c>
      <c r="DO26">
        <f>(BQ27-Table2[[#This Row],[3F2 - PDB 3 - Dough Production Area]])*1000</f>
        <v>-337364</v>
      </c>
      <c r="DP26">
        <f>(BR27-Table2[[#This Row],[3F3 - PDB 4 - Dough Area]])*1000</f>
        <v>-188161</v>
      </c>
      <c r="DQ26">
        <f>AC27-Table2[[#This Row],[16F1 Tray washer Panel for Light]]</f>
        <v>-2174602.56</v>
      </c>
      <c r="DR26">
        <f>CQ27-Table2[[#This Row],[2F1 Tray Washer - 1]]</f>
        <v>-3750868.48</v>
      </c>
      <c r="DS26">
        <f>CS27-Table2[[#This Row],[2F5 Destacker]]</f>
        <v>-531522.43200000003</v>
      </c>
      <c r="DT26">
        <f>CU27-Table2[[#This Row],[5F1 Metering (TW-2)]]</f>
        <v>-313272.61</v>
      </c>
      <c r="DU26">
        <f>CV27-Table2[[#This Row],[6F1 Pre soaker Tray washer]]</f>
        <v>-30284.051200000002</v>
      </c>
      <c r="DV26">
        <f>CZ27-Table2[[#This Row],[6F5 Vent tray Storage]]</f>
        <v>-222407.39199999999</v>
      </c>
      <c r="DW26">
        <f>I27-Table2[[#This Row],[Popeyes Meter ]]</f>
        <v>-9145.1319999999996</v>
      </c>
      <c r="DX26">
        <f>AZ27-Table2[[#This Row],[2F WH Chiller, Segregation Area]]</f>
        <v>-20.788</v>
      </c>
      <c r="DY26">
        <f>BA27-Table2[[#This Row],[3F1 AC Unit WH dock cooling - 2 Nos]]</f>
        <v>-11.329000000000001</v>
      </c>
      <c r="DZ26">
        <f>BB27-Table2[[#This Row],[3F2 AC Unit WH dock cooling - 3 Nos]]</f>
        <v>-46.777999999999999</v>
      </c>
      <c r="EA26">
        <f>(BK27-Table2[[#This Row],[5F WH Perishable]])*1000</f>
        <v>-578314</v>
      </c>
      <c r="EB26">
        <f>BN27-Table2[[#This Row],[2F3 - PDB 9 - WH Dock Leveler Door ]]</f>
        <v>-7397.2575999999999</v>
      </c>
      <c r="EC26">
        <f>BP27-Table2[[#This Row],[3F1 - PDB 5 - WH HSD]]</f>
        <v>-319823.74400000001</v>
      </c>
      <c r="ED26">
        <f>BX27-Table2[[#This Row],[8F1 WH Dock AHU - Ventilation]]</f>
        <v>-1083439.3600000001</v>
      </c>
      <c r="EE26">
        <f>BZ27-Table2[[#This Row],[8F3 ACPDB - 4 WH Dock air curtain]]</f>
        <v>-115493.96</v>
      </c>
      <c r="EF26">
        <f>CA27-Table2[[#This Row],[8F4 WH Light]]</f>
        <v>-1244.5895</v>
      </c>
      <c r="EG26">
        <f>CC27-Table2[[#This Row],[9F1 - PDB 10 - WH Dock door &amp; Office]]</f>
        <v>-157010.992</v>
      </c>
      <c r="EH26">
        <f>CD27-Table2[[#This Row],[9F2 - PDB 11 - WH flycatchers]]</f>
        <v>-456276.44799999997</v>
      </c>
      <c r="EI26">
        <f>CE27-Table2[[#This Row],[9F3 - PDB 12 - Other items]]</f>
        <v>-49814.790399999998</v>
      </c>
      <c r="EJ26">
        <f>CR27-Table2[[#This Row],[2F3 - PDB 1 - Dock 1 to 4 ]]</f>
        <v>-134344.76800000001</v>
      </c>
      <c r="EK26">
        <f>BM27-Table2[[#This Row],[2F2 - PDB 3 - WH Truck &amp; Battery Charging]]</f>
        <v>-336196.12800000003</v>
      </c>
      <c r="EL26">
        <f>(CK27-Table2[[#This Row],[PDB - 11 Truck Charging]])*1000</f>
        <v>-80335</v>
      </c>
      <c r="EM26" s="1">
        <f>P27-Table2[[#This Row],[5F3 Admin Area]]</f>
        <v>-664918.46400000004</v>
      </c>
      <c r="EN26">
        <f>AH27-Table2[[#This Row],[2F5 Main Gate-1 Piller -1]]</f>
        <v>-139389.77600000001</v>
      </c>
      <c r="EO26">
        <f>CW27-Table2[[#This Row],[6F2 Ground Floor AC]]</f>
        <v>-63968.025600000001</v>
      </c>
      <c r="EP26">
        <f>CX27-Table2[[#This Row],[6F3 ACBD -1 (First floor AC)]]</f>
        <v>-33882.438399999999</v>
      </c>
      <c r="EQ26">
        <f>CY27-Table2[[#This Row],[6F4 ACBD - 2 (Second &amp; Third floor AC)]]</f>
        <v>-174484.48000000001</v>
      </c>
      <c r="ER26">
        <f>(BC27-Table2[[#This Row],[4F Old BMC cooling Unit]])</f>
        <v>-114029.064</v>
      </c>
      <c r="ES26">
        <f>BO27-Table2[[#This Row],[2F4 - Old BMC]]</f>
        <v>-53589.132799999999</v>
      </c>
      <c r="ET26">
        <f>Y27-Table2[[#This Row],[14F2 New CK]]</f>
        <v>-1169861.76</v>
      </c>
      <c r="EU26">
        <f>(CL27-Table2[[#This Row],[OLD Ck Panel-1]])*1000</f>
        <v>-760869</v>
      </c>
      <c r="EV26">
        <f>CM27-Table2[[#This Row],[2F4 Old CK Blast (Blue star)]]</f>
        <v>-551.4</v>
      </c>
      <c r="EW26">
        <f>CN27-Table2[[#This Row],[3F6 Old CK Blast (Carrier)]]</f>
        <v>-66244.800000000003</v>
      </c>
      <c r="EX26">
        <f>(CO27-Table2[[#This Row],[Old CK Panel -2]])*1000</f>
        <v>-1713210</v>
      </c>
      <c r="EY26">
        <f>N27-Table2[[#This Row],[4F1 Main UPS 1/C -1]]</f>
        <v>-1917465.76</v>
      </c>
      <c r="EZ26">
        <f>Z27-Table2[[#This Row],[15F1 Main UPS Panel - I/C - 2]]</f>
        <v>-2777.8894</v>
      </c>
      <c r="FA26">
        <f>BF27-Table2[[#This Row],[2F CLC -1 AC unit - 2]]</f>
        <v>-1714.182</v>
      </c>
      <c r="FB26">
        <f>(BG27-Table2[[#This Row],[2F CLC Anti room]])*1000</f>
        <v>-76589</v>
      </c>
      <c r="FC26">
        <f>BW27-Table2[[#This Row],[7F3 CLC Power Panel]]</f>
        <v>-580809.28</v>
      </c>
      <c r="FD26">
        <f>(CI27-Table2[[#This Row],[PDB - 17 CLC Section ]])*1000</f>
        <v>-222269</v>
      </c>
      <c r="FE26">
        <f>(W27-Table2[[#This Row],[13F3 Water &amp; Lift Old CK]])*1000</f>
        <v>-1638172.6</v>
      </c>
      <c r="FF26">
        <f>AA27-Table2[[#This Row],[15F2 New ETP Panel]]</f>
        <v>-683178.11199999996</v>
      </c>
      <c r="FG26">
        <f>AL27-Table2[[#This Row],[3F4 Old ETP Panel]]</f>
        <v>-334596.35200000001</v>
      </c>
      <c r="FH26">
        <f>AF27-Table2[[#This Row],[2F1 RO Plant]]</f>
        <v>-905214.08</v>
      </c>
      <c r="FI26">
        <f>AK27-Table2[[#This Row],[3F3 Fire Hydrant Panel]]</f>
        <v>-105763.81600000001</v>
      </c>
      <c r="FJ26">
        <f>R27-Table2[[#This Row],[7F1 Freon System Panel]]</f>
        <v>-5828549.7599999998</v>
      </c>
      <c r="FK26">
        <f>(AE27-Table2[[#This Row],[21F1 Refrigeration Ammonia]])*1000</f>
        <v>-13178973.6</v>
      </c>
      <c r="FL26">
        <f>(AG27-Table2[[#This Row],[2F3 Air Compressor]])*1000</f>
        <v>-1461761</v>
      </c>
      <c r="FM26">
        <f>(AX27-Table2[[#This Row],[Solar Reading Panel II]])*1000</f>
        <v>-7365957</v>
      </c>
      <c r="FN26">
        <f>AI27-Table2[[#This Row],[3F1 Maintenance Workshop]]</f>
        <v>-14885.908799999999</v>
      </c>
      <c r="FO26">
        <f>BD27-Table2[[#This Row],[4F B2B unit ]]</f>
        <v>-278691.36</v>
      </c>
      <c r="FP26">
        <f>BL27-Table2[[#This Row],[2F1 - PDB 6 - Bread, B2B section]]</f>
        <v>-84101.177599999995</v>
      </c>
      <c r="FQ26">
        <f>(CG27-Table2[[#This Row],[9F5 - PDB 14 - Bread Lift]])</f>
        <v>-36111.350400000003</v>
      </c>
      <c r="FR26">
        <f>CJ27-Table2[[#This Row],[PDB - 16 Bread Section]]</f>
        <v>-1191.5999999999999</v>
      </c>
      <c r="FS26">
        <f>BU27-Table2[[#This Row],[7F1 Donut Production area]]</f>
        <v>-639342.272</v>
      </c>
      <c r="FT26">
        <f>CB27-Table2[[#This Row],[8F5 Donut Ban Bary]]</f>
        <v>-110459.552</v>
      </c>
      <c r="FU26">
        <f>CF27-Table2[[#This Row],[9F4 - PDB 13 - Donut Sink Geyser area]]</f>
        <v>-157879.984</v>
      </c>
      <c r="FV26">
        <f>BV27-Table2[[#This Row],[7F2 Flour Silo]]</f>
        <v>-1050356.3999999999</v>
      </c>
      <c r="FW26">
        <f>BY27-Table2[[#This Row],[8F2 ACPDB - 3 SILO Ventilation]]</f>
        <v>-160061.04</v>
      </c>
      <c r="FX26">
        <f>J27-Table2[[#This Row],[DG 1010KVA Running Hours]]</f>
        <v>-4287</v>
      </c>
      <c r="FY26">
        <f>K27-Table2[[#This Row],[DG 1010 KVA Meter Reading]]</f>
        <v>-1782467</v>
      </c>
      <c r="FZ26">
        <f>L27-Table2[[#This Row],[GG 1010 KVA Running Hours]]</f>
        <v>-466</v>
      </c>
      <c r="GA26">
        <f>M27-Table2[[#This Row],[GG 1010 KVA Meter Reading]]</f>
        <v>-196.76</v>
      </c>
    </row>
    <row r="27" spans="1:183">
      <c r="A27" s="1"/>
      <c r="B27" s="43"/>
      <c r="C27" s="43"/>
      <c r="D27" s="66"/>
      <c r="E27" s="1"/>
      <c r="F27" s="1"/>
      <c r="G27" s="69"/>
      <c r="H27" s="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1"/>
      <c r="DH27" s="2">
        <f>Table2[[#This Row],[Date]]</f>
        <v>0</v>
      </c>
      <c r="DI27">
        <f>(DD28-Table2[[#This Row],[MWH Total]])*4000</f>
        <v>0</v>
      </c>
      <c r="DJ27">
        <f>(DA28-Table2[[#This Row],[PNG Meter (Outside)]])*2.936</f>
        <v>0</v>
      </c>
      <c r="DK27">
        <f>(DB28-Table2[[#This Row],[PNG Meter (Inside)]])*2.936</f>
        <v>0</v>
      </c>
      <c r="DL27">
        <f>(BH28-Table2[[#This Row],[3F Dough cooler - 2 ]])*1000</f>
        <v>0</v>
      </c>
      <c r="DM27">
        <f>(BI28-Table2[[#This Row],[3F Dough Cooler- 1]])*1000</f>
        <v>0</v>
      </c>
      <c r="DN27">
        <f>(BJ28-Table2[[#This Row],[4F Dough Production cooling Unit]])*1000</f>
        <v>0</v>
      </c>
      <c r="DO27">
        <f>(BQ28-Table2[[#This Row],[3F2 - PDB 3 - Dough Production Area]])*1000</f>
        <v>0</v>
      </c>
      <c r="DP27">
        <f>(BR28-Table2[[#This Row],[3F3 - PDB 4 - Dough Area]])*1000</f>
        <v>0</v>
      </c>
      <c r="DQ27">
        <f>AC28-Table2[[#This Row],[16F1 Tray washer Panel for Light]]</f>
        <v>0</v>
      </c>
      <c r="DR27">
        <f>CQ28-Table2[[#This Row],[2F1 Tray Washer - 1]]</f>
        <v>0</v>
      </c>
      <c r="DS27">
        <f>CS28-Table2[[#This Row],[2F5 Destacker]]</f>
        <v>0</v>
      </c>
      <c r="DT27">
        <f>CU28-Table2[[#This Row],[5F1 Metering (TW-2)]]</f>
        <v>0</v>
      </c>
      <c r="DU27">
        <f>CV28-Table2[[#This Row],[6F1 Pre soaker Tray washer]]</f>
        <v>0</v>
      </c>
      <c r="DV27">
        <f>CZ28-Table2[[#This Row],[6F5 Vent tray Storage]]</f>
        <v>0</v>
      </c>
      <c r="DW27">
        <f>I28-Table2[[#This Row],[Popeyes Meter ]]</f>
        <v>0</v>
      </c>
      <c r="DX27">
        <f>AZ28-Table2[[#This Row],[2F WH Chiller, Segregation Area]]</f>
        <v>0</v>
      </c>
      <c r="DY27">
        <f>BA28-Table2[[#This Row],[3F1 AC Unit WH dock cooling - 2 Nos]]</f>
        <v>0</v>
      </c>
      <c r="DZ27">
        <f>BB28-Table2[[#This Row],[3F2 AC Unit WH dock cooling - 3 Nos]]</f>
        <v>0</v>
      </c>
      <c r="EA27">
        <f>(BK28-Table2[[#This Row],[5F WH Perishable]])*1000</f>
        <v>0</v>
      </c>
      <c r="EB27">
        <f>BN28-Table2[[#This Row],[2F3 - PDB 9 - WH Dock Leveler Door ]]</f>
        <v>0</v>
      </c>
      <c r="EC27">
        <f>BP28-Table2[[#This Row],[3F1 - PDB 5 - WH HSD]]</f>
        <v>0</v>
      </c>
      <c r="ED27">
        <f>BX28-Table2[[#This Row],[8F1 WH Dock AHU - Ventilation]]</f>
        <v>0</v>
      </c>
      <c r="EE27">
        <f>BZ28-Table2[[#This Row],[8F3 ACPDB - 4 WH Dock air curtain]]</f>
        <v>0</v>
      </c>
      <c r="EF27">
        <f>CA28-Table2[[#This Row],[8F4 WH Light]]</f>
        <v>0</v>
      </c>
      <c r="EG27">
        <f>CC28-Table2[[#This Row],[9F1 - PDB 10 - WH Dock door &amp; Office]]</f>
        <v>0</v>
      </c>
      <c r="EH27">
        <f>CD28-Table2[[#This Row],[9F2 - PDB 11 - WH flycatchers]]</f>
        <v>0</v>
      </c>
      <c r="EI27">
        <f>CE28-Table2[[#This Row],[9F3 - PDB 12 - Other items]]</f>
        <v>0</v>
      </c>
      <c r="EJ27">
        <f>CR28-Table2[[#This Row],[2F3 - PDB 1 - Dock 1 to 4 ]]</f>
        <v>0</v>
      </c>
      <c r="EK27">
        <f>BM28-Table2[[#This Row],[2F2 - PDB 3 - WH Truck &amp; Battery Charging]]</f>
        <v>0</v>
      </c>
      <c r="EL27">
        <f>(CK28-Table2[[#This Row],[PDB - 11 Truck Charging]])*1000</f>
        <v>0</v>
      </c>
      <c r="EM27" s="1">
        <f>P28-Table2[[#This Row],[5F3 Admin Area]]</f>
        <v>0</v>
      </c>
      <c r="EN27">
        <f>AH28-Table2[[#This Row],[2F5 Main Gate-1 Piller -1]]</f>
        <v>0</v>
      </c>
      <c r="EO27">
        <f>CW28-Table2[[#This Row],[6F2 Ground Floor AC]]</f>
        <v>0</v>
      </c>
      <c r="EP27">
        <f>CX28-Table2[[#This Row],[6F3 ACBD -1 (First floor AC)]]</f>
        <v>0</v>
      </c>
      <c r="EQ27">
        <f>CY28-Table2[[#This Row],[6F4 ACBD - 2 (Second &amp; Third floor AC)]]</f>
        <v>0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0</v>
      </c>
      <c r="EU27">
        <f>(CL28-Table2[[#This Row],[OLD Ck Panel-1]])*1000</f>
        <v>0</v>
      </c>
      <c r="EV27">
        <f>CM28-Table2[[#This Row],[2F4 Old CK Blast (Blue star)]]</f>
        <v>0</v>
      </c>
      <c r="EW27">
        <f>CN28-Table2[[#This Row],[3F6 Old CK Blast (Carrier)]]</f>
        <v>0</v>
      </c>
      <c r="EX27">
        <f>(CO28-Table2[[#This Row],[Old CK Panel -2]])*1000</f>
        <v>0</v>
      </c>
      <c r="EY27">
        <f>N28-Table2[[#This Row],[4F1 Main UPS 1/C -1]]</f>
        <v>0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0</v>
      </c>
      <c r="FC27">
        <f>BW28-Table2[[#This Row],[7F3 CLC Power Panel]]</f>
        <v>0</v>
      </c>
      <c r="FD27">
        <f>(CI28-Table2[[#This Row],[PDB - 17 CLC Section ]])*1000</f>
        <v>0</v>
      </c>
      <c r="FE27">
        <f>(W28-Table2[[#This Row],[13F3 Water &amp; Lift Old CK]])*1000</f>
        <v>0</v>
      </c>
      <c r="FF27">
        <f>AA28-Table2[[#This Row],[15F2 New ETP Panel]]</f>
        <v>0</v>
      </c>
      <c r="FG27">
        <f>AL28-Table2[[#This Row],[3F4 Old ETP Panel]]</f>
        <v>0</v>
      </c>
      <c r="FH27">
        <f>AF28-Table2[[#This Row],[2F1 RO Plant]]</f>
        <v>0</v>
      </c>
      <c r="FI27">
        <f>AK28-Table2[[#This Row],[3F3 Fire Hydrant Panel]]</f>
        <v>0</v>
      </c>
      <c r="FJ27">
        <f>R28-Table2[[#This Row],[7F1 Freon System Panel]]</f>
        <v>0</v>
      </c>
      <c r="FK27">
        <f>(AE28-Table2[[#This Row],[21F1 Refrigeration Ammonia]])*1000</f>
        <v>0</v>
      </c>
      <c r="FL27">
        <f>(AG28-Table2[[#This Row],[2F3 Air Compressor]])*1000</f>
        <v>0</v>
      </c>
      <c r="FM27">
        <f>(AX28-Table2[[#This Row],[Solar Reading Panel II]])*1000</f>
        <v>0</v>
      </c>
      <c r="FN27">
        <f>AI28-Table2[[#This Row],[3F1 Maintenance Workshop]]</f>
        <v>0</v>
      </c>
      <c r="FO27">
        <f>BD28-Table2[[#This Row],[4F B2B unit ]]</f>
        <v>0</v>
      </c>
      <c r="FP27">
        <f>BL28-Table2[[#This Row],[2F1 - PDB 6 - Bread, B2B section]]</f>
        <v>0</v>
      </c>
      <c r="FQ27">
        <f>(CG28-Table2[[#This Row],[9F5 - PDB 14 - Bread Lift]])</f>
        <v>0</v>
      </c>
      <c r="FR27">
        <f>CJ28-Table2[[#This Row],[PDB - 16 Bread Section]]</f>
        <v>0</v>
      </c>
      <c r="FS27">
        <f>BU28-Table2[[#This Row],[7F1 Donut Production area]]</f>
        <v>0</v>
      </c>
      <c r="FT27">
        <f>CB28-Table2[[#This Row],[8F5 Donut Ban Bary]]</f>
        <v>0</v>
      </c>
      <c r="FU27">
        <f>CF28-Table2[[#This Row],[9F4 - PDB 13 - Donut Sink Geyser area]]</f>
        <v>0</v>
      </c>
      <c r="FV27">
        <f>BV28-Table2[[#This Row],[7F2 Flour Silo]]</f>
        <v>0</v>
      </c>
      <c r="FW27">
        <f>BY28-Table2[[#This Row],[8F2 ACPDB - 3 SILO Ventilation]]</f>
        <v>0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>
      <c r="A28" s="1"/>
      <c r="B28" s="43"/>
      <c r="C28" s="43"/>
      <c r="D28" s="66"/>
      <c r="E28" s="1"/>
      <c r="F28" s="1"/>
      <c r="G28" s="70"/>
      <c r="H28" s="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1"/>
      <c r="DH28" s="2">
        <f>Table2[[#This Row],[Date]]</f>
        <v>0</v>
      </c>
      <c r="DI28">
        <f>(DD29-Table2[[#This Row],[MWH Total]])*4000</f>
        <v>0</v>
      </c>
      <c r="DJ28">
        <f>(DA29-Table2[[#This Row],[PNG Meter (Outside)]])*2.936</f>
        <v>0</v>
      </c>
      <c r="DK28">
        <f>(DB29-Table2[[#This Row],[PNG Meter (Inside)]])*2.936</f>
        <v>0</v>
      </c>
      <c r="DL28">
        <f>(BH29-Table2[[#This Row],[3F Dough cooler - 2 ]])*1000</f>
        <v>0</v>
      </c>
      <c r="DM28">
        <f>(BI29-Table2[[#This Row],[3F Dough Cooler- 1]])*1000</f>
        <v>0</v>
      </c>
      <c r="DN28">
        <f>(BJ29-Table2[[#This Row],[4F Dough Production cooling Unit]])*1000</f>
        <v>0</v>
      </c>
      <c r="DO28">
        <f>(BQ29-Table2[[#This Row],[3F2 - PDB 3 - Dough Production Area]])*1000</f>
        <v>0</v>
      </c>
      <c r="DP28">
        <f>(BR29-Table2[[#This Row],[3F3 - PDB 4 - Dough Area]])*1000</f>
        <v>0</v>
      </c>
      <c r="DQ28">
        <f>AC29-Table2[[#This Row],[16F1 Tray washer Panel for Light]]</f>
        <v>0</v>
      </c>
      <c r="DR28">
        <f>CQ29-Table2[[#This Row],[2F1 Tray Washer - 1]]</f>
        <v>0</v>
      </c>
      <c r="DS28">
        <f>CS29-Table2[[#This Row],[2F5 Destacker]]</f>
        <v>0</v>
      </c>
      <c r="DT28">
        <f>CU29-Table2[[#This Row],[5F1 Metering (TW-2)]]</f>
        <v>0</v>
      </c>
      <c r="DU28">
        <f>CV29-Table2[[#This Row],[6F1 Pre soaker Tray washer]]</f>
        <v>0</v>
      </c>
      <c r="DV28">
        <f>CZ29-Table2[[#This Row],[6F5 Vent tray Storage]]</f>
        <v>0</v>
      </c>
      <c r="DW28">
        <f>I29-Table2[[#This Row],[Popeyes Meter ]]</f>
        <v>0</v>
      </c>
      <c r="DX28">
        <f>AZ29-Table2[[#This Row],[2F WH Chiller, Segregation Area]]</f>
        <v>0</v>
      </c>
      <c r="DY28">
        <f>BA29-Table2[[#This Row],[3F1 AC Unit WH dock cooling - 2 Nos]]</f>
        <v>0</v>
      </c>
      <c r="DZ28">
        <f>BB29-Table2[[#This Row],[3F2 AC Unit WH dock cooling - 3 Nos]]</f>
        <v>0</v>
      </c>
      <c r="EA28">
        <f>(BK29-Table2[[#This Row],[5F WH Perishable]])*1000</f>
        <v>0</v>
      </c>
      <c r="EB28">
        <f>BN29-Table2[[#This Row],[2F3 - PDB 9 - WH Dock Leveler Door ]]</f>
        <v>0</v>
      </c>
      <c r="EC28">
        <f>BP29-Table2[[#This Row],[3F1 - PDB 5 - WH HSD]]</f>
        <v>0</v>
      </c>
      <c r="ED28">
        <f>BX29-Table2[[#This Row],[8F1 WH Dock AHU - Ventilation]]</f>
        <v>0</v>
      </c>
      <c r="EE28">
        <f>BZ29-Table2[[#This Row],[8F3 ACPDB - 4 WH Dock air curtain]]</f>
        <v>0</v>
      </c>
      <c r="EF28">
        <f>CA29-Table2[[#This Row],[8F4 WH Light]]</f>
        <v>0</v>
      </c>
      <c r="EG28">
        <f>CC29-Table2[[#This Row],[9F1 - PDB 10 - WH Dock door &amp; Office]]</f>
        <v>0</v>
      </c>
      <c r="EH28">
        <f>CD29-Table2[[#This Row],[9F2 - PDB 11 - WH flycatchers]]</f>
        <v>0</v>
      </c>
      <c r="EI28">
        <f>CE29-Table2[[#This Row],[9F3 - PDB 12 - Other items]]</f>
        <v>0</v>
      </c>
      <c r="EJ28">
        <f>CR29-Table2[[#This Row],[2F3 - PDB 1 - Dock 1 to 4 ]]</f>
        <v>0</v>
      </c>
      <c r="EK28">
        <f>BM29-Table2[[#This Row],[2F2 - PDB 3 - WH Truck &amp; Battery Charging]]</f>
        <v>0</v>
      </c>
      <c r="EL28">
        <f>(CK29-Table2[[#This Row],[PDB - 11 Truck Charging]])*1000</f>
        <v>0</v>
      </c>
      <c r="EM28" s="1">
        <f>P29-Table2[[#This Row],[5F3 Admin Area]]</f>
        <v>0</v>
      </c>
      <c r="EN28">
        <f>AH29-Table2[[#This Row],[2F5 Main Gate-1 Piller -1]]</f>
        <v>0</v>
      </c>
      <c r="EO28">
        <f>CW29-Table2[[#This Row],[6F2 Ground Floor AC]]</f>
        <v>0</v>
      </c>
      <c r="EP28">
        <f>CX29-Table2[[#This Row],[6F3 ACBD -1 (First floor AC)]]</f>
        <v>0</v>
      </c>
      <c r="EQ28">
        <f>CY29-Table2[[#This Row],[6F4 ACBD - 2 (Second &amp; Third floor AC)]]</f>
        <v>0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0</v>
      </c>
      <c r="EU28">
        <f>(CL29-Table2[[#This Row],[OLD Ck Panel-1]])*1000</f>
        <v>0</v>
      </c>
      <c r="EV28">
        <f>CM29-Table2[[#This Row],[2F4 Old CK Blast (Blue star)]]</f>
        <v>0</v>
      </c>
      <c r="EW28">
        <f>CN29-Table2[[#This Row],[3F6 Old CK Blast (Carrier)]]</f>
        <v>0</v>
      </c>
      <c r="EX28">
        <f>(CO29-Table2[[#This Row],[Old CK Panel -2]])*1000</f>
        <v>0</v>
      </c>
      <c r="EY28">
        <f>N29-Table2[[#This Row],[4F1 Main UPS 1/C -1]]</f>
        <v>0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0</v>
      </c>
      <c r="FC28">
        <f>BW29-Table2[[#This Row],[7F3 CLC Power Panel]]</f>
        <v>0</v>
      </c>
      <c r="FD28">
        <f>(CI29-Table2[[#This Row],[PDB - 17 CLC Section ]])*1000</f>
        <v>0</v>
      </c>
      <c r="FE28">
        <f>(W29-Table2[[#This Row],[13F3 Water &amp; Lift Old CK]])*1000</f>
        <v>0</v>
      </c>
      <c r="FF28">
        <f>AA29-Table2[[#This Row],[15F2 New ETP Panel]]</f>
        <v>0</v>
      </c>
      <c r="FG28">
        <f>AL29-Table2[[#This Row],[3F4 Old ETP Panel]]</f>
        <v>0</v>
      </c>
      <c r="FH28">
        <f>AF29-Table2[[#This Row],[2F1 RO Plant]]</f>
        <v>0</v>
      </c>
      <c r="FI28">
        <f>AK29-Table2[[#This Row],[3F3 Fire Hydrant Panel]]</f>
        <v>0</v>
      </c>
      <c r="FJ28">
        <f>R29-Table2[[#This Row],[7F1 Freon System Panel]]</f>
        <v>0</v>
      </c>
      <c r="FK28">
        <f>(AE29-Table2[[#This Row],[21F1 Refrigeration Ammonia]])*1000</f>
        <v>0</v>
      </c>
      <c r="FL28">
        <f>(AG29-Table2[[#This Row],[2F3 Air Compressor]])*1000</f>
        <v>0</v>
      </c>
      <c r="FM28">
        <f>(AX29-Table2[[#This Row],[Solar Reading Panel II]])*1000</f>
        <v>0</v>
      </c>
      <c r="FN28">
        <f>AI29-Table2[[#This Row],[3F1 Maintenance Workshop]]</f>
        <v>0</v>
      </c>
      <c r="FO28">
        <f>BD29-Table2[[#This Row],[4F B2B unit ]]</f>
        <v>0</v>
      </c>
      <c r="FP28">
        <f>BL29-Table2[[#This Row],[2F1 - PDB 6 - Bread, B2B section]]</f>
        <v>0</v>
      </c>
      <c r="FQ28">
        <f>(CG29-Table2[[#This Row],[9F5 - PDB 14 - Bread Lift]])</f>
        <v>0</v>
      </c>
      <c r="FR28">
        <f>CJ29-Table2[[#This Row],[PDB - 16 Bread Section]]</f>
        <v>0</v>
      </c>
      <c r="FS28">
        <f>BU29-Table2[[#This Row],[7F1 Donut Production area]]</f>
        <v>0</v>
      </c>
      <c r="FT28">
        <f>CB29-Table2[[#This Row],[8F5 Donut Ban Bary]]</f>
        <v>0</v>
      </c>
      <c r="FU28">
        <f>CF29-Table2[[#This Row],[9F4 - PDB 13 - Donut Sink Geyser area]]</f>
        <v>0</v>
      </c>
      <c r="FV28">
        <f>BV29-Table2[[#This Row],[7F2 Flour Silo]]</f>
        <v>0</v>
      </c>
      <c r="FW28">
        <f>BY29-Table2[[#This Row],[8F2 ACPDB - 3 SILO Ventilation]]</f>
        <v>0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>
      <c r="B29" s="43"/>
      <c r="C29" s="43"/>
      <c r="G29" s="70"/>
      <c r="DH29" s="2" t="e">
        <f>Table2[[#This Row],[Date]]</f>
        <v>#VALUE!</v>
      </c>
      <c r="DI29" t="e">
        <f>(DD30-Table2[[#This Row],[MWH Total]])*4000</f>
        <v>#VALUE!</v>
      </c>
      <c r="DJ29" t="e">
        <f>(DA30-Table2[[#This Row],[PNG Meter (Outside)]])*2.936</f>
        <v>#VALUE!</v>
      </c>
      <c r="DK29" t="e">
        <f>(DB30-Table2[[#This Row],[PNG Meter (Inside)]])*2.936</f>
        <v>#VALUE!</v>
      </c>
      <c r="DL29" t="e">
        <f>(BH30-Table2[[#This Row],[3F Dough cooler - 2 ]])*1000</f>
        <v>#VALUE!</v>
      </c>
      <c r="DM29" t="e">
        <f>(BI30-Table2[[#This Row],[3F Dough Cooler- 1]])*1000</f>
        <v>#VALUE!</v>
      </c>
      <c r="DN29" t="e">
        <f>(BJ30-Table2[[#This Row],[4F Dough Production cooling Unit]])*1000</f>
        <v>#VALUE!</v>
      </c>
      <c r="DO29" t="e">
        <f>(BQ30-Table2[[#This Row],[3F2 - PDB 3 - Dough Production Area]])*1000</f>
        <v>#VALUE!</v>
      </c>
      <c r="DP29" t="e">
        <f>(BR30-Table2[[#This Row],[3F3 - PDB 4 - Dough Area]])*1000</f>
        <v>#VALUE!</v>
      </c>
      <c r="DQ29" t="e">
        <f>AC30-Table2[[#This Row],[16F1 Tray washer Panel for Light]]</f>
        <v>#VALUE!</v>
      </c>
      <c r="DR29" t="e">
        <f>CQ30-Table2[[#This Row],[2F1 Tray Washer - 1]]</f>
        <v>#VALUE!</v>
      </c>
      <c r="DS29" t="e">
        <f>CS30-Table2[[#This Row],[2F5 Destacker]]</f>
        <v>#VALUE!</v>
      </c>
      <c r="DT29" t="e">
        <f>CU30-Table2[[#This Row],[5F1 Metering (TW-2)]]</f>
        <v>#VALUE!</v>
      </c>
      <c r="DU29" t="e">
        <f>CV30-Table2[[#This Row],[6F1 Pre soaker Tray washer]]</f>
        <v>#VALUE!</v>
      </c>
      <c r="DV29" t="e">
        <f>CZ30-Table2[[#This Row],[6F5 Vent tray Storage]]</f>
        <v>#VALUE!</v>
      </c>
      <c r="DW29" t="e">
        <f>I30-Table2[[#This Row],[Popeyes Meter ]]</f>
        <v>#VALUE!</v>
      </c>
      <c r="DX29" t="e">
        <f>AZ30-Table2[[#This Row],[2F WH Chiller, Segregation Area]]</f>
        <v>#VALUE!</v>
      </c>
      <c r="DY29" t="e">
        <f>BA30-Table2[[#This Row],[3F1 AC Unit WH dock cooling - 2 Nos]]</f>
        <v>#VALUE!</v>
      </c>
      <c r="DZ29" t="e">
        <f>BB30-Table2[[#This Row],[3F2 AC Unit WH dock cooling - 3 Nos]]</f>
        <v>#VALUE!</v>
      </c>
      <c r="EA29" t="e">
        <f>(BK30-Table2[[#This Row],[5F WH Perishable]])*1000</f>
        <v>#VALUE!</v>
      </c>
      <c r="EB29" t="e">
        <f>BN30-Table2[[#This Row],[2F3 - PDB 9 - WH Dock Leveler Door ]]</f>
        <v>#VALUE!</v>
      </c>
      <c r="EC29" t="e">
        <f>BP30-Table2[[#This Row],[3F1 - PDB 5 - WH HSD]]</f>
        <v>#VALUE!</v>
      </c>
      <c r="ED29" t="e">
        <f>BX30-Table2[[#This Row],[8F1 WH Dock AHU - Ventilation]]</f>
        <v>#VALUE!</v>
      </c>
      <c r="EE29" t="e">
        <f>BZ30-Table2[[#This Row],[8F3 ACPDB - 4 WH Dock air curtain]]</f>
        <v>#VALUE!</v>
      </c>
      <c r="EF29" t="e">
        <f>CA30-Table2[[#This Row],[8F4 WH Light]]</f>
        <v>#VALUE!</v>
      </c>
      <c r="EG29" t="e">
        <f>CC30-Table2[[#This Row],[9F1 - PDB 10 - WH Dock door &amp; Office]]</f>
        <v>#VALUE!</v>
      </c>
      <c r="EH29" t="e">
        <f>CD30-Table2[[#This Row],[9F2 - PDB 11 - WH flycatchers]]</f>
        <v>#VALUE!</v>
      </c>
      <c r="EI29" t="e">
        <f>CE30-Table2[[#This Row],[9F3 - PDB 12 - Other items]]</f>
        <v>#VALUE!</v>
      </c>
      <c r="EJ29" t="e">
        <f>CR30-Table2[[#This Row],[2F3 - PDB 1 - Dock 1 to 4 ]]</f>
        <v>#VALUE!</v>
      </c>
      <c r="EK29" t="e">
        <f>BM30-Table2[[#This Row],[2F2 - PDB 3 - WH Truck &amp; Battery Charging]]</f>
        <v>#VALUE!</v>
      </c>
      <c r="EL29" t="e">
        <f>(CK30-Table2[[#This Row],[PDB - 11 Truck Charging]])*1000</f>
        <v>#VALUE!</v>
      </c>
      <c r="EM29" s="1" t="e">
        <f>P30-Table2[[#This Row],[5F3 Admin Area]]</f>
        <v>#VALUE!</v>
      </c>
      <c r="EN29" t="e">
        <f>AH30-Table2[[#This Row],[2F5 Main Gate-1 Piller -1]]</f>
        <v>#VALUE!</v>
      </c>
      <c r="EO29" t="e">
        <f>CW30-Table2[[#This Row],[6F2 Ground Floor AC]]</f>
        <v>#VALUE!</v>
      </c>
      <c r="EP29" t="e">
        <f>CX30-Table2[[#This Row],[6F3 ACBD -1 (First floor AC)]]</f>
        <v>#VALUE!</v>
      </c>
      <c r="EQ29" t="e">
        <f>CY30-Table2[[#This Row],[6F4 ACBD - 2 (Second &amp; Third floor AC)]]</f>
        <v>#VALUE!</v>
      </c>
      <c r="ER29" t="e">
        <f>(BC30-Table2[[#This Row],[4F Old BMC cooling Unit]])</f>
        <v>#VALUE!</v>
      </c>
      <c r="ES29" t="e">
        <f>BO30-Table2[[#This Row],[2F4 - Old BMC]]</f>
        <v>#VALUE!</v>
      </c>
      <c r="ET29" t="e">
        <f>Y30-Table2[[#This Row],[14F2 New CK]]</f>
        <v>#VALUE!</v>
      </c>
      <c r="EU29" t="e">
        <f>(CL30-Table2[[#This Row],[OLD Ck Panel-1]])*1000</f>
        <v>#VALUE!</v>
      </c>
      <c r="EV29" t="e">
        <f>CM30-Table2[[#This Row],[2F4 Old CK Blast (Blue star)]]</f>
        <v>#VALUE!</v>
      </c>
      <c r="EW29" t="e">
        <f>CN30-Table2[[#This Row],[3F6 Old CK Blast (Carrier)]]</f>
        <v>#VALUE!</v>
      </c>
      <c r="EX29" t="e">
        <f>(CO30-Table2[[#This Row],[Old CK Panel -2]])*1000</f>
        <v>#VALUE!</v>
      </c>
      <c r="EY29" t="e">
        <f>N30-Table2[[#This Row],[4F1 Main UPS 1/C -1]]</f>
        <v>#VALUE!</v>
      </c>
      <c r="EZ29" t="e">
        <f>Z30-Table2[[#This Row],[15F1 Main UPS Panel - I/C - 2]]</f>
        <v>#VALUE!</v>
      </c>
      <c r="FA29" t="e">
        <f>BF30-Table2[[#This Row],[2F CLC -1 AC unit - 2]]</f>
        <v>#VALUE!</v>
      </c>
      <c r="FB29" t="e">
        <f>(BG30-Table2[[#This Row],[2F CLC Anti room]])*1000</f>
        <v>#VALUE!</v>
      </c>
      <c r="FC29" t="e">
        <f>BW30-Table2[[#This Row],[7F3 CLC Power Panel]]</f>
        <v>#VALUE!</v>
      </c>
      <c r="FD29" t="e">
        <f>(CI30-Table2[[#This Row],[PDB - 17 CLC Section ]])*1000</f>
        <v>#VALUE!</v>
      </c>
      <c r="FE29" t="e">
        <f>(W30-Table2[[#This Row],[13F3 Water &amp; Lift Old CK]])*1000</f>
        <v>#VALUE!</v>
      </c>
      <c r="FF29" t="e">
        <f>AA30-Table2[[#This Row],[15F2 New ETP Panel]]</f>
        <v>#VALUE!</v>
      </c>
      <c r="FG29" t="e">
        <f>AL30-Table2[[#This Row],[3F4 Old ETP Panel]]</f>
        <v>#VALUE!</v>
      </c>
      <c r="FH29" t="e">
        <f>AF30-Table2[[#This Row],[2F1 RO Plant]]</f>
        <v>#VALUE!</v>
      </c>
      <c r="FI29" t="e">
        <f>AK30-Table2[[#This Row],[3F3 Fire Hydrant Panel]]</f>
        <v>#VALUE!</v>
      </c>
      <c r="FJ29" t="e">
        <f>R30-Table2[[#This Row],[7F1 Freon System Panel]]</f>
        <v>#VALUE!</v>
      </c>
      <c r="FK29" t="e">
        <f>(AE30-Table2[[#This Row],[21F1 Refrigeration Ammonia]])*1000</f>
        <v>#VALUE!</v>
      </c>
      <c r="FL29" t="e">
        <f>(AG30-Table2[[#This Row],[2F3 Air Compressor]])*1000</f>
        <v>#VALUE!</v>
      </c>
      <c r="FM29" t="e">
        <f>(AX30-Table2[[#This Row],[Solar Reading Panel II]])*1000</f>
        <v>#VALUE!</v>
      </c>
      <c r="FN29" t="e">
        <f>AI30-Table2[[#This Row],[3F1 Maintenance Workshop]]</f>
        <v>#VALUE!</v>
      </c>
      <c r="FO29" t="e">
        <f>BD30-Table2[[#This Row],[4F B2B unit ]]</f>
        <v>#VALUE!</v>
      </c>
      <c r="FP29" t="e">
        <f>BL30-Table2[[#This Row],[2F1 - PDB 6 - Bread, B2B section]]</f>
        <v>#VALUE!</v>
      </c>
      <c r="FQ29" t="e">
        <f>(CG30-Table2[[#This Row],[9F5 - PDB 14 - Bread Lift]])</f>
        <v>#VALUE!</v>
      </c>
      <c r="FR29" t="e">
        <f>CJ30-Table2[[#This Row],[PDB - 16 Bread Section]]</f>
        <v>#VALUE!</v>
      </c>
      <c r="FS29" t="e">
        <f>BU30-Table2[[#This Row],[7F1 Donut Production area]]</f>
        <v>#VALUE!</v>
      </c>
      <c r="FT29" t="e">
        <f>CB30-Table2[[#This Row],[8F5 Donut Ban Bary]]</f>
        <v>#VALUE!</v>
      </c>
      <c r="FU29" t="e">
        <f>CF30-Table2[[#This Row],[9F4 - PDB 13 - Donut Sink Geyser area]]</f>
        <v>#VALUE!</v>
      </c>
      <c r="FV29" t="e">
        <f>BV30-Table2[[#This Row],[7F2 Flour Silo]]</f>
        <v>#VALUE!</v>
      </c>
      <c r="FW29" t="e">
        <f>BY30-Table2[[#This Row],[8F2 ACPDB - 3 SILO Ventilation]]</f>
        <v>#VALUE!</v>
      </c>
      <c r="FX29" t="e">
        <f>J30-Table2[[#This Row],[DG 1010KVA Running Hours]]</f>
        <v>#VALUE!</v>
      </c>
      <c r="FY29" t="e">
        <f>K30-Table2[[#This Row],[DG 1010 KVA Meter Reading]]</f>
        <v>#VALUE!</v>
      </c>
      <c r="FZ29" t="e">
        <f>L30-Table2[[#This Row],[GG 1010 KVA Running Hours]]</f>
        <v>#VALUE!</v>
      </c>
      <c r="GA29" t="e">
        <f>M30-Table2[[#This Row],[GG 1010 KVA Meter Reading]]</f>
        <v>#VALUE!</v>
      </c>
    </row>
    <row r="30" spans="1:183">
      <c r="B30" s="43"/>
      <c r="C30" s="43"/>
      <c r="G30" s="70"/>
      <c r="DH30" s="2" t="e">
        <f>Table2[[#This Row],[Date]]</f>
        <v>#VALUE!</v>
      </c>
      <c r="DI30" t="e">
        <f>(DD31-Table2[[#This Row],[MWH Total]])*4000</f>
        <v>#VALUE!</v>
      </c>
      <c r="DJ30" t="e">
        <f>(DA31-Table2[[#This Row],[PNG Meter (Outside)]])*2.936</f>
        <v>#VALUE!</v>
      </c>
      <c r="DK30" t="e">
        <f>(DB31-Table2[[#This Row],[PNG Meter (Inside)]])*2.936</f>
        <v>#VALUE!</v>
      </c>
      <c r="DL30" t="e">
        <f>(BH31-Table2[[#This Row],[3F Dough cooler - 2 ]])*1000</f>
        <v>#VALUE!</v>
      </c>
      <c r="DM30" t="e">
        <f>(BI31-Table2[[#This Row],[3F Dough Cooler- 1]])*1000</f>
        <v>#VALUE!</v>
      </c>
      <c r="DN30" t="e">
        <f>(BJ31-Table2[[#This Row],[4F Dough Production cooling Unit]])*1000</f>
        <v>#VALUE!</v>
      </c>
      <c r="DO30" t="e">
        <f>(BQ31-Table2[[#This Row],[3F2 - PDB 3 - Dough Production Area]])*1000</f>
        <v>#VALUE!</v>
      </c>
      <c r="DP30" t="e">
        <f>(BR31-Table2[[#This Row],[3F3 - PDB 4 - Dough Area]])*1000</f>
        <v>#VALUE!</v>
      </c>
      <c r="DQ30" t="e">
        <f>AC31-Table2[[#This Row],[16F1 Tray washer Panel for Light]]</f>
        <v>#VALUE!</v>
      </c>
      <c r="DR30" t="e">
        <f>CQ31-Table2[[#This Row],[2F1 Tray Washer - 1]]</f>
        <v>#VALUE!</v>
      </c>
      <c r="DS30" t="e">
        <f>CS31-Table2[[#This Row],[2F5 Destacker]]</f>
        <v>#VALUE!</v>
      </c>
      <c r="DT30" t="e">
        <f>CU31-Table2[[#This Row],[5F1 Metering (TW-2)]]</f>
        <v>#VALUE!</v>
      </c>
      <c r="DU30" t="e">
        <f>CV31-Table2[[#This Row],[6F1 Pre soaker Tray washer]]</f>
        <v>#VALUE!</v>
      </c>
      <c r="DV30" t="e">
        <f>CZ31-Table2[[#This Row],[6F5 Vent tray Storage]]</f>
        <v>#VALUE!</v>
      </c>
      <c r="DW30" t="e">
        <f>I31-Table2[[#This Row],[Popeyes Meter ]]</f>
        <v>#VALUE!</v>
      </c>
      <c r="DX30" t="e">
        <f>AZ31-Table2[[#This Row],[2F WH Chiller, Segregation Area]]</f>
        <v>#VALUE!</v>
      </c>
      <c r="DY30" t="e">
        <f>BA31-Table2[[#This Row],[3F1 AC Unit WH dock cooling - 2 Nos]]</f>
        <v>#VALUE!</v>
      </c>
      <c r="DZ30" t="e">
        <f>BB31-Table2[[#This Row],[3F2 AC Unit WH dock cooling - 3 Nos]]</f>
        <v>#VALUE!</v>
      </c>
      <c r="EA30" t="e">
        <f>(BK31-Table2[[#This Row],[5F WH Perishable]])*1000</f>
        <v>#VALUE!</v>
      </c>
      <c r="EB30" t="e">
        <f>BN31-Table2[[#This Row],[2F3 - PDB 9 - WH Dock Leveler Door ]]</f>
        <v>#VALUE!</v>
      </c>
      <c r="EC30" t="e">
        <f>BP31-Table2[[#This Row],[3F1 - PDB 5 - WH HSD]]</f>
        <v>#VALUE!</v>
      </c>
      <c r="ED30" t="e">
        <f>BX31-Table2[[#This Row],[8F1 WH Dock AHU - Ventilation]]</f>
        <v>#VALUE!</v>
      </c>
      <c r="EE30" t="e">
        <f>BZ31-Table2[[#This Row],[8F3 ACPDB - 4 WH Dock air curtain]]</f>
        <v>#VALUE!</v>
      </c>
      <c r="EF30" t="e">
        <f>CA31-Table2[[#This Row],[8F4 WH Light]]</f>
        <v>#VALUE!</v>
      </c>
      <c r="EG30" t="e">
        <f>CC31-Table2[[#This Row],[9F1 - PDB 10 - WH Dock door &amp; Office]]</f>
        <v>#VALUE!</v>
      </c>
      <c r="EH30" t="e">
        <f>CD31-Table2[[#This Row],[9F2 - PDB 11 - WH flycatchers]]</f>
        <v>#VALUE!</v>
      </c>
      <c r="EI30" t="e">
        <f>CE31-Table2[[#This Row],[9F3 - PDB 12 - Other items]]</f>
        <v>#VALUE!</v>
      </c>
      <c r="EJ30" t="e">
        <f>CR31-Table2[[#This Row],[2F3 - PDB 1 - Dock 1 to 4 ]]</f>
        <v>#VALUE!</v>
      </c>
      <c r="EK30" t="e">
        <f>BM31-Table2[[#This Row],[2F2 - PDB 3 - WH Truck &amp; Battery Charging]]</f>
        <v>#VALUE!</v>
      </c>
      <c r="EL30" t="e">
        <f>(CK31-Table2[[#This Row],[PDB - 11 Truck Charging]])*1000</f>
        <v>#VALUE!</v>
      </c>
      <c r="EM30" s="1" t="e">
        <f>P31-Table2[[#This Row],[5F3 Admin Area]]</f>
        <v>#VALUE!</v>
      </c>
      <c r="EN30" t="e">
        <f>AH31-Table2[[#This Row],[2F5 Main Gate-1 Piller -1]]</f>
        <v>#VALUE!</v>
      </c>
      <c r="EO30" t="e">
        <f>CW31-Table2[[#This Row],[6F2 Ground Floor AC]]</f>
        <v>#VALUE!</v>
      </c>
      <c r="EP30" t="e">
        <f>CX31-Table2[[#This Row],[6F3 ACBD -1 (First floor AC)]]</f>
        <v>#VALUE!</v>
      </c>
      <c r="EQ30" t="e">
        <f>CY31-Table2[[#This Row],[6F4 ACBD - 2 (Second &amp; Third floor AC)]]</f>
        <v>#VALUE!</v>
      </c>
      <c r="ER30" t="e">
        <f>(BC31-Table2[[#This Row],[4F Old BMC cooling Unit]])</f>
        <v>#VALUE!</v>
      </c>
      <c r="ES30" t="e">
        <f>BO31-Table2[[#This Row],[2F4 - Old BMC]]</f>
        <v>#VALUE!</v>
      </c>
      <c r="ET30" t="e">
        <f>Y31-Table2[[#This Row],[14F2 New CK]]</f>
        <v>#VALUE!</v>
      </c>
      <c r="EU30" t="e">
        <f>(CL31-Table2[[#This Row],[OLD Ck Panel-1]])*1000</f>
        <v>#VALUE!</v>
      </c>
      <c r="EV30" t="e">
        <f>CM31-Table2[[#This Row],[2F4 Old CK Blast (Blue star)]]</f>
        <v>#VALUE!</v>
      </c>
      <c r="EW30" t="e">
        <f>CN31-Table2[[#This Row],[3F6 Old CK Blast (Carrier)]]</f>
        <v>#VALUE!</v>
      </c>
      <c r="EX30" t="e">
        <f>(CO31-Table2[[#This Row],[Old CK Panel -2]])*1000</f>
        <v>#VALUE!</v>
      </c>
      <c r="EY30" t="e">
        <f>N31-Table2[[#This Row],[4F1 Main UPS 1/C -1]]</f>
        <v>#VALUE!</v>
      </c>
      <c r="EZ30" t="e">
        <f>Z31-Table2[[#This Row],[15F1 Main UPS Panel - I/C - 2]]</f>
        <v>#VALUE!</v>
      </c>
      <c r="FA30" t="e">
        <f>BF31-Table2[[#This Row],[2F CLC -1 AC unit - 2]]</f>
        <v>#VALUE!</v>
      </c>
      <c r="FB30" t="e">
        <f>(BG31-Table2[[#This Row],[2F CLC Anti room]])*1000</f>
        <v>#VALUE!</v>
      </c>
      <c r="FC30" t="e">
        <f>BW31-Table2[[#This Row],[7F3 CLC Power Panel]]</f>
        <v>#VALUE!</v>
      </c>
      <c r="FD30" t="e">
        <f>(CI31-Table2[[#This Row],[PDB - 17 CLC Section ]])*1000</f>
        <v>#VALUE!</v>
      </c>
      <c r="FE30" t="e">
        <f>(W31-Table2[[#This Row],[13F3 Water &amp; Lift Old CK]])*1000</f>
        <v>#VALUE!</v>
      </c>
      <c r="FF30" t="e">
        <f>AA31-Table2[[#This Row],[15F2 New ETP Panel]]</f>
        <v>#VALUE!</v>
      </c>
      <c r="FG30" t="e">
        <f>AL31-Table2[[#This Row],[3F4 Old ETP Panel]]</f>
        <v>#VALUE!</v>
      </c>
      <c r="FH30" t="e">
        <f>AF31-Table2[[#This Row],[2F1 RO Plant]]</f>
        <v>#VALUE!</v>
      </c>
      <c r="FI30" t="e">
        <f>AK31-Table2[[#This Row],[3F3 Fire Hydrant Panel]]</f>
        <v>#VALUE!</v>
      </c>
      <c r="FJ30" t="e">
        <f>R31-Table2[[#This Row],[7F1 Freon System Panel]]</f>
        <v>#VALUE!</v>
      </c>
      <c r="FK30" t="e">
        <f>(AE31-Table2[[#This Row],[21F1 Refrigeration Ammonia]])*1000</f>
        <v>#VALUE!</v>
      </c>
      <c r="FL30" t="e">
        <f>(AG31-Table2[[#This Row],[2F3 Air Compressor]])*1000</f>
        <v>#VALUE!</v>
      </c>
      <c r="FM30" t="e">
        <f>(AX31-Table2[[#This Row],[Solar Reading Panel II]])*1000</f>
        <v>#VALUE!</v>
      </c>
      <c r="FN30" t="e">
        <f>AI31-Table2[[#This Row],[3F1 Maintenance Workshop]]</f>
        <v>#VALUE!</v>
      </c>
      <c r="FO30" t="e">
        <f>BD31-Table2[[#This Row],[4F B2B unit ]]</f>
        <v>#VALUE!</v>
      </c>
      <c r="FP30" t="e">
        <f>BL31-Table2[[#This Row],[2F1 - PDB 6 - Bread, B2B section]]</f>
        <v>#VALUE!</v>
      </c>
      <c r="FQ30" t="e">
        <f>(CG31-Table2[[#This Row],[9F5 - PDB 14 - Bread Lift]])</f>
        <v>#VALUE!</v>
      </c>
      <c r="FR30" t="e">
        <f>CJ31-Table2[[#This Row],[PDB - 16 Bread Section]]</f>
        <v>#VALUE!</v>
      </c>
      <c r="FS30" t="e">
        <f>BU31-Table2[[#This Row],[7F1 Donut Production area]]</f>
        <v>#VALUE!</v>
      </c>
      <c r="FT30" t="e">
        <f>CB31-Table2[[#This Row],[8F5 Donut Ban Bary]]</f>
        <v>#VALUE!</v>
      </c>
      <c r="FU30" t="e">
        <f>CF31-Table2[[#This Row],[9F4 - PDB 13 - Donut Sink Geyser area]]</f>
        <v>#VALUE!</v>
      </c>
      <c r="FV30" t="e">
        <f>BV31-Table2[[#This Row],[7F2 Flour Silo]]</f>
        <v>#VALUE!</v>
      </c>
      <c r="FW30" t="e">
        <f>BY31-Table2[[#This Row],[8F2 ACPDB - 3 SILO Ventilation]]</f>
        <v>#VALUE!</v>
      </c>
      <c r="FX30" t="e">
        <f>J31-Table2[[#This Row],[DG 1010KVA Running Hours]]</f>
        <v>#VALUE!</v>
      </c>
      <c r="FY30" t="e">
        <f>K31-Table2[[#This Row],[DG 1010 KVA Meter Reading]]</f>
        <v>#VALUE!</v>
      </c>
      <c r="FZ30" t="e">
        <f>L31-Table2[[#This Row],[GG 1010 KVA Running Hours]]</f>
        <v>#VALUE!</v>
      </c>
      <c r="GA30" t="e">
        <f>M31-Table2[[#This Row],[GG 1010 KVA Meter Reading]]</f>
        <v>#VALUE!</v>
      </c>
    </row>
    <row r="31" spans="1:183">
      <c r="B31" s="43"/>
      <c r="C31" s="43"/>
      <c r="G31" s="70"/>
      <c r="DH31" s="2" t="e">
        <f>Table2[[#This Row],[Date]]</f>
        <v>#VALUE!</v>
      </c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s="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>
      <c r="B32" s="43"/>
      <c r="C32" s="43"/>
      <c r="G32" s="70"/>
      <c r="DH32" s="2" t="e">
        <f>Table2[[#This Row],[Date]]</f>
        <v>#VALUE!</v>
      </c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s="1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2:183">
      <c r="B33" s="43"/>
      <c r="C33" s="43"/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2:183">
      <c r="B34" s="43"/>
      <c r="C34" s="43"/>
    </row>
    <row r="35" spans="2:183">
      <c r="B35" s="43"/>
      <c r="C35" s="43"/>
      <c r="DJ35">
        <f>SUM(DJ3:DK23)</f>
        <v>8003.5771040000081</v>
      </c>
    </row>
    <row r="36" spans="2:183">
      <c r="B36" s="43"/>
      <c r="C36" s="43"/>
      <c r="DJ36">
        <f>DJ35/26</f>
        <v>307.8298886153849</v>
      </c>
    </row>
    <row r="37" spans="2:183">
      <c r="B37" s="43"/>
      <c r="C37" s="43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topLeftCell="I1" zoomScale="76" workbookViewId="0">
      <pane ySplit="9" topLeftCell="A10" activePane="bottomLeft" state="frozen"/>
      <selection pane="bottomLeft" activeCell="M17" sqref="M17"/>
    </sheetView>
  </sheetViews>
  <sheetFormatPr defaultRowHeight="13"/>
  <cols>
    <col min="1" max="1" width="18.54296875" style="7" customWidth="1"/>
    <col min="2" max="2" width="11.26953125" style="7" customWidth="1"/>
    <col min="3" max="10" width="10.6328125" style="7" customWidth="1"/>
    <col min="11" max="11" width="8.7265625" style="7"/>
    <col min="12" max="19" width="15.453125" style="8" customWidth="1"/>
    <col min="20" max="20" width="11.26953125" style="8" customWidth="1"/>
    <col min="21" max="23" width="11.453125" style="7" customWidth="1"/>
    <col min="24" max="24" width="12.6328125" style="7" customWidth="1"/>
    <col min="25" max="16384" width="8.7265625" style="7"/>
  </cols>
  <sheetData>
    <row r="1" spans="1:24" ht="14.25" customHeight="1">
      <c r="A1" s="5" t="s">
        <v>144</v>
      </c>
      <c r="B1" s="5"/>
      <c r="C1" s="5"/>
      <c r="D1" s="6"/>
      <c r="E1" s="6"/>
      <c r="F1" s="6"/>
      <c r="G1" s="6"/>
      <c r="H1" s="6"/>
      <c r="I1" s="5" t="s">
        <v>145</v>
      </c>
      <c r="J1" s="5"/>
    </row>
    <row r="2" spans="1:24" ht="14.25" customHeight="1">
      <c r="A2" s="5" t="s">
        <v>146</v>
      </c>
      <c r="B2" s="5"/>
      <c r="C2" s="5"/>
      <c r="D2" s="6"/>
      <c r="E2" s="6"/>
      <c r="F2" s="6"/>
      <c r="G2" s="6"/>
      <c r="H2" s="6"/>
      <c r="I2" s="6"/>
      <c r="J2" s="6"/>
    </row>
    <row r="3" spans="1:24" ht="14.25" customHeight="1">
      <c r="A3" s="5" t="s">
        <v>147</v>
      </c>
      <c r="B3" s="5"/>
      <c r="C3" s="6"/>
      <c r="D3" s="6"/>
      <c r="E3" s="6"/>
      <c r="F3" s="6"/>
      <c r="G3" s="6"/>
      <c r="H3" s="6"/>
      <c r="I3" s="6"/>
      <c r="J3" s="6"/>
    </row>
    <row r="4" spans="1:24" ht="14.25" customHeight="1">
      <c r="A4" s="5" t="s">
        <v>148</v>
      </c>
      <c r="B4" s="5"/>
      <c r="C4" s="5"/>
      <c r="D4" s="6"/>
      <c r="E4" s="6"/>
      <c r="F4" s="6"/>
      <c r="G4" s="6"/>
      <c r="H4" s="6"/>
      <c r="I4" s="6"/>
      <c r="J4" s="6"/>
    </row>
    <row r="5" spans="1:24" ht="14.25" customHeight="1">
      <c r="A5" s="5" t="s">
        <v>149</v>
      </c>
      <c r="B5" s="5"/>
      <c r="C5" s="6"/>
      <c r="D5" s="6"/>
      <c r="E5" s="6"/>
      <c r="F5" s="6"/>
      <c r="G5" s="6"/>
      <c r="H5" s="6"/>
      <c r="I5" s="6"/>
      <c r="J5" s="6"/>
    </row>
    <row r="6" spans="1:24" ht="14.25" customHeight="1">
      <c r="A6" s="5" t="s">
        <v>150</v>
      </c>
      <c r="B6" s="5"/>
      <c r="C6" s="5"/>
      <c r="D6" s="6"/>
      <c r="E6" s="6"/>
      <c r="F6" s="6"/>
      <c r="G6" s="6"/>
      <c r="H6" s="6"/>
      <c r="I6" s="6"/>
      <c r="J6" s="6"/>
    </row>
    <row r="7" spans="1:24" ht="14.25" customHeight="1">
      <c r="A7" s="5" t="s">
        <v>151</v>
      </c>
      <c r="B7" s="5"/>
      <c r="C7" s="6"/>
      <c r="D7" s="6"/>
      <c r="E7" s="6"/>
      <c r="F7" s="6"/>
      <c r="G7" s="6"/>
      <c r="H7" s="6"/>
      <c r="I7" s="6"/>
      <c r="J7" s="6"/>
    </row>
    <row r="8" spans="1:24" ht="29" customHeight="1">
      <c r="A8" s="9" t="s">
        <v>152</v>
      </c>
      <c r="B8" s="9"/>
      <c r="C8" s="10"/>
      <c r="D8" s="10"/>
      <c r="E8" s="10"/>
      <c r="F8" s="10"/>
      <c r="G8" s="10"/>
      <c r="H8" s="10"/>
      <c r="I8" s="10"/>
      <c r="J8" s="10"/>
      <c r="L8" s="29">
        <f t="shared" ref="L8:X8" si="0">SUBTOTAL(9,L10:L11116)</f>
        <v>-423156.5</v>
      </c>
      <c r="M8" s="29">
        <f t="shared" si="0"/>
        <v>-230723.3</v>
      </c>
      <c r="N8" s="29">
        <f t="shared" si="0"/>
        <v>-64819</v>
      </c>
      <c r="O8" s="29">
        <f t="shared" si="0"/>
        <v>-388120.5</v>
      </c>
      <c r="P8" s="29">
        <f t="shared" si="0"/>
        <v>-259768.6</v>
      </c>
      <c r="Q8" s="29">
        <f t="shared" si="0"/>
        <v>-543895.80000000005</v>
      </c>
      <c r="R8" s="29">
        <f t="shared" si="0"/>
        <v>-323519.2</v>
      </c>
      <c r="S8" s="29">
        <f t="shared" si="0"/>
        <v>-773868.4</v>
      </c>
      <c r="T8" s="29">
        <f t="shared" si="0"/>
        <v>-1521670</v>
      </c>
      <c r="U8" s="29">
        <f t="shared" si="0"/>
        <v>-967052.3</v>
      </c>
      <c r="V8" s="29">
        <f t="shared" si="0"/>
        <v>-554242.5</v>
      </c>
      <c r="W8" s="29">
        <f t="shared" si="0"/>
        <v>-838687.4</v>
      </c>
      <c r="X8" s="29">
        <f t="shared" si="0"/>
        <v>-2169559.1</v>
      </c>
    </row>
    <row r="9" spans="1:24" ht="52">
      <c r="A9" s="11" t="s">
        <v>153</v>
      </c>
      <c r="B9" s="12" t="s">
        <v>154</v>
      </c>
      <c r="C9" s="11" t="s">
        <v>155</v>
      </c>
      <c r="D9" s="11" t="s">
        <v>156</v>
      </c>
      <c r="E9" s="11" t="s">
        <v>157</v>
      </c>
      <c r="F9" s="11" t="s">
        <v>158</v>
      </c>
      <c r="G9" s="11" t="s">
        <v>159</v>
      </c>
      <c r="H9" s="13" t="s">
        <v>160</v>
      </c>
      <c r="I9" s="14" t="s">
        <v>161</v>
      </c>
      <c r="J9" s="11" t="s">
        <v>162</v>
      </c>
      <c r="L9" s="30" t="s">
        <v>165</v>
      </c>
      <c r="M9" s="30" t="s">
        <v>166</v>
      </c>
      <c r="N9" s="30" t="s">
        <v>167</v>
      </c>
      <c r="O9" s="30" t="s">
        <v>168</v>
      </c>
      <c r="P9" s="30" t="s">
        <v>169</v>
      </c>
      <c r="Q9" s="30" t="s">
        <v>170</v>
      </c>
      <c r="R9" s="30" t="s">
        <v>171</v>
      </c>
      <c r="S9" s="30" t="s">
        <v>172</v>
      </c>
      <c r="T9" s="30" t="s">
        <v>173</v>
      </c>
      <c r="U9" s="31" t="s">
        <v>163</v>
      </c>
      <c r="V9" s="31" t="s">
        <v>126</v>
      </c>
      <c r="W9" s="31" t="s">
        <v>128</v>
      </c>
      <c r="X9" s="31" t="s">
        <v>164</v>
      </c>
    </row>
    <row r="10" spans="1:24" ht="20" customHeight="1">
      <c r="A10" s="71">
        <v>46266</v>
      </c>
      <c r="B10" s="16">
        <v>422940.5</v>
      </c>
      <c r="C10" s="15">
        <v>230723.3</v>
      </c>
      <c r="D10" s="17">
        <v>64819</v>
      </c>
      <c r="E10" s="17">
        <v>388120.5</v>
      </c>
      <c r="F10" s="17">
        <v>259768.6</v>
      </c>
      <c r="G10" s="17">
        <v>543544.80000000005</v>
      </c>
      <c r="H10" s="15">
        <v>323519.2</v>
      </c>
      <c r="I10" s="17">
        <v>773868.4</v>
      </c>
      <c r="J10" s="20">
        <v>1521670</v>
      </c>
      <c r="L10" s="32">
        <f t="shared" ref="L10:T37" si="1">IFERROR(B11-B10,0)</f>
        <v>0</v>
      </c>
      <c r="M10" s="32">
        <f t="shared" si="1"/>
        <v>547.80000000001746</v>
      </c>
      <c r="N10" s="32">
        <f t="shared" si="1"/>
        <v>389.30000000000291</v>
      </c>
      <c r="O10" s="32">
        <f t="shared" si="1"/>
        <v>369.79999999998836</v>
      </c>
      <c r="P10" s="32">
        <f t="shared" si="1"/>
        <v>216.79999999998836</v>
      </c>
      <c r="Q10" s="32">
        <f t="shared" si="1"/>
        <v>2.7999999999301508</v>
      </c>
      <c r="R10" s="32">
        <f t="shared" si="1"/>
        <v>676.39999999996508</v>
      </c>
      <c r="S10" s="32">
        <f t="shared" si="1"/>
        <v>1278.2999999999302</v>
      </c>
      <c r="T10" s="32">
        <f t="shared" si="1"/>
        <v>1432</v>
      </c>
      <c r="U10" s="33">
        <f t="shared" ref="U10:W72" si="2">L10+Q10</f>
        <v>2.7999999999301508</v>
      </c>
      <c r="V10" s="33">
        <f t="shared" si="2"/>
        <v>1224.1999999999825</v>
      </c>
      <c r="W10" s="33">
        <f t="shared" si="2"/>
        <v>1667.5999999999331</v>
      </c>
      <c r="X10" s="33">
        <f t="shared" ref="X10:X37" si="3">O10+P10+T10</f>
        <v>2018.5999999999767</v>
      </c>
    </row>
    <row r="11" spans="1:24" ht="20" customHeight="1">
      <c r="A11" s="71">
        <v>46267</v>
      </c>
      <c r="B11" s="16">
        <v>422940.5</v>
      </c>
      <c r="C11" s="15">
        <v>231271.1</v>
      </c>
      <c r="D11" s="17">
        <v>65208.3</v>
      </c>
      <c r="E11" s="17">
        <v>388490.3</v>
      </c>
      <c r="F11" s="17">
        <v>259985.4</v>
      </c>
      <c r="G11" s="17">
        <v>543547.6</v>
      </c>
      <c r="H11" s="15">
        <v>324195.59999999998</v>
      </c>
      <c r="I11" s="17">
        <v>775146.7</v>
      </c>
      <c r="J11" s="20">
        <v>1523102</v>
      </c>
      <c r="L11" s="32">
        <f t="shared" si="1"/>
        <v>0</v>
      </c>
      <c r="M11" s="32">
        <f t="shared" si="1"/>
        <v>519.39999999999418</v>
      </c>
      <c r="N11" s="32">
        <f t="shared" si="1"/>
        <v>382.19999999999709</v>
      </c>
      <c r="O11" s="32">
        <f t="shared" si="1"/>
        <v>372</v>
      </c>
      <c r="P11" s="32">
        <f t="shared" si="1"/>
        <v>217</v>
      </c>
      <c r="Q11" s="32">
        <f t="shared" si="1"/>
        <v>2.5999999999767169</v>
      </c>
      <c r="R11" s="32">
        <f t="shared" si="1"/>
        <v>1019.3000000000466</v>
      </c>
      <c r="S11" s="32">
        <f t="shared" si="1"/>
        <v>1240.1000000000931</v>
      </c>
      <c r="T11" s="32">
        <f t="shared" si="1"/>
        <v>1472</v>
      </c>
      <c r="U11" s="33">
        <f t="shared" si="2"/>
        <v>2.5999999999767169</v>
      </c>
      <c r="V11" s="33">
        <f t="shared" si="2"/>
        <v>1538.7000000000407</v>
      </c>
      <c r="W11" s="33">
        <f t="shared" si="2"/>
        <v>1622.3000000000902</v>
      </c>
      <c r="X11" s="33">
        <f t="shared" si="3"/>
        <v>2061</v>
      </c>
    </row>
    <row r="12" spans="1:24" ht="20" customHeight="1">
      <c r="A12" s="71">
        <v>46268</v>
      </c>
      <c r="B12" s="16">
        <v>422940.5</v>
      </c>
      <c r="C12" s="15">
        <v>231790.5</v>
      </c>
      <c r="D12" s="17">
        <v>65590.5</v>
      </c>
      <c r="E12" s="17">
        <v>388862.3</v>
      </c>
      <c r="F12" s="17">
        <v>260202.4</v>
      </c>
      <c r="G12" s="17">
        <v>543550.19999999995</v>
      </c>
      <c r="H12" s="15">
        <v>325214.90000000002</v>
      </c>
      <c r="I12" s="17">
        <v>776386.8</v>
      </c>
      <c r="J12" s="20">
        <v>1524574</v>
      </c>
      <c r="L12" s="32">
        <f t="shared" si="1"/>
        <v>0</v>
      </c>
      <c r="M12" s="32">
        <f t="shared" si="1"/>
        <v>487.79999999998836</v>
      </c>
      <c r="N12" s="32">
        <f t="shared" si="1"/>
        <v>382.5</v>
      </c>
      <c r="O12" s="32">
        <f t="shared" si="1"/>
        <v>374.70000000001164</v>
      </c>
      <c r="P12" s="32">
        <f t="shared" si="1"/>
        <v>215.60000000000582</v>
      </c>
      <c r="Q12" s="32">
        <f t="shared" si="1"/>
        <v>0</v>
      </c>
      <c r="R12" s="32">
        <f t="shared" si="1"/>
        <v>908.19999999995343</v>
      </c>
      <c r="S12" s="32">
        <f t="shared" si="1"/>
        <v>1273.2999999999302</v>
      </c>
      <c r="T12" s="32">
        <f t="shared" si="1"/>
        <v>1457</v>
      </c>
      <c r="U12" s="33">
        <f t="shared" si="2"/>
        <v>0</v>
      </c>
      <c r="V12" s="33">
        <f t="shared" si="2"/>
        <v>1395.9999999999418</v>
      </c>
      <c r="W12" s="33">
        <f t="shared" si="2"/>
        <v>1655.7999999999302</v>
      </c>
      <c r="X12" s="33">
        <f t="shared" si="3"/>
        <v>2047.3000000000175</v>
      </c>
    </row>
    <row r="13" spans="1:24" ht="20" customHeight="1">
      <c r="A13" s="71">
        <v>46269</v>
      </c>
      <c r="B13" s="16" t="s">
        <v>211</v>
      </c>
      <c r="C13" s="15">
        <v>232278.3</v>
      </c>
      <c r="D13" s="17">
        <v>65973</v>
      </c>
      <c r="E13" s="17">
        <v>389237</v>
      </c>
      <c r="F13" s="17">
        <v>260418</v>
      </c>
      <c r="G13" s="17" t="s">
        <v>211</v>
      </c>
      <c r="H13" s="15">
        <v>326123.09999999998</v>
      </c>
      <c r="I13" s="17">
        <v>777660.1</v>
      </c>
      <c r="J13" s="20">
        <v>1526031</v>
      </c>
      <c r="L13" s="32">
        <f t="shared" si="1"/>
        <v>0</v>
      </c>
      <c r="M13" s="32">
        <f t="shared" si="1"/>
        <v>468.5</v>
      </c>
      <c r="N13" s="32">
        <f t="shared" si="1"/>
        <v>385.60000000000582</v>
      </c>
      <c r="O13" s="32">
        <f t="shared" si="1"/>
        <v>377.20000000001164</v>
      </c>
      <c r="P13" s="32">
        <f t="shared" si="1"/>
        <v>217.5</v>
      </c>
      <c r="Q13" s="32">
        <f t="shared" si="1"/>
        <v>0</v>
      </c>
      <c r="R13" s="32">
        <f t="shared" si="1"/>
        <v>642</v>
      </c>
      <c r="S13" s="32">
        <f t="shared" si="1"/>
        <v>1292.7000000000698</v>
      </c>
      <c r="T13" s="32">
        <f t="shared" si="1"/>
        <v>1479</v>
      </c>
      <c r="U13" s="33">
        <f t="shared" si="2"/>
        <v>0</v>
      </c>
      <c r="V13" s="33">
        <f t="shared" si="2"/>
        <v>1110.5</v>
      </c>
      <c r="W13" s="33">
        <f t="shared" si="2"/>
        <v>1678.3000000000757</v>
      </c>
      <c r="X13" s="33">
        <f t="shared" si="3"/>
        <v>2073.7000000000116</v>
      </c>
    </row>
    <row r="14" spans="1:24" ht="20" customHeight="1">
      <c r="A14" s="71">
        <v>46270</v>
      </c>
      <c r="B14" s="16" t="s">
        <v>211</v>
      </c>
      <c r="C14" s="15">
        <v>232746.8</v>
      </c>
      <c r="D14" s="17">
        <v>66358.600000000006</v>
      </c>
      <c r="E14" s="17">
        <v>389614.2</v>
      </c>
      <c r="F14" s="17">
        <v>260635.5</v>
      </c>
      <c r="G14" s="17" t="s">
        <v>211</v>
      </c>
      <c r="H14" s="15">
        <v>326765.09999999998</v>
      </c>
      <c r="I14" s="17">
        <v>778952.8</v>
      </c>
      <c r="J14" s="20">
        <v>1527510</v>
      </c>
      <c r="L14" s="32">
        <f t="shared" si="1"/>
        <v>0</v>
      </c>
      <c r="M14" s="32">
        <f t="shared" si="1"/>
        <v>465.80000000001746</v>
      </c>
      <c r="N14" s="32">
        <f t="shared" si="1"/>
        <v>393.09999999999127</v>
      </c>
      <c r="O14" s="32">
        <f t="shared" si="1"/>
        <v>372.29999999998836</v>
      </c>
      <c r="P14" s="32">
        <f t="shared" si="1"/>
        <v>217.20000000001164</v>
      </c>
      <c r="Q14" s="32">
        <f t="shared" si="1"/>
        <v>0</v>
      </c>
      <c r="R14" s="32">
        <f t="shared" si="1"/>
        <v>715.90000000002328</v>
      </c>
      <c r="S14" s="32">
        <f t="shared" si="1"/>
        <v>1186.8999999999069</v>
      </c>
      <c r="T14" s="32">
        <f t="shared" si="1"/>
        <v>1423</v>
      </c>
      <c r="U14" s="33">
        <f t="shared" si="2"/>
        <v>0</v>
      </c>
      <c r="V14" s="33">
        <f t="shared" si="2"/>
        <v>1181.7000000000407</v>
      </c>
      <c r="W14" s="33">
        <f t="shared" si="2"/>
        <v>1579.9999999998981</v>
      </c>
      <c r="X14" s="33">
        <f t="shared" si="3"/>
        <v>2012.5</v>
      </c>
    </row>
    <row r="15" spans="1:24" ht="20" customHeight="1">
      <c r="A15" s="71">
        <v>46271</v>
      </c>
      <c r="B15" s="16" t="s">
        <v>211</v>
      </c>
      <c r="C15" s="15">
        <v>233212.6</v>
      </c>
      <c r="D15" s="17">
        <v>66751.7</v>
      </c>
      <c r="E15" s="17">
        <v>389986.5</v>
      </c>
      <c r="F15" s="17">
        <v>260852.7</v>
      </c>
      <c r="G15" s="17" t="s">
        <v>211</v>
      </c>
      <c r="H15" s="15">
        <v>327481</v>
      </c>
      <c r="I15" s="17">
        <v>780139.7</v>
      </c>
      <c r="J15" s="20">
        <v>1528933</v>
      </c>
      <c r="L15" s="32">
        <f t="shared" si="1"/>
        <v>0</v>
      </c>
      <c r="M15" s="32">
        <f t="shared" si="1"/>
        <v>512.19999999998254</v>
      </c>
      <c r="N15" s="32">
        <f t="shared" si="1"/>
        <v>375.40000000000873</v>
      </c>
      <c r="O15" s="32">
        <f t="shared" si="1"/>
        <v>381.5</v>
      </c>
      <c r="P15" s="32">
        <f t="shared" si="1"/>
        <v>222.09999999997672</v>
      </c>
      <c r="Q15" s="32">
        <f t="shared" si="1"/>
        <v>0</v>
      </c>
      <c r="R15" s="32">
        <f t="shared" si="1"/>
        <v>580.70000000001164</v>
      </c>
      <c r="S15" s="32">
        <f t="shared" si="1"/>
        <v>825.10000000009313</v>
      </c>
      <c r="T15" s="32">
        <f t="shared" si="1"/>
        <v>1508</v>
      </c>
      <c r="U15" s="33">
        <f t="shared" si="2"/>
        <v>0</v>
      </c>
      <c r="V15" s="33">
        <f t="shared" si="2"/>
        <v>1092.8999999999942</v>
      </c>
      <c r="W15" s="33">
        <f t="shared" si="2"/>
        <v>1200.5000000001019</v>
      </c>
      <c r="X15" s="33">
        <f t="shared" si="3"/>
        <v>2111.5999999999767</v>
      </c>
    </row>
    <row r="16" spans="1:24" ht="20" customHeight="1">
      <c r="A16" s="71">
        <v>46272</v>
      </c>
      <c r="B16" s="16" t="s">
        <v>211</v>
      </c>
      <c r="C16" s="15">
        <v>233724.79999999999</v>
      </c>
      <c r="D16" s="17">
        <v>67127.100000000006</v>
      </c>
      <c r="E16" s="17">
        <v>390368</v>
      </c>
      <c r="F16" s="17">
        <v>261074.8</v>
      </c>
      <c r="G16" s="17" t="s">
        <v>211</v>
      </c>
      <c r="H16" s="15">
        <v>328061.7</v>
      </c>
      <c r="I16" s="17">
        <v>780964.8</v>
      </c>
      <c r="J16" s="20">
        <v>1530441</v>
      </c>
      <c r="L16" s="32">
        <f t="shared" si="1"/>
        <v>0</v>
      </c>
      <c r="M16" s="32">
        <f t="shared" si="1"/>
        <v>363</v>
      </c>
      <c r="N16" s="32">
        <f t="shared" si="1"/>
        <v>382.89999999999418</v>
      </c>
      <c r="O16" s="32">
        <f t="shared" si="1"/>
        <v>371.90000000002328</v>
      </c>
      <c r="P16" s="32">
        <f t="shared" si="1"/>
        <v>212.80000000001746</v>
      </c>
      <c r="Q16" s="32">
        <f t="shared" si="1"/>
        <v>0</v>
      </c>
      <c r="R16" s="32">
        <f t="shared" si="1"/>
        <v>546.20000000001164</v>
      </c>
      <c r="S16" s="32">
        <f t="shared" si="1"/>
        <v>1236.2999999999302</v>
      </c>
      <c r="T16" s="32">
        <f t="shared" si="1"/>
        <v>1429</v>
      </c>
      <c r="U16" s="33">
        <f t="shared" si="2"/>
        <v>0</v>
      </c>
      <c r="V16" s="33">
        <f t="shared" si="2"/>
        <v>909.20000000001164</v>
      </c>
      <c r="W16" s="33">
        <f t="shared" si="2"/>
        <v>1619.1999999999243</v>
      </c>
      <c r="X16" s="33">
        <f t="shared" si="3"/>
        <v>2013.7000000000407</v>
      </c>
    </row>
    <row r="17" spans="1:24" ht="20" customHeight="1">
      <c r="A17" s="71">
        <v>46273</v>
      </c>
      <c r="B17" s="16">
        <v>423156.5</v>
      </c>
      <c r="C17" s="15">
        <v>234087.8</v>
      </c>
      <c r="D17" s="17">
        <v>67510</v>
      </c>
      <c r="E17" s="17">
        <v>390739.9</v>
      </c>
      <c r="F17" s="17">
        <v>261287.6</v>
      </c>
      <c r="G17" s="17">
        <v>543901.19999999995</v>
      </c>
      <c r="H17" s="15">
        <v>328607.90000000002</v>
      </c>
      <c r="I17" s="17">
        <v>782201.1</v>
      </c>
      <c r="J17" s="20">
        <v>1531870</v>
      </c>
      <c r="L17" s="32">
        <f t="shared" si="1"/>
        <v>492.5</v>
      </c>
      <c r="M17" s="32">
        <f t="shared" si="1"/>
        <v>0</v>
      </c>
      <c r="N17" s="32">
        <f t="shared" si="1"/>
        <v>351</v>
      </c>
      <c r="O17" s="32">
        <f t="shared" si="1"/>
        <v>367.89999999996508</v>
      </c>
      <c r="P17" s="32">
        <f t="shared" si="1"/>
        <v>205.79999999998836</v>
      </c>
      <c r="Q17" s="32">
        <f t="shared" si="1"/>
        <v>996.80000000004657</v>
      </c>
      <c r="R17" s="32">
        <f t="shared" si="1"/>
        <v>5</v>
      </c>
      <c r="S17" s="32">
        <f t="shared" si="1"/>
        <v>1037.3000000000466</v>
      </c>
      <c r="T17" s="32">
        <f t="shared" si="1"/>
        <v>1387</v>
      </c>
      <c r="U17" s="33">
        <f t="shared" si="2"/>
        <v>1489.3000000000466</v>
      </c>
      <c r="V17" s="33">
        <f t="shared" si="2"/>
        <v>5</v>
      </c>
      <c r="W17" s="33">
        <f t="shared" si="2"/>
        <v>1388.3000000000466</v>
      </c>
      <c r="X17" s="33">
        <f t="shared" si="3"/>
        <v>1960.6999999999534</v>
      </c>
    </row>
    <row r="18" spans="1:24" ht="20" customHeight="1">
      <c r="A18" s="71">
        <v>46274</v>
      </c>
      <c r="B18" s="16">
        <v>423649</v>
      </c>
      <c r="C18" s="15">
        <v>234087.8</v>
      </c>
      <c r="D18" s="17">
        <v>67861</v>
      </c>
      <c r="E18" s="17">
        <v>391107.8</v>
      </c>
      <c r="F18" s="17">
        <v>261493.4</v>
      </c>
      <c r="G18" s="17">
        <v>544898</v>
      </c>
      <c r="H18" s="15">
        <v>328612.90000000002</v>
      </c>
      <c r="I18" s="17">
        <v>783238.4</v>
      </c>
      <c r="J18" s="20">
        <v>1533257</v>
      </c>
      <c r="L18" s="32">
        <f t="shared" si="1"/>
        <v>525.5</v>
      </c>
      <c r="M18" s="32">
        <f t="shared" si="1"/>
        <v>201.70000000001164</v>
      </c>
      <c r="N18" s="32">
        <f t="shared" si="1"/>
        <v>371.89999999999418</v>
      </c>
      <c r="O18" s="32">
        <f t="shared" si="1"/>
        <v>371.29999999998836</v>
      </c>
      <c r="P18" s="32">
        <f t="shared" si="1"/>
        <v>198.60000000000582</v>
      </c>
      <c r="Q18" s="32">
        <f t="shared" si="1"/>
        <v>966.09999999997672</v>
      </c>
      <c r="R18" s="32">
        <f t="shared" si="1"/>
        <v>375.69999999995343</v>
      </c>
      <c r="S18" s="32">
        <f t="shared" si="1"/>
        <v>1201.2999999999302</v>
      </c>
      <c r="T18" s="32">
        <f t="shared" si="1"/>
        <v>1377</v>
      </c>
      <c r="U18" s="33">
        <f t="shared" si="2"/>
        <v>1491.5999999999767</v>
      </c>
      <c r="V18" s="33">
        <f t="shared" si="2"/>
        <v>577.39999999996508</v>
      </c>
      <c r="W18" s="33">
        <f t="shared" si="2"/>
        <v>1573.1999999999243</v>
      </c>
      <c r="X18" s="33">
        <f t="shared" si="3"/>
        <v>1946.8999999999942</v>
      </c>
    </row>
    <row r="19" spans="1:24" ht="20" customHeight="1">
      <c r="A19" s="71">
        <v>46275</v>
      </c>
      <c r="B19" s="16">
        <v>424174.5</v>
      </c>
      <c r="C19" s="15">
        <v>234289.5</v>
      </c>
      <c r="D19" s="17">
        <v>68232.899999999994</v>
      </c>
      <c r="E19" s="17">
        <v>391479.1</v>
      </c>
      <c r="F19" s="17">
        <v>261692</v>
      </c>
      <c r="G19" s="17">
        <v>545864.1</v>
      </c>
      <c r="H19" s="15">
        <v>328988.59999999998</v>
      </c>
      <c r="I19" s="17">
        <v>784439.7</v>
      </c>
      <c r="J19" s="20">
        <v>1534634</v>
      </c>
      <c r="L19" s="32">
        <f t="shared" si="1"/>
        <v>521.79999999998836</v>
      </c>
      <c r="M19" s="32">
        <f t="shared" si="1"/>
        <v>229.79999999998836</v>
      </c>
      <c r="N19" s="32">
        <f t="shared" si="1"/>
        <v>368.90000000000873</v>
      </c>
      <c r="O19" s="32">
        <f t="shared" si="1"/>
        <v>370.70000000001164</v>
      </c>
      <c r="P19" s="32">
        <f t="shared" si="1"/>
        <v>202.20000000001164</v>
      </c>
      <c r="Q19" s="32">
        <f t="shared" si="1"/>
        <v>1047.9000000000233</v>
      </c>
      <c r="R19" s="32">
        <f t="shared" si="1"/>
        <v>306.70000000001164</v>
      </c>
      <c r="S19" s="32">
        <f t="shared" si="1"/>
        <v>1209.3000000000466</v>
      </c>
      <c r="T19" s="32">
        <f t="shared" si="1"/>
        <v>1472</v>
      </c>
      <c r="U19" s="33">
        <f t="shared" si="2"/>
        <v>1569.7000000000116</v>
      </c>
      <c r="V19" s="33">
        <f t="shared" si="2"/>
        <v>536.5</v>
      </c>
      <c r="W19" s="33">
        <f t="shared" si="2"/>
        <v>1578.2000000000553</v>
      </c>
      <c r="X19" s="33">
        <f t="shared" si="3"/>
        <v>2044.9000000000233</v>
      </c>
    </row>
    <row r="20" spans="1:24" ht="20" customHeight="1">
      <c r="A20" s="71">
        <v>46276</v>
      </c>
      <c r="B20" s="16">
        <v>424696.3</v>
      </c>
      <c r="C20" s="15">
        <v>234519.3</v>
      </c>
      <c r="D20" s="17">
        <v>68601.8</v>
      </c>
      <c r="E20" s="17">
        <v>391849.8</v>
      </c>
      <c r="F20" s="17">
        <v>261894.2</v>
      </c>
      <c r="G20" s="17">
        <v>546912</v>
      </c>
      <c r="H20" s="15">
        <v>329295.3</v>
      </c>
      <c r="I20" s="17">
        <v>785649</v>
      </c>
      <c r="J20" s="20">
        <v>1536106</v>
      </c>
      <c r="L20" s="32">
        <f t="shared" si="1"/>
        <v>350</v>
      </c>
      <c r="M20" s="32">
        <f t="shared" si="1"/>
        <v>480.90000000002328</v>
      </c>
      <c r="N20" s="32">
        <f t="shared" si="1"/>
        <v>378.59999999999127</v>
      </c>
      <c r="O20" s="32">
        <f t="shared" si="1"/>
        <v>371.90000000002328</v>
      </c>
      <c r="P20" s="32">
        <f t="shared" si="1"/>
        <v>202.09999999997672</v>
      </c>
      <c r="Q20" s="32">
        <f t="shared" si="1"/>
        <v>599.5</v>
      </c>
      <c r="R20" s="32">
        <f t="shared" si="1"/>
        <v>843.5</v>
      </c>
      <c r="S20" s="32">
        <f t="shared" si="1"/>
        <v>1231.0999999999767</v>
      </c>
      <c r="T20" s="32">
        <f t="shared" si="1"/>
        <v>1464</v>
      </c>
      <c r="U20" s="33">
        <f t="shared" si="2"/>
        <v>949.5</v>
      </c>
      <c r="V20" s="33">
        <f t="shared" si="2"/>
        <v>1324.4000000000233</v>
      </c>
      <c r="W20" s="33">
        <f t="shared" si="2"/>
        <v>1609.699999999968</v>
      </c>
      <c r="X20" s="33">
        <f t="shared" si="3"/>
        <v>2038</v>
      </c>
    </row>
    <row r="21" spans="1:24" ht="20" customHeight="1">
      <c r="A21" s="71">
        <v>46277</v>
      </c>
      <c r="B21" s="16">
        <v>425046.3</v>
      </c>
      <c r="C21" s="17">
        <v>235000.2</v>
      </c>
      <c r="D21" s="17">
        <v>68980.399999999994</v>
      </c>
      <c r="E21" s="17">
        <v>392221.7</v>
      </c>
      <c r="F21" s="17">
        <v>262096.3</v>
      </c>
      <c r="G21" s="17">
        <v>547511.5</v>
      </c>
      <c r="H21" s="17">
        <v>330138.8</v>
      </c>
      <c r="I21" s="17">
        <v>786880.1</v>
      </c>
      <c r="J21" s="20">
        <v>1537570</v>
      </c>
      <c r="L21" s="32">
        <f t="shared" si="1"/>
        <v>361.60000000003492</v>
      </c>
      <c r="M21" s="32">
        <f t="shared" si="1"/>
        <v>463.09999999997672</v>
      </c>
      <c r="N21" s="32">
        <f t="shared" si="1"/>
        <v>374</v>
      </c>
      <c r="O21" s="32">
        <f t="shared" si="1"/>
        <v>374.79999999998836</v>
      </c>
      <c r="P21" s="32">
        <f t="shared" si="1"/>
        <v>202.60000000003492</v>
      </c>
      <c r="Q21" s="32">
        <f t="shared" si="1"/>
        <v>522.09999999997672</v>
      </c>
      <c r="R21" s="32">
        <f t="shared" si="1"/>
        <v>671.40000000002328</v>
      </c>
      <c r="S21" s="32">
        <f t="shared" si="1"/>
        <v>1199.5999999999767</v>
      </c>
      <c r="T21" s="32">
        <f t="shared" si="1"/>
        <v>1468</v>
      </c>
      <c r="U21" s="33">
        <f t="shared" si="2"/>
        <v>883.70000000001164</v>
      </c>
      <c r="V21" s="33">
        <f t="shared" si="2"/>
        <v>1134.5</v>
      </c>
      <c r="W21" s="33">
        <f t="shared" si="2"/>
        <v>1573.5999999999767</v>
      </c>
      <c r="X21" s="33">
        <f t="shared" si="3"/>
        <v>2045.4000000000233</v>
      </c>
    </row>
    <row r="22" spans="1:24" ht="20" customHeight="1">
      <c r="A22" s="71">
        <v>46278</v>
      </c>
      <c r="B22" s="16">
        <v>425407.9</v>
      </c>
      <c r="C22" s="17">
        <v>235463.3</v>
      </c>
      <c r="D22" s="17">
        <v>69354.399999999994</v>
      </c>
      <c r="E22" s="17">
        <v>392596.5</v>
      </c>
      <c r="F22" s="17">
        <v>262298.90000000002</v>
      </c>
      <c r="G22" s="17">
        <v>548033.6</v>
      </c>
      <c r="H22" s="17">
        <v>330810.2</v>
      </c>
      <c r="I22" s="17">
        <v>788079.7</v>
      </c>
      <c r="J22" s="20">
        <v>1539038</v>
      </c>
      <c r="L22" s="32">
        <f t="shared" si="1"/>
        <v>538.79999999998836</v>
      </c>
      <c r="M22" s="32">
        <f t="shared" si="1"/>
        <v>437.10000000000582</v>
      </c>
      <c r="N22" s="32">
        <f t="shared" si="1"/>
        <v>370.80000000000291</v>
      </c>
      <c r="O22" s="32">
        <f t="shared" si="1"/>
        <v>376.79999999998836</v>
      </c>
      <c r="P22" s="32">
        <f t="shared" si="1"/>
        <v>202.5</v>
      </c>
      <c r="Q22" s="32">
        <f t="shared" si="1"/>
        <v>1054.7000000000698</v>
      </c>
      <c r="R22" s="32">
        <f t="shared" si="1"/>
        <v>483.59999999997672</v>
      </c>
      <c r="S22" s="32">
        <f t="shared" si="1"/>
        <v>816.60000000009313</v>
      </c>
      <c r="T22" s="32">
        <f t="shared" si="1"/>
        <v>1450</v>
      </c>
      <c r="U22" s="33">
        <f t="shared" si="2"/>
        <v>1593.5000000000582</v>
      </c>
      <c r="V22" s="33">
        <f t="shared" si="2"/>
        <v>920.69999999998254</v>
      </c>
      <c r="W22" s="33">
        <f t="shared" si="2"/>
        <v>1187.400000000096</v>
      </c>
      <c r="X22" s="33">
        <f t="shared" si="3"/>
        <v>2029.2999999999884</v>
      </c>
    </row>
    <row r="23" spans="1:24" ht="20" customHeight="1">
      <c r="A23" s="71">
        <v>46279</v>
      </c>
      <c r="B23" s="16">
        <v>425946.7</v>
      </c>
      <c r="C23" s="17">
        <v>235900.4</v>
      </c>
      <c r="D23" s="17">
        <v>69725.2</v>
      </c>
      <c r="E23" s="17">
        <v>392973.3</v>
      </c>
      <c r="F23" s="17">
        <v>262501.40000000002</v>
      </c>
      <c r="G23" s="17">
        <v>549088.30000000005</v>
      </c>
      <c r="H23" s="17">
        <v>331293.8</v>
      </c>
      <c r="I23" s="17">
        <v>788896.3</v>
      </c>
      <c r="J23" s="20">
        <v>1540488</v>
      </c>
      <c r="L23" s="32">
        <f t="shared" si="1"/>
        <v>347.20000000001164</v>
      </c>
      <c r="M23" s="32">
        <f t="shared" si="1"/>
        <v>441.80000000001746</v>
      </c>
      <c r="N23" s="32">
        <f t="shared" si="1"/>
        <v>283.69999999999709</v>
      </c>
      <c r="O23" s="32">
        <f t="shared" si="1"/>
        <v>377.90000000002328</v>
      </c>
      <c r="P23" s="32">
        <f t="shared" si="1"/>
        <v>222</v>
      </c>
      <c r="Q23" s="32">
        <f t="shared" si="1"/>
        <v>705.29999999993015</v>
      </c>
      <c r="R23" s="32">
        <f t="shared" si="1"/>
        <v>597.5</v>
      </c>
      <c r="S23" s="32">
        <f t="shared" si="1"/>
        <v>1066.2999999999302</v>
      </c>
      <c r="T23" s="32">
        <f t="shared" si="1"/>
        <v>1363</v>
      </c>
      <c r="U23" s="33">
        <f t="shared" si="2"/>
        <v>1052.4999999999418</v>
      </c>
      <c r="V23" s="33">
        <f t="shared" si="2"/>
        <v>1039.3000000000175</v>
      </c>
      <c r="W23" s="33">
        <f t="shared" si="2"/>
        <v>1349.9999999999272</v>
      </c>
      <c r="X23" s="33">
        <f t="shared" si="3"/>
        <v>1962.9000000000233</v>
      </c>
    </row>
    <row r="24" spans="1:24" ht="20" customHeight="1">
      <c r="A24" s="71">
        <v>46280</v>
      </c>
      <c r="B24" s="16">
        <v>426293.9</v>
      </c>
      <c r="C24" s="17">
        <v>236342.2</v>
      </c>
      <c r="D24" s="17">
        <v>70008.899999999994</v>
      </c>
      <c r="E24" s="17">
        <v>393351.2</v>
      </c>
      <c r="F24" s="17">
        <v>262723.40000000002</v>
      </c>
      <c r="G24" s="17">
        <v>549793.6</v>
      </c>
      <c r="H24" s="17">
        <v>331891.3</v>
      </c>
      <c r="I24" s="17">
        <v>789962.6</v>
      </c>
      <c r="J24" s="20">
        <v>1541851</v>
      </c>
      <c r="L24" s="32">
        <f t="shared" si="1"/>
        <v>246.59999999997672</v>
      </c>
      <c r="M24" s="32">
        <f t="shared" si="1"/>
        <v>530.89999999999418</v>
      </c>
      <c r="N24" s="32">
        <f t="shared" si="1"/>
        <v>373</v>
      </c>
      <c r="O24" s="32">
        <f t="shared" si="1"/>
        <v>371.5</v>
      </c>
      <c r="P24" s="32">
        <f t="shared" si="1"/>
        <v>247.19999999995343</v>
      </c>
      <c r="Q24" s="32">
        <f t="shared" si="1"/>
        <v>464</v>
      </c>
      <c r="R24" s="32">
        <f t="shared" si="1"/>
        <v>616.10000000003492</v>
      </c>
      <c r="S24" s="32">
        <f t="shared" si="1"/>
        <v>1247.8000000000466</v>
      </c>
      <c r="T24" s="32">
        <f t="shared" si="1"/>
        <v>1419</v>
      </c>
      <c r="U24" s="33">
        <f t="shared" si="2"/>
        <v>710.59999999997672</v>
      </c>
      <c r="V24" s="33">
        <f t="shared" si="2"/>
        <v>1147.0000000000291</v>
      </c>
      <c r="W24" s="33">
        <f t="shared" si="2"/>
        <v>1620.8000000000466</v>
      </c>
      <c r="X24" s="33">
        <f t="shared" si="3"/>
        <v>2037.6999999999534</v>
      </c>
    </row>
    <row r="25" spans="1:24" ht="20" customHeight="1">
      <c r="A25" s="71">
        <v>46281</v>
      </c>
      <c r="B25" s="16">
        <v>426540.5</v>
      </c>
      <c r="C25" s="17">
        <v>236873.1</v>
      </c>
      <c r="D25" s="17">
        <v>70381.899999999994</v>
      </c>
      <c r="E25" s="17">
        <v>393722.7</v>
      </c>
      <c r="F25" s="17">
        <v>262970.59999999998</v>
      </c>
      <c r="G25" s="17">
        <v>550257.6</v>
      </c>
      <c r="H25" s="17">
        <v>332507.40000000002</v>
      </c>
      <c r="I25" s="17">
        <v>791210.4</v>
      </c>
      <c r="J25" s="20">
        <v>1543270</v>
      </c>
      <c r="L25" s="32">
        <f t="shared" si="1"/>
        <v>476.90000000002328</v>
      </c>
      <c r="M25" s="32">
        <f t="shared" si="1"/>
        <v>466.10000000000582</v>
      </c>
      <c r="N25" s="32">
        <f t="shared" si="1"/>
        <v>378.30000000000291</v>
      </c>
      <c r="O25" s="32">
        <f t="shared" si="1"/>
        <v>375.39999999996508</v>
      </c>
      <c r="P25" s="32">
        <f t="shared" si="1"/>
        <v>256.5</v>
      </c>
      <c r="Q25" s="32">
        <f t="shared" si="1"/>
        <v>1036</v>
      </c>
      <c r="R25" s="32">
        <f t="shared" si="1"/>
        <v>730.5</v>
      </c>
      <c r="S25" s="32">
        <f t="shared" si="1"/>
        <v>1262.4000000000233</v>
      </c>
      <c r="T25" s="32">
        <f t="shared" si="1"/>
        <v>1700</v>
      </c>
      <c r="U25" s="33">
        <f t="shared" si="2"/>
        <v>1512.9000000000233</v>
      </c>
      <c r="V25" s="33">
        <f t="shared" si="2"/>
        <v>1196.6000000000058</v>
      </c>
      <c r="W25" s="33">
        <f t="shared" si="2"/>
        <v>1640.7000000000262</v>
      </c>
      <c r="X25" s="33">
        <f t="shared" si="3"/>
        <v>2331.8999999999651</v>
      </c>
    </row>
    <row r="26" spans="1:24" ht="20" customHeight="1">
      <c r="A26" s="71">
        <v>46282</v>
      </c>
      <c r="B26" s="16">
        <v>427017.4</v>
      </c>
      <c r="C26" s="17">
        <v>237339.2</v>
      </c>
      <c r="D26" s="17">
        <v>70760.2</v>
      </c>
      <c r="E26" s="17">
        <v>394098.1</v>
      </c>
      <c r="F26" s="17">
        <v>263227.09999999998</v>
      </c>
      <c r="G26" s="17">
        <v>551293.6</v>
      </c>
      <c r="H26" s="17">
        <v>333237.90000000002</v>
      </c>
      <c r="I26" s="17">
        <v>792472.8</v>
      </c>
      <c r="J26" s="20">
        <v>1544970</v>
      </c>
      <c r="L26" s="32">
        <f t="shared" si="1"/>
        <v>488.79999999998836</v>
      </c>
      <c r="M26" s="32">
        <f t="shared" si="1"/>
        <v>468.39999999999418</v>
      </c>
      <c r="N26" s="32">
        <f t="shared" si="1"/>
        <v>381.80000000000291</v>
      </c>
      <c r="O26" s="32">
        <f t="shared" si="1"/>
        <v>369.40000000002328</v>
      </c>
      <c r="P26" s="32">
        <f t="shared" si="1"/>
        <v>257.40000000002328</v>
      </c>
      <c r="Q26" s="32">
        <f t="shared" si="1"/>
        <v>938</v>
      </c>
      <c r="R26" s="32">
        <f t="shared" si="1"/>
        <v>764.59999999997672</v>
      </c>
      <c r="S26" s="32">
        <f t="shared" si="1"/>
        <v>1298.8999999999069</v>
      </c>
      <c r="T26" s="32">
        <f t="shared" si="1"/>
        <v>1625</v>
      </c>
      <c r="U26" s="33">
        <f t="shared" si="2"/>
        <v>1426.7999999999884</v>
      </c>
      <c r="V26" s="33">
        <f t="shared" si="2"/>
        <v>1232.9999999999709</v>
      </c>
      <c r="W26" s="33">
        <f t="shared" si="2"/>
        <v>1680.6999999999098</v>
      </c>
      <c r="X26" s="33">
        <f t="shared" si="3"/>
        <v>2251.8000000000466</v>
      </c>
    </row>
    <row r="27" spans="1:24" ht="16.75" customHeight="1">
      <c r="A27" s="71">
        <v>46283</v>
      </c>
      <c r="B27" s="16">
        <v>427506.2</v>
      </c>
      <c r="C27" s="17">
        <v>237807.6</v>
      </c>
      <c r="D27" s="17">
        <v>71142</v>
      </c>
      <c r="E27" s="17">
        <v>394467.5</v>
      </c>
      <c r="F27" s="17">
        <v>263484.5</v>
      </c>
      <c r="G27" s="17">
        <v>552231.6</v>
      </c>
      <c r="H27" s="17">
        <v>334002.5</v>
      </c>
      <c r="I27" s="17">
        <v>793771.7</v>
      </c>
      <c r="J27" s="20">
        <v>1546595</v>
      </c>
      <c r="L27" s="32">
        <f t="shared" si="1"/>
        <v>487</v>
      </c>
      <c r="M27" s="32">
        <f t="shared" si="1"/>
        <v>385.19999999998254</v>
      </c>
      <c r="N27" s="32">
        <f t="shared" si="1"/>
        <v>372.60000000000582</v>
      </c>
      <c r="O27" s="32">
        <f t="shared" si="1"/>
        <v>360.59999999997672</v>
      </c>
      <c r="P27" s="32">
        <f t="shared" si="1"/>
        <v>247.29999999998836</v>
      </c>
      <c r="Q27" s="32">
        <f t="shared" si="1"/>
        <v>930.5</v>
      </c>
      <c r="R27" s="32">
        <f t="shared" si="1"/>
        <v>533.59999999997672</v>
      </c>
      <c r="S27" s="32">
        <f t="shared" si="1"/>
        <v>1141.2000000000698</v>
      </c>
      <c r="T27" s="32">
        <f t="shared" si="1"/>
        <v>1650</v>
      </c>
      <c r="U27" s="33">
        <f t="shared" si="2"/>
        <v>1417.5</v>
      </c>
      <c r="V27" s="33">
        <f t="shared" si="2"/>
        <v>918.79999999995925</v>
      </c>
      <c r="W27" s="33">
        <f t="shared" si="2"/>
        <v>1513.8000000000757</v>
      </c>
      <c r="X27" s="33">
        <f t="shared" si="3"/>
        <v>2257.8999999999651</v>
      </c>
    </row>
    <row r="28" spans="1:24" ht="20" customHeight="1">
      <c r="A28" s="71">
        <v>46284</v>
      </c>
      <c r="B28" s="16">
        <v>427993.2</v>
      </c>
      <c r="C28" s="17">
        <v>238192.8</v>
      </c>
      <c r="D28" s="17">
        <v>71514.600000000006</v>
      </c>
      <c r="E28" s="17">
        <v>394828.1</v>
      </c>
      <c r="F28" s="17">
        <v>263731.8</v>
      </c>
      <c r="G28" s="17">
        <v>553162.1</v>
      </c>
      <c r="H28" s="17">
        <v>334536.09999999998</v>
      </c>
      <c r="I28" s="17">
        <v>794912.9</v>
      </c>
      <c r="J28" s="20">
        <v>1548245</v>
      </c>
      <c r="L28" s="32">
        <f t="shared" si="1"/>
        <v>477.79999999998836</v>
      </c>
      <c r="M28" s="32">
        <f t="shared" si="1"/>
        <v>468.10000000000582</v>
      </c>
      <c r="N28" s="32">
        <f t="shared" si="1"/>
        <v>347.19999999999709</v>
      </c>
      <c r="O28" s="32">
        <f t="shared" si="1"/>
        <v>367</v>
      </c>
      <c r="P28" s="32">
        <f t="shared" si="1"/>
        <v>226.5</v>
      </c>
      <c r="Q28" s="32">
        <f t="shared" si="1"/>
        <v>920.5</v>
      </c>
      <c r="R28" s="32">
        <f t="shared" si="1"/>
        <v>721.90000000002328</v>
      </c>
      <c r="S28" s="32">
        <f t="shared" si="1"/>
        <v>1206.9000000000233</v>
      </c>
      <c r="T28" s="32">
        <f t="shared" si="1"/>
        <v>1551</v>
      </c>
      <c r="U28" s="33">
        <f t="shared" si="2"/>
        <v>1398.2999999999884</v>
      </c>
      <c r="V28" s="33">
        <f t="shared" si="2"/>
        <v>1190.0000000000291</v>
      </c>
      <c r="W28" s="33">
        <f t="shared" si="2"/>
        <v>1554.1000000000204</v>
      </c>
      <c r="X28" s="33">
        <f t="shared" si="3"/>
        <v>2144.5</v>
      </c>
    </row>
    <row r="29" spans="1:24" ht="20" customHeight="1">
      <c r="A29" s="71">
        <v>46285</v>
      </c>
      <c r="B29" s="16">
        <v>428471</v>
      </c>
      <c r="C29" s="17">
        <v>238660.9</v>
      </c>
      <c r="D29" s="17">
        <v>71861.8</v>
      </c>
      <c r="E29" s="17">
        <v>395195.1</v>
      </c>
      <c r="F29" s="17">
        <v>263958.3</v>
      </c>
      <c r="G29" s="17">
        <v>554082.6</v>
      </c>
      <c r="H29" s="17">
        <v>335258</v>
      </c>
      <c r="I29" s="17">
        <v>796119.8</v>
      </c>
      <c r="J29" s="20">
        <v>1549796</v>
      </c>
      <c r="L29" s="32">
        <f t="shared" si="1"/>
        <v>493.09999999997672</v>
      </c>
      <c r="M29" s="32">
        <f t="shared" si="1"/>
        <v>370.10000000000582</v>
      </c>
      <c r="N29" s="32">
        <f t="shared" si="1"/>
        <v>287.5</v>
      </c>
      <c r="O29" s="32">
        <f t="shared" si="1"/>
        <v>365.5</v>
      </c>
      <c r="P29" s="32">
        <f t="shared" si="1"/>
        <v>237.20000000001164</v>
      </c>
      <c r="Q29" s="32">
        <f t="shared" si="1"/>
        <v>1032.3000000000466</v>
      </c>
      <c r="R29" s="32">
        <f t="shared" si="1"/>
        <v>404.59999999997672</v>
      </c>
      <c r="S29" s="32">
        <f t="shared" si="1"/>
        <v>757.59999999997672</v>
      </c>
      <c r="T29" s="32">
        <f t="shared" si="1"/>
        <v>1155</v>
      </c>
      <c r="U29" s="33">
        <f t="shared" si="2"/>
        <v>1525.4000000000233</v>
      </c>
      <c r="V29" s="33">
        <f t="shared" si="2"/>
        <v>774.69999999998254</v>
      </c>
      <c r="W29" s="33">
        <f t="shared" si="2"/>
        <v>1045.0999999999767</v>
      </c>
      <c r="X29" s="33">
        <f t="shared" si="3"/>
        <v>1757.7000000000116</v>
      </c>
    </row>
    <row r="30" spans="1:24" ht="20" customHeight="1">
      <c r="A30" s="71">
        <v>46286</v>
      </c>
      <c r="B30" s="16">
        <v>428964.1</v>
      </c>
      <c r="C30" s="17">
        <v>239031</v>
      </c>
      <c r="D30" s="17">
        <v>72149.3</v>
      </c>
      <c r="E30" s="17">
        <v>395560.6</v>
      </c>
      <c r="F30" s="17">
        <v>264195.5</v>
      </c>
      <c r="G30" s="17">
        <v>555114.9</v>
      </c>
      <c r="H30" s="17">
        <v>335662.6</v>
      </c>
      <c r="I30" s="17">
        <v>796877.4</v>
      </c>
      <c r="J30" s="20">
        <v>1550951</v>
      </c>
      <c r="L30" s="32">
        <f t="shared" si="1"/>
        <v>492.40000000002328</v>
      </c>
      <c r="M30" s="32">
        <f t="shared" si="1"/>
        <v>168</v>
      </c>
      <c r="N30" s="32">
        <f t="shared" si="1"/>
        <v>281.19999999999709</v>
      </c>
      <c r="O30" s="32">
        <f t="shared" si="1"/>
        <v>352.40000000002328</v>
      </c>
      <c r="P30" s="32">
        <f t="shared" si="1"/>
        <v>206</v>
      </c>
      <c r="Q30" s="32">
        <f t="shared" si="1"/>
        <v>944.90000000002328</v>
      </c>
      <c r="R30" s="32">
        <f t="shared" si="1"/>
        <v>257.10000000003492</v>
      </c>
      <c r="S30" s="32">
        <f t="shared" si="1"/>
        <v>956.79999999993015</v>
      </c>
      <c r="T30" s="32">
        <f t="shared" si="1"/>
        <v>761</v>
      </c>
      <c r="U30" s="33">
        <f t="shared" si="2"/>
        <v>1437.3000000000466</v>
      </c>
      <c r="V30" s="33">
        <f t="shared" si="2"/>
        <v>425.10000000003492</v>
      </c>
      <c r="W30" s="33">
        <f t="shared" si="2"/>
        <v>1237.9999999999272</v>
      </c>
      <c r="X30" s="33">
        <f t="shared" si="3"/>
        <v>1319.4000000000233</v>
      </c>
    </row>
    <row r="31" spans="1:24" ht="20" customHeight="1">
      <c r="A31" s="71">
        <v>46287</v>
      </c>
      <c r="B31" s="16">
        <v>429456.5</v>
      </c>
      <c r="C31" s="17">
        <v>239199</v>
      </c>
      <c r="D31" s="17">
        <v>72430.5</v>
      </c>
      <c r="E31" s="17">
        <v>395913</v>
      </c>
      <c r="F31" s="17">
        <v>264401.5</v>
      </c>
      <c r="G31" s="17">
        <v>556059.80000000005</v>
      </c>
      <c r="H31" s="17">
        <v>335919.7</v>
      </c>
      <c r="I31" s="17">
        <v>797834.2</v>
      </c>
      <c r="J31" s="20">
        <v>1551712</v>
      </c>
      <c r="L31" s="32">
        <f t="shared" si="1"/>
        <v>496</v>
      </c>
      <c r="M31" s="32">
        <f t="shared" si="1"/>
        <v>28.600000000005821</v>
      </c>
      <c r="N31" s="32">
        <f t="shared" si="1"/>
        <v>118.19999999999709</v>
      </c>
      <c r="O31" s="32">
        <f t="shared" si="1"/>
        <v>251.59999999997672</v>
      </c>
      <c r="P31" s="32">
        <f t="shared" si="1"/>
        <v>213.40000000002328</v>
      </c>
      <c r="Q31" s="32">
        <f t="shared" si="1"/>
        <v>1023.8999999999069</v>
      </c>
      <c r="R31" s="32">
        <f t="shared" si="1"/>
        <v>5.2000000000116415</v>
      </c>
      <c r="S31" s="32">
        <f t="shared" si="1"/>
        <v>220.20000000006985</v>
      </c>
      <c r="T31" s="32">
        <f t="shared" si="1"/>
        <v>1217</v>
      </c>
      <c r="U31" s="33">
        <f t="shared" si="2"/>
        <v>1519.8999999999069</v>
      </c>
      <c r="V31" s="33">
        <f t="shared" si="2"/>
        <v>33.800000000017462</v>
      </c>
      <c r="W31" s="33">
        <f t="shared" si="2"/>
        <v>338.40000000006694</v>
      </c>
      <c r="X31" s="33">
        <f t="shared" si="3"/>
        <v>1682</v>
      </c>
    </row>
    <row r="32" spans="1:24" ht="20" customHeight="1">
      <c r="A32" s="71">
        <v>46288</v>
      </c>
      <c r="B32" s="16">
        <v>429952.5</v>
      </c>
      <c r="C32" s="17">
        <v>239227.6</v>
      </c>
      <c r="D32" s="17">
        <v>72548.7</v>
      </c>
      <c r="E32" s="17">
        <v>396164.6</v>
      </c>
      <c r="F32" s="17">
        <v>264614.90000000002</v>
      </c>
      <c r="G32" s="17">
        <v>557083.69999999995</v>
      </c>
      <c r="H32" s="17">
        <v>335924.9</v>
      </c>
      <c r="I32" s="17">
        <v>798054.40000000002</v>
      </c>
      <c r="J32" s="20">
        <v>1552929</v>
      </c>
      <c r="L32" s="32">
        <f t="shared" si="1"/>
        <v>498.59999999997672</v>
      </c>
      <c r="M32" s="32">
        <f t="shared" si="1"/>
        <v>0</v>
      </c>
      <c r="N32" s="32">
        <f t="shared" si="1"/>
        <v>1.6999999999970896</v>
      </c>
      <c r="O32" s="32">
        <f t="shared" si="1"/>
        <v>281.90000000002328</v>
      </c>
      <c r="P32" s="32">
        <f t="shared" si="1"/>
        <v>217.29999999998836</v>
      </c>
      <c r="Q32" s="32">
        <f t="shared" si="1"/>
        <v>1049.3000000000466</v>
      </c>
      <c r="R32" s="32">
        <f t="shared" si="1"/>
        <v>5.3999999999650754</v>
      </c>
      <c r="S32" s="32">
        <f t="shared" si="1"/>
        <v>4.6999999999534339</v>
      </c>
      <c r="T32" s="32">
        <f t="shared" si="1"/>
        <v>1035</v>
      </c>
      <c r="U32" s="33">
        <f t="shared" si="2"/>
        <v>1547.9000000000233</v>
      </c>
      <c r="V32" s="33">
        <f t="shared" si="2"/>
        <v>5.3999999999650754</v>
      </c>
      <c r="W32" s="33">
        <f t="shared" si="2"/>
        <v>6.3999999999505235</v>
      </c>
      <c r="X32" s="33">
        <f t="shared" si="3"/>
        <v>1534.2000000000116</v>
      </c>
    </row>
    <row r="33" spans="1:24" ht="20" customHeight="1">
      <c r="A33" s="72">
        <v>46289</v>
      </c>
      <c r="B33" s="16">
        <v>430451.1</v>
      </c>
      <c r="C33" s="17">
        <v>239227.6</v>
      </c>
      <c r="D33" s="15">
        <v>72550.399999999994</v>
      </c>
      <c r="E33" s="17">
        <v>396446.5</v>
      </c>
      <c r="F33" s="17">
        <v>264832.2</v>
      </c>
      <c r="G33" s="17">
        <v>558133</v>
      </c>
      <c r="H33" s="17">
        <v>335930.3</v>
      </c>
      <c r="I33" s="15">
        <v>798059.1</v>
      </c>
      <c r="J33" s="20">
        <v>1553964</v>
      </c>
      <c r="L33" s="32">
        <f t="shared" si="1"/>
        <v>-430451.1</v>
      </c>
      <c r="M33" s="32">
        <f t="shared" si="1"/>
        <v>-239227.6</v>
      </c>
      <c r="N33" s="32">
        <f t="shared" si="1"/>
        <v>-72550.399999999994</v>
      </c>
      <c r="O33" s="32">
        <f t="shared" si="1"/>
        <v>-396446.5</v>
      </c>
      <c r="P33" s="32">
        <f t="shared" si="1"/>
        <v>-264832.2</v>
      </c>
      <c r="Q33" s="32">
        <f t="shared" si="1"/>
        <v>-558133</v>
      </c>
      <c r="R33" s="32">
        <f t="shared" si="1"/>
        <v>-335930.3</v>
      </c>
      <c r="S33" s="32">
        <f t="shared" si="1"/>
        <v>-798059.1</v>
      </c>
      <c r="T33" s="32">
        <f t="shared" si="1"/>
        <v>-1553964</v>
      </c>
      <c r="U33" s="33">
        <f t="shared" si="2"/>
        <v>-988584.1</v>
      </c>
      <c r="V33" s="33">
        <f t="shared" si="2"/>
        <v>-575157.9</v>
      </c>
      <c r="W33" s="33">
        <f t="shared" si="2"/>
        <v>-870609.5</v>
      </c>
      <c r="X33" s="33">
        <f t="shared" si="3"/>
        <v>-2215242.7000000002</v>
      </c>
    </row>
    <row r="34" spans="1:24" ht="20" customHeight="1">
      <c r="A34" s="15"/>
      <c r="B34" s="16"/>
      <c r="C34" s="17"/>
      <c r="D34" s="15"/>
      <c r="E34" s="17"/>
      <c r="F34" s="17"/>
      <c r="G34" s="17"/>
      <c r="H34" s="17"/>
      <c r="I34" s="15"/>
      <c r="J34" s="20"/>
      <c r="L34" s="32">
        <f t="shared" si="1"/>
        <v>0</v>
      </c>
      <c r="M34" s="32">
        <f t="shared" si="1"/>
        <v>0</v>
      </c>
      <c r="N34" s="32">
        <f t="shared" si="1"/>
        <v>0</v>
      </c>
      <c r="O34" s="32">
        <f t="shared" si="1"/>
        <v>0</v>
      </c>
      <c r="P34" s="32">
        <f t="shared" si="1"/>
        <v>0</v>
      </c>
      <c r="Q34" s="32">
        <f t="shared" si="1"/>
        <v>0</v>
      </c>
      <c r="R34" s="32">
        <f t="shared" si="1"/>
        <v>0</v>
      </c>
      <c r="S34" s="32">
        <f t="shared" si="1"/>
        <v>0</v>
      </c>
      <c r="T34" s="32">
        <f t="shared" si="1"/>
        <v>0</v>
      </c>
      <c r="U34" s="33">
        <f t="shared" si="2"/>
        <v>0</v>
      </c>
      <c r="V34" s="33">
        <f t="shared" si="2"/>
        <v>0</v>
      </c>
      <c r="W34" s="33">
        <f t="shared" si="2"/>
        <v>0</v>
      </c>
      <c r="X34" s="33">
        <f t="shared" si="3"/>
        <v>0</v>
      </c>
    </row>
    <row r="35" spans="1:24" ht="20" customHeight="1">
      <c r="A35" s="15"/>
      <c r="B35" s="16"/>
      <c r="C35" s="17"/>
      <c r="D35" s="15"/>
      <c r="E35" s="17"/>
      <c r="F35" s="17"/>
      <c r="G35" s="17"/>
      <c r="H35" s="17"/>
      <c r="I35" s="15"/>
      <c r="J35" s="20"/>
      <c r="L35" s="32">
        <f t="shared" si="1"/>
        <v>0</v>
      </c>
      <c r="M35" s="32">
        <f t="shared" si="1"/>
        <v>0</v>
      </c>
      <c r="N35" s="32">
        <f t="shared" si="1"/>
        <v>0</v>
      </c>
      <c r="O35" s="32">
        <f t="shared" si="1"/>
        <v>0</v>
      </c>
      <c r="P35" s="32">
        <f t="shared" si="1"/>
        <v>0</v>
      </c>
      <c r="Q35" s="32">
        <f t="shared" si="1"/>
        <v>0</v>
      </c>
      <c r="R35" s="32">
        <f t="shared" si="1"/>
        <v>0</v>
      </c>
      <c r="S35" s="32">
        <f t="shared" si="1"/>
        <v>0</v>
      </c>
      <c r="T35" s="32">
        <f t="shared" si="1"/>
        <v>0</v>
      </c>
      <c r="U35" s="33">
        <f t="shared" si="2"/>
        <v>0</v>
      </c>
      <c r="V35" s="33">
        <f t="shared" si="2"/>
        <v>0</v>
      </c>
      <c r="W35" s="33">
        <f t="shared" si="2"/>
        <v>0</v>
      </c>
      <c r="X35" s="33">
        <f t="shared" si="3"/>
        <v>0</v>
      </c>
    </row>
    <row r="36" spans="1:24" ht="20" customHeight="1">
      <c r="A36" s="15"/>
      <c r="B36" s="16"/>
      <c r="C36" s="17"/>
      <c r="D36" s="15"/>
      <c r="E36" s="17"/>
      <c r="F36" s="17"/>
      <c r="G36" s="17"/>
      <c r="H36" s="17"/>
      <c r="I36" s="15"/>
      <c r="J36" s="20"/>
      <c r="L36" s="32">
        <f t="shared" si="1"/>
        <v>0</v>
      </c>
      <c r="M36" s="32">
        <f t="shared" si="1"/>
        <v>0</v>
      </c>
      <c r="N36" s="32">
        <f t="shared" si="1"/>
        <v>0</v>
      </c>
      <c r="O36" s="32">
        <f t="shared" si="1"/>
        <v>0</v>
      </c>
      <c r="P36" s="32">
        <f t="shared" si="1"/>
        <v>0</v>
      </c>
      <c r="Q36" s="32">
        <f t="shared" si="1"/>
        <v>0</v>
      </c>
      <c r="R36" s="32">
        <f t="shared" si="1"/>
        <v>0</v>
      </c>
      <c r="S36" s="32">
        <f t="shared" si="1"/>
        <v>0</v>
      </c>
      <c r="T36" s="32">
        <f t="shared" si="1"/>
        <v>0</v>
      </c>
      <c r="U36" s="33">
        <f t="shared" si="2"/>
        <v>0</v>
      </c>
      <c r="V36" s="33">
        <f t="shared" si="2"/>
        <v>0</v>
      </c>
      <c r="W36" s="33">
        <f t="shared" si="2"/>
        <v>0</v>
      </c>
      <c r="X36" s="33">
        <f t="shared" si="3"/>
        <v>0</v>
      </c>
    </row>
    <row r="37" spans="1:24" ht="20" customHeight="1">
      <c r="A37" s="15"/>
      <c r="B37" s="16"/>
      <c r="C37" s="17"/>
      <c r="D37" s="15"/>
      <c r="E37" s="17"/>
      <c r="F37" s="17"/>
      <c r="G37" s="17"/>
      <c r="H37" s="17"/>
      <c r="I37" s="15"/>
      <c r="J37" s="20"/>
      <c r="L37" s="32">
        <f t="shared" si="1"/>
        <v>0</v>
      </c>
      <c r="M37" s="32">
        <f t="shared" si="1"/>
        <v>0</v>
      </c>
      <c r="N37" s="32">
        <f t="shared" si="1"/>
        <v>0</v>
      </c>
      <c r="O37" s="32">
        <f t="shared" ref="O37:T79" si="4">IFERROR(E38-E37,0)</f>
        <v>0</v>
      </c>
      <c r="P37" s="32">
        <f t="shared" si="4"/>
        <v>0</v>
      </c>
      <c r="Q37" s="32">
        <f t="shared" si="4"/>
        <v>0</v>
      </c>
      <c r="R37" s="32">
        <f t="shared" si="4"/>
        <v>0</v>
      </c>
      <c r="S37" s="32">
        <f t="shared" si="4"/>
        <v>0</v>
      </c>
      <c r="T37" s="32">
        <f t="shared" si="4"/>
        <v>0</v>
      </c>
      <c r="U37" s="33">
        <f t="shared" si="2"/>
        <v>0</v>
      </c>
      <c r="V37" s="33">
        <f t="shared" si="2"/>
        <v>0</v>
      </c>
      <c r="W37" s="33">
        <f t="shared" si="2"/>
        <v>0</v>
      </c>
      <c r="X37" s="33">
        <f t="shared" si="3"/>
        <v>0</v>
      </c>
    </row>
    <row r="38" spans="1:24" ht="20" customHeight="1">
      <c r="A38" s="15"/>
      <c r="B38" s="16"/>
      <c r="C38" s="17"/>
      <c r="D38" s="15"/>
      <c r="E38" s="17"/>
      <c r="F38" s="17"/>
      <c r="G38" s="17"/>
      <c r="H38" s="17"/>
      <c r="I38" s="15"/>
      <c r="J38" s="20"/>
      <c r="L38" s="32">
        <f t="shared" ref="L38:Q101" si="5">IFERROR(B39-B38,0)</f>
        <v>0</v>
      </c>
      <c r="M38" s="32">
        <f t="shared" si="5"/>
        <v>0</v>
      </c>
      <c r="N38" s="32">
        <f t="shared" si="5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4"/>
        <v>0</v>
      </c>
      <c r="S38" s="32">
        <f t="shared" si="4"/>
        <v>0</v>
      </c>
      <c r="T38" s="32">
        <f t="shared" si="4"/>
        <v>0</v>
      </c>
      <c r="U38" s="33">
        <f t="shared" si="2"/>
        <v>0</v>
      </c>
      <c r="V38" s="33">
        <f t="shared" si="2"/>
        <v>0</v>
      </c>
      <c r="W38" s="33">
        <f t="shared" si="2"/>
        <v>0</v>
      </c>
      <c r="X38" s="33">
        <f t="shared" ref="X38:X69" si="6">O38+P38+T38</f>
        <v>0</v>
      </c>
    </row>
    <row r="39" spans="1:24" ht="20" customHeight="1">
      <c r="A39" s="15"/>
      <c r="B39" s="16"/>
      <c r="C39" s="17"/>
      <c r="D39" s="17"/>
      <c r="E39" s="17"/>
      <c r="F39" s="17"/>
      <c r="G39" s="17"/>
      <c r="H39" s="17"/>
      <c r="I39" s="17"/>
      <c r="J39" s="20"/>
      <c r="L39" s="32">
        <f t="shared" si="5"/>
        <v>0</v>
      </c>
      <c r="M39" s="32">
        <f t="shared" si="5"/>
        <v>0</v>
      </c>
      <c r="N39" s="32">
        <f t="shared" si="5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4"/>
        <v>0</v>
      </c>
      <c r="S39" s="32">
        <f t="shared" si="4"/>
        <v>0</v>
      </c>
      <c r="T39" s="32">
        <f t="shared" si="4"/>
        <v>0</v>
      </c>
      <c r="U39" s="33">
        <f t="shared" si="2"/>
        <v>0</v>
      </c>
      <c r="V39" s="33">
        <f t="shared" si="2"/>
        <v>0</v>
      </c>
      <c r="W39" s="33">
        <f t="shared" si="2"/>
        <v>0</v>
      </c>
      <c r="X39" s="33">
        <f t="shared" si="6"/>
        <v>0</v>
      </c>
    </row>
    <row r="40" spans="1:24" ht="20" customHeight="1">
      <c r="A40" s="15"/>
      <c r="B40" s="16"/>
      <c r="C40" s="17"/>
      <c r="D40" s="15"/>
      <c r="E40" s="17"/>
      <c r="F40" s="17"/>
      <c r="G40" s="17"/>
      <c r="H40" s="17"/>
      <c r="I40" s="15"/>
      <c r="J40" s="20"/>
      <c r="L40" s="32">
        <f t="shared" si="5"/>
        <v>0</v>
      </c>
      <c r="M40" s="32">
        <f t="shared" si="5"/>
        <v>0</v>
      </c>
      <c r="N40" s="32">
        <f t="shared" si="5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4"/>
        <v>0</v>
      </c>
      <c r="S40" s="32">
        <f t="shared" si="4"/>
        <v>0</v>
      </c>
      <c r="T40" s="32">
        <f t="shared" si="4"/>
        <v>0</v>
      </c>
      <c r="U40" s="33">
        <f t="shared" si="2"/>
        <v>0</v>
      </c>
      <c r="V40" s="33">
        <f t="shared" si="2"/>
        <v>0</v>
      </c>
      <c r="W40" s="33">
        <f t="shared" si="2"/>
        <v>0</v>
      </c>
      <c r="X40" s="33">
        <f t="shared" si="6"/>
        <v>0</v>
      </c>
    </row>
    <row r="41" spans="1:24" ht="20" customHeight="1">
      <c r="A41" s="15"/>
      <c r="B41" s="16"/>
      <c r="C41" s="17"/>
      <c r="D41" s="15"/>
      <c r="E41" s="17"/>
      <c r="F41" s="17"/>
      <c r="G41" s="17"/>
      <c r="H41" s="17"/>
      <c r="I41" s="15"/>
      <c r="J41" s="20"/>
      <c r="L41" s="32">
        <f t="shared" si="5"/>
        <v>0</v>
      </c>
      <c r="M41" s="32">
        <f t="shared" si="5"/>
        <v>0</v>
      </c>
      <c r="N41" s="32">
        <f t="shared" si="5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4"/>
        <v>0</v>
      </c>
      <c r="S41" s="32">
        <f t="shared" si="4"/>
        <v>0</v>
      </c>
      <c r="T41" s="32">
        <f t="shared" si="4"/>
        <v>0</v>
      </c>
      <c r="U41" s="33">
        <f t="shared" si="2"/>
        <v>0</v>
      </c>
      <c r="V41" s="33">
        <f t="shared" si="2"/>
        <v>0</v>
      </c>
      <c r="W41" s="33">
        <f t="shared" si="2"/>
        <v>0</v>
      </c>
      <c r="X41" s="33">
        <f t="shared" si="6"/>
        <v>0</v>
      </c>
    </row>
    <row r="42" spans="1:24" ht="20" customHeight="1">
      <c r="A42" s="15"/>
      <c r="B42" s="16"/>
      <c r="C42" s="17"/>
      <c r="D42" s="17"/>
      <c r="E42" s="17"/>
      <c r="F42" s="17"/>
      <c r="G42" s="17"/>
      <c r="H42" s="17"/>
      <c r="I42" s="17"/>
      <c r="J42" s="20"/>
      <c r="L42" s="32">
        <f t="shared" si="5"/>
        <v>0</v>
      </c>
      <c r="M42" s="32">
        <f t="shared" si="5"/>
        <v>0</v>
      </c>
      <c r="N42" s="32">
        <f t="shared" si="5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4"/>
        <v>0</v>
      </c>
      <c r="S42" s="32">
        <f t="shared" si="4"/>
        <v>0</v>
      </c>
      <c r="T42" s="32">
        <f t="shared" si="4"/>
        <v>0</v>
      </c>
      <c r="U42" s="33">
        <f t="shared" si="2"/>
        <v>0</v>
      </c>
      <c r="V42" s="33">
        <f t="shared" si="2"/>
        <v>0</v>
      </c>
      <c r="W42" s="33">
        <f t="shared" si="2"/>
        <v>0</v>
      </c>
      <c r="X42" s="33">
        <f t="shared" si="6"/>
        <v>0</v>
      </c>
    </row>
    <row r="43" spans="1:24" ht="20" customHeight="1">
      <c r="A43" s="15"/>
      <c r="B43" s="16"/>
      <c r="C43" s="17"/>
      <c r="D43" s="17"/>
      <c r="E43" s="17"/>
      <c r="F43" s="17"/>
      <c r="G43" s="17"/>
      <c r="H43" s="17"/>
      <c r="I43" s="17"/>
      <c r="J43" s="20"/>
      <c r="L43" s="32">
        <f t="shared" si="5"/>
        <v>0</v>
      </c>
      <c r="M43" s="32">
        <f t="shared" si="5"/>
        <v>0</v>
      </c>
      <c r="N43" s="32">
        <f t="shared" si="5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4"/>
        <v>0</v>
      </c>
      <c r="S43" s="32">
        <f t="shared" si="4"/>
        <v>0</v>
      </c>
      <c r="T43" s="32">
        <f t="shared" si="4"/>
        <v>0</v>
      </c>
      <c r="U43" s="33">
        <f t="shared" si="2"/>
        <v>0</v>
      </c>
      <c r="V43" s="33">
        <f t="shared" si="2"/>
        <v>0</v>
      </c>
      <c r="W43" s="33">
        <f t="shared" si="2"/>
        <v>0</v>
      </c>
      <c r="X43" s="33">
        <f t="shared" si="6"/>
        <v>0</v>
      </c>
    </row>
    <row r="44" spans="1:24" ht="20" customHeight="1">
      <c r="A44" s="15"/>
      <c r="B44" s="16"/>
      <c r="C44" s="17"/>
      <c r="D44" s="17"/>
      <c r="E44" s="17"/>
      <c r="F44" s="17"/>
      <c r="G44" s="17"/>
      <c r="H44" s="17"/>
      <c r="I44" s="17"/>
      <c r="J44" s="20"/>
      <c r="L44" s="32">
        <f t="shared" si="5"/>
        <v>0</v>
      </c>
      <c r="M44" s="32">
        <f t="shared" si="5"/>
        <v>0</v>
      </c>
      <c r="N44" s="32">
        <f t="shared" si="5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4"/>
        <v>0</v>
      </c>
      <c r="S44" s="32">
        <f t="shared" si="4"/>
        <v>0</v>
      </c>
      <c r="T44" s="32">
        <f t="shared" si="4"/>
        <v>0</v>
      </c>
      <c r="U44" s="33">
        <f t="shared" si="2"/>
        <v>0</v>
      </c>
      <c r="V44" s="33">
        <f t="shared" si="2"/>
        <v>0</v>
      </c>
      <c r="W44" s="33">
        <f t="shared" si="2"/>
        <v>0</v>
      </c>
      <c r="X44" s="33">
        <f t="shared" si="6"/>
        <v>0</v>
      </c>
    </row>
    <row r="45" spans="1:24" ht="16.75" customHeight="1">
      <c r="A45" s="15"/>
      <c r="B45" s="16"/>
      <c r="C45" s="17"/>
      <c r="D45" s="17"/>
      <c r="E45" s="17"/>
      <c r="F45" s="17"/>
      <c r="G45" s="17"/>
      <c r="H45" s="17"/>
      <c r="I45" s="17"/>
      <c r="J45" s="20"/>
      <c r="L45" s="32">
        <f t="shared" si="5"/>
        <v>0</v>
      </c>
      <c r="M45" s="32">
        <f t="shared" si="5"/>
        <v>0</v>
      </c>
      <c r="N45" s="32">
        <f t="shared" si="5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4"/>
        <v>0</v>
      </c>
      <c r="S45" s="32">
        <f t="shared" si="4"/>
        <v>0</v>
      </c>
      <c r="T45" s="32">
        <f t="shared" si="4"/>
        <v>0</v>
      </c>
      <c r="U45" s="33">
        <f t="shared" si="2"/>
        <v>0</v>
      </c>
      <c r="V45" s="33">
        <f t="shared" si="2"/>
        <v>0</v>
      </c>
      <c r="W45" s="33">
        <f t="shared" si="2"/>
        <v>0</v>
      </c>
      <c r="X45" s="33">
        <f t="shared" si="6"/>
        <v>0</v>
      </c>
    </row>
    <row r="46" spans="1:24" ht="20" customHeight="1">
      <c r="A46" s="15"/>
      <c r="B46" s="16"/>
      <c r="C46" s="17"/>
      <c r="D46" s="17"/>
      <c r="E46" s="17"/>
      <c r="F46" s="17"/>
      <c r="G46" s="17"/>
      <c r="H46" s="17"/>
      <c r="I46" s="17"/>
      <c r="J46" s="20"/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4"/>
        <v>0</v>
      </c>
      <c r="S46" s="32">
        <f t="shared" si="4"/>
        <v>0</v>
      </c>
      <c r="T46" s="32">
        <f t="shared" si="4"/>
        <v>0</v>
      </c>
      <c r="U46" s="33">
        <f t="shared" si="2"/>
        <v>0</v>
      </c>
      <c r="V46" s="33">
        <f t="shared" si="2"/>
        <v>0</v>
      </c>
      <c r="W46" s="33">
        <f t="shared" si="2"/>
        <v>0</v>
      </c>
      <c r="X46" s="33">
        <f t="shared" si="6"/>
        <v>0</v>
      </c>
    </row>
    <row r="47" spans="1:24" ht="20" customHeight="1">
      <c r="A47" s="15"/>
      <c r="B47" s="16"/>
      <c r="C47" s="17"/>
      <c r="D47" s="17"/>
      <c r="E47" s="17"/>
      <c r="F47" s="17"/>
      <c r="G47" s="17"/>
      <c r="H47" s="17"/>
      <c r="I47" s="17"/>
      <c r="J47" s="20"/>
      <c r="L47" s="32">
        <f t="shared" si="5"/>
        <v>0</v>
      </c>
      <c r="M47" s="32">
        <f t="shared" si="5"/>
        <v>0</v>
      </c>
      <c r="N47" s="32">
        <f t="shared" si="5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4"/>
        <v>0</v>
      </c>
      <c r="S47" s="32">
        <f t="shared" si="4"/>
        <v>0</v>
      </c>
      <c r="T47" s="32">
        <f t="shared" si="4"/>
        <v>0</v>
      </c>
      <c r="U47" s="33">
        <f t="shared" si="2"/>
        <v>0</v>
      </c>
      <c r="V47" s="33">
        <f t="shared" si="2"/>
        <v>0</v>
      </c>
      <c r="W47" s="33">
        <f t="shared" si="2"/>
        <v>0</v>
      </c>
      <c r="X47" s="33">
        <f t="shared" si="6"/>
        <v>0</v>
      </c>
    </row>
    <row r="48" spans="1:24" ht="20" customHeight="1">
      <c r="A48" s="15"/>
      <c r="B48" s="16"/>
      <c r="C48" s="17"/>
      <c r="D48" s="17"/>
      <c r="E48" s="17"/>
      <c r="F48" s="17"/>
      <c r="G48" s="17"/>
      <c r="H48" s="17"/>
      <c r="I48" s="17"/>
      <c r="J48" s="20"/>
      <c r="L48" s="32">
        <f t="shared" si="5"/>
        <v>0</v>
      </c>
      <c r="M48" s="32">
        <f t="shared" si="5"/>
        <v>0</v>
      </c>
      <c r="N48" s="32">
        <f t="shared" si="5"/>
        <v>0</v>
      </c>
      <c r="O48" s="32">
        <f t="shared" si="4"/>
        <v>0</v>
      </c>
      <c r="P48" s="32">
        <f t="shared" si="4"/>
        <v>0</v>
      </c>
      <c r="Q48" s="32">
        <f t="shared" si="4"/>
        <v>0</v>
      </c>
      <c r="R48" s="32">
        <f t="shared" si="4"/>
        <v>0</v>
      </c>
      <c r="S48" s="32">
        <f t="shared" si="4"/>
        <v>0</v>
      </c>
      <c r="T48" s="32">
        <f t="shared" si="4"/>
        <v>0</v>
      </c>
      <c r="U48" s="33">
        <f t="shared" si="2"/>
        <v>0</v>
      </c>
      <c r="V48" s="33">
        <f t="shared" si="2"/>
        <v>0</v>
      </c>
      <c r="W48" s="33">
        <f t="shared" si="2"/>
        <v>0</v>
      </c>
      <c r="X48" s="33">
        <f t="shared" si="6"/>
        <v>0</v>
      </c>
    </row>
    <row r="49" spans="1:24" ht="20" customHeight="1">
      <c r="A49" s="15"/>
      <c r="B49" s="16"/>
      <c r="C49" s="17"/>
      <c r="D49" s="17"/>
      <c r="E49" s="17"/>
      <c r="F49" s="17"/>
      <c r="G49" s="17"/>
      <c r="H49" s="17"/>
      <c r="I49" s="17"/>
      <c r="J49" s="20"/>
      <c r="L49" s="32">
        <f t="shared" si="5"/>
        <v>0</v>
      </c>
      <c r="M49" s="32">
        <f t="shared" si="5"/>
        <v>0</v>
      </c>
      <c r="N49" s="32">
        <f t="shared" si="5"/>
        <v>0</v>
      </c>
      <c r="O49" s="32">
        <f t="shared" si="4"/>
        <v>0</v>
      </c>
      <c r="P49" s="32">
        <f t="shared" si="4"/>
        <v>0</v>
      </c>
      <c r="Q49" s="32">
        <f t="shared" si="4"/>
        <v>0</v>
      </c>
      <c r="R49" s="32">
        <f t="shared" si="4"/>
        <v>0</v>
      </c>
      <c r="S49" s="32">
        <f t="shared" si="4"/>
        <v>0</v>
      </c>
      <c r="T49" s="32">
        <f t="shared" si="4"/>
        <v>0</v>
      </c>
      <c r="U49" s="33">
        <f t="shared" si="2"/>
        <v>0</v>
      </c>
      <c r="V49" s="33">
        <f t="shared" si="2"/>
        <v>0</v>
      </c>
      <c r="W49" s="33">
        <f t="shared" si="2"/>
        <v>0</v>
      </c>
      <c r="X49" s="33">
        <f t="shared" si="6"/>
        <v>0</v>
      </c>
    </row>
    <row r="50" spans="1:24" ht="20" customHeight="1">
      <c r="A50" s="15"/>
      <c r="B50" s="16"/>
      <c r="C50" s="17"/>
      <c r="D50" s="17"/>
      <c r="E50" s="17"/>
      <c r="F50" s="17"/>
      <c r="G50" s="17"/>
      <c r="H50" s="17"/>
      <c r="I50" s="17"/>
      <c r="J50" s="20"/>
      <c r="L50" s="32">
        <f t="shared" si="5"/>
        <v>0</v>
      </c>
      <c r="M50" s="32">
        <f t="shared" si="5"/>
        <v>0</v>
      </c>
      <c r="N50" s="32">
        <f t="shared" si="5"/>
        <v>0</v>
      </c>
      <c r="O50" s="32">
        <f t="shared" si="4"/>
        <v>0</v>
      </c>
      <c r="P50" s="32">
        <f t="shared" si="4"/>
        <v>0</v>
      </c>
      <c r="Q50" s="32">
        <f t="shared" si="4"/>
        <v>0</v>
      </c>
      <c r="R50" s="32">
        <f t="shared" si="4"/>
        <v>0</v>
      </c>
      <c r="S50" s="32">
        <f t="shared" si="4"/>
        <v>0</v>
      </c>
      <c r="T50" s="32">
        <f t="shared" si="4"/>
        <v>0</v>
      </c>
      <c r="U50" s="33">
        <f t="shared" si="2"/>
        <v>0</v>
      </c>
      <c r="V50" s="33">
        <f t="shared" si="2"/>
        <v>0</v>
      </c>
      <c r="W50" s="33">
        <f t="shared" si="2"/>
        <v>0</v>
      </c>
      <c r="X50" s="33">
        <f t="shared" si="6"/>
        <v>0</v>
      </c>
    </row>
    <row r="51" spans="1:24" ht="20" customHeight="1">
      <c r="A51" s="15"/>
      <c r="B51" s="16"/>
      <c r="C51" s="17"/>
      <c r="D51" s="17"/>
      <c r="E51" s="17"/>
      <c r="F51" s="17"/>
      <c r="G51" s="17"/>
      <c r="H51" s="17"/>
      <c r="I51" s="17"/>
      <c r="J51" s="20"/>
      <c r="L51" s="32">
        <f t="shared" si="5"/>
        <v>0</v>
      </c>
      <c r="M51" s="32">
        <f t="shared" si="5"/>
        <v>0</v>
      </c>
      <c r="N51" s="32">
        <f t="shared" si="5"/>
        <v>0</v>
      </c>
      <c r="O51" s="32">
        <f t="shared" si="4"/>
        <v>0</v>
      </c>
      <c r="P51" s="32">
        <f t="shared" si="4"/>
        <v>0</v>
      </c>
      <c r="Q51" s="32">
        <f t="shared" si="4"/>
        <v>0</v>
      </c>
      <c r="R51" s="32">
        <f t="shared" si="4"/>
        <v>0</v>
      </c>
      <c r="S51" s="32">
        <f t="shared" si="4"/>
        <v>0</v>
      </c>
      <c r="T51" s="32">
        <f t="shared" si="4"/>
        <v>0</v>
      </c>
      <c r="U51" s="33">
        <f t="shared" si="2"/>
        <v>0</v>
      </c>
      <c r="V51" s="33">
        <f t="shared" si="2"/>
        <v>0</v>
      </c>
      <c r="W51" s="33">
        <f t="shared" si="2"/>
        <v>0</v>
      </c>
      <c r="X51" s="33">
        <f t="shared" si="6"/>
        <v>0</v>
      </c>
    </row>
    <row r="52" spans="1:24" ht="20" customHeight="1">
      <c r="A52" s="15"/>
      <c r="B52" s="16"/>
      <c r="C52" s="17"/>
      <c r="D52" s="17"/>
      <c r="E52" s="17"/>
      <c r="F52" s="17"/>
      <c r="G52" s="17"/>
      <c r="H52" s="17"/>
      <c r="I52" s="17"/>
      <c r="J52" s="20"/>
      <c r="L52" s="32">
        <f t="shared" si="5"/>
        <v>0</v>
      </c>
      <c r="M52" s="32">
        <f t="shared" si="5"/>
        <v>0</v>
      </c>
      <c r="N52" s="32">
        <f t="shared" si="5"/>
        <v>0</v>
      </c>
      <c r="O52" s="32">
        <f t="shared" si="4"/>
        <v>0</v>
      </c>
      <c r="P52" s="32">
        <f t="shared" si="4"/>
        <v>0</v>
      </c>
      <c r="Q52" s="32">
        <f t="shared" si="4"/>
        <v>0</v>
      </c>
      <c r="R52" s="32">
        <f t="shared" si="4"/>
        <v>0</v>
      </c>
      <c r="S52" s="32">
        <f t="shared" si="4"/>
        <v>0</v>
      </c>
      <c r="T52" s="32">
        <f t="shared" si="4"/>
        <v>0</v>
      </c>
      <c r="U52" s="33">
        <f t="shared" si="2"/>
        <v>0</v>
      </c>
      <c r="V52" s="33">
        <f t="shared" si="2"/>
        <v>0</v>
      </c>
      <c r="W52" s="33">
        <f t="shared" si="2"/>
        <v>0</v>
      </c>
      <c r="X52" s="33">
        <f t="shared" si="6"/>
        <v>0</v>
      </c>
    </row>
    <row r="53" spans="1:24" ht="20" customHeight="1">
      <c r="A53" s="15"/>
      <c r="B53" s="16"/>
      <c r="C53" s="17"/>
      <c r="D53" s="17"/>
      <c r="E53" s="17"/>
      <c r="F53" s="17"/>
      <c r="G53" s="17"/>
      <c r="H53" s="17"/>
      <c r="I53" s="17"/>
      <c r="J53" s="20"/>
      <c r="L53" s="32">
        <f t="shared" si="5"/>
        <v>0</v>
      </c>
      <c r="M53" s="32">
        <f t="shared" si="5"/>
        <v>0</v>
      </c>
      <c r="N53" s="32">
        <f t="shared" si="5"/>
        <v>0</v>
      </c>
      <c r="O53" s="32">
        <f t="shared" si="4"/>
        <v>0</v>
      </c>
      <c r="P53" s="32">
        <f t="shared" si="4"/>
        <v>0</v>
      </c>
      <c r="Q53" s="32">
        <f t="shared" si="4"/>
        <v>0</v>
      </c>
      <c r="R53" s="32">
        <f t="shared" si="4"/>
        <v>0</v>
      </c>
      <c r="S53" s="32">
        <f t="shared" si="4"/>
        <v>0</v>
      </c>
      <c r="T53" s="32">
        <f t="shared" si="4"/>
        <v>0</v>
      </c>
      <c r="U53" s="33">
        <f t="shared" si="2"/>
        <v>0</v>
      </c>
      <c r="V53" s="33">
        <f t="shared" si="2"/>
        <v>0</v>
      </c>
      <c r="W53" s="33">
        <f t="shared" si="2"/>
        <v>0</v>
      </c>
      <c r="X53" s="33">
        <f t="shared" si="6"/>
        <v>0</v>
      </c>
    </row>
    <row r="54" spans="1:24" ht="20" customHeight="1">
      <c r="A54" s="15"/>
      <c r="B54" s="16"/>
      <c r="C54" s="17"/>
      <c r="D54" s="17"/>
      <c r="E54" s="17"/>
      <c r="F54" s="17"/>
      <c r="G54" s="17"/>
      <c r="H54" s="17"/>
      <c r="I54" s="17"/>
      <c r="J54" s="20"/>
      <c r="L54" s="32">
        <f t="shared" si="5"/>
        <v>0</v>
      </c>
      <c r="M54" s="32">
        <f t="shared" si="5"/>
        <v>0</v>
      </c>
      <c r="N54" s="32">
        <f t="shared" si="5"/>
        <v>0</v>
      </c>
      <c r="O54" s="32">
        <f t="shared" si="4"/>
        <v>0</v>
      </c>
      <c r="P54" s="32">
        <f t="shared" si="4"/>
        <v>0</v>
      </c>
      <c r="Q54" s="32">
        <f t="shared" si="4"/>
        <v>0</v>
      </c>
      <c r="R54" s="32">
        <f t="shared" si="4"/>
        <v>0</v>
      </c>
      <c r="S54" s="32">
        <f t="shared" si="4"/>
        <v>0</v>
      </c>
      <c r="T54" s="32">
        <f t="shared" si="4"/>
        <v>0</v>
      </c>
      <c r="U54" s="33">
        <f t="shared" si="2"/>
        <v>0</v>
      </c>
      <c r="V54" s="33">
        <f t="shared" si="2"/>
        <v>0</v>
      </c>
      <c r="W54" s="33">
        <f t="shared" si="2"/>
        <v>0</v>
      </c>
      <c r="X54" s="33">
        <f t="shared" si="6"/>
        <v>0</v>
      </c>
    </row>
    <row r="55" spans="1:24" ht="20" customHeight="1">
      <c r="A55" s="15"/>
      <c r="B55" s="16"/>
      <c r="C55" s="17"/>
      <c r="D55" s="17"/>
      <c r="E55" s="17"/>
      <c r="F55" s="17"/>
      <c r="G55" s="17"/>
      <c r="H55" s="17"/>
      <c r="I55" s="17"/>
      <c r="J55" s="20"/>
      <c r="L55" s="32">
        <f t="shared" si="5"/>
        <v>0</v>
      </c>
      <c r="M55" s="32">
        <f t="shared" si="5"/>
        <v>0</v>
      </c>
      <c r="N55" s="32">
        <f t="shared" si="5"/>
        <v>0</v>
      </c>
      <c r="O55" s="32">
        <f t="shared" si="4"/>
        <v>0</v>
      </c>
      <c r="P55" s="32">
        <f t="shared" si="4"/>
        <v>0</v>
      </c>
      <c r="Q55" s="32">
        <f t="shared" si="4"/>
        <v>0</v>
      </c>
      <c r="R55" s="32">
        <f t="shared" si="4"/>
        <v>0</v>
      </c>
      <c r="S55" s="32">
        <f t="shared" si="4"/>
        <v>0</v>
      </c>
      <c r="T55" s="32">
        <f t="shared" si="4"/>
        <v>0</v>
      </c>
      <c r="U55" s="33">
        <f t="shared" si="2"/>
        <v>0</v>
      </c>
      <c r="V55" s="33">
        <f t="shared" si="2"/>
        <v>0</v>
      </c>
      <c r="W55" s="33">
        <f t="shared" si="2"/>
        <v>0</v>
      </c>
      <c r="X55" s="33">
        <f t="shared" si="6"/>
        <v>0</v>
      </c>
    </row>
    <row r="56" spans="1:24" ht="20" customHeight="1">
      <c r="A56" s="15"/>
      <c r="B56" s="16"/>
      <c r="C56" s="17"/>
      <c r="D56" s="17"/>
      <c r="E56" s="17"/>
      <c r="F56" s="17"/>
      <c r="G56" s="17"/>
      <c r="H56" s="17"/>
      <c r="I56" s="17"/>
      <c r="J56" s="20"/>
      <c r="L56" s="32">
        <f t="shared" si="5"/>
        <v>0</v>
      </c>
      <c r="M56" s="32">
        <f t="shared" si="5"/>
        <v>0</v>
      </c>
      <c r="N56" s="32">
        <f t="shared" si="5"/>
        <v>0</v>
      </c>
      <c r="O56" s="32">
        <f t="shared" si="4"/>
        <v>0</v>
      </c>
      <c r="P56" s="32">
        <f t="shared" si="4"/>
        <v>0</v>
      </c>
      <c r="Q56" s="32">
        <f t="shared" si="4"/>
        <v>0</v>
      </c>
      <c r="R56" s="32">
        <f t="shared" si="4"/>
        <v>0</v>
      </c>
      <c r="S56" s="32">
        <f t="shared" si="4"/>
        <v>0</v>
      </c>
      <c r="T56" s="32">
        <f t="shared" si="4"/>
        <v>0</v>
      </c>
      <c r="U56" s="33">
        <f t="shared" si="2"/>
        <v>0</v>
      </c>
      <c r="V56" s="33">
        <f t="shared" si="2"/>
        <v>0</v>
      </c>
      <c r="W56" s="33">
        <f t="shared" si="2"/>
        <v>0</v>
      </c>
      <c r="X56" s="33">
        <f t="shared" si="6"/>
        <v>0</v>
      </c>
    </row>
    <row r="57" spans="1:24" ht="20" customHeight="1">
      <c r="A57" s="15"/>
      <c r="B57" s="16"/>
      <c r="C57" s="17"/>
      <c r="D57" s="17"/>
      <c r="E57" s="17"/>
      <c r="F57" s="17"/>
      <c r="G57" s="17"/>
      <c r="H57" s="17"/>
      <c r="I57" s="17"/>
      <c r="J57" s="20"/>
      <c r="L57" s="32">
        <f t="shared" si="5"/>
        <v>0</v>
      </c>
      <c r="M57" s="32">
        <f t="shared" si="5"/>
        <v>0</v>
      </c>
      <c r="N57" s="32">
        <f t="shared" si="5"/>
        <v>0</v>
      </c>
      <c r="O57" s="32">
        <f t="shared" si="4"/>
        <v>0</v>
      </c>
      <c r="P57" s="32">
        <f t="shared" si="4"/>
        <v>0</v>
      </c>
      <c r="Q57" s="32">
        <f t="shared" si="4"/>
        <v>0</v>
      </c>
      <c r="R57" s="32">
        <f t="shared" si="4"/>
        <v>0</v>
      </c>
      <c r="S57" s="32">
        <f t="shared" si="4"/>
        <v>0</v>
      </c>
      <c r="T57" s="32">
        <f t="shared" si="4"/>
        <v>0</v>
      </c>
      <c r="U57" s="33">
        <f t="shared" si="2"/>
        <v>0</v>
      </c>
      <c r="V57" s="33">
        <f t="shared" si="2"/>
        <v>0</v>
      </c>
      <c r="W57" s="33">
        <f t="shared" si="2"/>
        <v>0</v>
      </c>
      <c r="X57" s="33">
        <f t="shared" si="6"/>
        <v>0</v>
      </c>
    </row>
    <row r="58" spans="1:24" ht="20" customHeight="1">
      <c r="A58" s="15"/>
      <c r="B58" s="16"/>
      <c r="C58" s="17"/>
      <c r="D58" s="17"/>
      <c r="E58" s="17"/>
      <c r="F58" s="17"/>
      <c r="G58" s="17"/>
      <c r="H58" s="17"/>
      <c r="I58" s="17"/>
      <c r="J58" s="20"/>
      <c r="L58" s="32">
        <f t="shared" si="5"/>
        <v>0</v>
      </c>
      <c r="M58" s="32">
        <f t="shared" si="5"/>
        <v>0</v>
      </c>
      <c r="N58" s="32">
        <f t="shared" si="5"/>
        <v>0</v>
      </c>
      <c r="O58" s="32">
        <f t="shared" si="4"/>
        <v>0</v>
      </c>
      <c r="P58" s="32">
        <f t="shared" si="4"/>
        <v>0</v>
      </c>
      <c r="Q58" s="32">
        <f t="shared" si="4"/>
        <v>0</v>
      </c>
      <c r="R58" s="32">
        <f t="shared" si="4"/>
        <v>0</v>
      </c>
      <c r="S58" s="32">
        <f t="shared" si="4"/>
        <v>0</v>
      </c>
      <c r="T58" s="32">
        <f t="shared" si="4"/>
        <v>0</v>
      </c>
      <c r="U58" s="33">
        <f t="shared" si="2"/>
        <v>0</v>
      </c>
      <c r="V58" s="33">
        <f t="shared" si="2"/>
        <v>0</v>
      </c>
      <c r="W58" s="33">
        <f t="shared" si="2"/>
        <v>0</v>
      </c>
      <c r="X58" s="33">
        <f t="shared" si="6"/>
        <v>0</v>
      </c>
    </row>
    <row r="59" spans="1:24" ht="20" customHeight="1">
      <c r="A59" s="15"/>
      <c r="B59" s="16"/>
      <c r="C59" s="17"/>
      <c r="D59" s="17"/>
      <c r="E59" s="17"/>
      <c r="F59" s="17"/>
      <c r="G59" s="17"/>
      <c r="H59" s="17"/>
      <c r="I59" s="17"/>
      <c r="J59" s="20"/>
      <c r="L59" s="32">
        <f t="shared" si="5"/>
        <v>0</v>
      </c>
      <c r="M59" s="32">
        <f t="shared" si="5"/>
        <v>0</v>
      </c>
      <c r="N59" s="32">
        <f t="shared" si="5"/>
        <v>0</v>
      </c>
      <c r="O59" s="32">
        <f t="shared" si="4"/>
        <v>0</v>
      </c>
      <c r="P59" s="32">
        <f t="shared" si="4"/>
        <v>0</v>
      </c>
      <c r="Q59" s="32">
        <f t="shared" si="4"/>
        <v>0</v>
      </c>
      <c r="R59" s="32">
        <f t="shared" si="4"/>
        <v>0</v>
      </c>
      <c r="S59" s="32">
        <f t="shared" si="4"/>
        <v>0</v>
      </c>
      <c r="T59" s="32">
        <f t="shared" si="4"/>
        <v>0</v>
      </c>
      <c r="U59" s="33">
        <f t="shared" si="2"/>
        <v>0</v>
      </c>
      <c r="V59" s="33">
        <f t="shared" si="2"/>
        <v>0</v>
      </c>
      <c r="W59" s="33">
        <f t="shared" si="2"/>
        <v>0</v>
      </c>
      <c r="X59" s="33">
        <f t="shared" si="6"/>
        <v>0</v>
      </c>
    </row>
    <row r="60" spans="1:24" ht="20" customHeight="1">
      <c r="A60" s="15"/>
      <c r="B60" s="16"/>
      <c r="C60" s="17"/>
      <c r="D60" s="17"/>
      <c r="E60" s="17"/>
      <c r="F60" s="17"/>
      <c r="G60" s="17"/>
      <c r="H60" s="17"/>
      <c r="I60" s="17"/>
      <c r="J60" s="20"/>
      <c r="L60" s="32">
        <f t="shared" si="5"/>
        <v>0</v>
      </c>
      <c r="M60" s="32">
        <f t="shared" si="5"/>
        <v>0</v>
      </c>
      <c r="N60" s="32">
        <f t="shared" si="5"/>
        <v>0</v>
      </c>
      <c r="O60" s="32">
        <f t="shared" si="4"/>
        <v>0</v>
      </c>
      <c r="P60" s="32">
        <f t="shared" si="4"/>
        <v>0</v>
      </c>
      <c r="Q60" s="32">
        <f t="shared" si="4"/>
        <v>0</v>
      </c>
      <c r="R60" s="32">
        <f t="shared" si="4"/>
        <v>0</v>
      </c>
      <c r="S60" s="32">
        <f t="shared" si="4"/>
        <v>0</v>
      </c>
      <c r="T60" s="32">
        <f t="shared" si="4"/>
        <v>0</v>
      </c>
      <c r="U60" s="33">
        <f t="shared" si="2"/>
        <v>0</v>
      </c>
      <c r="V60" s="33">
        <f t="shared" si="2"/>
        <v>0</v>
      </c>
      <c r="W60" s="33">
        <f t="shared" si="2"/>
        <v>0</v>
      </c>
      <c r="X60" s="33">
        <f t="shared" si="6"/>
        <v>0</v>
      </c>
    </row>
    <row r="61" spans="1:24" ht="20" customHeight="1">
      <c r="A61" s="15"/>
      <c r="B61" s="16"/>
      <c r="C61" s="17"/>
      <c r="D61" s="17"/>
      <c r="E61" s="17"/>
      <c r="F61" s="17"/>
      <c r="G61" s="17"/>
      <c r="H61" s="17"/>
      <c r="I61" s="17"/>
      <c r="J61" s="20"/>
      <c r="L61" s="32">
        <f t="shared" si="5"/>
        <v>0</v>
      </c>
      <c r="M61" s="32">
        <f t="shared" si="5"/>
        <v>0</v>
      </c>
      <c r="N61" s="32">
        <f t="shared" si="5"/>
        <v>0</v>
      </c>
      <c r="O61" s="32">
        <f t="shared" si="4"/>
        <v>0</v>
      </c>
      <c r="P61" s="32">
        <f t="shared" si="4"/>
        <v>0</v>
      </c>
      <c r="Q61" s="32">
        <f t="shared" si="4"/>
        <v>0</v>
      </c>
      <c r="R61" s="32">
        <f t="shared" si="4"/>
        <v>0</v>
      </c>
      <c r="S61" s="32">
        <f t="shared" si="4"/>
        <v>0</v>
      </c>
      <c r="T61" s="32">
        <f t="shared" si="4"/>
        <v>0</v>
      </c>
      <c r="U61" s="33">
        <f t="shared" si="2"/>
        <v>0</v>
      </c>
      <c r="V61" s="33">
        <f t="shared" si="2"/>
        <v>0</v>
      </c>
      <c r="W61" s="33">
        <f t="shared" si="2"/>
        <v>0</v>
      </c>
      <c r="X61" s="33">
        <f t="shared" si="6"/>
        <v>0</v>
      </c>
    </row>
    <row r="62" spans="1:24" ht="20" customHeight="1">
      <c r="A62" s="15"/>
      <c r="B62" s="16"/>
      <c r="C62" s="17"/>
      <c r="D62" s="17"/>
      <c r="E62" s="17"/>
      <c r="F62" s="17"/>
      <c r="G62" s="17"/>
      <c r="H62" s="17"/>
      <c r="I62" s="17"/>
      <c r="J62" s="20"/>
      <c r="L62" s="32">
        <f t="shared" si="5"/>
        <v>0</v>
      </c>
      <c r="M62" s="32">
        <f t="shared" si="5"/>
        <v>0</v>
      </c>
      <c r="N62" s="32">
        <f t="shared" si="5"/>
        <v>0</v>
      </c>
      <c r="O62" s="32">
        <f t="shared" si="4"/>
        <v>0</v>
      </c>
      <c r="P62" s="32">
        <f t="shared" si="4"/>
        <v>0</v>
      </c>
      <c r="Q62" s="32">
        <f t="shared" si="4"/>
        <v>0</v>
      </c>
      <c r="R62" s="32">
        <f t="shared" si="4"/>
        <v>0</v>
      </c>
      <c r="S62" s="32">
        <f t="shared" si="4"/>
        <v>0</v>
      </c>
      <c r="T62" s="32">
        <f t="shared" si="4"/>
        <v>0</v>
      </c>
      <c r="U62" s="33">
        <f t="shared" si="2"/>
        <v>0</v>
      </c>
      <c r="V62" s="33">
        <f t="shared" si="2"/>
        <v>0</v>
      </c>
      <c r="W62" s="33">
        <f t="shared" si="2"/>
        <v>0</v>
      </c>
      <c r="X62" s="33">
        <f t="shared" si="6"/>
        <v>0</v>
      </c>
    </row>
    <row r="63" spans="1:24" ht="16.75" customHeight="1">
      <c r="A63" s="15"/>
      <c r="B63" s="16"/>
      <c r="C63" s="17"/>
      <c r="D63" s="17"/>
      <c r="E63" s="17"/>
      <c r="F63" s="17"/>
      <c r="G63" s="17"/>
      <c r="H63" s="17"/>
      <c r="I63" s="17"/>
      <c r="J63" s="20"/>
      <c r="L63" s="32">
        <f t="shared" si="5"/>
        <v>0</v>
      </c>
      <c r="M63" s="32">
        <f t="shared" si="5"/>
        <v>0</v>
      </c>
      <c r="N63" s="32">
        <f t="shared" si="5"/>
        <v>0</v>
      </c>
      <c r="O63" s="32">
        <f t="shared" si="4"/>
        <v>0</v>
      </c>
      <c r="P63" s="32">
        <f t="shared" si="4"/>
        <v>0</v>
      </c>
      <c r="Q63" s="32">
        <f t="shared" si="4"/>
        <v>0</v>
      </c>
      <c r="R63" s="32">
        <f t="shared" si="4"/>
        <v>0</v>
      </c>
      <c r="S63" s="32">
        <f t="shared" si="4"/>
        <v>0</v>
      </c>
      <c r="T63" s="32">
        <f t="shared" si="4"/>
        <v>0</v>
      </c>
      <c r="U63" s="33">
        <f t="shared" si="2"/>
        <v>0</v>
      </c>
      <c r="V63" s="33">
        <f t="shared" si="2"/>
        <v>0</v>
      </c>
      <c r="W63" s="33">
        <f t="shared" si="2"/>
        <v>0</v>
      </c>
      <c r="X63" s="33">
        <f t="shared" si="6"/>
        <v>0</v>
      </c>
    </row>
    <row r="64" spans="1:24" ht="20" customHeight="1">
      <c r="A64" s="15"/>
      <c r="B64" s="16"/>
      <c r="C64" s="17"/>
      <c r="D64" s="17"/>
      <c r="E64" s="17"/>
      <c r="F64" s="17"/>
      <c r="G64" s="17"/>
      <c r="H64" s="17"/>
      <c r="I64" s="17"/>
      <c r="J64" s="20"/>
      <c r="L64" s="32">
        <f t="shared" si="5"/>
        <v>0</v>
      </c>
      <c r="M64" s="32">
        <f t="shared" si="5"/>
        <v>0</v>
      </c>
      <c r="N64" s="32">
        <f t="shared" si="5"/>
        <v>0</v>
      </c>
      <c r="O64" s="32">
        <f t="shared" si="4"/>
        <v>0</v>
      </c>
      <c r="P64" s="32">
        <f t="shared" si="4"/>
        <v>0</v>
      </c>
      <c r="Q64" s="32">
        <f t="shared" si="4"/>
        <v>0</v>
      </c>
      <c r="R64" s="32">
        <f t="shared" si="4"/>
        <v>0</v>
      </c>
      <c r="S64" s="32">
        <f t="shared" si="4"/>
        <v>0</v>
      </c>
      <c r="T64" s="32">
        <f t="shared" si="4"/>
        <v>0</v>
      </c>
      <c r="U64" s="33">
        <f t="shared" si="2"/>
        <v>0</v>
      </c>
      <c r="V64" s="33">
        <f t="shared" si="2"/>
        <v>0</v>
      </c>
      <c r="W64" s="33">
        <f t="shared" si="2"/>
        <v>0</v>
      </c>
      <c r="X64" s="33">
        <f t="shared" si="6"/>
        <v>0</v>
      </c>
    </row>
    <row r="65" spans="1:24" ht="20" customHeight="1">
      <c r="A65" s="15"/>
      <c r="B65" s="16"/>
      <c r="C65" s="17"/>
      <c r="D65" s="17"/>
      <c r="E65" s="17"/>
      <c r="F65" s="17"/>
      <c r="G65" s="17"/>
      <c r="H65" s="17"/>
      <c r="I65" s="17"/>
      <c r="J65" s="20"/>
      <c r="L65" s="32">
        <f t="shared" si="5"/>
        <v>0</v>
      </c>
      <c r="M65" s="32">
        <f t="shared" si="5"/>
        <v>0</v>
      </c>
      <c r="N65" s="32">
        <f t="shared" si="5"/>
        <v>0</v>
      </c>
      <c r="O65" s="32">
        <f t="shared" si="4"/>
        <v>0</v>
      </c>
      <c r="P65" s="32">
        <f t="shared" si="4"/>
        <v>0</v>
      </c>
      <c r="Q65" s="32">
        <f t="shared" si="4"/>
        <v>0</v>
      </c>
      <c r="R65" s="32">
        <f t="shared" si="4"/>
        <v>0</v>
      </c>
      <c r="S65" s="32">
        <f t="shared" si="4"/>
        <v>0</v>
      </c>
      <c r="T65" s="32">
        <f t="shared" si="4"/>
        <v>0</v>
      </c>
      <c r="U65" s="33">
        <f t="shared" si="2"/>
        <v>0</v>
      </c>
      <c r="V65" s="33">
        <f t="shared" si="2"/>
        <v>0</v>
      </c>
      <c r="W65" s="33">
        <f t="shared" si="2"/>
        <v>0</v>
      </c>
      <c r="X65" s="33">
        <f t="shared" si="6"/>
        <v>0</v>
      </c>
    </row>
    <row r="66" spans="1:24" ht="20" customHeight="1">
      <c r="A66" s="15"/>
      <c r="B66" s="16"/>
      <c r="C66" s="17"/>
      <c r="D66" s="17"/>
      <c r="E66" s="17"/>
      <c r="F66" s="17"/>
      <c r="G66" s="17"/>
      <c r="H66" s="17"/>
      <c r="I66" s="17"/>
      <c r="J66" s="20"/>
      <c r="L66" s="32">
        <f t="shared" si="5"/>
        <v>0</v>
      </c>
      <c r="M66" s="32">
        <f t="shared" si="5"/>
        <v>0</v>
      </c>
      <c r="N66" s="32">
        <f t="shared" si="5"/>
        <v>0</v>
      </c>
      <c r="O66" s="32">
        <f t="shared" si="4"/>
        <v>0</v>
      </c>
      <c r="P66" s="32">
        <f t="shared" si="4"/>
        <v>0</v>
      </c>
      <c r="Q66" s="32">
        <f t="shared" si="4"/>
        <v>0</v>
      </c>
      <c r="R66" s="32">
        <f t="shared" si="4"/>
        <v>0</v>
      </c>
      <c r="S66" s="32">
        <f t="shared" si="4"/>
        <v>0</v>
      </c>
      <c r="T66" s="32">
        <f t="shared" si="4"/>
        <v>0</v>
      </c>
      <c r="U66" s="33">
        <f t="shared" si="2"/>
        <v>0</v>
      </c>
      <c r="V66" s="33">
        <f t="shared" si="2"/>
        <v>0</v>
      </c>
      <c r="W66" s="33">
        <f t="shared" si="2"/>
        <v>0</v>
      </c>
      <c r="X66" s="33">
        <f t="shared" si="6"/>
        <v>0</v>
      </c>
    </row>
    <row r="67" spans="1:24" ht="20" customHeight="1">
      <c r="A67" s="15"/>
      <c r="B67" s="16"/>
      <c r="C67" s="17"/>
      <c r="D67" s="17"/>
      <c r="E67" s="17"/>
      <c r="F67" s="17"/>
      <c r="G67" s="17"/>
      <c r="H67" s="17"/>
      <c r="I67" s="17"/>
      <c r="J67" s="20"/>
      <c r="L67" s="32">
        <f t="shared" si="5"/>
        <v>0</v>
      </c>
      <c r="M67" s="32">
        <f t="shared" si="5"/>
        <v>0</v>
      </c>
      <c r="N67" s="32">
        <f t="shared" si="5"/>
        <v>0</v>
      </c>
      <c r="O67" s="32">
        <f t="shared" si="4"/>
        <v>0</v>
      </c>
      <c r="P67" s="32">
        <f t="shared" si="4"/>
        <v>0</v>
      </c>
      <c r="Q67" s="32">
        <f t="shared" si="4"/>
        <v>0</v>
      </c>
      <c r="R67" s="32">
        <f t="shared" si="4"/>
        <v>0</v>
      </c>
      <c r="S67" s="32">
        <f t="shared" si="4"/>
        <v>0</v>
      </c>
      <c r="T67" s="32">
        <f t="shared" si="4"/>
        <v>0</v>
      </c>
      <c r="U67" s="33">
        <f t="shared" si="2"/>
        <v>0</v>
      </c>
      <c r="V67" s="33">
        <f t="shared" si="2"/>
        <v>0</v>
      </c>
      <c r="W67" s="33">
        <f t="shared" si="2"/>
        <v>0</v>
      </c>
      <c r="X67" s="33">
        <f t="shared" si="6"/>
        <v>0</v>
      </c>
    </row>
    <row r="68" spans="1:24" ht="20" customHeight="1">
      <c r="A68" s="15"/>
      <c r="B68" s="16"/>
      <c r="C68" s="17"/>
      <c r="D68" s="17"/>
      <c r="E68" s="17"/>
      <c r="F68" s="17"/>
      <c r="G68" s="17"/>
      <c r="H68" s="17"/>
      <c r="I68" s="17"/>
      <c r="J68" s="20"/>
      <c r="L68" s="32">
        <f t="shared" si="5"/>
        <v>0</v>
      </c>
      <c r="M68" s="32">
        <f t="shared" si="5"/>
        <v>0</v>
      </c>
      <c r="N68" s="32">
        <f t="shared" si="5"/>
        <v>0</v>
      </c>
      <c r="O68" s="32">
        <f t="shared" si="4"/>
        <v>0</v>
      </c>
      <c r="P68" s="32">
        <f t="shared" si="4"/>
        <v>0</v>
      </c>
      <c r="Q68" s="32">
        <f t="shared" si="4"/>
        <v>0</v>
      </c>
      <c r="R68" s="32">
        <f t="shared" si="4"/>
        <v>0</v>
      </c>
      <c r="S68" s="32">
        <f t="shared" si="4"/>
        <v>0</v>
      </c>
      <c r="T68" s="32">
        <f t="shared" si="4"/>
        <v>0</v>
      </c>
      <c r="U68" s="33">
        <f t="shared" si="2"/>
        <v>0</v>
      </c>
      <c r="V68" s="33">
        <f t="shared" si="2"/>
        <v>0</v>
      </c>
      <c r="W68" s="33">
        <f t="shared" si="2"/>
        <v>0</v>
      </c>
      <c r="X68" s="33">
        <f t="shared" si="6"/>
        <v>0</v>
      </c>
    </row>
    <row r="69" spans="1:24" ht="20" customHeight="1">
      <c r="A69" s="15"/>
      <c r="B69" s="16"/>
      <c r="C69" s="17"/>
      <c r="D69" s="17"/>
      <c r="E69" s="17"/>
      <c r="F69" s="17"/>
      <c r="G69" s="17"/>
      <c r="H69" s="17"/>
      <c r="I69" s="17"/>
      <c r="J69" s="20"/>
      <c r="L69" s="32">
        <f t="shared" si="5"/>
        <v>0</v>
      </c>
      <c r="M69" s="32">
        <f t="shared" si="5"/>
        <v>0</v>
      </c>
      <c r="N69" s="32">
        <f t="shared" si="5"/>
        <v>0</v>
      </c>
      <c r="O69" s="32">
        <f t="shared" si="4"/>
        <v>0</v>
      </c>
      <c r="P69" s="32">
        <f t="shared" si="4"/>
        <v>0</v>
      </c>
      <c r="Q69" s="32">
        <f t="shared" si="4"/>
        <v>0</v>
      </c>
      <c r="R69" s="32">
        <f t="shared" si="4"/>
        <v>0</v>
      </c>
      <c r="S69" s="32">
        <f t="shared" si="4"/>
        <v>0</v>
      </c>
      <c r="T69" s="32">
        <f t="shared" si="4"/>
        <v>0</v>
      </c>
      <c r="U69" s="33">
        <f t="shared" si="2"/>
        <v>0</v>
      </c>
      <c r="V69" s="33">
        <f t="shared" si="2"/>
        <v>0</v>
      </c>
      <c r="W69" s="33">
        <f t="shared" si="2"/>
        <v>0</v>
      </c>
      <c r="X69" s="33">
        <f t="shared" si="6"/>
        <v>0</v>
      </c>
    </row>
    <row r="70" spans="1:24" ht="20" customHeight="1">
      <c r="A70" s="15"/>
      <c r="B70" s="16"/>
      <c r="C70" s="17"/>
      <c r="D70" s="17"/>
      <c r="E70" s="17"/>
      <c r="F70" s="17"/>
      <c r="G70" s="17"/>
      <c r="H70" s="17"/>
      <c r="I70" s="17"/>
      <c r="J70" s="20"/>
      <c r="L70" s="32">
        <f t="shared" si="5"/>
        <v>0</v>
      </c>
      <c r="M70" s="32">
        <f t="shared" si="5"/>
        <v>0</v>
      </c>
      <c r="N70" s="32">
        <f t="shared" si="5"/>
        <v>0</v>
      </c>
      <c r="O70" s="32">
        <f t="shared" si="4"/>
        <v>0</v>
      </c>
      <c r="P70" s="32">
        <f t="shared" si="4"/>
        <v>0</v>
      </c>
      <c r="Q70" s="32">
        <f t="shared" si="4"/>
        <v>0</v>
      </c>
      <c r="R70" s="32">
        <f t="shared" si="4"/>
        <v>0</v>
      </c>
      <c r="S70" s="32">
        <f t="shared" si="4"/>
        <v>0</v>
      </c>
      <c r="T70" s="32">
        <f t="shared" si="4"/>
        <v>0</v>
      </c>
      <c r="U70" s="33">
        <f t="shared" si="2"/>
        <v>0</v>
      </c>
      <c r="V70" s="33">
        <f t="shared" si="2"/>
        <v>0</v>
      </c>
      <c r="W70" s="33">
        <f t="shared" si="2"/>
        <v>0</v>
      </c>
      <c r="X70" s="33">
        <f t="shared" ref="X70:X101" si="7">O70+P70+T70</f>
        <v>0</v>
      </c>
    </row>
    <row r="71" spans="1:24" ht="20" customHeight="1">
      <c r="A71" s="15"/>
      <c r="B71" s="16"/>
      <c r="C71" s="17"/>
      <c r="D71" s="17"/>
      <c r="E71" s="17"/>
      <c r="F71" s="17"/>
      <c r="G71" s="17"/>
      <c r="H71" s="17"/>
      <c r="I71" s="17"/>
      <c r="J71" s="20"/>
      <c r="L71" s="32">
        <f t="shared" si="5"/>
        <v>0</v>
      </c>
      <c r="M71" s="32">
        <f t="shared" si="5"/>
        <v>0</v>
      </c>
      <c r="N71" s="32">
        <f t="shared" si="5"/>
        <v>0</v>
      </c>
      <c r="O71" s="32">
        <f t="shared" si="4"/>
        <v>0</v>
      </c>
      <c r="P71" s="32">
        <f t="shared" si="4"/>
        <v>0</v>
      </c>
      <c r="Q71" s="32">
        <f t="shared" si="4"/>
        <v>0</v>
      </c>
      <c r="R71" s="32">
        <f t="shared" si="4"/>
        <v>0</v>
      </c>
      <c r="S71" s="32">
        <f t="shared" si="4"/>
        <v>0</v>
      </c>
      <c r="T71" s="32">
        <f t="shared" si="4"/>
        <v>0</v>
      </c>
      <c r="U71" s="33">
        <f t="shared" si="2"/>
        <v>0</v>
      </c>
      <c r="V71" s="33">
        <f t="shared" si="2"/>
        <v>0</v>
      </c>
      <c r="W71" s="33">
        <f t="shared" si="2"/>
        <v>0</v>
      </c>
      <c r="X71" s="33">
        <f t="shared" si="7"/>
        <v>0</v>
      </c>
    </row>
    <row r="72" spans="1:24" ht="20" customHeight="1">
      <c r="A72" s="15"/>
      <c r="B72" s="16"/>
      <c r="C72" s="17"/>
      <c r="D72" s="17"/>
      <c r="E72" s="17"/>
      <c r="F72" s="17"/>
      <c r="G72" s="17"/>
      <c r="H72" s="17"/>
      <c r="I72" s="17"/>
      <c r="J72" s="20"/>
      <c r="L72" s="32">
        <f t="shared" si="5"/>
        <v>0</v>
      </c>
      <c r="M72" s="32">
        <f t="shared" si="5"/>
        <v>0</v>
      </c>
      <c r="N72" s="32">
        <f t="shared" si="5"/>
        <v>0</v>
      </c>
      <c r="O72" s="32">
        <f t="shared" si="4"/>
        <v>0</v>
      </c>
      <c r="P72" s="32">
        <f t="shared" si="4"/>
        <v>0</v>
      </c>
      <c r="Q72" s="32">
        <f t="shared" si="4"/>
        <v>0</v>
      </c>
      <c r="R72" s="32">
        <f t="shared" si="4"/>
        <v>0</v>
      </c>
      <c r="S72" s="32">
        <f t="shared" si="4"/>
        <v>0</v>
      </c>
      <c r="T72" s="32">
        <f t="shared" si="4"/>
        <v>0</v>
      </c>
      <c r="U72" s="33">
        <f t="shared" si="2"/>
        <v>0</v>
      </c>
      <c r="V72" s="33">
        <f t="shared" si="2"/>
        <v>0</v>
      </c>
      <c r="W72" s="33">
        <f t="shared" si="2"/>
        <v>0</v>
      </c>
      <c r="X72" s="33">
        <f t="shared" si="7"/>
        <v>0</v>
      </c>
    </row>
    <row r="73" spans="1:24" ht="20" customHeight="1">
      <c r="A73" s="15"/>
      <c r="B73" s="16"/>
      <c r="C73" s="17"/>
      <c r="D73" s="17"/>
      <c r="E73" s="17"/>
      <c r="F73" s="17"/>
      <c r="G73" s="17"/>
      <c r="H73" s="17"/>
      <c r="I73" s="17"/>
      <c r="J73" s="20"/>
      <c r="L73" s="32">
        <f t="shared" si="5"/>
        <v>0</v>
      </c>
      <c r="M73" s="32">
        <f t="shared" si="5"/>
        <v>0</v>
      </c>
      <c r="N73" s="32">
        <f t="shared" si="5"/>
        <v>0</v>
      </c>
      <c r="O73" s="32">
        <f t="shared" si="4"/>
        <v>0</v>
      </c>
      <c r="P73" s="32">
        <f t="shared" si="4"/>
        <v>0</v>
      </c>
      <c r="Q73" s="32">
        <f t="shared" si="4"/>
        <v>0</v>
      </c>
      <c r="R73" s="32">
        <f t="shared" si="4"/>
        <v>0</v>
      </c>
      <c r="S73" s="32">
        <f t="shared" si="4"/>
        <v>0</v>
      </c>
      <c r="T73" s="32">
        <f t="shared" si="4"/>
        <v>0</v>
      </c>
      <c r="U73" s="33">
        <f t="shared" ref="U73:W116" si="8">L73+Q73</f>
        <v>0</v>
      </c>
      <c r="V73" s="33">
        <f t="shared" si="8"/>
        <v>0</v>
      </c>
      <c r="W73" s="33">
        <f t="shared" si="8"/>
        <v>0</v>
      </c>
      <c r="X73" s="33">
        <f t="shared" si="7"/>
        <v>0</v>
      </c>
    </row>
    <row r="74" spans="1:24" ht="20" customHeight="1">
      <c r="A74" s="15"/>
      <c r="B74" s="16"/>
      <c r="C74" s="17"/>
      <c r="D74" s="17"/>
      <c r="E74" s="17"/>
      <c r="F74" s="17"/>
      <c r="G74" s="17"/>
      <c r="H74" s="17"/>
      <c r="I74" s="17"/>
      <c r="J74" s="20"/>
      <c r="L74" s="32">
        <f t="shared" si="5"/>
        <v>0</v>
      </c>
      <c r="M74" s="32">
        <f t="shared" si="5"/>
        <v>0</v>
      </c>
      <c r="N74" s="32">
        <f t="shared" si="5"/>
        <v>0</v>
      </c>
      <c r="O74" s="32">
        <f t="shared" si="4"/>
        <v>0</v>
      </c>
      <c r="P74" s="32">
        <f t="shared" si="4"/>
        <v>0</v>
      </c>
      <c r="Q74" s="32">
        <f t="shared" si="4"/>
        <v>0</v>
      </c>
      <c r="R74" s="32">
        <f t="shared" si="4"/>
        <v>0</v>
      </c>
      <c r="S74" s="32">
        <f t="shared" si="4"/>
        <v>0</v>
      </c>
      <c r="T74" s="32">
        <f t="shared" si="4"/>
        <v>0</v>
      </c>
      <c r="U74" s="33">
        <f t="shared" si="8"/>
        <v>0</v>
      </c>
      <c r="V74" s="33">
        <f t="shared" si="8"/>
        <v>0</v>
      </c>
      <c r="W74" s="33">
        <f t="shared" si="8"/>
        <v>0</v>
      </c>
      <c r="X74" s="33">
        <f t="shared" si="7"/>
        <v>0</v>
      </c>
    </row>
    <row r="75" spans="1:24" ht="20" customHeight="1">
      <c r="A75" s="15"/>
      <c r="B75" s="16"/>
      <c r="C75" s="17"/>
      <c r="D75" s="17"/>
      <c r="E75" s="17"/>
      <c r="F75" s="17"/>
      <c r="G75" s="17"/>
      <c r="H75" s="17"/>
      <c r="I75" s="17"/>
      <c r="J75" s="20"/>
      <c r="L75" s="32">
        <f t="shared" si="5"/>
        <v>0</v>
      </c>
      <c r="M75" s="32">
        <f t="shared" si="5"/>
        <v>0</v>
      </c>
      <c r="N75" s="32">
        <f t="shared" si="5"/>
        <v>0</v>
      </c>
      <c r="O75" s="32">
        <f t="shared" si="4"/>
        <v>0</v>
      </c>
      <c r="P75" s="32">
        <f t="shared" si="4"/>
        <v>0</v>
      </c>
      <c r="Q75" s="32">
        <f t="shared" si="4"/>
        <v>0</v>
      </c>
      <c r="R75" s="32">
        <f t="shared" si="4"/>
        <v>0</v>
      </c>
      <c r="S75" s="32">
        <f t="shared" si="4"/>
        <v>0</v>
      </c>
      <c r="T75" s="32">
        <f t="shared" si="4"/>
        <v>0</v>
      </c>
      <c r="U75" s="33">
        <f t="shared" si="8"/>
        <v>0</v>
      </c>
      <c r="V75" s="33">
        <f t="shared" si="8"/>
        <v>0</v>
      </c>
      <c r="W75" s="33">
        <f t="shared" si="8"/>
        <v>0</v>
      </c>
      <c r="X75" s="33">
        <f t="shared" si="7"/>
        <v>0</v>
      </c>
    </row>
    <row r="76" spans="1:24" ht="20" customHeight="1">
      <c r="A76" s="15"/>
      <c r="B76" s="16"/>
      <c r="C76" s="17"/>
      <c r="D76" s="17"/>
      <c r="E76" s="17"/>
      <c r="F76" s="17"/>
      <c r="G76" s="17"/>
      <c r="H76" s="17"/>
      <c r="I76" s="17"/>
      <c r="J76" s="20"/>
      <c r="L76" s="32">
        <f t="shared" si="5"/>
        <v>0</v>
      </c>
      <c r="M76" s="32">
        <f t="shared" si="5"/>
        <v>0</v>
      </c>
      <c r="N76" s="32">
        <f t="shared" si="5"/>
        <v>0</v>
      </c>
      <c r="O76" s="32">
        <f t="shared" si="4"/>
        <v>0</v>
      </c>
      <c r="P76" s="32">
        <f t="shared" si="4"/>
        <v>0</v>
      </c>
      <c r="Q76" s="32">
        <f t="shared" si="4"/>
        <v>0</v>
      </c>
      <c r="R76" s="32">
        <f t="shared" si="4"/>
        <v>0</v>
      </c>
      <c r="S76" s="32">
        <f t="shared" si="4"/>
        <v>0</v>
      </c>
      <c r="T76" s="32">
        <f t="shared" si="4"/>
        <v>0</v>
      </c>
      <c r="U76" s="33">
        <f t="shared" si="8"/>
        <v>0</v>
      </c>
      <c r="V76" s="33">
        <f t="shared" si="8"/>
        <v>0</v>
      </c>
      <c r="W76" s="33">
        <f t="shared" si="8"/>
        <v>0</v>
      </c>
      <c r="X76" s="33">
        <f t="shared" si="7"/>
        <v>0</v>
      </c>
    </row>
    <row r="77" spans="1:24" ht="20" customHeight="1">
      <c r="A77" s="15"/>
      <c r="B77" s="16"/>
      <c r="C77" s="17"/>
      <c r="D77" s="17"/>
      <c r="E77" s="17"/>
      <c r="F77" s="17"/>
      <c r="G77" s="17"/>
      <c r="H77" s="17"/>
      <c r="I77" s="17"/>
      <c r="J77" s="20"/>
      <c r="L77" s="32">
        <f t="shared" si="5"/>
        <v>0</v>
      </c>
      <c r="M77" s="32">
        <f t="shared" si="5"/>
        <v>0</v>
      </c>
      <c r="N77" s="32">
        <f t="shared" si="5"/>
        <v>0</v>
      </c>
      <c r="O77" s="32">
        <f t="shared" si="4"/>
        <v>0</v>
      </c>
      <c r="P77" s="32">
        <f t="shared" si="4"/>
        <v>0</v>
      </c>
      <c r="Q77" s="32">
        <f t="shared" si="4"/>
        <v>0</v>
      </c>
      <c r="R77" s="32">
        <f t="shared" si="4"/>
        <v>0</v>
      </c>
      <c r="S77" s="32">
        <f t="shared" si="4"/>
        <v>0</v>
      </c>
      <c r="T77" s="32">
        <f t="shared" si="4"/>
        <v>0</v>
      </c>
      <c r="U77" s="33">
        <f t="shared" si="8"/>
        <v>0</v>
      </c>
      <c r="V77" s="33">
        <f t="shared" si="8"/>
        <v>0</v>
      </c>
      <c r="W77" s="33">
        <f t="shared" si="8"/>
        <v>0</v>
      </c>
      <c r="X77" s="33">
        <f t="shared" si="7"/>
        <v>0</v>
      </c>
    </row>
    <row r="78" spans="1:24" ht="20" customHeight="1">
      <c r="A78" s="15"/>
      <c r="B78" s="16"/>
      <c r="C78" s="17"/>
      <c r="D78" s="17"/>
      <c r="E78" s="17"/>
      <c r="F78" s="17"/>
      <c r="G78" s="17"/>
      <c r="H78" s="17"/>
      <c r="I78" s="17"/>
      <c r="J78" s="20"/>
      <c r="L78" s="32">
        <f t="shared" si="5"/>
        <v>0</v>
      </c>
      <c r="M78" s="32">
        <f t="shared" si="5"/>
        <v>0</v>
      </c>
      <c r="N78" s="32">
        <f t="shared" si="5"/>
        <v>0</v>
      </c>
      <c r="O78" s="32">
        <f t="shared" si="4"/>
        <v>0</v>
      </c>
      <c r="P78" s="32">
        <f t="shared" si="4"/>
        <v>0</v>
      </c>
      <c r="Q78" s="32">
        <f t="shared" si="4"/>
        <v>0</v>
      </c>
      <c r="R78" s="32">
        <f t="shared" si="4"/>
        <v>0</v>
      </c>
      <c r="S78" s="32">
        <f t="shared" si="4"/>
        <v>0</v>
      </c>
      <c r="T78" s="32">
        <f t="shared" si="4"/>
        <v>0</v>
      </c>
      <c r="U78" s="33">
        <f t="shared" si="8"/>
        <v>0</v>
      </c>
      <c r="V78" s="33">
        <f t="shared" si="8"/>
        <v>0</v>
      </c>
      <c r="W78" s="33">
        <f t="shared" si="8"/>
        <v>0</v>
      </c>
      <c r="X78" s="33">
        <f t="shared" si="7"/>
        <v>0</v>
      </c>
    </row>
    <row r="79" spans="1:24" ht="20" customHeight="1">
      <c r="A79" s="15"/>
      <c r="B79" s="16"/>
      <c r="C79" s="17"/>
      <c r="D79" s="17"/>
      <c r="E79" s="17"/>
      <c r="F79" s="17"/>
      <c r="G79" s="17"/>
      <c r="H79" s="17"/>
      <c r="I79" s="17"/>
      <c r="J79" s="20"/>
      <c r="L79" s="32">
        <f t="shared" si="5"/>
        <v>0</v>
      </c>
      <c r="M79" s="32">
        <f t="shared" si="5"/>
        <v>0</v>
      </c>
      <c r="N79" s="32">
        <f t="shared" si="5"/>
        <v>0</v>
      </c>
      <c r="O79" s="32">
        <f t="shared" si="4"/>
        <v>0</v>
      </c>
      <c r="P79" s="32">
        <f t="shared" si="4"/>
        <v>0</v>
      </c>
      <c r="Q79" s="32">
        <f t="shared" si="4"/>
        <v>0</v>
      </c>
      <c r="R79" s="32">
        <f t="shared" ref="R79:T116" si="9">IFERROR(H80-H79,0)</f>
        <v>0</v>
      </c>
      <c r="S79" s="32">
        <f t="shared" si="9"/>
        <v>0</v>
      </c>
      <c r="T79" s="32">
        <f t="shared" si="9"/>
        <v>0</v>
      </c>
      <c r="U79" s="33">
        <f t="shared" si="8"/>
        <v>0</v>
      </c>
      <c r="V79" s="33">
        <f t="shared" si="8"/>
        <v>0</v>
      </c>
      <c r="W79" s="33">
        <f t="shared" si="8"/>
        <v>0</v>
      </c>
      <c r="X79" s="33">
        <f t="shared" si="7"/>
        <v>0</v>
      </c>
    </row>
    <row r="80" spans="1:24" ht="20" customHeight="1">
      <c r="A80" s="15"/>
      <c r="B80" s="16"/>
      <c r="C80" s="17"/>
      <c r="D80" s="17"/>
      <c r="E80" s="17"/>
      <c r="F80" s="17"/>
      <c r="G80" s="17"/>
      <c r="H80" s="17"/>
      <c r="I80" s="17"/>
      <c r="J80" s="20"/>
      <c r="L80" s="32">
        <f t="shared" si="5"/>
        <v>0</v>
      </c>
      <c r="M80" s="32">
        <f t="shared" si="5"/>
        <v>0</v>
      </c>
      <c r="N80" s="32">
        <f t="shared" si="5"/>
        <v>0</v>
      </c>
      <c r="O80" s="32">
        <f t="shared" si="5"/>
        <v>0</v>
      </c>
      <c r="P80" s="32">
        <f t="shared" si="5"/>
        <v>0</v>
      </c>
      <c r="Q80" s="32">
        <f t="shared" si="5"/>
        <v>0</v>
      </c>
      <c r="R80" s="32">
        <f t="shared" si="9"/>
        <v>0</v>
      </c>
      <c r="S80" s="32">
        <f t="shared" si="9"/>
        <v>0</v>
      </c>
      <c r="T80" s="32">
        <f t="shared" si="9"/>
        <v>0</v>
      </c>
      <c r="U80" s="33">
        <f t="shared" si="8"/>
        <v>0</v>
      </c>
      <c r="V80" s="33">
        <f t="shared" si="8"/>
        <v>0</v>
      </c>
      <c r="W80" s="33">
        <f t="shared" si="8"/>
        <v>0</v>
      </c>
      <c r="X80" s="33">
        <f t="shared" si="7"/>
        <v>0</v>
      </c>
    </row>
    <row r="81" spans="1:24" ht="16.75" customHeight="1">
      <c r="A81" s="15"/>
      <c r="B81" s="16"/>
      <c r="C81" s="17"/>
      <c r="D81" s="17"/>
      <c r="E81" s="17"/>
      <c r="F81" s="17"/>
      <c r="G81" s="17"/>
      <c r="H81" s="17"/>
      <c r="I81" s="17"/>
      <c r="J81" s="20"/>
      <c r="L81" s="32">
        <f t="shared" si="5"/>
        <v>0</v>
      </c>
      <c r="M81" s="32">
        <f t="shared" si="5"/>
        <v>0</v>
      </c>
      <c r="N81" s="32">
        <f t="shared" si="5"/>
        <v>0</v>
      </c>
      <c r="O81" s="32">
        <f t="shared" si="5"/>
        <v>0</v>
      </c>
      <c r="P81" s="32">
        <f t="shared" si="5"/>
        <v>0</v>
      </c>
      <c r="Q81" s="32">
        <f t="shared" si="5"/>
        <v>0</v>
      </c>
      <c r="R81" s="32">
        <f t="shared" si="9"/>
        <v>0</v>
      </c>
      <c r="S81" s="32">
        <f t="shared" si="9"/>
        <v>0</v>
      </c>
      <c r="T81" s="32">
        <f t="shared" si="9"/>
        <v>0</v>
      </c>
      <c r="U81" s="33">
        <f t="shared" si="8"/>
        <v>0</v>
      </c>
      <c r="V81" s="33">
        <f t="shared" si="8"/>
        <v>0</v>
      </c>
      <c r="W81" s="33">
        <f t="shared" si="8"/>
        <v>0</v>
      </c>
      <c r="X81" s="33">
        <f t="shared" si="7"/>
        <v>0</v>
      </c>
    </row>
    <row r="82" spans="1:24" ht="20" customHeight="1">
      <c r="A82" s="15"/>
      <c r="B82" s="16"/>
      <c r="C82" s="17"/>
      <c r="D82" s="17"/>
      <c r="E82" s="17"/>
      <c r="F82" s="17"/>
      <c r="G82" s="17"/>
      <c r="H82" s="17"/>
      <c r="I82" s="17"/>
      <c r="J82" s="20"/>
      <c r="L82" s="32">
        <f t="shared" si="5"/>
        <v>0</v>
      </c>
      <c r="M82" s="32">
        <f t="shared" si="5"/>
        <v>0</v>
      </c>
      <c r="N82" s="32">
        <f t="shared" si="5"/>
        <v>0</v>
      </c>
      <c r="O82" s="32">
        <f t="shared" si="5"/>
        <v>0</v>
      </c>
      <c r="P82" s="32">
        <f t="shared" si="5"/>
        <v>0</v>
      </c>
      <c r="Q82" s="32">
        <f t="shared" si="5"/>
        <v>0</v>
      </c>
      <c r="R82" s="32">
        <f t="shared" si="9"/>
        <v>0</v>
      </c>
      <c r="S82" s="32">
        <f t="shared" si="9"/>
        <v>0</v>
      </c>
      <c r="T82" s="32">
        <f t="shared" si="9"/>
        <v>0</v>
      </c>
      <c r="U82" s="33">
        <f t="shared" si="8"/>
        <v>0</v>
      </c>
      <c r="V82" s="33">
        <f t="shared" si="8"/>
        <v>0</v>
      </c>
      <c r="W82" s="33">
        <f t="shared" si="8"/>
        <v>0</v>
      </c>
      <c r="X82" s="33">
        <f t="shared" si="7"/>
        <v>0</v>
      </c>
    </row>
    <row r="83" spans="1:24" ht="20" customHeight="1">
      <c r="A83" s="15"/>
      <c r="B83" s="16"/>
      <c r="C83" s="17"/>
      <c r="D83" s="17"/>
      <c r="E83" s="17"/>
      <c r="F83" s="17"/>
      <c r="G83" s="17"/>
      <c r="H83" s="17"/>
      <c r="I83" s="17"/>
      <c r="J83" s="20"/>
      <c r="L83" s="32">
        <f t="shared" si="5"/>
        <v>0</v>
      </c>
      <c r="M83" s="32">
        <f t="shared" si="5"/>
        <v>0</v>
      </c>
      <c r="N83" s="32">
        <f t="shared" si="5"/>
        <v>0</v>
      </c>
      <c r="O83" s="32">
        <f t="shared" si="5"/>
        <v>0</v>
      </c>
      <c r="P83" s="32">
        <f t="shared" si="5"/>
        <v>0</v>
      </c>
      <c r="Q83" s="32">
        <f t="shared" si="5"/>
        <v>0</v>
      </c>
      <c r="R83" s="32">
        <f t="shared" si="9"/>
        <v>0</v>
      </c>
      <c r="S83" s="32">
        <f t="shared" si="9"/>
        <v>0</v>
      </c>
      <c r="T83" s="32">
        <f t="shared" si="9"/>
        <v>0</v>
      </c>
      <c r="U83" s="33">
        <f t="shared" si="8"/>
        <v>0</v>
      </c>
      <c r="V83" s="33">
        <f t="shared" si="8"/>
        <v>0</v>
      </c>
      <c r="W83" s="33">
        <f t="shared" si="8"/>
        <v>0</v>
      </c>
      <c r="X83" s="33">
        <f t="shared" si="7"/>
        <v>0</v>
      </c>
    </row>
    <row r="84" spans="1:24" ht="20" customHeight="1">
      <c r="A84" s="15"/>
      <c r="B84" s="16"/>
      <c r="C84" s="17"/>
      <c r="D84" s="17"/>
      <c r="E84" s="17"/>
      <c r="F84" s="17"/>
      <c r="G84" s="17"/>
      <c r="H84" s="17"/>
      <c r="I84" s="17"/>
      <c r="J84" s="20"/>
      <c r="L84" s="32">
        <f t="shared" si="5"/>
        <v>0</v>
      </c>
      <c r="M84" s="32">
        <f t="shared" si="5"/>
        <v>0</v>
      </c>
      <c r="N84" s="32">
        <f t="shared" si="5"/>
        <v>0</v>
      </c>
      <c r="O84" s="32">
        <f t="shared" si="5"/>
        <v>0</v>
      </c>
      <c r="P84" s="32">
        <f t="shared" si="5"/>
        <v>0</v>
      </c>
      <c r="Q84" s="32">
        <f t="shared" si="5"/>
        <v>0</v>
      </c>
      <c r="R84" s="32">
        <f t="shared" si="9"/>
        <v>0</v>
      </c>
      <c r="S84" s="32">
        <f t="shared" si="9"/>
        <v>0</v>
      </c>
      <c r="T84" s="32">
        <f t="shared" si="9"/>
        <v>0</v>
      </c>
      <c r="U84" s="33">
        <f t="shared" si="8"/>
        <v>0</v>
      </c>
      <c r="V84" s="33">
        <f t="shared" si="8"/>
        <v>0</v>
      </c>
      <c r="W84" s="33">
        <f t="shared" si="8"/>
        <v>0</v>
      </c>
      <c r="X84" s="33">
        <f t="shared" si="7"/>
        <v>0</v>
      </c>
    </row>
    <row r="85" spans="1:24" ht="20" customHeight="1">
      <c r="A85" s="15"/>
      <c r="B85" s="16"/>
      <c r="C85" s="17"/>
      <c r="D85" s="17"/>
      <c r="E85" s="17"/>
      <c r="F85" s="17"/>
      <c r="G85" s="17"/>
      <c r="H85" s="17"/>
      <c r="I85" s="17"/>
      <c r="J85" s="20"/>
      <c r="L85" s="32">
        <f t="shared" si="5"/>
        <v>0</v>
      </c>
      <c r="M85" s="32">
        <f t="shared" si="5"/>
        <v>0</v>
      </c>
      <c r="N85" s="32">
        <f t="shared" si="5"/>
        <v>0</v>
      </c>
      <c r="O85" s="32">
        <f t="shared" si="5"/>
        <v>0</v>
      </c>
      <c r="P85" s="32">
        <f t="shared" si="5"/>
        <v>0</v>
      </c>
      <c r="Q85" s="32">
        <f t="shared" si="5"/>
        <v>0</v>
      </c>
      <c r="R85" s="32">
        <f t="shared" si="9"/>
        <v>0</v>
      </c>
      <c r="S85" s="32">
        <f t="shared" si="9"/>
        <v>0</v>
      </c>
      <c r="T85" s="32">
        <f t="shared" si="9"/>
        <v>0</v>
      </c>
      <c r="U85" s="33">
        <f t="shared" si="8"/>
        <v>0</v>
      </c>
      <c r="V85" s="33">
        <f t="shared" si="8"/>
        <v>0</v>
      </c>
      <c r="W85" s="33">
        <f t="shared" si="8"/>
        <v>0</v>
      </c>
      <c r="X85" s="33">
        <f t="shared" si="7"/>
        <v>0</v>
      </c>
    </row>
    <row r="86" spans="1:24" ht="20" customHeight="1">
      <c r="A86" s="15"/>
      <c r="B86" s="16"/>
      <c r="C86" s="17"/>
      <c r="D86" s="17"/>
      <c r="E86" s="17"/>
      <c r="F86" s="17"/>
      <c r="G86" s="17"/>
      <c r="H86" s="17"/>
      <c r="I86" s="17"/>
      <c r="J86" s="20"/>
      <c r="L86" s="32">
        <f t="shared" si="5"/>
        <v>0</v>
      </c>
      <c r="M86" s="32">
        <f t="shared" si="5"/>
        <v>0</v>
      </c>
      <c r="N86" s="32">
        <f t="shared" si="5"/>
        <v>0</v>
      </c>
      <c r="O86" s="32">
        <f t="shared" si="5"/>
        <v>0</v>
      </c>
      <c r="P86" s="32">
        <f t="shared" si="5"/>
        <v>0</v>
      </c>
      <c r="Q86" s="32">
        <f t="shared" si="5"/>
        <v>0</v>
      </c>
      <c r="R86" s="32">
        <f t="shared" si="9"/>
        <v>0</v>
      </c>
      <c r="S86" s="32">
        <f t="shared" si="9"/>
        <v>0</v>
      </c>
      <c r="T86" s="32">
        <f t="shared" si="9"/>
        <v>0</v>
      </c>
      <c r="U86" s="33">
        <f t="shared" si="8"/>
        <v>0</v>
      </c>
      <c r="V86" s="33">
        <f t="shared" si="8"/>
        <v>0</v>
      </c>
      <c r="W86" s="33">
        <f t="shared" si="8"/>
        <v>0</v>
      </c>
      <c r="X86" s="33">
        <f t="shared" si="7"/>
        <v>0</v>
      </c>
    </row>
    <row r="87" spans="1:24" ht="20" customHeight="1">
      <c r="A87" s="15"/>
      <c r="B87" s="16"/>
      <c r="C87" s="17"/>
      <c r="D87" s="17"/>
      <c r="E87" s="17"/>
      <c r="F87" s="17"/>
      <c r="G87" s="17"/>
      <c r="H87" s="17"/>
      <c r="I87" s="17"/>
      <c r="J87" s="20"/>
      <c r="L87" s="32">
        <f t="shared" si="5"/>
        <v>0</v>
      </c>
      <c r="M87" s="32">
        <f t="shared" si="5"/>
        <v>0</v>
      </c>
      <c r="N87" s="32">
        <f t="shared" si="5"/>
        <v>0</v>
      </c>
      <c r="O87" s="32">
        <f t="shared" si="5"/>
        <v>0</v>
      </c>
      <c r="P87" s="32">
        <f t="shared" si="5"/>
        <v>0</v>
      </c>
      <c r="Q87" s="32">
        <f t="shared" si="5"/>
        <v>0</v>
      </c>
      <c r="R87" s="32">
        <f t="shared" si="9"/>
        <v>0</v>
      </c>
      <c r="S87" s="32">
        <f t="shared" si="9"/>
        <v>0</v>
      </c>
      <c r="T87" s="32">
        <f t="shared" si="9"/>
        <v>0</v>
      </c>
      <c r="U87" s="33">
        <f t="shared" si="8"/>
        <v>0</v>
      </c>
      <c r="V87" s="33">
        <f t="shared" si="8"/>
        <v>0</v>
      </c>
      <c r="W87" s="33">
        <f t="shared" si="8"/>
        <v>0</v>
      </c>
      <c r="X87" s="33">
        <f t="shared" si="7"/>
        <v>0</v>
      </c>
    </row>
    <row r="88" spans="1:24" ht="20" customHeight="1">
      <c r="A88" s="15"/>
      <c r="B88" s="16"/>
      <c r="C88" s="17"/>
      <c r="D88" s="17"/>
      <c r="E88" s="17"/>
      <c r="F88" s="17"/>
      <c r="G88" s="17"/>
      <c r="H88" s="17"/>
      <c r="I88" s="17"/>
      <c r="J88" s="20"/>
      <c r="L88" s="32">
        <f t="shared" si="5"/>
        <v>0</v>
      </c>
      <c r="M88" s="32">
        <f t="shared" si="5"/>
        <v>0</v>
      </c>
      <c r="N88" s="32">
        <f t="shared" si="5"/>
        <v>0</v>
      </c>
      <c r="O88" s="32">
        <f t="shared" si="5"/>
        <v>0</v>
      </c>
      <c r="P88" s="32">
        <f t="shared" si="5"/>
        <v>0</v>
      </c>
      <c r="Q88" s="32">
        <f t="shared" si="5"/>
        <v>0</v>
      </c>
      <c r="R88" s="32">
        <f t="shared" si="9"/>
        <v>0</v>
      </c>
      <c r="S88" s="32">
        <f t="shared" si="9"/>
        <v>0</v>
      </c>
      <c r="T88" s="32">
        <f t="shared" si="9"/>
        <v>0</v>
      </c>
      <c r="U88" s="33">
        <f t="shared" si="8"/>
        <v>0</v>
      </c>
      <c r="V88" s="33">
        <f t="shared" si="8"/>
        <v>0</v>
      </c>
      <c r="W88" s="33">
        <f t="shared" si="8"/>
        <v>0</v>
      </c>
      <c r="X88" s="33">
        <f t="shared" si="7"/>
        <v>0</v>
      </c>
    </row>
    <row r="89" spans="1:24" ht="20" customHeight="1">
      <c r="A89" s="15"/>
      <c r="B89" s="16"/>
      <c r="C89" s="17"/>
      <c r="D89" s="17"/>
      <c r="E89" s="17"/>
      <c r="F89" s="17"/>
      <c r="G89" s="17"/>
      <c r="H89" s="17"/>
      <c r="I89" s="17"/>
      <c r="J89" s="20"/>
      <c r="L89" s="32">
        <f t="shared" si="5"/>
        <v>0</v>
      </c>
      <c r="M89" s="32">
        <f t="shared" si="5"/>
        <v>0</v>
      </c>
      <c r="N89" s="32">
        <f t="shared" si="5"/>
        <v>0</v>
      </c>
      <c r="O89" s="32">
        <f t="shared" si="5"/>
        <v>0</v>
      </c>
      <c r="P89" s="32">
        <f t="shared" si="5"/>
        <v>0</v>
      </c>
      <c r="Q89" s="32">
        <f t="shared" si="5"/>
        <v>0</v>
      </c>
      <c r="R89" s="32">
        <f t="shared" si="9"/>
        <v>0</v>
      </c>
      <c r="S89" s="32">
        <f t="shared" si="9"/>
        <v>0</v>
      </c>
      <c r="T89" s="32">
        <f t="shared" si="9"/>
        <v>0</v>
      </c>
      <c r="U89" s="33">
        <f t="shared" si="8"/>
        <v>0</v>
      </c>
      <c r="V89" s="33">
        <f t="shared" si="8"/>
        <v>0</v>
      </c>
      <c r="W89" s="33">
        <f t="shared" si="8"/>
        <v>0</v>
      </c>
      <c r="X89" s="33">
        <f t="shared" si="7"/>
        <v>0</v>
      </c>
    </row>
    <row r="90" spans="1:24" ht="20" customHeight="1">
      <c r="A90" s="15"/>
      <c r="B90" s="16"/>
      <c r="C90" s="17"/>
      <c r="D90" s="17"/>
      <c r="E90" s="17"/>
      <c r="F90" s="17"/>
      <c r="G90" s="17"/>
      <c r="H90" s="17"/>
      <c r="I90" s="17"/>
      <c r="J90" s="20"/>
      <c r="L90" s="32">
        <f t="shared" si="5"/>
        <v>0</v>
      </c>
      <c r="M90" s="32">
        <f t="shared" si="5"/>
        <v>0</v>
      </c>
      <c r="N90" s="32">
        <f t="shared" si="5"/>
        <v>0</v>
      </c>
      <c r="O90" s="32">
        <f t="shared" si="5"/>
        <v>0</v>
      </c>
      <c r="P90" s="32">
        <f t="shared" si="5"/>
        <v>0</v>
      </c>
      <c r="Q90" s="32">
        <f t="shared" si="5"/>
        <v>0</v>
      </c>
      <c r="R90" s="32">
        <f t="shared" si="9"/>
        <v>0</v>
      </c>
      <c r="S90" s="32">
        <f t="shared" si="9"/>
        <v>0</v>
      </c>
      <c r="T90" s="32">
        <f t="shared" si="9"/>
        <v>0</v>
      </c>
      <c r="U90" s="33">
        <f t="shared" si="8"/>
        <v>0</v>
      </c>
      <c r="V90" s="33">
        <f t="shared" si="8"/>
        <v>0</v>
      </c>
      <c r="W90" s="33">
        <f t="shared" si="8"/>
        <v>0</v>
      </c>
      <c r="X90" s="33">
        <f t="shared" si="7"/>
        <v>0</v>
      </c>
    </row>
    <row r="91" spans="1:24" ht="20" customHeight="1">
      <c r="A91" s="15"/>
      <c r="B91" s="16"/>
      <c r="C91" s="17"/>
      <c r="D91" s="17"/>
      <c r="E91" s="17"/>
      <c r="F91" s="17"/>
      <c r="G91" s="17"/>
      <c r="H91" s="17"/>
      <c r="I91" s="17"/>
      <c r="J91" s="20"/>
      <c r="L91" s="32">
        <f t="shared" si="5"/>
        <v>0</v>
      </c>
      <c r="M91" s="32">
        <f t="shared" si="5"/>
        <v>0</v>
      </c>
      <c r="N91" s="32">
        <f t="shared" si="5"/>
        <v>0</v>
      </c>
      <c r="O91" s="32">
        <f t="shared" si="5"/>
        <v>0</v>
      </c>
      <c r="P91" s="32">
        <f t="shared" si="5"/>
        <v>0</v>
      </c>
      <c r="Q91" s="32">
        <f t="shared" si="5"/>
        <v>0</v>
      </c>
      <c r="R91" s="32">
        <f t="shared" si="9"/>
        <v>0</v>
      </c>
      <c r="S91" s="32">
        <f t="shared" si="9"/>
        <v>0</v>
      </c>
      <c r="T91" s="32">
        <f t="shared" si="9"/>
        <v>0</v>
      </c>
      <c r="U91" s="33">
        <f t="shared" si="8"/>
        <v>0</v>
      </c>
      <c r="V91" s="33">
        <f t="shared" si="8"/>
        <v>0</v>
      </c>
      <c r="W91" s="33">
        <f t="shared" si="8"/>
        <v>0</v>
      </c>
      <c r="X91" s="33">
        <f t="shared" si="7"/>
        <v>0</v>
      </c>
    </row>
    <row r="92" spans="1:24" ht="20" customHeight="1">
      <c r="A92" s="15"/>
      <c r="B92" s="16"/>
      <c r="C92" s="17"/>
      <c r="D92" s="17"/>
      <c r="E92" s="17"/>
      <c r="F92" s="17"/>
      <c r="G92" s="17"/>
      <c r="H92" s="17"/>
      <c r="I92" s="17"/>
      <c r="J92" s="20"/>
      <c r="L92" s="32">
        <f t="shared" si="5"/>
        <v>0</v>
      </c>
      <c r="M92" s="32">
        <f t="shared" si="5"/>
        <v>0</v>
      </c>
      <c r="N92" s="32">
        <f t="shared" si="5"/>
        <v>0</v>
      </c>
      <c r="O92" s="32">
        <f t="shared" si="5"/>
        <v>0</v>
      </c>
      <c r="P92" s="32">
        <f t="shared" si="5"/>
        <v>0</v>
      </c>
      <c r="Q92" s="32">
        <f t="shared" si="5"/>
        <v>0</v>
      </c>
      <c r="R92" s="32">
        <f t="shared" si="9"/>
        <v>0</v>
      </c>
      <c r="S92" s="32">
        <f t="shared" si="9"/>
        <v>0</v>
      </c>
      <c r="T92" s="32">
        <f t="shared" si="9"/>
        <v>0</v>
      </c>
      <c r="U92" s="33">
        <f t="shared" si="8"/>
        <v>0</v>
      </c>
      <c r="V92" s="33">
        <f t="shared" si="8"/>
        <v>0</v>
      </c>
      <c r="W92" s="33">
        <f t="shared" si="8"/>
        <v>0</v>
      </c>
      <c r="X92" s="33">
        <f t="shared" si="7"/>
        <v>0</v>
      </c>
    </row>
    <row r="93" spans="1:24" ht="20" customHeight="1">
      <c r="A93" s="15"/>
      <c r="B93" s="16"/>
      <c r="C93" s="17"/>
      <c r="D93" s="17"/>
      <c r="E93" s="17"/>
      <c r="F93" s="17"/>
      <c r="G93" s="17"/>
      <c r="H93" s="17"/>
      <c r="I93" s="17"/>
      <c r="J93" s="20"/>
      <c r="L93" s="32">
        <f t="shared" si="5"/>
        <v>0</v>
      </c>
      <c r="M93" s="32">
        <f t="shared" si="5"/>
        <v>0</v>
      </c>
      <c r="N93" s="32">
        <f t="shared" si="5"/>
        <v>0</v>
      </c>
      <c r="O93" s="32">
        <f t="shared" si="5"/>
        <v>0</v>
      </c>
      <c r="P93" s="32">
        <f t="shared" si="5"/>
        <v>0</v>
      </c>
      <c r="Q93" s="32">
        <f t="shared" si="5"/>
        <v>0</v>
      </c>
      <c r="R93" s="32">
        <f t="shared" si="9"/>
        <v>0</v>
      </c>
      <c r="S93" s="32">
        <f t="shared" si="9"/>
        <v>0</v>
      </c>
      <c r="T93" s="32">
        <f t="shared" si="9"/>
        <v>0</v>
      </c>
      <c r="U93" s="33">
        <f t="shared" si="8"/>
        <v>0</v>
      </c>
      <c r="V93" s="33">
        <f t="shared" si="8"/>
        <v>0</v>
      </c>
      <c r="W93" s="33">
        <f t="shared" si="8"/>
        <v>0</v>
      </c>
      <c r="X93" s="33">
        <f t="shared" si="7"/>
        <v>0</v>
      </c>
    </row>
    <row r="94" spans="1:24" ht="20" customHeight="1">
      <c r="A94" s="15"/>
      <c r="B94" s="16"/>
      <c r="C94" s="17"/>
      <c r="D94" s="17"/>
      <c r="E94" s="17"/>
      <c r="F94" s="17"/>
      <c r="G94" s="17"/>
      <c r="H94" s="17"/>
      <c r="I94" s="17"/>
      <c r="J94" s="20"/>
      <c r="L94" s="32">
        <f t="shared" si="5"/>
        <v>0</v>
      </c>
      <c r="M94" s="32">
        <f t="shared" si="5"/>
        <v>0</v>
      </c>
      <c r="N94" s="32">
        <f t="shared" si="5"/>
        <v>0</v>
      </c>
      <c r="O94" s="32">
        <f t="shared" si="5"/>
        <v>0</v>
      </c>
      <c r="P94" s="32">
        <f t="shared" si="5"/>
        <v>0</v>
      </c>
      <c r="Q94" s="32">
        <f t="shared" si="5"/>
        <v>0</v>
      </c>
      <c r="R94" s="32">
        <f t="shared" si="9"/>
        <v>0</v>
      </c>
      <c r="S94" s="32">
        <f t="shared" si="9"/>
        <v>0</v>
      </c>
      <c r="T94" s="32">
        <f t="shared" si="9"/>
        <v>0</v>
      </c>
      <c r="U94" s="33">
        <f t="shared" si="8"/>
        <v>0</v>
      </c>
      <c r="V94" s="33">
        <f t="shared" si="8"/>
        <v>0</v>
      </c>
      <c r="W94" s="33">
        <f t="shared" si="8"/>
        <v>0</v>
      </c>
      <c r="X94" s="33">
        <f t="shared" si="7"/>
        <v>0</v>
      </c>
    </row>
    <row r="95" spans="1:24" ht="20" customHeight="1">
      <c r="A95" s="15"/>
      <c r="B95" s="16"/>
      <c r="C95" s="17"/>
      <c r="D95" s="17"/>
      <c r="E95" s="17"/>
      <c r="F95" s="17"/>
      <c r="G95" s="17"/>
      <c r="H95" s="17"/>
      <c r="I95" s="17"/>
      <c r="J95" s="20"/>
      <c r="L95" s="32">
        <f t="shared" si="5"/>
        <v>0</v>
      </c>
      <c r="M95" s="32">
        <f t="shared" si="5"/>
        <v>0</v>
      </c>
      <c r="N95" s="32">
        <f t="shared" si="5"/>
        <v>0</v>
      </c>
      <c r="O95" s="32">
        <f t="shared" si="5"/>
        <v>0</v>
      </c>
      <c r="P95" s="32">
        <f t="shared" si="5"/>
        <v>0</v>
      </c>
      <c r="Q95" s="32">
        <f t="shared" si="5"/>
        <v>0</v>
      </c>
      <c r="R95" s="32">
        <f t="shared" si="9"/>
        <v>0</v>
      </c>
      <c r="S95" s="32">
        <f t="shared" si="9"/>
        <v>0</v>
      </c>
      <c r="T95" s="32">
        <f t="shared" si="9"/>
        <v>0</v>
      </c>
      <c r="U95" s="33">
        <f t="shared" si="8"/>
        <v>0</v>
      </c>
      <c r="V95" s="33">
        <f t="shared" si="8"/>
        <v>0</v>
      </c>
      <c r="W95" s="33">
        <f t="shared" si="8"/>
        <v>0</v>
      </c>
      <c r="X95" s="33">
        <f t="shared" si="7"/>
        <v>0</v>
      </c>
    </row>
    <row r="96" spans="1:24" ht="20" customHeight="1">
      <c r="A96" s="15"/>
      <c r="B96" s="16"/>
      <c r="C96" s="17"/>
      <c r="D96" s="17"/>
      <c r="E96" s="17"/>
      <c r="F96" s="17"/>
      <c r="G96" s="17"/>
      <c r="H96" s="17"/>
      <c r="I96" s="17"/>
      <c r="J96" s="20"/>
      <c r="L96" s="32">
        <f t="shared" si="5"/>
        <v>0</v>
      </c>
      <c r="M96" s="32">
        <f t="shared" si="5"/>
        <v>0</v>
      </c>
      <c r="N96" s="32">
        <f t="shared" si="5"/>
        <v>0</v>
      </c>
      <c r="O96" s="32">
        <f t="shared" si="5"/>
        <v>0</v>
      </c>
      <c r="P96" s="32">
        <f t="shared" si="5"/>
        <v>0</v>
      </c>
      <c r="Q96" s="32">
        <f t="shared" si="5"/>
        <v>0</v>
      </c>
      <c r="R96" s="32">
        <f t="shared" si="9"/>
        <v>0</v>
      </c>
      <c r="S96" s="32">
        <f t="shared" si="9"/>
        <v>0</v>
      </c>
      <c r="T96" s="32">
        <f t="shared" si="9"/>
        <v>0</v>
      </c>
      <c r="U96" s="33">
        <f t="shared" si="8"/>
        <v>0</v>
      </c>
      <c r="V96" s="33">
        <f t="shared" si="8"/>
        <v>0</v>
      </c>
      <c r="W96" s="33">
        <f t="shared" si="8"/>
        <v>0</v>
      </c>
      <c r="X96" s="33">
        <f t="shared" si="7"/>
        <v>0</v>
      </c>
    </row>
    <row r="97" spans="1:24" ht="20" customHeight="1">
      <c r="A97" s="15"/>
      <c r="B97" s="16"/>
      <c r="C97" s="17"/>
      <c r="D97" s="17"/>
      <c r="E97" s="17"/>
      <c r="F97" s="17"/>
      <c r="G97" s="17"/>
      <c r="H97" s="17"/>
      <c r="I97" s="17"/>
      <c r="J97" s="20"/>
      <c r="L97" s="32">
        <f t="shared" si="5"/>
        <v>0</v>
      </c>
      <c r="M97" s="32">
        <f t="shared" si="5"/>
        <v>0</v>
      </c>
      <c r="N97" s="32">
        <f t="shared" si="5"/>
        <v>0</v>
      </c>
      <c r="O97" s="32">
        <f t="shared" si="5"/>
        <v>0</v>
      </c>
      <c r="P97" s="32">
        <f t="shared" si="5"/>
        <v>0</v>
      </c>
      <c r="Q97" s="32">
        <f t="shared" si="5"/>
        <v>0</v>
      </c>
      <c r="R97" s="32">
        <f t="shared" si="9"/>
        <v>0</v>
      </c>
      <c r="S97" s="32">
        <f t="shared" si="9"/>
        <v>0</v>
      </c>
      <c r="T97" s="32">
        <f t="shared" si="9"/>
        <v>0</v>
      </c>
      <c r="U97" s="33">
        <f t="shared" si="8"/>
        <v>0</v>
      </c>
      <c r="V97" s="33">
        <f t="shared" si="8"/>
        <v>0</v>
      </c>
      <c r="W97" s="33">
        <f t="shared" si="8"/>
        <v>0</v>
      </c>
      <c r="X97" s="33">
        <f t="shared" si="7"/>
        <v>0</v>
      </c>
    </row>
    <row r="98" spans="1:24" ht="20" customHeight="1">
      <c r="A98" s="15"/>
      <c r="B98" s="16"/>
      <c r="C98" s="17"/>
      <c r="D98" s="17"/>
      <c r="E98" s="17"/>
      <c r="F98" s="17"/>
      <c r="G98" s="17"/>
      <c r="H98" s="17"/>
      <c r="I98" s="17"/>
      <c r="J98" s="20"/>
      <c r="L98" s="32">
        <f t="shared" si="5"/>
        <v>0</v>
      </c>
      <c r="M98" s="32">
        <f t="shared" si="5"/>
        <v>0</v>
      </c>
      <c r="N98" s="32">
        <f t="shared" si="5"/>
        <v>0</v>
      </c>
      <c r="O98" s="32">
        <f t="shared" si="5"/>
        <v>0</v>
      </c>
      <c r="P98" s="32">
        <f t="shared" si="5"/>
        <v>0</v>
      </c>
      <c r="Q98" s="32">
        <f t="shared" si="5"/>
        <v>0</v>
      </c>
      <c r="R98" s="32">
        <f t="shared" si="9"/>
        <v>0</v>
      </c>
      <c r="S98" s="32">
        <f t="shared" si="9"/>
        <v>0</v>
      </c>
      <c r="T98" s="32">
        <f t="shared" si="9"/>
        <v>0</v>
      </c>
      <c r="U98" s="33">
        <f t="shared" si="8"/>
        <v>0</v>
      </c>
      <c r="V98" s="33">
        <f t="shared" si="8"/>
        <v>0</v>
      </c>
      <c r="W98" s="33">
        <f t="shared" si="8"/>
        <v>0</v>
      </c>
      <c r="X98" s="33">
        <f t="shared" si="7"/>
        <v>0</v>
      </c>
    </row>
    <row r="99" spans="1:24" ht="16.75" customHeight="1">
      <c r="A99" s="15"/>
      <c r="B99" s="16"/>
      <c r="C99" s="17"/>
      <c r="D99" s="17"/>
      <c r="E99" s="17"/>
      <c r="F99" s="17"/>
      <c r="G99" s="17"/>
      <c r="H99" s="17"/>
      <c r="I99" s="17"/>
      <c r="J99" s="20"/>
      <c r="L99" s="32">
        <f t="shared" si="5"/>
        <v>0</v>
      </c>
      <c r="M99" s="32">
        <f t="shared" si="5"/>
        <v>0</v>
      </c>
      <c r="N99" s="32">
        <f t="shared" si="5"/>
        <v>0</v>
      </c>
      <c r="O99" s="32">
        <f t="shared" si="5"/>
        <v>0</v>
      </c>
      <c r="P99" s="32">
        <f t="shared" si="5"/>
        <v>0</v>
      </c>
      <c r="Q99" s="32">
        <f t="shared" si="5"/>
        <v>0</v>
      </c>
      <c r="R99" s="32">
        <f t="shared" si="9"/>
        <v>0</v>
      </c>
      <c r="S99" s="32">
        <f t="shared" si="9"/>
        <v>0</v>
      </c>
      <c r="T99" s="32">
        <f t="shared" si="9"/>
        <v>0</v>
      </c>
      <c r="U99" s="33">
        <f t="shared" si="8"/>
        <v>0</v>
      </c>
      <c r="V99" s="33">
        <f t="shared" si="8"/>
        <v>0</v>
      </c>
      <c r="W99" s="33">
        <f t="shared" si="8"/>
        <v>0</v>
      </c>
      <c r="X99" s="33">
        <f t="shared" si="7"/>
        <v>0</v>
      </c>
    </row>
    <row r="100" spans="1:24" ht="20" customHeight="1">
      <c r="A100" s="15"/>
      <c r="B100" s="16"/>
      <c r="C100" s="17"/>
      <c r="D100" s="17"/>
      <c r="E100" s="17"/>
      <c r="F100" s="17"/>
      <c r="G100" s="17"/>
      <c r="H100" s="17"/>
      <c r="I100" s="17"/>
      <c r="J100" s="20"/>
      <c r="L100" s="32">
        <f t="shared" si="5"/>
        <v>0</v>
      </c>
      <c r="M100" s="32">
        <f t="shared" si="5"/>
        <v>0</v>
      </c>
      <c r="N100" s="32">
        <f t="shared" si="5"/>
        <v>0</v>
      </c>
      <c r="O100" s="32">
        <f t="shared" si="5"/>
        <v>0</v>
      </c>
      <c r="P100" s="32">
        <f t="shared" si="5"/>
        <v>0</v>
      </c>
      <c r="Q100" s="32">
        <f t="shared" si="5"/>
        <v>0</v>
      </c>
      <c r="R100" s="32">
        <f t="shared" si="9"/>
        <v>0</v>
      </c>
      <c r="S100" s="32">
        <f t="shared" si="9"/>
        <v>0</v>
      </c>
      <c r="T100" s="32">
        <f t="shared" si="9"/>
        <v>0</v>
      </c>
      <c r="U100" s="33">
        <f t="shared" si="8"/>
        <v>0</v>
      </c>
      <c r="V100" s="33">
        <f t="shared" si="8"/>
        <v>0</v>
      </c>
      <c r="W100" s="33">
        <f t="shared" si="8"/>
        <v>0</v>
      </c>
      <c r="X100" s="33">
        <f t="shared" si="7"/>
        <v>0</v>
      </c>
    </row>
    <row r="101" spans="1:24" ht="20" customHeight="1">
      <c r="A101" s="15"/>
      <c r="B101" s="16"/>
      <c r="C101" s="17"/>
      <c r="D101" s="17"/>
      <c r="E101" s="17"/>
      <c r="F101" s="17"/>
      <c r="G101" s="17"/>
      <c r="H101" s="17"/>
      <c r="I101" s="17"/>
      <c r="J101" s="20"/>
      <c r="L101" s="32">
        <f t="shared" si="5"/>
        <v>0</v>
      </c>
      <c r="M101" s="32">
        <f t="shared" si="5"/>
        <v>0</v>
      </c>
      <c r="N101" s="32">
        <f t="shared" si="5"/>
        <v>0</v>
      </c>
      <c r="O101" s="32">
        <f t="shared" ref="O101:Q116" si="10">IFERROR(E102-E101,0)</f>
        <v>0</v>
      </c>
      <c r="P101" s="32">
        <f t="shared" si="10"/>
        <v>0</v>
      </c>
      <c r="Q101" s="32">
        <f t="shared" si="10"/>
        <v>0</v>
      </c>
      <c r="R101" s="32">
        <f t="shared" si="9"/>
        <v>0</v>
      </c>
      <c r="S101" s="32">
        <f t="shared" si="9"/>
        <v>0</v>
      </c>
      <c r="T101" s="32">
        <f t="shared" si="9"/>
        <v>0</v>
      </c>
      <c r="U101" s="33">
        <f t="shared" si="8"/>
        <v>0</v>
      </c>
      <c r="V101" s="33">
        <f t="shared" si="8"/>
        <v>0</v>
      </c>
      <c r="W101" s="33">
        <f t="shared" si="8"/>
        <v>0</v>
      </c>
      <c r="X101" s="33">
        <f t="shared" si="7"/>
        <v>0</v>
      </c>
    </row>
    <row r="102" spans="1:24" ht="20" customHeight="1">
      <c r="A102" s="15"/>
      <c r="B102" s="16"/>
      <c r="C102" s="17"/>
      <c r="D102" s="17"/>
      <c r="E102" s="17"/>
      <c r="F102" s="17"/>
      <c r="G102" s="17"/>
      <c r="H102" s="17"/>
      <c r="I102" s="17"/>
      <c r="J102" s="20"/>
      <c r="L102" s="32">
        <f t="shared" ref="L102:N116" si="11">IFERROR(B103-B102,0)</f>
        <v>0</v>
      </c>
      <c r="M102" s="32">
        <f t="shared" si="11"/>
        <v>0</v>
      </c>
      <c r="N102" s="32">
        <f t="shared" si="11"/>
        <v>0</v>
      </c>
      <c r="O102" s="32">
        <f t="shared" si="10"/>
        <v>0</v>
      </c>
      <c r="P102" s="32">
        <f t="shared" si="10"/>
        <v>0</v>
      </c>
      <c r="Q102" s="32">
        <f t="shared" si="10"/>
        <v>0</v>
      </c>
      <c r="R102" s="32">
        <f t="shared" si="9"/>
        <v>0</v>
      </c>
      <c r="S102" s="32">
        <f t="shared" si="9"/>
        <v>0</v>
      </c>
      <c r="T102" s="32">
        <f t="shared" si="9"/>
        <v>0</v>
      </c>
      <c r="U102" s="33">
        <f t="shared" si="8"/>
        <v>0</v>
      </c>
      <c r="V102" s="33">
        <f t="shared" si="8"/>
        <v>0</v>
      </c>
      <c r="W102" s="33">
        <f t="shared" si="8"/>
        <v>0</v>
      </c>
      <c r="X102" s="33">
        <f t="shared" ref="X102:X117" si="12">O102+P102+T102</f>
        <v>0</v>
      </c>
    </row>
    <row r="103" spans="1:24" ht="20" customHeight="1">
      <c r="A103" s="15"/>
      <c r="B103" s="16"/>
      <c r="C103" s="17"/>
      <c r="D103" s="17"/>
      <c r="E103" s="17"/>
      <c r="F103" s="17"/>
      <c r="G103" s="17"/>
      <c r="H103" s="17"/>
      <c r="I103" s="17"/>
      <c r="J103" s="20"/>
      <c r="L103" s="32">
        <f t="shared" si="11"/>
        <v>0</v>
      </c>
      <c r="M103" s="32">
        <f t="shared" si="11"/>
        <v>0</v>
      </c>
      <c r="N103" s="32">
        <f t="shared" si="11"/>
        <v>0</v>
      </c>
      <c r="O103" s="32">
        <f t="shared" si="10"/>
        <v>0</v>
      </c>
      <c r="P103" s="32">
        <f t="shared" si="10"/>
        <v>0</v>
      </c>
      <c r="Q103" s="32">
        <f t="shared" si="10"/>
        <v>0</v>
      </c>
      <c r="R103" s="32">
        <f t="shared" si="9"/>
        <v>0</v>
      </c>
      <c r="S103" s="32">
        <f t="shared" si="9"/>
        <v>0</v>
      </c>
      <c r="T103" s="32">
        <f t="shared" si="9"/>
        <v>0</v>
      </c>
      <c r="U103" s="33">
        <f t="shared" si="8"/>
        <v>0</v>
      </c>
      <c r="V103" s="33">
        <f t="shared" si="8"/>
        <v>0</v>
      </c>
      <c r="W103" s="33">
        <f t="shared" si="8"/>
        <v>0</v>
      </c>
      <c r="X103" s="33">
        <f t="shared" si="12"/>
        <v>0</v>
      </c>
    </row>
    <row r="104" spans="1:24" ht="20" customHeight="1">
      <c r="A104" s="15"/>
      <c r="B104" s="16"/>
      <c r="C104" s="17"/>
      <c r="D104" s="17"/>
      <c r="E104" s="17"/>
      <c r="F104" s="17"/>
      <c r="G104" s="17"/>
      <c r="H104" s="17"/>
      <c r="I104" s="17"/>
      <c r="J104" s="20"/>
      <c r="L104" s="32">
        <f t="shared" si="11"/>
        <v>0</v>
      </c>
      <c r="M104" s="32">
        <f t="shared" si="11"/>
        <v>0</v>
      </c>
      <c r="N104" s="32">
        <f t="shared" si="11"/>
        <v>0</v>
      </c>
      <c r="O104" s="32">
        <f t="shared" si="10"/>
        <v>0</v>
      </c>
      <c r="P104" s="32">
        <f t="shared" si="10"/>
        <v>0</v>
      </c>
      <c r="Q104" s="32">
        <f t="shared" si="10"/>
        <v>0</v>
      </c>
      <c r="R104" s="32">
        <f t="shared" si="9"/>
        <v>0</v>
      </c>
      <c r="S104" s="32">
        <f t="shared" si="9"/>
        <v>0</v>
      </c>
      <c r="T104" s="32">
        <f t="shared" si="9"/>
        <v>0</v>
      </c>
      <c r="U104" s="33">
        <f t="shared" si="8"/>
        <v>0</v>
      </c>
      <c r="V104" s="33">
        <f t="shared" si="8"/>
        <v>0</v>
      </c>
      <c r="W104" s="33">
        <f t="shared" si="8"/>
        <v>0</v>
      </c>
      <c r="X104" s="33">
        <f t="shared" si="12"/>
        <v>0</v>
      </c>
    </row>
    <row r="105" spans="1:24" ht="20" customHeight="1">
      <c r="A105" s="15"/>
      <c r="B105" s="16"/>
      <c r="C105" s="17"/>
      <c r="D105" s="17"/>
      <c r="E105" s="17"/>
      <c r="F105" s="17"/>
      <c r="G105" s="17"/>
      <c r="H105" s="17"/>
      <c r="I105" s="17"/>
      <c r="J105" s="20"/>
      <c r="L105" s="32">
        <f t="shared" si="11"/>
        <v>0</v>
      </c>
      <c r="M105" s="32">
        <f t="shared" si="11"/>
        <v>0</v>
      </c>
      <c r="N105" s="32">
        <f t="shared" si="11"/>
        <v>0</v>
      </c>
      <c r="O105" s="32">
        <f t="shared" si="10"/>
        <v>0</v>
      </c>
      <c r="P105" s="32">
        <f t="shared" si="10"/>
        <v>0</v>
      </c>
      <c r="Q105" s="32">
        <f t="shared" si="10"/>
        <v>0</v>
      </c>
      <c r="R105" s="32">
        <f t="shared" si="9"/>
        <v>0</v>
      </c>
      <c r="S105" s="32">
        <f t="shared" si="9"/>
        <v>0</v>
      </c>
      <c r="T105" s="32">
        <f t="shared" si="9"/>
        <v>0</v>
      </c>
      <c r="U105" s="33">
        <f t="shared" si="8"/>
        <v>0</v>
      </c>
      <c r="V105" s="33">
        <f t="shared" si="8"/>
        <v>0</v>
      </c>
      <c r="W105" s="33">
        <f t="shared" si="8"/>
        <v>0</v>
      </c>
      <c r="X105" s="33">
        <f t="shared" si="12"/>
        <v>0</v>
      </c>
    </row>
    <row r="106" spans="1:24" ht="20" customHeight="1">
      <c r="A106" s="15"/>
      <c r="B106" s="16"/>
      <c r="C106" s="17"/>
      <c r="D106" s="17"/>
      <c r="E106" s="17"/>
      <c r="F106" s="17"/>
      <c r="G106" s="17"/>
      <c r="H106" s="17"/>
      <c r="I106" s="17"/>
      <c r="J106" s="20"/>
      <c r="L106" s="32">
        <f t="shared" si="11"/>
        <v>0</v>
      </c>
      <c r="M106" s="32">
        <f t="shared" si="11"/>
        <v>0</v>
      </c>
      <c r="N106" s="32">
        <f t="shared" si="11"/>
        <v>0</v>
      </c>
      <c r="O106" s="32">
        <f t="shared" si="10"/>
        <v>0</v>
      </c>
      <c r="P106" s="32">
        <f t="shared" si="10"/>
        <v>0</v>
      </c>
      <c r="Q106" s="32">
        <f t="shared" si="10"/>
        <v>0</v>
      </c>
      <c r="R106" s="32">
        <f t="shared" si="9"/>
        <v>0</v>
      </c>
      <c r="S106" s="32">
        <f t="shared" si="9"/>
        <v>0</v>
      </c>
      <c r="T106" s="32">
        <f t="shared" si="9"/>
        <v>0</v>
      </c>
      <c r="U106" s="33">
        <f t="shared" si="8"/>
        <v>0</v>
      </c>
      <c r="V106" s="33">
        <f t="shared" si="8"/>
        <v>0</v>
      </c>
      <c r="W106" s="33">
        <f t="shared" si="8"/>
        <v>0</v>
      </c>
      <c r="X106" s="33">
        <f t="shared" si="12"/>
        <v>0</v>
      </c>
    </row>
    <row r="107" spans="1:24" ht="20" customHeight="1">
      <c r="A107" s="15"/>
      <c r="B107" s="16"/>
      <c r="C107" s="17"/>
      <c r="D107" s="17"/>
      <c r="E107" s="17"/>
      <c r="F107" s="17"/>
      <c r="G107" s="17"/>
      <c r="H107" s="17"/>
      <c r="I107" s="17"/>
      <c r="J107" s="20"/>
      <c r="L107" s="32">
        <f t="shared" si="11"/>
        <v>0</v>
      </c>
      <c r="M107" s="32">
        <f t="shared" si="11"/>
        <v>0</v>
      </c>
      <c r="N107" s="32">
        <f t="shared" si="11"/>
        <v>0</v>
      </c>
      <c r="O107" s="32">
        <f t="shared" si="10"/>
        <v>0</v>
      </c>
      <c r="P107" s="32">
        <f t="shared" si="10"/>
        <v>0</v>
      </c>
      <c r="Q107" s="32">
        <f t="shared" si="10"/>
        <v>0</v>
      </c>
      <c r="R107" s="32">
        <f t="shared" si="9"/>
        <v>0</v>
      </c>
      <c r="S107" s="32">
        <f t="shared" si="9"/>
        <v>0</v>
      </c>
      <c r="T107" s="32">
        <f t="shared" si="9"/>
        <v>0</v>
      </c>
      <c r="U107" s="33">
        <f t="shared" si="8"/>
        <v>0</v>
      </c>
      <c r="V107" s="33">
        <f t="shared" si="8"/>
        <v>0</v>
      </c>
      <c r="W107" s="33">
        <f t="shared" si="8"/>
        <v>0</v>
      </c>
      <c r="X107" s="33">
        <f t="shared" si="12"/>
        <v>0</v>
      </c>
    </row>
    <row r="108" spans="1:24" ht="20" customHeight="1">
      <c r="A108" s="15"/>
      <c r="B108" s="16"/>
      <c r="C108" s="17"/>
      <c r="D108" s="17"/>
      <c r="E108" s="17"/>
      <c r="F108" s="17"/>
      <c r="G108" s="17"/>
      <c r="H108" s="17"/>
      <c r="I108" s="17"/>
      <c r="J108" s="20"/>
      <c r="L108" s="32">
        <f t="shared" si="11"/>
        <v>0</v>
      </c>
      <c r="M108" s="32">
        <f t="shared" si="11"/>
        <v>0</v>
      </c>
      <c r="N108" s="32">
        <f t="shared" si="11"/>
        <v>0</v>
      </c>
      <c r="O108" s="32">
        <f t="shared" si="10"/>
        <v>0</v>
      </c>
      <c r="P108" s="32">
        <f t="shared" si="10"/>
        <v>0</v>
      </c>
      <c r="Q108" s="32">
        <f t="shared" si="10"/>
        <v>0</v>
      </c>
      <c r="R108" s="32">
        <f t="shared" si="9"/>
        <v>0</v>
      </c>
      <c r="S108" s="32">
        <f t="shared" si="9"/>
        <v>0</v>
      </c>
      <c r="T108" s="32">
        <f t="shared" si="9"/>
        <v>0</v>
      </c>
      <c r="U108" s="33">
        <f t="shared" si="8"/>
        <v>0</v>
      </c>
      <c r="V108" s="33">
        <f t="shared" si="8"/>
        <v>0</v>
      </c>
      <c r="W108" s="33">
        <f t="shared" si="8"/>
        <v>0</v>
      </c>
      <c r="X108" s="33">
        <f t="shared" si="12"/>
        <v>0</v>
      </c>
    </row>
    <row r="109" spans="1:24" ht="20" customHeight="1">
      <c r="A109" s="15"/>
      <c r="B109" s="16"/>
      <c r="C109" s="17"/>
      <c r="D109" s="17"/>
      <c r="E109" s="17"/>
      <c r="F109" s="17"/>
      <c r="G109" s="17"/>
      <c r="H109" s="17"/>
      <c r="I109" s="17"/>
      <c r="J109" s="20"/>
      <c r="L109" s="32">
        <f t="shared" si="11"/>
        <v>0</v>
      </c>
      <c r="M109" s="32">
        <f t="shared" si="11"/>
        <v>0</v>
      </c>
      <c r="N109" s="32">
        <f t="shared" si="11"/>
        <v>0</v>
      </c>
      <c r="O109" s="32">
        <f t="shared" si="10"/>
        <v>0</v>
      </c>
      <c r="P109" s="32">
        <f t="shared" si="10"/>
        <v>0</v>
      </c>
      <c r="Q109" s="32">
        <f t="shared" si="10"/>
        <v>0</v>
      </c>
      <c r="R109" s="32">
        <f t="shared" si="9"/>
        <v>0</v>
      </c>
      <c r="S109" s="32">
        <f t="shared" si="9"/>
        <v>0</v>
      </c>
      <c r="T109" s="32">
        <f t="shared" si="9"/>
        <v>0</v>
      </c>
      <c r="U109" s="33">
        <f t="shared" si="8"/>
        <v>0</v>
      </c>
      <c r="V109" s="33">
        <f t="shared" si="8"/>
        <v>0</v>
      </c>
      <c r="W109" s="33">
        <f t="shared" si="8"/>
        <v>0</v>
      </c>
      <c r="X109" s="33">
        <f t="shared" si="12"/>
        <v>0</v>
      </c>
    </row>
    <row r="110" spans="1:24" ht="20" customHeight="1">
      <c r="A110" s="15"/>
      <c r="B110" s="16"/>
      <c r="C110" s="17"/>
      <c r="D110" s="17"/>
      <c r="E110" s="17"/>
      <c r="F110" s="17"/>
      <c r="G110" s="17"/>
      <c r="H110" s="17"/>
      <c r="I110" s="17"/>
      <c r="J110" s="20"/>
      <c r="L110" s="32">
        <f t="shared" si="11"/>
        <v>0</v>
      </c>
      <c r="M110" s="32">
        <f t="shared" si="11"/>
        <v>0</v>
      </c>
      <c r="N110" s="32">
        <f t="shared" si="11"/>
        <v>0</v>
      </c>
      <c r="O110" s="32">
        <f t="shared" si="10"/>
        <v>0</v>
      </c>
      <c r="P110" s="32">
        <f t="shared" si="10"/>
        <v>0</v>
      </c>
      <c r="Q110" s="32">
        <f t="shared" si="10"/>
        <v>0</v>
      </c>
      <c r="R110" s="32">
        <f t="shared" si="9"/>
        <v>0</v>
      </c>
      <c r="S110" s="32">
        <f t="shared" si="9"/>
        <v>0</v>
      </c>
      <c r="T110" s="32">
        <f t="shared" si="9"/>
        <v>0</v>
      </c>
      <c r="U110" s="33">
        <f t="shared" si="8"/>
        <v>0</v>
      </c>
      <c r="V110" s="33">
        <f t="shared" si="8"/>
        <v>0</v>
      </c>
      <c r="W110" s="33">
        <f t="shared" si="8"/>
        <v>0</v>
      </c>
      <c r="X110" s="33">
        <f t="shared" si="12"/>
        <v>0</v>
      </c>
    </row>
    <row r="111" spans="1:24" ht="20" customHeight="1">
      <c r="A111" s="15"/>
      <c r="B111" s="16"/>
      <c r="C111" s="17"/>
      <c r="D111" s="17"/>
      <c r="E111" s="17"/>
      <c r="F111" s="17"/>
      <c r="G111" s="17"/>
      <c r="H111" s="17"/>
      <c r="I111" s="17"/>
      <c r="J111" s="20"/>
      <c r="L111" s="32">
        <f t="shared" si="11"/>
        <v>0</v>
      </c>
      <c r="M111" s="32">
        <f t="shared" si="11"/>
        <v>0</v>
      </c>
      <c r="N111" s="32">
        <f t="shared" si="11"/>
        <v>0</v>
      </c>
      <c r="O111" s="32">
        <f t="shared" si="10"/>
        <v>0</v>
      </c>
      <c r="P111" s="32">
        <f t="shared" si="10"/>
        <v>0</v>
      </c>
      <c r="Q111" s="32">
        <f t="shared" si="10"/>
        <v>0</v>
      </c>
      <c r="R111" s="32">
        <f t="shared" si="9"/>
        <v>0</v>
      </c>
      <c r="S111" s="32">
        <f t="shared" si="9"/>
        <v>0</v>
      </c>
      <c r="T111" s="32">
        <f t="shared" si="9"/>
        <v>0</v>
      </c>
      <c r="U111" s="33">
        <f t="shared" si="8"/>
        <v>0</v>
      </c>
      <c r="V111" s="33">
        <f t="shared" si="8"/>
        <v>0</v>
      </c>
      <c r="W111" s="33">
        <f t="shared" si="8"/>
        <v>0</v>
      </c>
      <c r="X111" s="33">
        <f t="shared" si="12"/>
        <v>0</v>
      </c>
    </row>
    <row r="112" spans="1:24" ht="20" customHeight="1">
      <c r="A112" s="15"/>
      <c r="B112" s="16"/>
      <c r="C112" s="17"/>
      <c r="D112" s="17"/>
      <c r="E112" s="17"/>
      <c r="F112" s="17"/>
      <c r="G112" s="17"/>
      <c r="H112" s="17"/>
      <c r="I112" s="17"/>
      <c r="J112" s="20"/>
      <c r="L112" s="32">
        <f t="shared" si="11"/>
        <v>0</v>
      </c>
      <c r="M112" s="32">
        <f t="shared" si="11"/>
        <v>0</v>
      </c>
      <c r="N112" s="32">
        <f t="shared" si="11"/>
        <v>0</v>
      </c>
      <c r="O112" s="32">
        <f t="shared" si="10"/>
        <v>0</v>
      </c>
      <c r="P112" s="32">
        <f t="shared" si="10"/>
        <v>0</v>
      </c>
      <c r="Q112" s="32">
        <f t="shared" si="10"/>
        <v>0</v>
      </c>
      <c r="R112" s="32">
        <f t="shared" si="9"/>
        <v>0</v>
      </c>
      <c r="S112" s="32">
        <f t="shared" si="9"/>
        <v>0</v>
      </c>
      <c r="T112" s="32">
        <f t="shared" si="9"/>
        <v>0</v>
      </c>
      <c r="U112" s="33">
        <f t="shared" si="8"/>
        <v>0</v>
      </c>
      <c r="V112" s="33">
        <f t="shared" si="8"/>
        <v>0</v>
      </c>
      <c r="W112" s="33">
        <f t="shared" si="8"/>
        <v>0</v>
      </c>
      <c r="X112" s="33">
        <f t="shared" si="12"/>
        <v>0</v>
      </c>
    </row>
    <row r="113" spans="1:24" ht="20" customHeight="1">
      <c r="A113" s="15"/>
      <c r="B113" s="16"/>
      <c r="C113" s="17"/>
      <c r="D113" s="17"/>
      <c r="E113" s="17"/>
      <c r="F113" s="17"/>
      <c r="G113" s="17"/>
      <c r="H113" s="17"/>
      <c r="I113" s="17"/>
      <c r="J113" s="20"/>
      <c r="L113" s="32">
        <f t="shared" si="11"/>
        <v>0</v>
      </c>
      <c r="M113" s="32">
        <f t="shared" si="11"/>
        <v>0</v>
      </c>
      <c r="N113" s="32">
        <f t="shared" si="11"/>
        <v>0</v>
      </c>
      <c r="O113" s="32">
        <f t="shared" si="10"/>
        <v>0</v>
      </c>
      <c r="P113" s="32">
        <f t="shared" si="10"/>
        <v>0</v>
      </c>
      <c r="Q113" s="32">
        <f t="shared" si="10"/>
        <v>0</v>
      </c>
      <c r="R113" s="32">
        <f t="shared" si="9"/>
        <v>0</v>
      </c>
      <c r="S113" s="32">
        <f t="shared" si="9"/>
        <v>0</v>
      </c>
      <c r="T113" s="32">
        <f t="shared" si="9"/>
        <v>0</v>
      </c>
      <c r="U113" s="33">
        <f t="shared" si="8"/>
        <v>0</v>
      </c>
      <c r="V113" s="33">
        <f t="shared" si="8"/>
        <v>0</v>
      </c>
      <c r="W113" s="33">
        <f t="shared" si="8"/>
        <v>0</v>
      </c>
      <c r="X113" s="33">
        <f t="shared" si="12"/>
        <v>0</v>
      </c>
    </row>
    <row r="114" spans="1:24" ht="20" customHeight="1">
      <c r="A114" s="15"/>
      <c r="B114" s="16"/>
      <c r="C114" s="17"/>
      <c r="D114" s="17"/>
      <c r="E114" s="17"/>
      <c r="F114" s="17"/>
      <c r="G114" s="17"/>
      <c r="H114" s="17"/>
      <c r="I114" s="17"/>
      <c r="J114" s="20"/>
      <c r="L114" s="32">
        <f t="shared" si="11"/>
        <v>0</v>
      </c>
      <c r="M114" s="32">
        <f t="shared" si="11"/>
        <v>0</v>
      </c>
      <c r="N114" s="32">
        <f t="shared" si="11"/>
        <v>0</v>
      </c>
      <c r="O114" s="32">
        <f t="shared" si="10"/>
        <v>0</v>
      </c>
      <c r="P114" s="32">
        <f t="shared" si="10"/>
        <v>0</v>
      </c>
      <c r="Q114" s="32">
        <f t="shared" si="10"/>
        <v>0</v>
      </c>
      <c r="R114" s="32">
        <f t="shared" si="9"/>
        <v>0</v>
      </c>
      <c r="S114" s="32">
        <f t="shared" si="9"/>
        <v>0</v>
      </c>
      <c r="T114" s="32">
        <f t="shared" si="9"/>
        <v>0</v>
      </c>
      <c r="U114" s="33">
        <f t="shared" si="8"/>
        <v>0</v>
      </c>
      <c r="V114" s="33">
        <f t="shared" si="8"/>
        <v>0</v>
      </c>
      <c r="W114" s="33">
        <f t="shared" si="8"/>
        <v>0</v>
      </c>
      <c r="X114" s="33">
        <f t="shared" si="12"/>
        <v>0</v>
      </c>
    </row>
    <row r="115" spans="1:24" ht="20" customHeight="1">
      <c r="A115" s="15"/>
      <c r="B115" s="16"/>
      <c r="C115" s="17"/>
      <c r="D115" s="17"/>
      <c r="E115" s="17"/>
      <c r="F115" s="17"/>
      <c r="G115" s="17"/>
      <c r="H115" s="17"/>
      <c r="I115" s="17"/>
      <c r="J115" s="20"/>
      <c r="L115" s="32">
        <f t="shared" si="11"/>
        <v>0</v>
      </c>
      <c r="M115" s="32">
        <f t="shared" si="11"/>
        <v>0</v>
      </c>
      <c r="N115" s="32">
        <f t="shared" si="11"/>
        <v>0</v>
      </c>
      <c r="O115" s="32">
        <f t="shared" si="10"/>
        <v>0</v>
      </c>
      <c r="P115" s="32">
        <f t="shared" si="10"/>
        <v>0</v>
      </c>
      <c r="Q115" s="32">
        <f t="shared" si="10"/>
        <v>0</v>
      </c>
      <c r="R115" s="32">
        <f t="shared" si="9"/>
        <v>0</v>
      </c>
      <c r="S115" s="32">
        <f t="shared" si="9"/>
        <v>0</v>
      </c>
      <c r="T115" s="32">
        <f t="shared" si="9"/>
        <v>0</v>
      </c>
      <c r="U115" s="33">
        <f t="shared" si="8"/>
        <v>0</v>
      </c>
      <c r="V115" s="33">
        <f t="shared" si="8"/>
        <v>0</v>
      </c>
      <c r="W115" s="33">
        <f t="shared" si="8"/>
        <v>0</v>
      </c>
      <c r="X115" s="33">
        <f t="shared" si="12"/>
        <v>0</v>
      </c>
    </row>
    <row r="116" spans="1:24" ht="20" customHeight="1">
      <c r="A116" s="15"/>
      <c r="B116" s="16"/>
      <c r="C116" s="17"/>
      <c r="D116" s="17"/>
      <c r="E116" s="17"/>
      <c r="F116" s="17"/>
      <c r="G116" s="17"/>
      <c r="H116" s="17"/>
      <c r="I116" s="17"/>
      <c r="J116" s="20"/>
      <c r="L116" s="32">
        <f t="shared" si="11"/>
        <v>0</v>
      </c>
      <c r="M116" s="32">
        <f t="shared" si="11"/>
        <v>0</v>
      </c>
      <c r="N116" s="32">
        <f t="shared" si="11"/>
        <v>0</v>
      </c>
      <c r="O116" s="32">
        <f t="shared" si="10"/>
        <v>0</v>
      </c>
      <c r="P116" s="32">
        <f t="shared" si="10"/>
        <v>0</v>
      </c>
      <c r="Q116" s="32">
        <f t="shared" si="10"/>
        <v>0</v>
      </c>
      <c r="R116" s="32">
        <f t="shared" si="9"/>
        <v>0</v>
      </c>
      <c r="S116" s="32">
        <f t="shared" si="9"/>
        <v>0</v>
      </c>
      <c r="T116" s="32">
        <f t="shared" si="9"/>
        <v>0</v>
      </c>
      <c r="U116" s="33">
        <f t="shared" si="8"/>
        <v>0</v>
      </c>
      <c r="V116" s="33">
        <f t="shared" si="8"/>
        <v>0</v>
      </c>
      <c r="W116" s="33">
        <f t="shared" si="8"/>
        <v>0</v>
      </c>
      <c r="X116" s="33">
        <f t="shared" si="12"/>
        <v>0</v>
      </c>
    </row>
    <row r="117" spans="1:24" ht="16.75" customHeight="1">
      <c r="A117" s="15"/>
      <c r="B117" s="16"/>
      <c r="C117" s="17"/>
      <c r="D117" s="17"/>
      <c r="E117" s="17"/>
      <c r="F117" s="17"/>
      <c r="G117" s="17"/>
      <c r="H117" s="17"/>
      <c r="I117" s="17"/>
      <c r="J117" s="20"/>
      <c r="L117" s="21"/>
      <c r="M117" s="21"/>
      <c r="N117" s="21"/>
      <c r="O117" s="21"/>
      <c r="P117" s="21"/>
      <c r="Q117" s="21"/>
      <c r="R117" s="21"/>
      <c r="S117" s="21"/>
      <c r="T117" s="21"/>
      <c r="U117" s="22">
        <f t="shared" ref="U117:W117" si="13">L117+Q117</f>
        <v>0</v>
      </c>
      <c r="V117" s="22">
        <f t="shared" si="13"/>
        <v>0</v>
      </c>
      <c r="W117" s="22">
        <f t="shared" si="13"/>
        <v>0</v>
      </c>
      <c r="X117" s="22">
        <f t="shared" si="12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/>
  <cols>
    <col min="1" max="1" width="18.54296875" style="7" customWidth="1"/>
    <col min="2" max="2" width="11.26953125" style="7" customWidth="1"/>
    <col min="3" max="10" width="10.6328125" style="7" customWidth="1"/>
    <col min="11" max="11" width="8.7265625" style="7"/>
    <col min="12" max="19" width="15.453125" style="8" customWidth="1"/>
    <col min="20" max="20" width="11.26953125" style="8" customWidth="1"/>
    <col min="21" max="23" width="11.453125" style="7" customWidth="1"/>
    <col min="24" max="24" width="10.26953125" style="7" customWidth="1"/>
    <col min="25" max="16384" width="8.7265625" style="7"/>
  </cols>
  <sheetData>
    <row r="1" spans="1:24" ht="14.25" customHeight="1">
      <c r="A1" s="5" t="s">
        <v>144</v>
      </c>
      <c r="B1" s="5"/>
      <c r="C1" s="5"/>
      <c r="D1" s="6"/>
      <c r="E1" s="6"/>
      <c r="F1" s="6"/>
      <c r="G1" s="6"/>
      <c r="H1" s="6"/>
      <c r="I1" s="5" t="s">
        <v>145</v>
      </c>
      <c r="J1" s="5"/>
    </row>
    <row r="2" spans="1:24" ht="14.25" customHeight="1">
      <c r="A2" s="5" t="s">
        <v>146</v>
      </c>
      <c r="B2" s="5"/>
      <c r="C2" s="5"/>
      <c r="D2" s="6"/>
      <c r="E2" s="6"/>
      <c r="F2" s="6"/>
      <c r="G2" s="6"/>
      <c r="H2" s="6"/>
      <c r="I2" s="6"/>
      <c r="J2" s="6"/>
    </row>
    <row r="3" spans="1:24" ht="14.25" customHeight="1">
      <c r="A3" s="5" t="s">
        <v>147</v>
      </c>
      <c r="B3" s="5"/>
      <c r="C3" s="6"/>
      <c r="D3" s="6"/>
      <c r="E3" s="6"/>
      <c r="F3" s="6"/>
      <c r="G3" s="6"/>
      <c r="H3" s="6"/>
      <c r="I3" s="6"/>
      <c r="J3" s="6"/>
    </row>
    <row r="4" spans="1:24" ht="14.25" customHeight="1">
      <c r="A4" s="5" t="s">
        <v>148</v>
      </c>
      <c r="B4" s="5"/>
      <c r="C4" s="5"/>
      <c r="D4" s="6"/>
      <c r="E4" s="6"/>
      <c r="F4" s="6"/>
      <c r="G4" s="6"/>
      <c r="H4" s="6"/>
      <c r="I4" s="6"/>
      <c r="J4" s="6"/>
    </row>
    <row r="5" spans="1:24" ht="14.25" customHeight="1">
      <c r="A5" s="5" t="s">
        <v>149</v>
      </c>
      <c r="B5" s="5"/>
      <c r="C5" s="6"/>
      <c r="D5" s="6"/>
      <c r="E5" s="6"/>
      <c r="F5" s="6"/>
      <c r="G5" s="6"/>
      <c r="H5" s="6"/>
      <c r="I5" s="6"/>
      <c r="J5" s="6"/>
    </row>
    <row r="6" spans="1:24" ht="14.25" customHeight="1">
      <c r="A6" s="5" t="s">
        <v>150</v>
      </c>
      <c r="B6" s="5"/>
      <c r="C6" s="5"/>
      <c r="D6" s="6"/>
      <c r="E6" s="6"/>
      <c r="F6" s="6"/>
      <c r="G6" s="6"/>
      <c r="H6" s="6"/>
      <c r="I6" s="6"/>
      <c r="J6" s="6"/>
    </row>
    <row r="7" spans="1:24" ht="14.25" customHeight="1">
      <c r="A7" s="5" t="s">
        <v>151</v>
      </c>
      <c r="B7" s="5"/>
      <c r="C7" s="6"/>
      <c r="D7" s="6"/>
      <c r="E7" s="6"/>
      <c r="F7" s="6"/>
      <c r="G7" s="6"/>
      <c r="H7" s="6"/>
      <c r="I7" s="6"/>
      <c r="J7" s="6"/>
    </row>
    <row r="8" spans="1:24" ht="29" customHeight="1">
      <c r="A8" s="9" t="s">
        <v>152</v>
      </c>
      <c r="B8" s="9"/>
      <c r="C8" s="10"/>
      <c r="D8" s="10"/>
      <c r="E8" s="10"/>
      <c r="F8" s="10"/>
      <c r="G8" s="10"/>
      <c r="H8" s="10"/>
      <c r="I8" s="10"/>
      <c r="J8" s="10"/>
      <c r="L8" s="29">
        <f t="shared" ref="L8:X8" si="0">SUBTOTAL(9,L10:L11151)</f>
        <v>-395634.9</v>
      </c>
      <c r="M8" s="29">
        <f t="shared" si="0"/>
        <v>-216048.1</v>
      </c>
      <c r="N8" s="29">
        <f t="shared" si="0"/>
        <v>-34876.199999999997</v>
      </c>
      <c r="O8" s="29">
        <f t="shared" si="0"/>
        <v>-355078.5</v>
      </c>
      <c r="P8" s="29">
        <f t="shared" si="0"/>
        <v>-238362.8</v>
      </c>
      <c r="Q8" s="29">
        <f t="shared" si="0"/>
        <v>-502130.1</v>
      </c>
      <c r="R8" s="29">
        <f t="shared" si="0"/>
        <v>-303165.5</v>
      </c>
      <c r="S8" s="29">
        <f t="shared" si="0"/>
        <v>-671211.6</v>
      </c>
      <c r="T8" s="29">
        <f t="shared" si="0"/>
        <v>-1382335</v>
      </c>
      <c r="U8" s="29">
        <f t="shared" si="0"/>
        <v>-897765</v>
      </c>
      <c r="V8" s="29">
        <f t="shared" si="0"/>
        <v>-519213.6</v>
      </c>
      <c r="W8" s="29">
        <f t="shared" si="0"/>
        <v>-706087.79999999993</v>
      </c>
      <c r="X8" s="29">
        <f t="shared" si="0"/>
        <v>-1975776.2999999998</v>
      </c>
    </row>
    <row r="9" spans="1:24" ht="52">
      <c r="A9" s="11" t="s">
        <v>153</v>
      </c>
      <c r="B9" s="12" t="s">
        <v>154</v>
      </c>
      <c r="C9" s="11" t="s">
        <v>155</v>
      </c>
      <c r="D9" s="11" t="s">
        <v>156</v>
      </c>
      <c r="E9" s="11" t="s">
        <v>157</v>
      </c>
      <c r="F9" s="11" t="s">
        <v>158</v>
      </c>
      <c r="G9" s="11" t="s">
        <v>159</v>
      </c>
      <c r="H9" s="13" t="s">
        <v>160</v>
      </c>
      <c r="I9" s="14" t="s">
        <v>161</v>
      </c>
      <c r="J9" s="11" t="s">
        <v>162</v>
      </c>
      <c r="L9" s="30" t="s">
        <v>165</v>
      </c>
      <c r="M9" s="30" t="s">
        <v>166</v>
      </c>
      <c r="N9" s="30" t="s">
        <v>167</v>
      </c>
      <c r="O9" s="30" t="s">
        <v>168</v>
      </c>
      <c r="P9" s="30" t="s">
        <v>169</v>
      </c>
      <c r="Q9" s="30" t="s">
        <v>170</v>
      </c>
      <c r="R9" s="30" t="s">
        <v>171</v>
      </c>
      <c r="S9" s="30" t="s">
        <v>172</v>
      </c>
      <c r="T9" s="30" t="s">
        <v>173</v>
      </c>
      <c r="U9" s="31" t="s">
        <v>163</v>
      </c>
      <c r="V9" s="31" t="s">
        <v>126</v>
      </c>
      <c r="W9" s="31" t="s">
        <v>128</v>
      </c>
      <c r="X9" s="31" t="s">
        <v>164</v>
      </c>
    </row>
    <row r="10" spans="1:24" ht="20" customHeight="1">
      <c r="A10" s="15" t="s">
        <v>185</v>
      </c>
      <c r="B10" s="34">
        <v>395634.9</v>
      </c>
      <c r="C10" s="15" t="s">
        <v>176</v>
      </c>
      <c r="D10" s="35">
        <v>34876.199999999997</v>
      </c>
      <c r="E10" s="35">
        <v>355078.5</v>
      </c>
      <c r="F10" s="35">
        <v>238362.8</v>
      </c>
      <c r="G10" s="35">
        <v>502130.1</v>
      </c>
      <c r="H10" s="18" t="s">
        <v>176</v>
      </c>
      <c r="I10" s="35">
        <v>671211.6</v>
      </c>
      <c r="J10" s="35">
        <v>1382335</v>
      </c>
      <c r="L10" s="32">
        <f>IFERROR(B11-B10,0)</f>
        <v>501.69999999995343</v>
      </c>
      <c r="M10" s="32">
        <f t="shared" ref="M10:T25" si="1">IFERROR(C11-C10,0)</f>
        <v>0</v>
      </c>
      <c r="N10" s="32">
        <f t="shared" si="1"/>
        <v>204.90000000000146</v>
      </c>
      <c r="O10" s="32">
        <f t="shared" si="1"/>
        <v>371.59999999997672</v>
      </c>
      <c r="P10" s="32">
        <f t="shared" si="1"/>
        <v>227.20000000001164</v>
      </c>
      <c r="Q10" s="32">
        <f t="shared" si="1"/>
        <v>917.90000000002328</v>
      </c>
      <c r="R10" s="32">
        <f t="shared" si="1"/>
        <v>0</v>
      </c>
      <c r="S10" s="32">
        <f t="shared" si="1"/>
        <v>951.20000000006985</v>
      </c>
      <c r="T10" s="32">
        <f t="shared" si="1"/>
        <v>1452</v>
      </c>
      <c r="U10" s="33">
        <f>L10+Q10</f>
        <v>1419.5999999999767</v>
      </c>
      <c r="V10" s="33">
        <f>M10+R10</f>
        <v>0</v>
      </c>
      <c r="W10" s="33">
        <f>N10+S10</f>
        <v>1156.1000000000713</v>
      </c>
      <c r="X10" s="33">
        <f t="shared" ref="X10:X72" si="2">O10+P10+T10</f>
        <v>2050.7999999999884</v>
      </c>
    </row>
    <row r="11" spans="1:24" ht="20" customHeight="1">
      <c r="A11" s="15" t="s">
        <v>186</v>
      </c>
      <c r="B11" s="34">
        <v>396136.6</v>
      </c>
      <c r="C11" s="15" t="s">
        <v>176</v>
      </c>
      <c r="D11" s="35">
        <v>35081.1</v>
      </c>
      <c r="E11" s="35">
        <v>355450.1</v>
      </c>
      <c r="F11" s="35">
        <v>238590</v>
      </c>
      <c r="G11" s="35">
        <v>503048</v>
      </c>
      <c r="H11" s="18" t="s">
        <v>176</v>
      </c>
      <c r="I11" s="35">
        <v>672162.8</v>
      </c>
      <c r="J11" s="35">
        <v>1383787</v>
      </c>
      <c r="L11" s="32">
        <f t="shared" ref="L11:T43" si="3">IFERROR(B12-B11,0)</f>
        <v>502.5</v>
      </c>
      <c r="M11" s="32">
        <f t="shared" si="1"/>
        <v>0</v>
      </c>
      <c r="N11" s="32">
        <f t="shared" si="1"/>
        <v>326.40000000000146</v>
      </c>
      <c r="O11" s="32">
        <f t="shared" si="1"/>
        <v>365.40000000002328</v>
      </c>
      <c r="P11" s="32">
        <f t="shared" si="1"/>
        <v>222.20000000001164</v>
      </c>
      <c r="Q11" s="32">
        <f t="shared" si="1"/>
        <v>873.29999999998836</v>
      </c>
      <c r="R11" s="32">
        <f t="shared" si="1"/>
        <v>0</v>
      </c>
      <c r="S11" s="32">
        <f t="shared" si="1"/>
        <v>1377.3999999999069</v>
      </c>
      <c r="T11" s="32">
        <f t="shared" si="1"/>
        <v>1404</v>
      </c>
      <c r="U11" s="33">
        <f t="shared" ref="U11:W43" si="4">L11+Q11</f>
        <v>1375.7999999999884</v>
      </c>
      <c r="V11" s="33">
        <f t="shared" si="4"/>
        <v>0</v>
      </c>
      <c r="W11" s="33">
        <f t="shared" si="4"/>
        <v>1703.7999999999083</v>
      </c>
      <c r="X11" s="33">
        <f t="shared" si="2"/>
        <v>1991.6000000000349</v>
      </c>
    </row>
    <row r="12" spans="1:24" ht="20" customHeight="1">
      <c r="A12" s="15" t="s">
        <v>187</v>
      </c>
      <c r="B12" s="34">
        <v>396639.1</v>
      </c>
      <c r="C12" s="15" t="s">
        <v>176</v>
      </c>
      <c r="D12" s="35">
        <v>35407.5</v>
      </c>
      <c r="E12" s="35">
        <v>355815.5</v>
      </c>
      <c r="F12" s="35">
        <v>238812.2</v>
      </c>
      <c r="G12" s="35">
        <v>503921.3</v>
      </c>
      <c r="H12" s="18" t="s">
        <v>176</v>
      </c>
      <c r="I12" s="35">
        <v>673540.2</v>
      </c>
      <c r="J12" s="35">
        <v>1385191</v>
      </c>
      <c r="L12" s="32">
        <f t="shared" si="3"/>
        <v>497.40000000002328</v>
      </c>
      <c r="M12" s="32">
        <f t="shared" si="1"/>
        <v>0</v>
      </c>
      <c r="N12" s="32">
        <f t="shared" si="1"/>
        <v>334</v>
      </c>
      <c r="O12" s="32">
        <f t="shared" si="1"/>
        <v>369.70000000001164</v>
      </c>
      <c r="P12" s="32">
        <f t="shared" si="1"/>
        <v>227</v>
      </c>
      <c r="Q12" s="32">
        <f t="shared" si="1"/>
        <v>927</v>
      </c>
      <c r="R12" s="32">
        <f t="shared" si="1"/>
        <v>0</v>
      </c>
      <c r="S12" s="32">
        <f t="shared" si="1"/>
        <v>1302.8000000000466</v>
      </c>
      <c r="T12" s="32">
        <f t="shared" si="1"/>
        <v>1436</v>
      </c>
      <c r="U12" s="33">
        <f t="shared" si="4"/>
        <v>1424.4000000000233</v>
      </c>
      <c r="V12" s="33">
        <f t="shared" si="4"/>
        <v>0</v>
      </c>
      <c r="W12" s="33">
        <f t="shared" si="4"/>
        <v>1636.8000000000466</v>
      </c>
      <c r="X12" s="33">
        <f t="shared" si="2"/>
        <v>2032.7000000000116</v>
      </c>
    </row>
    <row r="13" spans="1:24" ht="20" customHeight="1">
      <c r="A13" s="15" t="s">
        <v>188</v>
      </c>
      <c r="B13" s="34">
        <v>397136.5</v>
      </c>
      <c r="C13" s="15" t="s">
        <v>176</v>
      </c>
      <c r="D13" s="35">
        <v>35741.5</v>
      </c>
      <c r="E13" s="35">
        <v>356185.2</v>
      </c>
      <c r="F13" s="35">
        <v>239039.2</v>
      </c>
      <c r="G13" s="35">
        <v>504848.3</v>
      </c>
      <c r="H13" s="18" t="s">
        <v>176</v>
      </c>
      <c r="I13" s="35">
        <v>674843</v>
      </c>
      <c r="J13" s="35">
        <v>1386627</v>
      </c>
      <c r="L13" s="32">
        <f t="shared" si="3"/>
        <v>326.40000000002328</v>
      </c>
      <c r="M13" s="32">
        <f t="shared" si="1"/>
        <v>0</v>
      </c>
      <c r="N13" s="32">
        <f t="shared" si="1"/>
        <v>328.5</v>
      </c>
      <c r="O13" s="32">
        <f t="shared" si="1"/>
        <v>371.70000000001164</v>
      </c>
      <c r="P13" s="32">
        <f t="shared" si="1"/>
        <v>228.5</v>
      </c>
      <c r="Q13" s="32">
        <f t="shared" si="1"/>
        <v>568</v>
      </c>
      <c r="R13" s="32">
        <f t="shared" si="1"/>
        <v>0</v>
      </c>
      <c r="S13" s="32">
        <f t="shared" si="1"/>
        <v>1371.5999999999767</v>
      </c>
      <c r="T13" s="32">
        <f t="shared" si="1"/>
        <v>1469</v>
      </c>
      <c r="U13" s="33">
        <f t="shared" si="4"/>
        <v>894.40000000002328</v>
      </c>
      <c r="V13" s="33">
        <f t="shared" si="4"/>
        <v>0</v>
      </c>
      <c r="W13" s="33">
        <f t="shared" si="4"/>
        <v>1700.0999999999767</v>
      </c>
      <c r="X13" s="33">
        <f t="shared" si="2"/>
        <v>2069.2000000000116</v>
      </c>
    </row>
    <row r="14" spans="1:24" ht="20" customHeight="1">
      <c r="A14" s="15" t="s">
        <v>189</v>
      </c>
      <c r="B14" s="34">
        <v>397462.9</v>
      </c>
      <c r="C14" s="36">
        <v>216027.3</v>
      </c>
      <c r="D14" s="35">
        <v>36070</v>
      </c>
      <c r="E14" s="35">
        <v>356556.9</v>
      </c>
      <c r="F14" s="35">
        <v>239267.7</v>
      </c>
      <c r="G14" s="35">
        <v>505416.3</v>
      </c>
      <c r="H14" s="37">
        <v>303115.90000000002</v>
      </c>
      <c r="I14" s="35">
        <v>676214.6</v>
      </c>
      <c r="J14" s="35">
        <v>1388096</v>
      </c>
      <c r="L14" s="32">
        <f t="shared" si="3"/>
        <v>0</v>
      </c>
      <c r="M14" s="32">
        <f t="shared" si="1"/>
        <v>431.60000000000582</v>
      </c>
      <c r="N14" s="32">
        <f t="shared" si="1"/>
        <v>335.59999999999854</v>
      </c>
      <c r="O14" s="32">
        <f t="shared" si="1"/>
        <v>364</v>
      </c>
      <c r="P14" s="32">
        <f t="shared" si="1"/>
        <v>246.09999999997672</v>
      </c>
      <c r="Q14" s="32">
        <f t="shared" si="1"/>
        <v>7.1000000000349246</v>
      </c>
      <c r="R14" s="32">
        <f t="shared" si="1"/>
        <v>555.5</v>
      </c>
      <c r="S14" s="32">
        <f t="shared" si="1"/>
        <v>1335.8000000000466</v>
      </c>
      <c r="T14" s="32">
        <f t="shared" si="1"/>
        <v>1297</v>
      </c>
      <c r="U14" s="33">
        <f t="shared" si="4"/>
        <v>7.1000000000349246</v>
      </c>
      <c r="V14" s="33">
        <f t="shared" si="4"/>
        <v>987.10000000000582</v>
      </c>
      <c r="W14" s="33">
        <f t="shared" si="4"/>
        <v>1671.4000000000451</v>
      </c>
      <c r="X14" s="33">
        <f t="shared" si="2"/>
        <v>1907.0999999999767</v>
      </c>
    </row>
    <row r="15" spans="1:24" ht="20" customHeight="1">
      <c r="A15" s="15" t="s">
        <v>190</v>
      </c>
      <c r="B15" s="34">
        <v>397462.9</v>
      </c>
      <c r="C15" s="36">
        <v>216458.9</v>
      </c>
      <c r="D15" s="35">
        <v>36405.599999999999</v>
      </c>
      <c r="E15" s="35">
        <v>356920.9</v>
      </c>
      <c r="F15" s="35">
        <v>239513.8</v>
      </c>
      <c r="G15" s="35">
        <v>505423.4</v>
      </c>
      <c r="H15" s="37">
        <v>303671.40000000002</v>
      </c>
      <c r="I15" s="35">
        <v>677550.4</v>
      </c>
      <c r="J15" s="35">
        <v>1389393</v>
      </c>
      <c r="L15" s="32">
        <f t="shared" si="3"/>
        <v>0</v>
      </c>
      <c r="M15" s="32">
        <f t="shared" si="1"/>
        <v>430.5</v>
      </c>
      <c r="N15" s="32">
        <f t="shared" si="1"/>
        <v>329.80000000000291</v>
      </c>
      <c r="O15" s="32">
        <f t="shared" si="1"/>
        <v>250</v>
      </c>
      <c r="P15" s="32">
        <f t="shared" si="1"/>
        <v>231.90000000002328</v>
      </c>
      <c r="Q15" s="32">
        <f t="shared" si="1"/>
        <v>4.5999999999767169</v>
      </c>
      <c r="R15" s="32">
        <f t="shared" si="1"/>
        <v>553.19999999995343</v>
      </c>
      <c r="S15" s="32">
        <f t="shared" si="1"/>
        <v>1085.9000000000233</v>
      </c>
      <c r="T15" s="32">
        <f t="shared" si="1"/>
        <v>1511</v>
      </c>
      <c r="U15" s="33">
        <f t="shared" si="4"/>
        <v>4.5999999999767169</v>
      </c>
      <c r="V15" s="33">
        <f t="shared" si="4"/>
        <v>983.69999999995343</v>
      </c>
      <c r="W15" s="33">
        <f t="shared" si="4"/>
        <v>1415.7000000000262</v>
      </c>
      <c r="X15" s="33">
        <f t="shared" si="2"/>
        <v>1992.9000000000233</v>
      </c>
    </row>
    <row r="16" spans="1:24" ht="20" customHeight="1">
      <c r="A16" s="15" t="s">
        <v>191</v>
      </c>
      <c r="B16" s="34">
        <v>397462.9</v>
      </c>
      <c r="C16" s="36">
        <v>216889.4</v>
      </c>
      <c r="D16" s="35">
        <v>36735.4</v>
      </c>
      <c r="E16" s="35">
        <v>357170.9</v>
      </c>
      <c r="F16" s="35">
        <v>239745.7</v>
      </c>
      <c r="G16" s="35">
        <v>505428</v>
      </c>
      <c r="H16" s="37">
        <v>304224.59999999998</v>
      </c>
      <c r="I16" s="35">
        <v>678636.3</v>
      </c>
      <c r="J16" s="35">
        <v>1390904</v>
      </c>
      <c r="L16" s="32">
        <f t="shared" si="3"/>
        <v>0</v>
      </c>
      <c r="M16" s="32">
        <f t="shared" si="1"/>
        <v>421.5</v>
      </c>
      <c r="N16" s="32">
        <f t="shared" si="1"/>
        <v>223.40000000000146</v>
      </c>
      <c r="O16" s="32">
        <f t="shared" si="1"/>
        <v>250.29999999998836</v>
      </c>
      <c r="P16" s="32">
        <f t="shared" si="1"/>
        <v>231.19999999998254</v>
      </c>
      <c r="Q16" s="32">
        <f t="shared" si="1"/>
        <v>4.2000000000116415</v>
      </c>
      <c r="R16" s="32">
        <f t="shared" si="1"/>
        <v>425.80000000004657</v>
      </c>
      <c r="S16" s="32">
        <f t="shared" si="1"/>
        <v>477</v>
      </c>
      <c r="T16" s="32">
        <f t="shared" si="1"/>
        <v>1485</v>
      </c>
      <c r="U16" s="33">
        <f t="shared" si="4"/>
        <v>4.2000000000116415</v>
      </c>
      <c r="V16" s="33">
        <f t="shared" si="4"/>
        <v>847.30000000004657</v>
      </c>
      <c r="W16" s="33">
        <f t="shared" si="4"/>
        <v>700.40000000000146</v>
      </c>
      <c r="X16" s="33">
        <f t="shared" si="2"/>
        <v>1966.4999999999709</v>
      </c>
    </row>
    <row r="17" spans="1:24" ht="20" customHeight="1">
      <c r="A17" s="15" t="s">
        <v>192</v>
      </c>
      <c r="B17" s="34">
        <v>397462.9</v>
      </c>
      <c r="C17" s="36">
        <v>217310.9</v>
      </c>
      <c r="D17" s="35">
        <v>36958.800000000003</v>
      </c>
      <c r="E17" s="35">
        <v>357421.2</v>
      </c>
      <c r="F17" s="35">
        <v>239976.9</v>
      </c>
      <c r="G17" s="35">
        <v>505432.2</v>
      </c>
      <c r="H17" s="37">
        <v>304650.40000000002</v>
      </c>
      <c r="I17" s="35">
        <v>679113.3</v>
      </c>
      <c r="J17" s="35">
        <v>1392389</v>
      </c>
      <c r="L17" s="32">
        <f t="shared" si="3"/>
        <v>0</v>
      </c>
      <c r="M17" s="32">
        <f t="shared" si="1"/>
        <v>421.60000000000582</v>
      </c>
      <c r="N17" s="32">
        <f t="shared" si="1"/>
        <v>333.79999999999563</v>
      </c>
      <c r="O17" s="32">
        <f t="shared" si="1"/>
        <v>249.39999999996508</v>
      </c>
      <c r="P17" s="32">
        <f t="shared" si="1"/>
        <v>229.60000000000582</v>
      </c>
      <c r="Q17" s="32">
        <f t="shared" si="1"/>
        <v>6.2000000000116415</v>
      </c>
      <c r="R17" s="32">
        <f t="shared" si="1"/>
        <v>511.69999999995343</v>
      </c>
      <c r="S17" s="32">
        <f t="shared" si="1"/>
        <v>1523.3999999999069</v>
      </c>
      <c r="T17" s="32">
        <f t="shared" si="1"/>
        <v>1466</v>
      </c>
      <c r="U17" s="33">
        <f t="shared" si="4"/>
        <v>6.2000000000116415</v>
      </c>
      <c r="V17" s="33">
        <f t="shared" si="4"/>
        <v>933.29999999995925</v>
      </c>
      <c r="W17" s="33">
        <f t="shared" si="4"/>
        <v>1857.1999999999025</v>
      </c>
      <c r="X17" s="33">
        <f t="shared" si="2"/>
        <v>1944.9999999999709</v>
      </c>
    </row>
    <row r="18" spans="1:24" ht="20" customHeight="1">
      <c r="A18" s="15" t="s">
        <v>193</v>
      </c>
      <c r="B18" s="34">
        <v>397462.9</v>
      </c>
      <c r="C18" s="36">
        <v>217732.5</v>
      </c>
      <c r="D18" s="35">
        <v>37292.6</v>
      </c>
      <c r="E18" s="35">
        <v>357670.6</v>
      </c>
      <c r="F18" s="35">
        <v>240206.5</v>
      </c>
      <c r="G18" s="35">
        <v>505438.4</v>
      </c>
      <c r="H18" s="37">
        <v>305162.09999999998</v>
      </c>
      <c r="I18" s="35">
        <v>680636.7</v>
      </c>
      <c r="J18" s="35">
        <v>1393855</v>
      </c>
      <c r="L18" s="32">
        <f t="shared" si="3"/>
        <v>0</v>
      </c>
      <c r="M18" s="32">
        <f t="shared" si="1"/>
        <v>419.89999999999418</v>
      </c>
      <c r="N18" s="32">
        <f t="shared" si="1"/>
        <v>336.80000000000291</v>
      </c>
      <c r="O18" s="32">
        <f t="shared" si="1"/>
        <v>254.90000000002328</v>
      </c>
      <c r="P18" s="32">
        <f t="shared" si="1"/>
        <v>249.10000000000582</v>
      </c>
      <c r="Q18" s="32">
        <f t="shared" si="1"/>
        <v>6.7999999999883585</v>
      </c>
      <c r="R18" s="32">
        <f t="shared" si="1"/>
        <v>442.30000000004657</v>
      </c>
      <c r="S18" s="32">
        <f t="shared" si="1"/>
        <v>1404.7000000000698</v>
      </c>
      <c r="T18" s="32">
        <f t="shared" si="1"/>
        <v>1382</v>
      </c>
      <c r="U18" s="33">
        <f t="shared" si="4"/>
        <v>6.7999999999883585</v>
      </c>
      <c r="V18" s="33">
        <f t="shared" si="4"/>
        <v>862.20000000004075</v>
      </c>
      <c r="W18" s="33">
        <f t="shared" si="4"/>
        <v>1741.5000000000728</v>
      </c>
      <c r="X18" s="33">
        <f t="shared" si="2"/>
        <v>1886.0000000000291</v>
      </c>
    </row>
    <row r="19" spans="1:24" ht="20" customHeight="1">
      <c r="A19" s="15" t="s">
        <v>194</v>
      </c>
      <c r="B19" s="34">
        <v>397462.9</v>
      </c>
      <c r="C19" s="36">
        <v>218152.4</v>
      </c>
      <c r="D19" s="35">
        <v>37629.4</v>
      </c>
      <c r="E19" s="35">
        <v>357925.5</v>
      </c>
      <c r="F19" s="35">
        <v>240455.6</v>
      </c>
      <c r="G19" s="35">
        <v>505445.2</v>
      </c>
      <c r="H19" s="37">
        <v>305604.40000000002</v>
      </c>
      <c r="I19" s="35">
        <v>682041.4</v>
      </c>
      <c r="J19" s="35">
        <v>1395237</v>
      </c>
      <c r="L19" s="32">
        <f t="shared" si="3"/>
        <v>0</v>
      </c>
      <c r="M19" s="32">
        <f t="shared" si="1"/>
        <v>429</v>
      </c>
      <c r="N19" s="32">
        <f t="shared" si="1"/>
        <v>326.59999999999854</v>
      </c>
      <c r="O19" s="32">
        <f t="shared" si="1"/>
        <v>372.09999999997672</v>
      </c>
      <c r="P19" s="32">
        <f t="shared" si="1"/>
        <v>231.69999999998254</v>
      </c>
      <c r="Q19" s="32">
        <f t="shared" si="1"/>
        <v>3</v>
      </c>
      <c r="R19" s="32">
        <f t="shared" si="1"/>
        <v>481.19999999995343</v>
      </c>
      <c r="S19" s="32">
        <f t="shared" si="1"/>
        <v>1353.2999999999302</v>
      </c>
      <c r="T19" s="32">
        <f t="shared" si="1"/>
        <v>1521</v>
      </c>
      <c r="U19" s="33">
        <f t="shared" si="4"/>
        <v>3</v>
      </c>
      <c r="V19" s="33">
        <f t="shared" si="4"/>
        <v>910.19999999995343</v>
      </c>
      <c r="W19" s="33">
        <f t="shared" si="4"/>
        <v>1679.8999999999287</v>
      </c>
      <c r="X19" s="33">
        <f t="shared" si="2"/>
        <v>2124.7999999999593</v>
      </c>
    </row>
    <row r="20" spans="1:24" ht="20" customHeight="1">
      <c r="A20" s="15" t="s">
        <v>195</v>
      </c>
      <c r="B20" s="34">
        <v>397462.9</v>
      </c>
      <c r="C20" s="36">
        <v>218581.4</v>
      </c>
      <c r="D20" s="35">
        <v>37956</v>
      </c>
      <c r="E20" s="35">
        <v>358297.59999999998</v>
      </c>
      <c r="F20" s="35">
        <v>240687.3</v>
      </c>
      <c r="G20" s="35">
        <v>505448.2</v>
      </c>
      <c r="H20" s="37">
        <v>306085.59999999998</v>
      </c>
      <c r="I20" s="35">
        <v>683394.7</v>
      </c>
      <c r="J20" s="35">
        <v>1396758</v>
      </c>
      <c r="L20" s="32">
        <f t="shared" si="3"/>
        <v>249.79999999998836</v>
      </c>
      <c r="M20" s="32">
        <f t="shared" si="1"/>
        <v>230</v>
      </c>
      <c r="N20" s="32">
        <f t="shared" si="1"/>
        <v>335</v>
      </c>
      <c r="O20" s="32">
        <f t="shared" si="1"/>
        <v>394.60000000003492</v>
      </c>
      <c r="P20" s="32">
        <f t="shared" si="1"/>
        <v>228.30000000001746</v>
      </c>
      <c r="Q20" s="32">
        <f t="shared" si="1"/>
        <v>496.29999999998836</v>
      </c>
      <c r="R20" s="32">
        <f t="shared" si="1"/>
        <v>244.60000000003492</v>
      </c>
      <c r="S20" s="32">
        <f t="shared" si="1"/>
        <v>1501.2000000000698</v>
      </c>
      <c r="T20" s="32">
        <f t="shared" si="1"/>
        <v>1478</v>
      </c>
      <c r="U20" s="33">
        <f t="shared" si="4"/>
        <v>746.09999999997672</v>
      </c>
      <c r="V20" s="33">
        <f t="shared" si="4"/>
        <v>474.60000000003492</v>
      </c>
      <c r="W20" s="33">
        <f t="shared" si="4"/>
        <v>1836.2000000000698</v>
      </c>
      <c r="X20" s="33">
        <f t="shared" si="2"/>
        <v>2100.9000000000524</v>
      </c>
    </row>
    <row r="21" spans="1:24" ht="20" customHeight="1">
      <c r="A21" s="15" t="s">
        <v>196</v>
      </c>
      <c r="B21" s="34">
        <v>397712.7</v>
      </c>
      <c r="C21" s="36">
        <v>218811.4</v>
      </c>
      <c r="D21" s="35">
        <v>38291</v>
      </c>
      <c r="E21" s="35">
        <v>358692.2</v>
      </c>
      <c r="F21" s="35">
        <v>240915.6</v>
      </c>
      <c r="G21" s="35">
        <v>505944.5</v>
      </c>
      <c r="H21" s="37">
        <v>306330.2</v>
      </c>
      <c r="I21" s="35">
        <v>684895.9</v>
      </c>
      <c r="J21" s="35">
        <v>1398236</v>
      </c>
      <c r="L21" s="32">
        <f t="shared" si="3"/>
        <v>493.20000000001164</v>
      </c>
      <c r="M21" s="32">
        <f t="shared" si="1"/>
        <v>0</v>
      </c>
      <c r="N21" s="32">
        <f t="shared" si="1"/>
        <v>329</v>
      </c>
      <c r="O21" s="32">
        <f t="shared" si="1"/>
        <v>373.79999999998836</v>
      </c>
      <c r="P21" s="32">
        <f t="shared" si="1"/>
        <v>229.39999999999418</v>
      </c>
      <c r="Q21" s="32">
        <f t="shared" si="1"/>
        <v>968.20000000001164</v>
      </c>
      <c r="R21" s="32">
        <f t="shared" si="1"/>
        <v>0</v>
      </c>
      <c r="S21" s="32">
        <f t="shared" si="1"/>
        <v>1309.5999999999767</v>
      </c>
      <c r="T21" s="32">
        <f t="shared" si="1"/>
        <v>1499</v>
      </c>
      <c r="U21" s="33">
        <f t="shared" si="4"/>
        <v>1461.4000000000233</v>
      </c>
      <c r="V21" s="33">
        <f t="shared" si="4"/>
        <v>0</v>
      </c>
      <c r="W21" s="33">
        <f t="shared" si="4"/>
        <v>1638.5999999999767</v>
      </c>
      <c r="X21" s="33">
        <f t="shared" si="2"/>
        <v>2102.1999999999825</v>
      </c>
    </row>
    <row r="22" spans="1:24" ht="20" customHeight="1">
      <c r="A22" s="15" t="s">
        <v>197</v>
      </c>
      <c r="B22" s="34">
        <v>398205.9</v>
      </c>
      <c r="C22" s="15" t="s">
        <v>176</v>
      </c>
      <c r="D22" s="35">
        <v>38620</v>
      </c>
      <c r="E22" s="35">
        <v>359066</v>
      </c>
      <c r="F22" s="35">
        <v>241145</v>
      </c>
      <c r="G22" s="35">
        <v>506912.7</v>
      </c>
      <c r="H22" s="18" t="s">
        <v>176</v>
      </c>
      <c r="I22" s="38">
        <v>686205.5</v>
      </c>
      <c r="J22" s="35">
        <v>1399735</v>
      </c>
      <c r="L22" s="32">
        <f t="shared" si="3"/>
        <v>493.59999999997672</v>
      </c>
      <c r="M22" s="32">
        <f t="shared" si="1"/>
        <v>0</v>
      </c>
      <c r="N22" s="32">
        <f t="shared" si="1"/>
        <v>335</v>
      </c>
      <c r="O22" s="32">
        <f t="shared" si="1"/>
        <v>395.20000000001164</v>
      </c>
      <c r="P22" s="32">
        <f t="shared" si="1"/>
        <v>247.79999999998836</v>
      </c>
      <c r="Q22" s="32">
        <f t="shared" si="1"/>
        <v>978.29999999998836</v>
      </c>
      <c r="R22" s="32">
        <f t="shared" si="1"/>
        <v>0</v>
      </c>
      <c r="S22" s="32">
        <f t="shared" si="1"/>
        <v>1260.5999999999767</v>
      </c>
      <c r="T22" s="32">
        <f t="shared" si="1"/>
        <v>1526</v>
      </c>
      <c r="U22" s="33">
        <f t="shared" si="4"/>
        <v>1471.8999999999651</v>
      </c>
      <c r="V22" s="33">
        <f t="shared" si="4"/>
        <v>0</v>
      </c>
      <c r="W22" s="33">
        <f t="shared" si="4"/>
        <v>1595.5999999999767</v>
      </c>
      <c r="X22" s="33">
        <f t="shared" si="2"/>
        <v>2169</v>
      </c>
    </row>
    <row r="23" spans="1:24" ht="20" customHeight="1">
      <c r="A23" s="15" t="s">
        <v>198</v>
      </c>
      <c r="B23" s="34">
        <v>398699.5</v>
      </c>
      <c r="C23" s="15" t="s">
        <v>176</v>
      </c>
      <c r="D23" s="35">
        <v>38955</v>
      </c>
      <c r="E23" s="35">
        <v>359461.2</v>
      </c>
      <c r="F23" s="35">
        <v>241392.8</v>
      </c>
      <c r="G23" s="35">
        <v>507891</v>
      </c>
      <c r="H23" s="18" t="s">
        <v>176</v>
      </c>
      <c r="I23" s="38">
        <v>687466.1</v>
      </c>
      <c r="J23" s="35">
        <v>1401261</v>
      </c>
      <c r="L23" s="32">
        <f t="shared" si="3"/>
        <v>479.79999999998836</v>
      </c>
      <c r="M23" s="32">
        <f t="shared" si="1"/>
        <v>0</v>
      </c>
      <c r="N23" s="32">
        <f t="shared" si="1"/>
        <v>274.90000000000146</v>
      </c>
      <c r="O23" s="32">
        <f t="shared" si="1"/>
        <v>377.20000000001164</v>
      </c>
      <c r="P23" s="32">
        <f t="shared" si="1"/>
        <v>232.5</v>
      </c>
      <c r="Q23" s="32">
        <f t="shared" si="1"/>
        <v>668.09999999997672</v>
      </c>
      <c r="R23" s="32">
        <f t="shared" si="1"/>
        <v>0</v>
      </c>
      <c r="S23" s="32">
        <f t="shared" si="1"/>
        <v>580.80000000004657</v>
      </c>
      <c r="T23" s="32">
        <f t="shared" si="1"/>
        <v>1529</v>
      </c>
      <c r="U23" s="33">
        <f t="shared" si="4"/>
        <v>1147.8999999999651</v>
      </c>
      <c r="V23" s="33">
        <f t="shared" si="4"/>
        <v>0</v>
      </c>
      <c r="W23" s="33">
        <f t="shared" si="4"/>
        <v>855.70000000004802</v>
      </c>
      <c r="X23" s="33">
        <f t="shared" si="2"/>
        <v>2138.7000000000116</v>
      </c>
    </row>
    <row r="24" spans="1:24" ht="20" customHeight="1">
      <c r="A24" s="15" t="s">
        <v>199</v>
      </c>
      <c r="B24" s="34">
        <v>399179.3</v>
      </c>
      <c r="C24" s="15" t="s">
        <v>176</v>
      </c>
      <c r="D24" s="35">
        <v>39229.9</v>
      </c>
      <c r="E24" s="35">
        <v>359838.4</v>
      </c>
      <c r="F24" s="35">
        <v>241625.3</v>
      </c>
      <c r="G24" s="35">
        <v>508559.1</v>
      </c>
      <c r="H24" s="18" t="s">
        <v>176</v>
      </c>
      <c r="I24" s="38">
        <v>688046.9</v>
      </c>
      <c r="J24" s="35">
        <v>1402790</v>
      </c>
      <c r="L24" s="32">
        <f t="shared" si="3"/>
        <v>497.29999999998836</v>
      </c>
      <c r="M24" s="32">
        <f t="shared" si="1"/>
        <v>0</v>
      </c>
      <c r="N24" s="32">
        <f t="shared" si="1"/>
        <v>328.19999999999709</v>
      </c>
      <c r="O24" s="32">
        <f t="shared" si="1"/>
        <v>376.39999999996508</v>
      </c>
      <c r="P24" s="32">
        <f t="shared" si="1"/>
        <v>231.70000000001164</v>
      </c>
      <c r="Q24" s="32">
        <f t="shared" si="1"/>
        <v>1003.2000000000116</v>
      </c>
      <c r="R24" s="32">
        <f t="shared" si="1"/>
        <v>0</v>
      </c>
      <c r="S24" s="32">
        <f t="shared" si="1"/>
        <v>1269.9000000000233</v>
      </c>
      <c r="T24" s="32">
        <f t="shared" si="1"/>
        <v>1487</v>
      </c>
      <c r="U24" s="33">
        <f t="shared" si="4"/>
        <v>1500.5</v>
      </c>
      <c r="V24" s="33">
        <f t="shared" si="4"/>
        <v>0</v>
      </c>
      <c r="W24" s="33">
        <f t="shared" si="4"/>
        <v>1598.1000000000204</v>
      </c>
      <c r="X24" s="33">
        <f t="shared" si="2"/>
        <v>2095.0999999999767</v>
      </c>
    </row>
    <row r="25" spans="1:24" ht="20" customHeight="1">
      <c r="A25" s="15" t="s">
        <v>200</v>
      </c>
      <c r="B25" s="34">
        <v>399676.6</v>
      </c>
      <c r="C25" s="15" t="s">
        <v>176</v>
      </c>
      <c r="D25" s="35">
        <v>39558.1</v>
      </c>
      <c r="E25" s="35">
        <v>360214.8</v>
      </c>
      <c r="F25" s="35">
        <v>241857</v>
      </c>
      <c r="G25" s="35">
        <v>509562.3</v>
      </c>
      <c r="H25" s="18" t="s">
        <v>176</v>
      </c>
      <c r="I25" s="38">
        <v>689316.8</v>
      </c>
      <c r="J25" s="35">
        <v>1404277</v>
      </c>
      <c r="L25" s="32">
        <f t="shared" si="3"/>
        <v>495.70000000001164</v>
      </c>
      <c r="M25" s="32">
        <f t="shared" si="1"/>
        <v>0</v>
      </c>
      <c r="N25" s="32">
        <f t="shared" si="1"/>
        <v>324.20000000000437</v>
      </c>
      <c r="O25" s="32">
        <f t="shared" si="1"/>
        <v>350.60000000003492</v>
      </c>
      <c r="P25" s="32">
        <f t="shared" si="1"/>
        <v>225.29999999998836</v>
      </c>
      <c r="Q25" s="32">
        <f t="shared" si="1"/>
        <v>1020.9000000000233</v>
      </c>
      <c r="R25" s="32">
        <f t="shared" si="1"/>
        <v>0</v>
      </c>
      <c r="S25" s="32">
        <f t="shared" si="1"/>
        <v>1444</v>
      </c>
      <c r="T25" s="32">
        <f t="shared" si="1"/>
        <v>1143</v>
      </c>
      <c r="U25" s="33">
        <f t="shared" si="4"/>
        <v>1516.6000000000349</v>
      </c>
      <c r="V25" s="33">
        <f t="shared" si="4"/>
        <v>0</v>
      </c>
      <c r="W25" s="33">
        <f t="shared" si="4"/>
        <v>1768.2000000000044</v>
      </c>
      <c r="X25" s="33">
        <f t="shared" si="2"/>
        <v>1718.9000000000233</v>
      </c>
    </row>
    <row r="26" spans="1:24" ht="20" customHeight="1">
      <c r="A26" s="15" t="s">
        <v>201</v>
      </c>
      <c r="B26" s="34">
        <v>400172.3</v>
      </c>
      <c r="C26" s="15" t="s">
        <v>176</v>
      </c>
      <c r="D26" s="35">
        <v>39882.300000000003</v>
      </c>
      <c r="E26" s="35">
        <v>360565.4</v>
      </c>
      <c r="F26" s="35">
        <v>242082.3</v>
      </c>
      <c r="G26" s="35">
        <v>510583.2</v>
      </c>
      <c r="H26" s="18" t="s">
        <v>176</v>
      </c>
      <c r="I26" s="38">
        <v>690760.8</v>
      </c>
      <c r="J26" s="35">
        <v>1405420</v>
      </c>
      <c r="L26" s="32">
        <f t="shared" si="3"/>
        <v>495.90000000002328</v>
      </c>
      <c r="M26" s="32">
        <f t="shared" si="3"/>
        <v>0</v>
      </c>
      <c r="N26" s="32">
        <f t="shared" si="3"/>
        <v>334</v>
      </c>
      <c r="O26" s="32">
        <f t="shared" si="3"/>
        <v>329.39999999996508</v>
      </c>
      <c r="P26" s="32">
        <f t="shared" si="3"/>
        <v>222.60000000000582</v>
      </c>
      <c r="Q26" s="32">
        <f t="shared" si="3"/>
        <v>968.09999999997672</v>
      </c>
      <c r="R26" s="32">
        <f t="shared" si="3"/>
        <v>0</v>
      </c>
      <c r="S26" s="32">
        <f t="shared" si="3"/>
        <v>1424.8999999999069</v>
      </c>
      <c r="T26" s="32">
        <f t="shared" si="3"/>
        <v>1091</v>
      </c>
      <c r="U26" s="33">
        <f t="shared" si="4"/>
        <v>1464</v>
      </c>
      <c r="V26" s="33">
        <f t="shared" si="4"/>
        <v>0</v>
      </c>
      <c r="W26" s="33">
        <f t="shared" si="4"/>
        <v>1758.8999999999069</v>
      </c>
      <c r="X26" s="33">
        <f t="shared" si="2"/>
        <v>1642.9999999999709</v>
      </c>
    </row>
    <row r="27" spans="1:24" ht="42.75" customHeight="1">
      <c r="A27" s="23" t="s">
        <v>202</v>
      </c>
      <c r="B27" s="39">
        <v>400668.2</v>
      </c>
      <c r="C27" s="23" t="s">
        <v>176</v>
      </c>
      <c r="D27" s="40">
        <v>40216.300000000003</v>
      </c>
      <c r="E27" s="40">
        <v>360894.8</v>
      </c>
      <c r="F27" s="40">
        <v>242304.9</v>
      </c>
      <c r="G27" s="40">
        <v>511551.3</v>
      </c>
      <c r="H27" s="26" t="s">
        <v>176</v>
      </c>
      <c r="I27" s="41">
        <v>692185.7</v>
      </c>
      <c r="J27" s="40">
        <v>1406511</v>
      </c>
      <c r="L27" s="32">
        <f t="shared" si="3"/>
        <v>490.5</v>
      </c>
      <c r="M27" s="32">
        <f t="shared" si="3"/>
        <v>0</v>
      </c>
      <c r="N27" s="32">
        <f t="shared" si="3"/>
        <v>327.59999999999854</v>
      </c>
      <c r="O27" s="32">
        <f t="shared" si="3"/>
        <v>299.10000000003492</v>
      </c>
      <c r="P27" s="32">
        <f t="shared" si="3"/>
        <v>230.10000000000582</v>
      </c>
      <c r="Q27" s="32">
        <f t="shared" si="3"/>
        <v>1075.4000000000233</v>
      </c>
      <c r="R27" s="32">
        <f t="shared" si="3"/>
        <v>0</v>
      </c>
      <c r="S27" s="32">
        <f t="shared" si="3"/>
        <v>1316.2000000000698</v>
      </c>
      <c r="T27" s="32">
        <f t="shared" si="3"/>
        <v>1294</v>
      </c>
      <c r="U27" s="33">
        <f t="shared" si="4"/>
        <v>1565.9000000000233</v>
      </c>
      <c r="V27" s="33">
        <f t="shared" si="4"/>
        <v>0</v>
      </c>
      <c r="W27" s="33">
        <f t="shared" si="4"/>
        <v>1643.8000000000684</v>
      </c>
      <c r="X27" s="33">
        <f t="shared" si="2"/>
        <v>1823.2000000000407</v>
      </c>
    </row>
    <row r="28" spans="1:24" ht="20" customHeight="1">
      <c r="A28" s="15" t="s">
        <v>203</v>
      </c>
      <c r="B28" s="34">
        <v>401158.7</v>
      </c>
      <c r="C28" s="15" t="s">
        <v>176</v>
      </c>
      <c r="D28" s="35">
        <v>40543.9</v>
      </c>
      <c r="E28" s="35">
        <v>361193.9</v>
      </c>
      <c r="F28" s="35">
        <v>242535</v>
      </c>
      <c r="G28" s="35">
        <v>512626.7</v>
      </c>
      <c r="H28" s="18" t="s">
        <v>176</v>
      </c>
      <c r="I28" s="38">
        <v>693501.9</v>
      </c>
      <c r="J28" s="35">
        <v>1407805</v>
      </c>
      <c r="L28" s="32">
        <f t="shared" si="3"/>
        <v>481.29999999998836</v>
      </c>
      <c r="M28" s="32">
        <f t="shared" si="3"/>
        <v>0</v>
      </c>
      <c r="N28" s="32">
        <f t="shared" si="3"/>
        <v>325.79999999999563</v>
      </c>
      <c r="O28" s="32">
        <f t="shared" si="3"/>
        <v>257.59999999997672</v>
      </c>
      <c r="P28" s="32">
        <f t="shared" si="3"/>
        <v>223.39999999999418</v>
      </c>
      <c r="Q28" s="32">
        <f t="shared" si="3"/>
        <v>890</v>
      </c>
      <c r="R28" s="32">
        <f t="shared" si="3"/>
        <v>0</v>
      </c>
      <c r="S28" s="32">
        <f t="shared" si="3"/>
        <v>1287.0999999999767</v>
      </c>
      <c r="T28" s="32">
        <f t="shared" si="3"/>
        <v>1528</v>
      </c>
      <c r="U28" s="33">
        <f t="shared" si="4"/>
        <v>1371.2999999999884</v>
      </c>
      <c r="V28" s="33">
        <f t="shared" si="4"/>
        <v>0</v>
      </c>
      <c r="W28" s="33">
        <f t="shared" si="4"/>
        <v>1612.8999999999724</v>
      </c>
      <c r="X28" s="33">
        <f t="shared" si="2"/>
        <v>2008.9999999999709</v>
      </c>
    </row>
    <row r="29" spans="1:24" ht="20" customHeight="1">
      <c r="A29" s="15" t="s">
        <v>204</v>
      </c>
      <c r="B29" s="34">
        <v>401640</v>
      </c>
      <c r="C29" s="15" t="s">
        <v>176</v>
      </c>
      <c r="D29" s="35">
        <v>40869.699999999997</v>
      </c>
      <c r="E29" s="35">
        <v>361451.5</v>
      </c>
      <c r="F29" s="35">
        <v>242758.39999999999</v>
      </c>
      <c r="G29" s="35">
        <v>513516.7</v>
      </c>
      <c r="H29" s="18" t="s">
        <v>176</v>
      </c>
      <c r="I29" s="38">
        <v>694789</v>
      </c>
      <c r="J29" s="35">
        <v>1409333</v>
      </c>
      <c r="L29" s="32">
        <f t="shared" si="3"/>
        <v>475.40000000002328</v>
      </c>
      <c r="M29" s="32">
        <f t="shared" si="3"/>
        <v>0</v>
      </c>
      <c r="N29" s="32">
        <f t="shared" si="3"/>
        <v>312.30000000000291</v>
      </c>
      <c r="O29" s="32">
        <f t="shared" si="3"/>
        <v>331.5</v>
      </c>
      <c r="P29" s="32">
        <f t="shared" si="3"/>
        <v>239.39999999999418</v>
      </c>
      <c r="Q29" s="32">
        <f t="shared" si="3"/>
        <v>821.79999999998836</v>
      </c>
      <c r="R29" s="32">
        <f t="shared" si="3"/>
        <v>0</v>
      </c>
      <c r="S29" s="32">
        <f t="shared" si="3"/>
        <v>1092</v>
      </c>
      <c r="T29" s="32">
        <f t="shared" si="3"/>
        <v>1423</v>
      </c>
      <c r="U29" s="33">
        <f t="shared" si="4"/>
        <v>1297.2000000000116</v>
      </c>
      <c r="V29" s="33">
        <f t="shared" si="4"/>
        <v>0</v>
      </c>
      <c r="W29" s="33">
        <f t="shared" si="4"/>
        <v>1404.3000000000029</v>
      </c>
      <c r="X29" s="33">
        <f t="shared" si="2"/>
        <v>1993.8999999999942</v>
      </c>
    </row>
    <row r="30" spans="1:24" ht="20" customHeight="1">
      <c r="A30" s="15" t="s">
        <v>205</v>
      </c>
      <c r="B30" s="34">
        <v>402115.4</v>
      </c>
      <c r="C30" s="15" t="s">
        <v>176</v>
      </c>
      <c r="D30" s="35">
        <v>41182</v>
      </c>
      <c r="E30" s="35">
        <v>361783</v>
      </c>
      <c r="F30" s="35">
        <v>242997.8</v>
      </c>
      <c r="G30" s="35">
        <v>514338.5</v>
      </c>
      <c r="H30" s="18" t="s">
        <v>176</v>
      </c>
      <c r="I30" s="38">
        <v>695881</v>
      </c>
      <c r="J30" s="35">
        <v>1410756</v>
      </c>
      <c r="L30" s="32">
        <f t="shared" si="3"/>
        <v>470.19999999995343</v>
      </c>
      <c r="M30" s="32">
        <f t="shared" si="3"/>
        <v>0</v>
      </c>
      <c r="N30" s="32">
        <f t="shared" si="3"/>
        <v>243.5</v>
      </c>
      <c r="O30" s="32">
        <f t="shared" si="3"/>
        <v>369.40000000002328</v>
      </c>
      <c r="P30" s="32">
        <f t="shared" si="3"/>
        <v>215.80000000001746</v>
      </c>
      <c r="Q30" s="32">
        <f t="shared" si="3"/>
        <v>608.90000000002328</v>
      </c>
      <c r="R30" s="32">
        <f t="shared" si="3"/>
        <v>0</v>
      </c>
      <c r="S30" s="32">
        <f t="shared" si="3"/>
        <v>603.40000000002328</v>
      </c>
      <c r="T30" s="32">
        <f t="shared" si="3"/>
        <v>1515</v>
      </c>
      <c r="U30" s="33">
        <f t="shared" si="4"/>
        <v>1079.0999999999767</v>
      </c>
      <c r="V30" s="33">
        <f t="shared" si="4"/>
        <v>0</v>
      </c>
      <c r="W30" s="33">
        <f t="shared" si="4"/>
        <v>846.90000000002328</v>
      </c>
      <c r="X30" s="33">
        <f t="shared" si="2"/>
        <v>2100.2000000000407</v>
      </c>
    </row>
    <row r="31" spans="1:24" ht="20" customHeight="1">
      <c r="A31" s="15" t="s">
        <v>206</v>
      </c>
      <c r="B31" s="34">
        <v>402585.59999999998</v>
      </c>
      <c r="C31" s="15" t="s">
        <v>176</v>
      </c>
      <c r="D31" s="35">
        <v>41425.5</v>
      </c>
      <c r="E31" s="35">
        <v>362152.4</v>
      </c>
      <c r="F31" s="35">
        <v>243213.6</v>
      </c>
      <c r="G31" s="35">
        <v>514947.4</v>
      </c>
      <c r="H31" s="18" t="s">
        <v>176</v>
      </c>
      <c r="I31" s="38">
        <v>696484.4</v>
      </c>
      <c r="J31" s="35">
        <v>1412271</v>
      </c>
      <c r="L31" s="32">
        <f t="shared" si="3"/>
        <v>471.5</v>
      </c>
      <c r="M31" s="32">
        <f t="shared" si="3"/>
        <v>0</v>
      </c>
      <c r="N31" s="32">
        <f t="shared" si="3"/>
        <v>220.5</v>
      </c>
      <c r="O31" s="32">
        <f t="shared" si="3"/>
        <v>331.5</v>
      </c>
      <c r="P31" s="32">
        <f t="shared" si="3"/>
        <v>224.19999999998254</v>
      </c>
      <c r="Q31" s="32">
        <f t="shared" si="3"/>
        <v>772.59999999997672</v>
      </c>
      <c r="R31" s="32">
        <f t="shared" si="3"/>
        <v>0</v>
      </c>
      <c r="S31" s="32">
        <f t="shared" si="3"/>
        <v>999.19999999995343</v>
      </c>
      <c r="T31" s="32">
        <f t="shared" si="3"/>
        <v>1519</v>
      </c>
      <c r="U31" s="33">
        <f t="shared" si="4"/>
        <v>1244.0999999999767</v>
      </c>
      <c r="V31" s="33">
        <f t="shared" si="4"/>
        <v>0</v>
      </c>
      <c r="W31" s="33">
        <f t="shared" si="4"/>
        <v>1219.6999999999534</v>
      </c>
      <c r="X31" s="33">
        <f t="shared" si="2"/>
        <v>2074.6999999999825</v>
      </c>
    </row>
    <row r="32" spans="1:24" ht="20" customHeight="1">
      <c r="A32" s="15" t="s">
        <v>207</v>
      </c>
      <c r="B32" s="34">
        <v>403057.1</v>
      </c>
      <c r="C32" s="15" t="s">
        <v>176</v>
      </c>
      <c r="D32" s="35">
        <v>41646</v>
      </c>
      <c r="E32" s="35">
        <v>362483.9</v>
      </c>
      <c r="F32" s="35">
        <v>243437.8</v>
      </c>
      <c r="G32" s="35">
        <v>515720</v>
      </c>
      <c r="H32" s="18" t="s">
        <v>176</v>
      </c>
      <c r="I32" s="38">
        <v>697483.6</v>
      </c>
      <c r="J32" s="35">
        <v>1413790</v>
      </c>
      <c r="L32" s="32">
        <f t="shared" si="3"/>
        <v>498.5</v>
      </c>
      <c r="M32" s="32">
        <f t="shared" si="3"/>
        <v>0</v>
      </c>
      <c r="N32" s="32">
        <f t="shared" si="3"/>
        <v>324.30000000000291</v>
      </c>
      <c r="O32" s="32">
        <f t="shared" si="3"/>
        <v>331.09999999997672</v>
      </c>
      <c r="P32" s="32">
        <f t="shared" si="3"/>
        <v>222.60000000000582</v>
      </c>
      <c r="Q32" s="32">
        <f t="shared" si="3"/>
        <v>872.90000000002328</v>
      </c>
      <c r="R32" s="32">
        <f t="shared" si="3"/>
        <v>0</v>
      </c>
      <c r="S32" s="32">
        <f t="shared" si="3"/>
        <v>1403.5</v>
      </c>
      <c r="T32" s="32">
        <f t="shared" si="3"/>
        <v>1508</v>
      </c>
      <c r="U32" s="33">
        <f t="shared" si="4"/>
        <v>1371.4000000000233</v>
      </c>
      <c r="V32" s="33">
        <f t="shared" si="4"/>
        <v>0</v>
      </c>
      <c r="W32" s="33">
        <f t="shared" si="4"/>
        <v>1727.8000000000029</v>
      </c>
      <c r="X32" s="33">
        <f t="shared" si="2"/>
        <v>2061.6999999999825</v>
      </c>
    </row>
    <row r="33" spans="1:24" ht="20" customHeight="1">
      <c r="A33" s="15" t="s">
        <v>208</v>
      </c>
      <c r="B33" s="34">
        <v>403555.6</v>
      </c>
      <c r="C33" s="15" t="s">
        <v>176</v>
      </c>
      <c r="D33" s="35">
        <v>41970.3</v>
      </c>
      <c r="E33" s="35">
        <v>362815</v>
      </c>
      <c r="F33" s="35">
        <v>243660.4</v>
      </c>
      <c r="G33" s="35">
        <v>516592.9</v>
      </c>
      <c r="H33" s="18" t="s">
        <v>176</v>
      </c>
      <c r="I33" s="38">
        <v>698887.1</v>
      </c>
      <c r="J33" s="35">
        <v>1415298</v>
      </c>
      <c r="L33" s="32">
        <f t="shared" ref="L33:T34" si="5">IFERROR(B34-B33,0)</f>
        <v>478</v>
      </c>
      <c r="M33" s="32">
        <f t="shared" si="5"/>
        <v>0</v>
      </c>
      <c r="N33" s="32">
        <f t="shared" si="5"/>
        <v>329.09999999999854</v>
      </c>
      <c r="O33" s="32">
        <f t="shared" si="5"/>
        <v>307.70000000001164</v>
      </c>
      <c r="P33" s="32">
        <f t="shared" si="5"/>
        <v>274.89999999999418</v>
      </c>
      <c r="Q33" s="32">
        <f t="shared" si="5"/>
        <v>806.29999999998836</v>
      </c>
      <c r="R33" s="32">
        <f t="shared" si="5"/>
        <v>0</v>
      </c>
      <c r="S33" s="32">
        <f t="shared" si="5"/>
        <v>1477.3000000000466</v>
      </c>
      <c r="T33" s="32">
        <f t="shared" si="5"/>
        <v>1346</v>
      </c>
      <c r="U33" s="33">
        <f t="shared" si="4"/>
        <v>1284.2999999999884</v>
      </c>
      <c r="V33" s="33">
        <f t="shared" si="4"/>
        <v>0</v>
      </c>
      <c r="W33" s="33">
        <f t="shared" si="4"/>
        <v>1806.4000000000451</v>
      </c>
      <c r="X33" s="33">
        <f t="shared" si="2"/>
        <v>1928.6000000000058</v>
      </c>
    </row>
    <row r="34" spans="1:24" ht="20" customHeight="1">
      <c r="A34" s="15" t="s">
        <v>175</v>
      </c>
      <c r="B34" s="34">
        <v>404033.6</v>
      </c>
      <c r="C34" s="15" t="s">
        <v>176</v>
      </c>
      <c r="D34" s="35">
        <v>42299.4</v>
      </c>
      <c r="E34" s="35">
        <v>363122.7</v>
      </c>
      <c r="F34" s="35">
        <v>243935.3</v>
      </c>
      <c r="G34" s="35">
        <v>517399.2</v>
      </c>
      <c r="H34" s="18" t="s">
        <v>176</v>
      </c>
      <c r="I34" s="38">
        <v>700364.4</v>
      </c>
      <c r="J34" s="35">
        <v>1416644</v>
      </c>
      <c r="L34" s="32">
        <f t="shared" si="5"/>
        <v>294.10000000003492</v>
      </c>
      <c r="M34" s="32">
        <f t="shared" si="5"/>
        <v>0</v>
      </c>
      <c r="N34" s="32">
        <f t="shared" si="5"/>
        <v>328.5</v>
      </c>
      <c r="O34" s="32">
        <f t="shared" si="5"/>
        <v>347.70000000001164</v>
      </c>
      <c r="P34" s="32">
        <f t="shared" si="5"/>
        <v>222.20000000001164</v>
      </c>
      <c r="Q34" s="32">
        <f t="shared" si="5"/>
        <v>556.09999999997672</v>
      </c>
      <c r="R34" s="32">
        <f t="shared" si="5"/>
        <v>0</v>
      </c>
      <c r="S34" s="32">
        <f t="shared" si="5"/>
        <v>1472.1999999999534</v>
      </c>
      <c r="T34" s="32">
        <f t="shared" si="5"/>
        <v>1284</v>
      </c>
      <c r="U34" s="33">
        <f t="shared" ref="U34" si="6">L34+Q34</f>
        <v>850.20000000001164</v>
      </c>
      <c r="V34" s="33">
        <f t="shared" ref="V34" si="7">M34+R34</f>
        <v>0</v>
      </c>
      <c r="W34" s="33">
        <f t="shared" ref="W34" si="8">N34+S34</f>
        <v>1800.6999999999534</v>
      </c>
      <c r="X34" s="33">
        <f t="shared" ref="X34" si="9">O34+P34+T34</f>
        <v>1853.9000000000233</v>
      </c>
    </row>
    <row r="35" spans="1:24" ht="20" customHeight="1">
      <c r="A35" s="15" t="s">
        <v>177</v>
      </c>
      <c r="B35" s="16">
        <v>404327.7</v>
      </c>
      <c r="C35" s="15" t="s">
        <v>176</v>
      </c>
      <c r="D35" s="17">
        <v>42627.9</v>
      </c>
      <c r="E35" s="17">
        <v>363470.4</v>
      </c>
      <c r="F35" s="17">
        <v>244157.5</v>
      </c>
      <c r="G35" s="17">
        <v>517955.3</v>
      </c>
      <c r="H35" s="18" t="s">
        <v>176</v>
      </c>
      <c r="I35" s="19">
        <v>701836.6</v>
      </c>
      <c r="J35" s="20">
        <v>1417928</v>
      </c>
      <c r="L35" s="32">
        <f t="shared" si="3"/>
        <v>0</v>
      </c>
      <c r="M35" s="32">
        <f t="shared" si="3"/>
        <v>0</v>
      </c>
      <c r="N35" s="32">
        <f t="shared" si="3"/>
        <v>318.09999999999854</v>
      </c>
      <c r="O35" s="32">
        <f t="shared" si="3"/>
        <v>349.29999999998836</v>
      </c>
      <c r="P35" s="32">
        <f t="shared" si="3"/>
        <v>240.60000000000582</v>
      </c>
      <c r="Q35" s="32">
        <f t="shared" si="3"/>
        <v>3.2000000000116415</v>
      </c>
      <c r="R35" s="32">
        <f t="shared" si="3"/>
        <v>0</v>
      </c>
      <c r="S35" s="32">
        <f t="shared" si="3"/>
        <v>1238.2000000000698</v>
      </c>
      <c r="T35" s="32">
        <f t="shared" si="3"/>
        <v>1432</v>
      </c>
      <c r="U35" s="33">
        <f t="shared" si="4"/>
        <v>3.2000000000116415</v>
      </c>
      <c r="V35" s="33">
        <f t="shared" si="4"/>
        <v>0</v>
      </c>
      <c r="W35" s="33">
        <f t="shared" si="4"/>
        <v>1556.3000000000684</v>
      </c>
      <c r="X35" s="33">
        <f t="shared" si="2"/>
        <v>2021.8999999999942</v>
      </c>
    </row>
    <row r="36" spans="1:24" ht="20" customHeight="1">
      <c r="A36" s="15" t="s">
        <v>178</v>
      </c>
      <c r="B36" s="16">
        <v>404327.7</v>
      </c>
      <c r="C36" s="15">
        <v>218832.2</v>
      </c>
      <c r="D36" s="17">
        <v>42946</v>
      </c>
      <c r="E36" s="17">
        <v>363819.7</v>
      </c>
      <c r="F36" s="17">
        <v>244398.1</v>
      </c>
      <c r="G36" s="17">
        <v>517958.5</v>
      </c>
      <c r="H36" s="18">
        <v>306379.8</v>
      </c>
      <c r="I36" s="19">
        <v>703074.8</v>
      </c>
      <c r="J36" s="20">
        <v>1419360</v>
      </c>
      <c r="L36" s="32">
        <f t="shared" si="3"/>
        <v>181.5</v>
      </c>
      <c r="M36" s="32">
        <f t="shared" si="3"/>
        <v>374</v>
      </c>
      <c r="N36" s="32">
        <f t="shared" si="3"/>
        <v>96.099999999998545</v>
      </c>
      <c r="O36" s="32">
        <f t="shared" si="3"/>
        <v>384.5</v>
      </c>
      <c r="P36" s="32">
        <f t="shared" si="3"/>
        <v>273.5</v>
      </c>
      <c r="Q36" s="32">
        <f t="shared" si="3"/>
        <v>485.59999999997672</v>
      </c>
      <c r="R36" s="32">
        <f t="shared" si="3"/>
        <v>618.70000000001164</v>
      </c>
      <c r="S36" s="32">
        <f t="shared" si="3"/>
        <v>321</v>
      </c>
      <c r="T36" s="32">
        <f t="shared" si="3"/>
        <v>1467</v>
      </c>
      <c r="U36" s="33">
        <f t="shared" si="4"/>
        <v>667.09999999997672</v>
      </c>
      <c r="V36" s="33">
        <f t="shared" si="4"/>
        <v>992.70000000001164</v>
      </c>
      <c r="W36" s="33">
        <f t="shared" si="4"/>
        <v>417.09999999999854</v>
      </c>
      <c r="X36" s="33">
        <f t="shared" si="2"/>
        <v>2125</v>
      </c>
    </row>
    <row r="37" spans="1:24" ht="20" customHeight="1">
      <c r="A37" s="15" t="s">
        <v>179</v>
      </c>
      <c r="B37" s="16">
        <v>404509.2</v>
      </c>
      <c r="C37" s="15">
        <v>219206.2</v>
      </c>
      <c r="D37" s="17">
        <v>43042.1</v>
      </c>
      <c r="E37" s="17">
        <v>364204.2</v>
      </c>
      <c r="F37" s="17">
        <v>244671.6</v>
      </c>
      <c r="G37" s="17">
        <v>518444.1</v>
      </c>
      <c r="H37" s="18">
        <v>306998.5</v>
      </c>
      <c r="I37" s="19">
        <v>703395.8</v>
      </c>
      <c r="J37" s="20">
        <v>1420827</v>
      </c>
      <c r="L37" s="32">
        <f t="shared" si="3"/>
        <v>0</v>
      </c>
      <c r="M37" s="32">
        <f t="shared" si="3"/>
        <v>0</v>
      </c>
      <c r="N37" s="32">
        <f t="shared" si="3"/>
        <v>144.90000000000146</v>
      </c>
      <c r="O37" s="32">
        <f t="shared" si="3"/>
        <v>267.59999999997672</v>
      </c>
      <c r="P37" s="32">
        <f t="shared" si="3"/>
        <v>224.79999999998836</v>
      </c>
      <c r="Q37" s="32">
        <f t="shared" si="3"/>
        <v>5.3000000000465661</v>
      </c>
      <c r="R37" s="32">
        <f t="shared" si="3"/>
        <v>17.099999999976717</v>
      </c>
      <c r="S37" s="32">
        <f t="shared" si="3"/>
        <v>296.5</v>
      </c>
      <c r="T37" s="32">
        <f t="shared" si="3"/>
        <v>1425</v>
      </c>
      <c r="U37" s="33">
        <f t="shared" si="4"/>
        <v>5.3000000000465661</v>
      </c>
      <c r="V37" s="33">
        <f t="shared" si="4"/>
        <v>17.099999999976717</v>
      </c>
      <c r="W37" s="33">
        <f t="shared" si="4"/>
        <v>441.40000000000146</v>
      </c>
      <c r="X37" s="33">
        <f t="shared" si="2"/>
        <v>1917.3999999999651</v>
      </c>
    </row>
    <row r="38" spans="1:24" ht="20" customHeight="1">
      <c r="A38" s="15" t="s">
        <v>180</v>
      </c>
      <c r="B38" s="16">
        <v>404509.2</v>
      </c>
      <c r="C38" s="15">
        <v>219206.2</v>
      </c>
      <c r="D38" s="17">
        <v>43187</v>
      </c>
      <c r="E38" s="17">
        <v>364471.8</v>
      </c>
      <c r="F38" s="17">
        <v>244896.4</v>
      </c>
      <c r="G38" s="17">
        <v>518449.4</v>
      </c>
      <c r="H38" s="18">
        <v>307015.59999999998</v>
      </c>
      <c r="I38" s="19">
        <v>703692.3</v>
      </c>
      <c r="J38" s="20">
        <v>1422252</v>
      </c>
      <c r="L38" s="32">
        <f t="shared" si="3"/>
        <v>0</v>
      </c>
      <c r="M38" s="32">
        <f t="shared" si="3"/>
        <v>0</v>
      </c>
      <c r="N38" s="32">
        <f t="shared" si="3"/>
        <v>197.80000000000291</v>
      </c>
      <c r="O38" s="32">
        <f t="shared" si="3"/>
        <v>357.40000000002328</v>
      </c>
      <c r="P38" s="32">
        <f t="shared" si="3"/>
        <v>224.70000000001164</v>
      </c>
      <c r="Q38" s="32">
        <f t="shared" si="3"/>
        <v>1.5999999999767169</v>
      </c>
      <c r="R38" s="32">
        <f t="shared" si="3"/>
        <v>17.300000000046566</v>
      </c>
      <c r="S38" s="32">
        <f t="shared" si="3"/>
        <v>1034</v>
      </c>
      <c r="T38" s="32">
        <f t="shared" si="3"/>
        <v>1375</v>
      </c>
      <c r="U38" s="33">
        <f t="shared" si="4"/>
        <v>1.5999999999767169</v>
      </c>
      <c r="V38" s="33">
        <f t="shared" si="4"/>
        <v>17.300000000046566</v>
      </c>
      <c r="W38" s="33">
        <f t="shared" si="4"/>
        <v>1231.8000000000029</v>
      </c>
      <c r="X38" s="33">
        <f t="shared" si="2"/>
        <v>1957.1000000000349</v>
      </c>
    </row>
    <row r="39" spans="1:24" ht="20" customHeight="1">
      <c r="A39" s="15" t="s">
        <v>181</v>
      </c>
      <c r="B39" s="16">
        <v>404509.2</v>
      </c>
      <c r="C39" s="15">
        <v>219206.2</v>
      </c>
      <c r="D39" s="17">
        <v>43384.800000000003</v>
      </c>
      <c r="E39" s="17">
        <v>364829.2</v>
      </c>
      <c r="F39" s="17">
        <v>245121.1</v>
      </c>
      <c r="G39" s="17">
        <v>518451</v>
      </c>
      <c r="H39" s="18">
        <v>307032.90000000002</v>
      </c>
      <c r="I39" s="19">
        <v>704726.3</v>
      </c>
      <c r="J39" s="20">
        <v>1423627</v>
      </c>
      <c r="L39" s="32">
        <f t="shared" ref="L39" si="10">IFERROR(B40-B39,0)</f>
        <v>0</v>
      </c>
      <c r="M39" s="32">
        <f t="shared" ref="M39" si="11">IFERROR(C40-C39,0)</f>
        <v>0</v>
      </c>
      <c r="N39" s="32">
        <f t="shared" ref="N39" si="12">IFERROR(D40-D39,0)</f>
        <v>289.79999999999563</v>
      </c>
      <c r="O39" s="32">
        <f t="shared" ref="O39" si="13">IFERROR(E40-E39,0)</f>
        <v>358.59999999997672</v>
      </c>
      <c r="P39" s="32">
        <f t="shared" ref="P39" si="14">IFERROR(F40-F39,0)</f>
        <v>250</v>
      </c>
      <c r="Q39" s="32">
        <f t="shared" ref="Q39" si="15">IFERROR(G40-G39,0)</f>
        <v>2.5999999999767169</v>
      </c>
      <c r="R39" s="32">
        <f t="shared" ref="R39" si="16">IFERROR(H40-H39,0)</f>
        <v>17.599999999976717</v>
      </c>
      <c r="S39" s="32">
        <f t="shared" ref="S39" si="17">IFERROR(I40-I39,0)</f>
        <v>1156.5</v>
      </c>
      <c r="T39" s="32">
        <f t="shared" ref="T39" si="18">IFERROR(J40-J39,0)</f>
        <v>1512</v>
      </c>
      <c r="U39" s="33">
        <f t="shared" ref="U39" si="19">L39+Q39</f>
        <v>2.5999999999767169</v>
      </c>
      <c r="V39" s="33">
        <f t="shared" ref="V39" si="20">M39+R39</f>
        <v>17.599999999976717</v>
      </c>
      <c r="W39" s="33">
        <f t="shared" ref="W39" si="21">N39+S39</f>
        <v>1446.2999999999956</v>
      </c>
      <c r="X39" s="33">
        <f t="shared" ref="X39" si="22">O39+P39+T39</f>
        <v>2120.5999999999767</v>
      </c>
    </row>
    <row r="40" spans="1:24" ht="20" customHeight="1">
      <c r="A40" s="42" t="s">
        <v>184</v>
      </c>
      <c r="B40" s="16">
        <v>404509.2</v>
      </c>
      <c r="C40" s="15">
        <v>219206.2</v>
      </c>
      <c r="D40" s="17">
        <v>43674.6</v>
      </c>
      <c r="E40" s="17">
        <v>365187.8</v>
      </c>
      <c r="F40" s="17">
        <v>245371.1</v>
      </c>
      <c r="G40" s="17">
        <v>518453.6</v>
      </c>
      <c r="H40" s="18">
        <v>307050.5</v>
      </c>
      <c r="I40" s="19">
        <v>705882.8</v>
      </c>
      <c r="J40" s="20">
        <v>1425139</v>
      </c>
      <c r="L40" s="32">
        <f t="shared" si="3"/>
        <v>-404509.2</v>
      </c>
      <c r="M40" s="32">
        <f t="shared" si="3"/>
        <v>-219206.2</v>
      </c>
      <c r="N40" s="32">
        <f t="shared" si="3"/>
        <v>-43674.6</v>
      </c>
      <c r="O40" s="32">
        <f t="shared" si="3"/>
        <v>-365187.8</v>
      </c>
      <c r="P40" s="32">
        <f t="shared" si="3"/>
        <v>-245371.1</v>
      </c>
      <c r="Q40" s="32">
        <f t="shared" si="3"/>
        <v>-518453.6</v>
      </c>
      <c r="R40" s="32">
        <f t="shared" si="3"/>
        <v>-307050.5</v>
      </c>
      <c r="S40" s="32">
        <f t="shared" si="3"/>
        <v>-705882.8</v>
      </c>
      <c r="T40" s="32">
        <f t="shared" si="3"/>
        <v>-1425139</v>
      </c>
      <c r="U40" s="33">
        <f t="shared" si="4"/>
        <v>-922962.8</v>
      </c>
      <c r="V40" s="33">
        <f t="shared" si="4"/>
        <v>-526256.69999999995</v>
      </c>
      <c r="W40" s="33">
        <f t="shared" si="4"/>
        <v>-749557.4</v>
      </c>
      <c r="X40" s="33">
        <f t="shared" si="2"/>
        <v>-2035697.9</v>
      </c>
    </row>
    <row r="41" spans="1:24" ht="20" customHeight="1">
      <c r="A41" s="15"/>
      <c r="B41" s="16"/>
      <c r="C41" s="15"/>
      <c r="D41" s="17"/>
      <c r="E41" s="17"/>
      <c r="F41" s="17"/>
      <c r="G41" s="17"/>
      <c r="H41" s="18"/>
      <c r="I41" s="19"/>
      <c r="J41" s="20"/>
      <c r="L41" s="32">
        <f t="shared" si="3"/>
        <v>0</v>
      </c>
      <c r="M41" s="32">
        <f t="shared" si="3"/>
        <v>0</v>
      </c>
      <c r="N41" s="32">
        <f t="shared" si="3"/>
        <v>0</v>
      </c>
      <c r="O41" s="32">
        <f t="shared" si="3"/>
        <v>0</v>
      </c>
      <c r="P41" s="32">
        <f t="shared" si="3"/>
        <v>0</v>
      </c>
      <c r="Q41" s="32">
        <f t="shared" si="3"/>
        <v>0</v>
      </c>
      <c r="R41" s="32">
        <f t="shared" si="3"/>
        <v>0</v>
      </c>
      <c r="S41" s="32">
        <f t="shared" si="3"/>
        <v>0</v>
      </c>
      <c r="T41" s="32">
        <f t="shared" si="3"/>
        <v>0</v>
      </c>
      <c r="U41" s="33">
        <f t="shared" si="4"/>
        <v>0</v>
      </c>
      <c r="V41" s="33">
        <f t="shared" si="4"/>
        <v>0</v>
      </c>
      <c r="W41" s="33">
        <f t="shared" si="4"/>
        <v>0</v>
      </c>
      <c r="X41" s="33">
        <f t="shared" si="2"/>
        <v>0</v>
      </c>
    </row>
    <row r="42" spans="1:24" ht="20" customHeight="1">
      <c r="A42" s="15"/>
      <c r="B42" s="16"/>
      <c r="C42" s="15"/>
      <c r="D42" s="17"/>
      <c r="E42" s="17"/>
      <c r="F42" s="17"/>
      <c r="G42" s="17"/>
      <c r="H42" s="18"/>
      <c r="I42" s="19"/>
      <c r="J42" s="20"/>
      <c r="L42" s="32">
        <f t="shared" si="3"/>
        <v>0</v>
      </c>
      <c r="M42" s="32">
        <f t="shared" si="3"/>
        <v>0</v>
      </c>
      <c r="N42" s="32">
        <f t="shared" si="3"/>
        <v>0</v>
      </c>
      <c r="O42" s="32">
        <f t="shared" si="3"/>
        <v>0</v>
      </c>
      <c r="P42" s="32">
        <f t="shared" si="3"/>
        <v>0</v>
      </c>
      <c r="Q42" s="32">
        <f t="shared" si="3"/>
        <v>0</v>
      </c>
      <c r="R42" s="32">
        <f t="shared" si="3"/>
        <v>0</v>
      </c>
      <c r="S42" s="32">
        <f t="shared" si="3"/>
        <v>0</v>
      </c>
      <c r="T42" s="32">
        <f t="shared" si="3"/>
        <v>0</v>
      </c>
      <c r="U42" s="33">
        <f t="shared" si="4"/>
        <v>0</v>
      </c>
      <c r="V42" s="33">
        <f t="shared" si="4"/>
        <v>0</v>
      </c>
      <c r="W42" s="33">
        <f t="shared" si="4"/>
        <v>0</v>
      </c>
      <c r="X42" s="33">
        <f t="shared" si="2"/>
        <v>0</v>
      </c>
    </row>
    <row r="43" spans="1:24" ht="20" customHeight="1">
      <c r="A43" s="15"/>
      <c r="B43" s="16"/>
      <c r="C43" s="15"/>
      <c r="D43" s="17"/>
      <c r="E43" s="17"/>
      <c r="F43" s="17"/>
      <c r="G43" s="17"/>
      <c r="H43" s="18"/>
      <c r="I43" s="19"/>
      <c r="J43" s="20"/>
      <c r="L43" s="32">
        <f t="shared" si="3"/>
        <v>0</v>
      </c>
      <c r="M43" s="32">
        <f t="shared" si="3"/>
        <v>0</v>
      </c>
      <c r="N43" s="32">
        <f t="shared" si="3"/>
        <v>0</v>
      </c>
      <c r="O43" s="32">
        <f t="shared" si="3"/>
        <v>0</v>
      </c>
      <c r="P43" s="32">
        <f t="shared" si="3"/>
        <v>0</v>
      </c>
      <c r="Q43" s="32">
        <f t="shared" si="3"/>
        <v>0</v>
      </c>
      <c r="R43" s="32">
        <f t="shared" si="3"/>
        <v>0</v>
      </c>
      <c r="S43" s="32">
        <f t="shared" si="3"/>
        <v>0</v>
      </c>
      <c r="T43" s="32">
        <f t="shared" si="3"/>
        <v>0</v>
      </c>
      <c r="U43" s="33">
        <f t="shared" si="4"/>
        <v>0</v>
      </c>
      <c r="V43" s="33">
        <f t="shared" si="4"/>
        <v>0</v>
      </c>
      <c r="W43" s="33">
        <f t="shared" si="4"/>
        <v>0</v>
      </c>
      <c r="X43" s="33">
        <f t="shared" si="2"/>
        <v>0</v>
      </c>
    </row>
    <row r="44" spans="1:24" ht="42.75" customHeight="1">
      <c r="A44" s="23"/>
      <c r="B44" s="24"/>
      <c r="C44" s="23"/>
      <c r="D44" s="25"/>
      <c r="E44" s="25"/>
      <c r="F44" s="25"/>
      <c r="G44" s="25"/>
      <c r="H44" s="26"/>
      <c r="I44" s="27"/>
      <c r="J44" s="28"/>
      <c r="L44" s="32">
        <f t="shared" ref="L44:T72" si="23">IFERROR(B45-B44,0)</f>
        <v>0</v>
      </c>
      <c r="M44" s="32">
        <f t="shared" si="23"/>
        <v>0</v>
      </c>
      <c r="N44" s="32">
        <f t="shared" si="23"/>
        <v>0</v>
      </c>
      <c r="O44" s="32">
        <f t="shared" si="23"/>
        <v>0</v>
      </c>
      <c r="P44" s="32">
        <f t="shared" si="23"/>
        <v>0</v>
      </c>
      <c r="Q44" s="32">
        <f t="shared" si="23"/>
        <v>0</v>
      </c>
      <c r="R44" s="32">
        <f t="shared" si="23"/>
        <v>0</v>
      </c>
      <c r="S44" s="32">
        <f t="shared" si="23"/>
        <v>0</v>
      </c>
      <c r="T44" s="32">
        <f t="shared" si="23"/>
        <v>0</v>
      </c>
      <c r="U44" s="33">
        <f t="shared" ref="U44:W107" si="24">L44+Q44</f>
        <v>0</v>
      </c>
      <c r="V44" s="33">
        <f t="shared" si="24"/>
        <v>0</v>
      </c>
      <c r="W44" s="33">
        <f t="shared" si="24"/>
        <v>0</v>
      </c>
      <c r="X44" s="33">
        <f t="shared" si="2"/>
        <v>0</v>
      </c>
    </row>
    <row r="45" spans="1:24" ht="20" customHeight="1">
      <c r="A45" s="15"/>
      <c r="B45" s="16"/>
      <c r="C45" s="15"/>
      <c r="D45" s="17"/>
      <c r="E45" s="17"/>
      <c r="F45" s="17"/>
      <c r="G45" s="17"/>
      <c r="H45" s="15"/>
      <c r="I45" s="17"/>
      <c r="J45" s="20"/>
      <c r="L45" s="32">
        <f t="shared" si="23"/>
        <v>0</v>
      </c>
      <c r="M45" s="32">
        <f t="shared" si="23"/>
        <v>0</v>
      </c>
      <c r="N45" s="32">
        <f t="shared" si="23"/>
        <v>0</v>
      </c>
      <c r="O45" s="32">
        <f t="shared" si="23"/>
        <v>0</v>
      </c>
      <c r="P45" s="32">
        <f t="shared" si="23"/>
        <v>0</v>
      </c>
      <c r="Q45" s="32">
        <f t="shared" si="23"/>
        <v>0</v>
      </c>
      <c r="R45" s="32">
        <f t="shared" si="23"/>
        <v>0</v>
      </c>
      <c r="S45" s="32">
        <f t="shared" si="23"/>
        <v>0</v>
      </c>
      <c r="T45" s="32">
        <f t="shared" si="23"/>
        <v>0</v>
      </c>
      <c r="U45" s="33">
        <f t="shared" si="24"/>
        <v>0</v>
      </c>
      <c r="V45" s="33">
        <f t="shared" si="24"/>
        <v>0</v>
      </c>
      <c r="W45" s="33">
        <f t="shared" si="24"/>
        <v>0</v>
      </c>
      <c r="X45" s="33">
        <f t="shared" si="2"/>
        <v>0</v>
      </c>
    </row>
    <row r="46" spans="1:24" ht="20" customHeight="1">
      <c r="A46" s="15"/>
      <c r="B46" s="16"/>
      <c r="C46" s="15"/>
      <c r="D46" s="17"/>
      <c r="E46" s="17"/>
      <c r="F46" s="17"/>
      <c r="G46" s="17"/>
      <c r="H46" s="15"/>
      <c r="I46" s="17"/>
      <c r="J46" s="20"/>
      <c r="L46" s="32">
        <f t="shared" si="23"/>
        <v>0</v>
      </c>
      <c r="M46" s="32">
        <f t="shared" si="23"/>
        <v>0</v>
      </c>
      <c r="N46" s="32">
        <f t="shared" si="23"/>
        <v>0</v>
      </c>
      <c r="O46" s="32">
        <f t="shared" si="23"/>
        <v>0</v>
      </c>
      <c r="P46" s="32">
        <f t="shared" si="23"/>
        <v>0</v>
      </c>
      <c r="Q46" s="32">
        <f t="shared" si="23"/>
        <v>0</v>
      </c>
      <c r="R46" s="32">
        <f t="shared" si="23"/>
        <v>0</v>
      </c>
      <c r="S46" s="32">
        <f t="shared" si="23"/>
        <v>0</v>
      </c>
      <c r="T46" s="32">
        <f t="shared" si="23"/>
        <v>0</v>
      </c>
      <c r="U46" s="33">
        <f t="shared" si="24"/>
        <v>0</v>
      </c>
      <c r="V46" s="33">
        <f t="shared" si="24"/>
        <v>0</v>
      </c>
      <c r="W46" s="33">
        <f t="shared" si="24"/>
        <v>0</v>
      </c>
      <c r="X46" s="33">
        <f t="shared" si="2"/>
        <v>0</v>
      </c>
    </row>
    <row r="47" spans="1:24" ht="20" customHeight="1">
      <c r="A47" s="15"/>
      <c r="B47" s="16"/>
      <c r="C47" s="15"/>
      <c r="D47" s="17"/>
      <c r="E47" s="17"/>
      <c r="F47" s="17"/>
      <c r="G47" s="17"/>
      <c r="H47" s="15"/>
      <c r="I47" s="17"/>
      <c r="J47" s="20"/>
      <c r="L47" s="32">
        <f t="shared" si="23"/>
        <v>0</v>
      </c>
      <c r="M47" s="32">
        <f t="shared" si="23"/>
        <v>0</v>
      </c>
      <c r="N47" s="32">
        <f t="shared" si="23"/>
        <v>0</v>
      </c>
      <c r="O47" s="32">
        <f t="shared" si="23"/>
        <v>0</v>
      </c>
      <c r="P47" s="32">
        <f t="shared" si="23"/>
        <v>0</v>
      </c>
      <c r="Q47" s="32">
        <f t="shared" si="23"/>
        <v>0</v>
      </c>
      <c r="R47" s="32">
        <f t="shared" si="23"/>
        <v>0</v>
      </c>
      <c r="S47" s="32">
        <f t="shared" si="23"/>
        <v>0</v>
      </c>
      <c r="T47" s="32">
        <f t="shared" si="23"/>
        <v>0</v>
      </c>
      <c r="U47" s="33">
        <f t="shared" si="24"/>
        <v>0</v>
      </c>
      <c r="V47" s="33">
        <f t="shared" si="24"/>
        <v>0</v>
      </c>
      <c r="W47" s="33">
        <f t="shared" si="24"/>
        <v>0</v>
      </c>
      <c r="X47" s="33">
        <f t="shared" si="2"/>
        <v>0</v>
      </c>
    </row>
    <row r="48" spans="1:24" ht="20" customHeight="1">
      <c r="A48" s="15"/>
      <c r="B48" s="16"/>
      <c r="C48" s="15"/>
      <c r="D48" s="17"/>
      <c r="E48" s="17"/>
      <c r="F48" s="17"/>
      <c r="G48" s="17"/>
      <c r="H48" s="15"/>
      <c r="I48" s="17"/>
      <c r="J48" s="20"/>
      <c r="L48" s="32">
        <f t="shared" si="23"/>
        <v>0</v>
      </c>
      <c r="M48" s="32">
        <f t="shared" si="23"/>
        <v>0</v>
      </c>
      <c r="N48" s="32">
        <f t="shared" si="23"/>
        <v>0</v>
      </c>
      <c r="O48" s="32">
        <f t="shared" si="23"/>
        <v>0</v>
      </c>
      <c r="P48" s="32">
        <f t="shared" si="23"/>
        <v>0</v>
      </c>
      <c r="Q48" s="32">
        <f t="shared" si="23"/>
        <v>0</v>
      </c>
      <c r="R48" s="32">
        <f t="shared" si="23"/>
        <v>0</v>
      </c>
      <c r="S48" s="32">
        <f t="shared" si="23"/>
        <v>0</v>
      </c>
      <c r="T48" s="32">
        <f t="shared" si="23"/>
        <v>0</v>
      </c>
      <c r="U48" s="33">
        <f t="shared" si="24"/>
        <v>0</v>
      </c>
      <c r="V48" s="33">
        <f t="shared" si="24"/>
        <v>0</v>
      </c>
      <c r="W48" s="33">
        <f t="shared" si="24"/>
        <v>0</v>
      </c>
      <c r="X48" s="33">
        <f t="shared" si="2"/>
        <v>0</v>
      </c>
    </row>
    <row r="49" spans="1:24" ht="20" customHeight="1">
      <c r="A49" s="15"/>
      <c r="B49" s="16"/>
      <c r="C49" s="15"/>
      <c r="D49" s="17"/>
      <c r="E49" s="17"/>
      <c r="F49" s="17"/>
      <c r="G49" s="17"/>
      <c r="H49" s="15"/>
      <c r="I49" s="17"/>
      <c r="J49" s="20"/>
      <c r="L49" s="32">
        <f t="shared" si="23"/>
        <v>0</v>
      </c>
      <c r="M49" s="32">
        <f t="shared" si="23"/>
        <v>0</v>
      </c>
      <c r="N49" s="32">
        <f t="shared" si="23"/>
        <v>0</v>
      </c>
      <c r="O49" s="32">
        <f t="shared" si="23"/>
        <v>0</v>
      </c>
      <c r="P49" s="32">
        <f t="shared" si="23"/>
        <v>0</v>
      </c>
      <c r="Q49" s="32">
        <f t="shared" si="23"/>
        <v>0</v>
      </c>
      <c r="R49" s="32">
        <f t="shared" si="23"/>
        <v>0</v>
      </c>
      <c r="S49" s="32">
        <f t="shared" si="23"/>
        <v>0</v>
      </c>
      <c r="T49" s="32">
        <f t="shared" si="23"/>
        <v>0</v>
      </c>
      <c r="U49" s="33">
        <f t="shared" si="24"/>
        <v>0</v>
      </c>
      <c r="V49" s="33">
        <f t="shared" si="24"/>
        <v>0</v>
      </c>
      <c r="W49" s="33">
        <f t="shared" si="24"/>
        <v>0</v>
      </c>
      <c r="X49" s="33">
        <f t="shared" si="2"/>
        <v>0</v>
      </c>
    </row>
    <row r="50" spans="1:24" ht="20" customHeight="1">
      <c r="A50" s="15"/>
      <c r="B50" s="16"/>
      <c r="C50" s="15"/>
      <c r="D50" s="17"/>
      <c r="E50" s="17"/>
      <c r="F50" s="17"/>
      <c r="G50" s="17"/>
      <c r="H50" s="15"/>
      <c r="I50" s="17"/>
      <c r="J50" s="20"/>
      <c r="L50" s="32">
        <f t="shared" si="23"/>
        <v>0</v>
      </c>
      <c r="M50" s="32">
        <f t="shared" si="23"/>
        <v>0</v>
      </c>
      <c r="N50" s="32">
        <f t="shared" si="23"/>
        <v>0</v>
      </c>
      <c r="O50" s="32">
        <f t="shared" si="23"/>
        <v>0</v>
      </c>
      <c r="P50" s="32">
        <f t="shared" si="23"/>
        <v>0</v>
      </c>
      <c r="Q50" s="32">
        <f t="shared" si="23"/>
        <v>0</v>
      </c>
      <c r="R50" s="32">
        <f t="shared" si="23"/>
        <v>0</v>
      </c>
      <c r="S50" s="32">
        <f t="shared" si="23"/>
        <v>0</v>
      </c>
      <c r="T50" s="32">
        <f t="shared" si="23"/>
        <v>0</v>
      </c>
      <c r="U50" s="33">
        <f t="shared" si="24"/>
        <v>0</v>
      </c>
      <c r="V50" s="33">
        <f t="shared" si="24"/>
        <v>0</v>
      </c>
      <c r="W50" s="33">
        <f t="shared" si="24"/>
        <v>0</v>
      </c>
      <c r="X50" s="33">
        <f t="shared" si="2"/>
        <v>0</v>
      </c>
    </row>
    <row r="51" spans="1:24" ht="20" customHeight="1">
      <c r="A51" s="15"/>
      <c r="B51" s="16"/>
      <c r="C51" s="15"/>
      <c r="D51" s="17"/>
      <c r="E51" s="17"/>
      <c r="F51" s="17"/>
      <c r="G51" s="17"/>
      <c r="H51" s="15"/>
      <c r="I51" s="17"/>
      <c r="J51" s="20"/>
      <c r="L51" s="32">
        <f t="shared" si="23"/>
        <v>0</v>
      </c>
      <c r="M51" s="32">
        <f t="shared" si="23"/>
        <v>0</v>
      </c>
      <c r="N51" s="32">
        <f t="shared" si="23"/>
        <v>0</v>
      </c>
      <c r="O51" s="32">
        <f t="shared" si="23"/>
        <v>0</v>
      </c>
      <c r="P51" s="32">
        <f t="shared" si="23"/>
        <v>0</v>
      </c>
      <c r="Q51" s="32">
        <f t="shared" si="23"/>
        <v>0</v>
      </c>
      <c r="R51" s="32">
        <f t="shared" si="23"/>
        <v>0</v>
      </c>
      <c r="S51" s="32">
        <f t="shared" si="23"/>
        <v>0</v>
      </c>
      <c r="T51" s="32">
        <f t="shared" si="23"/>
        <v>0</v>
      </c>
      <c r="U51" s="33">
        <f t="shared" si="24"/>
        <v>0</v>
      </c>
      <c r="V51" s="33">
        <f t="shared" si="24"/>
        <v>0</v>
      </c>
      <c r="W51" s="33">
        <f t="shared" si="24"/>
        <v>0</v>
      </c>
      <c r="X51" s="33">
        <f t="shared" si="2"/>
        <v>0</v>
      </c>
    </row>
    <row r="52" spans="1:24" ht="20" customHeight="1">
      <c r="A52" s="15"/>
      <c r="B52" s="16"/>
      <c r="C52" s="15"/>
      <c r="D52" s="17"/>
      <c r="E52" s="17"/>
      <c r="F52" s="17"/>
      <c r="G52" s="17"/>
      <c r="H52" s="15"/>
      <c r="I52" s="17"/>
      <c r="J52" s="20"/>
      <c r="L52" s="32">
        <f t="shared" si="23"/>
        <v>0</v>
      </c>
      <c r="M52" s="32">
        <f t="shared" si="23"/>
        <v>0</v>
      </c>
      <c r="N52" s="32">
        <f t="shared" si="23"/>
        <v>0</v>
      </c>
      <c r="O52" s="32">
        <f t="shared" si="23"/>
        <v>0</v>
      </c>
      <c r="P52" s="32">
        <f t="shared" si="23"/>
        <v>0</v>
      </c>
      <c r="Q52" s="32">
        <f t="shared" si="23"/>
        <v>0</v>
      </c>
      <c r="R52" s="32">
        <f t="shared" si="23"/>
        <v>0</v>
      </c>
      <c r="S52" s="32">
        <f t="shared" si="23"/>
        <v>0</v>
      </c>
      <c r="T52" s="32">
        <f t="shared" si="23"/>
        <v>0</v>
      </c>
      <c r="U52" s="33">
        <f t="shared" si="24"/>
        <v>0</v>
      </c>
      <c r="V52" s="33">
        <f t="shared" si="24"/>
        <v>0</v>
      </c>
      <c r="W52" s="33">
        <f t="shared" si="24"/>
        <v>0</v>
      </c>
      <c r="X52" s="33">
        <f t="shared" si="2"/>
        <v>0</v>
      </c>
    </row>
    <row r="53" spans="1:24" ht="20" customHeight="1">
      <c r="A53" s="15"/>
      <c r="B53" s="16"/>
      <c r="C53" s="15"/>
      <c r="D53" s="17"/>
      <c r="E53" s="17"/>
      <c r="F53" s="17"/>
      <c r="G53" s="17"/>
      <c r="H53" s="15"/>
      <c r="I53" s="17"/>
      <c r="J53" s="20"/>
      <c r="L53" s="32">
        <f t="shared" si="23"/>
        <v>0</v>
      </c>
      <c r="M53" s="32">
        <f t="shared" si="23"/>
        <v>0</v>
      </c>
      <c r="N53" s="32">
        <f t="shared" si="23"/>
        <v>0</v>
      </c>
      <c r="O53" s="32">
        <f t="shared" si="23"/>
        <v>0</v>
      </c>
      <c r="P53" s="32">
        <f t="shared" si="23"/>
        <v>0</v>
      </c>
      <c r="Q53" s="32">
        <f t="shared" si="23"/>
        <v>0</v>
      </c>
      <c r="R53" s="32">
        <f t="shared" si="23"/>
        <v>0</v>
      </c>
      <c r="S53" s="32">
        <f t="shared" si="23"/>
        <v>0</v>
      </c>
      <c r="T53" s="32">
        <f t="shared" si="23"/>
        <v>0</v>
      </c>
      <c r="U53" s="33">
        <f t="shared" si="24"/>
        <v>0</v>
      </c>
      <c r="V53" s="33">
        <f t="shared" si="24"/>
        <v>0</v>
      </c>
      <c r="W53" s="33">
        <f t="shared" si="24"/>
        <v>0</v>
      </c>
      <c r="X53" s="33">
        <f t="shared" si="2"/>
        <v>0</v>
      </c>
    </row>
    <row r="54" spans="1:24" ht="20" customHeight="1">
      <c r="A54" s="15"/>
      <c r="B54" s="16"/>
      <c r="C54" s="15"/>
      <c r="D54" s="17"/>
      <c r="E54" s="17"/>
      <c r="F54" s="17"/>
      <c r="G54" s="17"/>
      <c r="H54" s="15"/>
      <c r="I54" s="17"/>
      <c r="J54" s="20"/>
      <c r="L54" s="32">
        <f t="shared" si="23"/>
        <v>0</v>
      </c>
      <c r="M54" s="32">
        <f t="shared" si="23"/>
        <v>0</v>
      </c>
      <c r="N54" s="32">
        <f t="shared" si="23"/>
        <v>0</v>
      </c>
      <c r="O54" s="32">
        <f t="shared" si="23"/>
        <v>0</v>
      </c>
      <c r="P54" s="32">
        <f t="shared" si="23"/>
        <v>0</v>
      </c>
      <c r="Q54" s="32">
        <f t="shared" si="23"/>
        <v>0</v>
      </c>
      <c r="R54" s="32">
        <f t="shared" si="23"/>
        <v>0</v>
      </c>
      <c r="S54" s="32">
        <f t="shared" si="23"/>
        <v>0</v>
      </c>
      <c r="T54" s="32">
        <f t="shared" si="23"/>
        <v>0</v>
      </c>
      <c r="U54" s="33">
        <f t="shared" si="24"/>
        <v>0</v>
      </c>
      <c r="V54" s="33">
        <f t="shared" si="24"/>
        <v>0</v>
      </c>
      <c r="W54" s="33">
        <f t="shared" si="24"/>
        <v>0</v>
      </c>
      <c r="X54" s="33">
        <f t="shared" si="2"/>
        <v>0</v>
      </c>
    </row>
    <row r="55" spans="1:24" ht="20" customHeight="1">
      <c r="A55" s="15"/>
      <c r="B55" s="16"/>
      <c r="C55" s="15"/>
      <c r="D55" s="17"/>
      <c r="E55" s="17"/>
      <c r="F55" s="17"/>
      <c r="G55" s="17"/>
      <c r="H55" s="15"/>
      <c r="I55" s="17"/>
      <c r="J55" s="20"/>
      <c r="L55" s="32">
        <f t="shared" si="23"/>
        <v>0</v>
      </c>
      <c r="M55" s="32">
        <f t="shared" si="23"/>
        <v>0</v>
      </c>
      <c r="N55" s="32">
        <f t="shared" si="23"/>
        <v>0</v>
      </c>
      <c r="O55" s="32">
        <f t="shared" si="23"/>
        <v>0</v>
      </c>
      <c r="P55" s="32">
        <f t="shared" si="23"/>
        <v>0</v>
      </c>
      <c r="Q55" s="32">
        <f t="shared" si="23"/>
        <v>0</v>
      </c>
      <c r="R55" s="32">
        <f t="shared" si="23"/>
        <v>0</v>
      </c>
      <c r="S55" s="32">
        <f t="shared" si="23"/>
        <v>0</v>
      </c>
      <c r="T55" s="32">
        <f t="shared" si="23"/>
        <v>0</v>
      </c>
      <c r="U55" s="33">
        <f t="shared" si="24"/>
        <v>0</v>
      </c>
      <c r="V55" s="33">
        <f t="shared" si="24"/>
        <v>0</v>
      </c>
      <c r="W55" s="33">
        <f t="shared" si="24"/>
        <v>0</v>
      </c>
      <c r="X55" s="33">
        <f t="shared" si="2"/>
        <v>0</v>
      </c>
    </row>
    <row r="56" spans="1:24" ht="20" customHeight="1">
      <c r="A56" s="15"/>
      <c r="B56" s="16"/>
      <c r="C56" s="17"/>
      <c r="D56" s="17"/>
      <c r="E56" s="17"/>
      <c r="F56" s="17"/>
      <c r="G56" s="17"/>
      <c r="H56" s="17"/>
      <c r="I56" s="17"/>
      <c r="J56" s="20"/>
      <c r="L56" s="32">
        <f t="shared" si="23"/>
        <v>0</v>
      </c>
      <c r="M56" s="32">
        <f t="shared" si="23"/>
        <v>0</v>
      </c>
      <c r="N56" s="32">
        <f t="shared" si="23"/>
        <v>0</v>
      </c>
      <c r="O56" s="32">
        <f t="shared" si="23"/>
        <v>0</v>
      </c>
      <c r="P56" s="32">
        <f t="shared" si="23"/>
        <v>0</v>
      </c>
      <c r="Q56" s="32">
        <f t="shared" si="23"/>
        <v>0</v>
      </c>
      <c r="R56" s="32">
        <f t="shared" si="23"/>
        <v>0</v>
      </c>
      <c r="S56" s="32">
        <f t="shared" si="23"/>
        <v>0</v>
      </c>
      <c r="T56" s="32">
        <f t="shared" si="23"/>
        <v>0</v>
      </c>
      <c r="U56" s="33">
        <f t="shared" si="24"/>
        <v>0</v>
      </c>
      <c r="V56" s="33">
        <f t="shared" si="24"/>
        <v>0</v>
      </c>
      <c r="W56" s="33">
        <f t="shared" si="24"/>
        <v>0</v>
      </c>
      <c r="X56" s="33">
        <f t="shared" si="2"/>
        <v>0</v>
      </c>
    </row>
    <row r="57" spans="1:24" ht="20" customHeight="1">
      <c r="A57" s="15"/>
      <c r="B57" s="16"/>
      <c r="C57" s="17"/>
      <c r="D57" s="17"/>
      <c r="E57" s="17"/>
      <c r="F57" s="17"/>
      <c r="G57" s="17"/>
      <c r="H57" s="17"/>
      <c r="I57" s="17"/>
      <c r="J57" s="20"/>
      <c r="L57" s="32">
        <f t="shared" si="23"/>
        <v>0</v>
      </c>
      <c r="M57" s="32">
        <f t="shared" si="23"/>
        <v>0</v>
      </c>
      <c r="N57" s="32">
        <f t="shared" si="23"/>
        <v>0</v>
      </c>
      <c r="O57" s="32">
        <f t="shared" si="23"/>
        <v>0</v>
      </c>
      <c r="P57" s="32">
        <f t="shared" si="23"/>
        <v>0</v>
      </c>
      <c r="Q57" s="32">
        <f t="shared" si="23"/>
        <v>0</v>
      </c>
      <c r="R57" s="32">
        <f t="shared" si="23"/>
        <v>0</v>
      </c>
      <c r="S57" s="32">
        <f t="shared" si="23"/>
        <v>0</v>
      </c>
      <c r="T57" s="32">
        <f t="shared" si="23"/>
        <v>0</v>
      </c>
      <c r="U57" s="33">
        <f t="shared" si="24"/>
        <v>0</v>
      </c>
      <c r="V57" s="33">
        <f t="shared" si="24"/>
        <v>0</v>
      </c>
      <c r="W57" s="33">
        <f t="shared" si="24"/>
        <v>0</v>
      </c>
      <c r="X57" s="33">
        <f t="shared" si="2"/>
        <v>0</v>
      </c>
    </row>
    <row r="58" spans="1:24" ht="20" customHeight="1">
      <c r="A58" s="15"/>
      <c r="B58" s="16"/>
      <c r="C58" s="17"/>
      <c r="D58" s="17"/>
      <c r="E58" s="17"/>
      <c r="F58" s="17"/>
      <c r="G58" s="17"/>
      <c r="H58" s="17"/>
      <c r="I58" s="17"/>
      <c r="J58" s="20"/>
      <c r="L58" s="32">
        <f t="shared" si="23"/>
        <v>0</v>
      </c>
      <c r="M58" s="32">
        <f t="shared" si="23"/>
        <v>0</v>
      </c>
      <c r="N58" s="32">
        <f t="shared" si="23"/>
        <v>0</v>
      </c>
      <c r="O58" s="32">
        <f t="shared" si="23"/>
        <v>0</v>
      </c>
      <c r="P58" s="32">
        <f t="shared" si="23"/>
        <v>0</v>
      </c>
      <c r="Q58" s="32">
        <f t="shared" si="23"/>
        <v>0</v>
      </c>
      <c r="R58" s="32">
        <f t="shared" si="23"/>
        <v>0</v>
      </c>
      <c r="S58" s="32">
        <f t="shared" si="23"/>
        <v>0</v>
      </c>
      <c r="T58" s="32">
        <f t="shared" si="23"/>
        <v>0</v>
      </c>
      <c r="U58" s="33">
        <f t="shared" si="24"/>
        <v>0</v>
      </c>
      <c r="V58" s="33">
        <f t="shared" si="24"/>
        <v>0</v>
      </c>
      <c r="W58" s="33">
        <f t="shared" si="24"/>
        <v>0</v>
      </c>
      <c r="X58" s="33">
        <f t="shared" si="2"/>
        <v>0</v>
      </c>
    </row>
    <row r="59" spans="1:24" ht="20" customHeight="1">
      <c r="A59" s="15"/>
      <c r="B59" s="16"/>
      <c r="C59" s="17"/>
      <c r="D59" s="17"/>
      <c r="E59" s="17"/>
      <c r="F59" s="17"/>
      <c r="G59" s="17"/>
      <c r="H59" s="17"/>
      <c r="I59" s="17"/>
      <c r="J59" s="20"/>
      <c r="L59" s="32">
        <f t="shared" si="23"/>
        <v>0</v>
      </c>
      <c r="M59" s="32">
        <f t="shared" si="23"/>
        <v>0</v>
      </c>
      <c r="N59" s="32">
        <f t="shared" si="23"/>
        <v>0</v>
      </c>
      <c r="O59" s="32">
        <f t="shared" si="23"/>
        <v>0</v>
      </c>
      <c r="P59" s="32">
        <f t="shared" si="23"/>
        <v>0</v>
      </c>
      <c r="Q59" s="32">
        <f t="shared" si="23"/>
        <v>0</v>
      </c>
      <c r="R59" s="32">
        <f t="shared" si="23"/>
        <v>0</v>
      </c>
      <c r="S59" s="32">
        <f t="shared" si="23"/>
        <v>0</v>
      </c>
      <c r="T59" s="32">
        <f t="shared" si="23"/>
        <v>0</v>
      </c>
      <c r="U59" s="33">
        <f t="shared" si="24"/>
        <v>0</v>
      </c>
      <c r="V59" s="33">
        <f t="shared" si="24"/>
        <v>0</v>
      </c>
      <c r="W59" s="33">
        <f t="shared" si="24"/>
        <v>0</v>
      </c>
      <c r="X59" s="33">
        <f t="shared" si="2"/>
        <v>0</v>
      </c>
    </row>
    <row r="60" spans="1:24" ht="20" customHeight="1">
      <c r="A60" s="15"/>
      <c r="B60" s="16"/>
      <c r="C60" s="17"/>
      <c r="D60" s="17"/>
      <c r="E60" s="17"/>
      <c r="F60" s="17"/>
      <c r="G60" s="17"/>
      <c r="H60" s="17"/>
      <c r="I60" s="17"/>
      <c r="J60" s="20"/>
      <c r="L60" s="32">
        <f t="shared" si="23"/>
        <v>0</v>
      </c>
      <c r="M60" s="32">
        <f t="shared" si="23"/>
        <v>0</v>
      </c>
      <c r="N60" s="32">
        <f t="shared" si="23"/>
        <v>0</v>
      </c>
      <c r="O60" s="32">
        <f t="shared" si="23"/>
        <v>0</v>
      </c>
      <c r="P60" s="32">
        <f t="shared" si="23"/>
        <v>0</v>
      </c>
      <c r="Q60" s="32">
        <f t="shared" si="23"/>
        <v>0</v>
      </c>
      <c r="R60" s="32">
        <f t="shared" si="23"/>
        <v>0</v>
      </c>
      <c r="S60" s="32">
        <f t="shared" si="23"/>
        <v>0</v>
      </c>
      <c r="T60" s="32">
        <f t="shared" si="23"/>
        <v>0</v>
      </c>
      <c r="U60" s="33">
        <f t="shared" si="24"/>
        <v>0</v>
      </c>
      <c r="V60" s="33">
        <f t="shared" si="24"/>
        <v>0</v>
      </c>
      <c r="W60" s="33">
        <f t="shared" si="24"/>
        <v>0</v>
      </c>
      <c r="X60" s="33">
        <f t="shared" si="2"/>
        <v>0</v>
      </c>
    </row>
    <row r="61" spans="1:24" ht="20" customHeight="1">
      <c r="A61" s="15"/>
      <c r="B61" s="16"/>
      <c r="C61" s="17"/>
      <c r="D61" s="17"/>
      <c r="E61" s="17"/>
      <c r="F61" s="17"/>
      <c r="G61" s="17"/>
      <c r="H61" s="17"/>
      <c r="I61" s="17"/>
      <c r="J61" s="20"/>
      <c r="L61" s="32">
        <f t="shared" si="23"/>
        <v>0</v>
      </c>
      <c r="M61" s="32">
        <f t="shared" si="23"/>
        <v>0</v>
      </c>
      <c r="N61" s="32">
        <f t="shared" si="23"/>
        <v>0</v>
      </c>
      <c r="O61" s="32">
        <f t="shared" si="23"/>
        <v>0</v>
      </c>
      <c r="P61" s="32">
        <f t="shared" si="23"/>
        <v>0</v>
      </c>
      <c r="Q61" s="32">
        <f t="shared" si="23"/>
        <v>0</v>
      </c>
      <c r="R61" s="32">
        <f t="shared" si="23"/>
        <v>0</v>
      </c>
      <c r="S61" s="32">
        <f t="shared" si="23"/>
        <v>0</v>
      </c>
      <c r="T61" s="32">
        <f t="shared" si="23"/>
        <v>0</v>
      </c>
      <c r="U61" s="33">
        <f t="shared" si="24"/>
        <v>0</v>
      </c>
      <c r="V61" s="33">
        <f t="shared" si="24"/>
        <v>0</v>
      </c>
      <c r="W61" s="33">
        <f t="shared" si="24"/>
        <v>0</v>
      </c>
      <c r="X61" s="33">
        <f t="shared" si="2"/>
        <v>0</v>
      </c>
    </row>
    <row r="62" spans="1:24" ht="16.75" customHeight="1">
      <c r="A62" s="15"/>
      <c r="B62" s="16"/>
      <c r="C62" s="17"/>
      <c r="D62" s="17"/>
      <c r="E62" s="17"/>
      <c r="F62" s="17"/>
      <c r="G62" s="17"/>
      <c r="H62" s="17"/>
      <c r="I62" s="17"/>
      <c r="J62" s="20"/>
      <c r="L62" s="32">
        <f t="shared" si="23"/>
        <v>0</v>
      </c>
      <c r="M62" s="32">
        <f t="shared" si="23"/>
        <v>0</v>
      </c>
      <c r="N62" s="32">
        <f t="shared" si="23"/>
        <v>0</v>
      </c>
      <c r="O62" s="32">
        <f t="shared" si="23"/>
        <v>0</v>
      </c>
      <c r="P62" s="32">
        <f t="shared" si="23"/>
        <v>0</v>
      </c>
      <c r="Q62" s="32">
        <f t="shared" si="23"/>
        <v>0</v>
      </c>
      <c r="R62" s="32">
        <f t="shared" si="23"/>
        <v>0</v>
      </c>
      <c r="S62" s="32">
        <f t="shared" si="23"/>
        <v>0</v>
      </c>
      <c r="T62" s="32">
        <f t="shared" si="23"/>
        <v>0</v>
      </c>
      <c r="U62" s="33">
        <f t="shared" si="24"/>
        <v>0</v>
      </c>
      <c r="V62" s="33">
        <f t="shared" si="24"/>
        <v>0</v>
      </c>
      <c r="W62" s="33">
        <f t="shared" si="24"/>
        <v>0</v>
      </c>
      <c r="X62" s="33">
        <f t="shared" si="2"/>
        <v>0</v>
      </c>
    </row>
    <row r="63" spans="1:24" ht="20" customHeight="1">
      <c r="A63" s="15"/>
      <c r="B63" s="16"/>
      <c r="C63" s="17"/>
      <c r="D63" s="17"/>
      <c r="E63" s="17"/>
      <c r="F63" s="17"/>
      <c r="G63" s="17"/>
      <c r="H63" s="17"/>
      <c r="I63" s="17"/>
      <c r="J63" s="20"/>
      <c r="L63" s="32">
        <f t="shared" si="23"/>
        <v>0</v>
      </c>
      <c r="M63" s="32">
        <f t="shared" si="23"/>
        <v>0</v>
      </c>
      <c r="N63" s="32">
        <f t="shared" si="23"/>
        <v>0</v>
      </c>
      <c r="O63" s="32">
        <f t="shared" si="23"/>
        <v>0</v>
      </c>
      <c r="P63" s="32">
        <f t="shared" si="23"/>
        <v>0</v>
      </c>
      <c r="Q63" s="32">
        <f t="shared" si="23"/>
        <v>0</v>
      </c>
      <c r="R63" s="32">
        <f t="shared" si="23"/>
        <v>0</v>
      </c>
      <c r="S63" s="32">
        <f t="shared" si="23"/>
        <v>0</v>
      </c>
      <c r="T63" s="32">
        <f t="shared" si="23"/>
        <v>0</v>
      </c>
      <c r="U63" s="33">
        <f t="shared" si="24"/>
        <v>0</v>
      </c>
      <c r="V63" s="33">
        <f t="shared" si="24"/>
        <v>0</v>
      </c>
      <c r="W63" s="33">
        <f t="shared" si="24"/>
        <v>0</v>
      </c>
      <c r="X63" s="33">
        <f t="shared" si="2"/>
        <v>0</v>
      </c>
    </row>
    <row r="64" spans="1:24" ht="20" customHeight="1">
      <c r="A64" s="15"/>
      <c r="B64" s="16"/>
      <c r="C64" s="17"/>
      <c r="D64" s="17"/>
      <c r="E64" s="17"/>
      <c r="F64" s="17"/>
      <c r="G64" s="17"/>
      <c r="H64" s="17"/>
      <c r="I64" s="17"/>
      <c r="J64" s="20"/>
      <c r="L64" s="32">
        <f t="shared" si="23"/>
        <v>0</v>
      </c>
      <c r="M64" s="32">
        <f t="shared" si="23"/>
        <v>0</v>
      </c>
      <c r="N64" s="32">
        <f t="shared" si="23"/>
        <v>0</v>
      </c>
      <c r="O64" s="32">
        <f t="shared" si="23"/>
        <v>0</v>
      </c>
      <c r="P64" s="32">
        <f t="shared" si="23"/>
        <v>0</v>
      </c>
      <c r="Q64" s="32">
        <f t="shared" si="23"/>
        <v>0</v>
      </c>
      <c r="R64" s="32">
        <f t="shared" si="23"/>
        <v>0</v>
      </c>
      <c r="S64" s="32">
        <f t="shared" si="23"/>
        <v>0</v>
      </c>
      <c r="T64" s="32">
        <f t="shared" si="23"/>
        <v>0</v>
      </c>
      <c r="U64" s="33">
        <f t="shared" si="24"/>
        <v>0</v>
      </c>
      <c r="V64" s="33">
        <f t="shared" si="24"/>
        <v>0</v>
      </c>
      <c r="W64" s="33">
        <f t="shared" si="24"/>
        <v>0</v>
      </c>
      <c r="X64" s="33">
        <f t="shared" si="2"/>
        <v>0</v>
      </c>
    </row>
    <row r="65" spans="1:24" ht="20" customHeight="1">
      <c r="A65" s="15"/>
      <c r="B65" s="16"/>
      <c r="C65" s="17"/>
      <c r="D65" s="17"/>
      <c r="E65" s="17"/>
      <c r="F65" s="17"/>
      <c r="G65" s="17"/>
      <c r="H65" s="17"/>
      <c r="I65" s="17"/>
      <c r="J65" s="20"/>
      <c r="L65" s="32">
        <f t="shared" si="23"/>
        <v>0</v>
      </c>
      <c r="M65" s="32">
        <f t="shared" si="23"/>
        <v>0</v>
      </c>
      <c r="N65" s="32">
        <f t="shared" si="23"/>
        <v>0</v>
      </c>
      <c r="O65" s="32">
        <f t="shared" si="23"/>
        <v>0</v>
      </c>
      <c r="P65" s="32">
        <f t="shared" si="23"/>
        <v>0</v>
      </c>
      <c r="Q65" s="32">
        <f t="shared" si="23"/>
        <v>0</v>
      </c>
      <c r="R65" s="32">
        <f t="shared" si="23"/>
        <v>0</v>
      </c>
      <c r="S65" s="32">
        <f t="shared" si="23"/>
        <v>0</v>
      </c>
      <c r="T65" s="32">
        <f t="shared" si="23"/>
        <v>0</v>
      </c>
      <c r="U65" s="33">
        <f t="shared" si="24"/>
        <v>0</v>
      </c>
      <c r="V65" s="33">
        <f t="shared" si="24"/>
        <v>0</v>
      </c>
      <c r="W65" s="33">
        <f t="shared" si="24"/>
        <v>0</v>
      </c>
      <c r="X65" s="33">
        <f t="shared" si="2"/>
        <v>0</v>
      </c>
    </row>
    <row r="66" spans="1:24" ht="20" customHeight="1">
      <c r="A66" s="15"/>
      <c r="B66" s="16"/>
      <c r="C66" s="17"/>
      <c r="D66" s="17"/>
      <c r="E66" s="17"/>
      <c r="F66" s="17"/>
      <c r="G66" s="17"/>
      <c r="H66" s="17"/>
      <c r="I66" s="17"/>
      <c r="J66" s="20"/>
      <c r="L66" s="32">
        <f t="shared" si="23"/>
        <v>0</v>
      </c>
      <c r="M66" s="32">
        <f t="shared" si="23"/>
        <v>0</v>
      </c>
      <c r="N66" s="32">
        <f t="shared" si="23"/>
        <v>0</v>
      </c>
      <c r="O66" s="32">
        <f t="shared" si="23"/>
        <v>0</v>
      </c>
      <c r="P66" s="32">
        <f t="shared" si="23"/>
        <v>0</v>
      </c>
      <c r="Q66" s="32">
        <f t="shared" si="23"/>
        <v>0</v>
      </c>
      <c r="R66" s="32">
        <f t="shared" si="23"/>
        <v>0</v>
      </c>
      <c r="S66" s="32">
        <f t="shared" si="23"/>
        <v>0</v>
      </c>
      <c r="T66" s="32">
        <f t="shared" si="23"/>
        <v>0</v>
      </c>
      <c r="U66" s="33">
        <f t="shared" si="24"/>
        <v>0</v>
      </c>
      <c r="V66" s="33">
        <f t="shared" si="24"/>
        <v>0</v>
      </c>
      <c r="W66" s="33">
        <f t="shared" si="24"/>
        <v>0</v>
      </c>
      <c r="X66" s="33">
        <f t="shared" si="2"/>
        <v>0</v>
      </c>
    </row>
    <row r="67" spans="1:24" ht="20" customHeight="1">
      <c r="A67" s="15"/>
      <c r="B67" s="16"/>
      <c r="C67" s="17"/>
      <c r="D67" s="17"/>
      <c r="E67" s="17"/>
      <c r="F67" s="17"/>
      <c r="G67" s="17"/>
      <c r="H67" s="17"/>
      <c r="I67" s="17"/>
      <c r="J67" s="20"/>
      <c r="L67" s="32">
        <f t="shared" si="23"/>
        <v>0</v>
      </c>
      <c r="M67" s="32">
        <f t="shared" si="23"/>
        <v>0</v>
      </c>
      <c r="N67" s="32">
        <f t="shared" si="23"/>
        <v>0</v>
      </c>
      <c r="O67" s="32">
        <f t="shared" si="23"/>
        <v>0</v>
      </c>
      <c r="P67" s="32">
        <f t="shared" si="23"/>
        <v>0</v>
      </c>
      <c r="Q67" s="32">
        <f t="shared" si="23"/>
        <v>0</v>
      </c>
      <c r="R67" s="32">
        <f t="shared" si="23"/>
        <v>0</v>
      </c>
      <c r="S67" s="32">
        <f t="shared" si="23"/>
        <v>0</v>
      </c>
      <c r="T67" s="32">
        <f t="shared" si="23"/>
        <v>0</v>
      </c>
      <c r="U67" s="33">
        <f t="shared" si="24"/>
        <v>0</v>
      </c>
      <c r="V67" s="33">
        <f t="shared" si="24"/>
        <v>0</v>
      </c>
      <c r="W67" s="33">
        <f t="shared" si="24"/>
        <v>0</v>
      </c>
      <c r="X67" s="33">
        <f t="shared" si="2"/>
        <v>0</v>
      </c>
    </row>
    <row r="68" spans="1:24" ht="20" customHeight="1">
      <c r="A68" s="15"/>
      <c r="B68" s="16"/>
      <c r="C68" s="17"/>
      <c r="D68" s="15"/>
      <c r="E68" s="17"/>
      <c r="F68" s="17"/>
      <c r="G68" s="17"/>
      <c r="H68" s="17"/>
      <c r="I68" s="15"/>
      <c r="J68" s="20"/>
      <c r="L68" s="32">
        <f t="shared" si="23"/>
        <v>0</v>
      </c>
      <c r="M68" s="32">
        <f t="shared" si="23"/>
        <v>0</v>
      </c>
      <c r="N68" s="32">
        <f t="shared" si="23"/>
        <v>0</v>
      </c>
      <c r="O68" s="32">
        <f t="shared" si="23"/>
        <v>0</v>
      </c>
      <c r="P68" s="32">
        <f t="shared" si="23"/>
        <v>0</v>
      </c>
      <c r="Q68" s="32">
        <f t="shared" si="23"/>
        <v>0</v>
      </c>
      <c r="R68" s="32">
        <f t="shared" si="23"/>
        <v>0</v>
      </c>
      <c r="S68" s="32">
        <f t="shared" si="23"/>
        <v>0</v>
      </c>
      <c r="T68" s="32">
        <f t="shared" si="23"/>
        <v>0</v>
      </c>
      <c r="U68" s="33">
        <f t="shared" si="24"/>
        <v>0</v>
      </c>
      <c r="V68" s="33">
        <f t="shared" si="24"/>
        <v>0</v>
      </c>
      <c r="W68" s="33">
        <f t="shared" si="24"/>
        <v>0</v>
      </c>
      <c r="X68" s="33">
        <f t="shared" si="2"/>
        <v>0</v>
      </c>
    </row>
    <row r="69" spans="1:24" ht="20" customHeight="1">
      <c r="A69" s="15"/>
      <c r="B69" s="16"/>
      <c r="C69" s="17"/>
      <c r="D69" s="15"/>
      <c r="E69" s="17"/>
      <c r="F69" s="17"/>
      <c r="G69" s="17"/>
      <c r="H69" s="17"/>
      <c r="I69" s="15"/>
      <c r="J69" s="20"/>
      <c r="L69" s="32">
        <f t="shared" si="23"/>
        <v>0</v>
      </c>
      <c r="M69" s="32">
        <f t="shared" si="23"/>
        <v>0</v>
      </c>
      <c r="N69" s="32">
        <f t="shared" si="23"/>
        <v>0</v>
      </c>
      <c r="O69" s="32">
        <f t="shared" si="23"/>
        <v>0</v>
      </c>
      <c r="P69" s="32">
        <f t="shared" si="23"/>
        <v>0</v>
      </c>
      <c r="Q69" s="32">
        <f t="shared" si="23"/>
        <v>0</v>
      </c>
      <c r="R69" s="32">
        <f t="shared" si="23"/>
        <v>0</v>
      </c>
      <c r="S69" s="32">
        <f t="shared" si="23"/>
        <v>0</v>
      </c>
      <c r="T69" s="32">
        <f t="shared" si="23"/>
        <v>0</v>
      </c>
      <c r="U69" s="33">
        <f t="shared" si="24"/>
        <v>0</v>
      </c>
      <c r="V69" s="33">
        <f t="shared" si="24"/>
        <v>0</v>
      </c>
      <c r="W69" s="33">
        <f t="shared" si="24"/>
        <v>0</v>
      </c>
      <c r="X69" s="33">
        <f t="shared" si="2"/>
        <v>0</v>
      </c>
    </row>
    <row r="70" spans="1:24" ht="20" customHeight="1">
      <c r="A70" s="15"/>
      <c r="B70" s="16"/>
      <c r="C70" s="17"/>
      <c r="D70" s="15"/>
      <c r="E70" s="17"/>
      <c r="F70" s="17"/>
      <c r="G70" s="17"/>
      <c r="H70" s="17"/>
      <c r="I70" s="15"/>
      <c r="J70" s="20"/>
      <c r="L70" s="32">
        <f t="shared" si="23"/>
        <v>0</v>
      </c>
      <c r="M70" s="32">
        <f t="shared" si="23"/>
        <v>0</v>
      </c>
      <c r="N70" s="32">
        <f t="shared" si="23"/>
        <v>0</v>
      </c>
      <c r="O70" s="32">
        <f t="shared" si="23"/>
        <v>0</v>
      </c>
      <c r="P70" s="32">
        <f t="shared" si="23"/>
        <v>0</v>
      </c>
      <c r="Q70" s="32">
        <f t="shared" si="23"/>
        <v>0</v>
      </c>
      <c r="R70" s="32">
        <f t="shared" si="23"/>
        <v>0</v>
      </c>
      <c r="S70" s="32">
        <f t="shared" si="23"/>
        <v>0</v>
      </c>
      <c r="T70" s="32">
        <f t="shared" si="23"/>
        <v>0</v>
      </c>
      <c r="U70" s="33">
        <f t="shared" si="24"/>
        <v>0</v>
      </c>
      <c r="V70" s="33">
        <f t="shared" si="24"/>
        <v>0</v>
      </c>
      <c r="W70" s="33">
        <f t="shared" si="24"/>
        <v>0</v>
      </c>
      <c r="X70" s="33">
        <f t="shared" si="2"/>
        <v>0</v>
      </c>
    </row>
    <row r="71" spans="1:24" ht="20" customHeight="1">
      <c r="A71" s="15"/>
      <c r="B71" s="16"/>
      <c r="C71" s="17"/>
      <c r="D71" s="15"/>
      <c r="E71" s="17"/>
      <c r="F71" s="17"/>
      <c r="G71" s="17"/>
      <c r="H71" s="17"/>
      <c r="I71" s="15"/>
      <c r="J71" s="20"/>
      <c r="L71" s="32">
        <f t="shared" si="23"/>
        <v>0</v>
      </c>
      <c r="M71" s="32">
        <f t="shared" si="23"/>
        <v>0</v>
      </c>
      <c r="N71" s="32">
        <f t="shared" si="23"/>
        <v>0</v>
      </c>
      <c r="O71" s="32">
        <f t="shared" si="23"/>
        <v>0</v>
      </c>
      <c r="P71" s="32">
        <f t="shared" si="23"/>
        <v>0</v>
      </c>
      <c r="Q71" s="32">
        <f t="shared" si="23"/>
        <v>0</v>
      </c>
      <c r="R71" s="32">
        <f t="shared" si="23"/>
        <v>0</v>
      </c>
      <c r="S71" s="32">
        <f t="shared" si="23"/>
        <v>0</v>
      </c>
      <c r="T71" s="32">
        <f t="shared" si="23"/>
        <v>0</v>
      </c>
      <c r="U71" s="33">
        <f t="shared" si="24"/>
        <v>0</v>
      </c>
      <c r="V71" s="33">
        <f t="shared" si="24"/>
        <v>0</v>
      </c>
      <c r="W71" s="33">
        <f t="shared" si="24"/>
        <v>0</v>
      </c>
      <c r="X71" s="33">
        <f t="shared" si="2"/>
        <v>0</v>
      </c>
    </row>
    <row r="72" spans="1:24" ht="20" customHeight="1">
      <c r="A72" s="15"/>
      <c r="B72" s="16"/>
      <c r="C72" s="17"/>
      <c r="D72" s="15"/>
      <c r="E72" s="17"/>
      <c r="F72" s="17"/>
      <c r="G72" s="17"/>
      <c r="H72" s="17"/>
      <c r="I72" s="15"/>
      <c r="J72" s="20"/>
      <c r="L72" s="32">
        <f t="shared" si="23"/>
        <v>0</v>
      </c>
      <c r="M72" s="32">
        <f t="shared" si="23"/>
        <v>0</v>
      </c>
      <c r="N72" s="32">
        <f t="shared" si="23"/>
        <v>0</v>
      </c>
      <c r="O72" s="32">
        <f t="shared" ref="O72:T114" si="25">IFERROR(E73-E72,0)</f>
        <v>0</v>
      </c>
      <c r="P72" s="32">
        <f t="shared" si="25"/>
        <v>0</v>
      </c>
      <c r="Q72" s="32">
        <f t="shared" si="25"/>
        <v>0</v>
      </c>
      <c r="R72" s="32">
        <f t="shared" si="25"/>
        <v>0</v>
      </c>
      <c r="S72" s="32">
        <f t="shared" si="25"/>
        <v>0</v>
      </c>
      <c r="T72" s="32">
        <f t="shared" si="25"/>
        <v>0</v>
      </c>
      <c r="U72" s="33">
        <f t="shared" si="24"/>
        <v>0</v>
      </c>
      <c r="V72" s="33">
        <f t="shared" si="24"/>
        <v>0</v>
      </c>
      <c r="W72" s="33">
        <f t="shared" si="24"/>
        <v>0</v>
      </c>
      <c r="X72" s="33">
        <f t="shared" si="2"/>
        <v>0</v>
      </c>
    </row>
    <row r="73" spans="1:24" ht="20" customHeight="1">
      <c r="A73" s="15"/>
      <c r="B73" s="16"/>
      <c r="C73" s="17"/>
      <c r="D73" s="15"/>
      <c r="E73" s="17"/>
      <c r="F73" s="17"/>
      <c r="G73" s="17"/>
      <c r="H73" s="17"/>
      <c r="I73" s="15"/>
      <c r="J73" s="20"/>
      <c r="L73" s="32">
        <f t="shared" ref="L73:Q136" si="26">IFERROR(B74-B73,0)</f>
        <v>0</v>
      </c>
      <c r="M73" s="32">
        <f t="shared" si="26"/>
        <v>0</v>
      </c>
      <c r="N73" s="32">
        <f t="shared" si="26"/>
        <v>0</v>
      </c>
      <c r="O73" s="32">
        <f t="shared" si="25"/>
        <v>0</v>
      </c>
      <c r="P73" s="32">
        <f t="shared" si="25"/>
        <v>0</v>
      </c>
      <c r="Q73" s="32">
        <f t="shared" si="25"/>
        <v>0</v>
      </c>
      <c r="R73" s="32">
        <f t="shared" si="25"/>
        <v>0</v>
      </c>
      <c r="S73" s="32">
        <f t="shared" si="25"/>
        <v>0</v>
      </c>
      <c r="T73" s="32">
        <f t="shared" si="25"/>
        <v>0</v>
      </c>
      <c r="U73" s="33">
        <f t="shared" si="24"/>
        <v>0</v>
      </c>
      <c r="V73" s="33">
        <f t="shared" si="24"/>
        <v>0</v>
      </c>
      <c r="W73" s="33">
        <f t="shared" si="24"/>
        <v>0</v>
      </c>
      <c r="X73" s="33">
        <f t="shared" ref="X73:X136" si="27">O73+P73+T73</f>
        <v>0</v>
      </c>
    </row>
    <row r="74" spans="1:24" ht="20" customHeight="1">
      <c r="A74" s="15"/>
      <c r="B74" s="16"/>
      <c r="C74" s="17"/>
      <c r="D74" s="17"/>
      <c r="E74" s="17"/>
      <c r="F74" s="17"/>
      <c r="G74" s="17"/>
      <c r="H74" s="17"/>
      <c r="I74" s="17"/>
      <c r="J74" s="20"/>
      <c r="L74" s="32">
        <f t="shared" si="26"/>
        <v>0</v>
      </c>
      <c r="M74" s="32">
        <f t="shared" si="26"/>
        <v>0</v>
      </c>
      <c r="N74" s="32">
        <f t="shared" si="26"/>
        <v>0</v>
      </c>
      <c r="O74" s="32">
        <f t="shared" si="25"/>
        <v>0</v>
      </c>
      <c r="P74" s="32">
        <f t="shared" si="25"/>
        <v>0</v>
      </c>
      <c r="Q74" s="32">
        <f t="shared" si="25"/>
        <v>0</v>
      </c>
      <c r="R74" s="32">
        <f t="shared" si="25"/>
        <v>0</v>
      </c>
      <c r="S74" s="32">
        <f t="shared" si="25"/>
        <v>0</v>
      </c>
      <c r="T74" s="32">
        <f t="shared" si="25"/>
        <v>0</v>
      </c>
      <c r="U74" s="33">
        <f t="shared" si="24"/>
        <v>0</v>
      </c>
      <c r="V74" s="33">
        <f t="shared" si="24"/>
        <v>0</v>
      </c>
      <c r="W74" s="33">
        <f t="shared" si="24"/>
        <v>0</v>
      </c>
      <c r="X74" s="33">
        <f t="shared" si="27"/>
        <v>0</v>
      </c>
    </row>
    <row r="75" spans="1:24" ht="20" customHeight="1">
      <c r="A75" s="15"/>
      <c r="B75" s="16"/>
      <c r="C75" s="17"/>
      <c r="D75" s="15"/>
      <c r="E75" s="17"/>
      <c r="F75" s="17"/>
      <c r="G75" s="17"/>
      <c r="H75" s="17"/>
      <c r="I75" s="15"/>
      <c r="J75" s="20"/>
      <c r="L75" s="32">
        <f t="shared" si="26"/>
        <v>0</v>
      </c>
      <c r="M75" s="32">
        <f t="shared" si="26"/>
        <v>0</v>
      </c>
      <c r="N75" s="32">
        <f t="shared" si="26"/>
        <v>0</v>
      </c>
      <c r="O75" s="32">
        <f t="shared" si="25"/>
        <v>0</v>
      </c>
      <c r="P75" s="32">
        <f t="shared" si="25"/>
        <v>0</v>
      </c>
      <c r="Q75" s="32">
        <f t="shared" si="25"/>
        <v>0</v>
      </c>
      <c r="R75" s="32">
        <f t="shared" si="25"/>
        <v>0</v>
      </c>
      <c r="S75" s="32">
        <f t="shared" si="25"/>
        <v>0</v>
      </c>
      <c r="T75" s="32">
        <f t="shared" si="25"/>
        <v>0</v>
      </c>
      <c r="U75" s="33">
        <f t="shared" si="24"/>
        <v>0</v>
      </c>
      <c r="V75" s="33">
        <f t="shared" si="24"/>
        <v>0</v>
      </c>
      <c r="W75" s="33">
        <f t="shared" si="24"/>
        <v>0</v>
      </c>
      <c r="X75" s="33">
        <f t="shared" si="27"/>
        <v>0</v>
      </c>
    </row>
    <row r="76" spans="1:24" ht="20" customHeight="1">
      <c r="A76" s="15"/>
      <c r="B76" s="16"/>
      <c r="C76" s="17"/>
      <c r="D76" s="15"/>
      <c r="E76" s="17"/>
      <c r="F76" s="17"/>
      <c r="G76" s="17"/>
      <c r="H76" s="17"/>
      <c r="I76" s="15"/>
      <c r="J76" s="20"/>
      <c r="L76" s="32">
        <f t="shared" si="26"/>
        <v>0</v>
      </c>
      <c r="M76" s="32">
        <f t="shared" si="26"/>
        <v>0</v>
      </c>
      <c r="N76" s="32">
        <f t="shared" si="26"/>
        <v>0</v>
      </c>
      <c r="O76" s="32">
        <f t="shared" si="25"/>
        <v>0</v>
      </c>
      <c r="P76" s="32">
        <f t="shared" si="25"/>
        <v>0</v>
      </c>
      <c r="Q76" s="32">
        <f t="shared" si="25"/>
        <v>0</v>
      </c>
      <c r="R76" s="32">
        <f t="shared" si="25"/>
        <v>0</v>
      </c>
      <c r="S76" s="32">
        <f t="shared" si="25"/>
        <v>0</v>
      </c>
      <c r="T76" s="32">
        <f t="shared" si="25"/>
        <v>0</v>
      </c>
      <c r="U76" s="33">
        <f t="shared" si="24"/>
        <v>0</v>
      </c>
      <c r="V76" s="33">
        <f t="shared" si="24"/>
        <v>0</v>
      </c>
      <c r="W76" s="33">
        <f t="shared" si="24"/>
        <v>0</v>
      </c>
      <c r="X76" s="33">
        <f t="shared" si="27"/>
        <v>0</v>
      </c>
    </row>
    <row r="77" spans="1:24" ht="20" customHeight="1">
      <c r="A77" s="15"/>
      <c r="B77" s="16"/>
      <c r="C77" s="17"/>
      <c r="D77" s="17"/>
      <c r="E77" s="17"/>
      <c r="F77" s="17"/>
      <c r="G77" s="17"/>
      <c r="H77" s="17"/>
      <c r="I77" s="17"/>
      <c r="J77" s="20"/>
      <c r="L77" s="32">
        <f t="shared" si="26"/>
        <v>0</v>
      </c>
      <c r="M77" s="32">
        <f t="shared" si="26"/>
        <v>0</v>
      </c>
      <c r="N77" s="32">
        <f t="shared" si="26"/>
        <v>0</v>
      </c>
      <c r="O77" s="32">
        <f t="shared" si="25"/>
        <v>0</v>
      </c>
      <c r="P77" s="32">
        <f t="shared" si="25"/>
        <v>0</v>
      </c>
      <c r="Q77" s="32">
        <f t="shared" si="25"/>
        <v>0</v>
      </c>
      <c r="R77" s="32">
        <f t="shared" si="25"/>
        <v>0</v>
      </c>
      <c r="S77" s="32">
        <f t="shared" si="25"/>
        <v>0</v>
      </c>
      <c r="T77" s="32">
        <f t="shared" si="25"/>
        <v>0</v>
      </c>
      <c r="U77" s="33">
        <f t="shared" si="24"/>
        <v>0</v>
      </c>
      <c r="V77" s="33">
        <f t="shared" si="24"/>
        <v>0</v>
      </c>
      <c r="W77" s="33">
        <f t="shared" si="24"/>
        <v>0</v>
      </c>
      <c r="X77" s="33">
        <f t="shared" si="27"/>
        <v>0</v>
      </c>
    </row>
    <row r="78" spans="1:24" ht="20" customHeight="1">
      <c r="A78" s="15"/>
      <c r="B78" s="16"/>
      <c r="C78" s="17"/>
      <c r="D78" s="17"/>
      <c r="E78" s="17"/>
      <c r="F78" s="17"/>
      <c r="G78" s="17"/>
      <c r="H78" s="17"/>
      <c r="I78" s="17"/>
      <c r="J78" s="20"/>
      <c r="L78" s="32">
        <f t="shared" si="26"/>
        <v>0</v>
      </c>
      <c r="M78" s="32">
        <f t="shared" si="26"/>
        <v>0</v>
      </c>
      <c r="N78" s="32">
        <f t="shared" si="26"/>
        <v>0</v>
      </c>
      <c r="O78" s="32">
        <f t="shared" si="25"/>
        <v>0</v>
      </c>
      <c r="P78" s="32">
        <f t="shared" si="25"/>
        <v>0</v>
      </c>
      <c r="Q78" s="32">
        <f t="shared" si="25"/>
        <v>0</v>
      </c>
      <c r="R78" s="32">
        <f t="shared" si="25"/>
        <v>0</v>
      </c>
      <c r="S78" s="32">
        <f t="shared" si="25"/>
        <v>0</v>
      </c>
      <c r="T78" s="32">
        <f t="shared" si="25"/>
        <v>0</v>
      </c>
      <c r="U78" s="33">
        <f t="shared" si="24"/>
        <v>0</v>
      </c>
      <c r="V78" s="33">
        <f t="shared" si="24"/>
        <v>0</v>
      </c>
      <c r="W78" s="33">
        <f t="shared" si="24"/>
        <v>0</v>
      </c>
      <c r="X78" s="33">
        <f t="shared" si="27"/>
        <v>0</v>
      </c>
    </row>
    <row r="79" spans="1:24" ht="20" customHeight="1">
      <c r="A79" s="15"/>
      <c r="B79" s="16"/>
      <c r="C79" s="17"/>
      <c r="D79" s="17"/>
      <c r="E79" s="17"/>
      <c r="F79" s="17"/>
      <c r="G79" s="17"/>
      <c r="H79" s="17"/>
      <c r="I79" s="17"/>
      <c r="J79" s="20"/>
      <c r="L79" s="32">
        <f t="shared" si="26"/>
        <v>0</v>
      </c>
      <c r="M79" s="32">
        <f t="shared" si="26"/>
        <v>0</v>
      </c>
      <c r="N79" s="32">
        <f t="shared" si="26"/>
        <v>0</v>
      </c>
      <c r="O79" s="32">
        <f t="shared" si="25"/>
        <v>0</v>
      </c>
      <c r="P79" s="32">
        <f t="shared" si="25"/>
        <v>0</v>
      </c>
      <c r="Q79" s="32">
        <f t="shared" si="25"/>
        <v>0</v>
      </c>
      <c r="R79" s="32">
        <f t="shared" si="25"/>
        <v>0</v>
      </c>
      <c r="S79" s="32">
        <f t="shared" si="25"/>
        <v>0</v>
      </c>
      <c r="T79" s="32">
        <f t="shared" si="25"/>
        <v>0</v>
      </c>
      <c r="U79" s="33">
        <f t="shared" si="24"/>
        <v>0</v>
      </c>
      <c r="V79" s="33">
        <f t="shared" si="24"/>
        <v>0</v>
      </c>
      <c r="W79" s="33">
        <f t="shared" si="24"/>
        <v>0</v>
      </c>
      <c r="X79" s="33">
        <f t="shared" si="27"/>
        <v>0</v>
      </c>
    </row>
    <row r="80" spans="1:24" ht="16.75" customHeight="1">
      <c r="A80" s="15"/>
      <c r="B80" s="16"/>
      <c r="C80" s="17"/>
      <c r="D80" s="17"/>
      <c r="E80" s="17"/>
      <c r="F80" s="17"/>
      <c r="G80" s="17"/>
      <c r="H80" s="17"/>
      <c r="I80" s="17"/>
      <c r="J80" s="20"/>
      <c r="L80" s="32">
        <f t="shared" si="26"/>
        <v>0</v>
      </c>
      <c r="M80" s="32">
        <f t="shared" si="26"/>
        <v>0</v>
      </c>
      <c r="N80" s="32">
        <f t="shared" si="26"/>
        <v>0</v>
      </c>
      <c r="O80" s="32">
        <f t="shared" si="25"/>
        <v>0</v>
      </c>
      <c r="P80" s="32">
        <f t="shared" si="25"/>
        <v>0</v>
      </c>
      <c r="Q80" s="32">
        <f t="shared" si="25"/>
        <v>0</v>
      </c>
      <c r="R80" s="32">
        <f t="shared" si="25"/>
        <v>0</v>
      </c>
      <c r="S80" s="32">
        <f t="shared" si="25"/>
        <v>0</v>
      </c>
      <c r="T80" s="32">
        <f t="shared" si="25"/>
        <v>0</v>
      </c>
      <c r="U80" s="33">
        <f t="shared" si="24"/>
        <v>0</v>
      </c>
      <c r="V80" s="33">
        <f t="shared" si="24"/>
        <v>0</v>
      </c>
      <c r="W80" s="33">
        <f t="shared" si="24"/>
        <v>0</v>
      </c>
      <c r="X80" s="33">
        <f t="shared" si="27"/>
        <v>0</v>
      </c>
    </row>
    <row r="81" spans="1:24" ht="20" customHeight="1">
      <c r="A81" s="15"/>
      <c r="B81" s="16"/>
      <c r="C81" s="17"/>
      <c r="D81" s="17"/>
      <c r="E81" s="17"/>
      <c r="F81" s="17"/>
      <c r="G81" s="17"/>
      <c r="H81" s="17"/>
      <c r="I81" s="17"/>
      <c r="J81" s="20"/>
      <c r="L81" s="32">
        <f t="shared" si="26"/>
        <v>0</v>
      </c>
      <c r="M81" s="32">
        <f t="shared" si="26"/>
        <v>0</v>
      </c>
      <c r="N81" s="32">
        <f t="shared" si="26"/>
        <v>0</v>
      </c>
      <c r="O81" s="32">
        <f t="shared" si="25"/>
        <v>0</v>
      </c>
      <c r="P81" s="32">
        <f t="shared" si="25"/>
        <v>0</v>
      </c>
      <c r="Q81" s="32">
        <f t="shared" si="25"/>
        <v>0</v>
      </c>
      <c r="R81" s="32">
        <f t="shared" si="25"/>
        <v>0</v>
      </c>
      <c r="S81" s="32">
        <f t="shared" si="25"/>
        <v>0</v>
      </c>
      <c r="T81" s="32">
        <f t="shared" si="25"/>
        <v>0</v>
      </c>
      <c r="U81" s="33">
        <f t="shared" si="24"/>
        <v>0</v>
      </c>
      <c r="V81" s="33">
        <f t="shared" si="24"/>
        <v>0</v>
      </c>
      <c r="W81" s="33">
        <f t="shared" si="24"/>
        <v>0</v>
      </c>
      <c r="X81" s="33">
        <f t="shared" si="27"/>
        <v>0</v>
      </c>
    </row>
    <row r="82" spans="1:24" ht="20" customHeight="1">
      <c r="A82" s="15"/>
      <c r="B82" s="16"/>
      <c r="C82" s="17"/>
      <c r="D82" s="17"/>
      <c r="E82" s="17"/>
      <c r="F82" s="17"/>
      <c r="G82" s="17"/>
      <c r="H82" s="17"/>
      <c r="I82" s="17"/>
      <c r="J82" s="20"/>
      <c r="L82" s="32">
        <f t="shared" si="26"/>
        <v>0</v>
      </c>
      <c r="M82" s="32">
        <f t="shared" si="26"/>
        <v>0</v>
      </c>
      <c r="N82" s="32">
        <f t="shared" si="26"/>
        <v>0</v>
      </c>
      <c r="O82" s="32">
        <f t="shared" si="25"/>
        <v>0</v>
      </c>
      <c r="P82" s="32">
        <f t="shared" si="25"/>
        <v>0</v>
      </c>
      <c r="Q82" s="32">
        <f t="shared" si="25"/>
        <v>0</v>
      </c>
      <c r="R82" s="32">
        <f t="shared" si="25"/>
        <v>0</v>
      </c>
      <c r="S82" s="32">
        <f t="shared" si="25"/>
        <v>0</v>
      </c>
      <c r="T82" s="32">
        <f t="shared" si="25"/>
        <v>0</v>
      </c>
      <c r="U82" s="33">
        <f t="shared" si="24"/>
        <v>0</v>
      </c>
      <c r="V82" s="33">
        <f t="shared" si="24"/>
        <v>0</v>
      </c>
      <c r="W82" s="33">
        <f t="shared" si="24"/>
        <v>0</v>
      </c>
      <c r="X82" s="33">
        <f t="shared" si="27"/>
        <v>0</v>
      </c>
    </row>
    <row r="83" spans="1:24" ht="20" customHeight="1">
      <c r="A83" s="15"/>
      <c r="B83" s="16"/>
      <c r="C83" s="17"/>
      <c r="D83" s="17"/>
      <c r="E83" s="17"/>
      <c r="F83" s="17"/>
      <c r="G83" s="17"/>
      <c r="H83" s="17"/>
      <c r="I83" s="17"/>
      <c r="J83" s="20"/>
      <c r="L83" s="32">
        <f t="shared" si="26"/>
        <v>0</v>
      </c>
      <c r="M83" s="32">
        <f t="shared" si="26"/>
        <v>0</v>
      </c>
      <c r="N83" s="32">
        <f t="shared" si="26"/>
        <v>0</v>
      </c>
      <c r="O83" s="32">
        <f t="shared" si="25"/>
        <v>0</v>
      </c>
      <c r="P83" s="32">
        <f t="shared" si="25"/>
        <v>0</v>
      </c>
      <c r="Q83" s="32">
        <f t="shared" si="25"/>
        <v>0</v>
      </c>
      <c r="R83" s="32">
        <f t="shared" si="25"/>
        <v>0</v>
      </c>
      <c r="S83" s="32">
        <f t="shared" si="25"/>
        <v>0</v>
      </c>
      <c r="T83" s="32">
        <f t="shared" si="25"/>
        <v>0</v>
      </c>
      <c r="U83" s="33">
        <f t="shared" si="24"/>
        <v>0</v>
      </c>
      <c r="V83" s="33">
        <f t="shared" si="24"/>
        <v>0</v>
      </c>
      <c r="W83" s="33">
        <f t="shared" si="24"/>
        <v>0</v>
      </c>
      <c r="X83" s="33">
        <f t="shared" si="27"/>
        <v>0</v>
      </c>
    </row>
    <row r="84" spans="1:24" ht="20" customHeight="1">
      <c r="A84" s="15"/>
      <c r="B84" s="16"/>
      <c r="C84" s="17"/>
      <c r="D84" s="17"/>
      <c r="E84" s="17"/>
      <c r="F84" s="17"/>
      <c r="G84" s="17"/>
      <c r="H84" s="17"/>
      <c r="I84" s="17"/>
      <c r="J84" s="20"/>
      <c r="L84" s="32">
        <f t="shared" si="26"/>
        <v>0</v>
      </c>
      <c r="M84" s="32">
        <f t="shared" si="26"/>
        <v>0</v>
      </c>
      <c r="N84" s="32">
        <f t="shared" si="26"/>
        <v>0</v>
      </c>
      <c r="O84" s="32">
        <f t="shared" si="25"/>
        <v>0</v>
      </c>
      <c r="P84" s="32">
        <f t="shared" si="25"/>
        <v>0</v>
      </c>
      <c r="Q84" s="32">
        <f t="shared" si="25"/>
        <v>0</v>
      </c>
      <c r="R84" s="32">
        <f t="shared" si="25"/>
        <v>0</v>
      </c>
      <c r="S84" s="32">
        <f t="shared" si="25"/>
        <v>0</v>
      </c>
      <c r="T84" s="32">
        <f t="shared" si="25"/>
        <v>0</v>
      </c>
      <c r="U84" s="33">
        <f t="shared" si="24"/>
        <v>0</v>
      </c>
      <c r="V84" s="33">
        <f t="shared" si="24"/>
        <v>0</v>
      </c>
      <c r="W84" s="33">
        <f t="shared" si="24"/>
        <v>0</v>
      </c>
      <c r="X84" s="33">
        <f t="shared" si="27"/>
        <v>0</v>
      </c>
    </row>
    <row r="85" spans="1:24" ht="20" customHeight="1">
      <c r="A85" s="15"/>
      <c r="B85" s="16"/>
      <c r="C85" s="17"/>
      <c r="D85" s="17"/>
      <c r="E85" s="17"/>
      <c r="F85" s="17"/>
      <c r="G85" s="17"/>
      <c r="H85" s="17"/>
      <c r="I85" s="17"/>
      <c r="J85" s="20"/>
      <c r="L85" s="32">
        <f t="shared" si="26"/>
        <v>0</v>
      </c>
      <c r="M85" s="32">
        <f t="shared" si="26"/>
        <v>0</v>
      </c>
      <c r="N85" s="32">
        <f t="shared" si="26"/>
        <v>0</v>
      </c>
      <c r="O85" s="32">
        <f t="shared" si="25"/>
        <v>0</v>
      </c>
      <c r="P85" s="32">
        <f t="shared" si="25"/>
        <v>0</v>
      </c>
      <c r="Q85" s="32">
        <f t="shared" si="25"/>
        <v>0</v>
      </c>
      <c r="R85" s="32">
        <f t="shared" si="25"/>
        <v>0</v>
      </c>
      <c r="S85" s="32">
        <f t="shared" si="25"/>
        <v>0</v>
      </c>
      <c r="T85" s="32">
        <f t="shared" si="25"/>
        <v>0</v>
      </c>
      <c r="U85" s="33">
        <f t="shared" si="24"/>
        <v>0</v>
      </c>
      <c r="V85" s="33">
        <f t="shared" si="24"/>
        <v>0</v>
      </c>
      <c r="W85" s="33">
        <f t="shared" si="24"/>
        <v>0</v>
      </c>
      <c r="X85" s="33">
        <f t="shared" si="27"/>
        <v>0</v>
      </c>
    </row>
    <row r="86" spans="1:24" ht="20" customHeight="1">
      <c r="A86" s="15"/>
      <c r="B86" s="16"/>
      <c r="C86" s="17"/>
      <c r="D86" s="17"/>
      <c r="E86" s="17"/>
      <c r="F86" s="17"/>
      <c r="G86" s="17"/>
      <c r="H86" s="17"/>
      <c r="I86" s="17"/>
      <c r="J86" s="20"/>
      <c r="L86" s="32">
        <f t="shared" si="26"/>
        <v>0</v>
      </c>
      <c r="M86" s="32">
        <f t="shared" si="26"/>
        <v>0</v>
      </c>
      <c r="N86" s="32">
        <f t="shared" si="26"/>
        <v>0</v>
      </c>
      <c r="O86" s="32">
        <f t="shared" si="25"/>
        <v>0</v>
      </c>
      <c r="P86" s="32">
        <f t="shared" si="25"/>
        <v>0</v>
      </c>
      <c r="Q86" s="32">
        <f t="shared" si="25"/>
        <v>0</v>
      </c>
      <c r="R86" s="32">
        <f t="shared" si="25"/>
        <v>0</v>
      </c>
      <c r="S86" s="32">
        <f t="shared" si="25"/>
        <v>0</v>
      </c>
      <c r="T86" s="32">
        <f t="shared" si="25"/>
        <v>0</v>
      </c>
      <c r="U86" s="33">
        <f t="shared" si="24"/>
        <v>0</v>
      </c>
      <c r="V86" s="33">
        <f t="shared" si="24"/>
        <v>0</v>
      </c>
      <c r="W86" s="33">
        <f t="shared" si="24"/>
        <v>0</v>
      </c>
      <c r="X86" s="33">
        <f t="shared" si="27"/>
        <v>0</v>
      </c>
    </row>
    <row r="87" spans="1:24" ht="20" customHeight="1">
      <c r="A87" s="15"/>
      <c r="B87" s="16"/>
      <c r="C87" s="17"/>
      <c r="D87" s="17"/>
      <c r="E87" s="17"/>
      <c r="F87" s="17"/>
      <c r="G87" s="17"/>
      <c r="H87" s="17"/>
      <c r="I87" s="17"/>
      <c r="J87" s="20"/>
      <c r="L87" s="32">
        <f t="shared" si="26"/>
        <v>0</v>
      </c>
      <c r="M87" s="32">
        <f t="shared" si="26"/>
        <v>0</v>
      </c>
      <c r="N87" s="32">
        <f t="shared" si="26"/>
        <v>0</v>
      </c>
      <c r="O87" s="32">
        <f t="shared" si="25"/>
        <v>0</v>
      </c>
      <c r="P87" s="32">
        <f t="shared" si="25"/>
        <v>0</v>
      </c>
      <c r="Q87" s="32">
        <f t="shared" si="25"/>
        <v>0</v>
      </c>
      <c r="R87" s="32">
        <f t="shared" si="25"/>
        <v>0</v>
      </c>
      <c r="S87" s="32">
        <f t="shared" si="25"/>
        <v>0</v>
      </c>
      <c r="T87" s="32">
        <f t="shared" si="25"/>
        <v>0</v>
      </c>
      <c r="U87" s="33">
        <f t="shared" si="24"/>
        <v>0</v>
      </c>
      <c r="V87" s="33">
        <f t="shared" si="24"/>
        <v>0</v>
      </c>
      <c r="W87" s="33">
        <f t="shared" si="24"/>
        <v>0</v>
      </c>
      <c r="X87" s="33">
        <f t="shared" si="27"/>
        <v>0</v>
      </c>
    </row>
    <row r="88" spans="1:24" ht="20" customHeight="1">
      <c r="A88" s="15"/>
      <c r="B88" s="16"/>
      <c r="C88" s="17"/>
      <c r="D88" s="17"/>
      <c r="E88" s="17"/>
      <c r="F88" s="17"/>
      <c r="G88" s="17"/>
      <c r="H88" s="17"/>
      <c r="I88" s="17"/>
      <c r="J88" s="20"/>
      <c r="L88" s="32">
        <f t="shared" si="26"/>
        <v>0</v>
      </c>
      <c r="M88" s="32">
        <f t="shared" si="26"/>
        <v>0</v>
      </c>
      <c r="N88" s="32">
        <f t="shared" si="26"/>
        <v>0</v>
      </c>
      <c r="O88" s="32">
        <f t="shared" si="25"/>
        <v>0</v>
      </c>
      <c r="P88" s="32">
        <f t="shared" si="25"/>
        <v>0</v>
      </c>
      <c r="Q88" s="32">
        <f t="shared" si="25"/>
        <v>0</v>
      </c>
      <c r="R88" s="32">
        <f t="shared" si="25"/>
        <v>0</v>
      </c>
      <c r="S88" s="32">
        <f t="shared" si="25"/>
        <v>0</v>
      </c>
      <c r="T88" s="32">
        <f t="shared" si="25"/>
        <v>0</v>
      </c>
      <c r="U88" s="33">
        <f t="shared" si="24"/>
        <v>0</v>
      </c>
      <c r="V88" s="33">
        <f t="shared" si="24"/>
        <v>0</v>
      </c>
      <c r="W88" s="33">
        <f t="shared" si="24"/>
        <v>0</v>
      </c>
      <c r="X88" s="33">
        <f t="shared" si="27"/>
        <v>0</v>
      </c>
    </row>
    <row r="89" spans="1:24" ht="20" customHeight="1">
      <c r="A89" s="15"/>
      <c r="B89" s="16"/>
      <c r="C89" s="17"/>
      <c r="D89" s="17"/>
      <c r="E89" s="17"/>
      <c r="F89" s="17"/>
      <c r="G89" s="17"/>
      <c r="H89" s="17"/>
      <c r="I89" s="17"/>
      <c r="J89" s="20"/>
      <c r="L89" s="32">
        <f t="shared" si="26"/>
        <v>0</v>
      </c>
      <c r="M89" s="32">
        <f t="shared" si="26"/>
        <v>0</v>
      </c>
      <c r="N89" s="32">
        <f t="shared" si="26"/>
        <v>0</v>
      </c>
      <c r="O89" s="32">
        <f t="shared" si="25"/>
        <v>0</v>
      </c>
      <c r="P89" s="32">
        <f t="shared" si="25"/>
        <v>0</v>
      </c>
      <c r="Q89" s="32">
        <f t="shared" si="25"/>
        <v>0</v>
      </c>
      <c r="R89" s="32">
        <f t="shared" si="25"/>
        <v>0</v>
      </c>
      <c r="S89" s="32">
        <f t="shared" si="25"/>
        <v>0</v>
      </c>
      <c r="T89" s="32">
        <f t="shared" si="25"/>
        <v>0</v>
      </c>
      <c r="U89" s="33">
        <f t="shared" si="24"/>
        <v>0</v>
      </c>
      <c r="V89" s="33">
        <f t="shared" si="24"/>
        <v>0</v>
      </c>
      <c r="W89" s="33">
        <f t="shared" si="24"/>
        <v>0</v>
      </c>
      <c r="X89" s="33">
        <f t="shared" si="27"/>
        <v>0</v>
      </c>
    </row>
    <row r="90" spans="1:24" ht="20" customHeight="1">
      <c r="A90" s="15"/>
      <c r="B90" s="16"/>
      <c r="C90" s="17"/>
      <c r="D90" s="17"/>
      <c r="E90" s="17"/>
      <c r="F90" s="17"/>
      <c r="G90" s="17"/>
      <c r="H90" s="17"/>
      <c r="I90" s="17"/>
      <c r="J90" s="20"/>
      <c r="L90" s="32">
        <f t="shared" si="26"/>
        <v>0</v>
      </c>
      <c r="M90" s="32">
        <f t="shared" si="26"/>
        <v>0</v>
      </c>
      <c r="N90" s="32">
        <f t="shared" si="26"/>
        <v>0</v>
      </c>
      <c r="O90" s="32">
        <f t="shared" si="25"/>
        <v>0</v>
      </c>
      <c r="P90" s="32">
        <f t="shared" si="25"/>
        <v>0</v>
      </c>
      <c r="Q90" s="32">
        <f t="shared" si="25"/>
        <v>0</v>
      </c>
      <c r="R90" s="32">
        <f t="shared" si="25"/>
        <v>0</v>
      </c>
      <c r="S90" s="32">
        <f t="shared" si="25"/>
        <v>0</v>
      </c>
      <c r="T90" s="32">
        <f t="shared" si="25"/>
        <v>0</v>
      </c>
      <c r="U90" s="33">
        <f t="shared" si="24"/>
        <v>0</v>
      </c>
      <c r="V90" s="33">
        <f t="shared" si="24"/>
        <v>0</v>
      </c>
      <c r="W90" s="33">
        <f t="shared" si="24"/>
        <v>0</v>
      </c>
      <c r="X90" s="33">
        <f t="shared" si="27"/>
        <v>0</v>
      </c>
    </row>
    <row r="91" spans="1:24" ht="20" customHeight="1">
      <c r="A91" s="15"/>
      <c r="B91" s="16"/>
      <c r="C91" s="17"/>
      <c r="D91" s="17"/>
      <c r="E91" s="17"/>
      <c r="F91" s="17"/>
      <c r="G91" s="17"/>
      <c r="H91" s="17"/>
      <c r="I91" s="17"/>
      <c r="J91" s="20"/>
      <c r="L91" s="32">
        <f t="shared" si="26"/>
        <v>0</v>
      </c>
      <c r="M91" s="32">
        <f t="shared" si="26"/>
        <v>0</v>
      </c>
      <c r="N91" s="32">
        <f t="shared" si="26"/>
        <v>0</v>
      </c>
      <c r="O91" s="32">
        <f t="shared" si="25"/>
        <v>0</v>
      </c>
      <c r="P91" s="32">
        <f t="shared" si="25"/>
        <v>0</v>
      </c>
      <c r="Q91" s="32">
        <f t="shared" si="25"/>
        <v>0</v>
      </c>
      <c r="R91" s="32">
        <f t="shared" si="25"/>
        <v>0</v>
      </c>
      <c r="S91" s="32">
        <f t="shared" si="25"/>
        <v>0</v>
      </c>
      <c r="T91" s="32">
        <f t="shared" si="25"/>
        <v>0</v>
      </c>
      <c r="U91" s="33">
        <f t="shared" si="24"/>
        <v>0</v>
      </c>
      <c r="V91" s="33">
        <f t="shared" si="24"/>
        <v>0</v>
      </c>
      <c r="W91" s="33">
        <f t="shared" si="24"/>
        <v>0</v>
      </c>
      <c r="X91" s="33">
        <f t="shared" si="27"/>
        <v>0</v>
      </c>
    </row>
    <row r="92" spans="1:24" ht="20" customHeight="1">
      <c r="A92" s="15"/>
      <c r="B92" s="16"/>
      <c r="C92" s="17"/>
      <c r="D92" s="17"/>
      <c r="E92" s="17"/>
      <c r="F92" s="17"/>
      <c r="G92" s="17"/>
      <c r="H92" s="17"/>
      <c r="I92" s="17"/>
      <c r="J92" s="20"/>
      <c r="L92" s="32">
        <f t="shared" si="26"/>
        <v>0</v>
      </c>
      <c r="M92" s="32">
        <f t="shared" si="26"/>
        <v>0</v>
      </c>
      <c r="N92" s="32">
        <f t="shared" si="26"/>
        <v>0</v>
      </c>
      <c r="O92" s="32">
        <f t="shared" si="25"/>
        <v>0</v>
      </c>
      <c r="P92" s="32">
        <f t="shared" si="25"/>
        <v>0</v>
      </c>
      <c r="Q92" s="32">
        <f t="shared" si="25"/>
        <v>0</v>
      </c>
      <c r="R92" s="32">
        <f t="shared" si="25"/>
        <v>0</v>
      </c>
      <c r="S92" s="32">
        <f t="shared" si="25"/>
        <v>0</v>
      </c>
      <c r="T92" s="32">
        <f t="shared" si="25"/>
        <v>0</v>
      </c>
      <c r="U92" s="33">
        <f t="shared" si="24"/>
        <v>0</v>
      </c>
      <c r="V92" s="33">
        <f t="shared" si="24"/>
        <v>0</v>
      </c>
      <c r="W92" s="33">
        <f t="shared" si="24"/>
        <v>0</v>
      </c>
      <c r="X92" s="33">
        <f t="shared" si="27"/>
        <v>0</v>
      </c>
    </row>
    <row r="93" spans="1:24" ht="20" customHeight="1">
      <c r="A93" s="15"/>
      <c r="B93" s="16"/>
      <c r="C93" s="17"/>
      <c r="D93" s="17"/>
      <c r="E93" s="17"/>
      <c r="F93" s="17"/>
      <c r="G93" s="17"/>
      <c r="H93" s="17"/>
      <c r="I93" s="17"/>
      <c r="J93" s="20"/>
      <c r="L93" s="32">
        <f t="shared" si="26"/>
        <v>0</v>
      </c>
      <c r="M93" s="32">
        <f t="shared" si="26"/>
        <v>0</v>
      </c>
      <c r="N93" s="32">
        <f t="shared" si="26"/>
        <v>0</v>
      </c>
      <c r="O93" s="32">
        <f t="shared" si="25"/>
        <v>0</v>
      </c>
      <c r="P93" s="32">
        <f t="shared" si="25"/>
        <v>0</v>
      </c>
      <c r="Q93" s="32">
        <f t="shared" si="25"/>
        <v>0</v>
      </c>
      <c r="R93" s="32">
        <f t="shared" si="25"/>
        <v>0</v>
      </c>
      <c r="S93" s="32">
        <f t="shared" si="25"/>
        <v>0</v>
      </c>
      <c r="T93" s="32">
        <f t="shared" si="25"/>
        <v>0</v>
      </c>
      <c r="U93" s="33">
        <f t="shared" si="24"/>
        <v>0</v>
      </c>
      <c r="V93" s="33">
        <f t="shared" si="24"/>
        <v>0</v>
      </c>
      <c r="W93" s="33">
        <f t="shared" si="24"/>
        <v>0</v>
      </c>
      <c r="X93" s="33">
        <f t="shared" si="27"/>
        <v>0</v>
      </c>
    </row>
    <row r="94" spans="1:24" ht="20" customHeight="1">
      <c r="A94" s="15"/>
      <c r="B94" s="16"/>
      <c r="C94" s="17"/>
      <c r="D94" s="17"/>
      <c r="E94" s="17"/>
      <c r="F94" s="17"/>
      <c r="G94" s="17"/>
      <c r="H94" s="17"/>
      <c r="I94" s="17"/>
      <c r="J94" s="20"/>
      <c r="L94" s="32">
        <f t="shared" si="26"/>
        <v>0</v>
      </c>
      <c r="M94" s="32">
        <f t="shared" si="26"/>
        <v>0</v>
      </c>
      <c r="N94" s="32">
        <f t="shared" si="26"/>
        <v>0</v>
      </c>
      <c r="O94" s="32">
        <f t="shared" si="25"/>
        <v>0</v>
      </c>
      <c r="P94" s="32">
        <f t="shared" si="25"/>
        <v>0</v>
      </c>
      <c r="Q94" s="32">
        <f t="shared" si="25"/>
        <v>0</v>
      </c>
      <c r="R94" s="32">
        <f t="shared" si="25"/>
        <v>0</v>
      </c>
      <c r="S94" s="32">
        <f t="shared" si="25"/>
        <v>0</v>
      </c>
      <c r="T94" s="32">
        <f t="shared" si="25"/>
        <v>0</v>
      </c>
      <c r="U94" s="33">
        <f t="shared" si="24"/>
        <v>0</v>
      </c>
      <c r="V94" s="33">
        <f t="shared" si="24"/>
        <v>0</v>
      </c>
      <c r="W94" s="33">
        <f t="shared" si="24"/>
        <v>0</v>
      </c>
      <c r="X94" s="33">
        <f t="shared" si="27"/>
        <v>0</v>
      </c>
    </row>
    <row r="95" spans="1:24" ht="20" customHeight="1">
      <c r="A95" s="15"/>
      <c r="B95" s="16"/>
      <c r="C95" s="17"/>
      <c r="D95" s="17"/>
      <c r="E95" s="17"/>
      <c r="F95" s="17"/>
      <c r="G95" s="17"/>
      <c r="H95" s="17"/>
      <c r="I95" s="17"/>
      <c r="J95" s="20"/>
      <c r="L95" s="32">
        <f t="shared" si="26"/>
        <v>0</v>
      </c>
      <c r="M95" s="32">
        <f t="shared" si="26"/>
        <v>0</v>
      </c>
      <c r="N95" s="32">
        <f t="shared" si="26"/>
        <v>0</v>
      </c>
      <c r="O95" s="32">
        <f t="shared" si="25"/>
        <v>0</v>
      </c>
      <c r="P95" s="32">
        <f t="shared" si="25"/>
        <v>0</v>
      </c>
      <c r="Q95" s="32">
        <f t="shared" si="25"/>
        <v>0</v>
      </c>
      <c r="R95" s="32">
        <f t="shared" si="25"/>
        <v>0</v>
      </c>
      <c r="S95" s="32">
        <f t="shared" si="25"/>
        <v>0</v>
      </c>
      <c r="T95" s="32">
        <f t="shared" si="25"/>
        <v>0</v>
      </c>
      <c r="U95" s="33">
        <f t="shared" si="24"/>
        <v>0</v>
      </c>
      <c r="V95" s="33">
        <f t="shared" si="24"/>
        <v>0</v>
      </c>
      <c r="W95" s="33">
        <f t="shared" si="24"/>
        <v>0</v>
      </c>
      <c r="X95" s="33">
        <f t="shared" si="27"/>
        <v>0</v>
      </c>
    </row>
    <row r="96" spans="1:24" ht="20" customHeight="1">
      <c r="A96" s="15"/>
      <c r="B96" s="16"/>
      <c r="C96" s="17"/>
      <c r="D96" s="17"/>
      <c r="E96" s="17"/>
      <c r="F96" s="17"/>
      <c r="G96" s="17"/>
      <c r="H96" s="17"/>
      <c r="I96" s="17"/>
      <c r="J96" s="20"/>
      <c r="L96" s="32">
        <f t="shared" si="26"/>
        <v>0</v>
      </c>
      <c r="M96" s="32">
        <f t="shared" si="26"/>
        <v>0</v>
      </c>
      <c r="N96" s="32">
        <f t="shared" si="26"/>
        <v>0</v>
      </c>
      <c r="O96" s="32">
        <f t="shared" si="25"/>
        <v>0</v>
      </c>
      <c r="P96" s="32">
        <f t="shared" si="25"/>
        <v>0</v>
      </c>
      <c r="Q96" s="32">
        <f t="shared" si="25"/>
        <v>0</v>
      </c>
      <c r="R96" s="32">
        <f t="shared" si="25"/>
        <v>0</v>
      </c>
      <c r="S96" s="32">
        <f t="shared" si="25"/>
        <v>0</v>
      </c>
      <c r="T96" s="32">
        <f t="shared" si="25"/>
        <v>0</v>
      </c>
      <c r="U96" s="33">
        <f t="shared" si="24"/>
        <v>0</v>
      </c>
      <c r="V96" s="33">
        <f t="shared" si="24"/>
        <v>0</v>
      </c>
      <c r="W96" s="33">
        <f t="shared" si="24"/>
        <v>0</v>
      </c>
      <c r="X96" s="33">
        <f t="shared" si="27"/>
        <v>0</v>
      </c>
    </row>
    <row r="97" spans="1:24" ht="20" customHeight="1">
      <c r="A97" s="15"/>
      <c r="B97" s="16"/>
      <c r="C97" s="17"/>
      <c r="D97" s="17"/>
      <c r="E97" s="17"/>
      <c r="F97" s="17"/>
      <c r="G97" s="17"/>
      <c r="H97" s="17"/>
      <c r="I97" s="17"/>
      <c r="J97" s="20"/>
      <c r="L97" s="32">
        <f t="shared" si="26"/>
        <v>0</v>
      </c>
      <c r="M97" s="32">
        <f t="shared" si="26"/>
        <v>0</v>
      </c>
      <c r="N97" s="32">
        <f t="shared" si="26"/>
        <v>0</v>
      </c>
      <c r="O97" s="32">
        <f t="shared" si="25"/>
        <v>0</v>
      </c>
      <c r="P97" s="32">
        <f t="shared" si="25"/>
        <v>0</v>
      </c>
      <c r="Q97" s="32">
        <f t="shared" si="25"/>
        <v>0</v>
      </c>
      <c r="R97" s="32">
        <f t="shared" si="25"/>
        <v>0</v>
      </c>
      <c r="S97" s="32">
        <f t="shared" si="25"/>
        <v>0</v>
      </c>
      <c r="T97" s="32">
        <f t="shared" si="25"/>
        <v>0</v>
      </c>
      <c r="U97" s="33">
        <f t="shared" si="24"/>
        <v>0</v>
      </c>
      <c r="V97" s="33">
        <f t="shared" si="24"/>
        <v>0</v>
      </c>
      <c r="W97" s="33">
        <f t="shared" si="24"/>
        <v>0</v>
      </c>
      <c r="X97" s="33">
        <f t="shared" si="27"/>
        <v>0</v>
      </c>
    </row>
    <row r="98" spans="1:24" ht="16.75" customHeight="1">
      <c r="A98" s="15"/>
      <c r="B98" s="16"/>
      <c r="C98" s="17"/>
      <c r="D98" s="17"/>
      <c r="E98" s="17"/>
      <c r="F98" s="17"/>
      <c r="G98" s="17"/>
      <c r="H98" s="17"/>
      <c r="I98" s="17"/>
      <c r="J98" s="20"/>
      <c r="L98" s="32">
        <f t="shared" si="26"/>
        <v>0</v>
      </c>
      <c r="M98" s="32">
        <f t="shared" si="26"/>
        <v>0</v>
      </c>
      <c r="N98" s="32">
        <f t="shared" si="26"/>
        <v>0</v>
      </c>
      <c r="O98" s="32">
        <f t="shared" si="25"/>
        <v>0</v>
      </c>
      <c r="P98" s="32">
        <f t="shared" si="25"/>
        <v>0</v>
      </c>
      <c r="Q98" s="32">
        <f t="shared" si="25"/>
        <v>0</v>
      </c>
      <c r="R98" s="32">
        <f t="shared" si="25"/>
        <v>0</v>
      </c>
      <c r="S98" s="32">
        <f t="shared" si="25"/>
        <v>0</v>
      </c>
      <c r="T98" s="32">
        <f t="shared" si="25"/>
        <v>0</v>
      </c>
      <c r="U98" s="33">
        <f t="shared" si="24"/>
        <v>0</v>
      </c>
      <c r="V98" s="33">
        <f t="shared" si="24"/>
        <v>0</v>
      </c>
      <c r="W98" s="33">
        <f t="shared" si="24"/>
        <v>0</v>
      </c>
      <c r="X98" s="33">
        <f t="shared" si="27"/>
        <v>0</v>
      </c>
    </row>
    <row r="99" spans="1:24" ht="20" customHeight="1">
      <c r="A99" s="15"/>
      <c r="B99" s="16"/>
      <c r="C99" s="17"/>
      <c r="D99" s="17"/>
      <c r="E99" s="17"/>
      <c r="F99" s="17"/>
      <c r="G99" s="17"/>
      <c r="H99" s="17"/>
      <c r="I99" s="17"/>
      <c r="J99" s="20"/>
      <c r="L99" s="32">
        <f t="shared" si="26"/>
        <v>0</v>
      </c>
      <c r="M99" s="32">
        <f t="shared" si="26"/>
        <v>0</v>
      </c>
      <c r="N99" s="32">
        <f t="shared" si="26"/>
        <v>0</v>
      </c>
      <c r="O99" s="32">
        <f t="shared" si="25"/>
        <v>0</v>
      </c>
      <c r="P99" s="32">
        <f t="shared" si="25"/>
        <v>0</v>
      </c>
      <c r="Q99" s="32">
        <f t="shared" si="25"/>
        <v>0</v>
      </c>
      <c r="R99" s="32">
        <f t="shared" si="25"/>
        <v>0</v>
      </c>
      <c r="S99" s="32">
        <f t="shared" si="25"/>
        <v>0</v>
      </c>
      <c r="T99" s="32">
        <f t="shared" si="25"/>
        <v>0</v>
      </c>
      <c r="U99" s="33">
        <f t="shared" si="24"/>
        <v>0</v>
      </c>
      <c r="V99" s="33">
        <f t="shared" si="24"/>
        <v>0</v>
      </c>
      <c r="W99" s="33">
        <f t="shared" si="24"/>
        <v>0</v>
      </c>
      <c r="X99" s="33">
        <f t="shared" si="27"/>
        <v>0</v>
      </c>
    </row>
    <row r="100" spans="1:24" ht="20" customHeight="1">
      <c r="A100" s="15"/>
      <c r="B100" s="16"/>
      <c r="C100" s="17"/>
      <c r="D100" s="17"/>
      <c r="E100" s="17"/>
      <c r="F100" s="17"/>
      <c r="G100" s="17"/>
      <c r="H100" s="17"/>
      <c r="I100" s="17"/>
      <c r="J100" s="20"/>
      <c r="L100" s="32">
        <f t="shared" si="26"/>
        <v>0</v>
      </c>
      <c r="M100" s="32">
        <f t="shared" si="26"/>
        <v>0</v>
      </c>
      <c r="N100" s="32">
        <f t="shared" si="26"/>
        <v>0</v>
      </c>
      <c r="O100" s="32">
        <f t="shared" si="25"/>
        <v>0</v>
      </c>
      <c r="P100" s="32">
        <f t="shared" si="25"/>
        <v>0</v>
      </c>
      <c r="Q100" s="32">
        <f t="shared" si="25"/>
        <v>0</v>
      </c>
      <c r="R100" s="32">
        <f t="shared" si="25"/>
        <v>0</v>
      </c>
      <c r="S100" s="32">
        <f t="shared" si="25"/>
        <v>0</v>
      </c>
      <c r="T100" s="32">
        <f t="shared" si="25"/>
        <v>0</v>
      </c>
      <c r="U100" s="33">
        <f t="shared" si="24"/>
        <v>0</v>
      </c>
      <c r="V100" s="33">
        <f t="shared" si="24"/>
        <v>0</v>
      </c>
      <c r="W100" s="33">
        <f t="shared" si="24"/>
        <v>0</v>
      </c>
      <c r="X100" s="33">
        <f t="shared" si="27"/>
        <v>0</v>
      </c>
    </row>
    <row r="101" spans="1:24" ht="20" customHeight="1">
      <c r="A101" s="15"/>
      <c r="B101" s="16"/>
      <c r="C101" s="17"/>
      <c r="D101" s="17"/>
      <c r="E101" s="17"/>
      <c r="F101" s="17"/>
      <c r="G101" s="17"/>
      <c r="H101" s="17"/>
      <c r="I101" s="17"/>
      <c r="J101" s="20"/>
      <c r="L101" s="32">
        <f t="shared" si="26"/>
        <v>0</v>
      </c>
      <c r="M101" s="32">
        <f t="shared" si="26"/>
        <v>0</v>
      </c>
      <c r="N101" s="32">
        <f t="shared" si="26"/>
        <v>0</v>
      </c>
      <c r="O101" s="32">
        <f t="shared" si="25"/>
        <v>0</v>
      </c>
      <c r="P101" s="32">
        <f t="shared" si="25"/>
        <v>0</v>
      </c>
      <c r="Q101" s="32">
        <f t="shared" si="25"/>
        <v>0</v>
      </c>
      <c r="R101" s="32">
        <f t="shared" si="25"/>
        <v>0</v>
      </c>
      <c r="S101" s="32">
        <f t="shared" si="25"/>
        <v>0</v>
      </c>
      <c r="T101" s="32">
        <f t="shared" si="25"/>
        <v>0</v>
      </c>
      <c r="U101" s="33">
        <f t="shared" si="24"/>
        <v>0</v>
      </c>
      <c r="V101" s="33">
        <f t="shared" si="24"/>
        <v>0</v>
      </c>
      <c r="W101" s="33">
        <f t="shared" si="24"/>
        <v>0</v>
      </c>
      <c r="X101" s="33">
        <f t="shared" si="27"/>
        <v>0</v>
      </c>
    </row>
    <row r="102" spans="1:24" ht="20" customHeight="1">
      <c r="A102" s="15"/>
      <c r="B102" s="16"/>
      <c r="C102" s="17"/>
      <c r="D102" s="17"/>
      <c r="E102" s="17"/>
      <c r="F102" s="17"/>
      <c r="G102" s="17"/>
      <c r="H102" s="17"/>
      <c r="I102" s="17"/>
      <c r="J102" s="20"/>
      <c r="L102" s="32">
        <f t="shared" si="26"/>
        <v>0</v>
      </c>
      <c r="M102" s="32">
        <f t="shared" si="26"/>
        <v>0</v>
      </c>
      <c r="N102" s="32">
        <f t="shared" si="26"/>
        <v>0</v>
      </c>
      <c r="O102" s="32">
        <f t="shared" si="25"/>
        <v>0</v>
      </c>
      <c r="P102" s="32">
        <f t="shared" si="25"/>
        <v>0</v>
      </c>
      <c r="Q102" s="32">
        <f t="shared" si="25"/>
        <v>0</v>
      </c>
      <c r="R102" s="32">
        <f t="shared" si="25"/>
        <v>0</v>
      </c>
      <c r="S102" s="32">
        <f t="shared" si="25"/>
        <v>0</v>
      </c>
      <c r="T102" s="32">
        <f t="shared" si="25"/>
        <v>0</v>
      </c>
      <c r="U102" s="33">
        <f t="shared" si="24"/>
        <v>0</v>
      </c>
      <c r="V102" s="33">
        <f t="shared" si="24"/>
        <v>0</v>
      </c>
      <c r="W102" s="33">
        <f t="shared" si="24"/>
        <v>0</v>
      </c>
      <c r="X102" s="33">
        <f t="shared" si="27"/>
        <v>0</v>
      </c>
    </row>
    <row r="103" spans="1:24" ht="20" customHeight="1">
      <c r="A103" s="15"/>
      <c r="B103" s="16"/>
      <c r="C103" s="17"/>
      <c r="D103" s="17"/>
      <c r="E103" s="17"/>
      <c r="F103" s="17"/>
      <c r="G103" s="17"/>
      <c r="H103" s="17"/>
      <c r="I103" s="17"/>
      <c r="J103" s="20"/>
      <c r="L103" s="32">
        <f t="shared" si="26"/>
        <v>0</v>
      </c>
      <c r="M103" s="32">
        <f t="shared" si="26"/>
        <v>0</v>
      </c>
      <c r="N103" s="32">
        <f t="shared" si="26"/>
        <v>0</v>
      </c>
      <c r="O103" s="32">
        <f t="shared" si="25"/>
        <v>0</v>
      </c>
      <c r="P103" s="32">
        <f t="shared" si="25"/>
        <v>0</v>
      </c>
      <c r="Q103" s="32">
        <f t="shared" si="25"/>
        <v>0</v>
      </c>
      <c r="R103" s="32">
        <f t="shared" si="25"/>
        <v>0</v>
      </c>
      <c r="S103" s="32">
        <f t="shared" si="25"/>
        <v>0</v>
      </c>
      <c r="T103" s="32">
        <f t="shared" si="25"/>
        <v>0</v>
      </c>
      <c r="U103" s="33">
        <f t="shared" si="24"/>
        <v>0</v>
      </c>
      <c r="V103" s="33">
        <f t="shared" si="24"/>
        <v>0</v>
      </c>
      <c r="W103" s="33">
        <f t="shared" si="24"/>
        <v>0</v>
      </c>
      <c r="X103" s="33">
        <f t="shared" si="27"/>
        <v>0</v>
      </c>
    </row>
    <row r="104" spans="1:24" ht="20" customHeight="1">
      <c r="A104" s="15"/>
      <c r="B104" s="16"/>
      <c r="C104" s="17"/>
      <c r="D104" s="17"/>
      <c r="E104" s="17"/>
      <c r="F104" s="17"/>
      <c r="G104" s="17"/>
      <c r="H104" s="17"/>
      <c r="I104" s="17"/>
      <c r="J104" s="20"/>
      <c r="L104" s="32">
        <f t="shared" si="26"/>
        <v>0</v>
      </c>
      <c r="M104" s="32">
        <f t="shared" si="26"/>
        <v>0</v>
      </c>
      <c r="N104" s="32">
        <f t="shared" si="26"/>
        <v>0</v>
      </c>
      <c r="O104" s="32">
        <f t="shared" si="25"/>
        <v>0</v>
      </c>
      <c r="P104" s="32">
        <f t="shared" si="25"/>
        <v>0</v>
      </c>
      <c r="Q104" s="32">
        <f t="shared" si="25"/>
        <v>0</v>
      </c>
      <c r="R104" s="32">
        <f t="shared" si="25"/>
        <v>0</v>
      </c>
      <c r="S104" s="32">
        <f t="shared" si="25"/>
        <v>0</v>
      </c>
      <c r="T104" s="32">
        <f t="shared" si="25"/>
        <v>0</v>
      </c>
      <c r="U104" s="33">
        <f t="shared" si="24"/>
        <v>0</v>
      </c>
      <c r="V104" s="33">
        <f t="shared" si="24"/>
        <v>0</v>
      </c>
      <c r="W104" s="33">
        <f t="shared" si="24"/>
        <v>0</v>
      </c>
      <c r="X104" s="33">
        <f t="shared" si="27"/>
        <v>0</v>
      </c>
    </row>
    <row r="105" spans="1:24" ht="20" customHeight="1">
      <c r="A105" s="15"/>
      <c r="B105" s="16"/>
      <c r="C105" s="17"/>
      <c r="D105" s="17"/>
      <c r="E105" s="17"/>
      <c r="F105" s="17"/>
      <c r="G105" s="17"/>
      <c r="H105" s="17"/>
      <c r="I105" s="17"/>
      <c r="J105" s="20"/>
      <c r="L105" s="32">
        <f t="shared" si="26"/>
        <v>0</v>
      </c>
      <c r="M105" s="32">
        <f t="shared" si="26"/>
        <v>0</v>
      </c>
      <c r="N105" s="32">
        <f t="shared" si="26"/>
        <v>0</v>
      </c>
      <c r="O105" s="32">
        <f t="shared" si="25"/>
        <v>0</v>
      </c>
      <c r="P105" s="32">
        <f t="shared" si="25"/>
        <v>0</v>
      </c>
      <c r="Q105" s="32">
        <f t="shared" si="25"/>
        <v>0</v>
      </c>
      <c r="R105" s="32">
        <f t="shared" si="25"/>
        <v>0</v>
      </c>
      <c r="S105" s="32">
        <f t="shared" si="25"/>
        <v>0</v>
      </c>
      <c r="T105" s="32">
        <f t="shared" si="25"/>
        <v>0</v>
      </c>
      <c r="U105" s="33">
        <f t="shared" si="24"/>
        <v>0</v>
      </c>
      <c r="V105" s="33">
        <f t="shared" si="24"/>
        <v>0</v>
      </c>
      <c r="W105" s="33">
        <f t="shared" si="24"/>
        <v>0</v>
      </c>
      <c r="X105" s="33">
        <f t="shared" si="27"/>
        <v>0</v>
      </c>
    </row>
    <row r="106" spans="1:24" ht="20" customHeight="1">
      <c r="A106" s="15"/>
      <c r="B106" s="16"/>
      <c r="C106" s="17"/>
      <c r="D106" s="17"/>
      <c r="E106" s="17"/>
      <c r="F106" s="17"/>
      <c r="G106" s="17"/>
      <c r="H106" s="17"/>
      <c r="I106" s="17"/>
      <c r="J106" s="20"/>
      <c r="L106" s="32">
        <f t="shared" si="26"/>
        <v>0</v>
      </c>
      <c r="M106" s="32">
        <f t="shared" si="26"/>
        <v>0</v>
      </c>
      <c r="N106" s="32">
        <f t="shared" si="26"/>
        <v>0</v>
      </c>
      <c r="O106" s="32">
        <f t="shared" si="25"/>
        <v>0</v>
      </c>
      <c r="P106" s="32">
        <f t="shared" si="25"/>
        <v>0</v>
      </c>
      <c r="Q106" s="32">
        <f t="shared" si="25"/>
        <v>0</v>
      </c>
      <c r="R106" s="32">
        <f t="shared" si="25"/>
        <v>0</v>
      </c>
      <c r="S106" s="32">
        <f t="shared" si="25"/>
        <v>0</v>
      </c>
      <c r="T106" s="32">
        <f t="shared" si="25"/>
        <v>0</v>
      </c>
      <c r="U106" s="33">
        <f t="shared" si="24"/>
        <v>0</v>
      </c>
      <c r="V106" s="33">
        <f t="shared" si="24"/>
        <v>0</v>
      </c>
      <c r="W106" s="33">
        <f t="shared" si="24"/>
        <v>0</v>
      </c>
      <c r="X106" s="33">
        <f t="shared" si="27"/>
        <v>0</v>
      </c>
    </row>
    <row r="107" spans="1:24" ht="20" customHeight="1">
      <c r="A107" s="15"/>
      <c r="B107" s="16"/>
      <c r="C107" s="17"/>
      <c r="D107" s="17"/>
      <c r="E107" s="17"/>
      <c r="F107" s="17"/>
      <c r="G107" s="17"/>
      <c r="H107" s="17"/>
      <c r="I107" s="17"/>
      <c r="J107" s="20"/>
      <c r="L107" s="32">
        <f t="shared" si="26"/>
        <v>0</v>
      </c>
      <c r="M107" s="32">
        <f t="shared" si="26"/>
        <v>0</v>
      </c>
      <c r="N107" s="32">
        <f t="shared" si="26"/>
        <v>0</v>
      </c>
      <c r="O107" s="32">
        <f t="shared" si="25"/>
        <v>0</v>
      </c>
      <c r="P107" s="32">
        <f t="shared" si="25"/>
        <v>0</v>
      </c>
      <c r="Q107" s="32">
        <f t="shared" si="25"/>
        <v>0</v>
      </c>
      <c r="R107" s="32">
        <f t="shared" si="25"/>
        <v>0</v>
      </c>
      <c r="S107" s="32">
        <f t="shared" si="25"/>
        <v>0</v>
      </c>
      <c r="T107" s="32">
        <f t="shared" si="25"/>
        <v>0</v>
      </c>
      <c r="U107" s="33">
        <f t="shared" si="24"/>
        <v>0</v>
      </c>
      <c r="V107" s="33">
        <f t="shared" si="24"/>
        <v>0</v>
      </c>
      <c r="W107" s="33">
        <f t="shared" si="24"/>
        <v>0</v>
      </c>
      <c r="X107" s="33">
        <f t="shared" si="27"/>
        <v>0</v>
      </c>
    </row>
    <row r="108" spans="1:24" ht="20" customHeight="1">
      <c r="A108" s="15"/>
      <c r="B108" s="16"/>
      <c r="C108" s="17"/>
      <c r="D108" s="17"/>
      <c r="E108" s="17"/>
      <c r="F108" s="17"/>
      <c r="G108" s="17"/>
      <c r="H108" s="17"/>
      <c r="I108" s="17"/>
      <c r="J108" s="20"/>
      <c r="L108" s="32">
        <f t="shared" si="26"/>
        <v>0</v>
      </c>
      <c r="M108" s="32">
        <f t="shared" si="26"/>
        <v>0</v>
      </c>
      <c r="N108" s="32">
        <f t="shared" si="26"/>
        <v>0</v>
      </c>
      <c r="O108" s="32">
        <f t="shared" si="25"/>
        <v>0</v>
      </c>
      <c r="P108" s="32">
        <f t="shared" si="25"/>
        <v>0</v>
      </c>
      <c r="Q108" s="32">
        <f t="shared" si="25"/>
        <v>0</v>
      </c>
      <c r="R108" s="32">
        <f t="shared" si="25"/>
        <v>0</v>
      </c>
      <c r="S108" s="32">
        <f t="shared" si="25"/>
        <v>0</v>
      </c>
      <c r="T108" s="32">
        <f t="shared" si="25"/>
        <v>0</v>
      </c>
      <c r="U108" s="33">
        <f t="shared" ref="U108:W151" si="28">L108+Q108</f>
        <v>0</v>
      </c>
      <c r="V108" s="33">
        <f t="shared" si="28"/>
        <v>0</v>
      </c>
      <c r="W108" s="33">
        <f t="shared" si="28"/>
        <v>0</v>
      </c>
      <c r="X108" s="33">
        <f t="shared" si="27"/>
        <v>0</v>
      </c>
    </row>
    <row r="109" spans="1:24" ht="20" customHeight="1">
      <c r="A109" s="15"/>
      <c r="B109" s="16"/>
      <c r="C109" s="17"/>
      <c r="D109" s="17"/>
      <c r="E109" s="17"/>
      <c r="F109" s="17"/>
      <c r="G109" s="17"/>
      <c r="H109" s="17"/>
      <c r="I109" s="17"/>
      <c r="J109" s="20"/>
      <c r="L109" s="32">
        <f t="shared" si="26"/>
        <v>0</v>
      </c>
      <c r="M109" s="32">
        <f t="shared" si="26"/>
        <v>0</v>
      </c>
      <c r="N109" s="32">
        <f t="shared" si="26"/>
        <v>0</v>
      </c>
      <c r="O109" s="32">
        <f t="shared" si="25"/>
        <v>0</v>
      </c>
      <c r="P109" s="32">
        <f t="shared" si="25"/>
        <v>0</v>
      </c>
      <c r="Q109" s="32">
        <f t="shared" si="25"/>
        <v>0</v>
      </c>
      <c r="R109" s="32">
        <f t="shared" si="25"/>
        <v>0</v>
      </c>
      <c r="S109" s="32">
        <f t="shared" si="25"/>
        <v>0</v>
      </c>
      <c r="T109" s="32">
        <f t="shared" si="25"/>
        <v>0</v>
      </c>
      <c r="U109" s="33">
        <f t="shared" si="28"/>
        <v>0</v>
      </c>
      <c r="V109" s="33">
        <f t="shared" si="28"/>
        <v>0</v>
      </c>
      <c r="W109" s="33">
        <f t="shared" si="28"/>
        <v>0</v>
      </c>
      <c r="X109" s="33">
        <f t="shared" si="27"/>
        <v>0</v>
      </c>
    </row>
    <row r="110" spans="1:24" ht="20" customHeight="1">
      <c r="A110" s="15"/>
      <c r="B110" s="16"/>
      <c r="C110" s="17"/>
      <c r="D110" s="17"/>
      <c r="E110" s="17"/>
      <c r="F110" s="17"/>
      <c r="G110" s="17"/>
      <c r="H110" s="17"/>
      <c r="I110" s="17"/>
      <c r="J110" s="20"/>
      <c r="L110" s="32">
        <f t="shared" si="26"/>
        <v>0</v>
      </c>
      <c r="M110" s="32">
        <f t="shared" si="26"/>
        <v>0</v>
      </c>
      <c r="N110" s="32">
        <f t="shared" si="26"/>
        <v>0</v>
      </c>
      <c r="O110" s="32">
        <f t="shared" si="25"/>
        <v>0</v>
      </c>
      <c r="P110" s="32">
        <f t="shared" si="25"/>
        <v>0</v>
      </c>
      <c r="Q110" s="32">
        <f t="shared" si="25"/>
        <v>0</v>
      </c>
      <c r="R110" s="32">
        <f t="shared" si="25"/>
        <v>0</v>
      </c>
      <c r="S110" s="32">
        <f t="shared" si="25"/>
        <v>0</v>
      </c>
      <c r="T110" s="32">
        <f t="shared" si="25"/>
        <v>0</v>
      </c>
      <c r="U110" s="33">
        <f t="shared" si="28"/>
        <v>0</v>
      </c>
      <c r="V110" s="33">
        <f t="shared" si="28"/>
        <v>0</v>
      </c>
      <c r="W110" s="33">
        <f t="shared" si="28"/>
        <v>0</v>
      </c>
      <c r="X110" s="33">
        <f t="shared" si="27"/>
        <v>0</v>
      </c>
    </row>
    <row r="111" spans="1:24" ht="20" customHeight="1">
      <c r="A111" s="15"/>
      <c r="B111" s="16"/>
      <c r="C111" s="17"/>
      <c r="D111" s="17"/>
      <c r="E111" s="17"/>
      <c r="F111" s="17"/>
      <c r="G111" s="17"/>
      <c r="H111" s="17"/>
      <c r="I111" s="17"/>
      <c r="J111" s="20"/>
      <c r="L111" s="32">
        <f t="shared" si="26"/>
        <v>0</v>
      </c>
      <c r="M111" s="32">
        <f t="shared" si="26"/>
        <v>0</v>
      </c>
      <c r="N111" s="32">
        <f t="shared" si="26"/>
        <v>0</v>
      </c>
      <c r="O111" s="32">
        <f t="shared" si="25"/>
        <v>0</v>
      </c>
      <c r="P111" s="32">
        <f t="shared" si="25"/>
        <v>0</v>
      </c>
      <c r="Q111" s="32">
        <f t="shared" si="25"/>
        <v>0</v>
      </c>
      <c r="R111" s="32">
        <f t="shared" si="25"/>
        <v>0</v>
      </c>
      <c r="S111" s="32">
        <f t="shared" si="25"/>
        <v>0</v>
      </c>
      <c r="T111" s="32">
        <f t="shared" si="25"/>
        <v>0</v>
      </c>
      <c r="U111" s="33">
        <f t="shared" si="28"/>
        <v>0</v>
      </c>
      <c r="V111" s="33">
        <f t="shared" si="28"/>
        <v>0</v>
      </c>
      <c r="W111" s="33">
        <f t="shared" si="28"/>
        <v>0</v>
      </c>
      <c r="X111" s="33">
        <f t="shared" si="27"/>
        <v>0</v>
      </c>
    </row>
    <row r="112" spans="1:24" ht="20" customHeight="1">
      <c r="A112" s="15"/>
      <c r="B112" s="16"/>
      <c r="C112" s="17"/>
      <c r="D112" s="17"/>
      <c r="E112" s="17"/>
      <c r="F112" s="17"/>
      <c r="G112" s="17"/>
      <c r="H112" s="17"/>
      <c r="I112" s="17"/>
      <c r="J112" s="20"/>
      <c r="L112" s="32">
        <f t="shared" si="26"/>
        <v>0</v>
      </c>
      <c r="M112" s="32">
        <f t="shared" si="26"/>
        <v>0</v>
      </c>
      <c r="N112" s="32">
        <f t="shared" si="26"/>
        <v>0</v>
      </c>
      <c r="O112" s="32">
        <f t="shared" si="25"/>
        <v>0</v>
      </c>
      <c r="P112" s="32">
        <f t="shared" si="25"/>
        <v>0</v>
      </c>
      <c r="Q112" s="32">
        <f t="shared" si="25"/>
        <v>0</v>
      </c>
      <c r="R112" s="32">
        <f t="shared" si="25"/>
        <v>0</v>
      </c>
      <c r="S112" s="32">
        <f t="shared" si="25"/>
        <v>0</v>
      </c>
      <c r="T112" s="32">
        <f t="shared" si="25"/>
        <v>0</v>
      </c>
      <c r="U112" s="33">
        <f t="shared" si="28"/>
        <v>0</v>
      </c>
      <c r="V112" s="33">
        <f t="shared" si="28"/>
        <v>0</v>
      </c>
      <c r="W112" s="33">
        <f t="shared" si="28"/>
        <v>0</v>
      </c>
      <c r="X112" s="33">
        <f t="shared" si="27"/>
        <v>0</v>
      </c>
    </row>
    <row r="113" spans="1:24" ht="20" customHeight="1">
      <c r="A113" s="15"/>
      <c r="B113" s="16"/>
      <c r="C113" s="17"/>
      <c r="D113" s="17"/>
      <c r="E113" s="17"/>
      <c r="F113" s="17"/>
      <c r="G113" s="17"/>
      <c r="H113" s="17"/>
      <c r="I113" s="17"/>
      <c r="J113" s="20"/>
      <c r="L113" s="32">
        <f t="shared" si="26"/>
        <v>0</v>
      </c>
      <c r="M113" s="32">
        <f t="shared" si="26"/>
        <v>0</v>
      </c>
      <c r="N113" s="32">
        <f t="shared" si="26"/>
        <v>0</v>
      </c>
      <c r="O113" s="32">
        <f t="shared" si="25"/>
        <v>0</v>
      </c>
      <c r="P113" s="32">
        <f t="shared" si="25"/>
        <v>0</v>
      </c>
      <c r="Q113" s="32">
        <f t="shared" si="25"/>
        <v>0</v>
      </c>
      <c r="R113" s="32">
        <f t="shared" si="25"/>
        <v>0</v>
      </c>
      <c r="S113" s="32">
        <f t="shared" si="25"/>
        <v>0</v>
      </c>
      <c r="T113" s="32">
        <f t="shared" si="25"/>
        <v>0</v>
      </c>
      <c r="U113" s="33">
        <f t="shared" si="28"/>
        <v>0</v>
      </c>
      <c r="V113" s="33">
        <f t="shared" si="28"/>
        <v>0</v>
      </c>
      <c r="W113" s="33">
        <f t="shared" si="28"/>
        <v>0</v>
      </c>
      <c r="X113" s="33">
        <f t="shared" si="27"/>
        <v>0</v>
      </c>
    </row>
    <row r="114" spans="1:24" ht="20" customHeight="1">
      <c r="A114" s="15"/>
      <c r="B114" s="16"/>
      <c r="C114" s="17"/>
      <c r="D114" s="17"/>
      <c r="E114" s="17"/>
      <c r="F114" s="17"/>
      <c r="G114" s="17"/>
      <c r="H114" s="17"/>
      <c r="I114" s="17"/>
      <c r="J114" s="20"/>
      <c r="L114" s="32">
        <f t="shared" si="26"/>
        <v>0</v>
      </c>
      <c r="M114" s="32">
        <f t="shared" si="26"/>
        <v>0</v>
      </c>
      <c r="N114" s="32">
        <f t="shared" si="26"/>
        <v>0</v>
      </c>
      <c r="O114" s="32">
        <f t="shared" si="25"/>
        <v>0</v>
      </c>
      <c r="P114" s="32">
        <f t="shared" si="25"/>
        <v>0</v>
      </c>
      <c r="Q114" s="32">
        <f t="shared" si="25"/>
        <v>0</v>
      </c>
      <c r="R114" s="32">
        <f t="shared" ref="R114:T151" si="29">IFERROR(H115-H114,0)</f>
        <v>0</v>
      </c>
      <c r="S114" s="32">
        <f t="shared" si="29"/>
        <v>0</v>
      </c>
      <c r="T114" s="32">
        <f t="shared" si="29"/>
        <v>0</v>
      </c>
      <c r="U114" s="33">
        <f t="shared" si="28"/>
        <v>0</v>
      </c>
      <c r="V114" s="33">
        <f t="shared" si="28"/>
        <v>0</v>
      </c>
      <c r="W114" s="33">
        <f t="shared" si="28"/>
        <v>0</v>
      </c>
      <c r="X114" s="33">
        <f t="shared" si="27"/>
        <v>0</v>
      </c>
    </row>
    <row r="115" spans="1:24" ht="20" customHeight="1">
      <c r="A115" s="15"/>
      <c r="B115" s="16"/>
      <c r="C115" s="17"/>
      <c r="D115" s="17"/>
      <c r="E115" s="17"/>
      <c r="F115" s="17"/>
      <c r="G115" s="17"/>
      <c r="H115" s="17"/>
      <c r="I115" s="17"/>
      <c r="J115" s="20"/>
      <c r="L115" s="32">
        <f t="shared" si="26"/>
        <v>0</v>
      </c>
      <c r="M115" s="32">
        <f t="shared" si="26"/>
        <v>0</v>
      </c>
      <c r="N115" s="32">
        <f t="shared" si="26"/>
        <v>0</v>
      </c>
      <c r="O115" s="32">
        <f t="shared" si="26"/>
        <v>0</v>
      </c>
      <c r="P115" s="32">
        <f t="shared" si="26"/>
        <v>0</v>
      </c>
      <c r="Q115" s="32">
        <f t="shared" si="26"/>
        <v>0</v>
      </c>
      <c r="R115" s="32">
        <f t="shared" si="29"/>
        <v>0</v>
      </c>
      <c r="S115" s="32">
        <f t="shared" si="29"/>
        <v>0</v>
      </c>
      <c r="T115" s="32">
        <f t="shared" si="29"/>
        <v>0</v>
      </c>
      <c r="U115" s="33">
        <f t="shared" si="28"/>
        <v>0</v>
      </c>
      <c r="V115" s="33">
        <f t="shared" si="28"/>
        <v>0</v>
      </c>
      <c r="W115" s="33">
        <f t="shared" si="28"/>
        <v>0</v>
      </c>
      <c r="X115" s="33">
        <f t="shared" si="27"/>
        <v>0</v>
      </c>
    </row>
    <row r="116" spans="1:24" ht="16.75" customHeight="1">
      <c r="A116" s="15"/>
      <c r="B116" s="16"/>
      <c r="C116" s="17"/>
      <c r="D116" s="17"/>
      <c r="E116" s="17"/>
      <c r="F116" s="17"/>
      <c r="G116" s="17"/>
      <c r="H116" s="17"/>
      <c r="I116" s="17"/>
      <c r="J116" s="20"/>
      <c r="L116" s="32">
        <f t="shared" si="26"/>
        <v>0</v>
      </c>
      <c r="M116" s="32">
        <f t="shared" si="26"/>
        <v>0</v>
      </c>
      <c r="N116" s="32">
        <f t="shared" si="26"/>
        <v>0</v>
      </c>
      <c r="O116" s="32">
        <f t="shared" si="26"/>
        <v>0</v>
      </c>
      <c r="P116" s="32">
        <f t="shared" si="26"/>
        <v>0</v>
      </c>
      <c r="Q116" s="32">
        <f t="shared" si="26"/>
        <v>0</v>
      </c>
      <c r="R116" s="32">
        <f t="shared" si="29"/>
        <v>0</v>
      </c>
      <c r="S116" s="32">
        <f t="shared" si="29"/>
        <v>0</v>
      </c>
      <c r="T116" s="32">
        <f t="shared" si="29"/>
        <v>0</v>
      </c>
      <c r="U116" s="33">
        <f t="shared" si="28"/>
        <v>0</v>
      </c>
      <c r="V116" s="33">
        <f t="shared" si="28"/>
        <v>0</v>
      </c>
      <c r="W116" s="33">
        <f t="shared" si="28"/>
        <v>0</v>
      </c>
      <c r="X116" s="33">
        <f t="shared" si="27"/>
        <v>0</v>
      </c>
    </row>
    <row r="117" spans="1:24" ht="20" customHeight="1">
      <c r="A117" s="15"/>
      <c r="B117" s="16"/>
      <c r="C117" s="17"/>
      <c r="D117" s="17"/>
      <c r="E117" s="17"/>
      <c r="F117" s="17"/>
      <c r="G117" s="17"/>
      <c r="H117" s="17"/>
      <c r="I117" s="17"/>
      <c r="J117" s="20"/>
      <c r="L117" s="32">
        <f t="shared" si="26"/>
        <v>0</v>
      </c>
      <c r="M117" s="32">
        <f t="shared" si="26"/>
        <v>0</v>
      </c>
      <c r="N117" s="32">
        <f t="shared" si="26"/>
        <v>0</v>
      </c>
      <c r="O117" s="32">
        <f t="shared" si="26"/>
        <v>0</v>
      </c>
      <c r="P117" s="32">
        <f t="shared" si="26"/>
        <v>0</v>
      </c>
      <c r="Q117" s="32">
        <f t="shared" si="26"/>
        <v>0</v>
      </c>
      <c r="R117" s="32">
        <f t="shared" si="29"/>
        <v>0</v>
      </c>
      <c r="S117" s="32">
        <f t="shared" si="29"/>
        <v>0</v>
      </c>
      <c r="T117" s="32">
        <f t="shared" si="29"/>
        <v>0</v>
      </c>
      <c r="U117" s="33">
        <f t="shared" si="28"/>
        <v>0</v>
      </c>
      <c r="V117" s="33">
        <f t="shared" si="28"/>
        <v>0</v>
      </c>
      <c r="W117" s="33">
        <f t="shared" si="28"/>
        <v>0</v>
      </c>
      <c r="X117" s="33">
        <f t="shared" si="27"/>
        <v>0</v>
      </c>
    </row>
    <row r="118" spans="1:24" ht="20" customHeight="1">
      <c r="A118" s="15"/>
      <c r="B118" s="16"/>
      <c r="C118" s="17"/>
      <c r="D118" s="17"/>
      <c r="E118" s="17"/>
      <c r="F118" s="17"/>
      <c r="G118" s="17"/>
      <c r="H118" s="17"/>
      <c r="I118" s="17"/>
      <c r="J118" s="20"/>
      <c r="L118" s="32">
        <f t="shared" si="26"/>
        <v>0</v>
      </c>
      <c r="M118" s="32">
        <f t="shared" si="26"/>
        <v>0</v>
      </c>
      <c r="N118" s="32">
        <f t="shared" si="26"/>
        <v>0</v>
      </c>
      <c r="O118" s="32">
        <f t="shared" si="26"/>
        <v>0</v>
      </c>
      <c r="P118" s="32">
        <f t="shared" si="26"/>
        <v>0</v>
      </c>
      <c r="Q118" s="32">
        <f t="shared" si="26"/>
        <v>0</v>
      </c>
      <c r="R118" s="32">
        <f t="shared" si="29"/>
        <v>0</v>
      </c>
      <c r="S118" s="32">
        <f t="shared" si="29"/>
        <v>0</v>
      </c>
      <c r="T118" s="32">
        <f t="shared" si="29"/>
        <v>0</v>
      </c>
      <c r="U118" s="33">
        <f t="shared" si="28"/>
        <v>0</v>
      </c>
      <c r="V118" s="33">
        <f t="shared" si="28"/>
        <v>0</v>
      </c>
      <c r="W118" s="33">
        <f t="shared" si="28"/>
        <v>0</v>
      </c>
      <c r="X118" s="33">
        <f t="shared" si="27"/>
        <v>0</v>
      </c>
    </row>
    <row r="119" spans="1:24" ht="20" customHeight="1">
      <c r="A119" s="15"/>
      <c r="B119" s="16"/>
      <c r="C119" s="17"/>
      <c r="D119" s="17"/>
      <c r="E119" s="17"/>
      <c r="F119" s="17"/>
      <c r="G119" s="17"/>
      <c r="H119" s="17"/>
      <c r="I119" s="17"/>
      <c r="J119" s="20"/>
      <c r="L119" s="32">
        <f t="shared" si="26"/>
        <v>0</v>
      </c>
      <c r="M119" s="32">
        <f t="shared" si="26"/>
        <v>0</v>
      </c>
      <c r="N119" s="32">
        <f t="shared" si="26"/>
        <v>0</v>
      </c>
      <c r="O119" s="32">
        <f t="shared" si="26"/>
        <v>0</v>
      </c>
      <c r="P119" s="32">
        <f t="shared" si="26"/>
        <v>0</v>
      </c>
      <c r="Q119" s="32">
        <f t="shared" si="26"/>
        <v>0</v>
      </c>
      <c r="R119" s="32">
        <f t="shared" si="29"/>
        <v>0</v>
      </c>
      <c r="S119" s="32">
        <f t="shared" si="29"/>
        <v>0</v>
      </c>
      <c r="T119" s="32">
        <f t="shared" si="29"/>
        <v>0</v>
      </c>
      <c r="U119" s="33">
        <f t="shared" si="28"/>
        <v>0</v>
      </c>
      <c r="V119" s="33">
        <f t="shared" si="28"/>
        <v>0</v>
      </c>
      <c r="W119" s="33">
        <f t="shared" si="28"/>
        <v>0</v>
      </c>
      <c r="X119" s="33">
        <f t="shared" si="27"/>
        <v>0</v>
      </c>
    </row>
    <row r="120" spans="1:24" ht="20" customHeight="1">
      <c r="A120" s="15"/>
      <c r="B120" s="16"/>
      <c r="C120" s="17"/>
      <c r="D120" s="17"/>
      <c r="E120" s="17"/>
      <c r="F120" s="17"/>
      <c r="G120" s="17"/>
      <c r="H120" s="17"/>
      <c r="I120" s="17"/>
      <c r="J120" s="20"/>
      <c r="L120" s="32">
        <f t="shared" si="26"/>
        <v>0</v>
      </c>
      <c r="M120" s="32">
        <f t="shared" si="26"/>
        <v>0</v>
      </c>
      <c r="N120" s="32">
        <f t="shared" si="26"/>
        <v>0</v>
      </c>
      <c r="O120" s="32">
        <f t="shared" si="26"/>
        <v>0</v>
      </c>
      <c r="P120" s="32">
        <f t="shared" si="26"/>
        <v>0</v>
      </c>
      <c r="Q120" s="32">
        <f t="shared" si="26"/>
        <v>0</v>
      </c>
      <c r="R120" s="32">
        <f t="shared" si="29"/>
        <v>0</v>
      </c>
      <c r="S120" s="32">
        <f t="shared" si="29"/>
        <v>0</v>
      </c>
      <c r="T120" s="32">
        <f t="shared" si="29"/>
        <v>0</v>
      </c>
      <c r="U120" s="33">
        <f t="shared" si="28"/>
        <v>0</v>
      </c>
      <c r="V120" s="33">
        <f t="shared" si="28"/>
        <v>0</v>
      </c>
      <c r="W120" s="33">
        <f t="shared" si="28"/>
        <v>0</v>
      </c>
      <c r="X120" s="33">
        <f t="shared" si="27"/>
        <v>0</v>
      </c>
    </row>
    <row r="121" spans="1:24" ht="20" customHeight="1">
      <c r="A121" s="15"/>
      <c r="B121" s="16"/>
      <c r="C121" s="17"/>
      <c r="D121" s="17"/>
      <c r="E121" s="17"/>
      <c r="F121" s="17"/>
      <c r="G121" s="17"/>
      <c r="H121" s="17"/>
      <c r="I121" s="17"/>
      <c r="J121" s="20"/>
      <c r="L121" s="32">
        <f t="shared" si="26"/>
        <v>0</v>
      </c>
      <c r="M121" s="32">
        <f t="shared" si="26"/>
        <v>0</v>
      </c>
      <c r="N121" s="32">
        <f t="shared" si="26"/>
        <v>0</v>
      </c>
      <c r="O121" s="32">
        <f t="shared" si="26"/>
        <v>0</v>
      </c>
      <c r="P121" s="32">
        <f t="shared" si="26"/>
        <v>0</v>
      </c>
      <c r="Q121" s="32">
        <f t="shared" si="26"/>
        <v>0</v>
      </c>
      <c r="R121" s="32">
        <f t="shared" si="29"/>
        <v>0</v>
      </c>
      <c r="S121" s="32">
        <f t="shared" si="29"/>
        <v>0</v>
      </c>
      <c r="T121" s="32">
        <f t="shared" si="29"/>
        <v>0</v>
      </c>
      <c r="U121" s="33">
        <f t="shared" si="28"/>
        <v>0</v>
      </c>
      <c r="V121" s="33">
        <f t="shared" si="28"/>
        <v>0</v>
      </c>
      <c r="W121" s="33">
        <f t="shared" si="28"/>
        <v>0</v>
      </c>
      <c r="X121" s="33">
        <f t="shared" si="27"/>
        <v>0</v>
      </c>
    </row>
    <row r="122" spans="1:24" ht="20" customHeight="1">
      <c r="A122" s="15"/>
      <c r="B122" s="16"/>
      <c r="C122" s="17"/>
      <c r="D122" s="17"/>
      <c r="E122" s="17"/>
      <c r="F122" s="17"/>
      <c r="G122" s="17"/>
      <c r="H122" s="17"/>
      <c r="I122" s="17"/>
      <c r="J122" s="20"/>
      <c r="L122" s="32">
        <f t="shared" si="26"/>
        <v>0</v>
      </c>
      <c r="M122" s="32">
        <f t="shared" si="26"/>
        <v>0</v>
      </c>
      <c r="N122" s="32">
        <f t="shared" si="26"/>
        <v>0</v>
      </c>
      <c r="O122" s="32">
        <f t="shared" si="26"/>
        <v>0</v>
      </c>
      <c r="P122" s="32">
        <f t="shared" si="26"/>
        <v>0</v>
      </c>
      <c r="Q122" s="32">
        <f t="shared" si="26"/>
        <v>0</v>
      </c>
      <c r="R122" s="32">
        <f t="shared" si="29"/>
        <v>0</v>
      </c>
      <c r="S122" s="32">
        <f t="shared" si="29"/>
        <v>0</v>
      </c>
      <c r="T122" s="32">
        <f t="shared" si="29"/>
        <v>0</v>
      </c>
      <c r="U122" s="33">
        <f t="shared" si="28"/>
        <v>0</v>
      </c>
      <c r="V122" s="33">
        <f t="shared" si="28"/>
        <v>0</v>
      </c>
      <c r="W122" s="33">
        <f t="shared" si="28"/>
        <v>0</v>
      </c>
      <c r="X122" s="33">
        <f t="shared" si="27"/>
        <v>0</v>
      </c>
    </row>
    <row r="123" spans="1:24" ht="20" customHeight="1">
      <c r="A123" s="15"/>
      <c r="B123" s="16"/>
      <c r="C123" s="17"/>
      <c r="D123" s="17"/>
      <c r="E123" s="17"/>
      <c r="F123" s="17"/>
      <c r="G123" s="17"/>
      <c r="H123" s="17"/>
      <c r="I123" s="17"/>
      <c r="J123" s="20"/>
      <c r="L123" s="32">
        <f t="shared" si="26"/>
        <v>0</v>
      </c>
      <c r="M123" s="32">
        <f t="shared" si="26"/>
        <v>0</v>
      </c>
      <c r="N123" s="32">
        <f t="shared" si="26"/>
        <v>0</v>
      </c>
      <c r="O123" s="32">
        <f t="shared" si="26"/>
        <v>0</v>
      </c>
      <c r="P123" s="32">
        <f t="shared" si="26"/>
        <v>0</v>
      </c>
      <c r="Q123" s="32">
        <f t="shared" si="26"/>
        <v>0</v>
      </c>
      <c r="R123" s="32">
        <f t="shared" si="29"/>
        <v>0</v>
      </c>
      <c r="S123" s="32">
        <f t="shared" si="29"/>
        <v>0</v>
      </c>
      <c r="T123" s="32">
        <f t="shared" si="29"/>
        <v>0</v>
      </c>
      <c r="U123" s="33">
        <f t="shared" si="28"/>
        <v>0</v>
      </c>
      <c r="V123" s="33">
        <f t="shared" si="28"/>
        <v>0</v>
      </c>
      <c r="W123" s="33">
        <f t="shared" si="28"/>
        <v>0</v>
      </c>
      <c r="X123" s="33">
        <f t="shared" si="27"/>
        <v>0</v>
      </c>
    </row>
    <row r="124" spans="1:24" ht="20" customHeight="1">
      <c r="A124" s="15"/>
      <c r="B124" s="16"/>
      <c r="C124" s="17"/>
      <c r="D124" s="17"/>
      <c r="E124" s="17"/>
      <c r="F124" s="17"/>
      <c r="G124" s="17"/>
      <c r="H124" s="17"/>
      <c r="I124" s="17"/>
      <c r="J124" s="20"/>
      <c r="L124" s="32">
        <f t="shared" si="26"/>
        <v>0</v>
      </c>
      <c r="M124" s="32">
        <f t="shared" si="26"/>
        <v>0</v>
      </c>
      <c r="N124" s="32">
        <f t="shared" si="26"/>
        <v>0</v>
      </c>
      <c r="O124" s="32">
        <f t="shared" si="26"/>
        <v>0</v>
      </c>
      <c r="P124" s="32">
        <f t="shared" si="26"/>
        <v>0</v>
      </c>
      <c r="Q124" s="32">
        <f t="shared" si="26"/>
        <v>0</v>
      </c>
      <c r="R124" s="32">
        <f t="shared" si="29"/>
        <v>0</v>
      </c>
      <c r="S124" s="32">
        <f t="shared" si="29"/>
        <v>0</v>
      </c>
      <c r="T124" s="32">
        <f t="shared" si="29"/>
        <v>0</v>
      </c>
      <c r="U124" s="33">
        <f t="shared" si="28"/>
        <v>0</v>
      </c>
      <c r="V124" s="33">
        <f t="shared" si="28"/>
        <v>0</v>
      </c>
      <c r="W124" s="33">
        <f t="shared" si="28"/>
        <v>0</v>
      </c>
      <c r="X124" s="33">
        <f t="shared" si="27"/>
        <v>0</v>
      </c>
    </row>
    <row r="125" spans="1:24" ht="20" customHeight="1">
      <c r="A125" s="15"/>
      <c r="B125" s="16"/>
      <c r="C125" s="17"/>
      <c r="D125" s="17"/>
      <c r="E125" s="17"/>
      <c r="F125" s="17"/>
      <c r="G125" s="17"/>
      <c r="H125" s="17"/>
      <c r="I125" s="17"/>
      <c r="J125" s="20"/>
      <c r="L125" s="32">
        <f t="shared" si="26"/>
        <v>0</v>
      </c>
      <c r="M125" s="32">
        <f t="shared" si="26"/>
        <v>0</v>
      </c>
      <c r="N125" s="32">
        <f t="shared" si="26"/>
        <v>0</v>
      </c>
      <c r="O125" s="32">
        <f t="shared" si="26"/>
        <v>0</v>
      </c>
      <c r="P125" s="32">
        <f t="shared" si="26"/>
        <v>0</v>
      </c>
      <c r="Q125" s="32">
        <f t="shared" si="26"/>
        <v>0</v>
      </c>
      <c r="R125" s="32">
        <f t="shared" si="29"/>
        <v>0</v>
      </c>
      <c r="S125" s="32">
        <f t="shared" si="29"/>
        <v>0</v>
      </c>
      <c r="T125" s="32">
        <f t="shared" si="29"/>
        <v>0</v>
      </c>
      <c r="U125" s="33">
        <f t="shared" si="28"/>
        <v>0</v>
      </c>
      <c r="V125" s="33">
        <f t="shared" si="28"/>
        <v>0</v>
      </c>
      <c r="W125" s="33">
        <f t="shared" si="28"/>
        <v>0</v>
      </c>
      <c r="X125" s="33">
        <f t="shared" si="27"/>
        <v>0</v>
      </c>
    </row>
    <row r="126" spans="1:24" ht="20" customHeight="1">
      <c r="A126" s="15"/>
      <c r="B126" s="16"/>
      <c r="C126" s="17"/>
      <c r="D126" s="17"/>
      <c r="E126" s="17"/>
      <c r="F126" s="17"/>
      <c r="G126" s="17"/>
      <c r="H126" s="17"/>
      <c r="I126" s="17"/>
      <c r="J126" s="20"/>
      <c r="L126" s="32">
        <f t="shared" si="26"/>
        <v>0</v>
      </c>
      <c r="M126" s="32">
        <f t="shared" si="26"/>
        <v>0</v>
      </c>
      <c r="N126" s="32">
        <f t="shared" si="26"/>
        <v>0</v>
      </c>
      <c r="O126" s="32">
        <f t="shared" si="26"/>
        <v>0</v>
      </c>
      <c r="P126" s="32">
        <f t="shared" si="26"/>
        <v>0</v>
      </c>
      <c r="Q126" s="32">
        <f t="shared" si="26"/>
        <v>0</v>
      </c>
      <c r="R126" s="32">
        <f t="shared" si="29"/>
        <v>0</v>
      </c>
      <c r="S126" s="32">
        <f t="shared" si="29"/>
        <v>0</v>
      </c>
      <c r="T126" s="32">
        <f t="shared" si="29"/>
        <v>0</v>
      </c>
      <c r="U126" s="33">
        <f t="shared" si="28"/>
        <v>0</v>
      </c>
      <c r="V126" s="33">
        <f t="shared" si="28"/>
        <v>0</v>
      </c>
      <c r="W126" s="33">
        <f t="shared" si="28"/>
        <v>0</v>
      </c>
      <c r="X126" s="33">
        <f t="shared" si="27"/>
        <v>0</v>
      </c>
    </row>
    <row r="127" spans="1:24" ht="20" customHeight="1">
      <c r="A127" s="15"/>
      <c r="B127" s="16"/>
      <c r="C127" s="17"/>
      <c r="D127" s="17"/>
      <c r="E127" s="17"/>
      <c r="F127" s="17"/>
      <c r="G127" s="17"/>
      <c r="H127" s="17"/>
      <c r="I127" s="17"/>
      <c r="J127" s="20"/>
      <c r="L127" s="32">
        <f t="shared" si="26"/>
        <v>0</v>
      </c>
      <c r="M127" s="32">
        <f t="shared" si="26"/>
        <v>0</v>
      </c>
      <c r="N127" s="32">
        <f t="shared" si="26"/>
        <v>0</v>
      </c>
      <c r="O127" s="32">
        <f t="shared" si="26"/>
        <v>0</v>
      </c>
      <c r="P127" s="32">
        <f t="shared" si="26"/>
        <v>0</v>
      </c>
      <c r="Q127" s="32">
        <f t="shared" si="26"/>
        <v>0</v>
      </c>
      <c r="R127" s="32">
        <f t="shared" si="29"/>
        <v>0</v>
      </c>
      <c r="S127" s="32">
        <f t="shared" si="29"/>
        <v>0</v>
      </c>
      <c r="T127" s="32">
        <f t="shared" si="29"/>
        <v>0</v>
      </c>
      <c r="U127" s="33">
        <f t="shared" si="28"/>
        <v>0</v>
      </c>
      <c r="V127" s="33">
        <f t="shared" si="28"/>
        <v>0</v>
      </c>
      <c r="W127" s="33">
        <f t="shared" si="28"/>
        <v>0</v>
      </c>
      <c r="X127" s="33">
        <f t="shared" si="27"/>
        <v>0</v>
      </c>
    </row>
    <row r="128" spans="1:24" ht="20" customHeight="1">
      <c r="A128" s="15"/>
      <c r="B128" s="16"/>
      <c r="C128" s="17"/>
      <c r="D128" s="17"/>
      <c r="E128" s="17"/>
      <c r="F128" s="17"/>
      <c r="G128" s="17"/>
      <c r="H128" s="17"/>
      <c r="I128" s="17"/>
      <c r="J128" s="20"/>
      <c r="L128" s="32">
        <f t="shared" si="26"/>
        <v>0</v>
      </c>
      <c r="M128" s="32">
        <f t="shared" si="26"/>
        <v>0</v>
      </c>
      <c r="N128" s="32">
        <f t="shared" si="26"/>
        <v>0</v>
      </c>
      <c r="O128" s="32">
        <f t="shared" si="26"/>
        <v>0</v>
      </c>
      <c r="P128" s="32">
        <f t="shared" si="26"/>
        <v>0</v>
      </c>
      <c r="Q128" s="32">
        <f t="shared" si="26"/>
        <v>0</v>
      </c>
      <c r="R128" s="32">
        <f t="shared" si="29"/>
        <v>0</v>
      </c>
      <c r="S128" s="32">
        <f t="shared" si="29"/>
        <v>0</v>
      </c>
      <c r="T128" s="32">
        <f t="shared" si="29"/>
        <v>0</v>
      </c>
      <c r="U128" s="33">
        <f t="shared" si="28"/>
        <v>0</v>
      </c>
      <c r="V128" s="33">
        <f t="shared" si="28"/>
        <v>0</v>
      </c>
      <c r="W128" s="33">
        <f t="shared" si="28"/>
        <v>0</v>
      </c>
      <c r="X128" s="33">
        <f t="shared" si="27"/>
        <v>0</v>
      </c>
    </row>
    <row r="129" spans="1:24" ht="20" customHeight="1">
      <c r="A129" s="15"/>
      <c r="B129" s="16"/>
      <c r="C129" s="17"/>
      <c r="D129" s="17"/>
      <c r="E129" s="17"/>
      <c r="F129" s="17"/>
      <c r="G129" s="17"/>
      <c r="H129" s="17"/>
      <c r="I129" s="17"/>
      <c r="J129" s="20"/>
      <c r="L129" s="32">
        <f t="shared" si="26"/>
        <v>0</v>
      </c>
      <c r="M129" s="32">
        <f t="shared" si="26"/>
        <v>0</v>
      </c>
      <c r="N129" s="32">
        <f t="shared" si="26"/>
        <v>0</v>
      </c>
      <c r="O129" s="32">
        <f t="shared" si="26"/>
        <v>0</v>
      </c>
      <c r="P129" s="32">
        <f t="shared" si="26"/>
        <v>0</v>
      </c>
      <c r="Q129" s="32">
        <f t="shared" si="26"/>
        <v>0</v>
      </c>
      <c r="R129" s="32">
        <f t="shared" si="29"/>
        <v>0</v>
      </c>
      <c r="S129" s="32">
        <f t="shared" si="29"/>
        <v>0</v>
      </c>
      <c r="T129" s="32">
        <f t="shared" si="29"/>
        <v>0</v>
      </c>
      <c r="U129" s="33">
        <f t="shared" si="28"/>
        <v>0</v>
      </c>
      <c r="V129" s="33">
        <f t="shared" si="28"/>
        <v>0</v>
      </c>
      <c r="W129" s="33">
        <f t="shared" si="28"/>
        <v>0</v>
      </c>
      <c r="X129" s="33">
        <f t="shared" si="27"/>
        <v>0</v>
      </c>
    </row>
    <row r="130" spans="1:24" ht="20" customHeight="1">
      <c r="A130" s="15"/>
      <c r="B130" s="16"/>
      <c r="C130" s="17"/>
      <c r="D130" s="17"/>
      <c r="E130" s="17"/>
      <c r="F130" s="17"/>
      <c r="G130" s="17"/>
      <c r="H130" s="17"/>
      <c r="I130" s="17"/>
      <c r="J130" s="20"/>
      <c r="L130" s="32">
        <f t="shared" si="26"/>
        <v>0</v>
      </c>
      <c r="M130" s="32">
        <f t="shared" si="26"/>
        <v>0</v>
      </c>
      <c r="N130" s="32">
        <f t="shared" si="26"/>
        <v>0</v>
      </c>
      <c r="O130" s="32">
        <f t="shared" si="26"/>
        <v>0</v>
      </c>
      <c r="P130" s="32">
        <f t="shared" si="26"/>
        <v>0</v>
      </c>
      <c r="Q130" s="32">
        <f t="shared" si="26"/>
        <v>0</v>
      </c>
      <c r="R130" s="32">
        <f t="shared" si="29"/>
        <v>0</v>
      </c>
      <c r="S130" s="32">
        <f t="shared" si="29"/>
        <v>0</v>
      </c>
      <c r="T130" s="32">
        <f t="shared" si="29"/>
        <v>0</v>
      </c>
      <c r="U130" s="33">
        <f t="shared" si="28"/>
        <v>0</v>
      </c>
      <c r="V130" s="33">
        <f t="shared" si="28"/>
        <v>0</v>
      </c>
      <c r="W130" s="33">
        <f t="shared" si="28"/>
        <v>0</v>
      </c>
      <c r="X130" s="33">
        <f t="shared" si="27"/>
        <v>0</v>
      </c>
    </row>
    <row r="131" spans="1:24" ht="20" customHeight="1">
      <c r="A131" s="15"/>
      <c r="B131" s="16"/>
      <c r="C131" s="17"/>
      <c r="D131" s="17"/>
      <c r="E131" s="17"/>
      <c r="F131" s="17"/>
      <c r="G131" s="17"/>
      <c r="H131" s="17"/>
      <c r="I131" s="17"/>
      <c r="J131" s="20"/>
      <c r="L131" s="32">
        <f t="shared" si="26"/>
        <v>0</v>
      </c>
      <c r="M131" s="32">
        <f t="shared" si="26"/>
        <v>0</v>
      </c>
      <c r="N131" s="32">
        <f t="shared" si="26"/>
        <v>0</v>
      </c>
      <c r="O131" s="32">
        <f t="shared" si="26"/>
        <v>0</v>
      </c>
      <c r="P131" s="32">
        <f t="shared" si="26"/>
        <v>0</v>
      </c>
      <c r="Q131" s="32">
        <f t="shared" si="26"/>
        <v>0</v>
      </c>
      <c r="R131" s="32">
        <f t="shared" si="29"/>
        <v>0</v>
      </c>
      <c r="S131" s="32">
        <f t="shared" si="29"/>
        <v>0</v>
      </c>
      <c r="T131" s="32">
        <f t="shared" si="29"/>
        <v>0</v>
      </c>
      <c r="U131" s="33">
        <f t="shared" si="28"/>
        <v>0</v>
      </c>
      <c r="V131" s="33">
        <f t="shared" si="28"/>
        <v>0</v>
      </c>
      <c r="W131" s="33">
        <f t="shared" si="28"/>
        <v>0</v>
      </c>
      <c r="X131" s="33">
        <f t="shared" si="27"/>
        <v>0</v>
      </c>
    </row>
    <row r="132" spans="1:24" ht="20" customHeight="1">
      <c r="A132" s="15"/>
      <c r="B132" s="16"/>
      <c r="C132" s="17"/>
      <c r="D132" s="17"/>
      <c r="E132" s="17"/>
      <c r="F132" s="17"/>
      <c r="G132" s="17"/>
      <c r="H132" s="17"/>
      <c r="I132" s="17"/>
      <c r="J132" s="20"/>
      <c r="L132" s="32">
        <f t="shared" si="26"/>
        <v>0</v>
      </c>
      <c r="M132" s="32">
        <f t="shared" si="26"/>
        <v>0</v>
      </c>
      <c r="N132" s="32">
        <f t="shared" si="26"/>
        <v>0</v>
      </c>
      <c r="O132" s="32">
        <f t="shared" si="26"/>
        <v>0</v>
      </c>
      <c r="P132" s="32">
        <f t="shared" si="26"/>
        <v>0</v>
      </c>
      <c r="Q132" s="32">
        <f t="shared" si="26"/>
        <v>0</v>
      </c>
      <c r="R132" s="32">
        <f t="shared" si="29"/>
        <v>0</v>
      </c>
      <c r="S132" s="32">
        <f t="shared" si="29"/>
        <v>0</v>
      </c>
      <c r="T132" s="32">
        <f t="shared" si="29"/>
        <v>0</v>
      </c>
      <c r="U132" s="33">
        <f t="shared" si="28"/>
        <v>0</v>
      </c>
      <c r="V132" s="33">
        <f t="shared" si="28"/>
        <v>0</v>
      </c>
      <c r="W132" s="33">
        <f t="shared" si="28"/>
        <v>0</v>
      </c>
      <c r="X132" s="33">
        <f t="shared" si="27"/>
        <v>0</v>
      </c>
    </row>
    <row r="133" spans="1:24" ht="20" customHeight="1">
      <c r="A133" s="15"/>
      <c r="B133" s="16"/>
      <c r="C133" s="17"/>
      <c r="D133" s="17"/>
      <c r="E133" s="17"/>
      <c r="F133" s="17"/>
      <c r="G133" s="17"/>
      <c r="H133" s="17"/>
      <c r="I133" s="17"/>
      <c r="J133" s="20"/>
      <c r="L133" s="32">
        <f t="shared" si="26"/>
        <v>0</v>
      </c>
      <c r="M133" s="32">
        <f t="shared" si="26"/>
        <v>0</v>
      </c>
      <c r="N133" s="32">
        <f t="shared" si="26"/>
        <v>0</v>
      </c>
      <c r="O133" s="32">
        <f t="shared" si="26"/>
        <v>0</v>
      </c>
      <c r="P133" s="32">
        <f t="shared" si="26"/>
        <v>0</v>
      </c>
      <c r="Q133" s="32">
        <f t="shared" si="26"/>
        <v>0</v>
      </c>
      <c r="R133" s="32">
        <f t="shared" si="29"/>
        <v>0</v>
      </c>
      <c r="S133" s="32">
        <f t="shared" si="29"/>
        <v>0</v>
      </c>
      <c r="T133" s="32">
        <f t="shared" si="29"/>
        <v>0</v>
      </c>
      <c r="U133" s="33">
        <f t="shared" si="28"/>
        <v>0</v>
      </c>
      <c r="V133" s="33">
        <f t="shared" si="28"/>
        <v>0</v>
      </c>
      <c r="W133" s="33">
        <f t="shared" si="28"/>
        <v>0</v>
      </c>
      <c r="X133" s="33">
        <f t="shared" si="27"/>
        <v>0</v>
      </c>
    </row>
    <row r="134" spans="1:24" ht="16.75" customHeight="1">
      <c r="A134" s="15"/>
      <c r="B134" s="16"/>
      <c r="C134" s="17"/>
      <c r="D134" s="17"/>
      <c r="E134" s="17"/>
      <c r="F134" s="17"/>
      <c r="G134" s="17"/>
      <c r="H134" s="17"/>
      <c r="I134" s="17"/>
      <c r="J134" s="20"/>
      <c r="L134" s="32">
        <f t="shared" si="26"/>
        <v>0</v>
      </c>
      <c r="M134" s="32">
        <f t="shared" si="26"/>
        <v>0</v>
      </c>
      <c r="N134" s="32">
        <f t="shared" si="26"/>
        <v>0</v>
      </c>
      <c r="O134" s="32">
        <f t="shared" si="26"/>
        <v>0</v>
      </c>
      <c r="P134" s="32">
        <f t="shared" si="26"/>
        <v>0</v>
      </c>
      <c r="Q134" s="32">
        <f t="shared" si="26"/>
        <v>0</v>
      </c>
      <c r="R134" s="32">
        <f t="shared" si="29"/>
        <v>0</v>
      </c>
      <c r="S134" s="32">
        <f t="shared" si="29"/>
        <v>0</v>
      </c>
      <c r="T134" s="32">
        <f t="shared" si="29"/>
        <v>0</v>
      </c>
      <c r="U134" s="33">
        <f t="shared" si="28"/>
        <v>0</v>
      </c>
      <c r="V134" s="33">
        <f t="shared" si="28"/>
        <v>0</v>
      </c>
      <c r="W134" s="33">
        <f t="shared" si="28"/>
        <v>0</v>
      </c>
      <c r="X134" s="33">
        <f t="shared" si="27"/>
        <v>0</v>
      </c>
    </row>
    <row r="135" spans="1:24" ht="20" customHeight="1">
      <c r="A135" s="15"/>
      <c r="B135" s="16"/>
      <c r="C135" s="17"/>
      <c r="D135" s="17"/>
      <c r="E135" s="17"/>
      <c r="F135" s="17"/>
      <c r="G135" s="17"/>
      <c r="H135" s="17"/>
      <c r="I135" s="17"/>
      <c r="J135" s="20"/>
      <c r="L135" s="32">
        <f t="shared" si="26"/>
        <v>0</v>
      </c>
      <c r="M135" s="32">
        <f t="shared" si="26"/>
        <v>0</v>
      </c>
      <c r="N135" s="32">
        <f t="shared" si="26"/>
        <v>0</v>
      </c>
      <c r="O135" s="32">
        <f t="shared" si="26"/>
        <v>0</v>
      </c>
      <c r="P135" s="32">
        <f t="shared" si="26"/>
        <v>0</v>
      </c>
      <c r="Q135" s="32">
        <f t="shared" si="26"/>
        <v>0</v>
      </c>
      <c r="R135" s="32">
        <f t="shared" si="29"/>
        <v>0</v>
      </c>
      <c r="S135" s="32">
        <f t="shared" si="29"/>
        <v>0</v>
      </c>
      <c r="T135" s="32">
        <f t="shared" si="29"/>
        <v>0</v>
      </c>
      <c r="U135" s="33">
        <f t="shared" si="28"/>
        <v>0</v>
      </c>
      <c r="V135" s="33">
        <f t="shared" si="28"/>
        <v>0</v>
      </c>
      <c r="W135" s="33">
        <f t="shared" si="28"/>
        <v>0</v>
      </c>
      <c r="X135" s="33">
        <f t="shared" si="27"/>
        <v>0</v>
      </c>
    </row>
    <row r="136" spans="1:24" ht="20" customHeight="1">
      <c r="A136" s="15"/>
      <c r="B136" s="16"/>
      <c r="C136" s="17"/>
      <c r="D136" s="17"/>
      <c r="E136" s="17"/>
      <c r="F136" s="17"/>
      <c r="G136" s="17"/>
      <c r="H136" s="17"/>
      <c r="I136" s="17"/>
      <c r="J136" s="20"/>
      <c r="L136" s="32">
        <f t="shared" si="26"/>
        <v>0</v>
      </c>
      <c r="M136" s="32">
        <f t="shared" si="26"/>
        <v>0</v>
      </c>
      <c r="N136" s="32">
        <f t="shared" si="26"/>
        <v>0</v>
      </c>
      <c r="O136" s="32">
        <f t="shared" ref="O136:Q151" si="30">IFERROR(E137-E136,0)</f>
        <v>0</v>
      </c>
      <c r="P136" s="32">
        <f t="shared" si="30"/>
        <v>0</v>
      </c>
      <c r="Q136" s="32">
        <f t="shared" si="30"/>
        <v>0</v>
      </c>
      <c r="R136" s="32">
        <f t="shared" si="29"/>
        <v>0</v>
      </c>
      <c r="S136" s="32">
        <f t="shared" si="29"/>
        <v>0</v>
      </c>
      <c r="T136" s="32">
        <f t="shared" si="29"/>
        <v>0</v>
      </c>
      <c r="U136" s="33">
        <f t="shared" si="28"/>
        <v>0</v>
      </c>
      <c r="V136" s="33">
        <f t="shared" si="28"/>
        <v>0</v>
      </c>
      <c r="W136" s="33">
        <f t="shared" si="28"/>
        <v>0</v>
      </c>
      <c r="X136" s="33">
        <f t="shared" si="27"/>
        <v>0</v>
      </c>
    </row>
    <row r="137" spans="1:24" ht="20" customHeight="1">
      <c r="A137" s="15"/>
      <c r="B137" s="16"/>
      <c r="C137" s="17"/>
      <c r="D137" s="17"/>
      <c r="E137" s="17"/>
      <c r="F137" s="17"/>
      <c r="G137" s="17"/>
      <c r="H137" s="17"/>
      <c r="I137" s="17"/>
      <c r="J137" s="20"/>
      <c r="L137" s="32">
        <f t="shared" ref="L137:N151" si="31">IFERROR(B138-B137,0)</f>
        <v>0</v>
      </c>
      <c r="M137" s="32">
        <f t="shared" si="31"/>
        <v>0</v>
      </c>
      <c r="N137" s="32">
        <f t="shared" si="31"/>
        <v>0</v>
      </c>
      <c r="O137" s="32">
        <f t="shared" si="30"/>
        <v>0</v>
      </c>
      <c r="P137" s="32">
        <f t="shared" si="30"/>
        <v>0</v>
      </c>
      <c r="Q137" s="32">
        <f t="shared" si="30"/>
        <v>0</v>
      </c>
      <c r="R137" s="32">
        <f t="shared" si="29"/>
        <v>0</v>
      </c>
      <c r="S137" s="32">
        <f t="shared" si="29"/>
        <v>0</v>
      </c>
      <c r="T137" s="32">
        <f t="shared" si="29"/>
        <v>0</v>
      </c>
      <c r="U137" s="33">
        <f t="shared" si="28"/>
        <v>0</v>
      </c>
      <c r="V137" s="33">
        <f t="shared" si="28"/>
        <v>0</v>
      </c>
      <c r="W137" s="33">
        <f t="shared" si="28"/>
        <v>0</v>
      </c>
      <c r="X137" s="33">
        <f t="shared" ref="X137:X152" si="32">O137+P137+T137</f>
        <v>0</v>
      </c>
    </row>
    <row r="138" spans="1:24" ht="20" customHeight="1">
      <c r="A138" s="15"/>
      <c r="B138" s="16"/>
      <c r="C138" s="17"/>
      <c r="D138" s="17"/>
      <c r="E138" s="17"/>
      <c r="F138" s="17"/>
      <c r="G138" s="17"/>
      <c r="H138" s="17"/>
      <c r="I138" s="17"/>
      <c r="J138" s="20"/>
      <c r="L138" s="32">
        <f t="shared" si="31"/>
        <v>0</v>
      </c>
      <c r="M138" s="32">
        <f t="shared" si="31"/>
        <v>0</v>
      </c>
      <c r="N138" s="32">
        <f t="shared" si="31"/>
        <v>0</v>
      </c>
      <c r="O138" s="32">
        <f t="shared" si="30"/>
        <v>0</v>
      </c>
      <c r="P138" s="32">
        <f t="shared" si="30"/>
        <v>0</v>
      </c>
      <c r="Q138" s="32">
        <f t="shared" si="30"/>
        <v>0</v>
      </c>
      <c r="R138" s="32">
        <f t="shared" si="29"/>
        <v>0</v>
      </c>
      <c r="S138" s="32">
        <f t="shared" si="29"/>
        <v>0</v>
      </c>
      <c r="T138" s="32">
        <f t="shared" si="29"/>
        <v>0</v>
      </c>
      <c r="U138" s="33">
        <f t="shared" si="28"/>
        <v>0</v>
      </c>
      <c r="V138" s="33">
        <f t="shared" si="28"/>
        <v>0</v>
      </c>
      <c r="W138" s="33">
        <f t="shared" si="28"/>
        <v>0</v>
      </c>
      <c r="X138" s="33">
        <f t="shared" si="32"/>
        <v>0</v>
      </c>
    </row>
    <row r="139" spans="1:24" ht="20" customHeight="1">
      <c r="A139" s="15"/>
      <c r="B139" s="16"/>
      <c r="C139" s="17"/>
      <c r="D139" s="17"/>
      <c r="E139" s="17"/>
      <c r="F139" s="17"/>
      <c r="G139" s="17"/>
      <c r="H139" s="17"/>
      <c r="I139" s="17"/>
      <c r="J139" s="20"/>
      <c r="L139" s="32">
        <f t="shared" si="31"/>
        <v>0</v>
      </c>
      <c r="M139" s="32">
        <f t="shared" si="31"/>
        <v>0</v>
      </c>
      <c r="N139" s="32">
        <f t="shared" si="31"/>
        <v>0</v>
      </c>
      <c r="O139" s="32">
        <f t="shared" si="30"/>
        <v>0</v>
      </c>
      <c r="P139" s="32">
        <f t="shared" si="30"/>
        <v>0</v>
      </c>
      <c r="Q139" s="32">
        <f t="shared" si="30"/>
        <v>0</v>
      </c>
      <c r="R139" s="32">
        <f t="shared" si="29"/>
        <v>0</v>
      </c>
      <c r="S139" s="32">
        <f t="shared" si="29"/>
        <v>0</v>
      </c>
      <c r="T139" s="32">
        <f t="shared" si="29"/>
        <v>0</v>
      </c>
      <c r="U139" s="33">
        <f t="shared" si="28"/>
        <v>0</v>
      </c>
      <c r="V139" s="33">
        <f t="shared" si="28"/>
        <v>0</v>
      </c>
      <c r="W139" s="33">
        <f t="shared" si="28"/>
        <v>0</v>
      </c>
      <c r="X139" s="33">
        <f t="shared" si="32"/>
        <v>0</v>
      </c>
    </row>
    <row r="140" spans="1:24" ht="20" customHeight="1">
      <c r="A140" s="15"/>
      <c r="B140" s="16"/>
      <c r="C140" s="17"/>
      <c r="D140" s="17"/>
      <c r="E140" s="17"/>
      <c r="F140" s="17"/>
      <c r="G140" s="17"/>
      <c r="H140" s="17"/>
      <c r="I140" s="17"/>
      <c r="J140" s="20"/>
      <c r="L140" s="32">
        <f t="shared" si="31"/>
        <v>0</v>
      </c>
      <c r="M140" s="32">
        <f t="shared" si="31"/>
        <v>0</v>
      </c>
      <c r="N140" s="32">
        <f t="shared" si="31"/>
        <v>0</v>
      </c>
      <c r="O140" s="32">
        <f t="shared" si="30"/>
        <v>0</v>
      </c>
      <c r="P140" s="32">
        <f t="shared" si="30"/>
        <v>0</v>
      </c>
      <c r="Q140" s="32">
        <f t="shared" si="30"/>
        <v>0</v>
      </c>
      <c r="R140" s="32">
        <f t="shared" si="29"/>
        <v>0</v>
      </c>
      <c r="S140" s="32">
        <f t="shared" si="29"/>
        <v>0</v>
      </c>
      <c r="T140" s="32">
        <f t="shared" si="29"/>
        <v>0</v>
      </c>
      <c r="U140" s="33">
        <f t="shared" si="28"/>
        <v>0</v>
      </c>
      <c r="V140" s="33">
        <f t="shared" si="28"/>
        <v>0</v>
      </c>
      <c r="W140" s="33">
        <f t="shared" si="28"/>
        <v>0</v>
      </c>
      <c r="X140" s="33">
        <f t="shared" si="32"/>
        <v>0</v>
      </c>
    </row>
    <row r="141" spans="1:24" ht="20" customHeight="1">
      <c r="A141" s="15"/>
      <c r="B141" s="16"/>
      <c r="C141" s="17"/>
      <c r="D141" s="17"/>
      <c r="E141" s="17"/>
      <c r="F141" s="17"/>
      <c r="G141" s="17"/>
      <c r="H141" s="17"/>
      <c r="I141" s="17"/>
      <c r="J141" s="20"/>
      <c r="L141" s="32">
        <f t="shared" si="31"/>
        <v>0</v>
      </c>
      <c r="M141" s="32">
        <f t="shared" si="31"/>
        <v>0</v>
      </c>
      <c r="N141" s="32">
        <f t="shared" si="31"/>
        <v>0</v>
      </c>
      <c r="O141" s="32">
        <f t="shared" si="30"/>
        <v>0</v>
      </c>
      <c r="P141" s="32">
        <f t="shared" si="30"/>
        <v>0</v>
      </c>
      <c r="Q141" s="32">
        <f t="shared" si="30"/>
        <v>0</v>
      </c>
      <c r="R141" s="32">
        <f t="shared" si="29"/>
        <v>0</v>
      </c>
      <c r="S141" s="32">
        <f t="shared" si="29"/>
        <v>0</v>
      </c>
      <c r="T141" s="32">
        <f t="shared" si="29"/>
        <v>0</v>
      </c>
      <c r="U141" s="33">
        <f t="shared" si="28"/>
        <v>0</v>
      </c>
      <c r="V141" s="33">
        <f t="shared" si="28"/>
        <v>0</v>
      </c>
      <c r="W141" s="33">
        <f t="shared" si="28"/>
        <v>0</v>
      </c>
      <c r="X141" s="33">
        <f t="shared" si="32"/>
        <v>0</v>
      </c>
    </row>
    <row r="142" spans="1:24" ht="20" customHeight="1">
      <c r="A142" s="15"/>
      <c r="B142" s="16"/>
      <c r="C142" s="17"/>
      <c r="D142" s="17"/>
      <c r="E142" s="17"/>
      <c r="F142" s="17"/>
      <c r="G142" s="17"/>
      <c r="H142" s="17"/>
      <c r="I142" s="17"/>
      <c r="J142" s="20"/>
      <c r="L142" s="32">
        <f t="shared" si="31"/>
        <v>0</v>
      </c>
      <c r="M142" s="32">
        <f t="shared" si="31"/>
        <v>0</v>
      </c>
      <c r="N142" s="32">
        <f t="shared" si="31"/>
        <v>0</v>
      </c>
      <c r="O142" s="32">
        <f t="shared" si="30"/>
        <v>0</v>
      </c>
      <c r="P142" s="32">
        <f t="shared" si="30"/>
        <v>0</v>
      </c>
      <c r="Q142" s="32">
        <f t="shared" si="30"/>
        <v>0</v>
      </c>
      <c r="R142" s="32">
        <f t="shared" si="29"/>
        <v>0</v>
      </c>
      <c r="S142" s="32">
        <f t="shared" si="29"/>
        <v>0</v>
      </c>
      <c r="T142" s="32">
        <f t="shared" si="29"/>
        <v>0</v>
      </c>
      <c r="U142" s="33">
        <f t="shared" si="28"/>
        <v>0</v>
      </c>
      <c r="V142" s="33">
        <f t="shared" si="28"/>
        <v>0</v>
      </c>
      <c r="W142" s="33">
        <f t="shared" si="28"/>
        <v>0</v>
      </c>
      <c r="X142" s="33">
        <f t="shared" si="32"/>
        <v>0</v>
      </c>
    </row>
    <row r="143" spans="1:24" ht="20" customHeight="1">
      <c r="A143" s="15"/>
      <c r="B143" s="16"/>
      <c r="C143" s="17"/>
      <c r="D143" s="17"/>
      <c r="E143" s="17"/>
      <c r="F143" s="17"/>
      <c r="G143" s="17"/>
      <c r="H143" s="17"/>
      <c r="I143" s="17"/>
      <c r="J143" s="20"/>
      <c r="L143" s="32">
        <f t="shared" si="31"/>
        <v>0</v>
      </c>
      <c r="M143" s="32">
        <f t="shared" si="31"/>
        <v>0</v>
      </c>
      <c r="N143" s="32">
        <f t="shared" si="31"/>
        <v>0</v>
      </c>
      <c r="O143" s="32">
        <f t="shared" si="30"/>
        <v>0</v>
      </c>
      <c r="P143" s="32">
        <f t="shared" si="30"/>
        <v>0</v>
      </c>
      <c r="Q143" s="32">
        <f t="shared" si="30"/>
        <v>0</v>
      </c>
      <c r="R143" s="32">
        <f t="shared" si="29"/>
        <v>0</v>
      </c>
      <c r="S143" s="32">
        <f t="shared" si="29"/>
        <v>0</v>
      </c>
      <c r="T143" s="32">
        <f t="shared" si="29"/>
        <v>0</v>
      </c>
      <c r="U143" s="33">
        <f t="shared" si="28"/>
        <v>0</v>
      </c>
      <c r="V143" s="33">
        <f t="shared" si="28"/>
        <v>0</v>
      </c>
      <c r="W143" s="33">
        <f t="shared" si="28"/>
        <v>0</v>
      </c>
      <c r="X143" s="33">
        <f t="shared" si="32"/>
        <v>0</v>
      </c>
    </row>
    <row r="144" spans="1:24" ht="20" customHeight="1">
      <c r="A144" s="15"/>
      <c r="B144" s="16"/>
      <c r="C144" s="17"/>
      <c r="D144" s="17"/>
      <c r="E144" s="17"/>
      <c r="F144" s="17"/>
      <c r="G144" s="17"/>
      <c r="H144" s="17"/>
      <c r="I144" s="17"/>
      <c r="J144" s="20"/>
      <c r="L144" s="32">
        <f t="shared" si="31"/>
        <v>0</v>
      </c>
      <c r="M144" s="32">
        <f t="shared" si="31"/>
        <v>0</v>
      </c>
      <c r="N144" s="32">
        <f t="shared" si="31"/>
        <v>0</v>
      </c>
      <c r="O144" s="32">
        <f t="shared" si="30"/>
        <v>0</v>
      </c>
      <c r="P144" s="32">
        <f t="shared" si="30"/>
        <v>0</v>
      </c>
      <c r="Q144" s="32">
        <f t="shared" si="30"/>
        <v>0</v>
      </c>
      <c r="R144" s="32">
        <f t="shared" si="29"/>
        <v>0</v>
      </c>
      <c r="S144" s="32">
        <f t="shared" si="29"/>
        <v>0</v>
      </c>
      <c r="T144" s="32">
        <f t="shared" si="29"/>
        <v>0</v>
      </c>
      <c r="U144" s="33">
        <f t="shared" si="28"/>
        <v>0</v>
      </c>
      <c r="V144" s="33">
        <f t="shared" si="28"/>
        <v>0</v>
      </c>
      <c r="W144" s="33">
        <f t="shared" si="28"/>
        <v>0</v>
      </c>
      <c r="X144" s="33">
        <f t="shared" si="32"/>
        <v>0</v>
      </c>
    </row>
    <row r="145" spans="1:24" ht="20" customHeight="1">
      <c r="A145" s="15"/>
      <c r="B145" s="16"/>
      <c r="C145" s="17"/>
      <c r="D145" s="17"/>
      <c r="E145" s="17"/>
      <c r="F145" s="17"/>
      <c r="G145" s="17"/>
      <c r="H145" s="17"/>
      <c r="I145" s="17"/>
      <c r="J145" s="20"/>
      <c r="L145" s="32">
        <f t="shared" si="31"/>
        <v>0</v>
      </c>
      <c r="M145" s="32">
        <f t="shared" si="31"/>
        <v>0</v>
      </c>
      <c r="N145" s="32">
        <f t="shared" si="31"/>
        <v>0</v>
      </c>
      <c r="O145" s="32">
        <f t="shared" si="30"/>
        <v>0</v>
      </c>
      <c r="P145" s="32">
        <f t="shared" si="30"/>
        <v>0</v>
      </c>
      <c r="Q145" s="32">
        <f t="shared" si="30"/>
        <v>0</v>
      </c>
      <c r="R145" s="32">
        <f t="shared" si="29"/>
        <v>0</v>
      </c>
      <c r="S145" s="32">
        <f t="shared" si="29"/>
        <v>0</v>
      </c>
      <c r="T145" s="32">
        <f t="shared" si="29"/>
        <v>0</v>
      </c>
      <c r="U145" s="33">
        <f t="shared" si="28"/>
        <v>0</v>
      </c>
      <c r="V145" s="33">
        <f t="shared" si="28"/>
        <v>0</v>
      </c>
      <c r="W145" s="33">
        <f t="shared" si="28"/>
        <v>0</v>
      </c>
      <c r="X145" s="33">
        <f t="shared" si="32"/>
        <v>0</v>
      </c>
    </row>
    <row r="146" spans="1:24" ht="20" customHeight="1">
      <c r="A146" s="15"/>
      <c r="B146" s="16"/>
      <c r="C146" s="17"/>
      <c r="D146" s="17"/>
      <c r="E146" s="17"/>
      <c r="F146" s="17"/>
      <c r="G146" s="17"/>
      <c r="H146" s="17"/>
      <c r="I146" s="17"/>
      <c r="J146" s="20"/>
      <c r="L146" s="32">
        <f t="shared" si="31"/>
        <v>0</v>
      </c>
      <c r="M146" s="32">
        <f t="shared" si="31"/>
        <v>0</v>
      </c>
      <c r="N146" s="32">
        <f t="shared" si="31"/>
        <v>0</v>
      </c>
      <c r="O146" s="32">
        <f t="shared" si="30"/>
        <v>0</v>
      </c>
      <c r="P146" s="32">
        <f t="shared" si="30"/>
        <v>0</v>
      </c>
      <c r="Q146" s="32">
        <f t="shared" si="30"/>
        <v>0</v>
      </c>
      <c r="R146" s="32">
        <f t="shared" si="29"/>
        <v>0</v>
      </c>
      <c r="S146" s="32">
        <f t="shared" si="29"/>
        <v>0</v>
      </c>
      <c r="T146" s="32">
        <f t="shared" si="29"/>
        <v>0</v>
      </c>
      <c r="U146" s="33">
        <f t="shared" si="28"/>
        <v>0</v>
      </c>
      <c r="V146" s="33">
        <f t="shared" si="28"/>
        <v>0</v>
      </c>
      <c r="W146" s="33">
        <f t="shared" si="28"/>
        <v>0</v>
      </c>
      <c r="X146" s="33">
        <f t="shared" si="32"/>
        <v>0</v>
      </c>
    </row>
    <row r="147" spans="1:24" ht="20" customHeight="1">
      <c r="A147" s="15"/>
      <c r="B147" s="16"/>
      <c r="C147" s="17"/>
      <c r="D147" s="17"/>
      <c r="E147" s="17"/>
      <c r="F147" s="17"/>
      <c r="G147" s="17"/>
      <c r="H147" s="17"/>
      <c r="I147" s="17"/>
      <c r="J147" s="20"/>
      <c r="L147" s="32">
        <f t="shared" si="31"/>
        <v>0</v>
      </c>
      <c r="M147" s="32">
        <f t="shared" si="31"/>
        <v>0</v>
      </c>
      <c r="N147" s="32">
        <f t="shared" si="31"/>
        <v>0</v>
      </c>
      <c r="O147" s="32">
        <f t="shared" si="30"/>
        <v>0</v>
      </c>
      <c r="P147" s="32">
        <f t="shared" si="30"/>
        <v>0</v>
      </c>
      <c r="Q147" s="32">
        <f t="shared" si="30"/>
        <v>0</v>
      </c>
      <c r="R147" s="32">
        <f t="shared" si="29"/>
        <v>0</v>
      </c>
      <c r="S147" s="32">
        <f t="shared" si="29"/>
        <v>0</v>
      </c>
      <c r="T147" s="32">
        <f t="shared" si="29"/>
        <v>0</v>
      </c>
      <c r="U147" s="33">
        <f t="shared" si="28"/>
        <v>0</v>
      </c>
      <c r="V147" s="33">
        <f t="shared" si="28"/>
        <v>0</v>
      </c>
      <c r="W147" s="33">
        <f t="shared" si="28"/>
        <v>0</v>
      </c>
      <c r="X147" s="33">
        <f t="shared" si="32"/>
        <v>0</v>
      </c>
    </row>
    <row r="148" spans="1:24" ht="20" customHeight="1">
      <c r="A148" s="15"/>
      <c r="B148" s="16"/>
      <c r="C148" s="17"/>
      <c r="D148" s="17"/>
      <c r="E148" s="17"/>
      <c r="F148" s="17"/>
      <c r="G148" s="17"/>
      <c r="H148" s="17"/>
      <c r="I148" s="17"/>
      <c r="J148" s="20"/>
      <c r="L148" s="32">
        <f t="shared" si="31"/>
        <v>0</v>
      </c>
      <c r="M148" s="32">
        <f t="shared" si="31"/>
        <v>0</v>
      </c>
      <c r="N148" s="32">
        <f t="shared" si="31"/>
        <v>0</v>
      </c>
      <c r="O148" s="32">
        <f t="shared" si="30"/>
        <v>0</v>
      </c>
      <c r="P148" s="32">
        <f t="shared" si="30"/>
        <v>0</v>
      </c>
      <c r="Q148" s="32">
        <f t="shared" si="30"/>
        <v>0</v>
      </c>
      <c r="R148" s="32">
        <f t="shared" si="29"/>
        <v>0</v>
      </c>
      <c r="S148" s="32">
        <f t="shared" si="29"/>
        <v>0</v>
      </c>
      <c r="T148" s="32">
        <f t="shared" si="29"/>
        <v>0</v>
      </c>
      <c r="U148" s="33">
        <f t="shared" si="28"/>
        <v>0</v>
      </c>
      <c r="V148" s="33">
        <f t="shared" si="28"/>
        <v>0</v>
      </c>
      <c r="W148" s="33">
        <f t="shared" si="28"/>
        <v>0</v>
      </c>
      <c r="X148" s="33">
        <f t="shared" si="32"/>
        <v>0</v>
      </c>
    </row>
    <row r="149" spans="1:24" ht="20" customHeight="1">
      <c r="A149" s="15"/>
      <c r="B149" s="16"/>
      <c r="C149" s="17"/>
      <c r="D149" s="17"/>
      <c r="E149" s="17"/>
      <c r="F149" s="17"/>
      <c r="G149" s="17"/>
      <c r="H149" s="17"/>
      <c r="I149" s="17"/>
      <c r="J149" s="20"/>
      <c r="L149" s="32">
        <f t="shared" si="31"/>
        <v>0</v>
      </c>
      <c r="M149" s="32">
        <f t="shared" si="31"/>
        <v>0</v>
      </c>
      <c r="N149" s="32">
        <f t="shared" si="31"/>
        <v>0</v>
      </c>
      <c r="O149" s="32">
        <f t="shared" si="30"/>
        <v>0</v>
      </c>
      <c r="P149" s="32">
        <f t="shared" si="30"/>
        <v>0</v>
      </c>
      <c r="Q149" s="32">
        <f t="shared" si="30"/>
        <v>0</v>
      </c>
      <c r="R149" s="32">
        <f t="shared" si="29"/>
        <v>0</v>
      </c>
      <c r="S149" s="32">
        <f t="shared" si="29"/>
        <v>0</v>
      </c>
      <c r="T149" s="32">
        <f t="shared" si="29"/>
        <v>0</v>
      </c>
      <c r="U149" s="33">
        <f t="shared" si="28"/>
        <v>0</v>
      </c>
      <c r="V149" s="33">
        <f t="shared" si="28"/>
        <v>0</v>
      </c>
      <c r="W149" s="33">
        <f t="shared" si="28"/>
        <v>0</v>
      </c>
      <c r="X149" s="33">
        <f t="shared" si="32"/>
        <v>0</v>
      </c>
    </row>
    <row r="150" spans="1:24" ht="20" customHeight="1">
      <c r="A150" s="15"/>
      <c r="B150" s="16"/>
      <c r="C150" s="17"/>
      <c r="D150" s="17"/>
      <c r="E150" s="17"/>
      <c r="F150" s="17"/>
      <c r="G150" s="17"/>
      <c r="H150" s="17"/>
      <c r="I150" s="17"/>
      <c r="J150" s="20"/>
      <c r="L150" s="32">
        <f t="shared" si="31"/>
        <v>0</v>
      </c>
      <c r="M150" s="32">
        <f t="shared" si="31"/>
        <v>0</v>
      </c>
      <c r="N150" s="32">
        <f t="shared" si="31"/>
        <v>0</v>
      </c>
      <c r="O150" s="32">
        <f t="shared" si="30"/>
        <v>0</v>
      </c>
      <c r="P150" s="32">
        <f t="shared" si="30"/>
        <v>0</v>
      </c>
      <c r="Q150" s="32">
        <f t="shared" si="30"/>
        <v>0</v>
      </c>
      <c r="R150" s="32">
        <f t="shared" si="29"/>
        <v>0</v>
      </c>
      <c r="S150" s="32">
        <f t="shared" si="29"/>
        <v>0</v>
      </c>
      <c r="T150" s="32">
        <f t="shared" si="29"/>
        <v>0</v>
      </c>
      <c r="U150" s="33">
        <f t="shared" si="28"/>
        <v>0</v>
      </c>
      <c r="V150" s="33">
        <f t="shared" si="28"/>
        <v>0</v>
      </c>
      <c r="W150" s="33">
        <f t="shared" si="28"/>
        <v>0</v>
      </c>
      <c r="X150" s="33">
        <f t="shared" si="32"/>
        <v>0</v>
      </c>
    </row>
    <row r="151" spans="1:24" ht="20" customHeight="1">
      <c r="A151" s="15"/>
      <c r="B151" s="16"/>
      <c r="C151" s="17"/>
      <c r="D151" s="17"/>
      <c r="E151" s="17"/>
      <c r="F151" s="17"/>
      <c r="G151" s="17"/>
      <c r="H151" s="17"/>
      <c r="I151" s="17"/>
      <c r="J151" s="20"/>
      <c r="L151" s="32">
        <f t="shared" si="31"/>
        <v>0</v>
      </c>
      <c r="M151" s="32">
        <f t="shared" si="31"/>
        <v>0</v>
      </c>
      <c r="N151" s="32">
        <f t="shared" si="31"/>
        <v>0</v>
      </c>
      <c r="O151" s="32">
        <f t="shared" si="30"/>
        <v>0</v>
      </c>
      <c r="P151" s="32">
        <f t="shared" si="30"/>
        <v>0</v>
      </c>
      <c r="Q151" s="32">
        <f t="shared" si="30"/>
        <v>0</v>
      </c>
      <c r="R151" s="32">
        <f t="shared" si="29"/>
        <v>0</v>
      </c>
      <c r="S151" s="32">
        <f t="shared" si="29"/>
        <v>0</v>
      </c>
      <c r="T151" s="32">
        <f t="shared" si="29"/>
        <v>0</v>
      </c>
      <c r="U151" s="33">
        <f t="shared" si="28"/>
        <v>0</v>
      </c>
      <c r="V151" s="33">
        <f t="shared" si="28"/>
        <v>0</v>
      </c>
      <c r="W151" s="33">
        <f t="shared" si="28"/>
        <v>0</v>
      </c>
      <c r="X151" s="33">
        <f t="shared" si="32"/>
        <v>0</v>
      </c>
    </row>
    <row r="152" spans="1:24" ht="16.75" customHeight="1">
      <c r="A152" s="15"/>
      <c r="B152" s="16"/>
      <c r="C152" s="17"/>
      <c r="D152" s="17"/>
      <c r="E152" s="17"/>
      <c r="F152" s="17"/>
      <c r="G152" s="17"/>
      <c r="H152" s="17"/>
      <c r="I152" s="17"/>
      <c r="J152" s="20"/>
      <c r="L152" s="21"/>
      <c r="M152" s="21"/>
      <c r="N152" s="21"/>
      <c r="O152" s="21"/>
      <c r="P152" s="21"/>
      <c r="Q152" s="21"/>
      <c r="R152" s="21"/>
      <c r="S152" s="21"/>
      <c r="T152" s="21"/>
      <c r="U152" s="22">
        <f t="shared" ref="U152:W152" si="33">L152+Q152</f>
        <v>0</v>
      </c>
      <c r="V152" s="22">
        <f t="shared" si="33"/>
        <v>0</v>
      </c>
      <c r="W152" s="22">
        <f t="shared" si="33"/>
        <v>0</v>
      </c>
      <c r="X152" s="22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2026-09-24T10:40:37Z</dcterms:modified>
</cp:coreProperties>
</file>